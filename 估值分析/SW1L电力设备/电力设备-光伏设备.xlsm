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电力设备!$BU$1:$BU$73</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8" i="7"/>
  <c r="C61" i="7"/>
  <c r="C43" i="7"/>
  <c r="C21" i="7"/>
  <c r="C14" i="7"/>
  <c r="C5"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67" i="7"/>
  <c r="C66" i="7"/>
  <c r="C62" i="7"/>
  <c r="C59" i="7"/>
  <c r="C58" i="7"/>
  <c r="C52" i="7"/>
  <c r="C51" i="7"/>
  <c r="C49" i="7"/>
  <c r="C48" i="7"/>
  <c r="C47" i="7"/>
  <c r="C45" i="7"/>
  <c r="C35" i="7"/>
  <c r="C28" i="7"/>
  <c r="C25" i="7"/>
  <c r="C24" i="7"/>
  <c r="C23" i="7"/>
  <c r="C19" i="7"/>
  <c r="C16" i="7"/>
  <c r="C13" i="7"/>
  <c r="C12" i="7"/>
  <c r="C4" i="7"/>
  <c r="C3" i="7"/>
  <c r="C2"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65" i="7"/>
  <c r="C64" i="7"/>
  <c r="C63" i="7"/>
  <c r="C60" i="7"/>
  <c r="C57" i="7"/>
  <c r="C56" i="7"/>
  <c r="C55" i="7"/>
  <c r="C54" i="7"/>
  <c r="C53" i="7"/>
  <c r="C50" i="7"/>
  <c r="C46" i="7"/>
  <c r="C44" i="7"/>
  <c r="C42" i="7"/>
  <c r="C40" i="7"/>
  <c r="C39" i="7"/>
  <c r="C37" i="7"/>
  <c r="C36" i="7"/>
  <c r="C34" i="7"/>
  <c r="C33" i="7"/>
  <c r="C32" i="7"/>
  <c r="C31" i="7"/>
  <c r="C30" i="7"/>
  <c r="C29" i="7"/>
  <c r="C27" i="7"/>
  <c r="C26" i="7"/>
  <c r="C22" i="7"/>
  <c r="C18" i="7"/>
  <c r="C17" i="7"/>
  <c r="C15" i="7"/>
  <c r="C11" i="7"/>
  <c r="C10" i="7"/>
  <c r="C9" i="7"/>
  <c r="C8" i="7"/>
  <c r="C7" i="7"/>
  <c r="C6"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<sst xmlns="http://schemas.openxmlformats.org/spreadsheetml/2006/main" count="3806" uniqueCount="2718">
  <si>
    <t>现价</t>
  </si>
  <si>
    <t>市净率</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</si>
  <si>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</si>
  <si>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</si>
  <si>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</si>
  <si>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</si>
  <si>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</si>
  <si>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</si>
  <si>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</si>
  <si>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</si>
  <si>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</si>
  <si>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</si>
  <si>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</si>
  <si>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</si>
  <si>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</si>
  <si>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</si>
  <si>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</si>
  <si>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5.02亿</t>
  </si>
  <si>
    <t>3.53亿</t>
  </si>
  <si>
    <t>3.31亿</t>
  </si>
  <si>
    <t>0亿</t>
  </si>
  <si>
    <t>1.23亿</t>
  </si>
  <si>
    <t>1.53亿</t>
  </si>
  <si>
    <t>9.14亿</t>
  </si>
  <si>
    <t>1.18亿</t>
  </si>
  <si>
    <t>7.79亿</t>
  </si>
  <si>
    <t>8.05亿</t>
  </si>
  <si>
    <t>4.11亿</t>
  </si>
  <si>
    <t>2.75亿</t>
  </si>
  <si>
    <t>1.94亿</t>
  </si>
  <si>
    <t>1.38亿</t>
  </si>
  <si>
    <t>5.85亿</t>
  </si>
  <si>
    <t>1.66亿</t>
  </si>
  <si>
    <t>1.95亿</t>
  </si>
  <si>
    <t>1.49亿</t>
  </si>
  <si>
    <t>2.22亿</t>
  </si>
  <si>
    <t>7.51亿</t>
  </si>
  <si>
    <t>7.90亿</t>
  </si>
  <si>
    <t>1.74亿</t>
  </si>
  <si>
    <t>1.03亿</t>
  </si>
  <si>
    <t>3.51亿</t>
  </si>
  <si>
    <t>5.36亿</t>
  </si>
  <si>
    <t>7.55亿</t>
  </si>
  <si>
    <t>14.46亿</t>
  </si>
  <si>
    <t>14.73亿</t>
  </si>
  <si>
    <t>1.71亿</t>
  </si>
  <si>
    <t>1.19亿</t>
  </si>
  <si>
    <t>1.44亿</t>
  </si>
  <si>
    <t>3.34亿</t>
  </si>
  <si>
    <t>2.11亿</t>
  </si>
  <si>
    <t>1.31亿</t>
  </si>
  <si>
    <t>1.12亿</t>
  </si>
  <si>
    <t>1.33亿</t>
  </si>
  <si>
    <t>12.99亿</t>
  </si>
  <si>
    <t>2.63亿</t>
  </si>
  <si>
    <t>1.27亿</t>
  </si>
  <si>
    <t>20.19亿</t>
  </si>
  <si>
    <t>1.04亿</t>
  </si>
  <si>
    <t>1.52亿</t>
  </si>
  <si>
    <t>4.64亿</t>
  </si>
  <si>
    <t>6.88亿</t>
  </si>
  <si>
    <t>1.28亿</t>
  </si>
  <si>
    <t>4.42亿</t>
  </si>
  <si>
    <t>2.29亿</t>
  </si>
  <si>
    <t>1.80亿</t>
  </si>
  <si>
    <t>1.22亿</t>
  </si>
  <si>
    <t>2.52亿</t>
  </si>
  <si>
    <t>1.72亿</t>
  </si>
  <si>
    <t>4.15亿</t>
  </si>
  <si>
    <t>3.68亿</t>
  </si>
  <si>
    <t>1.41亿</t>
  </si>
  <si>
    <t>2.60亿</t>
  </si>
  <si>
    <t>1.10亿</t>
  </si>
  <si>
    <t>1.00亿</t>
  </si>
  <si>
    <t>2.02亿</t>
  </si>
  <si>
    <t>1.24亿</t>
  </si>
  <si>
    <t>1.85亿</t>
  </si>
  <si>
    <t>2.69亿</t>
  </si>
  <si>
    <t>1.14亿</t>
  </si>
  <si>
    <t>5.12亿</t>
  </si>
  <si>
    <t>1.08亿</t>
  </si>
  <si>
    <t>2.88亿</t>
  </si>
  <si>
    <t>4.60亿</t>
  </si>
  <si>
    <t>1.06亿</t>
  </si>
  <si>
    <t>1.55亿</t>
  </si>
  <si>
    <t>2.31亿</t>
  </si>
  <si>
    <t>3.27亿</t>
  </si>
  <si>
    <t>4.26亿</t>
  </si>
  <si>
    <t>1.77亿</t>
  </si>
  <si>
    <t>1.46亿</t>
  </si>
  <si>
    <t>1.64亿</t>
  </si>
  <si>
    <t>1.30亿</t>
  </si>
  <si>
    <t>1.35亿</t>
  </si>
  <si>
    <t>5.54亿</t>
  </si>
  <si>
    <t>3.22亿</t>
  </si>
  <si>
    <t>2.18亿</t>
  </si>
  <si>
    <t>2.71亿</t>
  </si>
  <si>
    <t>1.69亿</t>
  </si>
  <si>
    <t>1.16亿</t>
  </si>
  <si>
    <t>2.91亿</t>
  </si>
  <si>
    <t>1.20亿</t>
  </si>
  <si>
    <t>2.40亿</t>
  </si>
  <si>
    <t>1.26亿</t>
  </si>
  <si>
    <t>5.87亿</t>
  </si>
  <si>
    <t>2.86亿</t>
  </si>
  <si>
    <t>3.37亿</t>
  </si>
  <si>
    <t>1.73亿</t>
  </si>
  <si>
    <t>3.81亿</t>
  </si>
  <si>
    <t>1.05亿</t>
  </si>
  <si>
    <t>2.58亿</t>
  </si>
  <si>
    <t>1.88亿</t>
  </si>
  <si>
    <t>3.56亿</t>
  </si>
  <si>
    <t>1.15亿</t>
  </si>
  <si>
    <t>6.02亿</t>
  </si>
  <si>
    <t>4.28亿</t>
  </si>
  <si>
    <t>3.47亿</t>
  </si>
  <si>
    <t>3.07亿</t>
  </si>
  <si>
    <t>1.57亿</t>
  </si>
  <si>
    <t>3.89亿</t>
  </si>
  <si>
    <t>2.32亿</t>
  </si>
  <si>
    <t>1.36亿</t>
  </si>
  <si>
    <t>2.70亿</t>
  </si>
  <si>
    <t>2.79亿</t>
  </si>
  <si>
    <t>1.62亿</t>
  </si>
  <si>
    <t>2.35亿</t>
  </si>
  <si>
    <t>1.84亿</t>
  </si>
  <si>
    <t>1.02亿</t>
  </si>
  <si>
    <t>8.58亿</t>
  </si>
  <si>
    <t>5.95亿</t>
  </si>
  <si>
    <t>8.48亿</t>
  </si>
  <si>
    <t>3.14亿</t>
  </si>
  <si>
    <t>1.65亿</t>
  </si>
  <si>
    <t>7.16亿</t>
  </si>
  <si>
    <t>1.07亿</t>
  </si>
  <si>
    <t>4.37亿</t>
  </si>
  <si>
    <t>2.48亿</t>
  </si>
  <si>
    <t>1.51亿</t>
  </si>
  <si>
    <t>1.42亿</t>
  </si>
  <si>
    <t>9.93亿</t>
  </si>
  <si>
    <t>2.97亿</t>
  </si>
  <si>
    <t>2.36亿</t>
  </si>
  <si>
    <t>1.37亿</t>
  </si>
  <si>
    <t>2.95亿</t>
  </si>
  <si>
    <t>6.45亿</t>
  </si>
  <si>
    <t>3.65亿</t>
  </si>
  <si>
    <t>6.34亿</t>
  </si>
  <si>
    <t>2.43亿</t>
  </si>
  <si>
    <t>4.80亿</t>
  </si>
  <si>
    <t>6.07亿</t>
  </si>
  <si>
    <t>4.01亿</t>
  </si>
  <si>
    <t>1.61亿</t>
  </si>
  <si>
    <t>3.21亿</t>
  </si>
  <si>
    <t>2.26亿</t>
  </si>
  <si>
    <t>1.58亿</t>
  </si>
  <si>
    <t>1.70亿</t>
  </si>
  <si>
    <t>5.60亿</t>
  </si>
  <si>
    <t>3.38亿</t>
  </si>
  <si>
    <t>3.42亿</t>
  </si>
  <si>
    <t>2.28亿</t>
  </si>
  <si>
    <t>1.45亿</t>
  </si>
  <si>
    <t>3.82亿</t>
  </si>
  <si>
    <t>9.02亿</t>
  </si>
  <si>
    <t>5.69亿</t>
  </si>
  <si>
    <t>1.75亿</t>
  </si>
  <si>
    <t>7.14亿</t>
  </si>
  <si>
    <t>2.45亿</t>
  </si>
  <si>
    <t>1.09亿</t>
  </si>
  <si>
    <t>2.23亿</t>
  </si>
  <si>
    <t>6.37亿</t>
  </si>
  <si>
    <t>2.27亿</t>
  </si>
  <si>
    <t>1.43亿</t>
  </si>
  <si>
    <t>1.91亿</t>
  </si>
  <si>
    <t>9.56亿</t>
  </si>
  <si>
    <t>1.98亿</t>
  </si>
  <si>
    <t>3.10亿</t>
  </si>
  <si>
    <t>流动资产</t>
  </si>
  <si>
    <t>营业收入[20191231]</t>
  </si>
  <si>
    <t>营业收入[20181231]</t>
  </si>
  <si>
    <t>营业收入[20171231]</t>
  </si>
  <si>
    <t>净利润[20191231]</t>
  </si>
  <si>
    <t>净利润[20181231]</t>
  </si>
  <si>
    <t>净利润[20171231]</t>
  </si>
  <si>
    <t>6.92亿</t>
  </si>
  <si>
    <t>36.81亿</t>
  </si>
  <si>
    <t>1.87亿</t>
  </si>
  <si>
    <t>2.06亿</t>
  </si>
  <si>
    <t>1.68亿</t>
  </si>
  <si>
    <t>5.34亿</t>
  </si>
  <si>
    <t>4.05亿</t>
  </si>
  <si>
    <t>3.11亿</t>
  </si>
  <si>
    <t>3.18亿</t>
  </si>
  <si>
    <t>6.01亿</t>
  </si>
  <si>
    <t>2.76亿</t>
  </si>
  <si>
    <t>1.89亿</t>
  </si>
  <si>
    <t>1.17亿</t>
  </si>
  <si>
    <t>10.53亿</t>
  </si>
  <si>
    <t>4.83亿</t>
  </si>
  <si>
    <t>15.67亿</t>
  </si>
  <si>
    <t>1.78亿</t>
  </si>
  <si>
    <t>3.85亿</t>
  </si>
  <si>
    <t>1.47亿</t>
  </si>
  <si>
    <t>2.51亿</t>
  </si>
  <si>
    <t>5.44亿</t>
  </si>
  <si>
    <t>25.36亿</t>
  </si>
  <si>
    <t>5.82亿</t>
  </si>
  <si>
    <t>8.17亿</t>
  </si>
  <si>
    <t>5.58亿</t>
  </si>
  <si>
    <t>3.91亿</t>
  </si>
  <si>
    <t>2.07亿</t>
  </si>
  <si>
    <t>6.52亿</t>
  </si>
  <si>
    <t>4.10亿</t>
  </si>
  <si>
    <t>2.93亿</t>
  </si>
  <si>
    <t>2.98亿</t>
  </si>
  <si>
    <t>8.31亿</t>
  </si>
  <si>
    <t>3.61亿</t>
  </si>
  <si>
    <t>2.89亿</t>
  </si>
  <si>
    <t>2.66亿</t>
  </si>
  <si>
    <t>8.50亿</t>
  </si>
  <si>
    <t>1.32亿</t>
  </si>
  <si>
    <t>5.86亿</t>
  </si>
  <si>
    <t>1.96亿</t>
  </si>
  <si>
    <t>6.39亿</t>
  </si>
  <si>
    <t>8.96亿</t>
  </si>
  <si>
    <t>3.44亿</t>
  </si>
  <si>
    <t>5.32亿</t>
  </si>
  <si>
    <t>11.43亿</t>
  </si>
  <si>
    <t>3.17亿</t>
  </si>
  <si>
    <t>5.68亿</t>
  </si>
  <si>
    <t>11.21亿</t>
  </si>
  <si>
    <t>1.76亿</t>
  </si>
  <si>
    <t>8.43亿</t>
  </si>
  <si>
    <t>4.03亿</t>
  </si>
  <si>
    <t>11.40亿</t>
  </si>
  <si>
    <t>7.57亿</t>
  </si>
  <si>
    <t>4.35亿</t>
  </si>
  <si>
    <t>7.98亿</t>
  </si>
  <si>
    <t>3.24亿</t>
  </si>
  <si>
    <t>3.04亿</t>
  </si>
  <si>
    <t>8.14亿</t>
  </si>
  <si>
    <t>3.39亿</t>
  </si>
  <si>
    <t>5.01亿</t>
  </si>
  <si>
    <t>3.06亿</t>
  </si>
  <si>
    <t>3.45亿</t>
  </si>
  <si>
    <t>8.39亿</t>
  </si>
  <si>
    <t>3.40亿</t>
  </si>
  <si>
    <t>4.72亿</t>
  </si>
  <si>
    <t>3.29亿</t>
  </si>
  <si>
    <t>2.20亿</t>
  </si>
  <si>
    <t>10.91亿</t>
  </si>
  <si>
    <t>7.46亿</t>
  </si>
  <si>
    <t>7.88亿</t>
  </si>
  <si>
    <t>1.13亿</t>
  </si>
  <si>
    <t>6.00亿</t>
  </si>
  <si>
    <t>5.06亿</t>
  </si>
  <si>
    <t>9.57亿</t>
  </si>
  <si>
    <t>6.84亿</t>
  </si>
  <si>
    <t>4.50亿</t>
  </si>
  <si>
    <t>2.01亿</t>
  </si>
  <si>
    <t>15.30亿</t>
  </si>
  <si>
    <t>9.88亿</t>
  </si>
  <si>
    <t>2.21亿</t>
  </si>
  <si>
    <t>8.87亿</t>
  </si>
  <si>
    <t>4.38亿</t>
  </si>
  <si>
    <t>5.80亿</t>
  </si>
  <si>
    <t>26.92亿</t>
  </si>
  <si>
    <t>4.87亿</t>
  </si>
  <si>
    <t>3.83亿</t>
  </si>
  <si>
    <t>-1.48亿</t>
  </si>
  <si>
    <t>2.38亿</t>
  </si>
  <si>
    <t>8.62亿</t>
  </si>
  <si>
    <t>5.22亿</t>
  </si>
  <si>
    <t>3.36亿</t>
  </si>
  <si>
    <t>2.74亿</t>
  </si>
  <si>
    <t>1.82亿</t>
  </si>
  <si>
    <t>2.46亿</t>
  </si>
  <si>
    <t>17.28亿</t>
  </si>
  <si>
    <t>5.53亿</t>
  </si>
  <si>
    <t>6.51亿</t>
  </si>
  <si>
    <t>22.85亿</t>
  </si>
  <si>
    <t>6.71亿</t>
  </si>
  <si>
    <t>6.85亿</t>
  </si>
  <si>
    <t>7.35亿</t>
  </si>
  <si>
    <t>3.46亿</t>
  </si>
  <si>
    <t>8.32亿</t>
  </si>
  <si>
    <t>5.75亿</t>
  </si>
  <si>
    <t>2.14亿</t>
  </si>
  <si>
    <t>2.47亿</t>
  </si>
  <si>
    <t>5.59亿</t>
  </si>
  <si>
    <t>1.34亿</t>
  </si>
  <si>
    <t>15.37亿</t>
  </si>
  <si>
    <t>1.39亿</t>
  </si>
  <si>
    <t>3.09亿</t>
  </si>
  <si>
    <t>18.16亿</t>
  </si>
  <si>
    <t>2.33亿</t>
  </si>
  <si>
    <t>8.67亿</t>
  </si>
  <si>
    <t>1.11亿</t>
  </si>
  <si>
    <t>4.41亿</t>
  </si>
  <si>
    <t>2.82亿</t>
  </si>
  <si>
    <t>17.42亿</t>
  </si>
  <si>
    <t>18.93亿</t>
  </si>
  <si>
    <t>15.65亿</t>
  </si>
  <si>
    <t>8.06亿</t>
  </si>
  <si>
    <t>10.89亿</t>
  </si>
  <si>
    <t>1.90亿</t>
  </si>
  <si>
    <t>3.55亿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</si>
  <si>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</si>
  <si>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</si>
  <si>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</si>
  <si>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</si>
  <si>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</si>
  <si>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</si>
  <si>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</si>
  <si>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</si>
  <si>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</si>
  <si>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</si>
  <si>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</si>
  <si>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</si>
  <si>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</si>
  <si>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</si>
  <si>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</si>
  <si>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1.25亿</t>
  </si>
  <si>
    <t>5.74亿</t>
  </si>
  <si>
    <t>2.56亿</t>
  </si>
  <si>
    <t>1.97亿</t>
  </si>
  <si>
    <t>3.48亿</t>
  </si>
  <si>
    <t>销售毛利率%[20201231]</t>
  </si>
  <si>
    <t>销售净利率%[20201231]</t>
  </si>
  <si>
    <t>1.86亿</t>
  </si>
  <si>
    <t>2.54亿</t>
  </si>
  <si>
    <t>9.60亿</t>
  </si>
  <si>
    <t>5.10亿</t>
  </si>
  <si>
    <t>15.07亿</t>
  </si>
  <si>
    <t>3.02亿</t>
  </si>
  <si>
    <t>12.50亿</t>
  </si>
  <si>
    <t>2.80亿</t>
  </si>
  <si>
    <t>3.49亿</t>
  </si>
  <si>
    <t>9.74亿</t>
  </si>
  <si>
    <t>4.86亿</t>
  </si>
  <si>
    <t>18.55亿</t>
  </si>
  <si>
    <t>5.61亿</t>
  </si>
  <si>
    <t>6.13亿</t>
  </si>
  <si>
    <t>4.74亿</t>
  </si>
  <si>
    <t>2.90亿</t>
  </si>
  <si>
    <t>3.69亿</t>
  </si>
  <si>
    <t>14.48亿</t>
  </si>
  <si>
    <t>4.95亿</t>
  </si>
  <si>
    <t>10.92亿</t>
  </si>
  <si>
    <t>5.33亿</t>
  </si>
  <si>
    <t>4.22亿</t>
  </si>
  <si>
    <t>5.37亿</t>
  </si>
  <si>
    <t>4.07亿</t>
  </si>
  <si>
    <t>16.22亿</t>
  </si>
  <si>
    <t>5.31亿</t>
  </si>
  <si>
    <t>15.40亿</t>
  </si>
  <si>
    <t>2.04亿</t>
  </si>
  <si>
    <t>8.94亿</t>
  </si>
  <si>
    <t>2.15亿</t>
  </si>
  <si>
    <t>8.61亿</t>
  </si>
  <si>
    <t>30.25亿</t>
  </si>
  <si>
    <t>26.35亿</t>
  </si>
  <si>
    <t>3.73亿</t>
  </si>
  <si>
    <t>13.61亿</t>
  </si>
  <si>
    <t>10.73亿</t>
  </si>
  <si>
    <t>10.63亿</t>
  </si>
  <si>
    <t>14.93亿</t>
  </si>
  <si>
    <t>2.50亿</t>
  </si>
  <si>
    <t>6.41亿</t>
  </si>
  <si>
    <t>5.43亿</t>
  </si>
  <si>
    <t>10.04亿</t>
  </si>
  <si>
    <t>2.16亿</t>
  </si>
  <si>
    <t>1.79亿</t>
  </si>
  <si>
    <t>30.64亿</t>
  </si>
  <si>
    <t>8.70亿</t>
  </si>
  <si>
    <t>11.44亿</t>
  </si>
  <si>
    <t>7.04亿</t>
  </si>
  <si>
    <t>7.56亿</t>
  </si>
  <si>
    <t>8.49亿</t>
  </si>
  <si>
    <t>12.52亿</t>
  </si>
  <si>
    <t>5.77亿</t>
  </si>
  <si>
    <t>5.94亿</t>
  </si>
  <si>
    <t>20.11亿</t>
  </si>
  <si>
    <t>3.54亿</t>
  </si>
  <si>
    <t>3.94亿</t>
  </si>
  <si>
    <t>2.83亿</t>
  </si>
  <si>
    <t>3.32亿</t>
  </si>
  <si>
    <t>5.38亿</t>
  </si>
  <si>
    <t>8.25亿</t>
  </si>
  <si>
    <t>7.31亿</t>
  </si>
  <si>
    <t>10.54亿</t>
  </si>
  <si>
    <t>6.31亿</t>
  </si>
  <si>
    <t>2.85亿</t>
  </si>
  <si>
    <t>6.21亿</t>
  </si>
  <si>
    <t>7.19亿</t>
  </si>
  <si>
    <t>5.62亿</t>
  </si>
  <si>
    <t>14.03亿</t>
  </si>
  <si>
    <t>8.26亿</t>
  </si>
  <si>
    <t>8.47亿</t>
  </si>
  <si>
    <t>6.29亿</t>
  </si>
  <si>
    <t>8.85亿</t>
  </si>
  <si>
    <t>13.96亿</t>
  </si>
  <si>
    <t>10.43亿</t>
  </si>
  <si>
    <t>30.17亿</t>
  </si>
  <si>
    <t>6.65亿</t>
  </si>
  <si>
    <t>3.58亿</t>
  </si>
  <si>
    <t>4.56亿</t>
  </si>
  <si>
    <t>5.48亿</t>
  </si>
  <si>
    <t>3.86亿</t>
  </si>
  <si>
    <t>8.33亿</t>
  </si>
  <si>
    <t>11.20亿</t>
  </si>
  <si>
    <t>5.97亿</t>
  </si>
  <si>
    <t>12.45亿</t>
  </si>
  <si>
    <t>7.07亿</t>
  </si>
  <si>
    <t>30.11亿</t>
  </si>
  <si>
    <t>6.54亿</t>
  </si>
  <si>
    <t>3.75亿</t>
  </si>
  <si>
    <t>13.97亿</t>
  </si>
  <si>
    <t>6.36亿</t>
  </si>
  <si>
    <t>5.40亿</t>
  </si>
  <si>
    <t>17.60亿</t>
  </si>
  <si>
    <t>7.00亿</t>
  </si>
  <si>
    <t>15.02亿</t>
  </si>
  <si>
    <t>6.32亿</t>
  </si>
  <si>
    <t>4.96亿</t>
  </si>
  <si>
    <t>2.17亿</t>
  </si>
  <si>
    <t>9.45亿</t>
  </si>
  <si>
    <t>8.54亿</t>
  </si>
  <si>
    <t>3.13亿</t>
  </si>
  <si>
    <t>8.93亿</t>
  </si>
  <si>
    <t>22.64亿</t>
  </si>
  <si>
    <t>-3.03亿</t>
  </si>
  <si>
    <t>-6.52亿</t>
  </si>
  <si>
    <t>15.06亿</t>
  </si>
  <si>
    <t>10.57亿</t>
  </si>
  <si>
    <t>7.17亿</t>
  </si>
  <si>
    <t>3.05亿</t>
  </si>
  <si>
    <t>6.43亿</t>
  </si>
  <si>
    <t>10.61亿</t>
  </si>
  <si>
    <t>5.03亿</t>
  </si>
  <si>
    <t>14.38亿</t>
  </si>
  <si>
    <t>23.39亿</t>
  </si>
  <si>
    <t>10.14亿</t>
  </si>
  <si>
    <t>8.19亿</t>
  </si>
  <si>
    <t>8.35亿</t>
  </si>
  <si>
    <t>14.92亿</t>
  </si>
  <si>
    <t>6.89亿</t>
  </si>
  <si>
    <t>7.41亿</t>
  </si>
  <si>
    <t>3.52亿</t>
  </si>
  <si>
    <t>111.91亿</t>
  </si>
  <si>
    <t>27.08亿</t>
  </si>
  <si>
    <t>19.52亿</t>
  </si>
  <si>
    <t>11.32亿</t>
  </si>
  <si>
    <t>7.91亿</t>
  </si>
  <si>
    <t>4.09亿</t>
  </si>
  <si>
    <t>48.52亿</t>
  </si>
  <si>
    <t>8.53亿</t>
  </si>
  <si>
    <t>12.57亿</t>
  </si>
  <si>
    <t>13.81亿</t>
  </si>
  <si>
    <t>17.53亿</t>
  </si>
  <si>
    <t>-1.42亿</t>
  </si>
  <si>
    <t>5.83亿</t>
  </si>
  <si>
    <t>7.54亿</t>
  </si>
  <si>
    <t>6.38亿</t>
  </si>
  <si>
    <t>12.05亿</t>
  </si>
  <si>
    <t>48.07亿</t>
  </si>
  <si>
    <t>21.83亿</t>
  </si>
  <si>
    <t>20.39亿</t>
  </si>
  <si>
    <t>10.05亿</t>
  </si>
  <si>
    <t>9.04亿</t>
  </si>
  <si>
    <t>15.69亿</t>
  </si>
  <si>
    <t>-8.77亿</t>
  </si>
  <si>
    <t>11.39亿</t>
  </si>
  <si>
    <t>7.83亿</t>
  </si>
  <si>
    <t>25.76亿</t>
  </si>
  <si>
    <t>22.01亿</t>
  </si>
  <si>
    <t>7.13亿</t>
  </si>
  <si>
    <t>41.68亿</t>
  </si>
  <si>
    <t>35.50亿</t>
  </si>
  <si>
    <t>11.18亿</t>
  </si>
  <si>
    <t>9.23亿</t>
  </si>
  <si>
    <t>25.33亿</t>
  </si>
  <si>
    <t>7.89亿</t>
  </si>
  <si>
    <t>16.29亿</t>
  </si>
  <si>
    <t>12.56亿</t>
  </si>
  <si>
    <t>6.73亿</t>
  </si>
  <si>
    <t>206.91亿</t>
  </si>
  <si>
    <t>19.94亿</t>
  </si>
  <si>
    <t>30.24亿</t>
  </si>
  <si>
    <t>3.71亿</t>
  </si>
  <si>
    <t>4.46亿</t>
  </si>
  <si>
    <t>9.35亿</t>
  </si>
  <si>
    <t>SZ000821</t>
  </si>
  <si>
    <t>京山轻机</t>
  </si>
  <si>
    <t>30.60亿</t>
  </si>
  <si>
    <t>SZ002129</t>
  </si>
  <si>
    <t>190.57亿</t>
  </si>
  <si>
    <t>168.87亿</t>
  </si>
  <si>
    <t>137.56亿</t>
  </si>
  <si>
    <t>SZ002218</t>
  </si>
  <si>
    <t>拓日新能</t>
  </si>
  <si>
    <t>20.74亿</t>
  </si>
  <si>
    <t>SZ002459</t>
  </si>
  <si>
    <t>晶澳科技</t>
  </si>
  <si>
    <t>258.47亿</t>
  </si>
  <si>
    <t>211.55亿</t>
  </si>
  <si>
    <t>196.49亿</t>
  </si>
  <si>
    <t>SZ002506</t>
  </si>
  <si>
    <t>协鑫集成</t>
  </si>
  <si>
    <t>59.57亿</t>
  </si>
  <si>
    <t>-26.38亿</t>
  </si>
  <si>
    <t>86.84亿</t>
  </si>
  <si>
    <t>5555.64万</t>
  </si>
  <si>
    <t>4512.07万</t>
  </si>
  <si>
    <t>10.72亿</t>
  </si>
  <si>
    <t>SZ002610</t>
  </si>
  <si>
    <t>51.26亿</t>
  </si>
  <si>
    <t>-16.12亿</t>
  </si>
  <si>
    <t>SZ002623</t>
  </si>
  <si>
    <t>亚玛顿</t>
  </si>
  <si>
    <t>18.03亿</t>
  </si>
  <si>
    <t>8.66亿</t>
  </si>
  <si>
    <t>11.84亿</t>
  </si>
  <si>
    <t>-9705.37万</t>
  </si>
  <si>
    <t>7923.19万</t>
  </si>
  <si>
    <t>SZ003022</t>
  </si>
  <si>
    <t>联泓新科</t>
  </si>
  <si>
    <t>59.31亿</t>
  </si>
  <si>
    <t>56.74亿</t>
  </si>
  <si>
    <t>57.95亿</t>
  </si>
  <si>
    <t>SZ300080</t>
  </si>
  <si>
    <t>易成新能</t>
  </si>
  <si>
    <t>59.82亿</t>
  </si>
  <si>
    <t>70.75亿</t>
  </si>
  <si>
    <t>SZ300118</t>
  </si>
  <si>
    <t>东方日升</t>
  </si>
  <si>
    <t>160.63亿</t>
  </si>
  <si>
    <t>144.04亿</t>
  </si>
  <si>
    <t>97.52亿</t>
  </si>
  <si>
    <t>SZ300125</t>
  </si>
  <si>
    <t>-5601.67万</t>
  </si>
  <si>
    <t>1613.97万</t>
  </si>
  <si>
    <t>3668.85万</t>
  </si>
  <si>
    <t>SZ300274</t>
  </si>
  <si>
    <t>阳光电源</t>
  </si>
  <si>
    <t>192.86亿</t>
  </si>
  <si>
    <t>19.54亿</t>
  </si>
  <si>
    <t>130.03亿</t>
  </si>
  <si>
    <t>103.69亿</t>
  </si>
  <si>
    <t>8.10亿</t>
  </si>
  <si>
    <t>SZ300316</t>
  </si>
  <si>
    <t>晶盛机电</t>
  </si>
  <si>
    <t>38.11亿</t>
  </si>
  <si>
    <t>31.10亿</t>
  </si>
  <si>
    <t>SZ300393</t>
  </si>
  <si>
    <t>中来股份</t>
  </si>
  <si>
    <t>50.85亿</t>
  </si>
  <si>
    <t>9665.84万</t>
  </si>
  <si>
    <t>34.78亿</t>
  </si>
  <si>
    <t>SZ300724</t>
  </si>
  <si>
    <t>捷佳伟创</t>
  </si>
  <si>
    <t>40.44亿</t>
  </si>
  <si>
    <t>5.23亿</t>
  </si>
  <si>
    <t>21.34亿</t>
  </si>
  <si>
    <t>25.27亿</t>
  </si>
  <si>
    <t>SZ300751</t>
  </si>
  <si>
    <t>迈为股份</t>
  </si>
  <si>
    <t>SZ300763</t>
  </si>
  <si>
    <t>锦浪科技</t>
  </si>
  <si>
    <t>20.84亿</t>
  </si>
  <si>
    <t>SZ300776</t>
  </si>
  <si>
    <t>帝尔激光</t>
  </si>
  <si>
    <t>SZ300827</t>
  </si>
  <si>
    <t>上能电气</t>
  </si>
  <si>
    <t>7745.36万</t>
  </si>
  <si>
    <t>8384.29万</t>
  </si>
  <si>
    <t>7086.04万</t>
  </si>
  <si>
    <t>SZ300842</t>
  </si>
  <si>
    <t>帝科股份</t>
  </si>
  <si>
    <t>15.82亿</t>
  </si>
  <si>
    <t>8208.65万</t>
  </si>
  <si>
    <t>7070.42万</t>
  </si>
  <si>
    <t>5578.51万</t>
  </si>
  <si>
    <t>SH600151</t>
  </si>
  <si>
    <t>航天机电</t>
  </si>
  <si>
    <t>60.93亿</t>
  </si>
  <si>
    <t>69.10亿</t>
  </si>
  <si>
    <t>67.01亿</t>
  </si>
  <si>
    <t>SH600207</t>
  </si>
  <si>
    <t>安彩高科</t>
  </si>
  <si>
    <t>22.91亿</t>
  </si>
  <si>
    <t>20.16亿</t>
  </si>
  <si>
    <t>SH600438</t>
  </si>
  <si>
    <t>通威股份</t>
  </si>
  <si>
    <t>442.00亿</t>
  </si>
  <si>
    <t>36.08亿</t>
  </si>
  <si>
    <t>375.55亿</t>
  </si>
  <si>
    <t>275.35亿</t>
  </si>
  <si>
    <t>SH600537</t>
  </si>
  <si>
    <t>亿晶光电</t>
  </si>
  <si>
    <t>40.98亿</t>
  </si>
  <si>
    <t>35.59亿</t>
  </si>
  <si>
    <t>6860.14万</t>
  </si>
  <si>
    <t>SH600732</t>
  </si>
  <si>
    <t>爱旭股份</t>
  </si>
  <si>
    <t>96.64亿</t>
  </si>
  <si>
    <t>60.69亿</t>
  </si>
  <si>
    <t>41.08亿</t>
  </si>
  <si>
    <t>SH600876</t>
  </si>
  <si>
    <t>5399.99万</t>
  </si>
  <si>
    <t>1564.53万</t>
  </si>
  <si>
    <t>SH601012</t>
  </si>
  <si>
    <t>545.83亿</t>
  </si>
  <si>
    <t>85.52亿</t>
  </si>
  <si>
    <t>328.97亿</t>
  </si>
  <si>
    <t>219.88亿</t>
  </si>
  <si>
    <t>52.80亿</t>
  </si>
  <si>
    <t>25.58亿</t>
  </si>
  <si>
    <t>SH601865</t>
  </si>
  <si>
    <t>福莱特</t>
  </si>
  <si>
    <t>62.60亿</t>
  </si>
  <si>
    <t>SH603185</t>
  </si>
  <si>
    <t>SH603212</t>
  </si>
  <si>
    <t>赛伍技术</t>
  </si>
  <si>
    <t>21.35亿</t>
  </si>
  <si>
    <t>19.31亿</t>
  </si>
  <si>
    <t>SH603396</t>
  </si>
  <si>
    <t>金辰股份</t>
  </si>
  <si>
    <t>8255.96万</t>
  </si>
  <si>
    <t>6013.83万</t>
  </si>
  <si>
    <t>8479.92万</t>
  </si>
  <si>
    <t>SH603628</t>
  </si>
  <si>
    <t>清源股份</t>
  </si>
  <si>
    <t>9.00亿</t>
  </si>
  <si>
    <t>6842.52万</t>
  </si>
  <si>
    <t>9.61亿</t>
  </si>
  <si>
    <t>-5625.53万</t>
  </si>
  <si>
    <t>2486.86万</t>
  </si>
  <si>
    <t>SH603806</t>
  </si>
  <si>
    <t>福斯特</t>
  </si>
  <si>
    <t>83.93亿</t>
  </si>
  <si>
    <t>63.78亿</t>
  </si>
  <si>
    <t>48.10亿</t>
  </si>
  <si>
    <t>SH688303</t>
  </si>
  <si>
    <t>46.64亿</t>
  </si>
  <si>
    <t>24.26亿</t>
  </si>
  <si>
    <t>SH688390</t>
  </si>
  <si>
    <t>固德威</t>
  </si>
  <si>
    <t>15.89亿</t>
  </si>
  <si>
    <t>5604.07万</t>
  </si>
  <si>
    <t>SH688408</t>
  </si>
  <si>
    <t>中信博</t>
  </si>
  <si>
    <t>31.29亿</t>
  </si>
  <si>
    <t>22.82亿</t>
  </si>
  <si>
    <t>9724.24万</t>
  </si>
  <si>
    <t>SH688516</t>
  </si>
  <si>
    <t>奥特维</t>
  </si>
  <si>
    <t>7342.99万</t>
  </si>
  <si>
    <t>5051.51万</t>
  </si>
  <si>
    <t>SH688556</t>
  </si>
  <si>
    <t>高测股份</t>
  </si>
  <si>
    <t>5886.39万</t>
  </si>
  <si>
    <t>3202.11万</t>
  </si>
  <si>
    <t>5353.31万</t>
  </si>
  <si>
    <t>SH688560</t>
  </si>
  <si>
    <t>明冠新材</t>
  </si>
  <si>
    <t>9.19亿</t>
  </si>
  <si>
    <t>9.46亿</t>
  </si>
  <si>
    <t>8849.51万</t>
  </si>
  <si>
    <t>SH688598</t>
  </si>
  <si>
    <t>7767.25万</t>
  </si>
  <si>
    <t>5391.39万</t>
  </si>
  <si>
    <t>SH688599</t>
  </si>
  <si>
    <t>天合光能</t>
  </si>
  <si>
    <t>294.18亿</t>
  </si>
  <si>
    <t>12.29亿</t>
  </si>
  <si>
    <t>233.22亿</t>
  </si>
  <si>
    <t>250.54亿</t>
  </si>
  <si>
    <t>SH688680</t>
  </si>
  <si>
    <t>海优新材</t>
  </si>
  <si>
    <t>14.81亿</t>
  </si>
  <si>
    <t>7.15亿</t>
  </si>
  <si>
    <t>6688.05万</t>
  </si>
  <si>
    <t>2761.60万</t>
  </si>
  <si>
    <t>9.70亿</t>
  </si>
  <si>
    <t>15.90亿</t>
  </si>
  <si>
    <t>7.38亿</t>
  </si>
  <si>
    <t>33.12亿</t>
  </si>
  <si>
    <t>-1.13亿</t>
  </si>
  <si>
    <t>25.47亿</t>
  </si>
  <si>
    <t>29.82亿</t>
  </si>
  <si>
    <t>74.40亿</t>
  </si>
  <si>
    <t>44.75亿</t>
  </si>
  <si>
    <t>8.20亿</t>
  </si>
  <si>
    <t>11.72亿</t>
  </si>
  <si>
    <t>14.33亿</t>
  </si>
  <si>
    <t>21.91亿</t>
  </si>
  <si>
    <t>8.27亿</t>
  </si>
  <si>
    <t>-2.81亿</t>
  </si>
  <si>
    <t>33.15亿</t>
  </si>
  <si>
    <t>14.34亿</t>
  </si>
  <si>
    <t>19.36亿</t>
  </si>
  <si>
    <t>1.单多晶光伏电池，银浆成本在10%~11%；HIT电池银浆成本在24%；</t>
    <phoneticPr fontId="1" type="noConversion"/>
  </si>
  <si>
    <t>代码</t>
  </si>
  <si>
    <t>1.3季度营收单季增速51%，利润增速166%；期待是享受光伏自动设备的增速；</t>
    <phoneticPr fontId="1" type="noConversion"/>
  </si>
  <si>
    <t>1. 毛利不太高，导致利润率也不高。</t>
    <phoneticPr fontId="1" type="noConversion"/>
  </si>
  <si>
    <t>1.前瞻布局HJT高效电池设备产品;HJT工艺步骤分为“制绒清洗、非晶硅薄膜沉积、TCO膜沉积、电极金属化”四大步骤，对应的设备分别为制绒清洗设备、PECVD设备（非晶硅薄膜沉积目前通常采用PECVD法制备）、PVD设备、丝网印刷设备。</t>
    <phoneticPr fontId="1" type="noConversion"/>
  </si>
  <si>
    <t>1.公司独特的产业链条为国内首创，且目前国内无完全相同的产业链布局，产业链条长，抗风险能力强；公司产品结构丰富，并持续优化生产工艺与产品结构，现有产品布局大多为国内同类型产品的高端料或高毛利产品，公司主要产品EVA光伏料、EVA电线电缆料、聚丙烯薄壁注塑专用料、环氧乙烷衍生物等产品品质均在国内同行业处于领先水平；2.根据第三方资讯公司数据，2019年公司EVA电线电缆料国内市场占有率第一；</t>
    <phoneticPr fontId="1" type="noConversion"/>
  </si>
  <si>
    <t>1.长期以来国内EVA约60%需要进口；光伏胶膜和高端电线电缆等需求增长将成为拉动EVA消费的主要动力。</t>
    <phoneticPr fontId="1" type="noConversion"/>
  </si>
  <si>
    <t>涨幅%</t>
  </si>
  <si>
    <t>流通股本</t>
  </si>
  <si>
    <t>投入资本回报率roic%[20201231]</t>
  </si>
  <si>
    <t>净资产收益率%[20201231]</t>
  </si>
  <si>
    <t>亏损</t>
  </si>
  <si>
    <t>扭亏</t>
  </si>
  <si>
    <t>17.66亿</t>
  </si>
  <si>
    <t>24.83亿</t>
  </si>
  <si>
    <t>5380.57万</t>
  </si>
  <si>
    <t>-5.15亿</t>
  </si>
  <si>
    <t>30.19亿</t>
  </si>
  <si>
    <t>1715.48万</t>
  </si>
  <si>
    <t>20.47亿</t>
  </si>
  <si>
    <t>SZ002865</t>
  </si>
  <si>
    <t>钧达股份</t>
  </si>
  <si>
    <t>1354.64万</t>
  </si>
  <si>
    <t>1722.71万</t>
  </si>
  <si>
    <t>4183.17万</t>
  </si>
  <si>
    <t>15.83亿</t>
  </si>
  <si>
    <t>39.74亿</t>
  </si>
  <si>
    <t>-5178.41万</t>
  </si>
  <si>
    <t>7.36亿</t>
  </si>
  <si>
    <t>25.31亿</t>
  </si>
  <si>
    <t>7.95亿</t>
  </si>
  <si>
    <t>SZ301168</t>
  </si>
  <si>
    <t>通灵股份</t>
  </si>
  <si>
    <t>9638.03万</t>
  </si>
  <si>
    <t>186.47万</t>
  </si>
  <si>
    <t>5.51亿</t>
  </si>
  <si>
    <t>33.81亿</t>
  </si>
  <si>
    <t>4.78亿</t>
  </si>
  <si>
    <t>-3.13亿</t>
  </si>
  <si>
    <t>15.17亿</t>
  </si>
  <si>
    <t>SH688032</t>
  </si>
  <si>
    <t>禾迈股份</t>
  </si>
  <si>
    <t>8053.80万</t>
  </si>
  <si>
    <t>1586.02万</t>
  </si>
  <si>
    <t>13.38亿</t>
  </si>
  <si>
    <t>SH688223</t>
  </si>
  <si>
    <t>晶科能源</t>
  </si>
  <si>
    <t>336.60亿</t>
  </si>
  <si>
    <t>10.42亿</t>
  </si>
  <si>
    <t>294.90亿</t>
  </si>
  <si>
    <t>245.09亿</t>
  </si>
  <si>
    <t>金博股份</t>
  </si>
  <si>
    <t>20.32亿</t>
  </si>
  <si>
    <t>光伏设备</t>
  </si>
  <si>
    <t>公司主营业务为精密机床与单晶硅材料的研发、生产和销售。公司主要产品为光伏专用设备、蓝宝石专用设备、通用磨床。2019 年，公司在巩固和拓展高端智能化装备制造业务的基础上，通过全资子公司弘元新材进
一步拓展光伏单晶硅生产业务，致力于打造“高端装备+核心材料”的双轮驱动模式，不断完善公司在太阳能光伏产业链的布局。
2021H1:
单晶硅产品分部 34.93亿 97.37% 96.25% 30.61%
高硬脆加工设备分部 4.38亿 12.20% 4.75% 12.06%
其他业务 1292.87万 0.36% 0.07% 6.37%</t>
    <phoneticPr fontId="1" type="noConversion"/>
  </si>
  <si>
    <t>净利润[20201231]</t>
  </si>
  <si>
    <t>20.66亿</t>
  </si>
  <si>
    <t>40.86亿</t>
  </si>
  <si>
    <t>10.58亿</t>
  </si>
  <si>
    <t>3.12亿</t>
  </si>
  <si>
    <t>411.05亿</t>
  </si>
  <si>
    <t>40.30亿</t>
  </si>
  <si>
    <t>6.81亿</t>
  </si>
  <si>
    <t>14.24亿</t>
  </si>
  <si>
    <t>11.41亿</t>
  </si>
  <si>
    <t>15.32亿</t>
  </si>
  <si>
    <t>4.85亿</t>
  </si>
  <si>
    <t>28.63亿</t>
  </si>
  <si>
    <t>18.19亿</t>
  </si>
  <si>
    <t>413.02亿</t>
  </si>
  <si>
    <t>47.01亿</t>
  </si>
  <si>
    <t>-19.83亿</t>
  </si>
  <si>
    <t>4.61亿</t>
  </si>
  <si>
    <t>20.91亿</t>
  </si>
  <si>
    <t>-4.06亿</t>
  </si>
  <si>
    <t>5399.90万</t>
  </si>
  <si>
    <t>5.27亿</t>
  </si>
  <si>
    <t>22.53亿</t>
  </si>
  <si>
    <t>24.47亿</t>
  </si>
  <si>
    <t>-1.79亿</t>
  </si>
  <si>
    <t>75.81亿</t>
  </si>
  <si>
    <t>12.39亿</t>
  </si>
  <si>
    <t>10.02亿</t>
  </si>
  <si>
    <t>57.78亿</t>
  </si>
  <si>
    <t>188.31亿</t>
  </si>
  <si>
    <t>-4231.87万</t>
  </si>
  <si>
    <t>17.11亿</t>
  </si>
  <si>
    <t>11.64亿</t>
  </si>
  <si>
    <t>10.18亿</t>
  </si>
  <si>
    <t>241.37亿</t>
  </si>
  <si>
    <t>59.61亿</t>
  </si>
  <si>
    <t>17.12亿</t>
  </si>
  <si>
    <t>58.20亿</t>
  </si>
  <si>
    <t>27.10亿</t>
  </si>
  <si>
    <t>4.89亿</t>
  </si>
  <si>
    <t>11.50亿</t>
  </si>
  <si>
    <t>50.47亿</t>
  </si>
  <si>
    <t>30.95亿</t>
  </si>
  <si>
    <t>5890.90万</t>
  </si>
  <si>
    <t>28.14亿</t>
  </si>
  <si>
    <t>7975.54万</t>
  </si>
  <si>
    <t>-1.62亿</t>
  </si>
  <si>
    <t>11.27亿</t>
  </si>
  <si>
    <t>-1.27亿</t>
  </si>
  <si>
    <t>40.83亿</t>
  </si>
  <si>
    <t>-6.03亿</t>
  </si>
  <si>
    <t>108.32亿</t>
  </si>
  <si>
    <t>154.71亿</t>
  </si>
  <si>
    <t>-1.26亿</t>
  </si>
  <si>
    <t>90.86亿</t>
  </si>
  <si>
    <t>31.05亿</t>
  </si>
  <si>
    <t>87.13亿</t>
  </si>
  <si>
    <t>21.20亿</t>
  </si>
  <si>
    <t>109.15亿</t>
  </si>
  <si>
    <t>16.10亿</t>
  </si>
  <si>
    <t>6081.10万</t>
  </si>
  <si>
    <t>4736.97万</t>
  </si>
  <si>
    <t>128.58亿</t>
  </si>
  <si>
    <t>21.97亿</t>
  </si>
  <si>
    <t>14.42亿</t>
  </si>
  <si>
    <t>405.70亿</t>
  </si>
  <si>
    <t>57.24亿</t>
  </si>
  <si>
    <t>26.78亿</t>
  </si>
  <si>
    <t>24.15亿</t>
  </si>
  <si>
    <t>1503.23万</t>
  </si>
  <si>
    <t>12.89亿</t>
  </si>
  <si>
    <t>35.00亿</t>
  </si>
  <si>
    <t>444.80亿</t>
  </si>
  <si>
    <t>18.04亿</t>
  </si>
  <si>
    <t xml:space="preserve">    名称</t>
  </si>
  <si>
    <t>净利润?</t>
  </si>
  <si>
    <t>投入资本回报率roic%[20211231]</t>
  </si>
  <si>
    <t>净资产收益率%[20211231]</t>
  </si>
  <si>
    <t/>
  </si>
  <si>
    <t>6.64亿</t>
  </si>
  <si>
    <t>-1.04亿</t>
  </si>
  <si>
    <t>10.47亿</t>
  </si>
  <si>
    <t>3000.00万</t>
  </si>
  <si>
    <t>-2.02亿</t>
  </si>
  <si>
    <t>10.80亿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</si>
  <si>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</si>
  <si>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</si>
  <si>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</si>
  <si>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</si>
  <si>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</si>
  <si>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</si>
  <si>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</si>
  <si>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</si>
  <si>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</si>
  <si>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</si>
  <si>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</si>
  <si>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</si>
  <si>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</si>
  <si>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</si>
  <si>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</si>
  <si>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</si>
  <si>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</si>
  <si>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</si>
  <si>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</si>
  <si>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</si>
  <si>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</si>
  <si>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</si>
  <si>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TCL中环</t>
  </si>
  <si>
    <t>7.86亿</t>
  </si>
  <si>
    <t>13.63亿</t>
  </si>
  <si>
    <t>16.57亿</t>
  </si>
  <si>
    <t>SZ301266</t>
  </si>
  <si>
    <t>宇邦新材</t>
  </si>
  <si>
    <t>7728.15万</t>
  </si>
  <si>
    <t>7904.80万</t>
  </si>
  <si>
    <t>4903.11万</t>
  </si>
  <si>
    <t>3325.69万</t>
  </si>
  <si>
    <t>7.97亿</t>
  </si>
  <si>
    <t>SH688348</t>
  </si>
  <si>
    <t>昱能科技</t>
  </si>
  <si>
    <t>7681.35万</t>
  </si>
  <si>
    <t>2156.35万</t>
  </si>
  <si>
    <t>1262.95万</t>
  </si>
  <si>
    <t>6.28亿</t>
  </si>
  <si>
    <t>25.79亿</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</si>
  <si>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</si>
  <si>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</si>
  <si>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t>1.境外收入占比97.58%</t>
    <phoneticPr fontId="1" type="noConversion"/>
  </si>
  <si>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</si>
  <si>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15.92亿</t>
  </si>
  <si>
    <t>细分行业</t>
  </si>
  <si>
    <t>5.70亿</t>
  </si>
  <si>
    <t>4.92亿</t>
  </si>
  <si>
    <t>36.00亿</t>
  </si>
  <si>
    <t>7.50亿</t>
  </si>
  <si>
    <t>-2.47亿</t>
  </si>
  <si>
    <t>13.14亿</t>
  </si>
  <si>
    <t>-1.31亿</t>
  </si>
  <si>
    <t>13.78亿</t>
  </si>
  <si>
    <t>21.61亿</t>
  </si>
  <si>
    <t>35.40亿</t>
  </si>
  <si>
    <t>11.70亿</t>
  </si>
  <si>
    <t>12.61亿</t>
  </si>
  <si>
    <t>6.18亿</t>
  </si>
  <si>
    <t>SZ301278</t>
  </si>
  <si>
    <t>快可电子</t>
  </si>
  <si>
    <t>6485.10万</t>
  </si>
  <si>
    <t>6372.66万</t>
  </si>
  <si>
    <t>4149.21万</t>
  </si>
  <si>
    <t>3101.54万</t>
  </si>
  <si>
    <t>2.92亿</t>
  </si>
  <si>
    <t>-1.11亿</t>
  </si>
  <si>
    <t>5.79亿</t>
  </si>
  <si>
    <t>-1.61亿</t>
  </si>
  <si>
    <t>9393.57万</t>
  </si>
  <si>
    <t>9.94亿</t>
  </si>
  <si>
    <t>6.91亿</t>
  </si>
  <si>
    <t>1.。公司还全新推出两款家用储能锂电池可以与公司双向储能逆变器搭配使用，组成“光伏+储能”系统，实现家庭电力的自发自用，让家庭永不断电；</t>
    <phoneticPr fontId="1" type="noConversion"/>
  </si>
  <si>
    <t>1.随着长治高测、壶关高测在建的金刚线产业化项目的陆续投产，公司与美畅新材的产能规模差距将逐步减小；2.高测股份同时研发、生产和销售高硬脆材料切割设备及切割耗材，切割设备和切割耗材业务协同发展。这在行业中，属于独一份</t>
    <phoneticPr fontId="1" type="noConversion"/>
  </si>
  <si>
    <t>1.POE胶膜或共挤型POE胶膜以相对优异的抗PID性能，有望率先为TOPCON组件配套并用量不断增长。公司同步推进符合TOPCCON技术要求的POE胶膜和共挤型POE胶膜在客户的导入和认证进程</t>
    <phoneticPr fontId="1" type="noConversion"/>
  </si>
  <si>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phoneticPr fontId="1" type="noConversion"/>
  </si>
  <si>
    <t>11.57亿</t>
  </si>
  <si>
    <t>SZ001269</t>
  </si>
  <si>
    <t>8505.95万</t>
  </si>
  <si>
    <t>5856.78万</t>
  </si>
  <si>
    <t>5001.67万</t>
  </si>
  <si>
    <t>14.50亿</t>
  </si>
  <si>
    <t>欧晶科技</t>
  </si>
  <si>
    <t>12.48亿</t>
  </si>
  <si>
    <t>6.49亿</t>
  </si>
  <si>
    <t>11.00亿</t>
  </si>
  <si>
    <t>-2.69亿</t>
  </si>
  <si>
    <t>21.23亿</t>
  </si>
  <si>
    <t>19.57亿</t>
  </si>
  <si>
    <t>13.24亿</t>
  </si>
  <si>
    <t>-1.67亿</t>
  </si>
  <si>
    <t>-2.29亿</t>
  </si>
  <si>
    <t>30.33亿</t>
  </si>
  <si>
    <t>16.91亿</t>
  </si>
  <si>
    <t>9.86亿</t>
  </si>
  <si>
    <t>15.79亿</t>
  </si>
  <si>
    <t>10.60亿</t>
  </si>
  <si>
    <t>12.49亿</t>
  </si>
  <si>
    <t>13.23亿</t>
  </si>
  <si>
    <t>10派1元(含税)</t>
  </si>
  <si>
    <t>不分配不转增</t>
  </si>
  <si>
    <t>20.72亿</t>
  </si>
  <si>
    <t>10派0.8元(含税)</t>
  </si>
  <si>
    <t>10派2元(含税)</t>
  </si>
  <si>
    <t>10派0.25元(含税)</t>
  </si>
  <si>
    <t>10派0.2元(含税)</t>
  </si>
  <si>
    <t>10派3.5元(含税)</t>
  </si>
  <si>
    <t>10.28亿</t>
  </si>
  <si>
    <t>10派3元(含税)</t>
  </si>
  <si>
    <t>10派1.2元(含税)</t>
  </si>
  <si>
    <t>10派5元(含税)</t>
  </si>
  <si>
    <t>498.58万</t>
  </si>
  <si>
    <t>6.11亿</t>
  </si>
  <si>
    <t>10派0.45元(含税)</t>
  </si>
  <si>
    <t>SH688503</t>
  </si>
  <si>
    <t>50.84亿</t>
  </si>
  <si>
    <t>25.03亿</t>
  </si>
  <si>
    <t>7077.61万</t>
  </si>
  <si>
    <t>1-0</t>
  </si>
  <si>
    <t>-1-0</t>
  </si>
  <si>
    <t>1-1</t>
  </si>
  <si>
    <t>SH688147</t>
  </si>
  <si>
    <t>微导纳米</t>
  </si>
  <si>
    <t>4611.37万</t>
  </si>
  <si>
    <t>4191.06万</t>
  </si>
  <si>
    <t>5701.44万</t>
  </si>
  <si>
    <t>5455.11万</t>
  </si>
  <si>
    <t>-2827.47万</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</si>
  <si>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</si>
  <si>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-1-1</t>
  </si>
  <si>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</si>
  <si>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 截至 2020 年，公司合同负债 33.25 亿元，同比增长 51.08%，21Q1 合同负债达到 37.36 亿元，同比上涨 58.46%</t>
    <phoneticPr fontId="1" type="noConversion"/>
  </si>
  <si>
    <t>2-0</t>
  </si>
  <si>
    <t>-2-0</t>
  </si>
  <si>
    <t>2-1</t>
  </si>
  <si>
    <t>-2-1</t>
  </si>
  <si>
    <t>1.全球新增光伏装机量是判断光伏行业产业链各环节产量和销量的重要指标，需关注是否有限制；2.，光伏切割本身市场规模小，不过几十亿的盘子，天花板有限，金刚线切片机渗透率已经100%，难以有爆发式增长。目前市场空间较为稳定，增速放缓。3.对手市占率：美畅新材（外40.7%内50.8%），高测股份（外10.5%内13.1%）东尼电子（外2.8%内3.5%）岱勒新材（外6.2%内7.8%）三超新材（外3.6%内4.6%）</t>
    <phoneticPr fontId="1" type="noConversion"/>
  </si>
  <si>
    <t>9.44亿</t>
  </si>
  <si>
    <t>29.24亿</t>
  </si>
  <si>
    <t>48.68亿</t>
  </si>
  <si>
    <t>15.98亿</t>
  </si>
  <si>
    <t>10.98亿</t>
  </si>
  <si>
    <t>29.04亿</t>
  </si>
  <si>
    <t>21.00亿</t>
  </si>
  <si>
    <t>670.10亿</t>
  </si>
  <si>
    <t>68.19亿</t>
  </si>
  <si>
    <t>-2.10亿</t>
  </si>
  <si>
    <t>6888.13万</t>
  </si>
  <si>
    <t>7898.54万</t>
  </si>
  <si>
    <t>5.64亿</t>
  </si>
  <si>
    <t>16.09亿</t>
  </si>
  <si>
    <t>729.89亿</t>
  </si>
  <si>
    <t>83.54亿</t>
  </si>
  <si>
    <t>67.38亿</t>
  </si>
  <si>
    <t>3.00亿</t>
  </si>
  <si>
    <t>23.55亿</t>
  </si>
  <si>
    <t>10派0.38元(含税)</t>
  </si>
  <si>
    <t>66.91亿</t>
  </si>
  <si>
    <t>31.68亿</t>
  </si>
  <si>
    <t>8359.34万</t>
  </si>
  <si>
    <t>9.31亿</t>
  </si>
  <si>
    <t>10派2.7元(含税)</t>
  </si>
  <si>
    <t>115.95亿</t>
  </si>
  <si>
    <t>10派1.7元(含税)</t>
  </si>
  <si>
    <t>81.57亿</t>
  </si>
  <si>
    <t>112.45亿</t>
  </si>
  <si>
    <t>SZ300093</t>
  </si>
  <si>
    <t>金刚光伏</t>
  </si>
  <si>
    <t>-8824.07万</t>
  </si>
  <si>
    <t>1265.34万</t>
  </si>
  <si>
    <t>293.85亿</t>
  </si>
  <si>
    <t>-1692.80万</t>
  </si>
  <si>
    <t>-7102.94万</t>
  </si>
  <si>
    <t>402.57亿</t>
  </si>
  <si>
    <t>35.93亿</t>
  </si>
  <si>
    <t>21.11亿</t>
  </si>
  <si>
    <t>106.38亿</t>
  </si>
  <si>
    <t>9.18亿</t>
  </si>
  <si>
    <t>95.77亿</t>
  </si>
  <si>
    <t>19.14亿</t>
  </si>
  <si>
    <t>41.44亿</t>
  </si>
  <si>
    <t>10派0.85元(含税)</t>
  </si>
  <si>
    <t>60.05亿</t>
  </si>
  <si>
    <t>41.48亿</t>
  </si>
  <si>
    <t>58.90亿</t>
  </si>
  <si>
    <t>8156.49万</t>
  </si>
  <si>
    <t>-1.98亿</t>
  </si>
  <si>
    <t>37.67亿</t>
  </si>
  <si>
    <t>10派7元(含税)</t>
  </si>
  <si>
    <t>70.68亿</t>
  </si>
  <si>
    <t>88.04亿</t>
  </si>
  <si>
    <t>1424.23亿</t>
  </si>
  <si>
    <t>648.30亿</t>
  </si>
  <si>
    <t>81.09亿</t>
  </si>
  <si>
    <t>37.03亿</t>
  </si>
  <si>
    <t>SH600481</t>
  </si>
  <si>
    <t>双良节能</t>
  </si>
  <si>
    <t>144.76亿</t>
  </si>
  <si>
    <t>38.30亿</t>
  </si>
  <si>
    <t>25.05亿</t>
  </si>
  <si>
    <t>34.46亿</t>
  </si>
  <si>
    <t>350.75亿</t>
  </si>
  <si>
    <t>216.80亿</t>
  </si>
  <si>
    <t>凯盛新能</t>
  </si>
  <si>
    <t>50.30亿</t>
  </si>
  <si>
    <t>36.26亿</t>
  </si>
  <si>
    <t>1289.98亿</t>
  </si>
  <si>
    <t>148.12亿</t>
  </si>
  <si>
    <t>806.08亿</t>
  </si>
  <si>
    <t>154.61亿</t>
  </si>
  <si>
    <t>219.09亿</t>
  </si>
  <si>
    <t>41.15亿</t>
  </si>
  <si>
    <t>SH603398</t>
  </si>
  <si>
    <t>沐邦高科</t>
  </si>
  <si>
    <t>-1.38亿</t>
  </si>
  <si>
    <t>3992.01万</t>
  </si>
  <si>
    <t>7587.14万</t>
  </si>
  <si>
    <t>4213.12万</t>
  </si>
  <si>
    <t>9.97亿</t>
  </si>
  <si>
    <t>188.77亿</t>
  </si>
  <si>
    <t>SH605117</t>
  </si>
  <si>
    <t>德业股份</t>
  </si>
  <si>
    <t>59.56亿</t>
  </si>
  <si>
    <t>25.70亿</t>
  </si>
  <si>
    <t>5415.05万</t>
  </si>
  <si>
    <t>18.05亿</t>
  </si>
  <si>
    <t>826.76亿</t>
  </si>
  <si>
    <t>10派1.38元(含税)</t>
  </si>
  <si>
    <t>309.40亿</t>
  </si>
  <si>
    <t>191.21亿</t>
  </si>
  <si>
    <t>47.10亿</t>
  </si>
  <si>
    <t>10转4股派10元(含税)</t>
  </si>
  <si>
    <t>4443.09万</t>
  </si>
  <si>
    <t>聚和材料</t>
  </si>
  <si>
    <t>65.04亿</t>
  </si>
  <si>
    <t>35.71亿</t>
  </si>
  <si>
    <t>850.52亿</t>
  </si>
  <si>
    <t>53.07亿</t>
  </si>
  <si>
    <t>5009.34万</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</si>
  <si>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</si>
  <si>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</si>
  <si>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</si>
  <si>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</si>
  <si>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</si>
  <si>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</si>
  <si>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</si>
  <si>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</si>
  <si>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</si>
  <si>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</si>
  <si>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</si>
  <si>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</si>
  <si>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</si>
  <si>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</si>
  <si>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</si>
  <si>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</si>
  <si>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</si>
  <si>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</si>
  <si>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</si>
  <si>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</si>
  <si>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</si>
  <si>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</si>
  <si>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</si>
  <si>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</si>
  <si>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</si>
  <si>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</si>
  <si>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</si>
  <si>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</si>
  <si>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</si>
  <si>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</si>
  <si>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</si>
  <si>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</si>
  <si>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</si>
  <si>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</si>
  <si>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</si>
  <si>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</si>
  <si>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</si>
  <si>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</si>
  <si>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</si>
  <si>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</si>
  <si>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</si>
  <si>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</si>
  <si>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</si>
  <si>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</si>
  <si>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</si>
  <si>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</si>
  <si>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</si>
  <si>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</si>
  <si>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</si>
  <si>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</si>
  <si>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</si>
  <si>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</si>
  <si>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</si>
  <si>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</si>
  <si>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</si>
  <si>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</si>
  <si>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</si>
  <si>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</si>
  <si>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</si>
  <si>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</si>
  <si>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</si>
  <si>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</si>
  <si>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</si>
  <si>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</si>
  <si>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</si>
  <si>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</si>
  <si>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</si>
  <si>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</si>
  <si>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</si>
  <si>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</si>
  <si>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</si>
  <si>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</si>
  <si>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</si>
  <si>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</si>
  <si>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</si>
  <si>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</si>
  <si>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</si>
  <si>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</si>
  <si>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</si>
  <si>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</si>
  <si>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</si>
  <si>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</si>
  <si>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</si>
  <si>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</si>
  <si>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</si>
  <si>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</si>
  <si>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</si>
  <si>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</si>
  <si>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</si>
  <si>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10.67亿</t>
  </si>
  <si>
    <t>25.14亿</t>
  </si>
  <si>
    <t>9.87亿</t>
  </si>
  <si>
    <t>12.86亿</t>
  </si>
  <si>
    <t>81.06亿</t>
  </si>
  <si>
    <t>-2.32亿</t>
  </si>
  <si>
    <t>14.79亿</t>
  </si>
  <si>
    <t>11.67亿</t>
  </si>
  <si>
    <t>21.57亿</t>
  </si>
  <si>
    <t>16.80亿</t>
  </si>
  <si>
    <t>16.13亿</t>
  </si>
  <si>
    <t>14.61亿</t>
  </si>
  <si>
    <t>14.55亿</t>
  </si>
  <si>
    <t>7.23亿</t>
  </si>
  <si>
    <t>15.08亿</t>
  </si>
  <si>
    <t>12.37亿</t>
  </si>
  <si>
    <t>14.02亿</t>
  </si>
  <si>
    <t>-2.11亿</t>
  </si>
  <si>
    <t>11.96亿</t>
  </si>
  <si>
    <t>SH688033</t>
  </si>
  <si>
    <t>天宜上佳</t>
  </si>
  <si>
    <t>1.2022 年底实际产能可实现 40GW，在光伏单晶硅行业具备了一定的规模。</t>
    <phoneticPr fontId="1" type="noConversion"/>
  </si>
  <si>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</si>
  <si>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t>SZ002056</t>
  </si>
  <si>
    <t>横店东磁</t>
  </si>
  <si>
    <t>194.51亿</t>
  </si>
  <si>
    <t>16.69亿</t>
  </si>
  <si>
    <t>126.07亿</t>
  </si>
  <si>
    <t>65.64亿</t>
  </si>
  <si>
    <t>64.89亿</t>
  </si>
  <si>
    <t xml:space="preserve">
光伏电池片技术发展趋势：铝背场 BSF 电池（1 代）→PERC 电池（2 代）→PERC+/TOPCon（2.5 代）→HJT 电池（3 代）→HBC 电池（4 代，可能潜在方向）
</t>
    <phoneticPr fontId="1" type="noConversion"/>
  </si>
  <si>
    <t>1.银价上涨；2.光伏电池行业尽量降低银的使用量；3.因为行业的特性净现比差；4.海外四大银浆企业：贺利氏，杜邦，三星SDI，硕禾电子；国内四大银浆企业：帝科股份（国内13%市占），苏州固锝（国内10%市占），匡宇科技，常州聚合；</t>
    <phoneticPr fontId="1" type="noConversion"/>
  </si>
  <si>
    <r>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t>
    </r>
    <r>
      <rPr>
        <sz val="9"/>
        <color rgb="FFFF0000"/>
        <rFont val="宋体"/>
        <family val="3"/>
        <charset val="134"/>
        <scheme val="minor"/>
      </rPr>
      <t>公司打开了新的发展空间。新能源产业高速发展：2021年公司销售了4.8GW光伏和1.4亿支锂电</t>
    </r>
    <r>
      <rPr>
        <sz val="9"/>
        <color theme="1"/>
        <rFont val="宋体"/>
        <family val="2"/>
        <charset val="134"/>
        <scheme val="minor"/>
      </rPr>
      <t>，全年实现收入约74亿元，同比增长87%，占总营业收入的58.5%；3.</t>
    </r>
    <r>
      <rPr>
        <b/>
        <sz val="9"/>
        <color rgb="FFFF0000"/>
        <rFont val="宋体"/>
        <family val="3"/>
        <charset val="134"/>
        <scheme val="minor"/>
      </rPr>
      <t>光伏产品占了将近50%</t>
    </r>
    <r>
      <rPr>
        <sz val="9"/>
        <color theme="1"/>
        <rFont val="宋体"/>
        <family val="2"/>
        <charset val="134"/>
        <scheme val="minor"/>
      </rPr>
      <t>的利润；</t>
    </r>
    <phoneticPr fontId="1" type="noConversion"/>
  </si>
  <si>
    <t>1.境内外销售占比接近对半开；</t>
    <phoneticPr fontId="1" type="noConversion"/>
  </si>
  <si>
    <t>-3-0</t>
  </si>
  <si>
    <t>38.75亿</t>
  </si>
  <si>
    <t>30.29亿</t>
  </si>
  <si>
    <t>10.68亿</t>
  </si>
  <si>
    <t>3.95亿</t>
  </si>
  <si>
    <t>SH688429</t>
  </si>
  <si>
    <t>时创能源</t>
  </si>
  <si>
    <t>23.95亿</t>
  </si>
  <si>
    <t>9075.49万</t>
  </si>
  <si>
    <t>SH688472</t>
  </si>
  <si>
    <t>阿特斯</t>
  </si>
  <si>
    <t>475.36亿</t>
  </si>
  <si>
    <t>-3-1</t>
  </si>
  <si>
    <t>17.26亿</t>
  </si>
  <si>
    <t>13.27亿</t>
  </si>
  <si>
    <t>46.32亿</t>
  </si>
  <si>
    <t>12.88亿</t>
  </si>
  <si>
    <t>7.12亿</t>
  </si>
  <si>
    <t>-1.77亿</t>
  </si>
  <si>
    <t>10.11亿</t>
  </si>
  <si>
    <t>23.11亿</t>
  </si>
  <si>
    <t>10.65亿</t>
  </si>
  <si>
    <t>11.75亿</t>
  </si>
  <si>
    <t>900.00万</t>
  </si>
  <si>
    <t>8.52亿</t>
  </si>
  <si>
    <t>15.51亿</t>
  </si>
  <si>
    <t>27.99亿</t>
  </si>
  <si>
    <t>8.77亿</t>
  </si>
  <si>
    <t>-4.26亿</t>
  </si>
  <si>
    <t>13.60亿</t>
  </si>
  <si>
    <t>12.18亿</t>
  </si>
  <si>
    <t>15.76亿</t>
  </si>
  <si>
    <t>21.46亿</t>
  </si>
  <si>
    <t>32.61亿</t>
  </si>
  <si>
    <t>49.33亿</t>
  </si>
  <si>
    <t>10.49亿</t>
  </si>
  <si>
    <t>7.27亿</t>
  </si>
  <si>
    <t>15.55亿</t>
  </si>
  <si>
    <t>-2.63亿</t>
  </si>
  <si>
    <t>16.54亿</t>
  </si>
  <si>
    <t>33.84亿</t>
  </si>
  <si>
    <t>5.90亿</t>
  </si>
  <si>
    <t>11.30亿</t>
  </si>
  <si>
    <t>14.37亿</t>
  </si>
  <si>
    <t>40.51亿</t>
  </si>
  <si>
    <t>10.15亿</t>
  </si>
  <si>
    <t>7.82亿</t>
  </si>
  <si>
    <t>28.82亿</t>
  </si>
  <si>
    <t>13.54亿</t>
  </si>
  <si>
    <t>8.30亿</t>
  </si>
  <si>
    <t>13.09亿</t>
  </si>
  <si>
    <t>6.48亿</t>
  </si>
  <si>
    <t>17.89亿</t>
  </si>
  <si>
    <t>9.13亿</t>
  </si>
  <si>
    <t>16.16亿</t>
  </si>
  <si>
    <t>280.10亿</t>
  </si>
  <si>
    <t>232.79亿</t>
  </si>
  <si>
    <t>244.38亿</t>
  </si>
  <si>
    <t>3498.33万</t>
  </si>
  <si>
    <t>19.22亿</t>
  </si>
  <si>
    <t>17.68亿</t>
  </si>
  <si>
    <t>51.78亿</t>
  </si>
  <si>
    <t>9.07亿</t>
  </si>
  <si>
    <t>10.56亿</t>
  </si>
  <si>
    <t>-2.57亿</t>
  </si>
  <si>
    <t>46.12亿</t>
  </si>
  <si>
    <t>42.05亿</t>
  </si>
  <si>
    <t>19.47亿</t>
  </si>
  <si>
    <t>16.34亿</t>
  </si>
  <si>
    <t>32.09亿</t>
  </si>
  <si>
    <t>19.91亿</t>
  </si>
  <si>
    <t>22.18亿</t>
  </si>
  <si>
    <t>-2.04亿</t>
  </si>
  <si>
    <t>10.40亿</t>
  </si>
  <si>
    <t>19.64亿</t>
  </si>
  <si>
    <t>2288.17万</t>
  </si>
  <si>
    <t>29.39亿</t>
  </si>
  <si>
    <t>60.39亿</t>
  </si>
  <si>
    <t>38.33亿</t>
  </si>
  <si>
    <t>9.66亿</t>
  </si>
  <si>
    <t>24.76亿</t>
  </si>
  <si>
    <t>18.14亿</t>
  </si>
  <si>
    <t>29.47亿</t>
  </si>
  <si>
    <t>12.82亿</t>
  </si>
  <si>
    <t>21.01亿</t>
  </si>
  <si>
    <t>27.60亿</t>
  </si>
  <si>
    <t>11.34亿</t>
  </si>
  <si>
    <t>9.47亿</t>
  </si>
  <si>
    <t>11.46亿</t>
  </si>
  <si>
    <t>337650790亿</t>
  </si>
  <si>
    <t>19.81亿</t>
  </si>
  <si>
    <t>99.33亿</t>
  </si>
  <si>
    <t>14.80亿</t>
  </si>
  <si>
    <t>55.86亿</t>
  </si>
  <si>
    <t>SH603778</t>
  </si>
  <si>
    <t>-8044.91万</t>
  </si>
  <si>
    <t>1677.50万</t>
  </si>
  <si>
    <t>-624.88万</t>
  </si>
  <si>
    <t>18.85亿</t>
  </si>
  <si>
    <t>-2.62亿</t>
  </si>
  <si>
    <t>国晟科技</t>
  </si>
  <si>
    <t>SH688717</t>
  </si>
  <si>
    <t>艾罗能源</t>
  </si>
  <si>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</si>
  <si>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-4-1</t>
  </si>
  <si>
    <r>
      <t xml:space="preserve">
1.石英坩埚市场竞争格局清晰，除作为TCL中环、隆基股份供应商的</t>
    </r>
    <r>
      <rPr>
        <b/>
        <sz val="9"/>
        <color theme="1"/>
        <rFont val="宋体"/>
        <family val="3"/>
        <charset val="134"/>
        <scheme val="minor"/>
      </rPr>
      <t>欧晶科技、江阴龙源、宁夏晶隆</t>
    </r>
    <r>
      <rPr>
        <sz val="9"/>
        <color theme="1"/>
        <rFont val="宋体"/>
        <family val="3"/>
        <charset val="134"/>
        <scheme val="minor"/>
      </rPr>
      <t>因下游客户市占率高从而具有较高市场份额，其他坩埚企业规模总体较小。</t>
    </r>
    <phoneticPr fontId="1" type="noConversion"/>
  </si>
  <si>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</si>
  <si>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</si>
  <si>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</si>
  <si>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</si>
  <si>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</si>
  <si>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</si>
  <si>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</si>
  <si>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</si>
  <si>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</si>
  <si>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-6-1</t>
  </si>
  <si>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</si>
  <si>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</si>
  <si>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t>SZ300051</t>
  </si>
  <si>
    <t>琏升科技</t>
  </si>
  <si>
    <t>-2463.89万</t>
  </si>
  <si>
    <t>-6880.27万</t>
  </si>
  <si>
    <t>-3.46亿</t>
  </si>
  <si>
    <t>SZ002079</t>
  </si>
  <si>
    <t>苏州固锝</t>
  </si>
  <si>
    <t>32.68亿</t>
  </si>
  <si>
    <t>9037.66万</t>
  </si>
  <si>
    <t>9645.41万</t>
  </si>
  <si>
    <t>9455.05万</t>
  </si>
  <si>
    <t>SZ300345</t>
  </si>
  <si>
    <t>华民股份</t>
  </si>
  <si>
    <t>471.83万</t>
  </si>
  <si>
    <t>516.49万</t>
  </si>
  <si>
    <t>4796.95万</t>
  </si>
  <si>
    <t>-2.85亿</t>
  </si>
  <si>
    <t>24.56亿</t>
  </si>
  <si>
    <t>20.26亿</t>
  </si>
  <si>
    <t>92.18亿</t>
  </si>
  <si>
    <t>122.94亿</t>
  </si>
  <si>
    <t>72.14亿</t>
  </si>
  <si>
    <t>3284173亿</t>
  </si>
  <si>
    <t>122322503亿</t>
  </si>
  <si>
    <t>2517179100亿</t>
  </si>
  <si>
    <t>13144393300亿</t>
  </si>
  <si>
    <t>5337.04万</t>
  </si>
  <si>
    <t>10派0.87元(含税)</t>
  </si>
  <si>
    <t>53.21亿</t>
  </si>
  <si>
    <t>15.43亿</t>
  </si>
  <si>
    <t>17.29亿</t>
  </si>
  <si>
    <t>21.72亿</t>
  </si>
  <si>
    <t>-1024351亿</t>
  </si>
  <si>
    <t>19915301亿</t>
  </si>
  <si>
    <t>320008910亿</t>
  </si>
  <si>
    <t>2887238000亿</t>
  </si>
  <si>
    <t>5300.00万</t>
  </si>
  <si>
    <t>4.82亿</t>
  </si>
  <si>
    <t>10派12元(含税)</t>
  </si>
  <si>
    <t>120.07亿</t>
  </si>
  <si>
    <t>42.33亿</t>
  </si>
  <si>
    <t>197.21亿</t>
  </si>
  <si>
    <t>7224973亿</t>
  </si>
  <si>
    <t>334839400亿</t>
  </si>
  <si>
    <t>2972340900亿</t>
  </si>
  <si>
    <t>14764830000亿</t>
  </si>
  <si>
    <t>40.87亿</t>
  </si>
  <si>
    <t>3023767亿</t>
  </si>
  <si>
    <t>27337505亿</t>
  </si>
  <si>
    <t>1134861950亿</t>
  </si>
  <si>
    <t>2544553600亿</t>
  </si>
  <si>
    <t>12.44亿</t>
  </si>
  <si>
    <t>10派1.68元(含税)</t>
  </si>
  <si>
    <t>648.26亿</t>
  </si>
  <si>
    <t>591.46亿</t>
  </si>
  <si>
    <t>34.16亿</t>
  </si>
  <si>
    <t>-139195970亿</t>
  </si>
  <si>
    <t>-1038359260亿</t>
  </si>
  <si>
    <t>6457618800亿</t>
  </si>
  <si>
    <t>34545881000亿</t>
  </si>
  <si>
    <t>51.81亿</t>
  </si>
  <si>
    <t>176.19亿</t>
  </si>
  <si>
    <t>10派2.6元(含税)</t>
  </si>
  <si>
    <t>13.31亿</t>
  </si>
  <si>
    <t>22.65亿</t>
  </si>
  <si>
    <t>77.95亿</t>
  </si>
  <si>
    <t>2310.91万</t>
  </si>
  <si>
    <t>2302329亿</t>
  </si>
  <si>
    <t>-93980亿</t>
  </si>
  <si>
    <t>1249927710亿</t>
  </si>
  <si>
    <t>2720734500亿</t>
  </si>
  <si>
    <t>9624.40万</t>
  </si>
  <si>
    <t>1210.61万</t>
  </si>
  <si>
    <t>36.58亿</t>
  </si>
  <si>
    <t>-3.02亿</t>
  </si>
  <si>
    <t>45.10亿</t>
  </si>
  <si>
    <t>31.74亿</t>
  </si>
  <si>
    <t>11.94亿</t>
  </si>
  <si>
    <t>685.85亿</t>
  </si>
  <si>
    <t>159.71亿</t>
  </si>
  <si>
    <t>815.56亿</t>
  </si>
  <si>
    <t>70.39亿</t>
  </si>
  <si>
    <t>97941433亿</t>
  </si>
  <si>
    <t>-368835900亿</t>
  </si>
  <si>
    <t>9367269100亿</t>
  </si>
  <si>
    <t>51818652000亿</t>
  </si>
  <si>
    <t>55.34亿</t>
  </si>
  <si>
    <t>204.80亿</t>
  </si>
  <si>
    <t>25.82亿</t>
  </si>
  <si>
    <t>10派5.63元(含税)</t>
  </si>
  <si>
    <t>8.09亿</t>
  </si>
  <si>
    <t>166.86亿</t>
  </si>
  <si>
    <t>159.68亿</t>
  </si>
  <si>
    <t>-7836218亿</t>
  </si>
  <si>
    <t>15507161亿</t>
  </si>
  <si>
    <t>2039087500亿</t>
  </si>
  <si>
    <t>12260081800亿</t>
  </si>
  <si>
    <t>6510.83万</t>
  </si>
  <si>
    <t>2715.73万</t>
  </si>
  <si>
    <t>ST爱康</t>
  </si>
  <si>
    <t>81.10亿</t>
  </si>
  <si>
    <t>46.62亿</t>
  </si>
  <si>
    <t>-8.26亿</t>
  </si>
  <si>
    <t>-8837389亿</t>
  </si>
  <si>
    <t>-214846550亿</t>
  </si>
  <si>
    <t>1355996900亿</t>
  </si>
  <si>
    <t>5140326100亿</t>
  </si>
  <si>
    <t>26.54亿</t>
  </si>
  <si>
    <t>-8.33亿</t>
  </si>
  <si>
    <t>3259.35万</t>
  </si>
  <si>
    <t>36.28亿</t>
  </si>
  <si>
    <t>8350.87万</t>
  </si>
  <si>
    <t>6598262亿</t>
  </si>
  <si>
    <t>4731604亿</t>
  </si>
  <si>
    <t>886148980亿</t>
  </si>
  <si>
    <t>3351132600亿</t>
  </si>
  <si>
    <t>1564.18万</t>
  </si>
  <si>
    <t>15.36亿</t>
  </si>
  <si>
    <t>-1.32亿</t>
  </si>
  <si>
    <t>29.52亿</t>
  </si>
  <si>
    <t>23.54亿</t>
  </si>
  <si>
    <t>136.76亿</t>
  </si>
  <si>
    <t>37.14亿</t>
  </si>
  <si>
    <t>186.57亿</t>
  </si>
  <si>
    <t>8.16亿</t>
  </si>
  <si>
    <t>3896134亿</t>
  </si>
  <si>
    <t>-170901190亿</t>
  </si>
  <si>
    <t>39835407亿</t>
  </si>
  <si>
    <t>5578735100亿</t>
  </si>
  <si>
    <t>39.67亿</t>
  </si>
  <si>
    <t>10派7.461764元(含税)</t>
  </si>
  <si>
    <t>7.11亿</t>
  </si>
  <si>
    <t>-1.52亿</t>
  </si>
  <si>
    <t>91.95亿</t>
  </si>
  <si>
    <t>14.87亿</t>
  </si>
  <si>
    <t>67.78亿</t>
  </si>
  <si>
    <t>-53898亿</t>
  </si>
  <si>
    <t>5660405亿</t>
  </si>
  <si>
    <t>181262670亿</t>
  </si>
  <si>
    <t>5214555900亿</t>
  </si>
  <si>
    <t>19.93亿</t>
  </si>
  <si>
    <t>8.24亿</t>
  </si>
  <si>
    <t>6202.96万</t>
  </si>
  <si>
    <t>-3973.50万</t>
  </si>
  <si>
    <t>19262亿</t>
  </si>
  <si>
    <t>-28823321亿</t>
  </si>
  <si>
    <t>42599094亿</t>
  </si>
  <si>
    <t>418567140亿</t>
  </si>
  <si>
    <t>1002.00万</t>
  </si>
  <si>
    <t>-3221.19万</t>
  </si>
  <si>
    <t>4798.01万</t>
  </si>
  <si>
    <t>-277.75万</t>
  </si>
  <si>
    <t>13.30亿</t>
  </si>
  <si>
    <t>91.63亿</t>
  </si>
  <si>
    <t>98.84亿</t>
  </si>
  <si>
    <t>4606.38万</t>
  </si>
  <si>
    <t>123586亿</t>
  </si>
  <si>
    <t>-77519498亿</t>
  </si>
  <si>
    <t>1839890000亿</t>
  </si>
  <si>
    <t>9674590600亿</t>
  </si>
  <si>
    <t>4727.58万</t>
  </si>
  <si>
    <t>4423.12万</t>
  </si>
  <si>
    <t>-3.62亿</t>
  </si>
  <si>
    <t>-84158912亿</t>
  </si>
  <si>
    <t>31712671亿</t>
  </si>
  <si>
    <t>307881240亿</t>
  </si>
  <si>
    <t>-4318.32万</t>
  </si>
  <si>
    <t>390.19亿</t>
  </si>
  <si>
    <t>353.27亿</t>
  </si>
  <si>
    <t>33474396亿</t>
  </si>
  <si>
    <t>-337615000亿</t>
  </si>
  <si>
    <t>4596476500亿</t>
  </si>
  <si>
    <t>22252665000亿</t>
  </si>
  <si>
    <t>67.77亿</t>
  </si>
  <si>
    <t>ST聆达</t>
  </si>
  <si>
    <t>2839.94万</t>
  </si>
  <si>
    <t>-38223亿</t>
  </si>
  <si>
    <t>-43623846亿</t>
  </si>
  <si>
    <t>179228700亿</t>
  </si>
  <si>
    <t>348368910亿</t>
  </si>
  <si>
    <t>-675.12万</t>
  </si>
  <si>
    <t>534.22亿</t>
  </si>
  <si>
    <t>126.14亿</t>
  </si>
  <si>
    <t>722.51亿</t>
  </si>
  <si>
    <t>94.40亿</t>
  </si>
  <si>
    <t>74029692亿</t>
  </si>
  <si>
    <t>2083420900亿</t>
  </si>
  <si>
    <t>20053410000亿</t>
  </si>
  <si>
    <t>71131327000亿</t>
  </si>
  <si>
    <t>125.80亿</t>
  </si>
  <si>
    <t>10转4股派9.65元(含税)</t>
  </si>
  <si>
    <t>206.57亿</t>
  </si>
  <si>
    <t>179.83亿</t>
  </si>
  <si>
    <t>45.58亿</t>
  </si>
  <si>
    <t>-11434719亿</t>
  </si>
  <si>
    <t>1101831260亿</t>
  </si>
  <si>
    <t>2888452700亿</t>
  </si>
  <si>
    <t>26743346000亿</t>
  </si>
  <si>
    <t>6458亿</t>
  </si>
  <si>
    <t>-47902118亿</t>
  </si>
  <si>
    <t>128226606亿</t>
  </si>
  <si>
    <t>1154839580亿</t>
  </si>
  <si>
    <t>-3523.16万</t>
  </si>
  <si>
    <t>549.15万</t>
  </si>
  <si>
    <t>13.93亿</t>
  </si>
  <si>
    <t>118.73亿</t>
  </si>
  <si>
    <t>122.59亿</t>
  </si>
  <si>
    <t>32600178亿</t>
  </si>
  <si>
    <t>-193466260亿</t>
  </si>
  <si>
    <t>3191079700亿</t>
  </si>
  <si>
    <t>8091281300亿</t>
  </si>
  <si>
    <t>11.26亿</t>
  </si>
  <si>
    <t>-1.23亿</t>
  </si>
  <si>
    <t>11.54亿</t>
  </si>
  <si>
    <t>25.25亿</t>
  </si>
  <si>
    <t>42.35亿</t>
  </si>
  <si>
    <t>14.20亿</t>
  </si>
  <si>
    <t>303.82亿</t>
  </si>
  <si>
    <t>87.33亿</t>
  </si>
  <si>
    <t>14019635亿</t>
  </si>
  <si>
    <t>551351970亿</t>
  </si>
  <si>
    <t>3012980000亿</t>
  </si>
  <si>
    <t>37008573000亿</t>
  </si>
  <si>
    <t>161.60亿</t>
  </si>
  <si>
    <t>80.89亿</t>
  </si>
  <si>
    <t>7917333亿</t>
  </si>
  <si>
    <t>219921490亿</t>
  </si>
  <si>
    <t>2540846400亿</t>
  </si>
  <si>
    <t>19858148000亿</t>
  </si>
  <si>
    <t>10派11元(含税)</t>
  </si>
  <si>
    <t>138.36亿</t>
  </si>
  <si>
    <t>61.01亿</t>
  </si>
  <si>
    <t>2604381亿</t>
  </si>
  <si>
    <t>13616305亿</t>
  </si>
  <si>
    <t>1209917520亿</t>
  </si>
  <si>
    <t>4574747200亿</t>
  </si>
  <si>
    <t>17.31亿</t>
  </si>
  <si>
    <t>83.55亿</t>
  </si>
  <si>
    <t>37.98亿</t>
  </si>
  <si>
    <t>11.92亿</t>
  </si>
  <si>
    <t>45.00亿</t>
  </si>
  <si>
    <t>127343986亿</t>
  </si>
  <si>
    <t>813350420亿</t>
  </si>
  <si>
    <t>6223459100亿</t>
  </si>
  <si>
    <t>9348.92万</t>
  </si>
  <si>
    <t>128549亿</t>
  </si>
  <si>
    <t>46959702亿</t>
  </si>
  <si>
    <t>2175287300亿</t>
  </si>
  <si>
    <t>5499349300亿</t>
  </si>
  <si>
    <t>54.43亿</t>
  </si>
  <si>
    <t>36.44亿</t>
  </si>
  <si>
    <t>96.03亿</t>
  </si>
  <si>
    <t>-3460008亿</t>
  </si>
  <si>
    <t>194209540亿</t>
  </si>
  <si>
    <t>2893946200亿</t>
  </si>
  <si>
    <t>6984267000亿</t>
  </si>
  <si>
    <t>14.01亿</t>
  </si>
  <si>
    <t>-1724.30万</t>
  </si>
  <si>
    <t>10转4股派8元(含税)</t>
  </si>
  <si>
    <t>15.29亿</t>
  </si>
  <si>
    <t>15.45亿</t>
  </si>
  <si>
    <t>13.05亿</t>
  </si>
  <si>
    <t>34576亿</t>
  </si>
  <si>
    <t>32177383亿</t>
  </si>
  <si>
    <t>531405300亿</t>
  </si>
  <si>
    <t>2618941700亿</t>
  </si>
  <si>
    <t>27.62亿</t>
  </si>
  <si>
    <t>1115343亿</t>
  </si>
  <si>
    <t>28794548亿</t>
  </si>
  <si>
    <t>892514560亿</t>
  </si>
  <si>
    <t>3009353700亿</t>
  </si>
  <si>
    <t>840.00万</t>
  </si>
  <si>
    <t>12.85亿</t>
  </si>
  <si>
    <t>4793977亿</t>
  </si>
  <si>
    <t>35654420亿</t>
  </si>
  <si>
    <t>280688940亿</t>
  </si>
  <si>
    <t>1253561510亿</t>
  </si>
  <si>
    <t>18.84亿</t>
  </si>
  <si>
    <t>30.79亿</t>
  </si>
  <si>
    <t>29.90亿</t>
  </si>
  <si>
    <t>23.14亿</t>
  </si>
  <si>
    <t>36.97亿</t>
  </si>
  <si>
    <t>55.47亿</t>
  </si>
  <si>
    <t>92.26亿</t>
  </si>
  <si>
    <t>6499795亿</t>
  </si>
  <si>
    <t>-53440959亿</t>
  </si>
  <si>
    <t>1872303700亿</t>
  </si>
  <si>
    <t>5434414800亿</t>
  </si>
  <si>
    <t>51.96亿</t>
  </si>
  <si>
    <t>-1928.70万</t>
  </si>
  <si>
    <t>-258751亿</t>
  </si>
  <si>
    <t>-5791768亿</t>
  </si>
  <si>
    <t>968079950亿</t>
  </si>
  <si>
    <t>2826179300亿</t>
  </si>
  <si>
    <t>7745.34万</t>
  </si>
  <si>
    <t>59.19亿</t>
  </si>
  <si>
    <t>18.50亿</t>
  </si>
  <si>
    <t>905.34亿</t>
  </si>
  <si>
    <t>195.70亿</t>
  </si>
  <si>
    <t>1391.04亿</t>
  </si>
  <si>
    <t>135.74亿</t>
  </si>
  <si>
    <t>26200475亿</t>
  </si>
  <si>
    <t>-790179660亿</t>
  </si>
  <si>
    <t>5164946100亿</t>
  </si>
  <si>
    <t>70964865000亿</t>
  </si>
  <si>
    <t>257.34亿</t>
  </si>
  <si>
    <t>10派9.05元(含税)</t>
  </si>
  <si>
    <t>230.04亿</t>
  </si>
  <si>
    <t>42.48亿</t>
  </si>
  <si>
    <t>231.49亿</t>
  </si>
  <si>
    <t>-12516186亿</t>
  </si>
  <si>
    <t>-391478170亿</t>
  </si>
  <si>
    <t>1732709700亿</t>
  </si>
  <si>
    <t>14583728000亿</t>
  </si>
  <si>
    <t>22.57亿</t>
  </si>
  <si>
    <t>85.74亿</t>
  </si>
  <si>
    <t>81.02亿</t>
  </si>
  <si>
    <t>6759.26万</t>
  </si>
  <si>
    <t>-8589089亿</t>
  </si>
  <si>
    <t>1250539640亿</t>
  </si>
  <si>
    <t>4376260200亿</t>
  </si>
  <si>
    <t>25.06亿</t>
  </si>
  <si>
    <t>98.76亿</t>
  </si>
  <si>
    <t>59.29亿</t>
  </si>
  <si>
    <t>253.16亿</t>
  </si>
  <si>
    <t>271.70亿</t>
  </si>
  <si>
    <t>-22750772亿</t>
  </si>
  <si>
    <t>-758818260亿</t>
  </si>
  <si>
    <t>493847110亿</t>
  </si>
  <si>
    <t>10293569400亿</t>
  </si>
  <si>
    <t>23.32亿</t>
  </si>
  <si>
    <t>73.74亿</t>
  </si>
  <si>
    <t>65.95亿</t>
  </si>
  <si>
    <t>-3654122亿</t>
  </si>
  <si>
    <t>-9261252亿</t>
  </si>
  <si>
    <t>1371495400亿</t>
  </si>
  <si>
    <t>4227987200亿</t>
  </si>
  <si>
    <t>932.57亿</t>
  </si>
  <si>
    <t>176.74亿</t>
  </si>
  <si>
    <t>1294.98亿</t>
  </si>
  <si>
    <t>107.51亿</t>
  </si>
  <si>
    <t>86317830亿</t>
  </si>
  <si>
    <t>-2419421300亿</t>
  </si>
  <si>
    <t>10382591300亿</t>
  </si>
  <si>
    <t>101559327000亿</t>
  </si>
  <si>
    <t>42.29亿</t>
  </si>
  <si>
    <t>57.26亿</t>
  </si>
  <si>
    <t>215.24亿</t>
  </si>
  <si>
    <t>2455557亿</t>
  </si>
  <si>
    <t>760078580亿</t>
  </si>
  <si>
    <t>4150245100亿</t>
  </si>
  <si>
    <t>16495931000亿</t>
  </si>
  <si>
    <t>10派3.80元(含税)</t>
  </si>
  <si>
    <t>40.19亿</t>
  </si>
  <si>
    <t>173.61亿</t>
  </si>
  <si>
    <t>118.59亿</t>
  </si>
  <si>
    <t>29917143亿</t>
  </si>
  <si>
    <t>-164135720亿</t>
  </si>
  <si>
    <t>469342530亿</t>
  </si>
  <si>
    <t>14876639000亿</t>
  </si>
  <si>
    <t>41.66亿</t>
  </si>
  <si>
    <t>-508784亿</t>
  </si>
  <si>
    <t>27982929亿</t>
  </si>
  <si>
    <t>1317402020亿</t>
  </si>
  <si>
    <t>3686609000亿</t>
  </si>
  <si>
    <t>17.95亿</t>
  </si>
  <si>
    <t>10派0.72元(含税)</t>
  </si>
  <si>
    <t>22.51亿</t>
  </si>
  <si>
    <t>8991.83万</t>
  </si>
  <si>
    <t>1040407亿</t>
  </si>
  <si>
    <t>26758237亿</t>
  </si>
  <si>
    <t>1118286160亿</t>
  </si>
  <si>
    <t>5636963600亿</t>
  </si>
  <si>
    <t>6479.34万</t>
  </si>
  <si>
    <t>2828.83万</t>
  </si>
  <si>
    <t>-35829759亿</t>
  </si>
  <si>
    <t>383155890亿</t>
  </si>
  <si>
    <t>2029013400亿</t>
  </si>
  <si>
    <t>3365.32万</t>
  </si>
  <si>
    <t>21.44亿</t>
  </si>
  <si>
    <t>1899295亿</t>
  </si>
  <si>
    <t>9420358亿</t>
  </si>
  <si>
    <t>690359400亿</t>
  </si>
  <si>
    <t>1235457750亿</t>
  </si>
  <si>
    <t>10派1.24元(含税)</t>
  </si>
  <si>
    <t>18.63亿</t>
  </si>
  <si>
    <t>-6888.01万</t>
  </si>
  <si>
    <t>3536889亿</t>
  </si>
  <si>
    <t>-49227080亿</t>
  </si>
  <si>
    <t>272406180亿</t>
  </si>
  <si>
    <t>916486140亿</t>
  </si>
  <si>
    <t>225.89亿</t>
  </si>
  <si>
    <t>6402385亿</t>
  </si>
  <si>
    <t>516313100亿</t>
  </si>
  <si>
    <t>4733139200亿</t>
  </si>
  <si>
    <t>17684509000亿</t>
  </si>
  <si>
    <t>10转4股派2.60元(含税)</t>
  </si>
  <si>
    <t>31.85亿</t>
  </si>
  <si>
    <t>20.69亿</t>
  </si>
  <si>
    <t>74.80亿</t>
  </si>
  <si>
    <t>17.91亿</t>
  </si>
  <si>
    <t>44.57亿</t>
  </si>
  <si>
    <t>-9626674亿</t>
  </si>
  <si>
    <t>424687230亿</t>
  </si>
  <si>
    <t>782696650亿</t>
  </si>
  <si>
    <t>8346751900亿</t>
  </si>
  <si>
    <t>20.81亿</t>
  </si>
  <si>
    <t>10转4股派21元(含税)</t>
  </si>
  <si>
    <t>-4.08亿</t>
  </si>
  <si>
    <t>89273亿</t>
  </si>
  <si>
    <t>66186754亿</t>
  </si>
  <si>
    <t>385005840亿</t>
  </si>
  <si>
    <t>6313445000亿</t>
  </si>
  <si>
    <t>10转4.9股派36元(含税)</t>
  </si>
  <si>
    <t>34.05亿</t>
  </si>
  <si>
    <t>-29517亿</t>
  </si>
  <si>
    <t>-136241870亿</t>
  </si>
  <si>
    <t>1239342930亿</t>
  </si>
  <si>
    <t>4100177900亿</t>
  </si>
  <si>
    <t>4528.96万</t>
  </si>
  <si>
    <t>52.38亿</t>
  </si>
  <si>
    <t>7921509亿</t>
  </si>
  <si>
    <t>-19125602亿</t>
  </si>
  <si>
    <t>274593000亿</t>
  </si>
  <si>
    <t>7673689300亿</t>
  </si>
  <si>
    <t>-5.95亿</t>
  </si>
  <si>
    <t>977.56亿</t>
  </si>
  <si>
    <t>230.84亿</t>
  </si>
  <si>
    <t>1186.82亿</t>
  </si>
  <si>
    <t>1086694330亿</t>
  </si>
  <si>
    <t>191297100亿</t>
  </si>
  <si>
    <t>21303114000亿</t>
  </si>
  <si>
    <t>79428576000亿</t>
  </si>
  <si>
    <t>10派2.24元(含税)</t>
  </si>
  <si>
    <t>68.16亿</t>
  </si>
  <si>
    <t>163.29亿</t>
  </si>
  <si>
    <t>57.63亿</t>
  </si>
  <si>
    <t>353771700亿</t>
  </si>
  <si>
    <t>21851952000亿</t>
  </si>
  <si>
    <t>6793867亿</t>
  </si>
  <si>
    <t>35912606亿</t>
  </si>
  <si>
    <t>460012250亿</t>
  </si>
  <si>
    <t>4041099600亿</t>
  </si>
  <si>
    <t>73.53亿</t>
  </si>
  <si>
    <t>801316亿</t>
  </si>
  <si>
    <t>-34925978亿</t>
  </si>
  <si>
    <t>637313050亿</t>
  </si>
  <si>
    <t>4557529300亿</t>
  </si>
  <si>
    <t>37.00亿</t>
  </si>
  <si>
    <t>17.19亿</t>
  </si>
  <si>
    <t>10转4股派7.5元(含税)</t>
  </si>
  <si>
    <t>53.51亿</t>
  </si>
  <si>
    <t>63.90亿</t>
  </si>
  <si>
    <t>-48057亿</t>
  </si>
  <si>
    <t>142726250亿</t>
  </si>
  <si>
    <t>1012174140亿</t>
  </si>
  <si>
    <t>6232783700亿</t>
  </si>
  <si>
    <t>10转4.9股派8.8元(含税)</t>
  </si>
  <si>
    <t>6-1</t>
  </si>
  <si>
    <t>-1607899亿</t>
  </si>
  <si>
    <t>-65175878亿</t>
  </si>
  <si>
    <t>195901290亿</t>
  </si>
  <si>
    <t>2149697200亿</t>
  </si>
  <si>
    <t>442.96亿</t>
  </si>
  <si>
    <t>95.97亿</t>
  </si>
  <si>
    <t>513.10亿</t>
  </si>
  <si>
    <t>29.03亿</t>
  </si>
  <si>
    <t>-31078684亿</t>
  </si>
  <si>
    <t>638439330亿</t>
  </si>
  <si>
    <t>5533151200亿</t>
  </si>
  <si>
    <t>40111838000亿</t>
  </si>
  <si>
    <t>34.23亿</t>
  </si>
  <si>
    <t>29.53亿</t>
  </si>
  <si>
    <t>102.90亿</t>
  </si>
  <si>
    <t>694380亿</t>
  </si>
  <si>
    <t>83651412亿</t>
  </si>
  <si>
    <t>2411483300亿</t>
  </si>
  <si>
    <t>6940391400亿</t>
  </si>
  <si>
    <t>63.02亿</t>
  </si>
  <si>
    <t>2495516亿</t>
  </si>
  <si>
    <t>338642290亿</t>
  </si>
  <si>
    <t>18.32亿</t>
  </si>
  <si>
    <t>1900164500亿</t>
  </si>
  <si>
    <t>13544865000亿</t>
  </si>
  <si>
    <t>57.16亿</t>
  </si>
  <si>
    <t>61.84亿</t>
  </si>
  <si>
    <t>3716139亿</t>
  </si>
  <si>
    <t>187017150亿</t>
  </si>
  <si>
    <t>2432997200亿</t>
  </si>
  <si>
    <t>7135986800亿</t>
  </si>
  <si>
    <t>50.55亿</t>
  </si>
  <si>
    <t>10转6股派4.50元(含税)</t>
  </si>
  <si>
    <t>-2387.54万</t>
  </si>
  <si>
    <t>-72160亿</t>
  </si>
  <si>
    <t>7441385亿</t>
  </si>
  <si>
    <t>344647800亿</t>
  </si>
  <si>
    <t>2501044100亿</t>
  </si>
  <si>
    <t>4925978亿</t>
  </si>
  <si>
    <t>-63676759亿</t>
  </si>
  <si>
    <t>601296500亿</t>
  </si>
  <si>
    <t>2923882400亿</t>
  </si>
  <si>
    <t>-1.19亿</t>
  </si>
  <si>
    <t>10转4.9股</t>
  </si>
  <si>
    <t>837.68亿</t>
  </si>
  <si>
    <t>182.56亿</t>
  </si>
  <si>
    <t>1133.92亿</t>
  </si>
  <si>
    <t>55.31亿</t>
  </si>
  <si>
    <t>32.89亿</t>
  </si>
  <si>
    <t>32.00亿</t>
  </si>
  <si>
    <t>-91478613亿</t>
  </si>
  <si>
    <t>447238370亿</t>
  </si>
  <si>
    <t>15162554000亿</t>
  </si>
  <si>
    <t>82802957000亿</t>
  </si>
  <si>
    <t>213.19亿</t>
  </si>
  <si>
    <t>10派6.33元(含税)</t>
  </si>
  <si>
    <t>13.86亿</t>
  </si>
  <si>
    <t>48.72亿</t>
  </si>
  <si>
    <t>-684867亿</t>
  </si>
  <si>
    <t>-21710449亿</t>
  </si>
  <si>
    <t>1141374400亿</t>
  </si>
  <si>
    <t>3762925100亿</t>
  </si>
  <si>
    <t>44.73亿</t>
  </si>
  <si>
    <t>22103961亿</t>
  </si>
  <si>
    <t>416027980亿</t>
  </si>
  <si>
    <t>4642047000亿</t>
  </si>
  <si>
    <t>6287.45万</t>
  </si>
  <si>
    <t>3306.43万</t>
  </si>
  <si>
    <t>13.40万</t>
  </si>
  <si>
    <t>0.原名洛阳玻璃；</t>
    <phoneticPr fontId="1" type="noConversion"/>
  </si>
  <si>
    <t>账面净赚</t>
  </si>
  <si>
    <t>6.55亿</t>
  </si>
  <si>
    <t>67.99亿</t>
  </si>
  <si>
    <t>351.77万</t>
  </si>
  <si>
    <t>39.18亿</t>
  </si>
  <si>
    <t>18.71亿</t>
  </si>
  <si>
    <t>6120.86万</t>
  </si>
  <si>
    <t>7877.64万</t>
  </si>
  <si>
    <t>87.60万</t>
  </si>
  <si>
    <t>1793.73万</t>
  </si>
  <si>
    <t>41.37亿</t>
  </si>
  <si>
    <t>109.38亿</t>
  </si>
  <si>
    <t>-4.31亿</t>
  </si>
  <si>
    <t>光伏加工设备</t>
  </si>
  <si>
    <t>60.76万</t>
  </si>
  <si>
    <t>975.82万</t>
  </si>
  <si>
    <t>4.74万</t>
  </si>
  <si>
    <t>8764.60万</t>
  </si>
  <si>
    <t>10派11.999385元(含税)</t>
  </si>
  <si>
    <t>光伏辅材</t>
  </si>
  <si>
    <t>90.14亿</t>
  </si>
  <si>
    <t>39.34亿</t>
  </si>
  <si>
    <t>35.62亿</t>
  </si>
  <si>
    <t>7438.77万</t>
  </si>
  <si>
    <t>51.35万</t>
  </si>
  <si>
    <t>84.04亿</t>
  </si>
  <si>
    <t>3108.36万</t>
  </si>
  <si>
    <t>35.61亿</t>
  </si>
  <si>
    <t>49.28亿</t>
  </si>
  <si>
    <t>147.31万</t>
  </si>
  <si>
    <t>118.14亿</t>
  </si>
  <si>
    <t>-9.96亿</t>
  </si>
  <si>
    <t>10派3.883745元(含税)</t>
  </si>
  <si>
    <t>光伏电池组件</t>
  </si>
  <si>
    <t>29.43亿</t>
  </si>
  <si>
    <t>11.06亿</t>
  </si>
  <si>
    <t>2310.44万</t>
  </si>
  <si>
    <t>2447.41万</t>
  </si>
  <si>
    <t>91.84万</t>
  </si>
  <si>
    <t>7937.55万</t>
  </si>
  <si>
    <t>9397.79万</t>
  </si>
  <si>
    <t>30.28万</t>
  </si>
  <si>
    <t>-2.71亿</t>
  </si>
  <si>
    <t>6586.86万</t>
  </si>
  <si>
    <t>592.65亿</t>
  </si>
  <si>
    <t>104.14亿</t>
  </si>
  <si>
    <t>93.80亿</t>
  </si>
  <si>
    <t>1839.28万</t>
  </si>
  <si>
    <t>78.55亿</t>
  </si>
  <si>
    <t>1549.62万</t>
  </si>
  <si>
    <t>141.56亿</t>
  </si>
  <si>
    <t>52.25亿</t>
  </si>
  <si>
    <t>110.35亿</t>
  </si>
  <si>
    <t>224.47亿</t>
  </si>
  <si>
    <t>363.40亿</t>
  </si>
  <si>
    <t>-15.29亿</t>
  </si>
  <si>
    <t>硅料硅片</t>
  </si>
  <si>
    <t>293.81万</t>
  </si>
  <si>
    <t>3374.21万</t>
  </si>
  <si>
    <t>136.63万</t>
  </si>
  <si>
    <t>9040.24万</t>
  </si>
  <si>
    <t>129.88万</t>
  </si>
  <si>
    <t>8.78亿</t>
  </si>
  <si>
    <t>15.26亿</t>
  </si>
  <si>
    <t>406.28万</t>
  </si>
  <si>
    <t>-3211.76万</t>
  </si>
  <si>
    <t>375.20亿</t>
  </si>
  <si>
    <t>165.76亿</t>
  </si>
  <si>
    <t>151.64亿</t>
  </si>
  <si>
    <t>733.62万</t>
  </si>
  <si>
    <t>150.06亿</t>
  </si>
  <si>
    <t>49.83亿</t>
  </si>
  <si>
    <t>150.91亿</t>
  </si>
  <si>
    <t>473.46亿</t>
  </si>
  <si>
    <t>74.99亿</t>
  </si>
  <si>
    <t>-35.43亿</t>
  </si>
  <si>
    <t>-44.56亿</t>
  </si>
  <si>
    <t>78.81亿</t>
  </si>
  <si>
    <t>26.49亿</t>
  </si>
  <si>
    <t>355.82万</t>
  </si>
  <si>
    <t>62.19亿</t>
  </si>
  <si>
    <t>4201.75万</t>
  </si>
  <si>
    <t>25.66亿</t>
  </si>
  <si>
    <t>43.90亿</t>
  </si>
  <si>
    <t>29.45亿</t>
  </si>
  <si>
    <t>132.12亿</t>
  </si>
  <si>
    <t>3347.47万</t>
  </si>
  <si>
    <t>2830.56万</t>
  </si>
  <si>
    <t>2906.42万</t>
  </si>
  <si>
    <t>6211.89万</t>
  </si>
  <si>
    <t>601.00万</t>
  </si>
  <si>
    <t>76.45亿</t>
  </si>
  <si>
    <t>-2106.73万</t>
  </si>
  <si>
    <t>-4294.59万</t>
  </si>
  <si>
    <t>-1066.52万</t>
  </si>
  <si>
    <t>8.82亿</t>
  </si>
  <si>
    <t>182.99万</t>
  </si>
  <si>
    <t>1369.85万</t>
  </si>
  <si>
    <t>108.20万</t>
  </si>
  <si>
    <t>9810.95万</t>
  </si>
  <si>
    <t>15.72亿</t>
  </si>
  <si>
    <t>1413.31万</t>
  </si>
  <si>
    <t>37.04亿</t>
  </si>
  <si>
    <t>1968.07万</t>
  </si>
  <si>
    <t>6433.72万</t>
  </si>
  <si>
    <t>43.44万</t>
  </si>
  <si>
    <t>24.98亿</t>
  </si>
  <si>
    <t>48.96亿</t>
  </si>
  <si>
    <t>-4.86亿</t>
  </si>
  <si>
    <t>78.66亿</t>
  </si>
  <si>
    <t>1147.81万</t>
  </si>
  <si>
    <t>157.43万</t>
  </si>
  <si>
    <t>36.05亿</t>
  </si>
  <si>
    <t>3201.56万</t>
  </si>
  <si>
    <t>31.75亿</t>
  </si>
  <si>
    <t>1653.74万</t>
  </si>
  <si>
    <t>57.58亿</t>
  </si>
  <si>
    <t>42.72亿</t>
  </si>
  <si>
    <t>2665.80万</t>
  </si>
  <si>
    <t>-5.59亿</t>
  </si>
  <si>
    <t>5727.26万</t>
  </si>
  <si>
    <t>614.72万</t>
  </si>
  <si>
    <t>2765.52万</t>
  </si>
  <si>
    <t>37.66万</t>
  </si>
  <si>
    <t>9442.90万</t>
  </si>
  <si>
    <t>5244.28万</t>
  </si>
  <si>
    <t>3854.91万</t>
  </si>
  <si>
    <t>-5.83亿</t>
  </si>
  <si>
    <t>75.96亿</t>
  </si>
  <si>
    <t>9.73亿</t>
  </si>
  <si>
    <t>329.00万</t>
  </si>
  <si>
    <t>7138.67万</t>
  </si>
  <si>
    <t>112.79万</t>
  </si>
  <si>
    <t>382.05万</t>
  </si>
  <si>
    <t>68.90亿</t>
  </si>
  <si>
    <t>2822.05万</t>
  </si>
  <si>
    <t>-7359.10万</t>
  </si>
  <si>
    <t>8654.52万</t>
  </si>
  <si>
    <t>941.59万</t>
  </si>
  <si>
    <t>1531.66万</t>
  </si>
  <si>
    <t>9.48万</t>
  </si>
  <si>
    <t>6336.01万</t>
  </si>
  <si>
    <t>781.69万</t>
  </si>
  <si>
    <t>5097.73万</t>
  </si>
  <si>
    <t>-3680.31万</t>
  </si>
  <si>
    <t>-2109.25万</t>
  </si>
  <si>
    <t>5664.63万</t>
  </si>
  <si>
    <t>149.19亿</t>
  </si>
  <si>
    <t>52.42亿</t>
  </si>
  <si>
    <t>45.36亿</t>
  </si>
  <si>
    <t>9564.65万</t>
  </si>
  <si>
    <t>491.28万</t>
  </si>
  <si>
    <t>83.84亿</t>
  </si>
  <si>
    <t>69.19亿</t>
  </si>
  <si>
    <t>61.31亿</t>
  </si>
  <si>
    <t>176.19万</t>
  </si>
  <si>
    <t>266.14亿</t>
  </si>
  <si>
    <t>41.76亿</t>
  </si>
  <si>
    <t>-30.32亿</t>
  </si>
  <si>
    <t>-9.78亿</t>
  </si>
  <si>
    <t>32.25亿</t>
  </si>
  <si>
    <t>10派2.008705元(含税)</t>
  </si>
  <si>
    <t>7844.66万</t>
  </si>
  <si>
    <t>5058.53万</t>
  </si>
  <si>
    <t>101.84万</t>
  </si>
  <si>
    <t>1590.37万</t>
  </si>
  <si>
    <t>3806.62万</t>
  </si>
  <si>
    <t>3492.48万</t>
  </si>
  <si>
    <t>2070.48万</t>
  </si>
  <si>
    <t>-338.33万</t>
  </si>
  <si>
    <t>-70.87万</t>
  </si>
  <si>
    <t>-2501.13万</t>
  </si>
  <si>
    <t>316.20亿</t>
  </si>
  <si>
    <t>101.97亿</t>
  </si>
  <si>
    <t>79.88亿</t>
  </si>
  <si>
    <t>645.81万</t>
  </si>
  <si>
    <t>185.83亿</t>
  </si>
  <si>
    <t>38.17亿</t>
  </si>
  <si>
    <t>132.05亿</t>
  </si>
  <si>
    <t>123.60亿</t>
  </si>
  <si>
    <t>443.80亿</t>
  </si>
  <si>
    <t>45.76亿</t>
  </si>
  <si>
    <t>-4.88亿</t>
  </si>
  <si>
    <t>-3.65亿</t>
  </si>
  <si>
    <t>14.68亿</t>
  </si>
  <si>
    <t>逆变器</t>
  </si>
  <si>
    <t>175.27亿</t>
  </si>
  <si>
    <t>30.02亿</t>
  </si>
  <si>
    <t>2138.04万</t>
  </si>
  <si>
    <t>268.35万</t>
  </si>
  <si>
    <t>14.51亿</t>
  </si>
  <si>
    <t>46.29亿</t>
  </si>
  <si>
    <t>179.81亿</t>
  </si>
  <si>
    <t>-6.80亿</t>
  </si>
  <si>
    <t>3314.68万</t>
  </si>
  <si>
    <t>2017.23万</t>
  </si>
  <si>
    <t>8.03万</t>
  </si>
  <si>
    <t>13.82亿</t>
  </si>
  <si>
    <t>-534.11万</t>
  </si>
  <si>
    <t>7335.54万</t>
  </si>
  <si>
    <t>4987.92万</t>
  </si>
  <si>
    <t>7270.49万</t>
  </si>
  <si>
    <t>40.93万</t>
  </si>
  <si>
    <t>9282.86万</t>
  </si>
  <si>
    <t>25.22亿</t>
  </si>
  <si>
    <t>23.74亿</t>
  </si>
  <si>
    <t>181.13万</t>
  </si>
  <si>
    <t>78.77亿</t>
  </si>
  <si>
    <t>28.93亿</t>
  </si>
  <si>
    <t>-1.41亿</t>
  </si>
  <si>
    <t>93.39亿</t>
  </si>
  <si>
    <t>19.69亿</t>
  </si>
  <si>
    <t>6720.32万</t>
  </si>
  <si>
    <t>4639.43万</t>
  </si>
  <si>
    <t>110.05万</t>
  </si>
  <si>
    <t>49.17亿</t>
  </si>
  <si>
    <t>4980.25万</t>
  </si>
  <si>
    <t>21.92亿</t>
  </si>
  <si>
    <t>79.12亿</t>
  </si>
  <si>
    <t>296.07亿</t>
  </si>
  <si>
    <t>8520.31万</t>
  </si>
  <si>
    <t>-1143.92万</t>
  </si>
  <si>
    <t>-2193.58万</t>
  </si>
  <si>
    <t>73.03亿</t>
  </si>
  <si>
    <t>5636.32万</t>
  </si>
  <si>
    <t>1110.42万</t>
  </si>
  <si>
    <t>44.19亿</t>
  </si>
  <si>
    <t>155.15亿</t>
  </si>
  <si>
    <t>685.96万</t>
  </si>
  <si>
    <t>13.77亿</t>
  </si>
  <si>
    <t>8958.15万</t>
  </si>
  <si>
    <t>7135.44万</t>
  </si>
  <si>
    <t>28.76万</t>
  </si>
  <si>
    <t>13.65亿</t>
  </si>
  <si>
    <t>18.13亿</t>
  </si>
  <si>
    <t>374.41万</t>
  </si>
  <si>
    <t>55.53亿</t>
  </si>
  <si>
    <t>84.69亿</t>
  </si>
  <si>
    <t>-727.14万</t>
  </si>
  <si>
    <t>-18.41亿</t>
  </si>
  <si>
    <t>31.59亿</t>
  </si>
  <si>
    <t>1446.55万</t>
  </si>
  <si>
    <t>1592.31万</t>
  </si>
  <si>
    <t>13.32万</t>
  </si>
  <si>
    <t>8366.43万</t>
  </si>
  <si>
    <t>4167.04万</t>
  </si>
  <si>
    <t>-3132.60万</t>
  </si>
  <si>
    <t>-656.33万</t>
  </si>
  <si>
    <t>-5086.83万</t>
  </si>
  <si>
    <t>4664.90万</t>
  </si>
  <si>
    <t>1968.69万</t>
  </si>
  <si>
    <t>10.95亿</t>
  </si>
  <si>
    <t>2885.36万</t>
  </si>
  <si>
    <t>15.49亿</t>
  </si>
  <si>
    <t>-5.23亿</t>
  </si>
  <si>
    <t>-5139.64万</t>
  </si>
  <si>
    <t>32.56亿</t>
  </si>
  <si>
    <t>4164.75万</t>
  </si>
  <si>
    <t>1293.30万</t>
  </si>
  <si>
    <t>70.15万</t>
  </si>
  <si>
    <t>21.32亿</t>
  </si>
  <si>
    <t>1281.28万</t>
  </si>
  <si>
    <t>60.20亿</t>
  </si>
  <si>
    <t>-4152.29万</t>
  </si>
  <si>
    <t>151.66万</t>
  </si>
  <si>
    <t>1964.90万</t>
  </si>
  <si>
    <t>32.08万</t>
  </si>
  <si>
    <t>9928.74万</t>
  </si>
  <si>
    <t>9936.11万</t>
  </si>
  <si>
    <t>11.37亿</t>
  </si>
  <si>
    <t>2332.95万</t>
  </si>
  <si>
    <t>-9683.97万</t>
  </si>
  <si>
    <t>2050.55万</t>
  </si>
  <si>
    <t>16.59亿</t>
  </si>
  <si>
    <t>75.07万</t>
  </si>
  <si>
    <t>705.15万</t>
  </si>
  <si>
    <t>28.95万</t>
  </si>
  <si>
    <t>4462.20万</t>
  </si>
  <si>
    <t>-1.59亿</t>
  </si>
  <si>
    <t>-2.72亿</t>
  </si>
  <si>
    <t>5523.95万</t>
  </si>
  <si>
    <t>-4-0</t>
  </si>
  <si>
    <t>12.28亿</t>
  </si>
  <si>
    <t>196.16万</t>
  </si>
  <si>
    <t>638.15万</t>
  </si>
  <si>
    <t>1.14万</t>
  </si>
  <si>
    <t>5612.29万</t>
  </si>
  <si>
    <t>-103.37万</t>
  </si>
  <si>
    <t>53.32亿</t>
  </si>
  <si>
    <t>152.11万</t>
  </si>
  <si>
    <t>13.67亿</t>
  </si>
  <si>
    <t>13.33亿</t>
  </si>
  <si>
    <t>-3998.56万</t>
  </si>
  <si>
    <t>-5037.53万</t>
  </si>
  <si>
    <t>33.06亿</t>
  </si>
  <si>
    <t>299.48万</t>
  </si>
  <si>
    <t>8.13亿</t>
  </si>
  <si>
    <t>-2.38亿</t>
  </si>
  <si>
    <t>-5698.20万</t>
  </si>
  <si>
    <t>731.97亿</t>
  </si>
  <si>
    <t>200.78亿</t>
  </si>
  <si>
    <t>177.69亿</t>
  </si>
  <si>
    <t>979.77万</t>
  </si>
  <si>
    <t>282.87亿</t>
  </si>
  <si>
    <t>230.70亿</t>
  </si>
  <si>
    <t>107.95亿</t>
  </si>
  <si>
    <t>170.63亿</t>
  </si>
  <si>
    <t>4184.62万</t>
  </si>
  <si>
    <t>410.93亿</t>
  </si>
  <si>
    <t>416.22亿</t>
  </si>
  <si>
    <t>-13.94亿</t>
  </si>
  <si>
    <t>-100.33亿</t>
  </si>
  <si>
    <t>157.32亿</t>
  </si>
  <si>
    <t>45.14亿</t>
  </si>
  <si>
    <t>41.95亿</t>
  </si>
  <si>
    <t>5465.79万</t>
  </si>
  <si>
    <t>8111.98万</t>
  </si>
  <si>
    <t>108.39万</t>
  </si>
  <si>
    <t>1616.98万</t>
  </si>
  <si>
    <t>37.06亿</t>
  </si>
  <si>
    <t>48.63亿</t>
  </si>
  <si>
    <t>43.81亿</t>
  </si>
  <si>
    <t>181.40亿</t>
  </si>
  <si>
    <t>-2.94亿</t>
  </si>
  <si>
    <t>26.89亿</t>
  </si>
  <si>
    <t>3117.49万</t>
  </si>
  <si>
    <t>3564.75万</t>
  </si>
  <si>
    <t>24.62万</t>
  </si>
  <si>
    <t>2160.91万</t>
  </si>
  <si>
    <t>21.18亿</t>
  </si>
  <si>
    <t>46.77亿</t>
  </si>
  <si>
    <t>-5036.61万</t>
  </si>
  <si>
    <t>85.61亿</t>
  </si>
  <si>
    <t>22.95亿</t>
  </si>
  <si>
    <t>123.76万</t>
  </si>
  <si>
    <t>34.11亿</t>
  </si>
  <si>
    <t>85.98亿</t>
  </si>
  <si>
    <t>72.69亿</t>
  </si>
  <si>
    <t>35.03亿</t>
  </si>
  <si>
    <t>142.74亿</t>
  </si>
  <si>
    <t>91.08亿</t>
  </si>
  <si>
    <t>-24.08亿</t>
  </si>
  <si>
    <t>-4.73亿</t>
  </si>
  <si>
    <t>50.54亿</t>
  </si>
  <si>
    <t>14.47亿</t>
  </si>
  <si>
    <t>13.21亿</t>
  </si>
  <si>
    <t>552.92万</t>
  </si>
  <si>
    <t>3771.11万</t>
  </si>
  <si>
    <t>27.64亿</t>
  </si>
  <si>
    <t>29.88亿</t>
  </si>
  <si>
    <t>-7438.76万</t>
  </si>
  <si>
    <t>683.64亿</t>
  </si>
  <si>
    <t>180.35亿</t>
  </si>
  <si>
    <t>161.03亿</t>
  </si>
  <si>
    <t>2082.94万</t>
  </si>
  <si>
    <t>573.14亿</t>
  </si>
  <si>
    <t>255.82亿</t>
  </si>
  <si>
    <t>148.49亿</t>
  </si>
  <si>
    <t>2502.74万</t>
  </si>
  <si>
    <t>714.55亿</t>
  </si>
  <si>
    <t>110.54亿</t>
  </si>
  <si>
    <t>-48.89亿</t>
  </si>
  <si>
    <t>-8.99亿</t>
  </si>
  <si>
    <t>57.46亿</t>
  </si>
  <si>
    <t>229.51亿</t>
  </si>
  <si>
    <t>49.10亿</t>
  </si>
  <si>
    <t>44.97亿</t>
  </si>
  <si>
    <t>2414.75万</t>
  </si>
  <si>
    <t>7086.05万</t>
  </si>
  <si>
    <t>181.51万</t>
  </si>
  <si>
    <t>58.97亿</t>
  </si>
  <si>
    <t>12.04亿</t>
  </si>
  <si>
    <t>40.34亿</t>
  </si>
  <si>
    <t>70.52亿</t>
  </si>
  <si>
    <t>-13.20亿</t>
  </si>
  <si>
    <t>-4083.43万</t>
  </si>
  <si>
    <t>146.99亿</t>
  </si>
  <si>
    <t>23.72亿</t>
  </si>
  <si>
    <t>2219.46万</t>
  </si>
  <si>
    <t>4547.62万</t>
  </si>
  <si>
    <t>62.83万</t>
  </si>
  <si>
    <t>69.18亿</t>
  </si>
  <si>
    <t>102.91亿</t>
  </si>
  <si>
    <t>43.19亿</t>
  </si>
  <si>
    <t>163.79亿</t>
  </si>
  <si>
    <t>-23.80亿</t>
  </si>
  <si>
    <t>27.12亿</t>
  </si>
  <si>
    <t>1145.84万</t>
  </si>
  <si>
    <t>1452.45万</t>
  </si>
  <si>
    <t>34.16万</t>
  </si>
  <si>
    <t>7966.00万</t>
  </si>
  <si>
    <t>-2519.88万</t>
  </si>
  <si>
    <t>-8246.94万</t>
  </si>
  <si>
    <t>8621.29万</t>
  </si>
  <si>
    <t>SH603381</t>
  </si>
  <si>
    <t>永臻股份</t>
  </si>
  <si>
    <t>42.08亿</t>
  </si>
  <si>
    <t>589.09万</t>
  </si>
  <si>
    <t>1666.30万</t>
  </si>
  <si>
    <t>58263亿</t>
  </si>
  <si>
    <t>26.00万</t>
  </si>
  <si>
    <t>48131100亿</t>
  </si>
  <si>
    <t>1315482040亿</t>
  </si>
  <si>
    <t>3841937100亿</t>
  </si>
  <si>
    <t>1311.35万</t>
  </si>
  <si>
    <t>7946.83万</t>
  </si>
  <si>
    <t>-2.53亿</t>
  </si>
  <si>
    <t>9472.70万</t>
  </si>
  <si>
    <t>4721.84万</t>
  </si>
  <si>
    <t>53.91亿</t>
  </si>
  <si>
    <t>25.95亿</t>
  </si>
  <si>
    <t>3242.94万</t>
  </si>
  <si>
    <t>3712.82万</t>
  </si>
  <si>
    <t>29.61万</t>
  </si>
  <si>
    <t>36.01亿</t>
  </si>
  <si>
    <t>-4110.39万</t>
  </si>
  <si>
    <t>-5.32亿</t>
  </si>
  <si>
    <t>10派2.0001元(含税)</t>
  </si>
  <si>
    <t>341.83万</t>
  </si>
  <si>
    <t>2922.71万</t>
  </si>
  <si>
    <t>3.62万</t>
  </si>
  <si>
    <t>30.58亿</t>
  </si>
  <si>
    <t>-2.40亿</t>
  </si>
  <si>
    <t>2241.96万</t>
  </si>
  <si>
    <t>1348.55万</t>
  </si>
  <si>
    <t>12.38万</t>
  </si>
  <si>
    <t>2870.00万</t>
  </si>
  <si>
    <t>2417.36万</t>
  </si>
  <si>
    <t>-873.46万</t>
  </si>
  <si>
    <t>-3842.30万</t>
  </si>
  <si>
    <t>2453.86万</t>
  </si>
  <si>
    <t>544.86万</t>
  </si>
  <si>
    <t>3295.57万</t>
  </si>
  <si>
    <t>5.41万</t>
  </si>
  <si>
    <t>6694.60万</t>
  </si>
  <si>
    <t>1096.86万</t>
  </si>
  <si>
    <t>8911.24万</t>
  </si>
  <si>
    <t>4272.16万</t>
  </si>
  <si>
    <t>16.62亿</t>
  </si>
  <si>
    <t>9877.00万</t>
  </si>
  <si>
    <t>-4762.17万</t>
  </si>
  <si>
    <t>-7550.69万</t>
  </si>
  <si>
    <t>7521.05万</t>
  </si>
  <si>
    <t>162.81亿</t>
  </si>
  <si>
    <t>47.63亿</t>
  </si>
  <si>
    <t>45.08亿</t>
  </si>
  <si>
    <t>1873.30万</t>
  </si>
  <si>
    <t>6345.64万</t>
  </si>
  <si>
    <t>193.50万</t>
  </si>
  <si>
    <t>53.78亿</t>
  </si>
  <si>
    <t>1555.03万</t>
  </si>
  <si>
    <t>2606.39万</t>
  </si>
  <si>
    <t>34.29亿</t>
  </si>
  <si>
    <t>-3352.99万</t>
  </si>
  <si>
    <t>-5.46亿</t>
  </si>
  <si>
    <t>11.99亿</t>
  </si>
  <si>
    <t>4538.67万</t>
  </si>
  <si>
    <t>5364.62万</t>
  </si>
  <si>
    <t>16.38万</t>
  </si>
  <si>
    <t>42.99亿</t>
  </si>
  <si>
    <t>573.25万</t>
  </si>
  <si>
    <t>20.89亿</t>
  </si>
  <si>
    <t>46.88亿</t>
  </si>
  <si>
    <t>4475.71万</t>
  </si>
  <si>
    <t>64.36亿</t>
  </si>
  <si>
    <t>4179.18万</t>
  </si>
  <si>
    <t>3833.92万</t>
  </si>
  <si>
    <t>6.69万</t>
  </si>
  <si>
    <t>47.58亿</t>
  </si>
  <si>
    <t>1419.16万</t>
  </si>
  <si>
    <t>2988.00万</t>
  </si>
  <si>
    <t>7831.18万</t>
  </si>
  <si>
    <t>-1.69亿</t>
  </si>
  <si>
    <t>7598.69万</t>
  </si>
  <si>
    <t>51.97亿</t>
  </si>
  <si>
    <t>755.13万</t>
  </si>
  <si>
    <t>3668.77万</t>
  </si>
  <si>
    <t>376.08万</t>
  </si>
  <si>
    <t>7.87亿</t>
  </si>
  <si>
    <t>2004.75万</t>
  </si>
  <si>
    <t>-1.92亿</t>
  </si>
  <si>
    <t>9746.01万</t>
  </si>
  <si>
    <t>1760.47万</t>
  </si>
  <si>
    <t>4385.35万</t>
  </si>
  <si>
    <t>47.28万</t>
  </si>
  <si>
    <t>975.17万</t>
  </si>
  <si>
    <t>58.85亿</t>
  </si>
  <si>
    <t>-4.51亿</t>
  </si>
  <si>
    <t>1738.11万</t>
  </si>
  <si>
    <t>355.74亿</t>
  </si>
  <si>
    <t>227.84亿</t>
  </si>
  <si>
    <t>208.73亿</t>
  </si>
  <si>
    <t>908.18万</t>
  </si>
  <si>
    <t>247.79亿</t>
  </si>
  <si>
    <t>39.50亿</t>
  </si>
  <si>
    <t>39.51亿</t>
  </si>
  <si>
    <t>270.09亿</t>
  </si>
  <si>
    <t>237.21亿</t>
  </si>
  <si>
    <t>697.31亿</t>
  </si>
  <si>
    <t>32.92亿</t>
  </si>
  <si>
    <t>-23.95亿</t>
  </si>
  <si>
    <t>-32.71亿</t>
  </si>
  <si>
    <t>大全能源</t>
  </si>
  <si>
    <t>442.31亿</t>
  </si>
  <si>
    <t>640.52万</t>
  </si>
  <si>
    <t>8871.75万</t>
  </si>
  <si>
    <t>67.68万</t>
  </si>
  <si>
    <t>174.11亿</t>
  </si>
  <si>
    <t>3168.06万</t>
  </si>
  <si>
    <t>84.72亿</t>
  </si>
  <si>
    <t>51.30亿</t>
  </si>
  <si>
    <t>-16.68亿</t>
  </si>
  <si>
    <t>-5.48亿</t>
  </si>
  <si>
    <t>-945.14万</t>
  </si>
  <si>
    <t>10派4.1804元(含税)</t>
  </si>
  <si>
    <t>3788.76万</t>
  </si>
  <si>
    <t>1410.24万</t>
  </si>
  <si>
    <t>13.33万</t>
  </si>
  <si>
    <t>214.11万</t>
  </si>
  <si>
    <t>1277.78万</t>
  </si>
  <si>
    <t>5.66亿</t>
  </si>
  <si>
    <t>5068.38万</t>
  </si>
  <si>
    <t>397.83万</t>
  </si>
  <si>
    <t>-1.58亿</t>
  </si>
  <si>
    <t>7700.75万</t>
  </si>
  <si>
    <t>6341.64万</t>
  </si>
  <si>
    <t>4489.87万</t>
  </si>
  <si>
    <t>-7.13亿</t>
  </si>
  <si>
    <t>-8527.25万</t>
  </si>
  <si>
    <t>29.41亿</t>
  </si>
  <si>
    <t>6700.47万</t>
  </si>
  <si>
    <t>6114.84万</t>
  </si>
  <si>
    <t>4.07万</t>
  </si>
  <si>
    <t>19.33亿</t>
  </si>
  <si>
    <t>44.25亿</t>
  </si>
  <si>
    <t>-8.47亿</t>
  </si>
  <si>
    <t>472.84万</t>
  </si>
  <si>
    <t>3523.74万</t>
  </si>
  <si>
    <t>16.74万</t>
  </si>
  <si>
    <t>7958.07万</t>
  </si>
  <si>
    <t>-2.44亿</t>
  </si>
  <si>
    <t>4162.94万</t>
  </si>
  <si>
    <t>219.92亿</t>
  </si>
  <si>
    <t>88.47亿</t>
  </si>
  <si>
    <t>78.94亿</t>
  </si>
  <si>
    <t>187.14亿</t>
  </si>
  <si>
    <t>70.99亿</t>
  </si>
  <si>
    <t>63.54亿</t>
  </si>
  <si>
    <t>362.51亿</t>
  </si>
  <si>
    <t>55.37亿</t>
  </si>
  <si>
    <t>-8.42亿</t>
  </si>
  <si>
    <t>-19.47亿</t>
  </si>
  <si>
    <t>10派1.1959元(含税)</t>
  </si>
  <si>
    <t>47.03亿</t>
  </si>
  <si>
    <t>28.35亿</t>
  </si>
  <si>
    <t>1070.77万</t>
  </si>
  <si>
    <t>2541.80万</t>
  </si>
  <si>
    <t>23.27万</t>
  </si>
  <si>
    <t>1463.29万</t>
  </si>
  <si>
    <t>24.32亿</t>
  </si>
  <si>
    <t>9488.80万</t>
  </si>
  <si>
    <t>29.84亿</t>
  </si>
  <si>
    <t>-12.82亿</t>
  </si>
  <si>
    <t>-2.07亿</t>
  </si>
  <si>
    <t>10转4.8股派11.3104元(含税)</t>
  </si>
  <si>
    <t>41.28亿</t>
  </si>
  <si>
    <t>6382.82万</t>
  </si>
  <si>
    <t>7295.94万</t>
  </si>
  <si>
    <t>42.83万</t>
  </si>
  <si>
    <t>34.98亿</t>
  </si>
  <si>
    <t>100.41亿</t>
  </si>
  <si>
    <t>-568.16万</t>
  </si>
  <si>
    <t>10转4股派19.9552元(含税)</t>
  </si>
  <si>
    <t>42.84亿</t>
  </si>
  <si>
    <t>4328.58万</t>
  </si>
  <si>
    <t>22.32万</t>
  </si>
  <si>
    <t>8005.70万</t>
  </si>
  <si>
    <t>20.23亿</t>
  </si>
  <si>
    <t>43.12亿</t>
  </si>
  <si>
    <t>-3.92亿</t>
  </si>
  <si>
    <t>-794.63万</t>
  </si>
  <si>
    <t>28.29亿</t>
  </si>
  <si>
    <t>523.19万</t>
  </si>
  <si>
    <t>1320.12万</t>
  </si>
  <si>
    <t>15.12万</t>
  </si>
  <si>
    <t>1772.04万</t>
  </si>
  <si>
    <t>-5534.77万</t>
  </si>
  <si>
    <t>-4411.03万</t>
  </si>
  <si>
    <t>-4491.85万</t>
  </si>
  <si>
    <t>59.59亿</t>
  </si>
  <si>
    <t>1317.34万</t>
  </si>
  <si>
    <t>1167.21万</t>
  </si>
  <si>
    <t>8400.00万</t>
  </si>
  <si>
    <t>-9641.56万</t>
  </si>
  <si>
    <t>4618.58万</t>
  </si>
  <si>
    <t>-2568.35万</t>
  </si>
  <si>
    <t>374.95亿</t>
  </si>
  <si>
    <t>177.65亿</t>
  </si>
  <si>
    <t>155.46亿</t>
  </si>
  <si>
    <t>7.39亿</t>
  </si>
  <si>
    <t>366.51万</t>
  </si>
  <si>
    <t>237.76亿</t>
  </si>
  <si>
    <t>69.83亿</t>
  </si>
  <si>
    <t>102.98亿</t>
  </si>
  <si>
    <t>104.30亿</t>
  </si>
  <si>
    <t>280.86亿</t>
  </si>
  <si>
    <t>638.57亿</t>
  </si>
  <si>
    <t>184.85亿</t>
  </si>
  <si>
    <t>-43.91亿</t>
  </si>
  <si>
    <t>-47.13亿</t>
  </si>
  <si>
    <t>90.93亿</t>
  </si>
  <si>
    <t>204.71万</t>
  </si>
  <si>
    <t>1447.32万</t>
  </si>
  <si>
    <t>6898.63万</t>
  </si>
  <si>
    <t>2158.75万</t>
  </si>
  <si>
    <t>43.73亿</t>
  </si>
  <si>
    <t>8251.89万</t>
  </si>
  <si>
    <t>2874.76万</t>
  </si>
  <si>
    <t>534.11万</t>
  </si>
  <si>
    <t>8268.75万</t>
  </si>
  <si>
    <t>-5849.69万</t>
  </si>
  <si>
    <t>-973.59万</t>
  </si>
  <si>
    <t>-6-0</t>
  </si>
  <si>
    <t>-5-0</t>
  </si>
  <si>
    <t>6.20亿</t>
  </si>
  <si>
    <t>3651.66万</t>
  </si>
  <si>
    <t>15.48亿</t>
  </si>
  <si>
    <t>8626.37万</t>
  </si>
  <si>
    <t>3717.71万</t>
  </si>
  <si>
    <t>3612.69万</t>
  </si>
  <si>
    <t>3848.63万</t>
  </si>
  <si>
    <t>3-0</t>
  </si>
  <si>
    <t>14.71亿</t>
  </si>
  <si>
    <t>13.11亿</t>
  </si>
  <si>
    <t>6917.91万</t>
  </si>
  <si>
    <t>9681.51万</t>
  </si>
  <si>
    <t>40.04亿</t>
  </si>
  <si>
    <t>8.12亿</t>
  </si>
  <si>
    <t>62.93亿</t>
  </si>
  <si>
    <t>5999.00万</t>
  </si>
  <si>
    <t>-7.52亿</t>
  </si>
  <si>
    <t>3853.20万</t>
  </si>
  <si>
    <t>23.01亿</t>
  </si>
  <si>
    <t>-2343.76万</t>
  </si>
  <si>
    <t>13.04亿</t>
  </si>
  <si>
    <t>11.98亿</t>
  </si>
  <si>
    <t>1406.22万</t>
  </si>
  <si>
    <t>3990.06万</t>
  </si>
  <si>
    <t>9241.45万</t>
  </si>
  <si>
    <t>5.98亿</t>
  </si>
  <si>
    <t>22.25亿</t>
  </si>
  <si>
    <t>33.69亿</t>
  </si>
  <si>
    <t>1988.70万</t>
  </si>
  <si>
    <t>-3.33亿</t>
  </si>
  <si>
    <t>12.22亿</t>
  </si>
  <si>
    <t>1011.26万</t>
  </si>
  <si>
    <t>332.45亿</t>
  </si>
  <si>
    <t>86.01亿</t>
  </si>
  <si>
    <t>54.63亿</t>
  </si>
  <si>
    <t>20.15亿</t>
  </si>
  <si>
    <t>3-1</t>
  </si>
  <si>
    <t>77.45亿</t>
  </si>
  <si>
    <t>7.02亿</t>
  </si>
  <si>
    <t>14.26亿</t>
  </si>
  <si>
    <t>1244.62万</t>
  </si>
  <si>
    <t>283.19亿</t>
  </si>
  <si>
    <t>36.37亿</t>
  </si>
  <si>
    <t>53.65亿</t>
  </si>
  <si>
    <t>5.11亿</t>
  </si>
  <si>
    <t>35.13亿</t>
  </si>
  <si>
    <t>6.77亿</t>
  </si>
  <si>
    <t>10.41亿</t>
  </si>
  <si>
    <t>3318.96万</t>
  </si>
  <si>
    <t>12.12亿</t>
  </si>
  <si>
    <t>6244.49万</t>
  </si>
  <si>
    <t>5.16亿</t>
  </si>
  <si>
    <t>2608.67万</t>
  </si>
  <si>
    <t>3.62亿</t>
  </si>
  <si>
    <t>5057.07万</t>
  </si>
  <si>
    <t>1160.95万</t>
  </si>
  <si>
    <t>49.13亿</t>
  </si>
  <si>
    <t>3.64亿</t>
  </si>
  <si>
    <t>20.85亿</t>
  </si>
  <si>
    <t>5.89亿</t>
  </si>
  <si>
    <t>7577.38万</t>
  </si>
  <si>
    <t>-108.91万</t>
  </si>
  <si>
    <t>231.53亿</t>
  </si>
  <si>
    <t>16.58亿</t>
  </si>
  <si>
    <t>48.56亿</t>
  </si>
  <si>
    <t>29.11亿</t>
  </si>
  <si>
    <t>4.36亿</t>
  </si>
  <si>
    <t>8.15亿</t>
  </si>
  <si>
    <t>3877.21万</t>
  </si>
  <si>
    <t>4.75亿</t>
  </si>
  <si>
    <t>6425.10万</t>
  </si>
  <si>
    <t>118.31亿</t>
  </si>
  <si>
    <t>17.84亿</t>
  </si>
  <si>
    <t>10.39亿</t>
  </si>
  <si>
    <t>12.59亿</t>
  </si>
  <si>
    <t>1942.70万</t>
  </si>
  <si>
    <t>13.51亿</t>
  </si>
  <si>
    <t>2274.57万</t>
  </si>
  <si>
    <t>19.72亿</t>
  </si>
  <si>
    <t>5-1</t>
  </si>
  <si>
    <t>6.19亿</t>
  </si>
  <si>
    <t>1188.44万</t>
  </si>
  <si>
    <t>5069.08万</t>
  </si>
  <si>
    <t>2.87亿</t>
  </si>
  <si>
    <t>278.18万</t>
  </si>
  <si>
    <t>1414.04万</t>
  </si>
  <si>
    <t>6432.83万</t>
  </si>
  <si>
    <t>923.50万</t>
  </si>
  <si>
    <t>3763.73万</t>
  </si>
  <si>
    <t>2.84亿</t>
  </si>
  <si>
    <t>780.48万</t>
  </si>
  <si>
    <t>6739.96万</t>
  </si>
  <si>
    <t>4.79亿</t>
  </si>
  <si>
    <t>4.43亿</t>
  </si>
  <si>
    <t>23.24亿</t>
  </si>
  <si>
    <t>2364.64万</t>
  </si>
  <si>
    <t>8423.50万</t>
  </si>
  <si>
    <t>5746.05万</t>
  </si>
  <si>
    <t>17.32亿</t>
  </si>
  <si>
    <t>3838.66万</t>
  </si>
  <si>
    <t>14.78亿</t>
  </si>
  <si>
    <t>1427.80万</t>
  </si>
  <si>
    <t>81.53万</t>
  </si>
  <si>
    <t>474.49万</t>
  </si>
  <si>
    <t>3020.72万</t>
  </si>
  <si>
    <t>912.98万</t>
  </si>
  <si>
    <t>3462.38万</t>
  </si>
  <si>
    <t>313.73万</t>
  </si>
  <si>
    <t>1930.85万</t>
  </si>
  <si>
    <t>1.01亿</t>
  </si>
  <si>
    <t>627.96万</t>
  </si>
  <si>
    <t>1965.98万</t>
  </si>
  <si>
    <t>927.71万</t>
  </si>
  <si>
    <t>5211.14万</t>
  </si>
  <si>
    <t>2700.25万</t>
  </si>
  <si>
    <t>5.19亿</t>
  </si>
  <si>
    <t>4010.25万</t>
  </si>
  <si>
    <t>11.33亿</t>
  </si>
  <si>
    <t>-11-0</t>
  </si>
  <si>
    <t>2274.50万</t>
  </si>
  <si>
    <t>8042.77万</t>
  </si>
  <si>
    <t>7.37亿</t>
  </si>
  <si>
    <t>4166.51万</t>
  </si>
  <si>
    <t>1468.42万</t>
  </si>
  <si>
    <t>6123.43万</t>
  </si>
  <si>
    <t>250.80万</t>
  </si>
  <si>
    <t>2124.55万</t>
  </si>
  <si>
    <t>9629.31万</t>
  </si>
  <si>
    <t>2656.01万</t>
  </si>
  <si>
    <t>7914.77万</t>
  </si>
  <si>
    <t>909.47万</t>
  </si>
  <si>
    <t>4425.12万</t>
  </si>
  <si>
    <t>2.10亿</t>
  </si>
  <si>
    <t>311.96万</t>
  </si>
  <si>
    <t>1301.78万</t>
  </si>
  <si>
    <t>6421.16万</t>
  </si>
  <si>
    <t>1315.59万</t>
  </si>
  <si>
    <t>9469.41万</t>
  </si>
  <si>
    <t>546.36万</t>
  </si>
  <si>
    <t>3054.82万</t>
  </si>
  <si>
    <t>1542.73万</t>
  </si>
  <si>
    <t>6762.02万</t>
  </si>
  <si>
    <t>399.69万</t>
  </si>
  <si>
    <t>1898.81万</t>
  </si>
  <si>
    <t>239.06万</t>
  </si>
  <si>
    <t>1272.62万</t>
  </si>
  <si>
    <t>5620.98万</t>
  </si>
  <si>
    <t>597.62万</t>
  </si>
  <si>
    <t>2944.22万</t>
  </si>
  <si>
    <t>9923.45万</t>
  </si>
  <si>
    <t>150.83万</t>
  </si>
  <si>
    <t>713.22万</t>
  </si>
  <si>
    <t>3210.70万</t>
  </si>
  <si>
    <t>723.92万</t>
  </si>
  <si>
    <t>4727.16万</t>
  </si>
  <si>
    <t>4.00亿</t>
  </si>
  <si>
    <t>2997.35万</t>
  </si>
  <si>
    <t>3227.62万</t>
  </si>
  <si>
    <t>1903.28万</t>
  </si>
  <si>
    <t>6.14亿</t>
  </si>
  <si>
    <t>2169.34万</t>
  </si>
  <si>
    <t>7.40亿</t>
  </si>
  <si>
    <t>2595.17万</t>
  </si>
  <si>
    <t>7.96亿</t>
  </si>
  <si>
    <t>154.48万</t>
  </si>
  <si>
    <t>923.60万</t>
  </si>
  <si>
    <t>6074.11万</t>
  </si>
  <si>
    <t>隆基绿能</t>
  </si>
  <si>
    <t>9790.30万</t>
  </si>
  <si>
    <t>31.98亿</t>
  </si>
  <si>
    <t>1002.94万</t>
  </si>
  <si>
    <t>6172.67万</t>
  </si>
  <si>
    <t>3.43亿</t>
  </si>
  <si>
    <t>弘元绿能</t>
  </si>
  <si>
    <t>481.39万</t>
  </si>
  <si>
    <t>2610.09万</t>
  </si>
  <si>
    <t>708.81万</t>
  </si>
  <si>
    <t>3533.50万</t>
  </si>
  <si>
    <t>1018.23万</t>
  </si>
  <si>
    <t>4823.47万</t>
  </si>
  <si>
    <t>4-0</t>
  </si>
  <si>
    <t>256.13万</t>
  </si>
  <si>
    <t>844.72万</t>
  </si>
  <si>
    <t>5349.70万</t>
  </si>
  <si>
    <t>209.61万</t>
  </si>
  <si>
    <t>852.11万</t>
  </si>
  <si>
    <t>5362.99万</t>
  </si>
  <si>
    <t>1836.36万</t>
  </si>
  <si>
    <t>6291.35万</t>
  </si>
  <si>
    <t>808.51万</t>
  </si>
  <si>
    <t>3515.65万</t>
  </si>
  <si>
    <t>3.67亿</t>
  </si>
  <si>
    <t>2533.72万</t>
  </si>
  <si>
    <t>1.56亿</t>
  </si>
  <si>
    <t>5.67亿</t>
  </si>
  <si>
    <t>910.94万</t>
  </si>
  <si>
    <t>6419.79万</t>
  </si>
  <si>
    <t>3.01亿</t>
  </si>
  <si>
    <t>151.85万</t>
  </si>
  <si>
    <t>1040.51万</t>
  </si>
  <si>
    <t>4651.67万</t>
  </si>
  <si>
    <t>1000.13万</t>
  </si>
  <si>
    <t>4809.73万</t>
  </si>
  <si>
    <t>2.65亿</t>
  </si>
  <si>
    <t>605.17万</t>
  </si>
  <si>
    <t>1278.75万</t>
  </si>
  <si>
    <t>7184.23万</t>
  </si>
  <si>
    <t>5999.72万</t>
  </si>
  <si>
    <t>17.36亿</t>
  </si>
  <si>
    <t>930.19万</t>
  </si>
  <si>
    <t>2596.33万</t>
  </si>
  <si>
    <t>156.18万</t>
  </si>
  <si>
    <t>1063.34万</t>
  </si>
  <si>
    <t>4254.95万</t>
  </si>
  <si>
    <t>378.69万</t>
  </si>
  <si>
    <t>2742.70万</t>
  </si>
  <si>
    <t>9983.53万</t>
  </si>
  <si>
    <t>395.64万</t>
  </si>
  <si>
    <t>1703.10万</t>
  </si>
  <si>
    <t>5073.57万</t>
  </si>
  <si>
    <t>260.02万</t>
  </si>
  <si>
    <t>949.71万</t>
  </si>
  <si>
    <t>5561.52万</t>
  </si>
  <si>
    <t>1018.82万</t>
  </si>
  <si>
    <t>7073.96万</t>
  </si>
  <si>
    <t>254.76万</t>
  </si>
  <si>
    <t>1065.83万</t>
  </si>
  <si>
    <t>5695.29万</t>
  </si>
  <si>
    <t>1126.88万</t>
  </si>
  <si>
    <t>3894.79万</t>
  </si>
  <si>
    <t>998.88万</t>
  </si>
  <si>
    <t>4099.69万</t>
  </si>
  <si>
    <t>203.34万</t>
  </si>
  <si>
    <t>930.36万</t>
  </si>
  <si>
    <t>5837.20万</t>
  </si>
  <si>
    <t>633.99万</t>
  </si>
  <si>
    <t>3064.13万</t>
  </si>
  <si>
    <t>2133.17万</t>
  </si>
  <si>
    <t>9566.00万</t>
  </si>
  <si>
    <t>141.66万</t>
  </si>
  <si>
    <t>822.42万</t>
  </si>
  <si>
    <t>4625.26万</t>
  </si>
  <si>
    <t>457.55万</t>
  </si>
  <si>
    <t>2672.82万</t>
  </si>
  <si>
    <t>6959.96万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</si>
</sst>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b/>
      <sz val="9"/>
      <color theme="1"/>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14" fontId="0" fillId="0" borderId="0" xfId="0" applyNumberFormat="1">
      <alignment vertical="center"/>
    </xf>
    <xf numFmtId="0" fontId="0" fillId="0" borderId="0" xfId="0" applyFill="1">
      <alignment vertical="center"/>
    </xf>
    <xf numFmtId="0" fontId="10"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73"/>
  <sheetViews>
    <sheetView tabSelected="1" zoomScale="85" zoomScaleNormal="85" workbookViewId="0">
      <pane xSplit="5" ySplit="1" topLeftCell="F2" activePane="bottomRight" state="frozen"/>
      <selection pane="topRight" activeCell="F1" sqref="F1"/>
      <selection pane="bottomLeft" activeCell="A2" sqref="A2"/>
      <selection pane="bottomRight" activeCell="D67" sqref="D67:EP67"/>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3</v>
      </c>
      <c r="B1" s="5" t="s">
        <v>4</v>
      </c>
      <c r="C1" s="4" t="s">
        <v>5</v>
      </c>
      <c r="D1" t="s">
        <v>701</v>
      </c>
      <c r="E1" t="s">
        <v>829</v>
      </c>
      <c r="F1" t="s">
        <v>0</v>
      </c>
      <c r="G1" t="s">
        <v>707</v>
      </c>
      <c r="H1" t="s">
        <v>1079</v>
      </c>
      <c r="I1" t="s">
        <v>6</v>
      </c>
      <c r="J1" t="s">
        <v>7</v>
      </c>
      <c r="K1" t="s">
        <v>1</v>
      </c>
      <c r="L1" t="s">
        <v>8</v>
      </c>
      <c r="M1" t="s">
        <v>9</v>
      </c>
      <c r="N1" t="s">
        <v>10</v>
      </c>
      <c r="O1" t="s">
        <v>11</v>
      </c>
      <c r="P1" t="s">
        <v>1080</v>
      </c>
      <c r="Q1" t="s">
        <v>1081</v>
      </c>
      <c r="R1" t="s">
        <v>830</v>
      </c>
      <c r="S1" t="s">
        <v>12</v>
      </c>
      <c r="T1" t="s">
        <v>1082</v>
      </c>
      <c r="U1" t="s">
        <v>708</v>
      </c>
      <c r="V1" t="s">
        <v>13</v>
      </c>
      <c r="W1" t="s">
        <v>1083</v>
      </c>
      <c r="X1" t="s">
        <v>1084</v>
      </c>
      <c r="Y1" t="s">
        <v>1085</v>
      </c>
      <c r="Z1" t="s">
        <v>1086</v>
      </c>
      <c r="AA1" t="s">
        <v>1087</v>
      </c>
      <c r="AB1" t="s">
        <v>1088</v>
      </c>
      <c r="AC1" t="s">
        <v>1089</v>
      </c>
      <c r="AD1" t="s">
        <v>1090</v>
      </c>
      <c r="AE1" t="s">
        <v>14</v>
      </c>
      <c r="AF1" t="s">
        <v>15</v>
      </c>
      <c r="AG1" t="s">
        <v>1091</v>
      </c>
      <c r="AH1" t="s">
        <v>1092</v>
      </c>
      <c r="AI1" t="s">
        <v>1093</v>
      </c>
      <c r="AJ1" t="s">
        <v>16</v>
      </c>
      <c r="AK1" t="s">
        <v>1094</v>
      </c>
      <c r="AL1" t="s">
        <v>175</v>
      </c>
      <c r="AM1" t="s">
        <v>1095</v>
      </c>
      <c r="AN1" t="s">
        <v>1096</v>
      </c>
      <c r="AO1" t="s">
        <v>1097</v>
      </c>
      <c r="AP1" t="s">
        <v>1098</v>
      </c>
      <c r="AQ1" t="s">
        <v>1099</v>
      </c>
      <c r="AR1" t="s">
        <v>1100</v>
      </c>
      <c r="AS1" t="s">
        <v>1101</v>
      </c>
      <c r="AT1" t="s">
        <v>1102</v>
      </c>
      <c r="AU1" t="s">
        <v>1103</v>
      </c>
      <c r="AV1" t="s">
        <v>1104</v>
      </c>
      <c r="AW1" t="s">
        <v>1105</v>
      </c>
      <c r="AX1" t="s">
        <v>1106</v>
      </c>
      <c r="AY1" t="s">
        <v>1107</v>
      </c>
      <c r="AZ1" t="s">
        <v>176</v>
      </c>
      <c r="BA1" t="s">
        <v>177</v>
      </c>
      <c r="BB1" t="s">
        <v>178</v>
      </c>
      <c r="BC1" t="s">
        <v>1108</v>
      </c>
      <c r="BD1" t="s">
        <v>755</v>
      </c>
      <c r="BE1" t="s">
        <v>179</v>
      </c>
      <c r="BF1" t="s">
        <v>180</v>
      </c>
      <c r="BG1" t="s">
        <v>181</v>
      </c>
      <c r="BH1" t="s">
        <v>1109</v>
      </c>
      <c r="BI1" t="s">
        <v>1110</v>
      </c>
      <c r="BJ1" t="s">
        <v>1111</v>
      </c>
      <c r="BK1" t="s">
        <v>1112</v>
      </c>
      <c r="BL1" t="s">
        <v>1113</v>
      </c>
      <c r="BM1" t="s">
        <v>1114</v>
      </c>
      <c r="BN1" t="s">
        <v>1115</v>
      </c>
      <c r="BO1" t="s">
        <v>831</v>
      </c>
      <c r="BP1" t="s">
        <v>709</v>
      </c>
      <c r="BQ1" t="s">
        <v>1116</v>
      </c>
      <c r="BR1" t="s">
        <v>832</v>
      </c>
      <c r="BS1" t="s">
        <v>710</v>
      </c>
      <c r="BT1" t="s">
        <v>1117</v>
      </c>
      <c r="BU1" t="s">
        <v>885</v>
      </c>
      <c r="BV1" t="s">
        <v>1118</v>
      </c>
      <c r="BW1" t="s">
        <v>1119</v>
      </c>
      <c r="BX1" t="s">
        <v>325</v>
      </c>
      <c r="BY1" t="s">
        <v>1120</v>
      </c>
      <c r="BZ1" t="s">
        <v>1121</v>
      </c>
      <c r="CA1" t="s">
        <v>326</v>
      </c>
      <c r="CB1" t="s">
        <v>1122</v>
      </c>
      <c r="CC1" t="s">
        <v>1123</v>
      </c>
      <c r="CD1" t="s">
        <v>1124</v>
      </c>
      <c r="CE1" t="s">
        <v>1125</v>
      </c>
      <c r="CF1" t="s">
        <v>305</v>
      </c>
      <c r="CG1" t="s">
        <v>306</v>
      </c>
      <c r="CH1" t="s">
        <v>307</v>
      </c>
      <c r="CI1" t="s">
        <v>308</v>
      </c>
      <c r="CJ1" t="s">
        <v>309</v>
      </c>
      <c r="CK1" t="s">
        <v>310</v>
      </c>
      <c r="CL1" t="s">
        <v>311</v>
      </c>
      <c r="CM1" t="s">
        <v>312</v>
      </c>
      <c r="CN1" t="s">
        <v>313</v>
      </c>
      <c r="CO1" t="s">
        <v>314</v>
      </c>
      <c r="CP1" t="s">
        <v>315</v>
      </c>
      <c r="CQ1" t="s">
        <v>316</v>
      </c>
      <c r="CR1" t="s">
        <v>1126</v>
      </c>
      <c r="CS1" t="s">
        <v>1127</v>
      </c>
      <c r="CT1" t="s">
        <v>1128</v>
      </c>
      <c r="CU1" t="s">
        <v>1129</v>
      </c>
      <c r="CV1" t="s">
        <v>1130</v>
      </c>
      <c r="CW1" t="s">
        <v>1131</v>
      </c>
      <c r="CX1">
        <v>1</v>
      </c>
      <c r="CY1" t="s">
        <v>1132</v>
      </c>
      <c r="CZ1" t="s">
        <v>1133</v>
      </c>
      <c r="DA1">
        <v>3</v>
      </c>
      <c r="DB1" t="s">
        <v>1134</v>
      </c>
      <c r="DC1" t="s">
        <v>1135</v>
      </c>
      <c r="DD1">
        <v>6</v>
      </c>
      <c r="DE1" t="s">
        <v>1136</v>
      </c>
      <c r="DF1" t="s">
        <v>1137</v>
      </c>
      <c r="DG1">
        <v>10</v>
      </c>
      <c r="DH1" t="s">
        <v>1138</v>
      </c>
      <c r="DI1" t="s">
        <v>1139</v>
      </c>
      <c r="DJ1">
        <v>20</v>
      </c>
      <c r="DK1" t="s">
        <v>1140</v>
      </c>
      <c r="DL1" t="s">
        <v>317</v>
      </c>
      <c r="DM1" t="s">
        <v>318</v>
      </c>
      <c r="DN1" s="1" t="s">
        <v>319</v>
      </c>
      <c r="DO1" t="s">
        <v>1141</v>
      </c>
      <c r="DP1" t="s">
        <v>1142</v>
      </c>
      <c r="DQ1" s="12" t="s">
        <v>1143</v>
      </c>
      <c r="DR1" t="s">
        <v>1144</v>
      </c>
      <c r="DS1" t="s">
        <v>1145</v>
      </c>
      <c r="DT1" t="s">
        <v>1146</v>
      </c>
      <c r="DU1" t="s">
        <v>1147</v>
      </c>
      <c r="DV1" t="s">
        <v>1148</v>
      </c>
      <c r="DW1" t="s">
        <v>1149</v>
      </c>
      <c r="DX1" t="s">
        <v>1150</v>
      </c>
      <c r="DY1" t="s">
        <v>1151</v>
      </c>
      <c r="DZ1" t="s">
        <v>1152</v>
      </c>
      <c r="EA1" t="s">
        <v>1153</v>
      </c>
      <c r="EB1" t="s">
        <v>1154</v>
      </c>
      <c r="EC1" t="s">
        <v>1155</v>
      </c>
      <c r="ED1" t="s">
        <v>1156</v>
      </c>
      <c r="EE1" t="s">
        <v>1157</v>
      </c>
      <c r="EF1" t="s">
        <v>1158</v>
      </c>
      <c r="EG1" t="s">
        <v>1159</v>
      </c>
      <c r="EH1" t="s">
        <v>1160</v>
      </c>
      <c r="EI1" t="s">
        <v>1161</v>
      </c>
      <c r="EJ1"/>
      <c r="EK1" s="14" t="s">
        <v>1162</v>
      </c>
      <c r="EL1" t="s">
        <v>1163</v>
      </c>
      <c r="EM1" t="s">
        <v>1164</v>
      </c>
      <c r="EN1" t="s">
        <v>1165</v>
      </c>
      <c r="EO1" t="s">
        <v>1166</v>
      </c>
      <c r="EP1" t="s">
        <v>1167</v>
      </c>
    </row>
    <row r="2" spans="1:146" ht="168" hidden="1" x14ac:dyDescent="0.25">
      <c r="A2" s="9" t="s">
        <v>702</v>
      </c>
      <c r="B2" s="9" t="s">
        <v>703</v>
      </c>
      <c r="C2" s="9" t="str">
        <f>"1. 三大核心业务方向：光伏智能成套装备、包装智能成套装备、3C智能成套装备；2. 主要产品为大型成套智能设备，客户需求会略有差异，属定制化产品;3. 专用设备中，2020年半年报光伏设备增29.55%， 3c设备订单增77%；"&amp;CHAR(10)&amp;Basic_Fundamental_Information_Constructure(F2)&amp;CHAR(10)&amp;Basic_Fundamental_Information_Concatenate("专用设备制造业73.18%（毛利23.2% 增速2.19%） 铸造行业11.79%（毛利12.39% 增速-4.28%） 精密件2.72%（增速0.48%） 软件0.50%（增速-1.73%） 货物贸易10.39%（毛利7.38% 增速3.57%） 其他1.42%（增速-0.24%）。")</f>
        <v>1. 三大核心业务方向：光伏智能成套装备、包装智能成套装备、3C智能成套装备；2. 主要产品为大型成套智能设备，客户需求会略有差异，属定制化产品;3. 专用设备中，2020年半年报光伏设备增29.55%， 3c设备订单增77%；
市值69.761975亿, 利润3.37亿; PE16.88; 平均PE93.47; 平均PEG3.35, PB1.85; ROIC6.9033%; ROE7.9367%; 股利率.7768%; 毛利20.6933%; 净利5.0333%; 上一年度营收增48.19%, 利润增11.59%; 当季营收增53.13%, 利润增143.82%; 过往5年营收增27.87%, 利润增-23.02%
Income profile:
专用设备制造业73.18%（毛利23.2% 增速2.19%） 铸造行业11.79%（毛利12.39% 增速-4.28%） 精密件2.72%（增速0.48%） 软件0.50%（增速-1.73%） 货物贸易10.39%（毛利7.38% 增速3.57%） 其他1.42%（增速-0.24%）。</v>
      </c>
      <c r="D2" t="s">
        <v>490</v>
      </c>
      <c r="E2" t="s">
        <v>491</v>
      </c>
      <c r="F2">
        <v>11.2</v>
      </c>
      <c r="G2">
        <v>0</v>
      </c>
      <c r="H2" t="s">
        <v>2554</v>
      </c>
      <c r="I2">
        <v>6976197500</v>
      </c>
      <c r="J2">
        <v>16.88</v>
      </c>
      <c r="K2">
        <v>1.85</v>
      </c>
      <c r="L2" t="s">
        <v>753</v>
      </c>
      <c r="M2" t="s">
        <v>1340</v>
      </c>
      <c r="N2" t="s">
        <v>1853</v>
      </c>
      <c r="O2" t="s">
        <v>752</v>
      </c>
      <c r="P2">
        <v>53.12</v>
      </c>
      <c r="Q2" t="s">
        <v>1341</v>
      </c>
      <c r="R2">
        <v>130129838</v>
      </c>
      <c r="S2" s="6">
        <v>1.4379999999999999</v>
      </c>
      <c r="T2" t="s">
        <v>105</v>
      </c>
      <c r="U2">
        <v>599689060</v>
      </c>
      <c r="V2">
        <v>622874780</v>
      </c>
      <c r="W2">
        <v>3.94</v>
      </c>
      <c r="X2">
        <v>0.13</v>
      </c>
      <c r="Y2">
        <v>7.66</v>
      </c>
      <c r="Z2" t="s">
        <v>1854</v>
      </c>
      <c r="AA2" t="s">
        <v>1270</v>
      </c>
      <c r="AB2" t="s">
        <v>1855</v>
      </c>
      <c r="AC2" t="s">
        <v>1856</v>
      </c>
      <c r="AD2" t="s">
        <v>2</v>
      </c>
      <c r="AE2">
        <v>-13042638</v>
      </c>
      <c r="AF2" t="s">
        <v>1342</v>
      </c>
      <c r="AG2" t="s">
        <v>1857</v>
      </c>
      <c r="AH2" t="s">
        <v>1343</v>
      </c>
      <c r="AI2" t="s">
        <v>1600</v>
      </c>
      <c r="AJ2" t="s">
        <v>1344</v>
      </c>
      <c r="AK2" t="s">
        <v>40</v>
      </c>
      <c r="AL2" t="s">
        <v>1345</v>
      </c>
      <c r="AM2" t="s">
        <v>2</v>
      </c>
      <c r="AN2" t="s">
        <v>1858</v>
      </c>
      <c r="AO2" t="s">
        <v>105</v>
      </c>
      <c r="AP2" t="s">
        <v>1351</v>
      </c>
      <c r="AQ2" t="s">
        <v>1859</v>
      </c>
      <c r="AR2" t="s">
        <v>2</v>
      </c>
      <c r="AS2" t="s">
        <v>1860</v>
      </c>
      <c r="AT2" t="s">
        <v>41</v>
      </c>
      <c r="AU2" t="s">
        <v>1861</v>
      </c>
      <c r="AV2" t="s">
        <v>89</v>
      </c>
      <c r="AW2" t="s">
        <v>273</v>
      </c>
      <c r="AX2" t="s">
        <v>979</v>
      </c>
      <c r="AY2" t="s">
        <v>757</v>
      </c>
      <c r="AZ2" t="s">
        <v>492</v>
      </c>
      <c r="BA2" t="s">
        <v>428</v>
      </c>
      <c r="BB2" t="s">
        <v>694</v>
      </c>
      <c r="BC2" t="s">
        <v>332</v>
      </c>
      <c r="BD2" t="s">
        <v>89</v>
      </c>
      <c r="BE2" t="s">
        <v>715</v>
      </c>
      <c r="BF2" t="s">
        <v>716</v>
      </c>
      <c r="BG2" t="s">
        <v>75</v>
      </c>
      <c r="BH2" t="s">
        <v>1341</v>
      </c>
      <c r="BI2" t="s">
        <v>1216</v>
      </c>
      <c r="BJ2" t="s">
        <v>979</v>
      </c>
      <c r="BK2" t="s">
        <v>105</v>
      </c>
      <c r="BL2" t="s">
        <v>1346</v>
      </c>
      <c r="BM2" t="s">
        <v>332</v>
      </c>
      <c r="BN2">
        <v>7.25</v>
      </c>
      <c r="BO2">
        <v>9.0399999999999991</v>
      </c>
      <c r="BP2">
        <v>4.42</v>
      </c>
      <c r="BQ2">
        <v>8.65</v>
      </c>
      <c r="BR2">
        <v>9.59</v>
      </c>
      <c r="BS2">
        <v>5.57</v>
      </c>
      <c r="BT2" t="s">
        <v>1347</v>
      </c>
      <c r="BU2" t="s">
        <v>1862</v>
      </c>
      <c r="BV2">
        <v>20.98</v>
      </c>
      <c r="BW2">
        <v>21.47</v>
      </c>
      <c r="BX2">
        <v>19.63</v>
      </c>
      <c r="BY2">
        <v>5.45</v>
      </c>
      <c r="BZ2">
        <v>6.74</v>
      </c>
      <c r="CA2">
        <v>2.91</v>
      </c>
      <c r="CB2">
        <v>2.4700000000000002</v>
      </c>
      <c r="CC2">
        <v>-10.49</v>
      </c>
      <c r="CD2" t="s">
        <v>2555</v>
      </c>
      <c r="CE2" t="s">
        <v>2556</v>
      </c>
      <c r="CF2" s="10">
        <v>0.53127354935945748</v>
      </c>
      <c r="CG2" s="11">
        <v>1.4382398857793832</v>
      </c>
      <c r="CH2" s="10">
        <v>0.48192286491394043</v>
      </c>
      <c r="CI2" s="10">
        <v>0.19138512015342712</v>
      </c>
      <c r="CJ2" s="10">
        <v>0.33529415726661682</v>
      </c>
      <c r="CK2" s="10">
        <v>0.35159009695053101</v>
      </c>
      <c r="CL2" s="10">
        <v>3.3318091183900833E-2</v>
      </c>
      <c r="CM2" s="11">
        <v>0.11589404195547104</v>
      </c>
      <c r="CN2" s="11">
        <v>1.068493127822876</v>
      </c>
      <c r="CO2" s="11">
        <v>1.7134672403335571</v>
      </c>
      <c r="CP2" s="11">
        <v>1.1044770479202271</v>
      </c>
      <c r="CQ2" s="11">
        <v>-5.1532258987426758</v>
      </c>
      <c r="CR2">
        <v>93.471755719054045</v>
      </c>
      <c r="CS2">
        <v>3.3538235661171716</v>
      </c>
      <c r="CT2">
        <v>0.7767857142857143</v>
      </c>
      <c r="CU2" s="10">
        <v>0.27870206609368325</v>
      </c>
      <c r="CV2" s="11">
        <v>-0.23017888814210891</v>
      </c>
      <c r="CW2">
        <v>0.06</v>
      </c>
      <c r="CX2">
        <v>37.763926725413292</v>
      </c>
      <c r="CY2">
        <v>406530751.2014823</v>
      </c>
      <c r="CZ2">
        <v>0.27870206609368325</v>
      </c>
      <c r="DA2">
        <v>10.556159712824106</v>
      </c>
      <c r="DB2">
        <v>1454335470.2515013</v>
      </c>
      <c r="DC2">
        <v>0.26476696278899908</v>
      </c>
      <c r="DD2">
        <v>4.1615009136481476</v>
      </c>
      <c r="DE2">
        <v>3689101076.405055</v>
      </c>
      <c r="DF2">
        <v>0.24525781816244127</v>
      </c>
      <c r="DG2">
        <v>1.9095285528728434</v>
      </c>
      <c r="DH2">
        <v>8039784205.8464947</v>
      </c>
      <c r="DI2">
        <v>0.22296165287494663</v>
      </c>
      <c r="DJ2">
        <v>0.51428439659621594</v>
      </c>
      <c r="DK2">
        <v>29851571623.810295</v>
      </c>
      <c r="DL2">
        <v>0.19509144626557826</v>
      </c>
      <c r="DM2">
        <v>337000000</v>
      </c>
      <c r="DN2">
        <v>0.27870206609368325</v>
      </c>
      <c r="DO2">
        <v>15352197500</v>
      </c>
      <c r="DP2">
        <v>2206393300</v>
      </c>
      <c r="DQ2">
        <v>308</v>
      </c>
      <c r="DR2">
        <v>0.25257148326577422</v>
      </c>
      <c r="DS2">
        <v>1.6684187739214922</v>
      </c>
      <c r="DT2" s="12">
        <v>0.12666666666666662</v>
      </c>
      <c r="DU2">
        <v>0.40333333333333332</v>
      </c>
      <c r="DV2">
        <v>0.52999999999999992</v>
      </c>
      <c r="DW2">
        <v>-2.1049000000000002</v>
      </c>
      <c r="DX2">
        <v>0.47662299651567891</v>
      </c>
      <c r="DY2">
        <v>-2.0185277523344949</v>
      </c>
      <c r="DZ2">
        <v>726</v>
      </c>
      <c r="EA2">
        <v>-2.0158938874050172</v>
      </c>
      <c r="EB2">
        <v>2</v>
      </c>
      <c r="EC2">
        <v>8.1382007471870993E-2</v>
      </c>
      <c r="ED2">
        <v>0.46076676920520043</v>
      </c>
      <c r="EE2" s="13">
        <v>-1.0469999999999999</v>
      </c>
      <c r="EF2">
        <v>-1.0469999999999999</v>
      </c>
      <c r="EG2">
        <v>30.176622996515679</v>
      </c>
      <c r="EH2" t="s">
        <v>959</v>
      </c>
      <c r="EI2">
        <v>0</v>
      </c>
      <c r="EJ2">
        <v>1</v>
      </c>
      <c r="EK2" s="14">
        <v>45490</v>
      </c>
      <c r="EL2">
        <v>3.57</v>
      </c>
      <c r="EM2">
        <v>0.35</v>
      </c>
      <c r="EN2">
        <v>-1.67</v>
      </c>
      <c r="EO2">
        <v>0.27</v>
      </c>
      <c r="EP2">
        <v>0</v>
      </c>
    </row>
    <row r="3" spans="1:146" ht="132" hidden="1" x14ac:dyDescent="0.25">
      <c r="A3" s="8"/>
      <c r="B3" s="8" t="s">
        <v>1307</v>
      </c>
      <c r="C3" s="8" t="str">
        <f>"公司主营业务为石英坩埚产品、硅材料清洗服务、切削液处理服务。主要产品或服务包括石英坩埚、硅材料清洗服务、切削液处理服务。"&amp;CHAR(10)&amp;Basic_Fundamental_Information_Constructure(F3)&amp;CHAR(10)&amp;Basic_Fundamental_Information_Concatenate("石英坩埚 7.56亿 52.72% 80.52% 42.58%
光伏配套加工服务 6.11亿 42.62% 19.02% 12.44%")</f>
        <v>公司主营业务为石英坩埚产品、硅材料清洗服务、切削液处理服务。主要产品或服务包括石英坩埚、硅材料清洗服务、切削液处理服务。
市值48.774879亿, 利润6.54亿; PE9.69; 平均PE24.01; 平均PEG.5, PB2.79; ROIC32.2833%; ROE36.2567%; 股利率4.7335%; 毛利28.2433%; 净利17.7533%; 上一年度营收增118.2%, 利润增174.79%; 当季营收增-46.54%, 利润增-173.55%; 过往5年营收增48.21%, 利润增74.49%
Income profile:
石英坩埚 7.56亿 52.72% 80.52% 42.58%
光伏配套加工服务 6.11亿 42.62% 19.02% 12.44%</v>
      </c>
      <c r="D3" t="s">
        <v>917</v>
      </c>
      <c r="E3" t="s">
        <v>922</v>
      </c>
      <c r="F3">
        <v>25.35</v>
      </c>
      <c r="G3">
        <v>-0.78</v>
      </c>
      <c r="H3" t="s">
        <v>2557</v>
      </c>
      <c r="I3">
        <v>4877487900</v>
      </c>
      <c r="J3">
        <v>9.69</v>
      </c>
      <c r="K3">
        <v>2.79</v>
      </c>
      <c r="L3" t="s">
        <v>753</v>
      </c>
      <c r="M3" t="s">
        <v>1350</v>
      </c>
      <c r="N3" t="s">
        <v>1801</v>
      </c>
      <c r="O3" t="s">
        <v>244</v>
      </c>
      <c r="P3" s="6">
        <v>-46.56</v>
      </c>
      <c r="Q3" t="s">
        <v>650</v>
      </c>
      <c r="R3">
        <v>-126500000</v>
      </c>
      <c r="S3">
        <v>-0.87409999999999999</v>
      </c>
      <c r="T3" t="s">
        <v>413</v>
      </c>
      <c r="U3">
        <v>83898729</v>
      </c>
      <c r="V3">
        <v>192405840</v>
      </c>
      <c r="W3">
        <v>1.92</v>
      </c>
      <c r="X3">
        <v>0.1</v>
      </c>
      <c r="Y3">
        <v>6.38</v>
      </c>
      <c r="Z3" t="s">
        <v>226</v>
      </c>
      <c r="AA3" t="s">
        <v>215</v>
      </c>
      <c r="AB3" t="s">
        <v>1863</v>
      </c>
      <c r="AC3" t="s">
        <v>1864</v>
      </c>
      <c r="AD3" t="s">
        <v>2</v>
      </c>
      <c r="AE3">
        <v>4404108</v>
      </c>
      <c r="AF3" t="s">
        <v>1352</v>
      </c>
      <c r="AG3" t="s">
        <v>1865</v>
      </c>
      <c r="AH3" t="s">
        <v>1353</v>
      </c>
      <c r="AI3" t="s">
        <v>989</v>
      </c>
      <c r="AJ3" t="s">
        <v>1354</v>
      </c>
      <c r="AK3" t="s">
        <v>74</v>
      </c>
      <c r="AL3" t="s">
        <v>1355</v>
      </c>
      <c r="AM3" t="s">
        <v>2</v>
      </c>
      <c r="AN3" t="s">
        <v>1866</v>
      </c>
      <c r="AO3" t="s">
        <v>140</v>
      </c>
      <c r="AP3" t="s">
        <v>887</v>
      </c>
      <c r="AQ3" t="s">
        <v>81</v>
      </c>
      <c r="AR3" t="s">
        <v>2</v>
      </c>
      <c r="AS3" t="s">
        <v>1397</v>
      </c>
      <c r="AT3" t="s">
        <v>1356</v>
      </c>
      <c r="AU3" t="s">
        <v>930</v>
      </c>
      <c r="AV3" t="s">
        <v>1173</v>
      </c>
      <c r="AW3" t="s">
        <v>70</v>
      </c>
      <c r="AX3" t="s">
        <v>698</v>
      </c>
      <c r="AY3" t="s">
        <v>129</v>
      </c>
      <c r="AZ3" t="s">
        <v>155</v>
      </c>
      <c r="BA3" t="s">
        <v>321</v>
      </c>
      <c r="BB3" t="s">
        <v>405</v>
      </c>
      <c r="BC3" t="s">
        <v>268</v>
      </c>
      <c r="BD3" t="s">
        <v>52</v>
      </c>
      <c r="BE3" t="s">
        <v>918</v>
      </c>
      <c r="BF3" t="s">
        <v>919</v>
      </c>
      <c r="BG3" t="s">
        <v>920</v>
      </c>
      <c r="BH3" t="s">
        <v>650</v>
      </c>
      <c r="BI3" t="s">
        <v>416</v>
      </c>
      <c r="BJ3" t="s">
        <v>698</v>
      </c>
      <c r="BK3" t="s">
        <v>413</v>
      </c>
      <c r="BL3" t="s">
        <v>67</v>
      </c>
      <c r="BM3" t="s">
        <v>268</v>
      </c>
      <c r="BN3">
        <v>38.200000000000003</v>
      </c>
      <c r="BO3">
        <v>27.53</v>
      </c>
      <c r="BP3">
        <v>31.12</v>
      </c>
      <c r="BQ3">
        <v>41.65</v>
      </c>
      <c r="BR3">
        <v>34.07</v>
      </c>
      <c r="BS3">
        <v>33.049999999999997</v>
      </c>
      <c r="BT3" t="s">
        <v>1867</v>
      </c>
      <c r="BU3" t="s">
        <v>1868</v>
      </c>
      <c r="BV3">
        <v>30.59</v>
      </c>
      <c r="BW3">
        <v>27.88</v>
      </c>
      <c r="BX3">
        <v>26.26</v>
      </c>
      <c r="BY3">
        <v>20.9</v>
      </c>
      <c r="BZ3">
        <v>16.63</v>
      </c>
      <c r="CA3">
        <v>15.73</v>
      </c>
      <c r="CB3">
        <v>-2.72</v>
      </c>
      <c r="CC3">
        <v>-21.59</v>
      </c>
      <c r="CD3" t="s">
        <v>2558</v>
      </c>
      <c r="CE3" t="s">
        <v>2559</v>
      </c>
      <c r="CF3" s="10">
        <v>-0.46540880503144655</v>
      </c>
      <c r="CG3" s="11">
        <v>-1.7354651162790697</v>
      </c>
      <c r="CH3" s="10">
        <v>1.1820082664489746</v>
      </c>
      <c r="CI3" s="10">
        <v>0.69103771448135376</v>
      </c>
      <c r="CJ3" s="10">
        <v>0.51428574323654175</v>
      </c>
      <c r="CK3" s="10">
        <v>-2.4390242993831635E-2</v>
      </c>
      <c r="CL3" s="10">
        <v>4.7445256263017654E-2</v>
      </c>
      <c r="CM3" s="11">
        <v>1.7478991746902466</v>
      </c>
      <c r="CN3" s="11">
        <v>0.78947371244430542</v>
      </c>
      <c r="CO3" s="11">
        <v>0.56361126899719238</v>
      </c>
      <c r="CP3" s="11">
        <v>0.45232540369033813</v>
      </c>
      <c r="CQ3" s="11">
        <v>0.17096489667892456</v>
      </c>
      <c r="CR3">
        <v>24.014336754622349</v>
      </c>
      <c r="CS3">
        <v>0.49814281628861251</v>
      </c>
      <c r="CT3">
        <v>4.7334852071005917</v>
      </c>
      <c r="CU3" s="10">
        <v>0.48207734748721121</v>
      </c>
      <c r="CV3" s="11">
        <v>0.74485489130020144</v>
      </c>
      <c r="CW3">
        <v>0.06</v>
      </c>
      <c r="CX3">
        <v>5.2213648903220209</v>
      </c>
      <c r="CY3">
        <v>914413759.67607188</v>
      </c>
      <c r="CZ3">
        <v>0.48207734748721121</v>
      </c>
      <c r="DA3">
        <v>1.2438043996097026</v>
      </c>
      <c r="DB3">
        <v>3838616346.3469033</v>
      </c>
      <c r="DC3">
        <v>0.45797348011285061</v>
      </c>
      <c r="DD3">
        <v>0.3822998678049202</v>
      </c>
      <c r="DE3">
        <v>12488855744.089149</v>
      </c>
      <c r="DF3">
        <v>0.42422806578874589</v>
      </c>
      <c r="DG3">
        <v>0.12642133016216134</v>
      </c>
      <c r="DH3">
        <v>37766474169.159096</v>
      </c>
      <c r="DI3">
        <v>0.38566187798976898</v>
      </c>
      <c r="DJ3">
        <v>1.4620871934085084E-2</v>
      </c>
      <c r="DK3">
        <v>326552884227.74689</v>
      </c>
      <c r="DL3">
        <v>0.33745414324104783</v>
      </c>
      <c r="DM3">
        <v>654000000</v>
      </c>
      <c r="DN3">
        <v>0.48207734748721121</v>
      </c>
      <c r="DO3">
        <v>4774487900</v>
      </c>
      <c r="DP3">
        <v>1693238000</v>
      </c>
      <c r="DQ3" s="12">
        <v>465</v>
      </c>
      <c r="DR3">
        <v>-0.94748615251865775</v>
      </c>
      <c r="DS3">
        <v>-2.4803200075792713</v>
      </c>
      <c r="DT3">
        <v>0.32666666666666661</v>
      </c>
      <c r="DU3">
        <v>8.4999999999999895E-2</v>
      </c>
      <c r="DV3">
        <v>0.41166666666666651</v>
      </c>
      <c r="DW3">
        <v>-8.1259842519685037</v>
      </c>
      <c r="DX3">
        <v>0.45981616178260665</v>
      </c>
      <c r="DY3">
        <v>-8.0276933747127686</v>
      </c>
      <c r="DZ3">
        <v>932</v>
      </c>
      <c r="EA3">
        <v>-8.0226394829500318</v>
      </c>
      <c r="EB3" s="13">
        <v>8</v>
      </c>
      <c r="EC3">
        <v>7.3492571743144594E-2</v>
      </c>
      <c r="ED3">
        <v>0.3343365253362372</v>
      </c>
      <c r="EE3">
        <v>1.0329999999999999</v>
      </c>
      <c r="EF3">
        <v>1.0251999999999999</v>
      </c>
      <c r="EG3">
        <v>24.219816161782607</v>
      </c>
      <c r="EH3" s="14" t="s">
        <v>958</v>
      </c>
      <c r="EI3">
        <v>0</v>
      </c>
      <c r="EJ3">
        <v>1</v>
      </c>
      <c r="EK3">
        <v>45490</v>
      </c>
      <c r="EL3">
        <v>0.42</v>
      </c>
      <c r="EM3">
        <v>0.69</v>
      </c>
      <c r="EN3">
        <v>-3.19</v>
      </c>
      <c r="EO3">
        <v>0.16</v>
      </c>
      <c r="EP3">
        <v>-0.78</v>
      </c>
    </row>
    <row r="4" spans="1:146" ht="192" hidden="1" x14ac:dyDescent="0.25">
      <c r="A4" s="9" t="s">
        <v>1200</v>
      </c>
      <c r="B4" s="9" t="s">
        <v>1201</v>
      </c>
      <c r="C4" s="8" t="str">
        <f>"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amp;CHAR(10)&amp;Basic_Fundamental_Information_Constructure(F4)&amp;CHAR(10)&amp;Basic_Fundamental_Information_Concatenate("光伏产品 58.62亿 62.57% 47.79% 13.23%
磁性材料 21.44亿 22.88% 30.88% 23.39%
锂电池 8.13亿 8.68% 11.85% 23.65%
器件 3.75亿 4.00% 4.11% 17.81%
其他 1.76亿 1.88% 5.36% 49.50%")</f>
        <v>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
市值192.76538亿, 利润18.16亿; PE12.15; 平均PE16.53; 平均PEG.61, PB2.18; ROIC15.84%; ROE20.3833%; 股利率3.2774%; 毛利18.7933%; 净利8.9067%; 上一年度营收增1.39%, 利润增8.81%; 当季营收增-8.61%, 利润增-39.41%; 过往5年营收增27.17%, 利润增23.06%
Income profile:
光伏产品 58.62亿 62.57% 47.79% 13.23%
磁性材料 21.44亿 22.88% 30.88% 23.39%
锂电池 8.13亿 8.68% 11.85% 23.65%
器件 3.75亿 4.00% 4.11% 17.81%
其他 1.76亿 1.88% 5.36% 49.50%</v>
      </c>
      <c r="D4" t="s">
        <v>1191</v>
      </c>
      <c r="E4" t="s">
        <v>1192</v>
      </c>
      <c r="F4">
        <v>11.85</v>
      </c>
      <c r="G4">
        <v>-0.92</v>
      </c>
      <c r="H4" t="s">
        <v>2560</v>
      </c>
      <c r="I4">
        <v>19276538000</v>
      </c>
      <c r="J4">
        <v>12.15</v>
      </c>
      <c r="K4">
        <v>2.1800000000000002</v>
      </c>
      <c r="L4" t="s">
        <v>753</v>
      </c>
      <c r="M4" t="s">
        <v>1359</v>
      </c>
      <c r="N4" t="s">
        <v>1869</v>
      </c>
      <c r="O4" t="s">
        <v>1360</v>
      </c>
      <c r="P4" s="6">
        <v>-8.6</v>
      </c>
      <c r="Q4" t="s">
        <v>1361</v>
      </c>
      <c r="R4">
        <v>353244030</v>
      </c>
      <c r="S4">
        <v>-0.39400000000000002</v>
      </c>
      <c r="T4" t="s">
        <v>292</v>
      </c>
      <c r="U4">
        <v>1625058000</v>
      </c>
      <c r="V4">
        <v>1626712100</v>
      </c>
      <c r="W4">
        <v>2.38</v>
      </c>
      <c r="X4">
        <v>0.2</v>
      </c>
      <c r="Y4">
        <v>8.32</v>
      </c>
      <c r="Z4" t="s">
        <v>1870</v>
      </c>
      <c r="AA4" t="s">
        <v>1871</v>
      </c>
      <c r="AB4" t="s">
        <v>1872</v>
      </c>
      <c r="AC4" t="s">
        <v>141</v>
      </c>
      <c r="AD4" t="s">
        <v>2</v>
      </c>
      <c r="AE4">
        <v>-18290328</v>
      </c>
      <c r="AF4" t="s">
        <v>1362</v>
      </c>
      <c r="AG4" t="s">
        <v>1873</v>
      </c>
      <c r="AH4" t="s">
        <v>1363</v>
      </c>
      <c r="AI4" t="s">
        <v>1874</v>
      </c>
      <c r="AJ4" t="s">
        <v>1364</v>
      </c>
      <c r="AK4" t="s">
        <v>1875</v>
      </c>
      <c r="AL4" t="s">
        <v>1365</v>
      </c>
      <c r="AM4" t="s">
        <v>2</v>
      </c>
      <c r="AN4" t="s">
        <v>391</v>
      </c>
      <c r="AO4" t="s">
        <v>1580</v>
      </c>
      <c r="AP4" t="s">
        <v>1876</v>
      </c>
      <c r="AQ4" t="s">
        <v>1877</v>
      </c>
      <c r="AR4" t="s">
        <v>1878</v>
      </c>
      <c r="AS4" t="s">
        <v>1879</v>
      </c>
      <c r="AT4" t="s">
        <v>220</v>
      </c>
      <c r="AU4" t="s">
        <v>737</v>
      </c>
      <c r="AV4" t="s">
        <v>469</v>
      </c>
      <c r="AW4" t="s">
        <v>1880</v>
      </c>
      <c r="AX4" t="s">
        <v>1193</v>
      </c>
      <c r="AY4" t="s">
        <v>1195</v>
      </c>
      <c r="AZ4" t="s">
        <v>1172</v>
      </c>
      <c r="BA4" t="s">
        <v>1196</v>
      </c>
      <c r="BB4" t="s">
        <v>1197</v>
      </c>
      <c r="BC4" t="s">
        <v>1194</v>
      </c>
      <c r="BD4" t="s">
        <v>408</v>
      </c>
      <c r="BE4" t="s">
        <v>440</v>
      </c>
      <c r="BF4" t="s">
        <v>911</v>
      </c>
      <c r="BG4" t="s">
        <v>444</v>
      </c>
      <c r="BH4" t="s">
        <v>1361</v>
      </c>
      <c r="BI4" t="s">
        <v>1217</v>
      </c>
      <c r="BJ4" t="s">
        <v>1193</v>
      </c>
      <c r="BK4" t="s">
        <v>292</v>
      </c>
      <c r="BL4" t="s">
        <v>459</v>
      </c>
      <c r="BM4" t="s">
        <v>1194</v>
      </c>
      <c r="BN4">
        <v>14.38</v>
      </c>
      <c r="BO4">
        <v>18.78</v>
      </c>
      <c r="BP4">
        <v>14.36</v>
      </c>
      <c r="BQ4">
        <v>20.11</v>
      </c>
      <c r="BR4">
        <v>23.29</v>
      </c>
      <c r="BS4">
        <v>17.75</v>
      </c>
      <c r="BT4" t="s">
        <v>1881</v>
      </c>
      <c r="BU4" t="s">
        <v>1882</v>
      </c>
      <c r="BV4">
        <v>20.73</v>
      </c>
      <c r="BW4">
        <v>17.48</v>
      </c>
      <c r="BX4">
        <v>18.170000000000002</v>
      </c>
      <c r="BY4">
        <v>9.26</v>
      </c>
      <c r="BZ4">
        <v>8.58</v>
      </c>
      <c r="CA4">
        <v>8.8800000000000008</v>
      </c>
      <c r="CB4">
        <v>0.25</v>
      </c>
      <c r="CC4" s="10">
        <v>-15.6</v>
      </c>
      <c r="CD4" s="11" t="s">
        <v>2561</v>
      </c>
      <c r="CE4" s="10" t="s">
        <v>2562</v>
      </c>
      <c r="CF4" s="10">
        <v>-8.6139896373056996E-2</v>
      </c>
      <c r="CG4" s="10">
        <v>-0.39409257289879929</v>
      </c>
      <c r="CH4" s="10">
        <v>1.388104073703289E-2</v>
      </c>
      <c r="CI4" s="10">
        <v>0.54287314414978027</v>
      </c>
      <c r="CJ4" s="11">
        <v>0.55526769161224365</v>
      </c>
      <c r="CK4" s="11">
        <v>0.23491775989532471</v>
      </c>
      <c r="CL4" s="11">
        <v>1.1557991616427898E-2</v>
      </c>
      <c r="CM4" s="11">
        <v>8.8076651096343994E-2</v>
      </c>
      <c r="CN4" s="11">
        <v>0.49017861485481262</v>
      </c>
      <c r="CO4">
        <v>0.10453648865222931</v>
      </c>
      <c r="CP4">
        <v>0.46743848919868469</v>
      </c>
      <c r="CQ4">
        <v>2.9027576092630625E-3</v>
      </c>
      <c r="CR4" s="10">
        <v>16.525107586798114</v>
      </c>
      <c r="CS4" s="11">
        <v>0.6082126036169504</v>
      </c>
      <c r="CT4">
        <v>3.2774219409282699</v>
      </c>
      <c r="CU4">
        <v>0.27169952560216187</v>
      </c>
      <c r="CV4">
        <v>0.23062660028226672</v>
      </c>
      <c r="CW4">
        <v>0.06</v>
      </c>
      <c r="CX4">
        <v>10.221549099669701</v>
      </c>
      <c r="CY4">
        <v>2178685224.9938922</v>
      </c>
      <c r="CZ4">
        <v>0.27169952560216187</v>
      </c>
      <c r="DA4">
        <v>2.8734632210818645</v>
      </c>
      <c r="DB4">
        <v>7750068919.1405325</v>
      </c>
      <c r="DC4">
        <v>0.25811454932205374</v>
      </c>
      <c r="DD4">
        <v>1.1424226186055075</v>
      </c>
      <c r="DE4">
        <v>19493257256.393612</v>
      </c>
      <c r="DF4">
        <v>0.23909558252990246</v>
      </c>
      <c r="DG4">
        <v>0.52989349437528499</v>
      </c>
      <c r="DH4">
        <v>42026441608.335937</v>
      </c>
      <c r="DI4">
        <v>0.21735962048172952</v>
      </c>
      <c r="DJ4">
        <v>0.14669754634594975</v>
      </c>
      <c r="DK4">
        <v>151805797402.24707</v>
      </c>
      <c r="DL4">
        <v>0.19018966792151329</v>
      </c>
      <c r="DM4">
        <v>1816000000</v>
      </c>
      <c r="DN4">
        <v>0.27169952560216187</v>
      </c>
      <c r="DO4">
        <v>22269538000</v>
      </c>
      <c r="DP4">
        <v>2950830000</v>
      </c>
      <c r="DQ4" s="12">
        <v>573</v>
      </c>
      <c r="DR4">
        <v>-0.3578394219752189</v>
      </c>
      <c r="DS4">
        <v>-0.62471917318106596</v>
      </c>
      <c r="DT4">
        <v>-4.0000000000000036E-2</v>
      </c>
      <c r="DU4">
        <v>4.6666666666666669E-2</v>
      </c>
      <c r="DV4">
        <v>6.6666666666666333E-3</v>
      </c>
      <c r="DW4">
        <v>-2.1560000000000001</v>
      </c>
      <c r="DX4">
        <v>0.45252570422535116</v>
      </c>
      <c r="DY4">
        <v>-2.0206740098591549</v>
      </c>
      <c r="DZ4">
        <v>1785</v>
      </c>
      <c r="EA4">
        <v>-2.0134480244276705</v>
      </c>
      <c r="EB4" s="13">
        <v>2</v>
      </c>
      <c r="EC4" s="13">
        <v>2.3137038201166634E-2</v>
      </c>
      <c r="ED4">
        <v>0.1745852877100994</v>
      </c>
      <c r="EE4">
        <v>-3.0118100000000001</v>
      </c>
      <c r="EF4">
        <v>-3.02101</v>
      </c>
      <c r="EG4">
        <v>32.132525704225351</v>
      </c>
      <c r="EH4" s="14" t="s">
        <v>1214</v>
      </c>
      <c r="EI4">
        <v>0</v>
      </c>
      <c r="EJ4">
        <v>0</v>
      </c>
      <c r="EK4">
        <v>45490</v>
      </c>
      <c r="EL4">
        <v>2.96</v>
      </c>
      <c r="EM4">
        <v>-0.99</v>
      </c>
      <c r="EN4">
        <v>-1</v>
      </c>
      <c r="EO4">
        <v>0.25</v>
      </c>
      <c r="EP4">
        <v>-0.92</v>
      </c>
    </row>
    <row r="5" spans="1:146" ht="96" hidden="1" x14ac:dyDescent="0.25">
      <c r="C5" s="8" t="str">
        <f>""&amp;CHAR(10)&amp;Basic_Fundamental_Information_Constructure(F5)&amp;CHAR(10)&amp;Basic_Fundamental_Information_Concatenate("")</f>
        <v xml:space="preserve">
市值65.293358亿, 利润1.53亿; PE47.37; 平均PE38.28; 平均PEG2.12, PB2.24; ROIC8.9367%; ROE9.2033%; 股利率.4703%; 毛利16.8433%; 净利8.0533%; 上一年度营收增25.06%, 利润增-58.76%; 当季营收增55.95%, 利润增-52.69%; 过往5年营收增18.09%, 利润增29.67%
Income profile:
</v>
      </c>
      <c r="D5" t="s">
        <v>1325</v>
      </c>
      <c r="E5" t="s">
        <v>1326</v>
      </c>
      <c r="F5">
        <v>8.08</v>
      </c>
      <c r="G5">
        <v>-1.58</v>
      </c>
      <c r="H5" t="s">
        <v>2563</v>
      </c>
      <c r="I5">
        <v>6529335800</v>
      </c>
      <c r="J5">
        <v>47.37</v>
      </c>
      <c r="K5">
        <v>2.2400000000000002</v>
      </c>
      <c r="L5" t="s">
        <v>753</v>
      </c>
      <c r="M5" t="s">
        <v>138</v>
      </c>
      <c r="N5" t="s">
        <v>1883</v>
      </c>
      <c r="O5" t="s">
        <v>232</v>
      </c>
      <c r="P5" s="6">
        <v>55.88</v>
      </c>
      <c r="Q5" t="s">
        <v>1366</v>
      </c>
      <c r="R5">
        <v>10824700</v>
      </c>
      <c r="S5">
        <v>-0.67530000000000001</v>
      </c>
      <c r="T5" t="s">
        <v>22</v>
      </c>
      <c r="U5">
        <v>807090660</v>
      </c>
      <c r="V5">
        <v>808086120</v>
      </c>
      <c r="W5">
        <v>1.36</v>
      </c>
      <c r="X5">
        <v>0.28999999999999998</v>
      </c>
      <c r="Y5">
        <v>0.62</v>
      </c>
      <c r="Z5" t="s">
        <v>1884</v>
      </c>
      <c r="AA5" t="s">
        <v>1221</v>
      </c>
      <c r="AB5" t="s">
        <v>1885</v>
      </c>
      <c r="AC5" t="s">
        <v>1886</v>
      </c>
      <c r="AD5" t="s">
        <v>2</v>
      </c>
      <c r="AE5">
        <v>2231586</v>
      </c>
      <c r="AF5" t="s">
        <v>1367</v>
      </c>
      <c r="AG5" t="s">
        <v>1887</v>
      </c>
      <c r="AH5" t="s">
        <v>1368</v>
      </c>
      <c r="AI5" t="s">
        <v>40</v>
      </c>
      <c r="AJ5" t="s">
        <v>1369</v>
      </c>
      <c r="AK5" t="s">
        <v>1888</v>
      </c>
      <c r="AL5" t="s">
        <v>1370</v>
      </c>
      <c r="AM5" t="s">
        <v>2</v>
      </c>
      <c r="AN5" t="s">
        <v>1889</v>
      </c>
      <c r="AO5" t="s">
        <v>156</v>
      </c>
      <c r="AP5" t="s">
        <v>247</v>
      </c>
      <c r="AQ5" t="s">
        <v>370</v>
      </c>
      <c r="AR5" t="s">
        <v>1890</v>
      </c>
      <c r="AS5" t="s">
        <v>947</v>
      </c>
      <c r="AT5" t="s">
        <v>2</v>
      </c>
      <c r="AU5" t="s">
        <v>1891</v>
      </c>
      <c r="AV5" t="s">
        <v>186</v>
      </c>
      <c r="AW5" t="s">
        <v>1892</v>
      </c>
      <c r="AX5" t="s">
        <v>1327</v>
      </c>
      <c r="AY5" t="s">
        <v>1282</v>
      </c>
      <c r="AZ5" t="s">
        <v>1065</v>
      </c>
      <c r="BA5" t="s">
        <v>1292</v>
      </c>
      <c r="BB5" t="s">
        <v>1300</v>
      </c>
      <c r="BC5" t="s">
        <v>487</v>
      </c>
      <c r="BD5" t="s">
        <v>95</v>
      </c>
      <c r="BE5" t="s">
        <v>1328</v>
      </c>
      <c r="BF5" t="s">
        <v>1329</v>
      </c>
      <c r="BG5" t="s">
        <v>1330</v>
      </c>
      <c r="BH5" t="s">
        <v>1366</v>
      </c>
      <c r="BI5" t="s">
        <v>387</v>
      </c>
      <c r="BJ5" t="s">
        <v>1327</v>
      </c>
      <c r="BK5" t="s">
        <v>22</v>
      </c>
      <c r="BL5" t="s">
        <v>1277</v>
      </c>
      <c r="BM5" t="s">
        <v>487</v>
      </c>
      <c r="BN5">
        <v>2.95</v>
      </c>
      <c r="BO5">
        <v>13.94</v>
      </c>
      <c r="BP5">
        <v>9.92</v>
      </c>
      <c r="BQ5">
        <v>2.98</v>
      </c>
      <c r="BR5">
        <v>14.57</v>
      </c>
      <c r="BS5">
        <v>10.06</v>
      </c>
      <c r="BT5" t="s">
        <v>996</v>
      </c>
      <c r="BU5" t="s">
        <v>1868</v>
      </c>
      <c r="BV5">
        <v>14.36</v>
      </c>
      <c r="BW5">
        <v>17.21</v>
      </c>
      <c r="BX5">
        <v>18.96</v>
      </c>
      <c r="BY5">
        <v>3.81</v>
      </c>
      <c r="BZ5">
        <v>11.44</v>
      </c>
      <c r="CA5">
        <v>8.91</v>
      </c>
      <c r="CB5">
        <v>-2.65</v>
      </c>
      <c r="CC5" s="10">
        <v>-10.64</v>
      </c>
      <c r="CD5" s="11" t="s">
        <v>2564</v>
      </c>
      <c r="CE5" s="10" t="s">
        <v>2565</v>
      </c>
      <c r="CF5" s="10">
        <v>0.55950752393980852</v>
      </c>
      <c r="CG5" s="10">
        <v>-0.52692763212523541</v>
      </c>
      <c r="CH5" s="10">
        <v>0.25061202049255371</v>
      </c>
      <c r="CI5" s="10">
        <v>0.31987076997756958</v>
      </c>
      <c r="CJ5" s="11">
        <v>0.37174519896507263</v>
      </c>
      <c r="CK5" s="11">
        <v>-8.8844023644924164E-2</v>
      </c>
      <c r="CL5" s="11">
        <v>5.0928313285112381E-2</v>
      </c>
      <c r="CM5" s="11">
        <v>-0.58760106563568115</v>
      </c>
      <c r="CN5" s="11">
        <v>0.70183485746383667</v>
      </c>
      <c r="CO5">
        <v>1.4121288061141968</v>
      </c>
      <c r="CP5">
        <v>-6.3009202480316162E-2</v>
      </c>
      <c r="CQ5">
        <v>2.0133156329393387E-2</v>
      </c>
      <c r="CR5" s="10">
        <v>38.280960017635657</v>
      </c>
      <c r="CS5" s="11">
        <v>2.116578581503731</v>
      </c>
      <c r="CT5">
        <v>0.47029702970297027</v>
      </c>
      <c r="CU5">
        <v>0.18086245581507682</v>
      </c>
      <c r="CV5">
        <v>0.29669731035828589</v>
      </c>
      <c r="CW5">
        <v>0.06</v>
      </c>
      <c r="CX5">
        <v>26.866903212102677</v>
      </c>
      <c r="CY5">
        <v>170445241.26387429</v>
      </c>
      <c r="CZ5">
        <v>0.18086245581507682</v>
      </c>
      <c r="DA5">
        <v>8.1362712803595301</v>
      </c>
      <c r="DB5">
        <v>562829783.10399282</v>
      </c>
      <c r="DC5">
        <v>0.17181933302432298</v>
      </c>
      <c r="DD5">
        <v>3.6055990326603289</v>
      </c>
      <c r="DE5">
        <v>1270062410.8558228</v>
      </c>
      <c r="DF5">
        <v>0.1591589611172676</v>
      </c>
      <c r="DG5">
        <v>1.9141580290732685</v>
      </c>
      <c r="DH5">
        <v>2392349915.9664817</v>
      </c>
      <c r="DI5">
        <v>0.14468996465206146</v>
      </c>
      <c r="DJ5">
        <v>0.74252007815286114</v>
      </c>
      <c r="DK5">
        <v>6167288851.4905062</v>
      </c>
      <c r="DL5">
        <v>0.12660371907055376</v>
      </c>
      <c r="DM5">
        <v>153000000</v>
      </c>
      <c r="DN5">
        <v>0.18086245581507682</v>
      </c>
      <c r="DO5">
        <v>4579335800</v>
      </c>
      <c r="DP5">
        <v>1516553600</v>
      </c>
      <c r="DQ5" s="12">
        <v>594</v>
      </c>
      <c r="DR5">
        <v>0.3786450681247317</v>
      </c>
      <c r="DS5">
        <v>-0.82362494248352136</v>
      </c>
      <c r="DT5">
        <v>1.0000000000000011E-2</v>
      </c>
      <c r="DU5">
        <v>0.18000000000000005</v>
      </c>
      <c r="DV5">
        <v>0.19000000000000006</v>
      </c>
      <c r="DW5">
        <v>-8.2490601503759393</v>
      </c>
      <c r="DX5">
        <v>0.27070897703549079</v>
      </c>
      <c r="DY5">
        <v>-8.0350449989797035</v>
      </c>
      <c r="DZ5">
        <v>1366</v>
      </c>
      <c r="EA5">
        <v>-8.025671302365982</v>
      </c>
      <c r="EB5" s="13">
        <v>8</v>
      </c>
      <c r="EC5" s="13">
        <v>8.3406456727656703E-2</v>
      </c>
      <c r="ED5">
        <v>0.59275860350131993</v>
      </c>
      <c r="EE5">
        <v>2.07281</v>
      </c>
      <c r="EF5">
        <v>2.0886100000000001</v>
      </c>
      <c r="EG5">
        <v>13.140708977035491</v>
      </c>
      <c r="EH5" s="14" t="s">
        <v>974</v>
      </c>
      <c r="EI5">
        <v>0</v>
      </c>
      <c r="EJ5">
        <v>1</v>
      </c>
      <c r="EK5">
        <v>45490</v>
      </c>
      <c r="EL5">
        <v>0.12</v>
      </c>
      <c r="EM5">
        <v>-0.84</v>
      </c>
      <c r="EN5">
        <v>-1.21</v>
      </c>
      <c r="EO5">
        <v>0.86</v>
      </c>
      <c r="EP5">
        <v>-1.58</v>
      </c>
    </row>
    <row r="6" spans="1:146" ht="192" hidden="1" x14ac:dyDescent="0.25">
      <c r="A6" s="8"/>
      <c r="B6" s="8"/>
      <c r="C6" s="8" t="str">
        <f>"公司主营业务为半导体硅片、半导体功率和整流器件、导体光伏单晶硅片、光伏电池及组件的研发、生产和销售。主要产品有半导体材料、半导体器件、半导体光伏材料、光伏电池及组件；高效光伏电站项目开发及运营。"&amp;CHAR(10)&amp;Basic_Fundamental_Information_Constructure(F6)&amp;CHAR(10)&amp;Basic_Fundamental_Information_Concatenate("光伏硅片 317.97亿 77.36% 81.06% 22.73%
光伏组件 61.19亿 14.89% 9.10% 13.26%
半导体材料 20.34亿 4.95% 5.52% 24.20%
光伏电站 5.33亿 1.30% 3.10% 51.89%
其他 5.31亿 1.29% 1.30% 21.92%
半导体器件 9190.93万 0.22% -0.09% -8.37%")</f>
        <v>公司主营业务为半导体硅片、半导体功率和整流器件、导体光伏单晶硅片、光伏电池及组件的研发、生产和销售。主要产品有半导体材料、半导体器件、半导体光伏材料、光伏电池及组件；高效光伏电站项目开发及运营。
市值352.96401亿, 利润34.16亿; PE124.7; 平均PE12.54; 平均PEG.31, PB.87; ROIC9.29%; ROE17.7%; 股利率2.9782%; 毛利19.92%; 净利9.3133%; 上一年度营收增-11.74%, 利润增-49.9%; 当季营收增-43.62%, 利润增-235.38%; 过往5年营收增40.52%, 利润增70.57%
Income profile:
光伏硅片 317.97亿 77.36% 81.06% 22.73%
光伏组件 61.19亿 14.89% 9.10% 13.26%
半导体材料 20.34亿 4.95% 5.52% 24.20%
光伏电站 5.33亿 1.30% 3.10% 51.89%
其他 5.31亿 1.29% 1.30% 21.92%
半导体器件 9190.93万 0.22% -0.09% -8.37%</v>
      </c>
      <c r="D6" t="s">
        <v>493</v>
      </c>
      <c r="E6" t="s">
        <v>862</v>
      </c>
      <c r="F6">
        <v>8.73</v>
      </c>
      <c r="G6">
        <v>1.28</v>
      </c>
      <c r="H6" t="s">
        <v>150</v>
      </c>
      <c r="I6">
        <v>35296401000</v>
      </c>
      <c r="J6">
        <v>124.7</v>
      </c>
      <c r="K6">
        <v>0.87</v>
      </c>
      <c r="L6" t="s">
        <v>753</v>
      </c>
      <c r="M6" t="s">
        <v>1373</v>
      </c>
      <c r="N6" t="s">
        <v>1893</v>
      </c>
      <c r="O6" t="s">
        <v>1293</v>
      </c>
      <c r="P6">
        <v>-43.62</v>
      </c>
      <c r="Q6" t="s">
        <v>1374</v>
      </c>
      <c r="R6">
        <v>-3050000000</v>
      </c>
      <c r="S6" s="6">
        <v>-1.39</v>
      </c>
      <c r="T6" t="s">
        <v>1375</v>
      </c>
      <c r="U6">
        <v>4039748300</v>
      </c>
      <c r="V6">
        <v>4043115800</v>
      </c>
      <c r="W6">
        <v>2.11</v>
      </c>
      <c r="X6">
        <v>0.08</v>
      </c>
      <c r="Y6">
        <v>-9.58</v>
      </c>
      <c r="Z6" t="s">
        <v>1894</v>
      </c>
      <c r="AA6" t="s">
        <v>1895</v>
      </c>
      <c r="AB6" t="s">
        <v>133</v>
      </c>
      <c r="AC6" t="s">
        <v>99</v>
      </c>
      <c r="AD6" t="s">
        <v>2</v>
      </c>
      <c r="AE6">
        <v>280662480</v>
      </c>
      <c r="AF6" t="s">
        <v>1376</v>
      </c>
      <c r="AG6" t="s">
        <v>1896</v>
      </c>
      <c r="AH6" t="s">
        <v>1377</v>
      </c>
      <c r="AI6" t="s">
        <v>1897</v>
      </c>
      <c r="AJ6" t="s">
        <v>1378</v>
      </c>
      <c r="AK6" t="s">
        <v>1898</v>
      </c>
      <c r="AL6" t="s">
        <v>1379</v>
      </c>
      <c r="AM6" t="s">
        <v>2</v>
      </c>
      <c r="AN6" t="s">
        <v>1899</v>
      </c>
      <c r="AO6" t="s">
        <v>365</v>
      </c>
      <c r="AP6" t="s">
        <v>1900</v>
      </c>
      <c r="AQ6" t="s">
        <v>1901</v>
      </c>
      <c r="AR6" t="s">
        <v>2</v>
      </c>
      <c r="AS6" t="s">
        <v>1902</v>
      </c>
      <c r="AT6" t="s">
        <v>1903</v>
      </c>
      <c r="AU6" t="s">
        <v>994</v>
      </c>
      <c r="AV6" t="s">
        <v>1904</v>
      </c>
      <c r="AW6" t="s">
        <v>890</v>
      </c>
      <c r="AX6" t="s">
        <v>984</v>
      </c>
      <c r="AY6" t="s">
        <v>760</v>
      </c>
      <c r="AZ6" t="s">
        <v>494</v>
      </c>
      <c r="BA6" t="s">
        <v>495</v>
      </c>
      <c r="BB6" t="s">
        <v>496</v>
      </c>
      <c r="BC6" t="s">
        <v>985</v>
      </c>
      <c r="BD6" t="s">
        <v>761</v>
      </c>
      <c r="BE6" t="s">
        <v>302</v>
      </c>
      <c r="BF6" t="s">
        <v>467</v>
      </c>
      <c r="BG6" t="s">
        <v>421</v>
      </c>
      <c r="BH6" t="s">
        <v>1374</v>
      </c>
      <c r="BI6" t="s">
        <v>1381</v>
      </c>
      <c r="BJ6" t="s">
        <v>984</v>
      </c>
      <c r="BK6" t="s">
        <v>1375</v>
      </c>
      <c r="BL6" t="s">
        <v>777</v>
      </c>
      <c r="BM6" t="s">
        <v>985</v>
      </c>
      <c r="BN6">
        <v>7.63</v>
      </c>
      <c r="BO6">
        <v>10.94</v>
      </c>
      <c r="BP6">
        <v>9.3000000000000007</v>
      </c>
      <c r="BQ6">
        <v>15.39</v>
      </c>
      <c r="BR6">
        <v>19.739999999999998</v>
      </c>
      <c r="BS6">
        <v>17.97</v>
      </c>
      <c r="BT6" t="s">
        <v>1382</v>
      </c>
      <c r="BU6" t="s">
        <v>1905</v>
      </c>
      <c r="BV6">
        <v>20.25</v>
      </c>
      <c r="BW6">
        <v>17.82</v>
      </c>
      <c r="BX6">
        <v>21.69</v>
      </c>
      <c r="BY6">
        <v>6.59</v>
      </c>
      <c r="BZ6">
        <v>10.56</v>
      </c>
      <c r="CA6">
        <v>10.79</v>
      </c>
      <c r="CB6">
        <v>6.08</v>
      </c>
      <c r="CC6">
        <v>-17.559999999999999</v>
      </c>
      <c r="CD6" t="s">
        <v>2566</v>
      </c>
      <c r="CE6" t="s">
        <v>2567</v>
      </c>
      <c r="CF6" s="10">
        <v>-0.43623361144219308</v>
      </c>
      <c r="CG6" s="11">
        <v>-2.3537505548158011</v>
      </c>
      <c r="CH6" s="10">
        <v>-0.11735562980175018</v>
      </c>
      <c r="CI6" s="10">
        <v>0.6302153468132019</v>
      </c>
      <c r="CJ6" s="10">
        <v>1.1569501161575317</v>
      </c>
      <c r="CK6" s="10">
        <v>0.12850123643875122</v>
      </c>
      <c r="CL6" s="10">
        <v>0.22760975360870361</v>
      </c>
      <c r="CM6" s="11">
        <v>-0.49904677271842957</v>
      </c>
      <c r="CN6" s="11">
        <v>0.69205957651138306</v>
      </c>
      <c r="CO6" s="11">
        <v>2.7006428241729736</v>
      </c>
      <c r="CP6" s="11">
        <v>0.20464594662189484</v>
      </c>
      <c r="CQ6" s="11">
        <v>0.43037974834442139</v>
      </c>
      <c r="CR6">
        <v>12.538685968028419</v>
      </c>
      <c r="CS6">
        <v>0.30945646602618621</v>
      </c>
      <c r="CT6">
        <v>2.9782359679266897</v>
      </c>
      <c r="CU6" s="10">
        <v>0.40518416464328766</v>
      </c>
      <c r="CV6" s="11">
        <v>0.70573626458644867</v>
      </c>
      <c r="CW6">
        <v>0.06</v>
      </c>
      <c r="CX6">
        <v>9.0224709688499534</v>
      </c>
      <c r="CY6">
        <v>4528404817.3787451</v>
      </c>
      <c r="CZ6">
        <v>0.40518416464328766</v>
      </c>
      <c r="DA6">
        <v>2.2808807911781463</v>
      </c>
      <c r="DB6">
        <v>17912992716.684624</v>
      </c>
      <c r="DC6">
        <v>0.38492495641112323</v>
      </c>
      <c r="DD6">
        <v>0.7705326848744819</v>
      </c>
      <c r="DE6">
        <v>53024877207.714531</v>
      </c>
      <c r="DF6">
        <v>0.35656206488609316</v>
      </c>
      <c r="DG6">
        <v>0.28908557034751986</v>
      </c>
      <c r="DH6">
        <v>141333242440.58218</v>
      </c>
      <c r="DI6">
        <v>0.32414733171463017</v>
      </c>
      <c r="DJ6">
        <v>4.6314398621222982E-2</v>
      </c>
      <c r="DK6">
        <v>882174922190.99255</v>
      </c>
      <c r="DL6">
        <v>0.28362891525030132</v>
      </c>
      <c r="DM6">
        <v>3415999999.9999995</v>
      </c>
      <c r="DN6">
        <v>0.40518416464328766</v>
      </c>
      <c r="DO6">
        <v>40857401000</v>
      </c>
      <c r="DP6">
        <v>12098881000</v>
      </c>
      <c r="DQ6">
        <v>640</v>
      </c>
      <c r="DR6">
        <v>-0.84141777608548074</v>
      </c>
      <c r="DS6">
        <v>-3.0594868194022498</v>
      </c>
      <c r="DT6" s="12">
        <v>0.22666666666666666</v>
      </c>
      <c r="DU6">
        <v>-0.13500000000000004</v>
      </c>
      <c r="DV6">
        <v>9.1666666666666619E-2</v>
      </c>
      <c r="DW6">
        <v>7.2571912013536384</v>
      </c>
      <c r="DX6">
        <v>0.76061962134251326</v>
      </c>
      <c r="DY6">
        <v>7.0490256894146563</v>
      </c>
      <c r="DZ6">
        <v>1586</v>
      </c>
      <c r="EA6">
        <v>7.0338005585331906</v>
      </c>
      <c r="EB6">
        <v>7</v>
      </c>
      <c r="EC6">
        <v>0.1095689616409206</v>
      </c>
      <c r="ED6">
        <v>0.5748042141162516</v>
      </c>
      <c r="EE6" s="13">
        <v>1.7000000000000001E-2</v>
      </c>
      <c r="EF6">
        <v>2.98E-2</v>
      </c>
      <c r="EG6">
        <v>57.190619621342513</v>
      </c>
      <c r="EH6" t="s">
        <v>833</v>
      </c>
      <c r="EI6">
        <v>1</v>
      </c>
      <c r="EJ6">
        <v>0</v>
      </c>
      <c r="EK6" s="14">
        <v>45490</v>
      </c>
      <c r="EL6">
        <v>3.28</v>
      </c>
      <c r="EM6">
        <v>1.29</v>
      </c>
      <c r="EN6">
        <v>-3.37</v>
      </c>
      <c r="EO6">
        <v>3.61</v>
      </c>
      <c r="EP6">
        <v>1.28</v>
      </c>
    </row>
    <row r="7" spans="1:146" ht="96" hidden="1" x14ac:dyDescent="0.25">
      <c r="A7" s="8"/>
      <c r="B7" s="8"/>
      <c r="C7" s="8" t="str">
        <f>""&amp;CHAR(10)&amp;Basic_Fundamental_Information_Constructure(F7)&amp;CHAR(10)&amp;Basic_Fundamental_Information_Concatenate("")</f>
        <v xml:space="preserve">
市值39.281971亿, 利润2310.91万; PE290.1; 平均PE37.82; 平均PEG32.2, PB.934; ROIC3.36%; ROE2.87%; 股利率.7194%; 毛利28.8433%; 净利7.6867%; 上一年度营收增-14.81%, 利润增-75.99%; 当季营收增18.91%, 利润增-79.03%; 过往5年营收增1.17%, 利润增3.09%
Income profile:
</v>
      </c>
      <c r="D7" t="s">
        <v>497</v>
      </c>
      <c r="E7" t="s">
        <v>498</v>
      </c>
      <c r="F7">
        <v>2.78</v>
      </c>
      <c r="G7">
        <v>0.72</v>
      </c>
      <c r="H7" t="s">
        <v>2568</v>
      </c>
      <c r="I7">
        <v>3928197100</v>
      </c>
      <c r="J7">
        <v>290.10000000000002</v>
      </c>
      <c r="K7">
        <v>0.93400000000000005</v>
      </c>
      <c r="L7" t="s">
        <v>753</v>
      </c>
      <c r="M7" t="s">
        <v>1337</v>
      </c>
      <c r="N7" t="s">
        <v>1268</v>
      </c>
      <c r="O7" t="s">
        <v>383</v>
      </c>
      <c r="P7">
        <v>19.25</v>
      </c>
      <c r="Q7" t="s">
        <v>802</v>
      </c>
      <c r="R7">
        <v>2538061</v>
      </c>
      <c r="S7" s="6">
        <v>-0.7903</v>
      </c>
      <c r="T7" t="s">
        <v>1386</v>
      </c>
      <c r="U7">
        <v>1392398200</v>
      </c>
      <c r="V7">
        <v>1413020500</v>
      </c>
      <c r="W7">
        <v>1.62</v>
      </c>
      <c r="X7">
        <v>0.04</v>
      </c>
      <c r="Y7">
        <v>0.9</v>
      </c>
      <c r="Z7" t="s">
        <v>297</v>
      </c>
      <c r="AA7" t="s">
        <v>369</v>
      </c>
      <c r="AB7" t="s">
        <v>1906</v>
      </c>
      <c r="AC7" t="s">
        <v>1907</v>
      </c>
      <c r="AD7" t="s">
        <v>2</v>
      </c>
      <c r="AE7">
        <v>19623703</v>
      </c>
      <c r="AF7" t="s">
        <v>1387</v>
      </c>
      <c r="AG7" t="s">
        <v>1908</v>
      </c>
      <c r="AH7" t="s">
        <v>1388</v>
      </c>
      <c r="AI7" t="s">
        <v>221</v>
      </c>
      <c r="AJ7" t="s">
        <v>1389</v>
      </c>
      <c r="AK7" t="s">
        <v>2</v>
      </c>
      <c r="AL7" t="s">
        <v>1390</v>
      </c>
      <c r="AM7" t="s">
        <v>2</v>
      </c>
      <c r="AN7" t="s">
        <v>381</v>
      </c>
      <c r="AO7" t="s">
        <v>2</v>
      </c>
      <c r="AP7" t="s">
        <v>1909</v>
      </c>
      <c r="AQ7" t="s">
        <v>90</v>
      </c>
      <c r="AR7" t="s">
        <v>1910</v>
      </c>
      <c r="AS7" t="s">
        <v>1911</v>
      </c>
      <c r="AT7" t="s">
        <v>1912</v>
      </c>
      <c r="AU7" t="s">
        <v>1913</v>
      </c>
      <c r="AV7" t="s">
        <v>1914</v>
      </c>
      <c r="AW7" t="s">
        <v>200</v>
      </c>
      <c r="AX7" t="s">
        <v>938</v>
      </c>
      <c r="AY7" t="s">
        <v>763</v>
      </c>
      <c r="AZ7" t="s">
        <v>361</v>
      </c>
      <c r="BA7" t="s">
        <v>388</v>
      </c>
      <c r="BB7" t="s">
        <v>228</v>
      </c>
      <c r="BC7" t="s">
        <v>1391</v>
      </c>
      <c r="BD7" t="s">
        <v>33</v>
      </c>
      <c r="BE7" t="s">
        <v>150</v>
      </c>
      <c r="BF7" t="s">
        <v>987</v>
      </c>
      <c r="BG7" t="s">
        <v>988</v>
      </c>
      <c r="BH7" t="s">
        <v>802</v>
      </c>
      <c r="BI7" t="s">
        <v>268</v>
      </c>
      <c r="BJ7" t="s">
        <v>938</v>
      </c>
      <c r="BK7" t="s">
        <v>1386</v>
      </c>
      <c r="BL7" t="s">
        <v>1392</v>
      </c>
      <c r="BM7" t="s">
        <v>1391</v>
      </c>
      <c r="BN7">
        <v>1.57</v>
      </c>
      <c r="BO7">
        <v>2.8</v>
      </c>
      <c r="BP7">
        <v>5.71</v>
      </c>
      <c r="BQ7">
        <v>1.41</v>
      </c>
      <c r="BR7">
        <v>2.2599999999999998</v>
      </c>
      <c r="BS7">
        <v>4.9400000000000004</v>
      </c>
      <c r="BT7" t="s">
        <v>945</v>
      </c>
      <c r="BU7" t="s">
        <v>1868</v>
      </c>
      <c r="BV7">
        <v>25.05</v>
      </c>
      <c r="BW7">
        <v>27.94</v>
      </c>
      <c r="BX7">
        <v>33.54</v>
      </c>
      <c r="BY7">
        <v>2.0499999999999998</v>
      </c>
      <c r="BZ7">
        <v>7.28</v>
      </c>
      <c r="CA7">
        <v>13.73</v>
      </c>
      <c r="CB7">
        <v>2.58</v>
      </c>
      <c r="CC7">
        <v>-21.25</v>
      </c>
      <c r="CD7" t="s">
        <v>2569</v>
      </c>
      <c r="CE7" t="s">
        <v>387</v>
      </c>
      <c r="CF7" s="10">
        <v>0.18907563025210083</v>
      </c>
      <c r="CG7" s="11">
        <v>-0.79034858459784729</v>
      </c>
      <c r="CH7" s="10">
        <v>-0.14814813435077667</v>
      </c>
      <c r="CI7" s="10">
        <v>-7.092691957950592E-2</v>
      </c>
      <c r="CJ7" s="10">
        <v>4.6289540827274323E-2</v>
      </c>
      <c r="CK7" s="10">
        <v>0.29127129912376404</v>
      </c>
      <c r="CL7" s="10">
        <v>-5.9768009930849075E-2</v>
      </c>
      <c r="CM7" s="11">
        <v>-0.75989043712615967</v>
      </c>
      <c r="CN7" s="11">
        <v>-0.50644099712371826</v>
      </c>
      <c r="CO7" s="11">
        <v>0.21118012070655823</v>
      </c>
      <c r="CP7" s="11">
        <v>1.3373544216156006</v>
      </c>
      <c r="CQ7" s="11">
        <v>-0.12792369723320007</v>
      </c>
      <c r="CR7">
        <v>37.818411096694938</v>
      </c>
      <c r="CS7">
        <v>32.203545174112733</v>
      </c>
      <c r="CT7">
        <v>0.71942446043165476</v>
      </c>
      <c r="CU7" s="10">
        <v>1.1743555217981339E-2</v>
      </c>
      <c r="CV7" s="11">
        <v>3.0855882167816161E-2</v>
      </c>
      <c r="CW7">
        <v>0.06</v>
      </c>
      <c r="CX7">
        <v>98.798169687147436</v>
      </c>
      <c r="CY7">
        <v>22057059.426309295</v>
      </c>
      <c r="CZ7">
        <v>1.1743555217981339E-2</v>
      </c>
      <c r="DA7">
        <v>34.517966540163044</v>
      </c>
      <c r="DB7">
        <v>63132255.993829094</v>
      </c>
      <c r="DC7">
        <v>1.1156377457082272E-2</v>
      </c>
      <c r="DD7">
        <v>18.528805951596219</v>
      </c>
      <c r="DE7">
        <v>117611307.80325685</v>
      </c>
      <c r="DF7">
        <v>1.0334328591823578E-2</v>
      </c>
      <c r="DG7">
        <v>12.220289105337205</v>
      </c>
      <c r="DH7">
        <v>178326149.34193638</v>
      </c>
      <c r="DI7">
        <v>9.3948441743850718E-3</v>
      </c>
      <c r="DJ7">
        <v>7.6542369579951659</v>
      </c>
      <c r="DK7">
        <v>284704682.12036985</v>
      </c>
      <c r="DL7">
        <v>8.2204886525869374E-3</v>
      </c>
      <c r="DM7">
        <v>23109100</v>
      </c>
      <c r="DN7">
        <v>1.1743555217981339E-2</v>
      </c>
      <c r="DO7">
        <v>2179197100.0000005</v>
      </c>
      <c r="DP7">
        <v>1842734500</v>
      </c>
      <c r="DQ7">
        <v>727</v>
      </c>
      <c r="DR7">
        <v>0.17733207503411949</v>
      </c>
      <c r="DS7">
        <v>-0.8212044667656635</v>
      </c>
      <c r="DT7" s="12">
        <v>-0.32333333333333336</v>
      </c>
      <c r="DU7">
        <v>-0.55666666666666664</v>
      </c>
      <c r="DV7">
        <v>-0.88</v>
      </c>
      <c r="DW7">
        <v>6.1082668904741926</v>
      </c>
      <c r="DX7">
        <v>0.50523255813953172</v>
      </c>
      <c r="DY7">
        <v>6.0124758707511541</v>
      </c>
      <c r="DZ7">
        <v>3496</v>
      </c>
      <c r="EA7">
        <v>6.0039355057333283</v>
      </c>
      <c r="EB7">
        <v>6</v>
      </c>
      <c r="EC7">
        <v>5.9613430944561667E-2</v>
      </c>
      <c r="ED7">
        <v>0.51733148952899122</v>
      </c>
      <c r="EE7" s="13">
        <v>-4.0214100000000004</v>
      </c>
      <c r="EF7">
        <v>-4.0142100000000003</v>
      </c>
      <c r="EG7">
        <v>39.115232558139532</v>
      </c>
      <c r="EH7" t="s">
        <v>1306</v>
      </c>
      <c r="EI7">
        <v>0</v>
      </c>
      <c r="EJ7">
        <v>0</v>
      </c>
      <c r="EK7" s="14">
        <v>45490</v>
      </c>
      <c r="EL7">
        <v>5.17</v>
      </c>
      <c r="EM7">
        <v>0</v>
      </c>
      <c r="EN7">
        <v>-2.46</v>
      </c>
      <c r="EO7">
        <v>-0.72</v>
      </c>
      <c r="EP7">
        <v>0.72</v>
      </c>
    </row>
    <row r="8" spans="1:146" ht="144" hidden="1" x14ac:dyDescent="0.25">
      <c r="A8" s="8"/>
      <c r="B8" s="8"/>
      <c r="C8" s="8" t="str">
        <f>"公司主营业务为太阳能硅片、电池及组件的研发、生产和销售，以及太阳能光伏电站的开发、建设、运营等业务。公司的主要产品有硅棒硅片、太阳能电池、太阳能组件、光伏电站。"&amp;CHAR(10)&amp;Basic_Fundamental_Information_Constructure(F8)&amp;CHAR(10)&amp;Basic_Fundamental_Information_Concatenate("太阳能组件 273.89亿 96.21% 100.00% 12.58%
其他 8.93亿 3.14%
光伏电站运营 1.87亿 0.66%")</f>
        <v>公司主营业务为太阳能硅片、电池及组件的研发、生产和销售，以及太阳能光伏电站的开发、建设、运营等业务。公司的主要产品有硅棒硅片、太阳能电池、太阳能组件、光伏电站。
市值341.55794亿, 利润70.39亿; PE8.59; 平均PE11.33; 平均PEG.32, PB1; ROIC13.6267%; ROE19.6833%; 股利率5.4554%; 毛利15.8467%; 净利7.1567%; 上一年度营收增11.74%, 利润增27.2%; 当季营收增-22.02%, 利润增-138.73%; 过往5年营收增35.62%, 利润增65.68%
Income profile:
太阳能组件 273.89亿 96.21% 100.00% 12.58%
其他 8.93亿 3.14%
光伏电站运营 1.87亿 0.66%</v>
      </c>
      <c r="D8" t="s">
        <v>500</v>
      </c>
      <c r="E8" t="s">
        <v>501</v>
      </c>
      <c r="F8">
        <v>10.32</v>
      </c>
      <c r="G8">
        <v>-1.24</v>
      </c>
      <c r="H8" t="s">
        <v>2570</v>
      </c>
      <c r="I8">
        <v>34155794000</v>
      </c>
      <c r="J8">
        <v>8.59</v>
      </c>
      <c r="K8">
        <v>1</v>
      </c>
      <c r="L8" t="s">
        <v>753</v>
      </c>
      <c r="M8" t="s">
        <v>1398</v>
      </c>
      <c r="N8" t="s">
        <v>1915</v>
      </c>
      <c r="O8" t="s">
        <v>1399</v>
      </c>
      <c r="P8">
        <v>-22.02</v>
      </c>
      <c r="Q8" t="s">
        <v>1400</v>
      </c>
      <c r="R8">
        <v>-1000000000</v>
      </c>
      <c r="S8" s="6">
        <v>-1.1870000000000001</v>
      </c>
      <c r="T8" t="s">
        <v>1401</v>
      </c>
      <c r="U8">
        <v>3306981700</v>
      </c>
      <c r="V8">
        <v>3309669900</v>
      </c>
      <c r="W8">
        <v>2.92</v>
      </c>
      <c r="X8">
        <v>0.15</v>
      </c>
      <c r="Y8">
        <v>-3.86</v>
      </c>
      <c r="Z8" t="s">
        <v>1916</v>
      </c>
      <c r="AA8" t="s">
        <v>1917</v>
      </c>
      <c r="AB8" t="s">
        <v>446</v>
      </c>
      <c r="AC8" t="s">
        <v>878</v>
      </c>
      <c r="AD8" t="s">
        <v>2</v>
      </c>
      <c r="AE8">
        <v>144520740</v>
      </c>
      <c r="AF8" t="s">
        <v>1402</v>
      </c>
      <c r="AG8" t="s">
        <v>1918</v>
      </c>
      <c r="AH8" t="s">
        <v>1403</v>
      </c>
      <c r="AI8" t="s">
        <v>1919</v>
      </c>
      <c r="AJ8" t="s">
        <v>1404</v>
      </c>
      <c r="AK8" t="s">
        <v>192</v>
      </c>
      <c r="AL8" t="s">
        <v>1405</v>
      </c>
      <c r="AM8" t="s">
        <v>2</v>
      </c>
      <c r="AN8" t="s">
        <v>1920</v>
      </c>
      <c r="AO8" t="s">
        <v>1242</v>
      </c>
      <c r="AP8" t="s">
        <v>1921</v>
      </c>
      <c r="AQ8" t="s">
        <v>1339</v>
      </c>
      <c r="AR8" t="s">
        <v>2</v>
      </c>
      <c r="AS8" t="s">
        <v>1922</v>
      </c>
      <c r="AT8" t="s">
        <v>1923</v>
      </c>
      <c r="AU8" t="s">
        <v>1924</v>
      </c>
      <c r="AV8" t="s">
        <v>1925</v>
      </c>
      <c r="AW8" t="s">
        <v>1926</v>
      </c>
      <c r="AX8" t="s">
        <v>991</v>
      </c>
      <c r="AY8" t="s">
        <v>769</v>
      </c>
      <c r="AZ8" t="s">
        <v>502</v>
      </c>
      <c r="BA8" t="s">
        <v>503</v>
      </c>
      <c r="BB8" t="s">
        <v>504</v>
      </c>
      <c r="BC8" t="s">
        <v>1406</v>
      </c>
      <c r="BD8" t="s">
        <v>465</v>
      </c>
      <c r="BE8" t="s">
        <v>331</v>
      </c>
      <c r="BF8" t="s">
        <v>377</v>
      </c>
      <c r="BG8" t="s">
        <v>392</v>
      </c>
      <c r="BH8" t="s">
        <v>1400</v>
      </c>
      <c r="BI8" t="s">
        <v>1407</v>
      </c>
      <c r="BJ8" t="s">
        <v>991</v>
      </c>
      <c r="BK8" t="s">
        <v>1401</v>
      </c>
      <c r="BL8" t="s">
        <v>1408</v>
      </c>
      <c r="BM8" t="s">
        <v>1406</v>
      </c>
      <c r="BN8">
        <v>14.78</v>
      </c>
      <c r="BO8">
        <v>16.850000000000001</v>
      </c>
      <c r="BP8">
        <v>9.25</v>
      </c>
      <c r="BQ8">
        <v>21.78</v>
      </c>
      <c r="BR8">
        <v>24.19</v>
      </c>
      <c r="BS8">
        <v>13.08</v>
      </c>
      <c r="BT8" t="s">
        <v>1409</v>
      </c>
      <c r="BU8" t="s">
        <v>1882</v>
      </c>
      <c r="BV8">
        <v>18.13</v>
      </c>
      <c r="BW8">
        <v>14.78</v>
      </c>
      <c r="BX8">
        <v>14.63</v>
      </c>
      <c r="BY8">
        <v>8.82</v>
      </c>
      <c r="BZ8">
        <v>7.59</v>
      </c>
      <c r="CA8">
        <v>5.0599999999999996</v>
      </c>
      <c r="CB8">
        <v>2.99</v>
      </c>
      <c r="CC8">
        <v>-32.24</v>
      </c>
      <c r="CD8" t="s">
        <v>122</v>
      </c>
      <c r="CE8" t="s">
        <v>2571</v>
      </c>
      <c r="CF8" s="10">
        <v>-0.22016601562499999</v>
      </c>
      <c r="CG8" s="11">
        <v>-1.3872966692486444</v>
      </c>
      <c r="CH8" s="10">
        <v>0.11737380921840668</v>
      </c>
      <c r="CI8" s="10">
        <v>0.76720255613327026</v>
      </c>
      <c r="CJ8" s="10">
        <v>0.59794175624847412</v>
      </c>
      <c r="CK8" s="10">
        <v>0.22179147601127625</v>
      </c>
      <c r="CL8" s="10">
        <v>7.6645173132419586E-2</v>
      </c>
      <c r="CM8" s="11">
        <v>0.27195516228675842</v>
      </c>
      <c r="CN8" s="11">
        <v>1.7140754461288452</v>
      </c>
      <c r="CO8" s="11">
        <v>0.35301923751831055</v>
      </c>
      <c r="CP8" s="11">
        <v>0.20367416739463806</v>
      </c>
      <c r="CQ8" s="11">
        <v>0.74130737781524658</v>
      </c>
      <c r="CR8">
        <v>11.328621558872305</v>
      </c>
      <c r="CS8">
        <v>0.3180491089658809</v>
      </c>
      <c r="CT8">
        <v>5.4554263565891468</v>
      </c>
      <c r="CU8" s="10">
        <v>0.35619095414876939</v>
      </c>
      <c r="CV8" s="11">
        <v>0.65680627822875981</v>
      </c>
      <c r="CW8">
        <v>0.06</v>
      </c>
      <c r="CX8">
        <v>7.2420269792080196</v>
      </c>
      <c r="CY8">
        <v>9005875590.8048935</v>
      </c>
      <c r="CZ8">
        <v>0.35619095414876939</v>
      </c>
      <c r="DA8">
        <v>1.9026946547541934</v>
      </c>
      <c r="DB8">
        <v>34278119107.043892</v>
      </c>
      <c r="DC8">
        <v>0.33838140644133091</v>
      </c>
      <c r="DD8">
        <v>0.68256118290244705</v>
      </c>
      <c r="DE8">
        <v>95553037051.802994</v>
      </c>
      <c r="DF8">
        <v>0.31344803965091705</v>
      </c>
      <c r="DG8">
        <v>0.27719162042408929</v>
      </c>
      <c r="DH8">
        <v>235291362344.2709</v>
      </c>
      <c r="DI8">
        <v>0.28495276331901553</v>
      </c>
      <c r="DJ8">
        <v>5.4514814870524453E-2</v>
      </c>
      <c r="DK8">
        <v>1196386599769.3069</v>
      </c>
      <c r="DL8">
        <v>0.24933366790413855</v>
      </c>
      <c r="DM8">
        <v>7039000000</v>
      </c>
      <c r="DN8">
        <v>0.35619095414876939</v>
      </c>
      <c r="DO8">
        <v>65220794000</v>
      </c>
      <c r="DP8">
        <v>4472652000</v>
      </c>
      <c r="DQ8">
        <v>959</v>
      </c>
      <c r="DR8">
        <v>-0.57635696977376938</v>
      </c>
      <c r="DS8">
        <v>-2.0441029474774042</v>
      </c>
      <c r="DT8" s="12">
        <v>0.10999999999999995</v>
      </c>
      <c r="DU8">
        <v>1.8333333333333316E-2</v>
      </c>
      <c r="DV8">
        <v>0.12833333333333327</v>
      </c>
      <c r="DW8">
        <v>6.084870848708487</v>
      </c>
      <c r="DX8">
        <v>0.41108545034641963</v>
      </c>
      <c r="DY8">
        <v>6.0136714588854892</v>
      </c>
      <c r="DZ8">
        <v>1492</v>
      </c>
      <c r="EA8">
        <v>6.009677369075983</v>
      </c>
      <c r="EB8">
        <v>6</v>
      </c>
      <c r="EC8">
        <v>8.4298437134168583E-2</v>
      </c>
      <c r="ED8">
        <v>0.52331502909096761</v>
      </c>
      <c r="EE8" s="13">
        <v>-2.0447000000000002</v>
      </c>
      <c r="EF8">
        <v>-2.0323000000000002</v>
      </c>
      <c r="EG8">
        <v>25.16108545034642</v>
      </c>
      <c r="EH8" t="s">
        <v>973</v>
      </c>
      <c r="EI8">
        <v>0</v>
      </c>
      <c r="EJ8">
        <v>1</v>
      </c>
      <c r="EK8" s="14">
        <v>45490</v>
      </c>
      <c r="EL8">
        <v>3.59</v>
      </c>
      <c r="EM8">
        <v>1.1599999999999999</v>
      </c>
      <c r="EN8">
        <v>-2.38</v>
      </c>
      <c r="EO8">
        <v>1.95</v>
      </c>
      <c r="EP8">
        <v>-1.24</v>
      </c>
    </row>
    <row r="9" spans="1:146" ht="96" hidden="1" x14ac:dyDescent="0.25">
      <c r="A9" s="8"/>
      <c r="B9" s="8"/>
      <c r="C9" s="8" t="str">
        <f>""&amp;CHAR(10)&amp;Basic_Fundamental_Information_Constructure(F9)&amp;CHAR(10)&amp;Basic_Fundamental_Information_Concatenate("")</f>
        <v xml:space="preserve">
市值112.911107亿, 利润1.58亿; PE72.87; 平均PE-15.77; 平均PEG-.84, PB4.61; ROIC4.48%; ROE-17.4%; 股利率0%; 毛利7.6433%; 净利-13.28%; 上一年度营收增91.14%, 利润增142.67%; 当季营收增90.01%, 利润增-10.18%; 过往5年营收增18.79%, 利润增-910.88%
Income profile:
</v>
      </c>
      <c r="D9" t="s">
        <v>505</v>
      </c>
      <c r="E9" t="s">
        <v>506</v>
      </c>
      <c r="F9">
        <v>1.93</v>
      </c>
      <c r="G9">
        <v>0.52</v>
      </c>
      <c r="H9" t="s">
        <v>2572</v>
      </c>
      <c r="I9">
        <v>11291110700</v>
      </c>
      <c r="J9">
        <v>72.87</v>
      </c>
      <c r="K9">
        <v>4.6100000000000003</v>
      </c>
      <c r="L9" t="s">
        <v>753</v>
      </c>
      <c r="M9" t="s">
        <v>1411</v>
      </c>
      <c r="N9" t="s">
        <v>778</v>
      </c>
      <c r="O9" t="s">
        <v>1284</v>
      </c>
      <c r="P9">
        <v>89.97</v>
      </c>
      <c r="Q9" t="s">
        <v>1412</v>
      </c>
      <c r="R9">
        <v>24392617</v>
      </c>
      <c r="S9" s="6">
        <v>-0.1018</v>
      </c>
      <c r="T9" t="s">
        <v>153</v>
      </c>
      <c r="U9">
        <v>5849776500</v>
      </c>
      <c r="V9">
        <v>5850316400</v>
      </c>
      <c r="W9">
        <v>8.39</v>
      </c>
      <c r="X9">
        <v>0.15</v>
      </c>
      <c r="Y9">
        <v>0.82</v>
      </c>
      <c r="Z9" t="s">
        <v>358</v>
      </c>
      <c r="AA9" t="s">
        <v>1927</v>
      </c>
      <c r="AB9" t="s">
        <v>92</v>
      </c>
      <c r="AC9" t="s">
        <v>75</v>
      </c>
      <c r="AD9" t="s">
        <v>2</v>
      </c>
      <c r="AE9">
        <v>53658512</v>
      </c>
      <c r="AF9" t="s">
        <v>1413</v>
      </c>
      <c r="AG9" t="s">
        <v>1928</v>
      </c>
      <c r="AH9" t="s">
        <v>1414</v>
      </c>
      <c r="AI9" t="s">
        <v>1929</v>
      </c>
      <c r="AJ9" t="s">
        <v>1415</v>
      </c>
      <c r="AK9" t="s">
        <v>1930</v>
      </c>
      <c r="AL9" t="s">
        <v>1416</v>
      </c>
      <c r="AM9" t="s">
        <v>2</v>
      </c>
      <c r="AN9" t="s">
        <v>1283</v>
      </c>
      <c r="AO9" t="s">
        <v>1931</v>
      </c>
      <c r="AP9" t="s">
        <v>1932</v>
      </c>
      <c r="AQ9" t="s">
        <v>1933</v>
      </c>
      <c r="AR9" t="s">
        <v>2</v>
      </c>
      <c r="AS9" t="s">
        <v>1934</v>
      </c>
      <c r="AT9" t="s">
        <v>101</v>
      </c>
      <c r="AU9" t="s">
        <v>1935</v>
      </c>
      <c r="AV9" t="s">
        <v>1394</v>
      </c>
      <c r="AW9" t="s">
        <v>1936</v>
      </c>
      <c r="AX9" t="s">
        <v>992</v>
      </c>
      <c r="AY9" t="s">
        <v>770</v>
      </c>
      <c r="AZ9" t="s">
        <v>507</v>
      </c>
      <c r="BA9" t="s">
        <v>509</v>
      </c>
      <c r="BB9" t="s">
        <v>447</v>
      </c>
      <c r="BC9" t="s">
        <v>1417</v>
      </c>
      <c r="BD9" t="s">
        <v>771</v>
      </c>
      <c r="BE9" t="s">
        <v>508</v>
      </c>
      <c r="BF9" t="s">
        <v>510</v>
      </c>
      <c r="BG9" t="s">
        <v>511</v>
      </c>
      <c r="BH9" t="s">
        <v>1412</v>
      </c>
      <c r="BI9" t="s">
        <v>1227</v>
      </c>
      <c r="BJ9" t="s">
        <v>992</v>
      </c>
      <c r="BK9" t="s">
        <v>153</v>
      </c>
      <c r="BL9" t="s">
        <v>1418</v>
      </c>
      <c r="BM9" t="s">
        <v>1417</v>
      </c>
      <c r="BN9">
        <v>5.27</v>
      </c>
      <c r="BO9">
        <v>3.69</v>
      </c>
      <c r="BP9" t="s">
        <v>2</v>
      </c>
      <c r="BQ9">
        <v>6.12</v>
      </c>
      <c r="BR9">
        <v>2.59</v>
      </c>
      <c r="BS9">
        <v>-60.91</v>
      </c>
      <c r="BT9" t="s">
        <v>940</v>
      </c>
      <c r="BU9" t="s">
        <v>1882</v>
      </c>
      <c r="BV9">
        <v>9.09</v>
      </c>
      <c r="BW9">
        <v>6.55</v>
      </c>
      <c r="BX9">
        <v>7.29</v>
      </c>
      <c r="BY9">
        <v>0.98</v>
      </c>
      <c r="BZ9">
        <v>0.68</v>
      </c>
      <c r="CA9">
        <v>-41.5</v>
      </c>
      <c r="CB9">
        <v>3.21</v>
      </c>
      <c r="CC9">
        <v>-12.67</v>
      </c>
      <c r="CD9" t="s">
        <v>165</v>
      </c>
      <c r="CE9" t="s">
        <v>2573</v>
      </c>
      <c r="CF9" s="10">
        <v>0.90006447453255967</v>
      </c>
      <c r="CG9" s="11">
        <v>-0.1018025724206751</v>
      </c>
      <c r="CH9" s="10">
        <v>0.91141968965530396</v>
      </c>
      <c r="CI9" s="10">
        <v>0.7770686149597168</v>
      </c>
      <c r="CJ9" s="10">
        <v>-0.21084438264369965</v>
      </c>
      <c r="CK9" s="10">
        <v>-0.31402578949928284</v>
      </c>
      <c r="CL9" s="10">
        <v>-0.22401928901672363</v>
      </c>
      <c r="CM9" s="11">
        <v>1.4267258644104004</v>
      </c>
      <c r="CN9" s="11">
        <v>1.0328332185745239</v>
      </c>
      <c r="CO9" s="11">
        <v>0.24829421937465668</v>
      </c>
      <c r="CP9" s="11">
        <v>-48.483280181884766</v>
      </c>
      <c r="CQ9" s="11">
        <v>0.23128408193588257</v>
      </c>
      <c r="CR9">
        <v>-15.765250401969684</v>
      </c>
      <c r="CS9">
        <v>-0.83893517493029179</v>
      </c>
      <c r="CT9">
        <v>0</v>
      </c>
      <c r="CU9" s="10">
        <v>0.18791976869106292</v>
      </c>
      <c r="CV9" s="11">
        <v>-9.1088285595178604</v>
      </c>
      <c r="CW9">
        <v>0.06</v>
      </c>
      <c r="CX9">
        <v>144.18310257559406</v>
      </c>
      <c r="CY9">
        <v>177067286.2765924</v>
      </c>
      <c r="CZ9">
        <v>0.18791976869106292</v>
      </c>
      <c r="DA9">
        <v>43.409473857152435</v>
      </c>
      <c r="DB9">
        <v>588123016.28008533</v>
      </c>
      <c r="DC9">
        <v>0.17852378025650975</v>
      </c>
      <c r="DD9">
        <v>19.077423432312031</v>
      </c>
      <c r="DE9">
        <v>1338236832.1687953</v>
      </c>
      <c r="DF9">
        <v>0.16536939644813536</v>
      </c>
      <c r="DG9">
        <v>10.025969240395989</v>
      </c>
      <c r="DH9">
        <v>2546398267.1257081</v>
      </c>
      <c r="DI9">
        <v>0.15033581495285034</v>
      </c>
      <c r="DJ9">
        <v>3.7945007392388912</v>
      </c>
      <c r="DK9">
        <v>6728187040.7859983</v>
      </c>
      <c r="DL9">
        <v>0.13154383808374404</v>
      </c>
      <c r="DM9">
        <v>158000000</v>
      </c>
      <c r="DN9">
        <v>0.18791976869106292</v>
      </c>
      <c r="DO9">
        <v>25530110700</v>
      </c>
      <c r="DP9">
        <v>-951918200</v>
      </c>
      <c r="DQ9">
        <v>1000</v>
      </c>
      <c r="DR9">
        <v>0.71214470584149669</v>
      </c>
      <c r="DS9">
        <v>9.0070259870971849</v>
      </c>
      <c r="DT9" s="12">
        <v>-0.15666666666666662</v>
      </c>
      <c r="DU9">
        <v>-0.64</v>
      </c>
      <c r="DV9">
        <v>-0.79666666666666663</v>
      </c>
      <c r="DW9">
        <v>6.2021410579345089</v>
      </c>
      <c r="DX9">
        <v>0.3457645466847093</v>
      </c>
      <c r="DY9">
        <v>6.0335078208348811</v>
      </c>
      <c r="DZ9">
        <v>3395</v>
      </c>
      <c r="EA9">
        <v>6.0112326981142195</v>
      </c>
      <c r="EB9">
        <v>6</v>
      </c>
      <c r="EC9">
        <v>4.1878076884867291E-2</v>
      </c>
      <c r="ED9">
        <v>0.25263590871768921</v>
      </c>
      <c r="EE9" s="13">
        <v>-6.0026099999999998</v>
      </c>
      <c r="EF9">
        <v>-6.0026000000000002</v>
      </c>
      <c r="EG9">
        <v>18.165764546684709</v>
      </c>
      <c r="EH9" t="s">
        <v>2471</v>
      </c>
      <c r="EI9">
        <v>0</v>
      </c>
      <c r="EJ9">
        <v>0</v>
      </c>
      <c r="EK9" s="14">
        <v>45490</v>
      </c>
      <c r="EL9">
        <v>4.8099999999999996</v>
      </c>
      <c r="EM9">
        <v>0.51</v>
      </c>
      <c r="EN9">
        <v>-2.0299999999999998</v>
      </c>
      <c r="EO9">
        <v>-0.52</v>
      </c>
      <c r="EP9">
        <v>0.52</v>
      </c>
    </row>
    <row r="10" spans="1:146" ht="96" hidden="1" x14ac:dyDescent="0.25">
      <c r="A10" s="8"/>
      <c r="B10" s="8"/>
      <c r="C10" s="8" t="str">
        <f>""&amp;CHAR(10)&amp;Basic_Fundamental_Information_Constructure(F10)&amp;CHAR(10)&amp;Basic_Fundamental_Information_Concatenate("")</f>
        <v xml:space="preserve">
市值16.57427亿, 利润-8.26亿; PE; 平均PE-2.81; 平均PEG-.17, PB.911; ROIC.39%; ROE-11.86%; 股利率0%; 毛利2.4567%; 净利-16.0467%; 上一年度营收增-30.32%, 利润增.84%; 当季营收增-49.04%, 利润增-753.5%; 过往5年营收增16.48%, 利润增-791.92%
Income profile:
</v>
      </c>
      <c r="D10" t="s">
        <v>513</v>
      </c>
      <c r="E10" t="s">
        <v>1419</v>
      </c>
      <c r="F10" t="s">
        <v>2</v>
      </c>
      <c r="G10">
        <v>0</v>
      </c>
      <c r="H10">
        <v>0</v>
      </c>
      <c r="I10">
        <v>1657427000</v>
      </c>
      <c r="K10">
        <v>0.91100000000000003</v>
      </c>
      <c r="L10" t="s">
        <v>753</v>
      </c>
      <c r="M10" t="s">
        <v>1420</v>
      </c>
      <c r="N10" t="s">
        <v>1726</v>
      </c>
      <c r="O10" t="s">
        <v>145</v>
      </c>
      <c r="P10">
        <v>-49</v>
      </c>
      <c r="Q10" t="s">
        <v>1421</v>
      </c>
      <c r="R10">
        <v>-212999880</v>
      </c>
      <c r="S10" s="6">
        <v>-7.5350000000000001</v>
      </c>
      <c r="T10" t="s">
        <v>1422</v>
      </c>
      <c r="U10">
        <v>4475535000</v>
      </c>
      <c r="V10">
        <v>4479532500</v>
      </c>
      <c r="W10">
        <v>5.0199999999999996</v>
      </c>
      <c r="X10">
        <v>0.06</v>
      </c>
      <c r="Y10">
        <v>-36.81</v>
      </c>
      <c r="Z10" t="s">
        <v>398</v>
      </c>
      <c r="AA10" t="s">
        <v>60</v>
      </c>
      <c r="AB10" t="s">
        <v>1937</v>
      </c>
      <c r="AC10" t="s">
        <v>1938</v>
      </c>
      <c r="AD10" t="s">
        <v>2</v>
      </c>
      <c r="AE10">
        <v>87061083</v>
      </c>
      <c r="AF10" t="s">
        <v>1423</v>
      </c>
      <c r="AG10" t="s">
        <v>1939</v>
      </c>
      <c r="AH10" t="s">
        <v>1424</v>
      </c>
      <c r="AI10" t="s">
        <v>468</v>
      </c>
      <c r="AJ10" t="s">
        <v>1425</v>
      </c>
      <c r="AK10" t="s">
        <v>93</v>
      </c>
      <c r="AL10" t="s">
        <v>1426</v>
      </c>
      <c r="AM10" t="s">
        <v>2</v>
      </c>
      <c r="AN10" t="s">
        <v>910</v>
      </c>
      <c r="AO10" t="s">
        <v>982</v>
      </c>
      <c r="AP10" t="s">
        <v>454</v>
      </c>
      <c r="AQ10" t="s">
        <v>1286</v>
      </c>
      <c r="AR10" t="s">
        <v>2</v>
      </c>
      <c r="AS10" t="s">
        <v>1940</v>
      </c>
      <c r="AT10" t="s">
        <v>63</v>
      </c>
      <c r="AU10" t="s">
        <v>1941</v>
      </c>
      <c r="AV10" t="s">
        <v>1942</v>
      </c>
      <c r="AW10" t="s">
        <v>1943</v>
      </c>
      <c r="AX10" t="s">
        <v>997</v>
      </c>
      <c r="AY10" t="s">
        <v>729</v>
      </c>
      <c r="AZ10" t="s">
        <v>717</v>
      </c>
      <c r="BA10" t="s">
        <v>514</v>
      </c>
      <c r="BB10" t="s">
        <v>453</v>
      </c>
      <c r="BC10" t="s">
        <v>1428</v>
      </c>
      <c r="BD10" t="s">
        <v>774</v>
      </c>
      <c r="BE10" t="s">
        <v>718</v>
      </c>
      <c r="BF10" t="s">
        <v>515</v>
      </c>
      <c r="BG10" t="s">
        <v>98</v>
      </c>
      <c r="BH10" t="s">
        <v>1421</v>
      </c>
      <c r="BI10" t="s">
        <v>1371</v>
      </c>
      <c r="BJ10" t="s">
        <v>997</v>
      </c>
      <c r="BK10" t="s">
        <v>1422</v>
      </c>
      <c r="BL10" t="s">
        <v>1429</v>
      </c>
      <c r="BM10" t="s">
        <v>1428</v>
      </c>
      <c r="BN10">
        <v>0.39</v>
      </c>
      <c r="BO10" t="s">
        <v>2</v>
      </c>
      <c r="BP10" t="s">
        <v>2</v>
      </c>
      <c r="BQ10">
        <v>0.7</v>
      </c>
      <c r="BR10">
        <v>-25.75</v>
      </c>
      <c r="BS10">
        <v>-10.53</v>
      </c>
      <c r="BT10" t="s">
        <v>940</v>
      </c>
      <c r="BU10" t="s">
        <v>1868</v>
      </c>
      <c r="BV10">
        <v>5.88</v>
      </c>
      <c r="BW10">
        <v>-0.94</v>
      </c>
      <c r="BX10">
        <v>2.4300000000000002</v>
      </c>
      <c r="BY10">
        <v>-19.190000000000001</v>
      </c>
      <c r="BZ10">
        <v>-12.36</v>
      </c>
      <c r="CA10">
        <v>-16.59</v>
      </c>
      <c r="CB10" t="s">
        <v>2</v>
      </c>
      <c r="CC10" t="s">
        <v>2</v>
      </c>
      <c r="CD10">
        <v>0</v>
      </c>
      <c r="CE10" t="s">
        <v>2574</v>
      </c>
      <c r="CF10" s="10">
        <v>-0.49035369774919613</v>
      </c>
      <c r="CG10" s="11">
        <v>-7.5350416494086243</v>
      </c>
      <c r="CH10" s="10">
        <v>-0.30324313044548035</v>
      </c>
      <c r="CI10" s="10">
        <v>1.6436189413070679</v>
      </c>
      <c r="CJ10" s="10">
        <v>-0.16164292395114899</v>
      </c>
      <c r="CK10" s="10">
        <v>-0.4110417366027832</v>
      </c>
      <c r="CL10" s="10">
        <v>5.6471638381481171E-2</v>
      </c>
      <c r="CM10" s="11">
        <v>8.4033617749810219E-3</v>
      </c>
      <c r="CN10" s="11">
        <v>-1.0517241954803467</v>
      </c>
      <c r="CO10" s="11">
        <v>-24.666847229003906</v>
      </c>
      <c r="CP10" s="11">
        <v>1.0106419324874878</v>
      </c>
      <c r="CQ10" s="11">
        <v>-14.896552085876465</v>
      </c>
      <c r="CR10">
        <v>-2.8061502234917035</v>
      </c>
      <c r="CS10">
        <v>-0.17024247284659602</v>
      </c>
      <c r="CT10">
        <v>0</v>
      </c>
      <c r="CU10" s="10">
        <v>0.16483255773782729</v>
      </c>
      <c r="CV10" s="11">
        <v>-7.9192156432196494</v>
      </c>
      <c r="CW10">
        <v>0.06</v>
      </c>
      <c r="CX10" t="e">
        <v>#VALUE!</v>
      </c>
      <c r="CY10" t="s">
        <v>711</v>
      </c>
      <c r="CZ10">
        <v>0.16483255773782729</v>
      </c>
      <c r="DA10" t="e">
        <v>#VALUE!</v>
      </c>
      <c r="DB10" t="s">
        <v>712</v>
      </c>
      <c r="DC10">
        <v>0.15659092985093592</v>
      </c>
      <c r="DD10" t="e">
        <v>#VALUE!</v>
      </c>
      <c r="DE10" t="s">
        <v>712</v>
      </c>
      <c r="DF10">
        <v>0.145052650809288</v>
      </c>
      <c r="DG10" t="e">
        <v>#VALUE!</v>
      </c>
      <c r="DH10" t="s">
        <v>712</v>
      </c>
      <c r="DI10">
        <v>0.13186604619026185</v>
      </c>
      <c r="DJ10" t="e">
        <v>#VALUE!</v>
      </c>
      <c r="DK10" t="s">
        <v>712</v>
      </c>
      <c r="DL10">
        <v>0.1153827904164791</v>
      </c>
      <c r="DM10">
        <v>-826000000</v>
      </c>
      <c r="DN10">
        <v>0.16483255773782729</v>
      </c>
      <c r="DO10">
        <v>7686427000</v>
      </c>
      <c r="DP10">
        <v>-2504673900</v>
      </c>
      <c r="DQ10">
        <v>1101</v>
      </c>
      <c r="DR10">
        <v>-0.65518625548702336</v>
      </c>
      <c r="DS10">
        <v>0.38417399381102513</v>
      </c>
      <c r="DT10" s="12">
        <v>-0.55666666666666664</v>
      </c>
      <c r="DU10">
        <v>-2.6583333333333337</v>
      </c>
      <c r="DV10">
        <v>-3.2150000000000003</v>
      </c>
      <c r="DW10" t="e">
        <v>#VALUE!</v>
      </c>
      <c r="DX10" t="e">
        <v>#VALUE!</v>
      </c>
      <c r="DY10" t="e">
        <v>#VALUE!</v>
      </c>
      <c r="DZ10">
        <v>4948</v>
      </c>
      <c r="EA10" t="e">
        <v>#VALUE!</v>
      </c>
      <c r="EB10" t="e">
        <v>#VALUE!</v>
      </c>
      <c r="EC10">
        <v>0</v>
      </c>
      <c r="ED10">
        <v>3.1873861837144837E-3</v>
      </c>
      <c r="EE10" s="13">
        <v>-5.0574000000000003</v>
      </c>
      <c r="EF10">
        <v>-5.0574000000000003</v>
      </c>
      <c r="EG10" t="e">
        <v>#VALUE!</v>
      </c>
      <c r="EH10" t="s">
        <v>2472</v>
      </c>
      <c r="EI10" t="e">
        <v>#VALUE!</v>
      </c>
      <c r="EJ10">
        <v>0</v>
      </c>
      <c r="EK10" s="14">
        <v>45490</v>
      </c>
      <c r="EL10">
        <v>0</v>
      </c>
      <c r="EM10">
        <v>0</v>
      </c>
      <c r="EN10">
        <v>0</v>
      </c>
      <c r="EO10">
        <v>0</v>
      </c>
      <c r="EP10">
        <v>0</v>
      </c>
    </row>
    <row r="11" spans="1:146" ht="96" hidden="1" x14ac:dyDescent="0.25">
      <c r="A11" s="8"/>
      <c r="B11" s="8"/>
      <c r="C11" s="8" t="str">
        <f>""&amp;CHAR(10)&amp;Basic_Fundamental_Information_Constructure(F11)&amp;CHAR(10)&amp;Basic_Fundamental_Information_Concatenate("")</f>
        <v xml:space="preserve">
市值30.794969亿, 利润8350.87万; PE38.51; 平均PE54.14; 平均PEG2.4, PB.947; ROIC2.39%; ROE2.35%; 股利率3.2321%; 毛利8.0167%; 净利2.6333%; 上一年度营收增14.52%, 利润增-.1%; 当季营收增9.39%, 利润增-22.68%; 过往5年营收增22.56%, 利润增2.71%
Income profile:
</v>
      </c>
      <c r="D11" t="s">
        <v>516</v>
      </c>
      <c r="E11" t="s">
        <v>517</v>
      </c>
      <c r="F11">
        <v>15.47</v>
      </c>
      <c r="G11">
        <v>-0.32</v>
      </c>
      <c r="H11" t="s">
        <v>2575</v>
      </c>
      <c r="I11">
        <v>3079496900</v>
      </c>
      <c r="J11">
        <v>38.51</v>
      </c>
      <c r="K11">
        <v>0.94699999999999995</v>
      </c>
      <c r="L11" t="s">
        <v>753</v>
      </c>
      <c r="M11" t="s">
        <v>1272</v>
      </c>
      <c r="N11" t="s">
        <v>1827</v>
      </c>
      <c r="O11" t="s">
        <v>398</v>
      </c>
      <c r="P11">
        <v>9.4700000000000006</v>
      </c>
      <c r="Q11" t="s">
        <v>1430</v>
      </c>
      <c r="R11">
        <v>12093556</v>
      </c>
      <c r="S11" s="6">
        <v>-0.2268</v>
      </c>
      <c r="T11" t="s">
        <v>1431</v>
      </c>
      <c r="U11">
        <v>198636130</v>
      </c>
      <c r="V11">
        <v>199062500</v>
      </c>
      <c r="W11">
        <v>1.68</v>
      </c>
      <c r="X11">
        <v>0.16</v>
      </c>
      <c r="Y11">
        <v>1.72</v>
      </c>
      <c r="Z11" t="s">
        <v>1944</v>
      </c>
      <c r="AA11" t="s">
        <v>1251</v>
      </c>
      <c r="AB11" t="s">
        <v>1945</v>
      </c>
      <c r="AC11" t="s">
        <v>1946</v>
      </c>
      <c r="AD11" t="s">
        <v>2</v>
      </c>
      <c r="AE11">
        <v>4969875</v>
      </c>
      <c r="AF11" t="s">
        <v>1432</v>
      </c>
      <c r="AG11" t="s">
        <v>1947</v>
      </c>
      <c r="AH11" t="s">
        <v>1433</v>
      </c>
      <c r="AI11" t="s">
        <v>1248</v>
      </c>
      <c r="AJ11" t="s">
        <v>1434</v>
      </c>
      <c r="AK11" t="s">
        <v>1948</v>
      </c>
      <c r="AL11" t="s">
        <v>1435</v>
      </c>
      <c r="AM11" t="s">
        <v>2</v>
      </c>
      <c r="AN11" t="s">
        <v>382</v>
      </c>
      <c r="AO11" t="s">
        <v>143</v>
      </c>
      <c r="AP11" t="s">
        <v>390</v>
      </c>
      <c r="AQ11" t="s">
        <v>794</v>
      </c>
      <c r="AR11" t="s">
        <v>2</v>
      </c>
      <c r="AS11" t="s">
        <v>1949</v>
      </c>
      <c r="AT11" t="s">
        <v>766</v>
      </c>
      <c r="AU11" t="s">
        <v>803</v>
      </c>
      <c r="AV11" t="s">
        <v>1950</v>
      </c>
      <c r="AW11" t="s">
        <v>271</v>
      </c>
      <c r="AX11" t="s">
        <v>998</v>
      </c>
      <c r="AY11" t="s">
        <v>752</v>
      </c>
      <c r="AZ11" t="s">
        <v>518</v>
      </c>
      <c r="BA11" t="s">
        <v>520</v>
      </c>
      <c r="BB11" t="s">
        <v>258</v>
      </c>
      <c r="BC11" t="s">
        <v>999</v>
      </c>
      <c r="BD11" t="s">
        <v>775</v>
      </c>
      <c r="BE11" t="s">
        <v>30</v>
      </c>
      <c r="BF11" t="s">
        <v>521</v>
      </c>
      <c r="BG11" t="s">
        <v>522</v>
      </c>
      <c r="BH11" t="s">
        <v>1430</v>
      </c>
      <c r="BI11" t="s">
        <v>1410</v>
      </c>
      <c r="BJ11" t="s">
        <v>998</v>
      </c>
      <c r="BK11" t="s">
        <v>1431</v>
      </c>
      <c r="BL11" t="s">
        <v>1436</v>
      </c>
      <c r="BM11" t="s">
        <v>999</v>
      </c>
      <c r="BN11">
        <v>2.36</v>
      </c>
      <c r="BO11">
        <v>2.69</v>
      </c>
      <c r="BP11">
        <v>2.12</v>
      </c>
      <c r="BQ11">
        <v>2.6</v>
      </c>
      <c r="BR11">
        <v>2.5299999999999998</v>
      </c>
      <c r="BS11">
        <v>1.92</v>
      </c>
      <c r="BT11" t="s">
        <v>950</v>
      </c>
      <c r="BU11" t="s">
        <v>1868</v>
      </c>
      <c r="BV11">
        <v>7.6</v>
      </c>
      <c r="BW11">
        <v>8.14</v>
      </c>
      <c r="BX11">
        <v>8.31</v>
      </c>
      <c r="BY11">
        <v>2.39</v>
      </c>
      <c r="BZ11">
        <v>2.72</v>
      </c>
      <c r="CA11">
        <v>2.79</v>
      </c>
      <c r="CB11">
        <v>-0.13</v>
      </c>
      <c r="CC11">
        <v>-16.02</v>
      </c>
      <c r="CD11" t="s">
        <v>2576</v>
      </c>
      <c r="CE11" t="s">
        <v>2577</v>
      </c>
      <c r="CF11" s="10">
        <v>9.3943139678615575E-2</v>
      </c>
      <c r="CG11" s="11">
        <v>-0.22684371363909525</v>
      </c>
      <c r="CH11" s="10">
        <v>0.14520202577114105</v>
      </c>
      <c r="CI11" s="10">
        <v>0.55905508995056152</v>
      </c>
      <c r="CJ11" s="10">
        <v>0.12701049447059631</v>
      </c>
      <c r="CK11" s="10">
        <v>0.52280408143997192</v>
      </c>
      <c r="CL11" s="10">
        <v>-0.22614379227161407</v>
      </c>
      <c r="CM11" s="11">
        <v>-1.0131900198757648E-3</v>
      </c>
      <c r="CN11" s="11">
        <v>0.54805457592010498</v>
      </c>
      <c r="CO11" s="11">
        <v>-0.6087028980255127</v>
      </c>
      <c r="CP11" s="11">
        <v>2.4218931198120117</v>
      </c>
      <c r="CQ11" s="11">
        <v>-2.2249319553375244</v>
      </c>
      <c r="CR11">
        <v>54.140351905316258</v>
      </c>
      <c r="CS11">
        <v>2.3999916987603829</v>
      </c>
      <c r="CT11">
        <v>3.2320620555914674</v>
      </c>
      <c r="CU11" s="10">
        <v>0.22558557987213135</v>
      </c>
      <c r="CV11" s="11">
        <v>2.7059930469840766E-2</v>
      </c>
      <c r="CW11">
        <v>0.06</v>
      </c>
      <c r="CX11">
        <v>18.450815699252622</v>
      </c>
      <c r="CY11">
        <v>96553828.786667794</v>
      </c>
      <c r="CZ11">
        <v>0.22558557987213135</v>
      </c>
      <c r="DA11">
        <v>5.3853959249109282</v>
      </c>
      <c r="DB11">
        <v>330801472.13678908</v>
      </c>
      <c r="DC11">
        <v>0.21430630087852476</v>
      </c>
      <c r="DD11">
        <v>2.2631382646492071</v>
      </c>
      <c r="DE11">
        <v>787179876.64626276</v>
      </c>
      <c r="DF11">
        <v>0.1985153102874756</v>
      </c>
      <c r="DG11">
        <v>1.1255835435615515</v>
      </c>
      <c r="DH11">
        <v>1582731828.4727395</v>
      </c>
      <c r="DI11">
        <v>0.1804684638977051</v>
      </c>
      <c r="DJ11">
        <v>0.37170247643938198</v>
      </c>
      <c r="DK11">
        <v>4792803419.1898375</v>
      </c>
      <c r="DL11">
        <v>0.15790990591049192</v>
      </c>
      <c r="DM11">
        <v>83508700.000000015</v>
      </c>
      <c r="DN11">
        <v>0.22558557987213135</v>
      </c>
      <c r="DO11">
        <v>1781496900</v>
      </c>
      <c r="DP11">
        <v>1779132600</v>
      </c>
      <c r="DQ11">
        <v>1112</v>
      </c>
      <c r="DR11">
        <v>-0.13164244019351579</v>
      </c>
      <c r="DS11">
        <v>-0.25390364410893601</v>
      </c>
      <c r="DT11" s="12">
        <v>-0.27333333333333337</v>
      </c>
      <c r="DU11">
        <v>-0.51500000000000001</v>
      </c>
      <c r="DV11">
        <v>-0.78833333333333333</v>
      </c>
      <c r="DW11">
        <v>-3.0002261904761904</v>
      </c>
      <c r="DX11">
        <v>0.35707844487407031</v>
      </c>
      <c r="DY11">
        <v>-3.0000355296482453</v>
      </c>
      <c r="DZ11">
        <v>3379</v>
      </c>
      <c r="EA11">
        <v>-3.0000120217803343</v>
      </c>
      <c r="EB11">
        <v>3</v>
      </c>
      <c r="EC11">
        <v>2.3836232339089481E-2</v>
      </c>
      <c r="ED11">
        <v>0.15174731554160123</v>
      </c>
      <c r="EE11" s="13">
        <v>-3.0068999999999999</v>
      </c>
      <c r="EF11">
        <v>-3.0036999999999998</v>
      </c>
      <c r="EG11">
        <v>20.15707844487407</v>
      </c>
      <c r="EH11" t="s">
        <v>1202</v>
      </c>
      <c r="EI11">
        <v>0</v>
      </c>
      <c r="EJ11">
        <v>0</v>
      </c>
      <c r="EK11" s="14">
        <v>45490</v>
      </c>
      <c r="EL11">
        <v>3.62</v>
      </c>
      <c r="EM11">
        <v>0.5</v>
      </c>
      <c r="EN11">
        <v>-3.78</v>
      </c>
      <c r="EO11">
        <v>0</v>
      </c>
      <c r="EP11">
        <v>-0.32</v>
      </c>
    </row>
    <row r="12" spans="1:146" ht="120" hidden="1" x14ac:dyDescent="0.25">
      <c r="A12" s="8"/>
      <c r="B12" s="8"/>
      <c r="C12" s="8" t="str">
        <f>"公司主营业务为从事光伏电池的研发、生产和销售。"&amp;CHAR(10)&amp;Basic_Fundamental_Information_Constructure(F12)&amp;CHAR(10)&amp;Basic_Fundamental_Information_Concatenate("光伏电池片 39.40亿 89.01% 84.18% 9.68%
汽车饰件产品 4.67亿 10.56% 14.93% 14.47%
其他业务 1929.08万 0.44% 0.89% 20.98%")</f>
        <v>公司主营业务为从事光伏电池的研发、生产和销售。
市值83.742961亿, 利润8.16亿; PE17.4; 平均PE35.22; 平均PEG.3, PB1.77; ROIC20.325%; ROE35.38%; 股利率2.0365%; 毛利12.77%; 净利2.2533%; 上一年度营收增60.91%, 利润增13.81%; 当季营收增-6.38%, 利润增-138.14%; 过往5年营收增119%, 利润增-197.44%
Income profile:
光伏电池片 39.40亿 89.01% 84.18% 9.68%
汽车饰件产品 4.67亿 10.56% 14.93% 14.47%
其他业务 1929.08万 0.44% 0.89% 20.98%</v>
      </c>
      <c r="D12" t="s">
        <v>720</v>
      </c>
      <c r="E12" t="s">
        <v>721</v>
      </c>
      <c r="F12">
        <v>36.64</v>
      </c>
      <c r="G12">
        <v>-0.97</v>
      </c>
      <c r="H12" t="s">
        <v>2578</v>
      </c>
      <c r="I12">
        <v>8374296100</v>
      </c>
      <c r="J12">
        <v>17.399999999999999</v>
      </c>
      <c r="K12">
        <v>1.77</v>
      </c>
      <c r="L12" t="s">
        <v>753</v>
      </c>
      <c r="M12" t="s">
        <v>1441</v>
      </c>
      <c r="N12" t="s">
        <v>1070</v>
      </c>
      <c r="O12" t="s">
        <v>1442</v>
      </c>
      <c r="P12">
        <v>-6.38</v>
      </c>
      <c r="Q12" t="s">
        <v>1443</v>
      </c>
      <c r="R12">
        <v>-135000000</v>
      </c>
      <c r="S12" s="6">
        <v>-0.94420000000000004</v>
      </c>
      <c r="T12" t="s">
        <v>1444</v>
      </c>
      <c r="U12">
        <v>224270160</v>
      </c>
      <c r="V12">
        <v>228556120</v>
      </c>
      <c r="W12">
        <v>3.6</v>
      </c>
      <c r="X12">
        <v>0.21</v>
      </c>
      <c r="Y12">
        <v>0.53</v>
      </c>
      <c r="Z12" t="s">
        <v>1951</v>
      </c>
      <c r="AA12" t="s">
        <v>826</v>
      </c>
      <c r="AB12" t="s">
        <v>1952</v>
      </c>
      <c r="AC12" t="s">
        <v>1953</v>
      </c>
      <c r="AD12" t="s">
        <v>2</v>
      </c>
      <c r="AE12">
        <v>42107026</v>
      </c>
      <c r="AF12" t="s">
        <v>1445</v>
      </c>
      <c r="AG12" t="s">
        <v>1954</v>
      </c>
      <c r="AH12" t="s">
        <v>1446</v>
      </c>
      <c r="AI12" t="s">
        <v>1955</v>
      </c>
      <c r="AJ12" t="s">
        <v>1447</v>
      </c>
      <c r="AK12" t="s">
        <v>356</v>
      </c>
      <c r="AL12" t="s">
        <v>1448</v>
      </c>
      <c r="AM12" t="s">
        <v>2</v>
      </c>
      <c r="AN12" t="s">
        <v>1383</v>
      </c>
      <c r="AO12" t="s">
        <v>384</v>
      </c>
      <c r="AP12" t="s">
        <v>29</v>
      </c>
      <c r="AQ12" t="s">
        <v>358</v>
      </c>
      <c r="AR12" t="s">
        <v>2</v>
      </c>
      <c r="AS12" t="s">
        <v>1956</v>
      </c>
      <c r="AT12" t="s">
        <v>1718</v>
      </c>
      <c r="AU12" t="s">
        <v>65</v>
      </c>
      <c r="AV12" t="s">
        <v>1274</v>
      </c>
      <c r="AW12" t="s">
        <v>1957</v>
      </c>
      <c r="AX12" t="s">
        <v>1002</v>
      </c>
      <c r="AY12" t="s">
        <v>767</v>
      </c>
      <c r="AZ12" t="s">
        <v>127</v>
      </c>
      <c r="BA12" t="s">
        <v>695</v>
      </c>
      <c r="BB12" t="s">
        <v>161</v>
      </c>
      <c r="BC12" t="s">
        <v>433</v>
      </c>
      <c r="BD12" t="s">
        <v>779</v>
      </c>
      <c r="BE12" t="s">
        <v>722</v>
      </c>
      <c r="BF12" t="s">
        <v>723</v>
      </c>
      <c r="BG12" t="s">
        <v>724</v>
      </c>
      <c r="BH12" t="s">
        <v>1443</v>
      </c>
      <c r="BI12" t="s">
        <v>1449</v>
      </c>
      <c r="BJ12" t="s">
        <v>1002</v>
      </c>
      <c r="BK12" t="s">
        <v>1444</v>
      </c>
      <c r="BL12" t="s">
        <v>381</v>
      </c>
      <c r="BM12" t="s">
        <v>433</v>
      </c>
      <c r="BN12">
        <v>19.39</v>
      </c>
      <c r="BO12">
        <v>21.26</v>
      </c>
      <c r="BP12" t="s">
        <v>2</v>
      </c>
      <c r="BQ12">
        <v>58.67</v>
      </c>
      <c r="BR12">
        <v>65.37</v>
      </c>
      <c r="BS12">
        <v>-17.899999999999999</v>
      </c>
      <c r="BT12" t="s">
        <v>1450</v>
      </c>
      <c r="BU12" t="s">
        <v>1882</v>
      </c>
      <c r="BV12">
        <v>14.74</v>
      </c>
      <c r="BW12">
        <v>11.6</v>
      </c>
      <c r="BX12">
        <v>11.97</v>
      </c>
      <c r="BY12">
        <v>4.37</v>
      </c>
      <c r="BZ12">
        <v>7.08</v>
      </c>
      <c r="CA12">
        <v>-4.6900000000000004</v>
      </c>
      <c r="CB12">
        <v>2.2599999999999998</v>
      </c>
      <c r="CC12">
        <v>-31.09</v>
      </c>
      <c r="CD12" t="s">
        <v>2579</v>
      </c>
      <c r="CE12" t="s">
        <v>208</v>
      </c>
      <c r="CF12" s="10">
        <v>-6.3776153264431562E-2</v>
      </c>
      <c r="CG12" s="11">
        <v>-1.3813559322033899</v>
      </c>
      <c r="CH12" s="10">
        <v>0.60905557870864868</v>
      </c>
      <c r="CI12" s="10">
        <v>3.0499477386474609</v>
      </c>
      <c r="CJ12" s="10">
        <v>2.3368299007415771</v>
      </c>
      <c r="CK12" s="10">
        <v>3.7484884262084961E-2</v>
      </c>
      <c r="CL12" s="10">
        <v>-8.3148561418056488E-2</v>
      </c>
      <c r="CM12" s="11">
        <v>0.13807530701160431</v>
      </c>
      <c r="CN12" s="11">
        <v>5.0055866241455078</v>
      </c>
      <c r="CO12" s="11">
        <v>-14.213842391967773</v>
      </c>
      <c r="CP12" s="11">
        <v>-0.21365755796432495</v>
      </c>
      <c r="CQ12" s="11">
        <v>-0.58818072080612183</v>
      </c>
      <c r="CR12">
        <v>35.220519734541831</v>
      </c>
      <c r="CS12">
        <v>0.2959623208397486</v>
      </c>
      <c r="CT12">
        <v>2.0365076419213972</v>
      </c>
      <c r="CU12" s="10">
        <v>1.1900339081883431</v>
      </c>
      <c r="CV12" s="11">
        <v>-1.9744037479162215</v>
      </c>
      <c r="CW12">
        <v>0.06</v>
      </c>
      <c r="CX12">
        <v>10.285404511539964</v>
      </c>
      <c r="CY12">
        <v>1685912895.3600829</v>
      </c>
      <c r="CZ12">
        <v>1.1900339081883431</v>
      </c>
      <c r="DA12">
        <v>1.499714566011848</v>
      </c>
      <c r="DB12">
        <v>11562397600.83987</v>
      </c>
      <c r="DC12">
        <v>1.1305322127789259</v>
      </c>
      <c r="DD12">
        <v>0.20132755902188035</v>
      </c>
      <c r="DE12">
        <v>86129768742.268661</v>
      </c>
      <c r="DF12">
        <v>1.047229839205742</v>
      </c>
      <c r="DG12">
        <v>2.1698417148962923E-2</v>
      </c>
      <c r="DH12">
        <v>799150278149.6106</v>
      </c>
      <c r="DI12">
        <v>0.95202712655067456</v>
      </c>
      <c r="DJ12">
        <v>1.5673075235530387E-4</v>
      </c>
      <c r="DK12">
        <v>110637483961603.62</v>
      </c>
      <c r="DL12">
        <v>0.83302373573184008</v>
      </c>
      <c r="DM12">
        <v>816000000</v>
      </c>
      <c r="DN12">
        <v>1.1900339081883431</v>
      </c>
      <c r="DO12">
        <v>17340296100</v>
      </c>
      <c r="DP12">
        <v>682735100</v>
      </c>
      <c r="DQ12">
        <v>1332</v>
      </c>
      <c r="DR12">
        <v>-1.2538100614527747</v>
      </c>
      <c r="DS12">
        <v>0.59304781571283161</v>
      </c>
      <c r="DT12" s="12">
        <v>0.71333333333333337</v>
      </c>
      <c r="DU12">
        <v>-1.4483333333333335</v>
      </c>
      <c r="DV12">
        <v>-0.7350000000000001</v>
      </c>
      <c r="DW12">
        <v>-3.1706607142857144</v>
      </c>
      <c r="DX12">
        <v>0.51726473429951481</v>
      </c>
      <c r="DY12">
        <v>-3.0285455190303656</v>
      </c>
      <c r="DZ12">
        <v>3316</v>
      </c>
      <c r="EA12">
        <v>-3.0100107743456794</v>
      </c>
      <c r="EB12">
        <v>3</v>
      </c>
      <c r="EC12">
        <v>0.15148927099392481</v>
      </c>
      <c r="ED12">
        <v>0.90568565829696435</v>
      </c>
      <c r="EE12" s="13">
        <v>1.07311</v>
      </c>
      <c r="EF12">
        <v>1.0828100000000001</v>
      </c>
      <c r="EG12">
        <v>35.167264734299515</v>
      </c>
      <c r="EH12" t="s">
        <v>960</v>
      </c>
      <c r="EI12">
        <v>0</v>
      </c>
      <c r="EJ12">
        <v>0</v>
      </c>
      <c r="EK12" s="14">
        <v>45490</v>
      </c>
      <c r="EL12">
        <v>3.74</v>
      </c>
      <c r="EM12">
        <v>0.94</v>
      </c>
      <c r="EN12">
        <v>-1.71</v>
      </c>
      <c r="EO12">
        <v>0.33</v>
      </c>
      <c r="EP12">
        <v>-0.97</v>
      </c>
    </row>
    <row r="13" spans="1:146" ht="192" hidden="1" x14ac:dyDescent="0.25">
      <c r="A13" s="9" t="s">
        <v>705</v>
      </c>
      <c r="B13" s="9" t="s">
        <v>706</v>
      </c>
      <c r="C13" s="9" t="str">
        <f>"公司的主营业务是先进高分子材料及特种精细材料的研发、生产与销售。公司主要产品为EVA光伏胶膜料、EVA电线电缆料，PP薄壁注塑专用料，特种表面活性剂、聚醚、聚醚大单体、高性能减水剂。"&amp;CHAR(10)&amp;Basic_Fundamental_Information_Constructure(F13)&amp;CHAR(10)&amp;Basic_Fundamental_Information_Concatenate("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f>
        <v>公司的主营业务是先进高分子材料及特种精细材料的研发、生产与销售。公司主要产品为EVA光伏胶膜料、EVA电线电缆料，PP薄壁注塑专用料，特种表面活性剂、聚醚、聚醚大单体、高性能减水剂。
市值183.37349亿, 利润4.46亿; PE52.33; 平均PE28.92; 平均PEG6.9, PB2.56; ROIC8.2567%; ROE12.46%; 股利率.5827%; 毛利20.5067%; 净利10.6767%; 上一年度营收增-16.91%, 利润增-48.5%; 当季营收增-5.65%, 利润增-3.06%; 过往5年营收增4.19%, 利润增30.78%
Income profile:
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v>
      </c>
      <c r="D13" t="s">
        <v>523</v>
      </c>
      <c r="E13" t="s">
        <v>524</v>
      </c>
      <c r="F13">
        <v>13.73</v>
      </c>
      <c r="G13">
        <v>0.28999999999999998</v>
      </c>
      <c r="H13" t="s">
        <v>2580</v>
      </c>
      <c r="I13">
        <v>18337349000</v>
      </c>
      <c r="J13">
        <v>52.33</v>
      </c>
      <c r="K13">
        <v>2.56</v>
      </c>
      <c r="L13" t="s">
        <v>753</v>
      </c>
      <c r="M13" t="s">
        <v>1453</v>
      </c>
      <c r="N13" t="s">
        <v>1958</v>
      </c>
      <c r="O13" t="s">
        <v>1454</v>
      </c>
      <c r="P13">
        <v>-5.64</v>
      </c>
      <c r="Q13" t="s">
        <v>1455</v>
      </c>
      <c r="R13">
        <v>142500000</v>
      </c>
      <c r="S13" s="6">
        <v>-0.65049999999999997</v>
      </c>
      <c r="T13" t="s">
        <v>488</v>
      </c>
      <c r="U13">
        <v>1335568000</v>
      </c>
      <c r="V13">
        <v>1335568000</v>
      </c>
      <c r="W13">
        <v>2.35</v>
      </c>
      <c r="X13">
        <v>0.08</v>
      </c>
      <c r="Y13">
        <v>3.52</v>
      </c>
      <c r="Z13" t="s">
        <v>443</v>
      </c>
      <c r="AA13" t="s">
        <v>410</v>
      </c>
      <c r="AB13" t="s">
        <v>1959</v>
      </c>
      <c r="AC13" t="s">
        <v>83</v>
      </c>
      <c r="AD13" t="s">
        <v>2</v>
      </c>
      <c r="AE13">
        <v>29279571</v>
      </c>
      <c r="AF13" t="s">
        <v>1456</v>
      </c>
      <c r="AG13" t="s">
        <v>1960</v>
      </c>
      <c r="AH13" t="s">
        <v>1457</v>
      </c>
      <c r="AI13" t="s">
        <v>1961</v>
      </c>
      <c r="AJ13" t="s">
        <v>1458</v>
      </c>
      <c r="AK13" t="s">
        <v>1962</v>
      </c>
      <c r="AL13" t="s">
        <v>1459</v>
      </c>
      <c r="AM13" t="s">
        <v>2</v>
      </c>
      <c r="AN13" t="s">
        <v>1963</v>
      </c>
      <c r="AO13" t="s">
        <v>1235</v>
      </c>
      <c r="AP13" t="s">
        <v>26</v>
      </c>
      <c r="AQ13" t="s">
        <v>291</v>
      </c>
      <c r="AR13" t="s">
        <v>1964</v>
      </c>
      <c r="AS13" t="s">
        <v>1965</v>
      </c>
      <c r="AT13" t="s">
        <v>1966</v>
      </c>
      <c r="AU13" t="s">
        <v>1967</v>
      </c>
      <c r="AV13" t="s">
        <v>1968</v>
      </c>
      <c r="AW13" t="s">
        <v>1835</v>
      </c>
      <c r="AX13" t="s">
        <v>1004</v>
      </c>
      <c r="AY13" t="s">
        <v>780</v>
      </c>
      <c r="AZ13" t="s">
        <v>525</v>
      </c>
      <c r="BA13" t="s">
        <v>526</v>
      </c>
      <c r="BB13" t="s">
        <v>527</v>
      </c>
      <c r="BC13" t="s">
        <v>519</v>
      </c>
      <c r="BD13" t="s">
        <v>248</v>
      </c>
      <c r="BE13" t="s">
        <v>366</v>
      </c>
      <c r="BF13" t="s">
        <v>224</v>
      </c>
      <c r="BG13" t="s">
        <v>63</v>
      </c>
      <c r="BH13" t="s">
        <v>1455</v>
      </c>
      <c r="BI13" t="s">
        <v>1233</v>
      </c>
      <c r="BJ13" t="s">
        <v>1004</v>
      </c>
      <c r="BK13" t="s">
        <v>488</v>
      </c>
      <c r="BL13" t="s">
        <v>200</v>
      </c>
      <c r="BM13" t="s">
        <v>519</v>
      </c>
      <c r="BN13">
        <v>3.73</v>
      </c>
      <c r="BO13">
        <v>8.5</v>
      </c>
      <c r="BP13">
        <v>12.54</v>
      </c>
      <c r="BQ13">
        <v>5.78</v>
      </c>
      <c r="BR13">
        <v>13.14</v>
      </c>
      <c r="BS13">
        <v>18.46</v>
      </c>
      <c r="BT13" t="s">
        <v>942</v>
      </c>
      <c r="BU13" t="s">
        <v>1868</v>
      </c>
      <c r="BV13">
        <v>16.16</v>
      </c>
      <c r="BW13">
        <v>20.22</v>
      </c>
      <c r="BX13">
        <v>25.14</v>
      </c>
      <c r="BY13">
        <v>6.73</v>
      </c>
      <c r="BZ13">
        <v>10.71</v>
      </c>
      <c r="CA13">
        <v>14.59</v>
      </c>
      <c r="CB13">
        <v>4.49</v>
      </c>
      <c r="CC13">
        <v>-14.93</v>
      </c>
      <c r="CD13" t="s">
        <v>2581</v>
      </c>
      <c r="CE13" t="s">
        <v>2582</v>
      </c>
      <c r="CF13" s="10">
        <v>-5.6472081218274114E-2</v>
      </c>
      <c r="CG13" s="11">
        <v>-3.0612244897959183E-2</v>
      </c>
      <c r="CH13" s="10">
        <v>-0.16905727982521057</v>
      </c>
      <c r="CI13" s="10">
        <v>7.5979419052600861E-2</v>
      </c>
      <c r="CJ13" s="10">
        <v>0.27819937467575073</v>
      </c>
      <c r="CK13" s="10">
        <v>4.5294314622879028E-2</v>
      </c>
      <c r="CL13" s="10">
        <v>-2.0880058407783508E-2</v>
      </c>
      <c r="CM13" s="11">
        <v>-0.48498845100402832</v>
      </c>
      <c r="CN13" s="11">
        <v>-0.20623286068439484</v>
      </c>
      <c r="CO13" s="11">
        <v>0.70202815532684326</v>
      </c>
      <c r="CP13" s="11">
        <v>0.20488721132278442</v>
      </c>
      <c r="CQ13" s="11">
        <v>1.3231440782546997</v>
      </c>
      <c r="CR13">
        <v>28.915662023653091</v>
      </c>
      <c r="CS13">
        <v>6.8999345570774393</v>
      </c>
      <c r="CT13">
        <v>0.58266569555717407</v>
      </c>
      <c r="CU13" s="10">
        <v>4.1907154023647308E-2</v>
      </c>
      <c r="CV13" s="11">
        <v>0.30776762664318086</v>
      </c>
      <c r="CW13">
        <v>0.06</v>
      </c>
      <c r="CX13">
        <v>44.860667199742892</v>
      </c>
      <c r="CY13">
        <v>438387349.71183652</v>
      </c>
      <c r="CZ13">
        <v>4.1907154023647308E-2</v>
      </c>
      <c r="DA13">
        <v>15.272718676511538</v>
      </c>
      <c r="DB13">
        <v>1287678337.8617184</v>
      </c>
      <c r="DC13">
        <v>3.981179632246494E-2</v>
      </c>
      <c r="DD13">
        <v>7.9332822989432383</v>
      </c>
      <c r="DE13">
        <v>2478967501.587543</v>
      </c>
      <c r="DF13">
        <v>3.6878295540809632E-2</v>
      </c>
      <c r="DG13">
        <v>5.0542719496878847</v>
      </c>
      <c r="DH13">
        <v>3891034988.9689751</v>
      </c>
      <c r="DI13">
        <v>3.3525723218917849E-2</v>
      </c>
      <c r="DJ13">
        <v>2.958151242515048</v>
      </c>
      <c r="DK13">
        <v>6648189151.8431911</v>
      </c>
      <c r="DL13">
        <v>2.9335007816553113E-2</v>
      </c>
      <c r="DM13">
        <v>446000000</v>
      </c>
      <c r="DN13">
        <v>4.1907154023647308E-2</v>
      </c>
      <c r="DO13">
        <v>19666349000</v>
      </c>
      <c r="DP13">
        <v>-543444100</v>
      </c>
      <c r="DQ13">
        <v>1477</v>
      </c>
      <c r="DR13">
        <v>-9.8379235241921423E-2</v>
      </c>
      <c r="DS13">
        <v>-0.33837987154114002</v>
      </c>
      <c r="DT13" s="12">
        <v>-0.47333333333333333</v>
      </c>
      <c r="DU13">
        <v>0.26666666666666666</v>
      </c>
      <c r="DV13">
        <v>-0.20666666666666667</v>
      </c>
      <c r="DW13">
        <v>6.2312049433573637</v>
      </c>
      <c r="DX13">
        <v>0.38117326732673235</v>
      </c>
      <c r="DY13">
        <v>6.0442002044437197</v>
      </c>
      <c r="DZ13">
        <v>2293</v>
      </c>
      <c r="EA13">
        <v>6.0243546848060756</v>
      </c>
      <c r="EB13">
        <v>6</v>
      </c>
      <c r="EC13">
        <v>1.4457144825272843E-2</v>
      </c>
      <c r="ED13">
        <v>7.5623255423909533E-2</v>
      </c>
      <c r="EE13" s="13">
        <v>-1.0888100000000001</v>
      </c>
      <c r="EF13">
        <v>-1.0859099999999999</v>
      </c>
      <c r="EG13">
        <v>19.191173267326732</v>
      </c>
      <c r="EH13" t="s">
        <v>969</v>
      </c>
      <c r="EI13">
        <v>0</v>
      </c>
      <c r="EJ13">
        <v>0</v>
      </c>
      <c r="EK13" s="14">
        <v>45490</v>
      </c>
      <c r="EL13">
        <v>4.79</v>
      </c>
      <c r="EM13">
        <v>0.8</v>
      </c>
      <c r="EN13">
        <v>-1.95</v>
      </c>
      <c r="EO13">
        <v>0.59</v>
      </c>
      <c r="EP13">
        <v>0.28999999999999998</v>
      </c>
    </row>
    <row r="14" spans="1:146" ht="96" hidden="1" x14ac:dyDescent="0.25">
      <c r="C14" s="9" t="str">
        <f>""&amp;CHAR(10)&amp;Basic_Fundamental_Information_Constructure(F14)&amp;CHAR(10)&amp;Basic_Fundamental_Information_Concatenate("")</f>
        <v xml:space="preserve">
市值23.258437亿, 利润-3973.50万; PE; 平均PE-18.16; 平均PEG-5.3, PB7.82; ROIC0%; ROE-11.3033%; 股利率0%; 毛利44.6933%; 净利-19.2533%; 上一年度营收增38.42%, 利润增-23.36%; 当季营收增29.28%, 利润增-925.66%; 过往5年营收增3.43%, 利润增21.81%
Income profile:
</v>
      </c>
      <c r="D14" t="s">
        <v>1320</v>
      </c>
      <c r="E14" t="s">
        <v>1321</v>
      </c>
      <c r="F14">
        <v>6.36</v>
      </c>
      <c r="G14">
        <v>-4.3600000000000003</v>
      </c>
      <c r="H14" t="s">
        <v>2583</v>
      </c>
      <c r="I14">
        <v>2325843700</v>
      </c>
      <c r="K14">
        <v>7.82</v>
      </c>
      <c r="L14" t="s">
        <v>753</v>
      </c>
      <c r="M14" t="s">
        <v>1209</v>
      </c>
      <c r="N14" t="s">
        <v>1058</v>
      </c>
      <c r="O14" t="s">
        <v>1462</v>
      </c>
      <c r="P14" s="6">
        <v>29.28</v>
      </c>
      <c r="Q14" t="s">
        <v>165</v>
      </c>
      <c r="R14">
        <v>-28487742</v>
      </c>
      <c r="S14">
        <v>-9.2569999999999997</v>
      </c>
      <c r="T14" t="s">
        <v>1463</v>
      </c>
      <c r="U14">
        <v>365698690</v>
      </c>
      <c r="V14">
        <v>365698690</v>
      </c>
      <c r="W14">
        <v>3.19</v>
      </c>
      <c r="X14">
        <v>0.02</v>
      </c>
      <c r="Y14">
        <v>-125.3</v>
      </c>
      <c r="Z14" t="s">
        <v>51</v>
      </c>
      <c r="AA14" t="s">
        <v>1969</v>
      </c>
      <c r="AB14" t="s">
        <v>1970</v>
      </c>
      <c r="AC14" t="s">
        <v>1971</v>
      </c>
      <c r="AD14" t="s">
        <v>2</v>
      </c>
      <c r="AE14">
        <v>12277698</v>
      </c>
      <c r="AF14" t="s">
        <v>1464</v>
      </c>
      <c r="AG14" t="s">
        <v>1972</v>
      </c>
      <c r="AH14" t="s">
        <v>1465</v>
      </c>
      <c r="AI14" t="s">
        <v>1973</v>
      </c>
      <c r="AJ14" t="s">
        <v>1466</v>
      </c>
      <c r="AK14" t="s">
        <v>2</v>
      </c>
      <c r="AL14" t="s">
        <v>1467</v>
      </c>
      <c r="AM14" t="s">
        <v>2</v>
      </c>
      <c r="AN14" t="s">
        <v>294</v>
      </c>
      <c r="AO14" t="s">
        <v>1468</v>
      </c>
      <c r="AP14" t="s">
        <v>1974</v>
      </c>
      <c r="AQ14" t="s">
        <v>37</v>
      </c>
      <c r="AR14" t="s">
        <v>112</v>
      </c>
      <c r="AS14" t="s">
        <v>1186</v>
      </c>
      <c r="AT14" t="s">
        <v>1357</v>
      </c>
      <c r="AU14" t="s">
        <v>1975</v>
      </c>
      <c r="AV14" t="s">
        <v>1976</v>
      </c>
      <c r="AW14" t="s">
        <v>239</v>
      </c>
      <c r="AX14" t="s">
        <v>88</v>
      </c>
      <c r="AY14" t="s">
        <v>125</v>
      </c>
      <c r="AZ14" t="s">
        <v>35</v>
      </c>
      <c r="BA14" t="s">
        <v>81</v>
      </c>
      <c r="BB14" t="s">
        <v>124</v>
      </c>
      <c r="BC14" t="s">
        <v>1469</v>
      </c>
      <c r="BD14" t="s">
        <v>1322</v>
      </c>
      <c r="BE14" t="s">
        <v>1323</v>
      </c>
      <c r="BF14" t="s">
        <v>1266</v>
      </c>
      <c r="BG14" t="s">
        <v>1324</v>
      </c>
      <c r="BH14" t="s">
        <v>165</v>
      </c>
      <c r="BI14" t="s">
        <v>1470</v>
      </c>
      <c r="BJ14" t="s">
        <v>88</v>
      </c>
      <c r="BK14" t="s">
        <v>1463</v>
      </c>
      <c r="BL14" t="s">
        <v>1471</v>
      </c>
      <c r="BM14" t="s">
        <v>1469</v>
      </c>
      <c r="BN14" t="s">
        <v>2</v>
      </c>
      <c r="BO14" t="s">
        <v>2</v>
      </c>
      <c r="BP14" t="s">
        <v>2</v>
      </c>
      <c r="BQ14">
        <v>-7.97</v>
      </c>
      <c r="BR14">
        <v>-15.46</v>
      </c>
      <c r="BS14">
        <v>-10.48</v>
      </c>
      <c r="BT14" t="s">
        <v>940</v>
      </c>
      <c r="BU14" t="s">
        <v>1882</v>
      </c>
      <c r="BV14">
        <v>38.619999999999997</v>
      </c>
      <c r="BW14">
        <v>45.83</v>
      </c>
      <c r="BX14">
        <v>49.63</v>
      </c>
      <c r="BY14">
        <v>-24.46</v>
      </c>
      <c r="BZ14">
        <v>-18.489999999999998</v>
      </c>
      <c r="CA14">
        <v>-14.81</v>
      </c>
      <c r="CB14">
        <v>-12.76</v>
      </c>
      <c r="CC14" s="10">
        <v>-26.56</v>
      </c>
      <c r="CD14" s="11" t="s">
        <v>2584</v>
      </c>
      <c r="CE14" s="10" t="s">
        <v>2582</v>
      </c>
      <c r="CF14" s="10">
        <v>0.29281931467420869</v>
      </c>
      <c r="CG14" s="10">
        <v>-9.2566127812781271</v>
      </c>
      <c r="CH14" s="10">
        <v>0.38418078422546387</v>
      </c>
      <c r="CI14" s="10">
        <v>-3.8043476641178131E-2</v>
      </c>
      <c r="CJ14" s="11">
        <v>-0.17117117345333099</v>
      </c>
      <c r="CK14" s="11">
        <v>-0.2291666716337204</v>
      </c>
      <c r="CL14" s="11">
        <v>0.2255319207906723</v>
      </c>
      <c r="CM14" s="11">
        <v>-0.23355033993721008</v>
      </c>
      <c r="CN14" s="11">
        <v>-0.3073594868183136</v>
      </c>
      <c r="CO14">
        <v>0.64189052581787109</v>
      </c>
      <c r="CP14">
        <v>0.73228520154953003</v>
      </c>
      <c r="CQ14">
        <v>0.25722542405128479</v>
      </c>
      <c r="CR14" s="10">
        <v>-18.161466758026702</v>
      </c>
      <c r="CS14" s="11">
        <v>-5.3000992607139654</v>
      </c>
      <c r="CT14">
        <v>0</v>
      </c>
      <c r="CU14">
        <v>3.4266276657581328E-2</v>
      </c>
      <c r="CV14">
        <v>0.21809826493263246</v>
      </c>
      <c r="CW14">
        <v>0.06</v>
      </c>
      <c r="CX14" t="e">
        <v>#VALUE!</v>
      </c>
      <c r="CY14" t="s">
        <v>711</v>
      </c>
      <c r="CZ14">
        <v>3.4266276657581328E-2</v>
      </c>
      <c r="DA14" t="e">
        <v>#VALUE!</v>
      </c>
      <c r="DB14" t="s">
        <v>712</v>
      </c>
      <c r="DC14">
        <v>3.2552962824702263E-2</v>
      </c>
      <c r="DD14" t="e">
        <v>#VALUE!</v>
      </c>
      <c r="DE14" t="s">
        <v>712</v>
      </c>
      <c r="DF14">
        <v>3.015432345867157E-2</v>
      </c>
      <c r="DG14" t="e">
        <v>#VALUE!</v>
      </c>
      <c r="DH14" t="s">
        <v>712</v>
      </c>
      <c r="DI14">
        <v>2.7413021326065063E-2</v>
      </c>
      <c r="DJ14" t="e">
        <v>#VALUE!</v>
      </c>
      <c r="DK14" t="s">
        <v>712</v>
      </c>
      <c r="DL14">
        <v>2.3986393660306929E-2</v>
      </c>
      <c r="DM14">
        <v>-39735000</v>
      </c>
      <c r="DN14">
        <v>3.4266276657581328E-2</v>
      </c>
      <c r="DO14">
        <v>3723843700</v>
      </c>
      <c r="DP14">
        <v>-777432860</v>
      </c>
      <c r="DQ14" s="12">
        <v>1545</v>
      </c>
      <c r="DR14">
        <v>0.25855303801662738</v>
      </c>
      <c r="DS14">
        <v>-9.4747110462107589</v>
      </c>
      <c r="DT14">
        <v>-0.42333333333333334</v>
      </c>
      <c r="DU14">
        <v>-2.6983333333333337</v>
      </c>
      <c r="DV14">
        <v>-3.121666666666667</v>
      </c>
      <c r="DW14">
        <v>-9.4804216867469879</v>
      </c>
      <c r="DX14">
        <v>0.6546514851485119</v>
      </c>
      <c r="DY14">
        <v>-9.0935147948228554</v>
      </c>
      <c r="DZ14">
        <v>4925</v>
      </c>
      <c r="EA14">
        <v>-9.0033326204538398</v>
      </c>
      <c r="EB14" s="13">
        <v>9</v>
      </c>
      <c r="EC14" s="13">
        <v>5.3759558176158628E-2</v>
      </c>
      <c r="ED14">
        <v>0.27618365272240925</v>
      </c>
      <c r="EE14">
        <v>-2.1266099999999999</v>
      </c>
      <c r="EF14">
        <v>-3.0202100000000001</v>
      </c>
      <c r="EG14">
        <v>46.194651485148512</v>
      </c>
      <c r="EH14" s="14" t="s">
        <v>1214</v>
      </c>
      <c r="EI14">
        <v>0</v>
      </c>
      <c r="EJ14">
        <v>0</v>
      </c>
      <c r="EK14">
        <v>45490</v>
      </c>
      <c r="EL14">
        <v>0.96</v>
      </c>
      <c r="EM14">
        <v>-0.82</v>
      </c>
      <c r="EN14">
        <v>-3.84</v>
      </c>
      <c r="EO14">
        <v>-5.27</v>
      </c>
      <c r="EP14">
        <v>-4.3600000000000003</v>
      </c>
    </row>
    <row r="15" spans="1:146" ht="96" hidden="1" x14ac:dyDescent="0.25">
      <c r="A15" s="9"/>
      <c r="B15" s="9"/>
      <c r="C15" s="9" t="str">
        <f>""&amp;CHAR(10)&amp;Basic_Fundamental_Information_Constructure(F15)&amp;CHAR(10)&amp;Basic_Fundamental_Information_Concatenate("")</f>
        <v xml:space="preserve">
市值51.517962亿, 利润4606.38万; PE; 平均PE11.68; 平均PEG.74, PB.865; ROIC4.985%; ROE2.32%; 股利率0%; 毛利9.5067%; 净利.29%; 上一年度营收增-12.1%, 利润增-90.46%; 当季营收增-58.76%, 利润增-247.79%; 过往5年营收增15.78%, 利润增-15.03%
Income profile:
</v>
      </c>
      <c r="D15" t="s">
        <v>528</v>
      </c>
      <c r="E15" t="s">
        <v>529</v>
      </c>
      <c r="F15">
        <v>2.75</v>
      </c>
      <c r="G15">
        <v>0</v>
      </c>
      <c r="H15" t="s">
        <v>2585</v>
      </c>
      <c r="I15">
        <v>5151796200</v>
      </c>
      <c r="K15">
        <v>0.86499999999999999</v>
      </c>
      <c r="L15" t="s">
        <v>753</v>
      </c>
      <c r="M15" t="s">
        <v>1473</v>
      </c>
      <c r="N15" t="s">
        <v>1977</v>
      </c>
      <c r="O15" t="s">
        <v>398</v>
      </c>
      <c r="P15">
        <v>-58.77</v>
      </c>
      <c r="Q15" t="s">
        <v>1474</v>
      </c>
      <c r="R15">
        <v>-69870406</v>
      </c>
      <c r="S15" s="6">
        <v>-2.4780000000000002</v>
      </c>
      <c r="T15" t="s">
        <v>1475</v>
      </c>
      <c r="U15">
        <v>1296680220</v>
      </c>
      <c r="V15">
        <v>1873380400</v>
      </c>
      <c r="W15">
        <v>2.35</v>
      </c>
      <c r="X15">
        <v>0.05</v>
      </c>
      <c r="Y15">
        <v>-9.3699999999999992</v>
      </c>
      <c r="Z15" t="s">
        <v>1978</v>
      </c>
      <c r="AA15" t="s">
        <v>451</v>
      </c>
      <c r="AB15" t="s">
        <v>1979</v>
      </c>
      <c r="AC15" t="s">
        <v>1980</v>
      </c>
      <c r="AD15" t="s">
        <v>2</v>
      </c>
      <c r="AE15">
        <v>59403405</v>
      </c>
      <c r="AF15" t="s">
        <v>1476</v>
      </c>
      <c r="AG15" t="s">
        <v>1981</v>
      </c>
      <c r="AH15" t="s">
        <v>1477</v>
      </c>
      <c r="AI15" t="s">
        <v>1641</v>
      </c>
      <c r="AJ15" t="s">
        <v>1478</v>
      </c>
      <c r="AK15" t="s">
        <v>1289</v>
      </c>
      <c r="AL15" t="s">
        <v>1479</v>
      </c>
      <c r="AM15" t="s">
        <v>2</v>
      </c>
      <c r="AN15" t="s">
        <v>748</v>
      </c>
      <c r="AO15" t="s">
        <v>1239</v>
      </c>
      <c r="AP15" t="s">
        <v>713</v>
      </c>
      <c r="AQ15" t="s">
        <v>1685</v>
      </c>
      <c r="AR15" t="s">
        <v>1982</v>
      </c>
      <c r="AS15" t="s">
        <v>1983</v>
      </c>
      <c r="AT15" t="s">
        <v>397</v>
      </c>
      <c r="AU15" t="s">
        <v>1984</v>
      </c>
      <c r="AV15" t="s">
        <v>1220</v>
      </c>
      <c r="AW15" t="s">
        <v>322</v>
      </c>
      <c r="AX15" t="s">
        <v>1005</v>
      </c>
      <c r="AY15" t="s">
        <v>783</v>
      </c>
      <c r="AZ15" t="s">
        <v>726</v>
      </c>
      <c r="BA15" t="s">
        <v>530</v>
      </c>
      <c r="BB15" t="s">
        <v>531</v>
      </c>
      <c r="BC15" t="s">
        <v>196</v>
      </c>
      <c r="BD15" t="s">
        <v>908</v>
      </c>
      <c r="BE15" t="s">
        <v>727</v>
      </c>
      <c r="BF15" t="s">
        <v>113</v>
      </c>
      <c r="BG15" t="s">
        <v>275</v>
      </c>
      <c r="BH15" t="s">
        <v>1474</v>
      </c>
      <c r="BI15" t="s">
        <v>1234</v>
      </c>
      <c r="BJ15" t="s">
        <v>1005</v>
      </c>
      <c r="BK15" t="s">
        <v>1475</v>
      </c>
      <c r="BL15" t="s">
        <v>1480</v>
      </c>
      <c r="BM15" t="s">
        <v>196</v>
      </c>
      <c r="BN15">
        <v>2.19</v>
      </c>
      <c r="BO15">
        <v>7.78</v>
      </c>
      <c r="BP15" t="s">
        <v>2</v>
      </c>
      <c r="BQ15">
        <v>1.7</v>
      </c>
      <c r="BR15">
        <v>9.0399999999999991</v>
      </c>
      <c r="BS15">
        <v>-3.78</v>
      </c>
      <c r="BT15" t="s">
        <v>940</v>
      </c>
      <c r="BU15" t="s">
        <v>1882</v>
      </c>
      <c r="BV15">
        <v>10.37</v>
      </c>
      <c r="BW15">
        <v>12.47</v>
      </c>
      <c r="BX15">
        <v>5.68</v>
      </c>
      <c r="BY15">
        <v>0.28000000000000003</v>
      </c>
      <c r="BZ15">
        <v>5</v>
      </c>
      <c r="CA15">
        <v>-4.41</v>
      </c>
      <c r="CB15">
        <v>0.36</v>
      </c>
      <c r="CC15">
        <v>-20.98</v>
      </c>
      <c r="CD15" t="s">
        <v>2586</v>
      </c>
      <c r="CE15" t="s">
        <v>214</v>
      </c>
      <c r="CF15" s="10">
        <v>-0.58760484622553588</v>
      </c>
      <c r="CG15" s="11">
        <v>-2.4779317536667809</v>
      </c>
      <c r="CH15" s="10">
        <v>-0.12103152275085449</v>
      </c>
      <c r="CI15" s="10">
        <v>0.94617515802383423</v>
      </c>
      <c r="CJ15" s="10">
        <v>0.45395061373710632</v>
      </c>
      <c r="CK15" s="10">
        <v>-0.33567368984222412</v>
      </c>
      <c r="CL15" s="10">
        <v>-0.15448759496212006</v>
      </c>
      <c r="CM15" s="11">
        <v>-0.90462982654571533</v>
      </c>
      <c r="CN15" s="11">
        <v>4</v>
      </c>
      <c r="CO15" s="11">
        <v>-2.1090624332427979</v>
      </c>
      <c r="CP15" s="11">
        <v>-1.0860201120376587</v>
      </c>
      <c r="CQ15" s="11">
        <v>-0.65162038803100586</v>
      </c>
      <c r="CR15">
        <v>11.68084280735706</v>
      </c>
      <c r="CS15">
        <v>0.74029374720808794</v>
      </c>
      <c r="CT15">
        <v>0</v>
      </c>
      <c r="CU15" s="10">
        <v>0.15778659284114838</v>
      </c>
      <c r="CV15" s="11">
        <v>-0.15026655197143554</v>
      </c>
      <c r="CW15">
        <v>0.06</v>
      </c>
      <c r="CX15">
        <v>133.53928762560469</v>
      </c>
      <c r="CY15">
        <v>50313254.769166119</v>
      </c>
      <c r="CZ15">
        <v>0.15778659284114838</v>
      </c>
      <c r="DA15">
        <v>41.223545127459005</v>
      </c>
      <c r="DB15">
        <v>162984434.72598407</v>
      </c>
      <c r="DC15">
        <v>0.14989726319909094</v>
      </c>
      <c r="DD15">
        <v>18.769801382604388</v>
      </c>
      <c r="DE15">
        <v>357957767.53540373</v>
      </c>
      <c r="DF15">
        <v>0.13885220170021056</v>
      </c>
      <c r="DG15">
        <v>10.294528759966362</v>
      </c>
      <c r="DH15">
        <v>652656994.47343671</v>
      </c>
      <c r="DI15">
        <v>0.12622927427291872</v>
      </c>
      <c r="DJ15">
        <v>4.3188955074903603</v>
      </c>
      <c r="DK15">
        <v>1555674636.8018019</v>
      </c>
      <c r="DL15">
        <v>0.11045061498880386</v>
      </c>
      <c r="DM15">
        <v>46063800</v>
      </c>
      <c r="DN15">
        <v>0.15778659284114838</v>
      </c>
      <c r="DO15">
        <v>6718796200.000001</v>
      </c>
      <c r="DP15">
        <v>2784590599.999999</v>
      </c>
      <c r="DQ15">
        <v>1572</v>
      </c>
      <c r="DR15">
        <v>-0.74539143906668426</v>
      </c>
      <c r="DS15">
        <v>-2.3276652016953454</v>
      </c>
      <c r="DT15" s="12">
        <v>-0.2233333333333333</v>
      </c>
      <c r="DU15">
        <v>-2.4483333333333337</v>
      </c>
      <c r="DV15">
        <v>-2.6716666666666669</v>
      </c>
      <c r="DW15">
        <v>-3.0563214285714286</v>
      </c>
      <c r="DX15">
        <v>0.35435290858725832</v>
      </c>
      <c r="DY15">
        <v>-3.0081301620300751</v>
      </c>
      <c r="DZ15">
        <v>4754</v>
      </c>
      <c r="EA15">
        <v>-3.0005619634220904</v>
      </c>
      <c r="EB15">
        <v>3</v>
      </c>
      <c r="EC15">
        <v>2.7816774425525111E-2</v>
      </c>
      <c r="ED15">
        <v>0.19269978483814607</v>
      </c>
      <c r="EE15" s="13">
        <v>-3.0605099999999998</v>
      </c>
      <c r="EF15">
        <v>-3.0605099999999998</v>
      </c>
      <c r="EG15">
        <v>21.144352908587258</v>
      </c>
      <c r="EH15" t="s">
        <v>1214</v>
      </c>
      <c r="EI15">
        <v>0</v>
      </c>
      <c r="EJ15">
        <v>0</v>
      </c>
      <c r="EK15" s="14">
        <v>45490</v>
      </c>
      <c r="EL15">
        <v>5.84</v>
      </c>
      <c r="EM15">
        <v>-0.69</v>
      </c>
      <c r="EN15">
        <v>-3.13</v>
      </c>
      <c r="EO15">
        <v>-1.43</v>
      </c>
      <c r="EP15">
        <v>0</v>
      </c>
    </row>
    <row r="16" spans="1:146" ht="96" hidden="1" x14ac:dyDescent="0.25">
      <c r="C16" s="9" t="str">
        <f>""&amp;CHAR(10)&amp;Basic_Fundamental_Information_Constructure(F16)&amp;CHAR(10)&amp;Basic_Fundamental_Information_Concatenate("")</f>
        <v xml:space="preserve">
市值26.892亿, 利润-3.62亿; PE; 平均PE-15.52; 平均PEG-9.67, PB; ROIC0%; ROE-103.92%; 股利率0%; 毛利3.5833%; 净利-61.6233%; 上一年度营收增11.11%, 利润增-34.57%; 当季营收增-75.7%, 利润增-94.8%; 过往5年营收增1.61%, 利润增-193.55%
Income profile:
</v>
      </c>
      <c r="D16" t="s">
        <v>1006</v>
      </c>
      <c r="E16" t="s">
        <v>1007</v>
      </c>
      <c r="F16">
        <v>12.45</v>
      </c>
      <c r="G16">
        <v>6.41</v>
      </c>
      <c r="H16" t="s">
        <v>2587</v>
      </c>
      <c r="I16">
        <v>2689200000</v>
      </c>
      <c r="L16" t="s">
        <v>753</v>
      </c>
      <c r="M16" t="s">
        <v>1249</v>
      </c>
      <c r="N16" t="s">
        <v>1985</v>
      </c>
      <c r="O16" t="s">
        <v>1481</v>
      </c>
      <c r="P16" s="6">
        <v>-75.680000000000007</v>
      </c>
      <c r="Q16" t="s">
        <v>263</v>
      </c>
      <c r="R16">
        <v>-84119176</v>
      </c>
      <c r="S16">
        <v>-0.94799999999999995</v>
      </c>
      <c r="T16" t="s">
        <v>1482</v>
      </c>
      <c r="U16">
        <v>215329730</v>
      </c>
      <c r="V16">
        <v>216000000</v>
      </c>
      <c r="W16" t="s">
        <v>2</v>
      </c>
      <c r="X16">
        <v>0.02</v>
      </c>
      <c r="Y16">
        <v>-231.37</v>
      </c>
      <c r="Z16" t="s">
        <v>159</v>
      </c>
      <c r="AA16" t="s">
        <v>1986</v>
      </c>
      <c r="AB16" t="s">
        <v>1987</v>
      </c>
      <c r="AC16" t="s">
        <v>1988</v>
      </c>
      <c r="AD16" t="s">
        <v>2</v>
      </c>
      <c r="AE16">
        <v>23625537</v>
      </c>
      <c r="AF16" t="s">
        <v>20</v>
      </c>
      <c r="AG16" t="s">
        <v>1989</v>
      </c>
      <c r="AH16" t="s">
        <v>1483</v>
      </c>
      <c r="AI16" t="s">
        <v>1990</v>
      </c>
      <c r="AJ16" t="s">
        <v>1484</v>
      </c>
      <c r="AK16" t="s">
        <v>1991</v>
      </c>
      <c r="AL16" t="s">
        <v>1485</v>
      </c>
      <c r="AM16" t="s">
        <v>2</v>
      </c>
      <c r="AN16" t="s">
        <v>1238</v>
      </c>
      <c r="AO16" t="s">
        <v>61</v>
      </c>
      <c r="AP16" t="s">
        <v>1992</v>
      </c>
      <c r="AQ16" t="s">
        <v>367</v>
      </c>
      <c r="AR16" t="s">
        <v>2</v>
      </c>
      <c r="AS16" t="s">
        <v>1699</v>
      </c>
      <c r="AT16" t="s">
        <v>886</v>
      </c>
      <c r="AU16" t="s">
        <v>1993</v>
      </c>
      <c r="AV16" t="s">
        <v>1994</v>
      </c>
      <c r="AW16" t="s">
        <v>1995</v>
      </c>
      <c r="AX16" t="s">
        <v>270</v>
      </c>
      <c r="AY16" t="s">
        <v>151</v>
      </c>
      <c r="AZ16" t="s">
        <v>246</v>
      </c>
      <c r="BA16" t="s">
        <v>340</v>
      </c>
      <c r="BB16" t="s">
        <v>684</v>
      </c>
      <c r="BC16" t="s">
        <v>926</v>
      </c>
      <c r="BD16" t="s">
        <v>838</v>
      </c>
      <c r="BE16" t="s">
        <v>892</v>
      </c>
      <c r="BF16" t="s">
        <v>1008</v>
      </c>
      <c r="BG16" t="s">
        <v>1009</v>
      </c>
      <c r="BH16" t="s">
        <v>263</v>
      </c>
      <c r="BI16" t="s">
        <v>273</v>
      </c>
      <c r="BJ16" t="s">
        <v>270</v>
      </c>
      <c r="BK16" t="s">
        <v>1482</v>
      </c>
      <c r="BL16" t="s">
        <v>1486</v>
      </c>
      <c r="BM16" t="s">
        <v>926</v>
      </c>
      <c r="BN16" t="s">
        <v>2</v>
      </c>
      <c r="BO16" t="s">
        <v>2</v>
      </c>
      <c r="BP16" t="s">
        <v>2</v>
      </c>
      <c r="BQ16" t="s">
        <v>2</v>
      </c>
      <c r="BR16">
        <v>-158.65</v>
      </c>
      <c r="BS16">
        <v>-49.19</v>
      </c>
      <c r="BT16" t="s">
        <v>940</v>
      </c>
      <c r="BU16" t="s">
        <v>1882</v>
      </c>
      <c r="BV16">
        <v>-17.14</v>
      </c>
      <c r="BW16">
        <v>-1.2</v>
      </c>
      <c r="BX16">
        <v>29.09</v>
      </c>
      <c r="BY16">
        <v>-71</v>
      </c>
      <c r="BZ16">
        <v>-50.85</v>
      </c>
      <c r="CA16">
        <v>-63.02</v>
      </c>
      <c r="CB16">
        <v>7.98</v>
      </c>
      <c r="CC16" s="10">
        <v>-23.38</v>
      </c>
      <c r="CD16" s="11" t="s">
        <v>39</v>
      </c>
      <c r="CE16" s="10" t="s">
        <v>2588</v>
      </c>
      <c r="CF16" s="10">
        <v>-0.75697142857142852</v>
      </c>
      <c r="CG16" s="10">
        <v>-0.94796068841586545</v>
      </c>
      <c r="CH16" s="10">
        <v>0.1111111119389534</v>
      </c>
      <c r="CI16" s="10">
        <v>0.62616825103759766</v>
      </c>
      <c r="CJ16" s="11">
        <v>-2.4316109716892242E-2</v>
      </c>
      <c r="CK16" s="11">
        <v>-0.46329528093338013</v>
      </c>
      <c r="CL16" s="11">
        <v>-0.16937670111656189</v>
      </c>
      <c r="CM16" s="11">
        <v>-0.34572491049766541</v>
      </c>
      <c r="CN16" s="11">
        <v>-0.33168315887451172</v>
      </c>
      <c r="CO16">
        <v>-0.54198473691940308</v>
      </c>
      <c r="CP16">
        <v>-0.48457565903663635</v>
      </c>
      <c r="CQ16">
        <v>-7.9736752510070801</v>
      </c>
      <c r="CR16" s="10">
        <v>-15.520774445782475</v>
      </c>
      <c r="CS16" s="11">
        <v>-9.6652937560566112</v>
      </c>
      <c r="CT16">
        <v>0</v>
      </c>
      <c r="CU16">
        <v>1.6058254241943359E-2</v>
      </c>
      <c r="CV16">
        <v>-1.9355287432670594</v>
      </c>
      <c r="CW16">
        <v>0.06</v>
      </c>
      <c r="CX16" t="e">
        <v>#VALUE!</v>
      </c>
      <c r="CY16" t="s">
        <v>711</v>
      </c>
      <c r="CZ16">
        <v>1.6058254241943359E-2</v>
      </c>
      <c r="DA16" t="e">
        <v>#VALUE!</v>
      </c>
      <c r="DB16" t="s">
        <v>712</v>
      </c>
      <c r="DC16">
        <v>1.525534152984619E-2</v>
      </c>
      <c r="DD16" t="e">
        <v>#VALUE!</v>
      </c>
      <c r="DE16" t="s">
        <v>712</v>
      </c>
      <c r="DF16">
        <v>1.4131263732910156E-2</v>
      </c>
      <c r="DG16" t="e">
        <v>#VALUE!</v>
      </c>
      <c r="DH16" t="s">
        <v>712</v>
      </c>
      <c r="DI16">
        <v>1.2846603393554687E-2</v>
      </c>
      <c r="DJ16" t="e">
        <v>#VALUE!</v>
      </c>
      <c r="DK16" t="s">
        <v>712</v>
      </c>
      <c r="DL16">
        <v>1.1240777969360351E-2</v>
      </c>
      <c r="DM16">
        <v>-362000000</v>
      </c>
      <c r="DN16">
        <v>1.6058254241943359E-2</v>
      </c>
      <c r="DO16">
        <v>5644791000</v>
      </c>
      <c r="DP16">
        <v>-1836118760.0000002</v>
      </c>
      <c r="DQ16" s="12">
        <v>1583</v>
      </c>
      <c r="DR16">
        <v>-0.77302968281337192</v>
      </c>
      <c r="DS16">
        <v>0.98756805485119392</v>
      </c>
      <c r="DT16">
        <v>-0.35666666666666663</v>
      </c>
      <c r="DU16">
        <v>-3.7483333333333335</v>
      </c>
      <c r="DV16">
        <v>-4.1050000000000004</v>
      </c>
      <c r="DW16">
        <v>7.2544642857142856</v>
      </c>
      <c r="DX16">
        <v>0.54845857418111732</v>
      </c>
      <c r="DY16">
        <v>7.0505006193228734</v>
      </c>
      <c r="DZ16">
        <v>5089</v>
      </c>
      <c r="EA16">
        <v>7.0001779931756047</v>
      </c>
      <c r="EB16" s="13">
        <v>7</v>
      </c>
      <c r="EC16" s="13">
        <v>0.47685185185185186</v>
      </c>
      <c r="ED16">
        <v>2.4027777777777781</v>
      </c>
      <c r="EE16">
        <v>-4.0057099999999997</v>
      </c>
      <c r="EF16">
        <v>-4.0583999999999998</v>
      </c>
      <c r="EG16">
        <v>35.198458574181117</v>
      </c>
      <c r="EH16" s="14" t="s">
        <v>2130</v>
      </c>
      <c r="EI16">
        <v>1</v>
      </c>
      <c r="EJ16">
        <v>0</v>
      </c>
      <c r="EK16">
        <v>45490</v>
      </c>
      <c r="EL16">
        <v>6.94</v>
      </c>
      <c r="EM16">
        <v>0.32</v>
      </c>
      <c r="EN16">
        <v>-4.7699999999999996</v>
      </c>
      <c r="EO16">
        <v>-0.68</v>
      </c>
      <c r="EP16">
        <v>6.41</v>
      </c>
    </row>
    <row r="17" spans="1:146" ht="192" hidden="1" x14ac:dyDescent="0.25">
      <c r="A17" s="9"/>
      <c r="B17" s="9"/>
      <c r="C17" s="9" t="str">
        <f>"公司专注于新能源、新材料的全球化事业,主要从事太阳能电池片、太阳能电池组件以及太阳能灯具等太阳能光伏产品的生产和销售,公司主要产品包括太阳能电站EPC与转让、光伏电池封装胶膜(EVA等)。"&amp;CHAR(10)&amp;Basic_Fundamental_Information_Constructure(F17)&amp;CHAR(10)&amp;Basic_Fundamental_Information_Concatenate("太阳能电池及组件 132.09亿 70.15% 12.02% 1.13%
光伏电池封装胶膜(EVA等) 16.45亿 8.73% 21.11% 15.98%
太阳能电站EPC与转让 11.76亿 6.25% 9.57% 10.12%
灯具及辅助光伏产品 10.77亿 5.72% 18.05% 20.85%
其他 9.56亿 5.08% 10.81% 14.06%
光伏电站电费收入 7.66亿 4.07% 28.43% 46.16%")</f>
        <v>公司专注于新能源、新材料的全球化事业,主要从事太阳能电池片、太阳能电池组件以及太阳能灯具等太阳能光伏产品的生产和销售,公司主要产品包括太阳能电站EPC与转让、光伏电池封装胶膜(EVA等)。
市值122.55149亿, 利润13.63亿; PE15.86; 平均PE20.27; 平均PEG.66, PB.823; ROIC3.7133%; ROE6.3167%; 股利率1.8686%; 毛利10.6267%; 净利2.3633%; 上一年度营收增20.22%, 利润增45.78%; 当季营收增-27.21%, 利润增-189.88%; 过往5年营收增30.54%, 利润增493.26%
Income profile:
太阳能电池及组件 132.09亿 70.15% 12.02% 1.13%
光伏电池封装胶膜(EVA等) 16.45亿 8.73% 21.11% 15.98%
太阳能电站EPC与转让 11.76亿 6.25% 9.57% 10.12%
灯具及辅助光伏产品 10.77亿 5.72% 18.05% 20.85%
其他 9.56亿 5.08% 10.81% 14.06%
光伏电站电费收入 7.66亿 4.07% 28.43% 46.16%</v>
      </c>
      <c r="D17" t="s">
        <v>532</v>
      </c>
      <c r="E17" t="s">
        <v>533</v>
      </c>
      <c r="F17">
        <v>10.75</v>
      </c>
      <c r="G17">
        <v>0.75</v>
      </c>
      <c r="H17" t="s">
        <v>2589</v>
      </c>
      <c r="I17">
        <v>12255149000</v>
      </c>
      <c r="J17">
        <v>15.86</v>
      </c>
      <c r="K17">
        <v>0.82299999999999995</v>
      </c>
      <c r="L17" t="s">
        <v>753</v>
      </c>
      <c r="M17" t="s">
        <v>1487</v>
      </c>
      <c r="N17" t="s">
        <v>1996</v>
      </c>
      <c r="O17" t="s">
        <v>1236</v>
      </c>
      <c r="P17">
        <v>-27.21</v>
      </c>
      <c r="Q17" t="s">
        <v>1488</v>
      </c>
      <c r="R17">
        <v>-279523890</v>
      </c>
      <c r="S17" s="6">
        <v>-1.899</v>
      </c>
      <c r="T17" t="s">
        <v>864</v>
      </c>
      <c r="U17">
        <v>921863300</v>
      </c>
      <c r="V17">
        <v>1140013860</v>
      </c>
      <c r="W17">
        <v>3.37</v>
      </c>
      <c r="X17">
        <v>0.09</v>
      </c>
      <c r="Y17">
        <v>-5.66</v>
      </c>
      <c r="Z17" t="s">
        <v>1997</v>
      </c>
      <c r="AA17" t="s">
        <v>1998</v>
      </c>
      <c r="AB17" t="s">
        <v>1999</v>
      </c>
      <c r="AC17" t="s">
        <v>759</v>
      </c>
      <c r="AD17" t="s">
        <v>2</v>
      </c>
      <c r="AE17">
        <v>132536438</v>
      </c>
      <c r="AF17" t="s">
        <v>1489</v>
      </c>
      <c r="AG17" t="s">
        <v>2000</v>
      </c>
      <c r="AH17" t="s">
        <v>1490</v>
      </c>
      <c r="AI17" t="s">
        <v>2001</v>
      </c>
      <c r="AJ17" t="s">
        <v>1491</v>
      </c>
      <c r="AK17" t="s">
        <v>304</v>
      </c>
      <c r="AL17" t="s">
        <v>1492</v>
      </c>
      <c r="AM17" t="s">
        <v>2</v>
      </c>
      <c r="AN17" t="s">
        <v>1643</v>
      </c>
      <c r="AO17" t="s">
        <v>2002</v>
      </c>
      <c r="AP17" t="s">
        <v>2003</v>
      </c>
      <c r="AQ17" t="s">
        <v>1029</v>
      </c>
      <c r="AR17" t="s">
        <v>2004</v>
      </c>
      <c r="AS17" t="s">
        <v>2005</v>
      </c>
      <c r="AT17" t="s">
        <v>2006</v>
      </c>
      <c r="AU17" t="s">
        <v>2007</v>
      </c>
      <c r="AV17" t="s">
        <v>2008</v>
      </c>
      <c r="AW17" t="s">
        <v>2009</v>
      </c>
      <c r="AX17" t="s">
        <v>1010</v>
      </c>
      <c r="AY17" t="s">
        <v>784</v>
      </c>
      <c r="AZ17" t="s">
        <v>534</v>
      </c>
      <c r="BA17" t="s">
        <v>535</v>
      </c>
      <c r="BB17" t="s">
        <v>536</v>
      </c>
      <c r="BC17" t="s">
        <v>489</v>
      </c>
      <c r="BD17" t="s">
        <v>785</v>
      </c>
      <c r="BE17" t="s">
        <v>131</v>
      </c>
      <c r="BF17" t="s">
        <v>336</v>
      </c>
      <c r="BG17" t="s">
        <v>119</v>
      </c>
      <c r="BH17" t="s">
        <v>1488</v>
      </c>
      <c r="BI17" t="s">
        <v>1493</v>
      </c>
      <c r="BJ17" t="s">
        <v>1010</v>
      </c>
      <c r="BK17" t="s">
        <v>864</v>
      </c>
      <c r="BL17" t="s">
        <v>189</v>
      </c>
      <c r="BM17" t="s">
        <v>489</v>
      </c>
      <c r="BN17">
        <v>5.68</v>
      </c>
      <c r="BO17">
        <v>6.81</v>
      </c>
      <c r="BP17">
        <v>-1.35</v>
      </c>
      <c r="BQ17">
        <v>8.9499999999999993</v>
      </c>
      <c r="BR17">
        <v>10.5</v>
      </c>
      <c r="BS17">
        <v>-0.5</v>
      </c>
      <c r="BT17" t="s">
        <v>2010</v>
      </c>
      <c r="BU17" t="s">
        <v>1882</v>
      </c>
      <c r="BV17">
        <v>14.58</v>
      </c>
      <c r="BW17">
        <v>10.69</v>
      </c>
      <c r="BX17">
        <v>6.61</v>
      </c>
      <c r="BY17">
        <v>3.92</v>
      </c>
      <c r="BZ17">
        <v>3.25</v>
      </c>
      <c r="CA17">
        <v>-0.08</v>
      </c>
      <c r="CB17">
        <v>-0.92</v>
      </c>
      <c r="CC17">
        <v>-26.67</v>
      </c>
      <c r="CD17" t="s">
        <v>90</v>
      </c>
      <c r="CE17" t="s">
        <v>2590</v>
      </c>
      <c r="CF17" s="10">
        <v>-0.27209679799321235</v>
      </c>
      <c r="CG17" s="11">
        <v>-1.8987906430868167</v>
      </c>
      <c r="CH17" s="10">
        <v>0.20221199095249176</v>
      </c>
      <c r="CI17" s="10">
        <v>0.56045889854431152</v>
      </c>
      <c r="CJ17" s="10">
        <v>0.17232148349285126</v>
      </c>
      <c r="CK17" s="10">
        <v>0.11517632752656937</v>
      </c>
      <c r="CL17" s="10">
        <v>0.47703024744987488</v>
      </c>
      <c r="CM17" s="11">
        <v>0.45775407552719116</v>
      </c>
      <c r="CN17" s="11">
        <v>23.09425163269043</v>
      </c>
      <c r="CO17" s="11">
        <v>-1.2564769983291626</v>
      </c>
      <c r="CP17" s="11">
        <v>-0.83059549331665039</v>
      </c>
      <c r="CQ17" s="11">
        <v>3.1982758045196533</v>
      </c>
      <c r="CR17">
        <v>20.274980875766502</v>
      </c>
      <c r="CS17">
        <v>0.66379632145400658</v>
      </c>
      <c r="CT17">
        <v>1.8685627906976743</v>
      </c>
      <c r="CU17" s="10">
        <v>0.30543978959321977</v>
      </c>
      <c r="CV17" s="11">
        <v>4.9326418042182922</v>
      </c>
      <c r="CW17">
        <v>0.06</v>
      </c>
      <c r="CX17">
        <v>21.658037062261851</v>
      </c>
      <c r="CY17">
        <v>1678598521.9014702</v>
      </c>
      <c r="CZ17">
        <v>0.30543978959321977</v>
      </c>
      <c r="DA17">
        <v>5.9251063668901587</v>
      </c>
      <c r="DB17">
        <v>6135779975.7240982</v>
      </c>
      <c r="DC17">
        <v>0.29016780011355875</v>
      </c>
      <c r="DD17">
        <v>2.261288954663736</v>
      </c>
      <c r="DE17">
        <v>16077179754.060303</v>
      </c>
      <c r="DF17">
        <v>0.26878701484203338</v>
      </c>
      <c r="DG17">
        <v>0.99531995043881538</v>
      </c>
      <c r="DH17">
        <v>36526092925.166214</v>
      </c>
      <c r="DI17">
        <v>0.24435183167457583</v>
      </c>
      <c r="DJ17">
        <v>0.24094832804168978</v>
      </c>
      <c r="DK17">
        <v>150883591081.44421</v>
      </c>
      <c r="DL17">
        <v>0.21380785271525382</v>
      </c>
      <c r="DM17">
        <v>1363000000</v>
      </c>
      <c r="DN17">
        <v>0.30543978959321977</v>
      </c>
      <c r="DO17">
        <v>36355149000</v>
      </c>
      <c r="DP17">
        <v>-4361335000</v>
      </c>
      <c r="DQ17">
        <v>1607</v>
      </c>
      <c r="DR17">
        <v>-0.57753658758643212</v>
      </c>
      <c r="DS17">
        <v>-6.8314324473051089</v>
      </c>
      <c r="DT17" s="12">
        <v>0.10999999999999995</v>
      </c>
      <c r="DU17">
        <v>-0.85500000000000009</v>
      </c>
      <c r="DV17">
        <v>-0.74500000000000011</v>
      </c>
      <c r="DW17">
        <v>-3.1206726190476188</v>
      </c>
      <c r="DX17">
        <v>0.46474846360450045</v>
      </c>
      <c r="DY17">
        <v>-3.0174671762062744</v>
      </c>
      <c r="DZ17">
        <v>3329</v>
      </c>
      <c r="EA17">
        <v>-3.0060811903847182</v>
      </c>
      <c r="EB17">
        <v>3</v>
      </c>
      <c r="EC17">
        <v>0.14385790011360036</v>
      </c>
      <c r="ED17">
        <v>0.99384756602871482</v>
      </c>
      <c r="EE17" s="13">
        <v>-11.004810000000001</v>
      </c>
      <c r="EF17">
        <v>-11.002700000000001</v>
      </c>
      <c r="EG17">
        <v>32.1447484636045</v>
      </c>
      <c r="EH17" t="s">
        <v>2591</v>
      </c>
      <c r="EI17">
        <v>0</v>
      </c>
      <c r="EJ17">
        <v>0</v>
      </c>
      <c r="EK17" s="14">
        <v>45490</v>
      </c>
      <c r="EL17">
        <v>2.0299999999999998</v>
      </c>
      <c r="EM17">
        <v>-1.08</v>
      </c>
      <c r="EN17">
        <v>-3.84</v>
      </c>
      <c r="EO17">
        <v>1.33</v>
      </c>
      <c r="EP17">
        <v>0.75</v>
      </c>
    </row>
    <row r="18" spans="1:146" ht="96" hidden="1" x14ac:dyDescent="0.25">
      <c r="A18" s="9"/>
      <c r="B18" s="9"/>
      <c r="C18" s="9" t="str">
        <f>""&amp;CHAR(10)&amp;Basic_Fundamental_Information_Constructure(F18)&amp;CHAR(10)&amp;Basic_Fundamental_Information_Concatenate("")</f>
        <v xml:space="preserve">
市值5.0308799亿, 利润-2.62亿; PE; 平均PE-8.55; 平均PEG-.1, PB1.36; ROIC1.73%; ROE-3.8933%; 股利率0%; 毛利9.0267%; 净利-13.17%; 上一年度营收增-47.5%, 利润增-1447.73%; 当季营收增-86.91%, 利润增-534.84%; 过往5年营收增82.11%, 利润增-380.29%
Income profile:
</v>
      </c>
      <c r="D18" t="s">
        <v>537</v>
      </c>
      <c r="E18" t="s">
        <v>1494</v>
      </c>
      <c r="F18">
        <v>1.88</v>
      </c>
      <c r="G18">
        <v>1.08</v>
      </c>
      <c r="H18" t="s">
        <v>2592</v>
      </c>
      <c r="I18">
        <v>503087990</v>
      </c>
      <c r="K18">
        <v>1.36</v>
      </c>
      <c r="L18" t="s">
        <v>753</v>
      </c>
      <c r="M18" t="s">
        <v>289</v>
      </c>
      <c r="N18" t="s">
        <v>343</v>
      </c>
      <c r="O18" t="s">
        <v>1495</v>
      </c>
      <c r="P18">
        <v>-86.91</v>
      </c>
      <c r="Q18" t="s">
        <v>243</v>
      </c>
      <c r="R18">
        <v>-42859040</v>
      </c>
      <c r="S18" s="7">
        <v>-5.3479999999999999</v>
      </c>
      <c r="T18" t="s">
        <v>1301</v>
      </c>
      <c r="U18">
        <v>265442060</v>
      </c>
      <c r="V18">
        <v>267600000</v>
      </c>
      <c r="W18">
        <v>4.79</v>
      </c>
      <c r="X18">
        <v>0.02</v>
      </c>
      <c r="Y18">
        <v>-150.91999999999999</v>
      </c>
      <c r="Z18" t="s">
        <v>2011</v>
      </c>
      <c r="AA18" t="s">
        <v>2012</v>
      </c>
      <c r="AB18" t="s">
        <v>2013</v>
      </c>
      <c r="AC18" t="s">
        <v>2014</v>
      </c>
      <c r="AD18" t="s">
        <v>2</v>
      </c>
      <c r="AE18">
        <v>9436290</v>
      </c>
      <c r="AF18" t="s">
        <v>1496</v>
      </c>
      <c r="AG18">
        <v>16.7</v>
      </c>
      <c r="AH18" t="s">
        <v>1497</v>
      </c>
      <c r="AI18" t="s">
        <v>2015</v>
      </c>
      <c r="AJ18" t="s">
        <v>1498</v>
      </c>
      <c r="AK18" t="s">
        <v>2016</v>
      </c>
      <c r="AL18" t="s">
        <v>1499</v>
      </c>
      <c r="AM18" t="s">
        <v>2</v>
      </c>
      <c r="AN18" t="s">
        <v>237</v>
      </c>
      <c r="AO18" t="s">
        <v>2017</v>
      </c>
      <c r="AP18" t="s">
        <v>2</v>
      </c>
      <c r="AQ18" t="s">
        <v>327</v>
      </c>
      <c r="AR18" t="s">
        <v>2</v>
      </c>
      <c r="AS18" t="s">
        <v>162</v>
      </c>
      <c r="AT18" t="s">
        <v>28</v>
      </c>
      <c r="AU18" t="s">
        <v>2018</v>
      </c>
      <c r="AV18" t="s">
        <v>2019</v>
      </c>
      <c r="AW18" t="s">
        <v>2020</v>
      </c>
      <c r="AX18" t="s">
        <v>980</v>
      </c>
      <c r="AY18" t="s">
        <v>839</v>
      </c>
      <c r="AZ18" t="s">
        <v>297</v>
      </c>
      <c r="BA18" t="s">
        <v>295</v>
      </c>
      <c r="BB18" t="s">
        <v>58</v>
      </c>
      <c r="BC18" t="s">
        <v>1011</v>
      </c>
      <c r="BD18" t="s">
        <v>1012</v>
      </c>
      <c r="BE18" t="s">
        <v>538</v>
      </c>
      <c r="BF18" t="s">
        <v>539</v>
      </c>
      <c r="BG18" t="s">
        <v>540</v>
      </c>
      <c r="BH18" t="s">
        <v>243</v>
      </c>
      <c r="BI18" t="s">
        <v>423</v>
      </c>
      <c r="BJ18" t="s">
        <v>980</v>
      </c>
      <c r="BK18" t="s">
        <v>1301</v>
      </c>
      <c r="BL18" t="s">
        <v>1500</v>
      </c>
      <c r="BM18" t="s">
        <v>1011</v>
      </c>
      <c r="BN18">
        <v>1.73</v>
      </c>
      <c r="BO18" t="s">
        <v>2</v>
      </c>
      <c r="BP18" t="s">
        <v>2</v>
      </c>
      <c r="BQ18">
        <v>1.25</v>
      </c>
      <c r="BR18">
        <v>-2.5499999999999998</v>
      </c>
      <c r="BS18">
        <v>-10.38</v>
      </c>
      <c r="BT18" t="s">
        <v>940</v>
      </c>
      <c r="BU18" t="s">
        <v>1882</v>
      </c>
      <c r="BV18">
        <v>12.16</v>
      </c>
      <c r="BW18">
        <v>12.12</v>
      </c>
      <c r="BX18">
        <v>2.8</v>
      </c>
      <c r="BY18">
        <v>-31.23</v>
      </c>
      <c r="BZ18">
        <v>-1.06</v>
      </c>
      <c r="CA18">
        <v>-7.22</v>
      </c>
      <c r="CB18">
        <v>8.67</v>
      </c>
      <c r="CC18">
        <v>9.3000000000000007</v>
      </c>
      <c r="CD18" t="s">
        <v>2593</v>
      </c>
      <c r="CE18" t="s">
        <v>2594</v>
      </c>
      <c r="CF18" s="10">
        <v>-0.86912718894009222</v>
      </c>
      <c r="CG18" s="11">
        <v>-5.3483588102855792</v>
      </c>
      <c r="CH18" s="10">
        <v>-0.47496870160102844</v>
      </c>
      <c r="CI18" s="10">
        <v>0.47962963581085205</v>
      </c>
      <c r="CJ18" s="10">
        <v>2.8297872543334961</v>
      </c>
      <c r="CK18" s="10">
        <v>1.5405405759811401</v>
      </c>
      <c r="CL18" s="10">
        <v>-0.26973685622215271</v>
      </c>
      <c r="CM18" s="11">
        <v>-14.477315902709961</v>
      </c>
      <c r="CN18" s="11">
        <v>0.7616761326789856</v>
      </c>
      <c r="CO18" s="11">
        <v>-0.26800400018692017</v>
      </c>
      <c r="CP18" s="11">
        <v>-4.4707398414611816</v>
      </c>
      <c r="CQ18" s="11">
        <v>-0.56008833646774292</v>
      </c>
      <c r="CR18">
        <v>-8.5475378306813141</v>
      </c>
      <c r="CS18">
        <v>-0.10410491270213035</v>
      </c>
      <c r="CT18">
        <v>0</v>
      </c>
      <c r="CU18" s="10">
        <v>0.8210503816604614</v>
      </c>
      <c r="CV18" s="11">
        <v>-3.8028943896293641</v>
      </c>
      <c r="CW18">
        <v>0.06</v>
      </c>
      <c r="CX18" t="e">
        <v>#VALUE!</v>
      </c>
      <c r="CY18" t="s">
        <v>711</v>
      </c>
      <c r="CZ18">
        <v>0.8210503816604614</v>
      </c>
      <c r="DA18" t="e">
        <v>#VALUE!</v>
      </c>
      <c r="DB18" t="s">
        <v>712</v>
      </c>
      <c r="DC18">
        <v>0.77999786257743831</v>
      </c>
      <c r="DD18" t="e">
        <v>#VALUE!</v>
      </c>
      <c r="DE18" t="s">
        <v>712</v>
      </c>
      <c r="DF18">
        <v>0.72252433586120601</v>
      </c>
      <c r="DG18" t="e">
        <v>#VALUE!</v>
      </c>
      <c r="DH18" t="s">
        <v>712</v>
      </c>
      <c r="DI18">
        <v>0.65684030532836912</v>
      </c>
      <c r="DJ18" t="e">
        <v>#VALUE!</v>
      </c>
      <c r="DK18" t="s">
        <v>712</v>
      </c>
      <c r="DL18">
        <v>0.57473526716232293</v>
      </c>
      <c r="DM18">
        <v>-262000000</v>
      </c>
      <c r="DN18">
        <v>0.8210503816604614</v>
      </c>
      <c r="DO18">
        <v>1671087990</v>
      </c>
      <c r="DP18">
        <v>-220631090</v>
      </c>
      <c r="DQ18">
        <v>1614</v>
      </c>
      <c r="DR18">
        <v>-1.6901775706005537</v>
      </c>
      <c r="DS18">
        <v>-1.5454644206562151</v>
      </c>
      <c r="DT18" s="12">
        <v>7.5000000000000025E-2</v>
      </c>
      <c r="DU18">
        <v>-3.0649999999999999</v>
      </c>
      <c r="DV18">
        <v>-2.9899999999999998</v>
      </c>
      <c r="DW18">
        <v>9.9322580645161285</v>
      </c>
      <c r="DX18">
        <v>0.49912848846675872</v>
      </c>
      <c r="DY18">
        <v>9.1017359134415905</v>
      </c>
      <c r="DZ18">
        <v>4884</v>
      </c>
      <c r="EA18">
        <v>9.0044423553353194</v>
      </c>
      <c r="EB18">
        <v>9</v>
      </c>
      <c r="EC18">
        <v>0.30055194319880418</v>
      </c>
      <c r="ED18">
        <v>2.7541106128550075</v>
      </c>
      <c r="EE18" s="13">
        <v>-3.0043000000000002</v>
      </c>
      <c r="EF18">
        <v>-3.0150999999999999</v>
      </c>
      <c r="EG18">
        <v>39.109128488466759</v>
      </c>
      <c r="EH18" t="s">
        <v>1202</v>
      </c>
      <c r="EI18">
        <v>1</v>
      </c>
      <c r="EJ18">
        <v>0</v>
      </c>
      <c r="EK18" s="14">
        <v>45490</v>
      </c>
      <c r="EL18">
        <v>4.62</v>
      </c>
      <c r="EM18">
        <v>1.66</v>
      </c>
      <c r="EN18">
        <v>-3.8</v>
      </c>
      <c r="EO18">
        <v>5.08</v>
      </c>
      <c r="EP18">
        <v>1.08</v>
      </c>
    </row>
    <row r="19" spans="1:146" ht="192" x14ac:dyDescent="0.25">
      <c r="A19" s="9" t="s">
        <v>1190</v>
      </c>
      <c r="B19" s="8" t="s">
        <v>1305</v>
      </c>
      <c r="C19" s="9" t="str">
        <f>"公司一家专注于太阳能、风能、储能、电动汽车等新能源电源设备的研发、生产、销售和服务的高新技术企业。主要产品为光伏逆变器、风电变流器、储能系统、新能源汽车驱动系统、水面光伏设备、智慧能源运维服务；"&amp;CHAR(10)&amp;Basic_Fundamental_Information_Constructure(F19)&amp;CHAR(10)&amp;Basic_Fundamental_Information_Concatenate("光伏逆变器等电力转换设备 157.17亿 39.04% 52.84% 33.22%
新能源投资开发 116.04亿 28.82% 13.81% 11.76%
储能系统 101.26亿 25.15% 23.81% 23.24%
风电变流器 14.61亿 3.63% 3.53% 23.87%
其他 7.23亿 1.80% 2.11% 28.84%
光伏电站发电 6.25亿 1.55% 3.89% 61.45%")</f>
        <v>公司一家专注于太阳能、风能、储能、电动汽车等新能源电源设备的研发、生产、销售和服务的高新技术企业。主要产品为光伏逆变器、风电变流器、储能系统、新能源汽车驱动系统、水面光伏设备、智慧能源运维服务；
市值1457.4676亿, 利润94.40亿; PE14.53; 平均PE47.86; 平均PEG.98, PB4.89; ROIC16.4133%; ROE22.11%; 股利率1.3727%; 毛利25.72%; 净利9.8467%; 上一年度营收增79.47%, 利润增162.73%; 当季营收增.27%, 利润增39.01%; 过往5年营收增49.03%, 利润增79.96%
Income profile:
光伏逆变器等电力转换设备 157.17亿 39.04% 52.84% 33.22%
新能源投资开发 116.04亿 28.82% 13.81% 11.76%
储能系统 101.26亿 25.15% 23.81% 23.24%
风电变流器 14.61亿 3.63% 3.53% 23.87%
其他 7.23亿 1.80% 2.11% 28.84%
光伏电站发电 6.25亿 1.55% 3.89% 61.45%</v>
      </c>
      <c r="D19" t="s">
        <v>541</v>
      </c>
      <c r="E19" t="s">
        <v>542</v>
      </c>
      <c r="F19">
        <v>70.3</v>
      </c>
      <c r="G19">
        <v>-0.01</v>
      </c>
      <c r="H19" t="s">
        <v>2595</v>
      </c>
      <c r="I19">
        <v>145746760000</v>
      </c>
      <c r="J19">
        <v>14.53</v>
      </c>
      <c r="K19">
        <v>4.8899999999999997</v>
      </c>
      <c r="L19" t="s">
        <v>753</v>
      </c>
      <c r="M19" t="s">
        <v>1501</v>
      </c>
      <c r="N19" t="s">
        <v>2021</v>
      </c>
      <c r="O19" t="s">
        <v>1502</v>
      </c>
      <c r="P19">
        <v>0.26</v>
      </c>
      <c r="Q19" t="s">
        <v>1503</v>
      </c>
      <c r="R19">
        <v>2096318800</v>
      </c>
      <c r="S19" s="6">
        <v>0.39050000000000001</v>
      </c>
      <c r="T19" t="s">
        <v>1504</v>
      </c>
      <c r="U19">
        <v>1589896200</v>
      </c>
      <c r="V19">
        <v>2073211400</v>
      </c>
      <c r="W19">
        <v>2.68</v>
      </c>
      <c r="X19">
        <v>0.15</v>
      </c>
      <c r="Y19">
        <v>16.71</v>
      </c>
      <c r="Z19" t="s">
        <v>2022</v>
      </c>
      <c r="AA19" t="s">
        <v>2023</v>
      </c>
      <c r="AB19" t="s">
        <v>477</v>
      </c>
      <c r="AC19" t="s">
        <v>169</v>
      </c>
      <c r="AD19" t="s">
        <v>2</v>
      </c>
      <c r="AE19">
        <v>125414386</v>
      </c>
      <c r="AF19" t="s">
        <v>1505</v>
      </c>
      <c r="AG19" t="s">
        <v>2024</v>
      </c>
      <c r="AH19" t="s">
        <v>1506</v>
      </c>
      <c r="AI19" t="s">
        <v>2025</v>
      </c>
      <c r="AJ19" t="s">
        <v>1507</v>
      </c>
      <c r="AK19" t="s">
        <v>387</v>
      </c>
      <c r="AL19" t="s">
        <v>1508</v>
      </c>
      <c r="AM19" t="s">
        <v>2</v>
      </c>
      <c r="AN19" t="s">
        <v>1769</v>
      </c>
      <c r="AO19" t="s">
        <v>2026</v>
      </c>
      <c r="AP19" t="s">
        <v>2027</v>
      </c>
      <c r="AQ19" t="s">
        <v>2028</v>
      </c>
      <c r="AR19" t="s">
        <v>2</v>
      </c>
      <c r="AS19" t="s">
        <v>2029</v>
      </c>
      <c r="AT19" t="s">
        <v>2030</v>
      </c>
      <c r="AU19" t="s">
        <v>2031</v>
      </c>
      <c r="AV19" t="s">
        <v>2032</v>
      </c>
      <c r="AW19" t="s">
        <v>2033</v>
      </c>
      <c r="AX19" t="s">
        <v>1013</v>
      </c>
      <c r="AY19" t="s">
        <v>789</v>
      </c>
      <c r="AZ19" t="s">
        <v>543</v>
      </c>
      <c r="BA19" t="s">
        <v>545</v>
      </c>
      <c r="BB19" t="s">
        <v>546</v>
      </c>
      <c r="BC19" t="s">
        <v>1014</v>
      </c>
      <c r="BD19" t="s">
        <v>725</v>
      </c>
      <c r="BE19" t="s">
        <v>544</v>
      </c>
      <c r="BF19" t="s">
        <v>427</v>
      </c>
      <c r="BG19" t="s">
        <v>547</v>
      </c>
      <c r="BH19" t="s">
        <v>1503</v>
      </c>
      <c r="BI19" t="s">
        <v>1509</v>
      </c>
      <c r="BJ19" t="s">
        <v>1013</v>
      </c>
      <c r="BK19" t="s">
        <v>1504</v>
      </c>
      <c r="BL19" t="s">
        <v>1182</v>
      </c>
      <c r="BM19" t="s">
        <v>1014</v>
      </c>
      <c r="BN19">
        <v>22.56</v>
      </c>
      <c r="BO19">
        <v>16.170000000000002</v>
      </c>
      <c r="BP19">
        <v>10.51</v>
      </c>
      <c r="BQ19">
        <v>32.33</v>
      </c>
      <c r="BR19">
        <v>20.95</v>
      </c>
      <c r="BS19">
        <v>13.05</v>
      </c>
      <c r="BT19" t="s">
        <v>1510</v>
      </c>
      <c r="BU19" t="s">
        <v>2034</v>
      </c>
      <c r="BV19">
        <v>30.36</v>
      </c>
      <c r="BW19">
        <v>24.55</v>
      </c>
      <c r="BX19">
        <v>22.25</v>
      </c>
      <c r="BY19">
        <v>13.3</v>
      </c>
      <c r="BZ19">
        <v>9.18</v>
      </c>
      <c r="CA19">
        <v>7.06</v>
      </c>
      <c r="CB19">
        <v>22.11</v>
      </c>
      <c r="CC19">
        <v>-3.68</v>
      </c>
      <c r="CD19" t="s">
        <v>257</v>
      </c>
      <c r="CE19" t="s">
        <v>143</v>
      </c>
      <c r="CF19" s="10">
        <v>2.7027027027027029E-3</v>
      </c>
      <c r="CG19" s="11">
        <v>0.39013183023872677</v>
      </c>
      <c r="CH19" s="10">
        <v>0.79474377632141113</v>
      </c>
      <c r="CI19" s="10">
        <v>0.66785424947738647</v>
      </c>
      <c r="CJ19" s="10">
        <v>0.25152969360351563</v>
      </c>
      <c r="CK19" s="10">
        <v>0.48319616913795471</v>
      </c>
      <c r="CL19" s="10">
        <v>0.25402635335922241</v>
      </c>
      <c r="CM19" s="11">
        <v>1.627331018447876</v>
      </c>
      <c r="CN19" s="11">
        <v>1.2697408199310303</v>
      </c>
      <c r="CO19" s="11">
        <v>-0.18986690044403076</v>
      </c>
      <c r="CP19" s="11">
        <v>1.1881299018859863</v>
      </c>
      <c r="CQ19" s="11">
        <v>0.10246913880109787</v>
      </c>
      <c r="CR19">
        <v>47.856430799540306</v>
      </c>
      <c r="CS19">
        <v>0.97612389248909504</v>
      </c>
      <c r="CT19">
        <v>1.372688477951636</v>
      </c>
      <c r="CU19" s="10">
        <v>0.49027004837989807</v>
      </c>
      <c r="CV19" s="11">
        <v>0.79956079572439198</v>
      </c>
      <c r="CW19">
        <v>0.06</v>
      </c>
      <c r="CX19">
        <v>12.624381669489177</v>
      </c>
      <c r="CY19">
        <v>13271838921.420979</v>
      </c>
      <c r="CZ19">
        <v>0.49027004837989807</v>
      </c>
      <c r="DA19">
        <v>2.9885510625212182</v>
      </c>
      <c r="DB19">
        <v>56063542664.936623</v>
      </c>
      <c r="DC19">
        <v>0.46575654596090316</v>
      </c>
      <c r="DD19">
        <v>0.90937047147435401</v>
      </c>
      <c r="DE19">
        <v>184246976623.67981</v>
      </c>
      <c r="DF19">
        <v>0.43143764257431033</v>
      </c>
      <c r="DG19">
        <v>0.29667350436188</v>
      </c>
      <c r="DH19">
        <v>564758084347.24707</v>
      </c>
      <c r="DI19">
        <v>0.39221603870391847</v>
      </c>
      <c r="DJ19">
        <v>3.3136905985888157E-2</v>
      </c>
      <c r="DK19">
        <v>5056258422900.2285</v>
      </c>
      <c r="DL19">
        <v>0.34318903386592864</v>
      </c>
      <c r="DM19">
        <v>9440000000</v>
      </c>
      <c r="DN19">
        <v>0.49027004837989807</v>
      </c>
      <c r="DO19">
        <v>167548760000</v>
      </c>
      <c r="DP19">
        <v>26751327000</v>
      </c>
      <c r="DQ19">
        <v>1757</v>
      </c>
      <c r="DR19">
        <v>-0.4875673456771954</v>
      </c>
      <c r="DS19">
        <v>-0.40942896548566521</v>
      </c>
      <c r="DT19" s="12">
        <v>0.54333333333333322</v>
      </c>
      <c r="DU19">
        <v>0.95333333333333348</v>
      </c>
      <c r="DV19">
        <v>1.4966666666666666</v>
      </c>
      <c r="DW19">
        <v>5.16644052464948</v>
      </c>
      <c r="DX19">
        <v>0.57162790697674581</v>
      </c>
      <c r="DY19">
        <v>5.0518675123326284</v>
      </c>
      <c r="DZ19">
        <v>61</v>
      </c>
      <c r="EA19">
        <v>5.0512479865342552</v>
      </c>
      <c r="EB19">
        <v>5</v>
      </c>
      <c r="EC19">
        <v>9.6951039339258874E-2</v>
      </c>
      <c r="ED19">
        <v>0.31111154414836806</v>
      </c>
      <c r="EE19" s="13">
        <v>1.0752999999999999</v>
      </c>
      <c r="EF19">
        <v>1.0751999999999999</v>
      </c>
      <c r="EG19">
        <v>26.311627906976746</v>
      </c>
      <c r="EH19" t="s">
        <v>958</v>
      </c>
      <c r="EI19">
        <v>1</v>
      </c>
      <c r="EJ19">
        <v>1</v>
      </c>
      <c r="EK19" s="14">
        <v>45490</v>
      </c>
      <c r="EL19">
        <v>3.91</v>
      </c>
      <c r="EM19">
        <v>3.83</v>
      </c>
      <c r="EN19">
        <v>3.06</v>
      </c>
      <c r="EO19">
        <v>9.84</v>
      </c>
      <c r="EP19">
        <v>-0.01</v>
      </c>
    </row>
    <row r="20" spans="1:146" ht="144" hidden="1" x14ac:dyDescent="0.25">
      <c r="A20" s="9"/>
      <c r="B20" s="9"/>
      <c r="C20" s="9" t="s">
        <v>915</v>
      </c>
      <c r="D20" t="s">
        <v>548</v>
      </c>
      <c r="E20" t="s">
        <v>549</v>
      </c>
      <c r="F20">
        <v>29.55</v>
      </c>
      <c r="G20">
        <v>0.72</v>
      </c>
      <c r="H20" t="s">
        <v>2596</v>
      </c>
      <c r="I20">
        <v>38696724000</v>
      </c>
      <c r="J20">
        <v>8.16</v>
      </c>
      <c r="K20">
        <v>2.42</v>
      </c>
      <c r="L20" t="s">
        <v>753</v>
      </c>
      <c r="M20" t="s">
        <v>1511</v>
      </c>
      <c r="N20" t="s">
        <v>2035</v>
      </c>
      <c r="O20" t="s">
        <v>1395</v>
      </c>
      <c r="P20">
        <v>25.28</v>
      </c>
      <c r="Q20" t="s">
        <v>1512</v>
      </c>
      <c r="R20">
        <v>1069677530</v>
      </c>
      <c r="S20" s="6">
        <v>0.20649999999999999</v>
      </c>
      <c r="T20" t="s">
        <v>1513</v>
      </c>
      <c r="U20">
        <v>1231555430</v>
      </c>
      <c r="V20">
        <v>1309533800</v>
      </c>
      <c r="W20">
        <v>2.09</v>
      </c>
      <c r="X20">
        <v>0.12</v>
      </c>
      <c r="Y20">
        <v>29.76</v>
      </c>
      <c r="Z20" t="s">
        <v>2036</v>
      </c>
      <c r="AA20" t="s">
        <v>687</v>
      </c>
      <c r="AB20" t="s">
        <v>2037</v>
      </c>
      <c r="AC20" t="s">
        <v>46</v>
      </c>
      <c r="AD20" t="s">
        <v>2</v>
      </c>
      <c r="AE20">
        <v>-9054000</v>
      </c>
      <c r="AF20" t="s">
        <v>1514</v>
      </c>
      <c r="AG20" t="s">
        <v>2038</v>
      </c>
      <c r="AH20" t="s">
        <v>1515</v>
      </c>
      <c r="AI20" t="s">
        <v>1791</v>
      </c>
      <c r="AJ20" t="s">
        <v>1516</v>
      </c>
      <c r="AK20" t="s">
        <v>2</v>
      </c>
      <c r="AL20" t="s">
        <v>1517</v>
      </c>
      <c r="AM20" t="s">
        <v>2</v>
      </c>
      <c r="AN20" t="s">
        <v>983</v>
      </c>
      <c r="AO20" t="s">
        <v>362</v>
      </c>
      <c r="AP20" t="s">
        <v>2039</v>
      </c>
      <c r="AQ20" t="s">
        <v>2040</v>
      </c>
      <c r="AR20" t="s">
        <v>2</v>
      </c>
      <c r="AS20" t="s">
        <v>2041</v>
      </c>
      <c r="AT20" t="s">
        <v>898</v>
      </c>
      <c r="AU20" t="s">
        <v>65</v>
      </c>
      <c r="AV20" t="s">
        <v>2042</v>
      </c>
      <c r="AW20" t="s">
        <v>2043</v>
      </c>
      <c r="AX20" t="s">
        <v>1016</v>
      </c>
      <c r="AY20" t="s">
        <v>790</v>
      </c>
      <c r="AZ20" t="s">
        <v>550</v>
      </c>
      <c r="BA20" t="s">
        <v>551</v>
      </c>
      <c r="BB20" t="s">
        <v>203</v>
      </c>
      <c r="BC20" t="s">
        <v>978</v>
      </c>
      <c r="BD20" t="s">
        <v>791</v>
      </c>
      <c r="BE20" t="s">
        <v>127</v>
      </c>
      <c r="BF20" t="s">
        <v>168</v>
      </c>
      <c r="BG20" t="s">
        <v>204</v>
      </c>
      <c r="BH20" t="s">
        <v>1512</v>
      </c>
      <c r="BI20" t="s">
        <v>888</v>
      </c>
      <c r="BJ20" t="s">
        <v>1016</v>
      </c>
      <c r="BK20" t="s">
        <v>1513</v>
      </c>
      <c r="BL20" t="s">
        <v>261</v>
      </c>
      <c r="BM20" t="s">
        <v>978</v>
      </c>
      <c r="BN20">
        <v>28.58</v>
      </c>
      <c r="BO20">
        <v>31.38</v>
      </c>
      <c r="BP20">
        <v>27.45</v>
      </c>
      <c r="BQ20">
        <v>28.3</v>
      </c>
      <c r="BR20">
        <v>33.82</v>
      </c>
      <c r="BS20">
        <v>28.47</v>
      </c>
      <c r="BT20" t="s">
        <v>1028</v>
      </c>
      <c r="BU20" t="s">
        <v>1862</v>
      </c>
      <c r="BV20">
        <v>41.65</v>
      </c>
      <c r="BW20">
        <v>39.65</v>
      </c>
      <c r="BX20">
        <v>39.729999999999997</v>
      </c>
      <c r="BY20">
        <v>29.54</v>
      </c>
      <c r="BZ20">
        <v>28.93</v>
      </c>
      <c r="CA20">
        <v>28.99</v>
      </c>
      <c r="CB20">
        <v>3.07</v>
      </c>
      <c r="CC20">
        <v>-8.66</v>
      </c>
      <c r="CD20" t="s">
        <v>2597</v>
      </c>
      <c r="CE20" t="s">
        <v>404</v>
      </c>
      <c r="CF20" s="10">
        <v>0.25277777777777777</v>
      </c>
      <c r="CG20" s="11">
        <v>0.20594986471251425</v>
      </c>
      <c r="CH20" s="10">
        <v>0.69044935703277588</v>
      </c>
      <c r="CI20" s="10">
        <v>0.78459995985031128</v>
      </c>
      <c r="CJ20" s="10">
        <v>0.56415635347366333</v>
      </c>
      <c r="CK20" s="10">
        <v>0.22540189325809479</v>
      </c>
      <c r="CL20" s="10">
        <v>0.22634074091911316</v>
      </c>
      <c r="CM20" s="11">
        <v>0.55882358551025391</v>
      </c>
      <c r="CN20" s="11">
        <v>0.70794391632080078</v>
      </c>
      <c r="CO20" s="11">
        <v>0.99533802270889282</v>
      </c>
      <c r="CP20" s="11">
        <v>0.34693878889083862</v>
      </c>
      <c r="CQ20" s="11">
        <v>9.4501718878746033E-2</v>
      </c>
      <c r="CR20">
        <v>20.599799840298111</v>
      </c>
      <c r="CS20">
        <v>0.41349312233423108</v>
      </c>
      <c r="CT20">
        <v>2.3688663282571913</v>
      </c>
      <c r="CU20" s="10">
        <v>0.49818966090679168</v>
      </c>
      <c r="CV20" s="11">
        <v>0.54070920646190646</v>
      </c>
      <c r="CW20">
        <v>0.06</v>
      </c>
      <c r="CX20">
        <v>6.4925992817168652</v>
      </c>
      <c r="CY20">
        <v>6442215541.8992043</v>
      </c>
      <c r="CZ20">
        <v>0.49818966090679168</v>
      </c>
      <c r="DA20">
        <v>1.5277355137976385</v>
      </c>
      <c r="DB20">
        <v>27378249456.29974</v>
      </c>
      <c r="DC20">
        <v>0.47328017786145204</v>
      </c>
      <c r="DD20">
        <v>0.46036586201628305</v>
      </c>
      <c r="DE20">
        <v>90855398827.380035</v>
      </c>
      <c r="DF20">
        <v>0.43840690159797668</v>
      </c>
      <c r="DG20">
        <v>0.14823620749023017</v>
      </c>
      <c r="DH20">
        <v>282162669351.59332</v>
      </c>
      <c r="DI20">
        <v>0.39855172872543337</v>
      </c>
      <c r="DJ20">
        <v>1.600935120038352E-2</v>
      </c>
      <c r="DK20">
        <v>2612643290566.2036</v>
      </c>
      <c r="DL20">
        <v>0.34873276263475417</v>
      </c>
      <c r="DM20">
        <v>4558000000</v>
      </c>
      <c r="DN20">
        <v>0.49818966090679168</v>
      </c>
      <c r="DO20">
        <v>41826724000</v>
      </c>
      <c r="DP20">
        <v>8762346000</v>
      </c>
      <c r="DQ20">
        <v>1796</v>
      </c>
      <c r="DR20">
        <v>-0.24541188312901391</v>
      </c>
      <c r="DS20">
        <v>-0.3347593417493922</v>
      </c>
      <c r="DT20" s="12">
        <v>0.54333333333333322</v>
      </c>
      <c r="DU20">
        <v>1.07</v>
      </c>
      <c r="DV20">
        <v>1.6133333333333333</v>
      </c>
      <c r="DW20">
        <v>6.2617220801364022</v>
      </c>
      <c r="DX20">
        <v>0.4442857456140365</v>
      </c>
      <c r="DY20">
        <v>6.0351455446747728</v>
      </c>
      <c r="DZ20">
        <v>43</v>
      </c>
      <c r="EA20">
        <v>6.0348496256575386</v>
      </c>
      <c r="EB20">
        <v>6</v>
      </c>
      <c r="EC20">
        <v>4.676038144261721E-2</v>
      </c>
      <c r="ED20">
        <v>0.34821552525028371</v>
      </c>
      <c r="EE20" s="13">
        <v>6.0899099999999997</v>
      </c>
      <c r="EF20">
        <v>6.0827099999999996</v>
      </c>
      <c r="EG20">
        <v>31.134285745614037</v>
      </c>
      <c r="EH20" t="s">
        <v>1778</v>
      </c>
      <c r="EI20">
        <v>0</v>
      </c>
      <c r="EJ20">
        <v>1</v>
      </c>
      <c r="EK20" s="14">
        <v>45490</v>
      </c>
      <c r="EL20">
        <v>2.65</v>
      </c>
      <c r="EM20">
        <v>0.14000000000000001</v>
      </c>
      <c r="EN20">
        <v>-1.49</v>
      </c>
      <c r="EO20">
        <v>1.07</v>
      </c>
      <c r="EP20">
        <v>0.72</v>
      </c>
    </row>
    <row r="21" spans="1:146" ht="96" hidden="1" x14ac:dyDescent="0.25">
      <c r="C21" s="9" t="str">
        <f>""&amp;CHAR(10)&amp;Basic_Fundamental_Information_Constructure(F21)&amp;CHAR(10)&amp;Basic_Fundamental_Information_Concatenate("")</f>
        <v xml:space="preserve">
市值36.451677亿, 利润-1.98亿; PE; 平均PE-47.51; 平均PEG-.5, PB4.39; ROIC.83%; ROE-6.2067%; 股利率0%; 毛利14.8067%; 净利-10.98%; 上一年度营收增368.13%, 利润增-462%; 当季营收增19.07%, 利润增-957.57%; 过往5年营收增94.26%, 利润增-257.95%
Income profile:
</v>
      </c>
      <c r="D21" t="s">
        <v>1331</v>
      </c>
      <c r="E21" t="s">
        <v>1332</v>
      </c>
      <c r="F21">
        <v>6.31</v>
      </c>
      <c r="G21">
        <v>-0.47</v>
      </c>
      <c r="H21" t="s">
        <v>2598</v>
      </c>
      <c r="I21">
        <v>3645167700</v>
      </c>
      <c r="K21">
        <v>4.3899999999999997</v>
      </c>
      <c r="L21" t="s">
        <v>753</v>
      </c>
      <c r="M21" t="s">
        <v>884</v>
      </c>
      <c r="N21" t="s">
        <v>235</v>
      </c>
      <c r="O21" t="s">
        <v>85</v>
      </c>
      <c r="P21" s="7">
        <v>18.899999999999999</v>
      </c>
      <c r="Q21" t="s">
        <v>1224</v>
      </c>
      <c r="R21">
        <v>-47093239</v>
      </c>
      <c r="S21">
        <v>-9.5760000000000005</v>
      </c>
      <c r="T21" t="s">
        <v>1026</v>
      </c>
      <c r="U21">
        <v>442546100</v>
      </c>
      <c r="V21">
        <v>577681100</v>
      </c>
      <c r="W21">
        <v>3.43</v>
      </c>
      <c r="X21">
        <v>0.09</v>
      </c>
      <c r="Y21">
        <v>-25.65</v>
      </c>
      <c r="Z21" t="s">
        <v>122</v>
      </c>
      <c r="AA21" t="s">
        <v>268</v>
      </c>
      <c r="AB21" t="s">
        <v>1852</v>
      </c>
      <c r="AC21" t="s">
        <v>2044</v>
      </c>
      <c r="AD21" t="s">
        <v>2</v>
      </c>
      <c r="AE21">
        <v>6456268</v>
      </c>
      <c r="AF21" t="s">
        <v>1518</v>
      </c>
      <c r="AG21" t="s">
        <v>2045</v>
      </c>
      <c r="AH21" t="s">
        <v>1519</v>
      </c>
      <c r="AI21" t="s">
        <v>81</v>
      </c>
      <c r="AJ21" t="s">
        <v>1520</v>
      </c>
      <c r="AK21" t="s">
        <v>323</v>
      </c>
      <c r="AL21" t="s">
        <v>1521</v>
      </c>
      <c r="AM21" t="s">
        <v>2</v>
      </c>
      <c r="AN21" t="s">
        <v>48</v>
      </c>
      <c r="AO21" t="s">
        <v>273</v>
      </c>
      <c r="AP21" t="s">
        <v>342</v>
      </c>
      <c r="AQ21" t="s">
        <v>339</v>
      </c>
      <c r="AR21" t="s">
        <v>2</v>
      </c>
      <c r="AS21" t="s">
        <v>2046</v>
      </c>
      <c r="AT21" t="s">
        <v>2</v>
      </c>
      <c r="AU21" t="s">
        <v>1532</v>
      </c>
      <c r="AV21" t="s">
        <v>2047</v>
      </c>
      <c r="AW21" t="s">
        <v>2048</v>
      </c>
      <c r="AX21" t="s">
        <v>201</v>
      </c>
      <c r="AY21" t="s">
        <v>153</v>
      </c>
      <c r="AZ21" t="s">
        <v>34</v>
      </c>
      <c r="BA21" t="s">
        <v>21</v>
      </c>
      <c r="BB21" t="s">
        <v>108</v>
      </c>
      <c r="BC21" t="s">
        <v>1522</v>
      </c>
      <c r="BD21" t="s">
        <v>1333</v>
      </c>
      <c r="BE21" t="s">
        <v>1334</v>
      </c>
      <c r="BF21" t="s">
        <v>1335</v>
      </c>
      <c r="BG21" t="s">
        <v>1336</v>
      </c>
      <c r="BH21" t="s">
        <v>1224</v>
      </c>
      <c r="BI21" t="s">
        <v>29</v>
      </c>
      <c r="BJ21" t="s">
        <v>201</v>
      </c>
      <c r="BK21" t="s">
        <v>1026</v>
      </c>
      <c r="BL21" t="s">
        <v>1523</v>
      </c>
      <c r="BM21" t="s">
        <v>1522</v>
      </c>
      <c r="BN21" t="s">
        <v>2</v>
      </c>
      <c r="BO21" t="s">
        <v>2</v>
      </c>
      <c r="BP21">
        <v>0.83</v>
      </c>
      <c r="BQ21">
        <v>-12.4</v>
      </c>
      <c r="BR21">
        <v>-7.16</v>
      </c>
      <c r="BS21">
        <v>0.94</v>
      </c>
      <c r="BT21" t="s">
        <v>940</v>
      </c>
      <c r="BU21" t="s">
        <v>1905</v>
      </c>
      <c r="BV21">
        <v>5.43</v>
      </c>
      <c r="BW21">
        <v>14.25</v>
      </c>
      <c r="BX21">
        <v>24.74</v>
      </c>
      <c r="BY21">
        <v>-20.3</v>
      </c>
      <c r="BZ21">
        <v>-15.52</v>
      </c>
      <c r="CA21">
        <v>2.88</v>
      </c>
      <c r="CB21">
        <v>9.93</v>
      </c>
      <c r="CC21" s="10">
        <v>-2.62</v>
      </c>
      <c r="CD21" s="11" t="s">
        <v>2599</v>
      </c>
      <c r="CE21" s="10" t="s">
        <v>2600</v>
      </c>
      <c r="CF21" s="10">
        <v>0.19072164948453607</v>
      </c>
      <c r="CG21" s="10">
        <v>-9.575660384230174</v>
      </c>
      <c r="CH21" s="10">
        <v>3.6812751293182373</v>
      </c>
      <c r="CI21" s="10">
        <v>0.58860760927200317</v>
      </c>
      <c r="CJ21" s="11">
        <v>6.0402683913707733E-2</v>
      </c>
      <c r="CK21" s="11">
        <v>0.21138212084770203</v>
      </c>
      <c r="CL21" s="11">
        <v>0.17142857611179352</v>
      </c>
      <c r="CM21" s="11">
        <v>-4.6199545860290527</v>
      </c>
      <c r="CN21" s="11">
        <v>-8.4670114517211914</v>
      </c>
      <c r="CO21">
        <v>-8.6468279361724854E-2</v>
      </c>
      <c r="CP21">
        <v>-0.89232951402664185</v>
      </c>
      <c r="CQ21">
        <v>1.1683140993118286</v>
      </c>
      <c r="CR21" s="10">
        <v>-47.5065347260702</v>
      </c>
      <c r="CS21" s="11">
        <v>-0.50398436104331479</v>
      </c>
      <c r="CT21">
        <v>0</v>
      </c>
      <c r="CU21">
        <v>0.94261922389268871</v>
      </c>
      <c r="CV21">
        <v>-2.5794899463653564</v>
      </c>
      <c r="CW21">
        <v>0.06</v>
      </c>
      <c r="CX21" t="e">
        <v>#VALUE!</v>
      </c>
      <c r="CY21" t="s">
        <v>711</v>
      </c>
      <c r="CZ21">
        <v>0.94261922389268871</v>
      </c>
      <c r="DA21" t="e">
        <v>#VALUE!</v>
      </c>
      <c r="DB21" t="s">
        <v>712</v>
      </c>
      <c r="DC21">
        <v>0.89548826269805426</v>
      </c>
      <c r="DD21" t="e">
        <v>#VALUE!</v>
      </c>
      <c r="DE21" t="s">
        <v>712</v>
      </c>
      <c r="DF21">
        <v>0.82950491702556606</v>
      </c>
      <c r="DG21" t="e">
        <v>#VALUE!</v>
      </c>
      <c r="DH21" t="s">
        <v>712</v>
      </c>
      <c r="DI21">
        <v>0.75409537911415103</v>
      </c>
      <c r="DJ21" t="e">
        <v>#VALUE!</v>
      </c>
      <c r="DK21" t="s">
        <v>712</v>
      </c>
      <c r="DL21">
        <v>0.65983345672488203</v>
      </c>
      <c r="DM21">
        <v>-198000000</v>
      </c>
      <c r="DN21">
        <v>0.94261922389268871</v>
      </c>
      <c r="DO21">
        <v>4439167700</v>
      </c>
      <c r="DP21">
        <v>-227160420</v>
      </c>
      <c r="DQ21" s="12">
        <v>1822</v>
      </c>
      <c r="DR21">
        <v>-0.75189757440815264</v>
      </c>
      <c r="DS21">
        <v>-6.9961704378648175</v>
      </c>
      <c r="DT21">
        <v>0.22666666666666657</v>
      </c>
      <c r="DU21">
        <v>-2.3983333333333334</v>
      </c>
      <c r="DV21">
        <v>-2.1716666666666669</v>
      </c>
      <c r="DW21">
        <v>5.2638469284994969</v>
      </c>
      <c r="DX21">
        <v>0.35063366032940479</v>
      </c>
      <c r="DY21">
        <v>5.0582135136015145</v>
      </c>
      <c r="DZ21">
        <v>4487</v>
      </c>
      <c r="EA21">
        <v>5.0070672368186679</v>
      </c>
      <c r="EB21" s="13">
        <v>5</v>
      </c>
      <c r="EC21" s="13">
        <v>3.6777211509949004E-2</v>
      </c>
      <c r="ED21">
        <v>0.16668902617724554</v>
      </c>
      <c r="EE21">
        <v>1.00461</v>
      </c>
      <c r="EF21">
        <v>1.0093099999999999</v>
      </c>
      <c r="EG21">
        <v>13.220633660329405</v>
      </c>
      <c r="EH21" s="14" t="s">
        <v>960</v>
      </c>
      <c r="EI21">
        <v>1</v>
      </c>
      <c r="EJ21">
        <v>0</v>
      </c>
      <c r="EK21">
        <v>45490</v>
      </c>
      <c r="EL21">
        <v>8.5399999999999991</v>
      </c>
      <c r="EM21">
        <v>-0.32</v>
      </c>
      <c r="EN21">
        <v>3.06</v>
      </c>
      <c r="EO21">
        <v>-0.94</v>
      </c>
      <c r="EP21">
        <v>-0.47</v>
      </c>
    </row>
    <row r="22" spans="1:146" ht="96" hidden="1" x14ac:dyDescent="0.25">
      <c r="A22" s="9"/>
      <c r="B22" s="9"/>
      <c r="C22" s="9" t="str">
        <f>""&amp;CHAR(10)&amp;Basic_Fundamental_Information_Constructure(F22)&amp;CHAR(10)&amp;Basic_Fundamental_Information_Concatenate("")</f>
        <v xml:space="preserve">
市值62.54461亿, 利润5.27亿; PE24.87; 平均PE34.73; 平均PEG.95, PB1.47; ROIC5.41%; ROE4.5967%; 股利率2.4042%; 毛利14.17%; 净利.8833%; 上一年度营收增28%, 利润增31.42%; 当季营收增-52.44%, 利润增-267.45%; 过往5年营收增36.48%, 利润增-26.33%
Income profile:
</v>
      </c>
      <c r="D22" t="s">
        <v>552</v>
      </c>
      <c r="E22" t="s">
        <v>553</v>
      </c>
      <c r="F22">
        <v>5.74</v>
      </c>
      <c r="G22">
        <v>3.99</v>
      </c>
      <c r="H22" t="s">
        <v>2601</v>
      </c>
      <c r="I22">
        <v>6254461000</v>
      </c>
      <c r="J22">
        <v>24.87</v>
      </c>
      <c r="K22">
        <v>1.47</v>
      </c>
      <c r="L22" t="s">
        <v>753</v>
      </c>
      <c r="M22" t="s">
        <v>1525</v>
      </c>
      <c r="N22" t="s">
        <v>1810</v>
      </c>
      <c r="O22" t="s">
        <v>1218</v>
      </c>
      <c r="P22">
        <v>-52.43</v>
      </c>
      <c r="Q22" t="s">
        <v>1526</v>
      </c>
      <c r="R22">
        <v>-172475620</v>
      </c>
      <c r="S22" s="6">
        <v>-2.681</v>
      </c>
      <c r="T22" t="s">
        <v>776</v>
      </c>
      <c r="U22">
        <v>954068490</v>
      </c>
      <c r="V22">
        <v>1089627360</v>
      </c>
      <c r="W22">
        <v>3.32</v>
      </c>
      <c r="X22">
        <v>0.08</v>
      </c>
      <c r="Y22">
        <v>-13.95</v>
      </c>
      <c r="Z22" t="s">
        <v>1437</v>
      </c>
      <c r="AA22" t="s">
        <v>1383</v>
      </c>
      <c r="AB22" t="s">
        <v>2049</v>
      </c>
      <c r="AC22" t="s">
        <v>2050</v>
      </c>
      <c r="AD22" t="s">
        <v>2</v>
      </c>
      <c r="AE22">
        <v>12154838</v>
      </c>
      <c r="AF22" t="s">
        <v>1527</v>
      </c>
      <c r="AG22" t="s">
        <v>2051</v>
      </c>
      <c r="AH22" t="s">
        <v>1528</v>
      </c>
      <c r="AI22" t="s">
        <v>773</v>
      </c>
      <c r="AJ22" t="s">
        <v>1529</v>
      </c>
      <c r="AK22" t="s">
        <v>2052</v>
      </c>
      <c r="AL22" t="s">
        <v>1530</v>
      </c>
      <c r="AM22" t="s">
        <v>2</v>
      </c>
      <c r="AN22" t="s">
        <v>299</v>
      </c>
      <c r="AO22" t="s">
        <v>2053</v>
      </c>
      <c r="AP22" t="s">
        <v>889</v>
      </c>
      <c r="AQ22" t="s">
        <v>2054</v>
      </c>
      <c r="AR22" t="s">
        <v>2055</v>
      </c>
      <c r="AS22" t="s">
        <v>2056</v>
      </c>
      <c r="AT22" t="s">
        <v>2057</v>
      </c>
      <c r="AU22" t="s">
        <v>267</v>
      </c>
      <c r="AV22" t="s">
        <v>2058</v>
      </c>
      <c r="AW22" t="s">
        <v>291</v>
      </c>
      <c r="AX22" t="s">
        <v>1018</v>
      </c>
      <c r="AY22" t="s">
        <v>792</v>
      </c>
      <c r="AZ22" t="s">
        <v>554</v>
      </c>
      <c r="BA22" t="s">
        <v>556</v>
      </c>
      <c r="BB22" t="s">
        <v>264</v>
      </c>
      <c r="BC22" t="s">
        <v>149</v>
      </c>
      <c r="BD22" t="s">
        <v>738</v>
      </c>
      <c r="BE22" t="s">
        <v>555</v>
      </c>
      <c r="BF22" t="s">
        <v>146</v>
      </c>
      <c r="BG22" t="s">
        <v>102</v>
      </c>
      <c r="BH22" t="s">
        <v>1526</v>
      </c>
      <c r="BI22" t="s">
        <v>448</v>
      </c>
      <c r="BJ22" t="s">
        <v>1018</v>
      </c>
      <c r="BK22" t="s">
        <v>776</v>
      </c>
      <c r="BL22" t="s">
        <v>39</v>
      </c>
      <c r="BM22" t="s">
        <v>149</v>
      </c>
      <c r="BN22">
        <v>5.03</v>
      </c>
      <c r="BO22">
        <v>5.79</v>
      </c>
      <c r="BP22" t="s">
        <v>2</v>
      </c>
      <c r="BQ22">
        <v>11.64</v>
      </c>
      <c r="BR22">
        <v>11.07</v>
      </c>
      <c r="BS22">
        <v>-8.92</v>
      </c>
      <c r="BT22" t="s">
        <v>1067</v>
      </c>
      <c r="BU22" t="s">
        <v>1882</v>
      </c>
      <c r="BV22">
        <v>15.36</v>
      </c>
      <c r="BW22">
        <v>15.63</v>
      </c>
      <c r="BX22">
        <v>11.52</v>
      </c>
      <c r="BY22">
        <v>4.8499999999999996</v>
      </c>
      <c r="BZ22">
        <v>4.8899999999999997</v>
      </c>
      <c r="CA22">
        <v>-7.09</v>
      </c>
      <c r="CB22">
        <v>6.1</v>
      </c>
      <c r="CC22">
        <v>-19.739999999999998</v>
      </c>
      <c r="CD22" t="s">
        <v>2602</v>
      </c>
      <c r="CE22" t="s">
        <v>68</v>
      </c>
      <c r="CF22" s="10">
        <v>-0.52437223042836045</v>
      </c>
      <c r="CG22" s="11">
        <v>-2.6745205825242717</v>
      </c>
      <c r="CH22" s="10">
        <v>0.28004598617553711</v>
      </c>
      <c r="CI22" s="10">
        <v>0.64553254842758179</v>
      </c>
      <c r="CJ22" s="10">
        <v>0.14454278349876404</v>
      </c>
      <c r="CK22" s="10">
        <v>0.46204715967178345</v>
      </c>
      <c r="CL22" s="10">
        <v>0.29197627305984497</v>
      </c>
      <c r="CM22" s="11">
        <v>0.31421446800231934</v>
      </c>
      <c r="CN22" s="11">
        <v>2.2811501026153564</v>
      </c>
      <c r="CO22" s="11">
        <v>-4.2382078170776367</v>
      </c>
      <c r="CP22" s="11">
        <v>-0.60222882032394409</v>
      </c>
      <c r="CQ22" s="11">
        <v>0.92857140302658081</v>
      </c>
      <c r="CR22">
        <v>34.725835657225261</v>
      </c>
      <c r="CS22">
        <v>0.95183881765298206</v>
      </c>
      <c r="CT22">
        <v>2.4041811846689893</v>
      </c>
      <c r="CU22" s="10">
        <v>0.36482895016670225</v>
      </c>
      <c r="CV22" s="11">
        <v>-0.26330013275146485</v>
      </c>
      <c r="CW22">
        <v>0.06</v>
      </c>
      <c r="CX22">
        <v>19.265238013777093</v>
      </c>
      <c r="CY22">
        <v>678551751.63948298</v>
      </c>
      <c r="CZ22">
        <v>0.36482895016670225</v>
      </c>
      <c r="DA22">
        <v>5.0270949108997627</v>
      </c>
      <c r="DB22">
        <v>2600400675.0809994</v>
      </c>
      <c r="DC22">
        <v>0.34658750265836713</v>
      </c>
      <c r="DD22">
        <v>1.784422970418327</v>
      </c>
      <c r="DE22">
        <v>7325875768.6443529</v>
      </c>
      <c r="DF22">
        <v>0.32104947614669799</v>
      </c>
      <c r="DG22">
        <v>0.71467871773951452</v>
      </c>
      <c r="DH22">
        <v>18291381393.5126</v>
      </c>
      <c r="DI22">
        <v>0.29186316013336183</v>
      </c>
      <c r="DJ22">
        <v>0.13559880722977946</v>
      </c>
      <c r="DK22">
        <v>96405427651.351044</v>
      </c>
      <c r="DL22">
        <v>0.25538026511669154</v>
      </c>
      <c r="DM22">
        <v>526999999.99999994</v>
      </c>
      <c r="DN22">
        <v>0.36482895016670225</v>
      </c>
      <c r="DO22">
        <v>13072461000</v>
      </c>
      <c r="DP22">
        <v>214281300</v>
      </c>
      <c r="DQ22">
        <v>1864</v>
      </c>
      <c r="DR22">
        <v>-0.8892011805950627</v>
      </c>
      <c r="DS22">
        <v>-2.4112204497728067</v>
      </c>
      <c r="DT22" s="12">
        <v>0.24333333333333326</v>
      </c>
      <c r="DU22">
        <v>-1.0816666666666668</v>
      </c>
      <c r="DV22">
        <v>-0.83833333333333349</v>
      </c>
      <c r="DW22">
        <v>7.2360681114551086</v>
      </c>
      <c r="DX22">
        <v>0.69071733975903271</v>
      </c>
      <c r="DY22">
        <v>7.0450222822186577</v>
      </c>
      <c r="DZ22">
        <v>3452</v>
      </c>
      <c r="EA22">
        <v>7.0145901462839007</v>
      </c>
      <c r="EB22">
        <v>7</v>
      </c>
      <c r="EC22">
        <v>7.2637401469067372E-2</v>
      </c>
      <c r="ED22">
        <v>0.38086415157563597</v>
      </c>
      <c r="EE22" s="13">
        <v>-4.0678000000000001</v>
      </c>
      <c r="EF22">
        <v>-4.1077000000000004</v>
      </c>
      <c r="EG22">
        <v>50.190717339759033</v>
      </c>
      <c r="EH22" t="s">
        <v>2130</v>
      </c>
      <c r="EI22">
        <v>1</v>
      </c>
      <c r="EJ22">
        <v>0</v>
      </c>
      <c r="EK22" s="14">
        <v>45490</v>
      </c>
      <c r="EL22">
        <v>4.25</v>
      </c>
      <c r="EM22">
        <v>0.35</v>
      </c>
      <c r="EN22">
        <v>-2.65</v>
      </c>
      <c r="EO22">
        <v>0.18</v>
      </c>
      <c r="EP22">
        <v>3.99</v>
      </c>
    </row>
    <row r="23" spans="1:146" ht="130.5" hidden="1" customHeight="1" x14ac:dyDescent="0.25">
      <c r="A23" s="9" t="s">
        <v>971</v>
      </c>
      <c r="B23" s="9" t="s">
        <v>1198</v>
      </c>
      <c r="C23" s="9" t="str">
        <f>"公司是国内唯一具备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amp;CHAR(10)&amp;Basic_Fundamental_Information_Constructure(F23)&amp;CHAR(10)&amp;Basic_Fundamental_Information_Concatenate("工艺设备 34.25亿 84.70% 25.40亿（毛利25.84%）自动化配套设备 4.71亿 11.65%（毛利21.84%）")</f>
        <v>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
市值194.21209亿, 利润16.34亿; PE10.36; 平均PE25.28; 平均PEG.58, PB2.08; ROIC14.1167%; ROE15.2133%; 股利率2.1513%; 毛利26.33%; 净利16.78%; 上一年度营收增45.43%, 利润增56.06%; 当季营收增33.56%, 利润增274.64%; 过往5年营收增43.7%, 利润增40.19%
Income profile:
工艺设备 34.25亿 84.70% 25.40亿（毛利25.84%）自动化配套设备 4.71亿 11.65%（毛利21.84%）</v>
      </c>
      <c r="D23" t="s">
        <v>557</v>
      </c>
      <c r="E23" t="s">
        <v>558</v>
      </c>
      <c r="F23">
        <v>55.78</v>
      </c>
      <c r="G23">
        <v>-0.28999999999999998</v>
      </c>
      <c r="H23" t="s">
        <v>2603</v>
      </c>
      <c r="I23">
        <v>19421209000</v>
      </c>
      <c r="J23">
        <v>10.36</v>
      </c>
      <c r="K23">
        <v>2.08</v>
      </c>
      <c r="L23" t="s">
        <v>753</v>
      </c>
      <c r="M23" t="s">
        <v>1537</v>
      </c>
      <c r="N23" t="s">
        <v>2059</v>
      </c>
      <c r="O23" t="s">
        <v>879</v>
      </c>
      <c r="P23">
        <v>33.53</v>
      </c>
      <c r="Q23" t="s">
        <v>1538</v>
      </c>
      <c r="R23">
        <v>1258796650</v>
      </c>
      <c r="S23" s="6">
        <v>0.71930000000000005</v>
      </c>
      <c r="T23" t="s">
        <v>1270</v>
      </c>
      <c r="U23">
        <v>274138090</v>
      </c>
      <c r="V23">
        <v>348175140</v>
      </c>
      <c r="W23">
        <v>4.1900000000000004</v>
      </c>
      <c r="X23">
        <v>7.0000000000000007E-2</v>
      </c>
      <c r="Y23">
        <v>22.49</v>
      </c>
      <c r="Z23" t="s">
        <v>2060</v>
      </c>
      <c r="AA23" t="s">
        <v>1350</v>
      </c>
      <c r="AB23" t="s">
        <v>2061</v>
      </c>
      <c r="AC23" t="s">
        <v>2062</v>
      </c>
      <c r="AD23" t="s">
        <v>2</v>
      </c>
      <c r="AE23">
        <v>-43311528</v>
      </c>
      <c r="AF23" t="s">
        <v>1539</v>
      </c>
      <c r="AG23" t="s">
        <v>2063</v>
      </c>
      <c r="AH23" t="s">
        <v>1540</v>
      </c>
      <c r="AI23" t="s">
        <v>2064</v>
      </c>
      <c r="AJ23" t="s">
        <v>1541</v>
      </c>
      <c r="AK23" t="s">
        <v>1233</v>
      </c>
      <c r="AL23" t="s">
        <v>1542</v>
      </c>
      <c r="AM23" t="s">
        <v>2</v>
      </c>
      <c r="AN23" t="s">
        <v>194</v>
      </c>
      <c r="AO23" t="s">
        <v>2065</v>
      </c>
      <c r="AP23" t="s">
        <v>2066</v>
      </c>
      <c r="AQ23" t="s">
        <v>2067</v>
      </c>
      <c r="AR23" t="s">
        <v>2</v>
      </c>
      <c r="AS23" t="s">
        <v>2068</v>
      </c>
      <c r="AT23" t="s">
        <v>2069</v>
      </c>
      <c r="AU23" t="s">
        <v>1438</v>
      </c>
      <c r="AV23" t="s">
        <v>2070</v>
      </c>
      <c r="AW23" t="s">
        <v>2071</v>
      </c>
      <c r="AX23" t="s">
        <v>1022</v>
      </c>
      <c r="AY23" t="s">
        <v>796</v>
      </c>
      <c r="AZ23" t="s">
        <v>559</v>
      </c>
      <c r="BA23" t="s">
        <v>562</v>
      </c>
      <c r="BB23" t="s">
        <v>364</v>
      </c>
      <c r="BC23" t="s">
        <v>836</v>
      </c>
      <c r="BD23" t="s">
        <v>433</v>
      </c>
      <c r="BE23" t="s">
        <v>560</v>
      </c>
      <c r="BF23" t="s">
        <v>160</v>
      </c>
      <c r="BG23" t="s">
        <v>241</v>
      </c>
      <c r="BH23" t="s">
        <v>1538</v>
      </c>
      <c r="BI23" t="s">
        <v>623</v>
      </c>
      <c r="BJ23" t="s">
        <v>1022</v>
      </c>
      <c r="BK23" t="s">
        <v>1270</v>
      </c>
      <c r="BL23" t="s">
        <v>271</v>
      </c>
      <c r="BM23" t="s">
        <v>836</v>
      </c>
      <c r="BN23">
        <v>13.61</v>
      </c>
      <c r="BO23">
        <v>14.25</v>
      </c>
      <c r="BP23">
        <v>14.49</v>
      </c>
      <c r="BQ23">
        <v>15.7</v>
      </c>
      <c r="BR23">
        <v>15.64</v>
      </c>
      <c r="BS23">
        <v>14.3</v>
      </c>
      <c r="BT23" t="s">
        <v>1358</v>
      </c>
      <c r="BU23" t="s">
        <v>1862</v>
      </c>
      <c r="BV23">
        <v>28.95</v>
      </c>
      <c r="BW23">
        <v>25.44</v>
      </c>
      <c r="BX23">
        <v>24.6</v>
      </c>
      <c r="BY23">
        <v>18.77</v>
      </c>
      <c r="BZ23">
        <v>17.43</v>
      </c>
      <c r="CA23">
        <v>14.14</v>
      </c>
      <c r="CB23">
        <v>1.23</v>
      </c>
      <c r="CC23">
        <v>-16.43</v>
      </c>
      <c r="CD23" t="s">
        <v>2604</v>
      </c>
      <c r="CE23" t="s">
        <v>2605</v>
      </c>
      <c r="CF23" s="10">
        <v>0.33557742102537563</v>
      </c>
      <c r="CG23" s="11">
        <v>2.7464186011904763</v>
      </c>
      <c r="CH23" s="10">
        <v>0.45428800582885742</v>
      </c>
      <c r="CI23" s="10">
        <v>0.18981575965881348</v>
      </c>
      <c r="CJ23" s="10">
        <v>0.24802178144454956</v>
      </c>
      <c r="CK23" s="10">
        <v>0.60031652450561523</v>
      </c>
      <c r="CL23" s="10">
        <v>0.6925654411315918</v>
      </c>
      <c r="CM23" s="11">
        <v>0.56064945459365845</v>
      </c>
      <c r="CN23" s="11">
        <v>0.46025103330612183</v>
      </c>
      <c r="CO23" s="11">
        <v>0.37093690037727356</v>
      </c>
      <c r="CP23" s="11">
        <v>0.36910995841026306</v>
      </c>
      <c r="CQ23" s="11">
        <v>0.24836601316928864</v>
      </c>
      <c r="CR23">
        <v>25.282545888479063</v>
      </c>
      <c r="CS23">
        <v>0.57854597165088062</v>
      </c>
      <c r="CT23">
        <v>2.151308712800287</v>
      </c>
      <c r="CU23" s="10">
        <v>0.43700150251388548</v>
      </c>
      <c r="CV23" s="11">
        <v>0.40186267197132108</v>
      </c>
      <c r="CW23">
        <v>0.06</v>
      </c>
      <c r="CX23">
        <v>18.267017549185226</v>
      </c>
      <c r="CY23">
        <v>2215151372.7431026</v>
      </c>
      <c r="CZ23">
        <v>0.43700150251388548</v>
      </c>
      <c r="DA23">
        <v>4.5050391740597755</v>
      </c>
      <c r="DB23">
        <v>8981988266.1608791</v>
      </c>
      <c r="DC23">
        <v>0.41515142738819116</v>
      </c>
      <c r="DD23">
        <v>1.4635639816158419</v>
      </c>
      <c r="DE23">
        <v>27647721253.242138</v>
      </c>
      <c r="DF23">
        <v>0.38456132221221923</v>
      </c>
      <c r="DG23">
        <v>0.52126387498536253</v>
      </c>
      <c r="DH23">
        <v>77627111606.643112</v>
      </c>
      <c r="DI23">
        <v>0.34960120201110839</v>
      </c>
      <c r="DJ23">
        <v>7.3000742790603299E-2</v>
      </c>
      <c r="DK23">
        <v>554298592770.05298</v>
      </c>
      <c r="DL23">
        <v>0.30590105175971982</v>
      </c>
      <c r="DM23">
        <v>1634000000</v>
      </c>
      <c r="DN23">
        <v>0.43700150251388548</v>
      </c>
      <c r="DO23">
        <v>40464209000</v>
      </c>
      <c r="DP23">
        <v>7401573000</v>
      </c>
      <c r="DQ23">
        <v>2187</v>
      </c>
      <c r="DR23">
        <v>-0.10142408148850984</v>
      </c>
      <c r="DS23">
        <v>2.3445559292191551</v>
      </c>
      <c r="DT23" s="12">
        <v>0.4433333333333333</v>
      </c>
      <c r="DU23">
        <v>1.2666666666666666</v>
      </c>
      <c r="DV23">
        <v>1.71</v>
      </c>
      <c r="DW23">
        <v>-3.004863095238095</v>
      </c>
      <c r="DX23">
        <v>0.46071999999999846</v>
      </c>
      <c r="DY23">
        <v>-3.0010247514285715</v>
      </c>
      <c r="DZ23">
        <v>32</v>
      </c>
      <c r="EA23">
        <v>-3.0010183304288232</v>
      </c>
      <c r="EB23">
        <v>3</v>
      </c>
      <c r="EC23">
        <v>0.12709465701658079</v>
      </c>
      <c r="ED23">
        <v>0.60314472767929384</v>
      </c>
      <c r="EE23" s="13">
        <v>-4.0016100000000003</v>
      </c>
      <c r="EF23">
        <v>-4.0045099999999998</v>
      </c>
      <c r="EG23">
        <v>25.210719999999998</v>
      </c>
      <c r="EH23" t="s">
        <v>1306</v>
      </c>
      <c r="EI23">
        <v>0</v>
      </c>
      <c r="EJ23">
        <v>1</v>
      </c>
      <c r="EK23" s="14">
        <v>45490</v>
      </c>
      <c r="EL23">
        <v>3.12</v>
      </c>
      <c r="EM23">
        <v>0.65</v>
      </c>
      <c r="EN23">
        <v>-3.76</v>
      </c>
      <c r="EO23">
        <v>1.64</v>
      </c>
      <c r="EP23">
        <v>-0.28999999999999998</v>
      </c>
    </row>
    <row r="24" spans="1:146" ht="180" hidden="1" x14ac:dyDescent="0.25">
      <c r="A24" s="9" t="s">
        <v>704</v>
      </c>
      <c r="B24" s="9"/>
      <c r="C24" s="9" t="str">
        <f>"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amp;CHAR(10)&amp;Basic_Fundamental_Information_Constructure(F24)&amp;CHAR(10)&amp;Basic_Fundamental_Information_Concatenate("太阳能电池成套生产设备 26.60亿 85.93% 84.67% 37.74%
单机 2.81亿 9.08% 7.71% 32.51%
配件及其他 1.55亿 4.99% 7.62% 58.45%")</f>
        <v>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
市值310.63548亿, 利润9.14亿; PE32.59; 平均PE57.67; 平均PEG.94, PB4.21; ROIC11.98%; ROE16.5133%; 股利率.9887%; 毛利35.7067%; 净利16.9767%; 上一年度营收增95.01%, 利润增6.03%; 当季营收增91.7%, 利润增17.7%; 过往5年营收增61.17%, 利润增41.44%
Income profile:
太阳能电池成套生产设备 26.60亿 85.93% 84.67% 37.74%
单机 2.81亿 9.08% 7.71% 32.51%
配件及其他 1.55亿 4.99% 7.62% 58.45%</v>
      </c>
      <c r="D24" t="s">
        <v>563</v>
      </c>
      <c r="E24" t="s">
        <v>564</v>
      </c>
      <c r="F24">
        <v>111.26</v>
      </c>
      <c r="G24">
        <v>-2.57</v>
      </c>
      <c r="H24" t="s">
        <v>2606</v>
      </c>
      <c r="I24">
        <v>31063548000</v>
      </c>
      <c r="J24">
        <v>32.590000000000003</v>
      </c>
      <c r="K24">
        <v>4.21</v>
      </c>
      <c r="L24" t="s">
        <v>753</v>
      </c>
      <c r="M24" t="s">
        <v>1543</v>
      </c>
      <c r="N24" t="s">
        <v>2072</v>
      </c>
      <c r="O24" t="s">
        <v>1273</v>
      </c>
      <c r="P24">
        <v>91.8</v>
      </c>
      <c r="Q24" t="s">
        <v>1544</v>
      </c>
      <c r="R24">
        <v>260127570</v>
      </c>
      <c r="S24" s="6">
        <v>0.1779</v>
      </c>
      <c r="T24" t="s">
        <v>23</v>
      </c>
      <c r="U24">
        <v>193145210</v>
      </c>
      <c r="V24">
        <v>279197810</v>
      </c>
      <c r="W24">
        <v>3.26</v>
      </c>
      <c r="X24">
        <v>0.09</v>
      </c>
      <c r="Y24">
        <v>10.84</v>
      </c>
      <c r="Z24" t="s">
        <v>1460</v>
      </c>
      <c r="AA24" t="s">
        <v>765</v>
      </c>
      <c r="AB24" t="s">
        <v>49</v>
      </c>
      <c r="AC24" t="s">
        <v>2073</v>
      </c>
      <c r="AD24" t="s">
        <v>2</v>
      </c>
      <c r="AE24">
        <v>-20841000</v>
      </c>
      <c r="AF24" t="s">
        <v>1545</v>
      </c>
      <c r="AG24" t="s">
        <v>2074</v>
      </c>
      <c r="AH24" t="s">
        <v>1546</v>
      </c>
      <c r="AI24" t="s">
        <v>2075</v>
      </c>
      <c r="AJ24" t="s">
        <v>1547</v>
      </c>
      <c r="AK24" t="s">
        <v>411</v>
      </c>
      <c r="AL24" t="s">
        <v>1548</v>
      </c>
      <c r="AM24" t="s">
        <v>2</v>
      </c>
      <c r="AN24" t="s">
        <v>1294</v>
      </c>
      <c r="AO24" t="s">
        <v>782</v>
      </c>
      <c r="AP24" t="s">
        <v>1244</v>
      </c>
      <c r="AQ24" t="s">
        <v>1828</v>
      </c>
      <c r="AR24" t="s">
        <v>2</v>
      </c>
      <c r="AS24" t="s">
        <v>2076</v>
      </c>
      <c r="AT24" t="s">
        <v>425</v>
      </c>
      <c r="AU24" t="s">
        <v>2077</v>
      </c>
      <c r="AV24" t="s">
        <v>284</v>
      </c>
      <c r="AW24" t="s">
        <v>389</v>
      </c>
      <c r="AX24" t="s">
        <v>1023</v>
      </c>
      <c r="AY24" t="s">
        <v>797</v>
      </c>
      <c r="AZ24" t="s">
        <v>278</v>
      </c>
      <c r="BA24" t="s">
        <v>438</v>
      </c>
      <c r="BB24" t="s">
        <v>250</v>
      </c>
      <c r="BC24" t="s">
        <v>269</v>
      </c>
      <c r="BD24" t="s">
        <v>435</v>
      </c>
      <c r="BE24" t="s">
        <v>382</v>
      </c>
      <c r="BF24" t="s">
        <v>135</v>
      </c>
      <c r="BG24" t="s">
        <v>45</v>
      </c>
      <c r="BH24" t="s">
        <v>1544</v>
      </c>
      <c r="BI24" t="s">
        <v>916</v>
      </c>
      <c r="BJ24" t="s">
        <v>1023</v>
      </c>
      <c r="BK24" t="s">
        <v>23</v>
      </c>
      <c r="BL24" t="s">
        <v>260</v>
      </c>
      <c r="BM24" t="s">
        <v>269</v>
      </c>
      <c r="BN24">
        <v>8.3699999999999992</v>
      </c>
      <c r="BO24">
        <v>11.99</v>
      </c>
      <c r="BP24">
        <v>15.58</v>
      </c>
      <c r="BQ24">
        <v>10.65</v>
      </c>
      <c r="BR24">
        <v>14.15</v>
      </c>
      <c r="BS24">
        <v>24.74</v>
      </c>
      <c r="BT24" t="s">
        <v>1549</v>
      </c>
      <c r="BU24" t="s">
        <v>1862</v>
      </c>
      <c r="BV24">
        <v>30.51</v>
      </c>
      <c r="BW24">
        <v>38.31</v>
      </c>
      <c r="BX24">
        <v>38.299999999999997</v>
      </c>
      <c r="BY24">
        <v>10.81</v>
      </c>
      <c r="BZ24">
        <v>19.87</v>
      </c>
      <c r="CA24">
        <v>20.25</v>
      </c>
      <c r="CB24">
        <v>5.43</v>
      </c>
      <c r="CC24">
        <v>-16.190000000000001</v>
      </c>
      <c r="CD24" t="s">
        <v>2607</v>
      </c>
      <c r="CE24" t="s">
        <v>2608</v>
      </c>
      <c r="CF24" s="10">
        <v>0.91702679343128779</v>
      </c>
      <c r="CG24" s="11">
        <v>0.17704782805429864</v>
      </c>
      <c r="CH24" s="10">
        <v>0.95009642839431763</v>
      </c>
      <c r="CI24" s="10">
        <v>0.34022614359855652</v>
      </c>
      <c r="CJ24" s="10">
        <v>0.35448583960533142</v>
      </c>
      <c r="CK24" s="10">
        <v>0.58901244401931763</v>
      </c>
      <c r="CL24" s="10">
        <v>0.82487308979034424</v>
      </c>
      <c r="CM24" s="11">
        <v>6.0324825346469879E-2</v>
      </c>
      <c r="CN24" s="11">
        <v>0.34059098362922668</v>
      </c>
      <c r="CO24" s="11">
        <v>0.63197970390319824</v>
      </c>
      <c r="CP24" s="11">
        <v>0.58870965242385864</v>
      </c>
      <c r="CQ24" s="11">
        <v>0.45029240846633911</v>
      </c>
      <c r="CR24">
        <v>57.667477722772283</v>
      </c>
      <c r="CS24">
        <v>0.94268139853205379</v>
      </c>
      <c r="CT24">
        <v>0.9886751752651447</v>
      </c>
      <c r="CU24" s="10">
        <v>0.61173878908157353</v>
      </c>
      <c r="CV24" s="11">
        <v>0.41437951475381851</v>
      </c>
      <c r="CW24">
        <v>0.06</v>
      </c>
      <c r="CX24">
        <v>28.725097127417129</v>
      </c>
      <c r="CY24">
        <v>1389744578.5099607</v>
      </c>
      <c r="CZ24">
        <v>0.61173878908157353</v>
      </c>
      <c r="DA24">
        <v>6.2079202758597294</v>
      </c>
      <c r="DB24">
        <v>6430583226.9199753</v>
      </c>
      <c r="DC24">
        <v>0.58115184962749478</v>
      </c>
      <c r="DD24">
        <v>1.6279213239907318</v>
      </c>
      <c r="DE24">
        <v>24522406219.323704</v>
      </c>
      <c r="DF24">
        <v>0.53833013439178468</v>
      </c>
      <c r="DG24">
        <v>0.43430246266453459</v>
      </c>
      <c r="DH24">
        <v>91918769594.533859</v>
      </c>
      <c r="DI24">
        <v>0.48939103126525885</v>
      </c>
      <c r="DJ24">
        <v>2.9034264551380473E-2</v>
      </c>
      <c r="DK24">
        <v>1374946072057.5381</v>
      </c>
      <c r="DL24">
        <v>0.42821715235710145</v>
      </c>
      <c r="DM24">
        <v>914000000</v>
      </c>
      <c r="DN24">
        <v>0.61173878908157353</v>
      </c>
      <c r="DO24">
        <v>39920548000</v>
      </c>
      <c r="DP24">
        <v>4343148000</v>
      </c>
      <c r="DQ24">
        <v>2210</v>
      </c>
      <c r="DR24">
        <v>0.30528800434971426</v>
      </c>
      <c r="DS24">
        <v>-0.23733168669951987</v>
      </c>
      <c r="DT24" s="12">
        <v>0.49333333333333323</v>
      </c>
      <c r="DU24">
        <v>0.85333333333333339</v>
      </c>
      <c r="DV24">
        <v>1.3466666666666667</v>
      </c>
      <c r="DW24">
        <v>6.2511563367252547</v>
      </c>
      <c r="DX24">
        <v>0.51273283954924187</v>
      </c>
      <c r="DY24">
        <v>6.0509176373150959</v>
      </c>
      <c r="DZ24">
        <v>87</v>
      </c>
      <c r="EA24">
        <v>6.0500502328807091</v>
      </c>
      <c r="EB24">
        <v>6</v>
      </c>
      <c r="EC24">
        <v>4.6625723890885817E-2</v>
      </c>
      <c r="ED24">
        <v>0.2299860446613102</v>
      </c>
      <c r="EE24" s="13">
        <v>-3.0861999999999998</v>
      </c>
      <c r="EF24">
        <v>-3.0605000000000002</v>
      </c>
      <c r="EG24">
        <v>31.202732839549242</v>
      </c>
      <c r="EH24" t="s">
        <v>1202</v>
      </c>
      <c r="EI24">
        <v>0</v>
      </c>
      <c r="EJ24">
        <v>1</v>
      </c>
      <c r="EK24" s="14">
        <v>45490</v>
      </c>
      <c r="EL24">
        <v>3.07</v>
      </c>
      <c r="EM24">
        <v>0.28000000000000003</v>
      </c>
      <c r="EN24">
        <v>-0.7</v>
      </c>
      <c r="EO24">
        <v>5.44</v>
      </c>
      <c r="EP24">
        <v>-2.57</v>
      </c>
    </row>
    <row r="25" spans="1:146" ht="144" x14ac:dyDescent="0.25">
      <c r="A25" s="9" t="s">
        <v>970</v>
      </c>
      <c r="B25" s="9"/>
      <c r="C25" s="9" t="str">
        <f>"公司主要从事分布式光伏发电系统核心设备组串式逆变器研发、生产、销售和服务。公司的主要产品为组串式逆变器,是太阳能光伏发电系统不可缺少的核心设备。"&amp;CHAR(10)&amp;Basic_Fundamental_Information_Constructure(F25)&amp;CHAR(10)&amp;Basic_Fundamental_Information_Concatenate("（境外占比52%）
并网逆变器 18.10亿 74.13% 83.08% 24.92%
储能逆变器 2.98亿 12.21% 16.92% 30.82%")</f>
        <v>公司主要从事分布式光伏发电系统核心设备组串式逆变器研发、生产、销售和服务。公司的主要产品为组串式逆变器,是太阳能光伏发电系统不可缺少的核心设备。
市值239.17004亿, 利润7.79亿; PE50.3; 平均PE49.9; 平均PEG.96, PB3.07; ROIC14.15%; ROE22.8833%; 股利率.3351%; 毛利31.5367%; 净利15.0233%; 上一年度营收增3.58%, 利润增-26.51%; 当季营收增-15.54%, 利润增11.97%; 过往5年营收增52.08%, 利润增60.84%
Income profile:
（境外占比52%）
并网逆变器 18.10亿 74.13% 83.08% 24.92%
储能逆变器 2.98亿 12.21% 16.92% 30.82%</v>
      </c>
      <c r="D25" t="s">
        <v>565</v>
      </c>
      <c r="E25" t="s">
        <v>566</v>
      </c>
      <c r="F25">
        <v>59.69</v>
      </c>
      <c r="G25">
        <v>-3.6</v>
      </c>
      <c r="H25" t="s">
        <v>2609</v>
      </c>
      <c r="I25">
        <v>23917004000</v>
      </c>
      <c r="J25">
        <v>50.3</v>
      </c>
      <c r="K25">
        <v>3.07</v>
      </c>
      <c r="L25" t="s">
        <v>753</v>
      </c>
      <c r="M25" t="s">
        <v>1550</v>
      </c>
      <c r="N25" t="s">
        <v>1385</v>
      </c>
      <c r="O25" t="s">
        <v>415</v>
      </c>
      <c r="P25">
        <v>-15.56</v>
      </c>
      <c r="Q25" t="s">
        <v>1551</v>
      </c>
      <c r="R25">
        <v>362786200</v>
      </c>
      <c r="S25" s="6">
        <v>-0.93740000000000001</v>
      </c>
      <c r="T25" t="s">
        <v>25</v>
      </c>
      <c r="U25">
        <v>321534610</v>
      </c>
      <c r="V25">
        <v>400686950</v>
      </c>
      <c r="W25">
        <v>2.81</v>
      </c>
      <c r="X25">
        <v>0.06</v>
      </c>
      <c r="Y25">
        <v>1.45</v>
      </c>
      <c r="Z25" t="s">
        <v>2078</v>
      </c>
      <c r="AA25" t="s">
        <v>758</v>
      </c>
      <c r="AB25" t="s">
        <v>2079</v>
      </c>
      <c r="AC25" t="s">
        <v>2080</v>
      </c>
      <c r="AD25" t="s">
        <v>2</v>
      </c>
      <c r="AE25">
        <v>85759709</v>
      </c>
      <c r="AF25" t="s">
        <v>1552</v>
      </c>
      <c r="AG25" t="s">
        <v>2081</v>
      </c>
      <c r="AH25" t="s">
        <v>1553</v>
      </c>
      <c r="AI25" t="s">
        <v>441</v>
      </c>
      <c r="AJ25" t="s">
        <v>1554</v>
      </c>
      <c r="AK25" t="s">
        <v>2</v>
      </c>
      <c r="AL25" t="s">
        <v>1555</v>
      </c>
      <c r="AM25" t="s">
        <v>2</v>
      </c>
      <c r="AN25" t="s">
        <v>374</v>
      </c>
      <c r="AO25" t="s">
        <v>1461</v>
      </c>
      <c r="AP25" t="s">
        <v>2082</v>
      </c>
      <c r="AQ25" t="s">
        <v>2083</v>
      </c>
      <c r="AR25" t="s">
        <v>2084</v>
      </c>
      <c r="AS25" t="s">
        <v>2085</v>
      </c>
      <c r="AT25" t="s">
        <v>2086</v>
      </c>
      <c r="AU25" t="s">
        <v>2087</v>
      </c>
      <c r="AV25" t="s">
        <v>2088</v>
      </c>
      <c r="AW25" t="s">
        <v>683</v>
      </c>
      <c r="AX25" t="s">
        <v>1024</v>
      </c>
      <c r="AY25" t="s">
        <v>685</v>
      </c>
      <c r="AZ25" t="s">
        <v>567</v>
      </c>
      <c r="BA25" t="s">
        <v>470</v>
      </c>
      <c r="BB25" t="s">
        <v>213</v>
      </c>
      <c r="BC25" t="s">
        <v>936</v>
      </c>
      <c r="BD25" t="s">
        <v>341</v>
      </c>
      <c r="BE25" t="s">
        <v>190</v>
      </c>
      <c r="BF25" t="s">
        <v>55</v>
      </c>
      <c r="BG25" t="s">
        <v>24</v>
      </c>
      <c r="BH25" t="s">
        <v>1551</v>
      </c>
      <c r="BI25" t="s">
        <v>1241</v>
      </c>
      <c r="BJ25" t="s">
        <v>1024</v>
      </c>
      <c r="BK25" t="s">
        <v>25</v>
      </c>
      <c r="BL25" t="s">
        <v>236</v>
      </c>
      <c r="BM25" t="s">
        <v>936</v>
      </c>
      <c r="BN25">
        <v>6.65</v>
      </c>
      <c r="BO25">
        <v>18.239999999999998</v>
      </c>
      <c r="BP25">
        <v>17.559999999999999</v>
      </c>
      <c r="BQ25">
        <v>10.51</v>
      </c>
      <c r="BR25">
        <v>35.090000000000003</v>
      </c>
      <c r="BS25">
        <v>23.05</v>
      </c>
      <c r="BT25" t="s">
        <v>943</v>
      </c>
      <c r="BU25" t="s">
        <v>2034</v>
      </c>
      <c r="BV25">
        <v>32.380000000000003</v>
      </c>
      <c r="BW25">
        <v>33.520000000000003</v>
      </c>
      <c r="BX25">
        <v>28.71</v>
      </c>
      <c r="BY25">
        <v>12.77</v>
      </c>
      <c r="BZ25">
        <v>18</v>
      </c>
      <c r="CA25">
        <v>14.3</v>
      </c>
      <c r="CB25">
        <v>22.02</v>
      </c>
      <c r="CC25">
        <v>4.68</v>
      </c>
      <c r="CD25" t="s">
        <v>2610</v>
      </c>
      <c r="CE25" t="s">
        <v>189</v>
      </c>
      <c r="CF25" s="10">
        <v>-0.15538089480048367</v>
      </c>
      <c r="CG25" s="11">
        <v>0.11971049382716049</v>
      </c>
      <c r="CH25" s="10">
        <v>3.5823483020067215E-2</v>
      </c>
      <c r="CI25" s="10">
        <v>0.7783815860748291</v>
      </c>
      <c r="CJ25" s="10">
        <v>0.58925145864486694</v>
      </c>
      <c r="CK25" s="10">
        <v>0.82967507839202881</v>
      </c>
      <c r="CL25" s="10">
        <v>0.37063786387443542</v>
      </c>
      <c r="CM25" s="11">
        <v>-0.2650943398475647</v>
      </c>
      <c r="CN25" s="11">
        <v>1.2362868785858154</v>
      </c>
      <c r="CO25" s="11">
        <v>0.49056604504585266</v>
      </c>
      <c r="CP25" s="11">
        <v>1.5039370059967041</v>
      </c>
      <c r="CQ25" s="11">
        <v>7.6271183788776398E-2</v>
      </c>
      <c r="CR25">
        <v>49.896392211404731</v>
      </c>
      <c r="CS25">
        <v>0.95815687191549626</v>
      </c>
      <c r="CT25">
        <v>0.33506449991623388</v>
      </c>
      <c r="CU25" s="10">
        <v>0.5207538940012455</v>
      </c>
      <c r="CV25" s="11">
        <v>0.60839335471391676</v>
      </c>
      <c r="CW25">
        <v>0.06</v>
      </c>
      <c r="CX25">
        <v>26.805403242114259</v>
      </c>
      <c r="CY25">
        <v>1117610644.7424247</v>
      </c>
      <c r="CZ25">
        <v>0.5207538940012455</v>
      </c>
      <c r="DA25">
        <v>6.2003483708250489</v>
      </c>
      <c r="DB25">
        <v>4831664643.3873911</v>
      </c>
      <c r="DC25">
        <v>0.49471619930118321</v>
      </c>
      <c r="DD25">
        <v>1.8173537786059706</v>
      </c>
      <c r="DE25">
        <v>16484409558.924599</v>
      </c>
      <c r="DF25">
        <v>0.45826342672109605</v>
      </c>
      <c r="DG25">
        <v>0.56372816887981314</v>
      </c>
      <c r="DH25">
        <v>53142641531.519859</v>
      </c>
      <c r="DI25">
        <v>0.41660311520099641</v>
      </c>
      <c r="DJ25">
        <v>5.5319747926158874E-2</v>
      </c>
      <c r="DK25">
        <v>541542670078.47034</v>
      </c>
      <c r="DL25">
        <v>0.36452772580087184</v>
      </c>
      <c r="DM25">
        <v>779000000</v>
      </c>
      <c r="DN25">
        <v>0.5207538940012455</v>
      </c>
      <c r="DO25">
        <v>29958004000</v>
      </c>
      <c r="DP25">
        <v>-978252800</v>
      </c>
      <c r="DQ25">
        <v>2221</v>
      </c>
      <c r="DR25">
        <v>-0.67613478880172917</v>
      </c>
      <c r="DS25">
        <v>-0.48868286088675628</v>
      </c>
      <c r="DT25" s="12">
        <v>0.32666666666666661</v>
      </c>
      <c r="DU25">
        <v>0.5</v>
      </c>
      <c r="DV25">
        <v>0.82666666666666666</v>
      </c>
      <c r="DW25">
        <v>5.2125340599455043</v>
      </c>
      <c r="DX25">
        <v>0.46448262379421112</v>
      </c>
      <c r="DY25">
        <v>5.0647129282178431</v>
      </c>
      <c r="DZ25">
        <v>369</v>
      </c>
      <c r="EA25">
        <v>5.0600371752293203</v>
      </c>
      <c r="EB25">
        <v>5</v>
      </c>
      <c r="EC25">
        <v>0.23632938382445448</v>
      </c>
      <c r="ED25">
        <v>0.77616703014660193</v>
      </c>
      <c r="EE25" s="13">
        <v>1.1023000000000001</v>
      </c>
      <c r="EF25">
        <v>1.0663</v>
      </c>
      <c r="EG25">
        <v>16.304482623794211</v>
      </c>
      <c r="EH25" t="s">
        <v>958</v>
      </c>
      <c r="EI25">
        <v>1</v>
      </c>
      <c r="EJ25">
        <v>1</v>
      </c>
      <c r="EK25" s="14">
        <v>45490</v>
      </c>
      <c r="EL25">
        <v>6.95</v>
      </c>
      <c r="EM25">
        <v>12.21</v>
      </c>
      <c r="EN25">
        <v>2.11</v>
      </c>
      <c r="EO25">
        <v>3.29</v>
      </c>
      <c r="EP25">
        <v>-3.6</v>
      </c>
    </row>
    <row r="26" spans="1:146" ht="96" hidden="1" x14ac:dyDescent="0.25">
      <c r="A26" s="9"/>
      <c r="B26" s="9"/>
      <c r="C26" s="9" t="str">
        <f>""&amp;CHAR(10)&amp;Basic_Fundamental_Information_Constructure(F26)&amp;CHAR(10)&amp;Basic_Fundamental_Information_Concatenate("")</f>
        <v xml:space="preserve">
市值128.184933亿, 利润4.61亿; PE25.5; 平均PE36.64; 平均PEG.97, PB4.25; ROIC11.9567%; ROE15.9033%; 股利率.7456%; 毛利46.9633%; 净利30.01%; 上一年度营收增21.53%, 利润增12.17%; 当季营收增29.31%, 利润增44.48%; 过往5年营收增37.81%, 利润增25.21%
Income profile:
</v>
      </c>
      <c r="D26" t="s">
        <v>568</v>
      </c>
      <c r="E26" t="s">
        <v>569</v>
      </c>
      <c r="F26">
        <v>46.94</v>
      </c>
      <c r="G26">
        <v>-2.8</v>
      </c>
      <c r="H26" t="s">
        <v>2611</v>
      </c>
      <c r="I26">
        <v>12818493300</v>
      </c>
      <c r="J26">
        <v>25.5</v>
      </c>
      <c r="K26">
        <v>4.25</v>
      </c>
      <c r="L26" t="s">
        <v>753</v>
      </c>
      <c r="M26" t="s">
        <v>1558</v>
      </c>
      <c r="N26" t="s">
        <v>2089</v>
      </c>
      <c r="O26" t="s">
        <v>256</v>
      </c>
      <c r="P26">
        <v>29.6</v>
      </c>
      <c r="Q26" t="s">
        <v>990</v>
      </c>
      <c r="R26">
        <v>135077420</v>
      </c>
      <c r="S26" s="6">
        <v>0.44479999999999997</v>
      </c>
      <c r="T26" t="s">
        <v>772</v>
      </c>
      <c r="U26">
        <v>167122890</v>
      </c>
      <c r="V26">
        <v>273082520</v>
      </c>
      <c r="W26">
        <v>2.15</v>
      </c>
      <c r="X26">
        <v>7.0000000000000007E-2</v>
      </c>
      <c r="Y26">
        <v>29.98</v>
      </c>
      <c r="Z26" t="s">
        <v>236</v>
      </c>
      <c r="AA26" t="s">
        <v>85</v>
      </c>
      <c r="AB26" t="s">
        <v>2090</v>
      </c>
      <c r="AC26" t="s">
        <v>2091</v>
      </c>
      <c r="AD26" t="s">
        <v>2</v>
      </c>
      <c r="AE26">
        <v>-10959944</v>
      </c>
      <c r="AF26" t="s">
        <v>1560</v>
      </c>
      <c r="AG26" t="s">
        <v>2092</v>
      </c>
      <c r="AH26" t="s">
        <v>1561</v>
      </c>
      <c r="AI26" t="s">
        <v>296</v>
      </c>
      <c r="AJ26" t="s">
        <v>1562</v>
      </c>
      <c r="AK26" t="s">
        <v>2093</v>
      </c>
      <c r="AL26" t="s">
        <v>1563</v>
      </c>
      <c r="AM26" t="s">
        <v>2</v>
      </c>
      <c r="AN26" t="s">
        <v>39</v>
      </c>
      <c r="AO26" t="s">
        <v>2</v>
      </c>
      <c r="AP26" t="s">
        <v>2094</v>
      </c>
      <c r="AQ26" t="s">
        <v>776</v>
      </c>
      <c r="AR26" t="s">
        <v>2</v>
      </c>
      <c r="AS26" t="s">
        <v>1228</v>
      </c>
      <c r="AT26" t="s">
        <v>2</v>
      </c>
      <c r="AU26" t="s">
        <v>2095</v>
      </c>
      <c r="AV26" t="s">
        <v>2096</v>
      </c>
      <c r="AW26" t="s">
        <v>2097</v>
      </c>
      <c r="AX26" t="s">
        <v>929</v>
      </c>
      <c r="AY26" t="s">
        <v>455</v>
      </c>
      <c r="AZ26" t="s">
        <v>512</v>
      </c>
      <c r="BA26" t="s">
        <v>419</v>
      </c>
      <c r="BB26" t="s">
        <v>144</v>
      </c>
      <c r="BC26" t="s">
        <v>27</v>
      </c>
      <c r="BD26" t="s">
        <v>107</v>
      </c>
      <c r="BE26" t="s">
        <v>360</v>
      </c>
      <c r="BF26" t="s">
        <v>434</v>
      </c>
      <c r="BG26" t="s">
        <v>186</v>
      </c>
      <c r="BH26" t="s">
        <v>990</v>
      </c>
      <c r="BI26" t="s">
        <v>324</v>
      </c>
      <c r="BJ26" t="s">
        <v>929</v>
      </c>
      <c r="BK26" t="s">
        <v>772</v>
      </c>
      <c r="BL26" t="s">
        <v>1564</v>
      </c>
      <c r="BM26" t="s">
        <v>27</v>
      </c>
      <c r="BN26">
        <v>8.92</v>
      </c>
      <c r="BO26">
        <v>12.07</v>
      </c>
      <c r="BP26">
        <v>14.88</v>
      </c>
      <c r="BQ26">
        <v>12.06</v>
      </c>
      <c r="BR26">
        <v>16.63</v>
      </c>
      <c r="BS26">
        <v>19.02</v>
      </c>
      <c r="BT26" t="s">
        <v>946</v>
      </c>
      <c r="BU26" t="s">
        <v>1862</v>
      </c>
      <c r="BV26">
        <v>48.38</v>
      </c>
      <c r="BW26">
        <v>47.09</v>
      </c>
      <c r="BX26">
        <v>45.42</v>
      </c>
      <c r="BY26">
        <v>28.66</v>
      </c>
      <c r="BZ26">
        <v>31.05</v>
      </c>
      <c r="CA26">
        <v>30.32</v>
      </c>
      <c r="CB26">
        <v>2.94</v>
      </c>
      <c r="CC26">
        <v>-10.16</v>
      </c>
      <c r="CD26" t="s">
        <v>2612</v>
      </c>
      <c r="CE26" t="s">
        <v>32</v>
      </c>
      <c r="CF26" s="10">
        <v>0.29310344827586204</v>
      </c>
      <c r="CG26" s="11">
        <v>0.44484517997800815</v>
      </c>
      <c r="CH26" s="10">
        <v>0.21525675058364868</v>
      </c>
      <c r="CI26" s="10">
        <v>5.330156534910202E-2</v>
      </c>
      <c r="CJ26" s="10">
        <v>0.17257456481456757</v>
      </c>
      <c r="CK26" s="10">
        <v>0.53142857551574707</v>
      </c>
      <c r="CL26" s="10">
        <v>0.91780823469161987</v>
      </c>
      <c r="CM26" s="11">
        <v>0.12165450304746628</v>
      </c>
      <c r="CN26" s="11">
        <v>7.8740157186985016E-2</v>
      </c>
      <c r="CO26" s="11">
        <v>2.1447721868753433E-2</v>
      </c>
      <c r="CP26" s="11">
        <v>0.22295081615447998</v>
      </c>
      <c r="CQ26" s="11">
        <v>0.8154761791229248</v>
      </c>
      <c r="CR26">
        <v>36.64171500714626</v>
      </c>
      <c r="CS26">
        <v>0.96916796705096486</v>
      </c>
      <c r="CT26">
        <v>0.74563272262462721</v>
      </c>
      <c r="CU26" s="10">
        <v>0.37807393819093704</v>
      </c>
      <c r="CV26" s="11">
        <v>0.2520538754761219</v>
      </c>
      <c r="CW26">
        <v>0.06</v>
      </c>
      <c r="CX26">
        <v>22.454148608883909</v>
      </c>
      <c r="CY26">
        <v>599332156.13775659</v>
      </c>
      <c r="CZ26">
        <v>0.37807393819093704</v>
      </c>
      <c r="DA26">
        <v>5.798351477241253</v>
      </c>
      <c r="DB26">
        <v>2320917135.2963281</v>
      </c>
      <c r="DC26">
        <v>0.35917024128139019</v>
      </c>
      <c r="DD26">
        <v>2.0250599037618215</v>
      </c>
      <c r="DE26">
        <v>6645479116.4453421</v>
      </c>
      <c r="DF26">
        <v>0.3327050656080246</v>
      </c>
      <c r="DG26">
        <v>0.79391915902269694</v>
      </c>
      <c r="DH26">
        <v>16950709838.727133</v>
      </c>
      <c r="DI26">
        <v>0.30245915055274963</v>
      </c>
      <c r="DJ26">
        <v>0.14253315698894459</v>
      </c>
      <c r="DK26">
        <v>94416580564.786163</v>
      </c>
      <c r="DL26">
        <v>0.26465175673365593</v>
      </c>
      <c r="DM26">
        <v>461000000.00000006</v>
      </c>
      <c r="DN26">
        <v>0.37807393819093704</v>
      </c>
      <c r="DO26">
        <v>13457493300</v>
      </c>
      <c r="DP26">
        <v>3424459100</v>
      </c>
      <c r="DQ26">
        <v>2233</v>
      </c>
      <c r="DR26">
        <v>-8.4970489915074998E-2</v>
      </c>
      <c r="DS26">
        <v>0.19279130450188625</v>
      </c>
      <c r="DT26" s="12">
        <v>0.17666666666666667</v>
      </c>
      <c r="DU26">
        <v>0.53666666666666663</v>
      </c>
      <c r="DV26">
        <v>0.71333333333333326</v>
      </c>
      <c r="DW26">
        <v>6.2244274809160309</v>
      </c>
      <c r="DX26">
        <v>0.39402530120481938</v>
      </c>
      <c r="DY26">
        <v>6.0413003347742116</v>
      </c>
      <c r="DZ26">
        <v>492</v>
      </c>
      <c r="EA26">
        <v>6.0373215282911668</v>
      </c>
      <c r="EB26">
        <v>6</v>
      </c>
      <c r="EC26">
        <v>0.11186435514070985</v>
      </c>
      <c r="ED26">
        <v>0.60787486507741328</v>
      </c>
      <c r="EE26" s="13">
        <v>-1.0344</v>
      </c>
      <c r="EF26">
        <v>-1.0064</v>
      </c>
      <c r="EG26">
        <v>21.184025301204819</v>
      </c>
      <c r="EH26" t="s">
        <v>959</v>
      </c>
      <c r="EI26">
        <v>0</v>
      </c>
      <c r="EJ26">
        <v>1</v>
      </c>
      <c r="EK26" s="14">
        <v>45490</v>
      </c>
      <c r="EL26">
        <v>1.1599999999999999</v>
      </c>
      <c r="EM26">
        <v>1.63</v>
      </c>
      <c r="EN26">
        <v>2.2000000000000002</v>
      </c>
      <c r="EO26">
        <v>0.79</v>
      </c>
      <c r="EP26">
        <v>-2.8</v>
      </c>
    </row>
    <row r="27" spans="1:146" ht="132" x14ac:dyDescent="0.25">
      <c r="A27" s="9"/>
      <c r="B27" s="9"/>
      <c r="C27" s="9" t="str">
        <f>"公司的主营业务是电力电子设备的研发、生产、销售；公司的主要产品包括光伏逆变器、有源滤波器及储能双向变流器等。"&amp;CHAR(10)&amp;Basic_Fundamental_Information_Constructure(F27)&amp;CHAR(10)&amp;Basic_Fundamental_Information_Concatenate("光伏逆变器 3.47亿 82.30% 86.49% 20.82%
储能双向变流器及系统集成产品 3805.81万 9.03% 13.10% 28.73%")</f>
        <v>公司的主营业务是电力电子设备的研发、生产、销售；公司的主要产品包括光伏逆变器、有源滤波器及储能双向变流器等。
市值95.166757亿, 利润2.86亿; PE31.68; 平均PE86.7; 平均PEG1.72, PB5.25; ROIC7.5467%; ROE10.4367%; 股利率.3762%; 毛利20.3767%; 净利4.8867%; 上一年度营收增110.9%, 利润增250.64%; 当季营收增14.68%, 利润增39.91%; 过往5年营收增50.32%, 利润增55.17%
Income profile:
光伏逆变器 3.47亿 82.30% 86.49% 20.82%
储能双向变流器及系统集成产品 3805.81万 9.03% 13.10% 28.73%</v>
      </c>
      <c r="D27" t="s">
        <v>570</v>
      </c>
      <c r="E27" t="s">
        <v>571</v>
      </c>
      <c r="F27">
        <v>26.58</v>
      </c>
      <c r="G27">
        <v>2.39</v>
      </c>
      <c r="H27" t="s">
        <v>2613</v>
      </c>
      <c r="I27">
        <v>9516675700</v>
      </c>
      <c r="J27">
        <v>31.68</v>
      </c>
      <c r="K27">
        <v>5.25</v>
      </c>
      <c r="L27" t="s">
        <v>753</v>
      </c>
      <c r="M27" t="s">
        <v>1263</v>
      </c>
      <c r="N27" t="s">
        <v>768</v>
      </c>
      <c r="O27" t="s">
        <v>1451</v>
      </c>
      <c r="P27">
        <v>14.71</v>
      </c>
      <c r="Q27" t="s">
        <v>1236</v>
      </c>
      <c r="R27">
        <v>51088665</v>
      </c>
      <c r="S27" s="6">
        <v>0.39910000000000001</v>
      </c>
      <c r="T27" t="s">
        <v>104</v>
      </c>
      <c r="U27">
        <v>260602630</v>
      </c>
      <c r="V27">
        <v>358038970</v>
      </c>
      <c r="W27">
        <v>3.43</v>
      </c>
      <c r="X27">
        <v>0.11</v>
      </c>
      <c r="Y27">
        <v>7.11</v>
      </c>
      <c r="Z27" t="s">
        <v>834</v>
      </c>
      <c r="AA27" t="s">
        <v>202</v>
      </c>
      <c r="AB27" t="s">
        <v>2098</v>
      </c>
      <c r="AC27" t="s">
        <v>2099</v>
      </c>
      <c r="AD27" t="s">
        <v>2</v>
      </c>
      <c r="AE27">
        <v>1710755</v>
      </c>
      <c r="AF27" t="s">
        <v>1565</v>
      </c>
      <c r="AG27">
        <v>0</v>
      </c>
      <c r="AH27" t="s">
        <v>1566</v>
      </c>
      <c r="AI27" t="s">
        <v>2100</v>
      </c>
      <c r="AJ27" t="s">
        <v>1567</v>
      </c>
      <c r="AK27" t="s">
        <v>29</v>
      </c>
      <c r="AL27" t="s">
        <v>1568</v>
      </c>
      <c r="AM27" t="s">
        <v>2</v>
      </c>
      <c r="AN27" t="s">
        <v>2101</v>
      </c>
      <c r="AO27" t="s">
        <v>348</v>
      </c>
      <c r="AP27" t="s">
        <v>2102</v>
      </c>
      <c r="AQ27" t="s">
        <v>418</v>
      </c>
      <c r="AR27" t="s">
        <v>2</v>
      </c>
      <c r="AS27" t="s">
        <v>1535</v>
      </c>
      <c r="AT27" t="s">
        <v>218</v>
      </c>
      <c r="AU27" t="s">
        <v>2103</v>
      </c>
      <c r="AV27" t="s">
        <v>2104</v>
      </c>
      <c r="AW27" t="s">
        <v>1240</v>
      </c>
      <c r="AX27" t="s">
        <v>439</v>
      </c>
      <c r="AY27" t="s">
        <v>346</v>
      </c>
      <c r="AZ27" t="s">
        <v>368</v>
      </c>
      <c r="BA27" t="s">
        <v>478</v>
      </c>
      <c r="BB27" t="s">
        <v>396</v>
      </c>
      <c r="BC27" t="s">
        <v>1025</v>
      </c>
      <c r="BD27" t="s">
        <v>798</v>
      </c>
      <c r="BE27" t="s">
        <v>572</v>
      </c>
      <c r="BF27" t="s">
        <v>573</v>
      </c>
      <c r="BG27" t="s">
        <v>574</v>
      </c>
      <c r="BH27" t="s">
        <v>1236</v>
      </c>
      <c r="BI27" t="s">
        <v>2473</v>
      </c>
      <c r="BJ27" t="s">
        <v>439</v>
      </c>
      <c r="BK27" t="s">
        <v>104</v>
      </c>
      <c r="BL27" t="s">
        <v>2474</v>
      </c>
      <c r="BM27" t="s">
        <v>1025</v>
      </c>
      <c r="BN27">
        <v>9.3800000000000008</v>
      </c>
      <c r="BO27">
        <v>6.94</v>
      </c>
      <c r="BP27">
        <v>6.32</v>
      </c>
      <c r="BQ27">
        <v>15.93</v>
      </c>
      <c r="BR27">
        <v>8.58</v>
      </c>
      <c r="BS27">
        <v>6.8</v>
      </c>
      <c r="BT27" t="s">
        <v>939</v>
      </c>
      <c r="BU27" t="s">
        <v>2034</v>
      </c>
      <c r="BV27">
        <v>19.23</v>
      </c>
      <c r="BW27">
        <v>17.29</v>
      </c>
      <c r="BX27">
        <v>24.61</v>
      </c>
      <c r="BY27">
        <v>5.78</v>
      </c>
      <c r="BZ27">
        <v>3.49</v>
      </c>
      <c r="CA27">
        <v>5.39</v>
      </c>
      <c r="CB27">
        <v>18.239999999999998</v>
      </c>
      <c r="CC27">
        <v>-4.7300000000000004</v>
      </c>
      <c r="CD27" t="s">
        <v>2614</v>
      </c>
      <c r="CE27" t="s">
        <v>185</v>
      </c>
      <c r="CF27" s="10">
        <v>0.14677419354838708</v>
      </c>
      <c r="CG27" s="11">
        <v>0.39905317033896914</v>
      </c>
      <c r="CH27" s="10">
        <v>1.1090209484100342</v>
      </c>
      <c r="CI27" s="10">
        <v>1.1419414281845093</v>
      </c>
      <c r="CJ27" s="10">
        <v>8.7649405002593994E-2</v>
      </c>
      <c r="CK27" s="10">
        <v>8.7757311761379242E-2</v>
      </c>
      <c r="CL27" s="10">
        <v>8.9728452265262604E-2</v>
      </c>
      <c r="CM27" s="11">
        <v>2.5064103603363037</v>
      </c>
      <c r="CN27" s="11">
        <v>0.38459143042564392</v>
      </c>
      <c r="CO27" s="11">
        <v>-0.23942850530147552</v>
      </c>
      <c r="CP27" s="11">
        <v>-7.620566338300705E-2</v>
      </c>
      <c r="CQ27" s="11">
        <v>0.18321239948272705</v>
      </c>
      <c r="CR27">
        <v>86.695086534064302</v>
      </c>
      <c r="CS27">
        <v>1.722808535083469</v>
      </c>
      <c r="CT27">
        <v>0.3762227238525207</v>
      </c>
      <c r="CU27" s="10">
        <v>0.50321950912475588</v>
      </c>
      <c r="CV27" s="11">
        <v>0.55171600431203838</v>
      </c>
      <c r="CW27">
        <v>0.06</v>
      </c>
      <c r="CX27">
        <v>31.745886426776231</v>
      </c>
      <c r="CY27">
        <v>405585641.1412077</v>
      </c>
      <c r="CZ27">
        <v>0.50321950912475588</v>
      </c>
      <c r="DA27">
        <v>7.4414132189628788</v>
      </c>
      <c r="DB27">
        <v>1730272909.3432205</v>
      </c>
      <c r="DC27">
        <v>0.47805853366851808</v>
      </c>
      <c r="DD27">
        <v>2.2285758978413392</v>
      </c>
      <c r="DE27">
        <v>5777535201.9519453</v>
      </c>
      <c r="DF27">
        <v>0.44283316802978517</v>
      </c>
      <c r="DG27">
        <v>0.71164750212113537</v>
      </c>
      <c r="DH27">
        <v>18092771578.095592</v>
      </c>
      <c r="DI27">
        <v>0.40257560729980474</v>
      </c>
      <c r="DJ27">
        <v>7.5232398483549456E-2</v>
      </c>
      <c r="DK27">
        <v>171145357047.40869</v>
      </c>
      <c r="DL27">
        <v>0.35225365638732908</v>
      </c>
      <c r="DM27">
        <v>286000000</v>
      </c>
      <c r="DN27">
        <v>0.50321950912475588</v>
      </c>
      <c r="DO27">
        <v>12875675700</v>
      </c>
      <c r="DP27">
        <v>1264349300</v>
      </c>
      <c r="DQ27">
        <v>2282</v>
      </c>
      <c r="DR27">
        <v>-0.35644531557636883</v>
      </c>
      <c r="DS27">
        <v>-0.15266283397306923</v>
      </c>
      <c r="DT27" s="12">
        <v>0.19333333333333327</v>
      </c>
      <c r="DU27">
        <v>0.6366666666666666</v>
      </c>
      <c r="DV27">
        <v>0.82999999999999985</v>
      </c>
      <c r="DW27">
        <v>5.2593201754385968</v>
      </c>
      <c r="DX27">
        <v>0.61825339805825141</v>
      </c>
      <c r="DY27">
        <v>5.0851227287727818</v>
      </c>
      <c r="DZ27">
        <v>366</v>
      </c>
      <c r="EA27">
        <v>5.0790222943238224</v>
      </c>
      <c r="EB27">
        <v>5</v>
      </c>
      <c r="EC27">
        <v>0.18886268162373498</v>
      </c>
      <c r="ED27">
        <v>0.57535636414103186</v>
      </c>
      <c r="EE27" s="13">
        <v>-1.0501</v>
      </c>
      <c r="EF27">
        <v>-1.0740000000000001</v>
      </c>
      <c r="EG27">
        <v>29.328253398058251</v>
      </c>
      <c r="EH27" t="s">
        <v>959</v>
      </c>
      <c r="EI27">
        <v>1</v>
      </c>
      <c r="EJ27">
        <v>1</v>
      </c>
      <c r="EK27" s="14">
        <v>45490</v>
      </c>
      <c r="EL27">
        <v>8.99</v>
      </c>
      <c r="EM27">
        <v>5.8</v>
      </c>
      <c r="EN27">
        <v>-0.46</v>
      </c>
      <c r="EO27">
        <v>0.62</v>
      </c>
      <c r="EP27">
        <v>2.39</v>
      </c>
    </row>
    <row r="28" spans="1:146" ht="96" hidden="1" x14ac:dyDescent="0.25">
      <c r="A28" s="9" t="s">
        <v>700</v>
      </c>
      <c r="B28" s="9" t="s">
        <v>1199</v>
      </c>
      <c r="C28" s="9" t="str">
        <f>"公司主要产品为高温银浆："&amp;CHAR(10)&amp;Basic_Fundamental_Information_Constructure(F28)&amp;CHAR(10)&amp;Basic_Fundamental_Information_Concatenate("光伏导电银浆 15.80亿 99.93%（毛利13.30%）")</f>
        <v>公司主要产品为高温银浆：
市值54.35241亿, 利润3.86亿; PE11.44; 平均PE48.58; 平均PEG.7, PB3.8; ROIC9.045%; ROE12.0333%; 股利率2.0709%; 毛利10%; 净利2.2367%; 上一年度营收增154.92%, 利润增2338.59%; 当季营收增135.4%, 利润增103.71%; 过往5年营收增68.92%, 利润增455.5%
Income profile:
光伏导电银浆 15.80亿 99.93%（毛利13.30%）</v>
      </c>
      <c r="D28" t="s">
        <v>575</v>
      </c>
      <c r="E28" t="s">
        <v>576</v>
      </c>
      <c r="F28">
        <v>38.630000000000003</v>
      </c>
      <c r="G28">
        <v>-0.64</v>
      </c>
      <c r="H28" t="s">
        <v>2615</v>
      </c>
      <c r="I28">
        <v>5435241000</v>
      </c>
      <c r="J28">
        <v>11.44</v>
      </c>
      <c r="K28">
        <v>3.8</v>
      </c>
      <c r="L28" t="s">
        <v>753</v>
      </c>
      <c r="M28" t="s">
        <v>1569</v>
      </c>
      <c r="N28" t="s">
        <v>43</v>
      </c>
      <c r="O28" t="s">
        <v>1570</v>
      </c>
      <c r="P28">
        <v>135.38</v>
      </c>
      <c r="Q28" t="s">
        <v>1571</v>
      </c>
      <c r="R28">
        <v>175728980</v>
      </c>
      <c r="S28" s="6">
        <v>1.0369999999999999</v>
      </c>
      <c r="T28" t="s">
        <v>406</v>
      </c>
      <c r="U28">
        <v>125102624</v>
      </c>
      <c r="V28">
        <v>140700000</v>
      </c>
      <c r="W28">
        <v>5.21</v>
      </c>
      <c r="X28">
        <v>0.51</v>
      </c>
      <c r="Y28">
        <v>4.76</v>
      </c>
      <c r="Z28" t="s">
        <v>1040</v>
      </c>
      <c r="AA28" t="s">
        <v>2105</v>
      </c>
      <c r="AB28" t="s">
        <v>2106</v>
      </c>
      <c r="AC28" t="s">
        <v>2107</v>
      </c>
      <c r="AD28" t="s">
        <v>2</v>
      </c>
      <c r="AE28">
        <v>17534272</v>
      </c>
      <c r="AF28" t="s">
        <v>1572</v>
      </c>
      <c r="AG28" t="s">
        <v>2108</v>
      </c>
      <c r="AH28" t="s">
        <v>1573</v>
      </c>
      <c r="AI28" t="s">
        <v>2109</v>
      </c>
      <c r="AJ28" t="s">
        <v>1574</v>
      </c>
      <c r="AK28" t="s">
        <v>1576</v>
      </c>
      <c r="AL28" t="s">
        <v>1575</v>
      </c>
      <c r="AM28" t="s">
        <v>2</v>
      </c>
      <c r="AN28" t="s">
        <v>2110</v>
      </c>
      <c r="AO28" t="s">
        <v>1534</v>
      </c>
      <c r="AP28" t="s">
        <v>1180</v>
      </c>
      <c r="AQ28" t="s">
        <v>303</v>
      </c>
      <c r="AR28" t="s">
        <v>2</v>
      </c>
      <c r="AS28" t="s">
        <v>2111</v>
      </c>
      <c r="AT28" t="s">
        <v>2</v>
      </c>
      <c r="AU28" t="s">
        <v>406</v>
      </c>
      <c r="AV28" t="s">
        <v>2112</v>
      </c>
      <c r="AW28" t="s">
        <v>1452</v>
      </c>
      <c r="AX28" t="s">
        <v>1027</v>
      </c>
      <c r="AY28" t="s">
        <v>799</v>
      </c>
      <c r="AZ28" t="s">
        <v>577</v>
      </c>
      <c r="BA28" t="s">
        <v>53</v>
      </c>
      <c r="BB28" t="s">
        <v>283</v>
      </c>
      <c r="BC28" t="s">
        <v>1577</v>
      </c>
      <c r="BD28" t="s">
        <v>909</v>
      </c>
      <c r="BE28" t="s">
        <v>578</v>
      </c>
      <c r="BF28" t="s">
        <v>579</v>
      </c>
      <c r="BG28" t="s">
        <v>580</v>
      </c>
      <c r="BH28" t="s">
        <v>1571</v>
      </c>
      <c r="BI28" t="s">
        <v>2475</v>
      </c>
      <c r="BJ28" t="s">
        <v>1027</v>
      </c>
      <c r="BK28" t="s">
        <v>406</v>
      </c>
      <c r="BL28" t="s">
        <v>2476</v>
      </c>
      <c r="BM28" t="s">
        <v>1577</v>
      </c>
      <c r="BN28">
        <v>11.65</v>
      </c>
      <c r="BO28" t="s">
        <v>2</v>
      </c>
      <c r="BP28">
        <v>6.44</v>
      </c>
      <c r="BQ28">
        <v>27.33</v>
      </c>
      <c r="BR28">
        <v>-1.87</v>
      </c>
      <c r="BS28">
        <v>10.64</v>
      </c>
      <c r="BT28" t="s">
        <v>1578</v>
      </c>
      <c r="BU28" t="s">
        <v>1868</v>
      </c>
      <c r="BV28">
        <v>11.14</v>
      </c>
      <c r="BW28">
        <v>8.8000000000000007</v>
      </c>
      <c r="BX28">
        <v>10.06</v>
      </c>
      <c r="BY28">
        <v>3.93</v>
      </c>
      <c r="BZ28">
        <v>-0.56000000000000005</v>
      </c>
      <c r="CA28">
        <v>3.34</v>
      </c>
      <c r="CB28">
        <v>0.08</v>
      </c>
      <c r="CC28">
        <v>-20</v>
      </c>
      <c r="CD28" t="s">
        <v>2616</v>
      </c>
      <c r="CE28" t="s">
        <v>166</v>
      </c>
      <c r="CF28" s="10">
        <v>1.3540051679586564</v>
      </c>
      <c r="CG28" s="11">
        <v>1.0371138729268508</v>
      </c>
      <c r="CH28" s="10">
        <v>1.5492434501647949</v>
      </c>
      <c r="CI28" s="10">
        <v>0.33866378664970398</v>
      </c>
      <c r="CJ28" s="10">
        <v>0.77876114845275879</v>
      </c>
      <c r="CK28" s="10">
        <v>0.21785983443260193</v>
      </c>
      <c r="CL28" s="10">
        <v>0.56129813194274902</v>
      </c>
      <c r="CM28" s="11">
        <v>23.385896682739258</v>
      </c>
      <c r="CN28" s="11">
        <v>-1.1835616827011108</v>
      </c>
      <c r="CO28" s="11">
        <v>0.14435017108917236</v>
      </c>
      <c r="CP28" s="11">
        <v>0.16098472476005554</v>
      </c>
      <c r="CQ28" s="11">
        <v>0.26743879914283752</v>
      </c>
      <c r="CR28">
        <v>48.581820836222768</v>
      </c>
      <c r="CS28">
        <v>0.70493715989292449</v>
      </c>
      <c r="CT28">
        <v>2.0709293295366296</v>
      </c>
      <c r="CU28" s="10">
        <v>0.68916527032852171</v>
      </c>
      <c r="CV28" s="11">
        <v>4.5550217390060421</v>
      </c>
      <c r="CW28">
        <v>0.06</v>
      </c>
      <c r="CX28">
        <v>15.334206438362868</v>
      </c>
      <c r="CY28">
        <v>615111126.74227297</v>
      </c>
      <c r="CZ28">
        <v>0.68916527032852171</v>
      </c>
      <c r="DA28">
        <v>3.1320194558379439</v>
      </c>
      <c r="DB28">
        <v>3011552492.8872089</v>
      </c>
      <c r="DC28">
        <v>0.65470700681209559</v>
      </c>
      <c r="DD28">
        <v>0.74771045051841811</v>
      </c>
      <c r="DE28">
        <v>12614831039.823294</v>
      </c>
      <c r="DF28">
        <v>0.60646543788909912</v>
      </c>
      <c r="DG28">
        <v>0.17557017703350569</v>
      </c>
      <c r="DH28">
        <v>53723480601.149918</v>
      </c>
      <c r="DI28">
        <v>0.55133221626281737</v>
      </c>
      <c r="DJ28">
        <v>8.51227159887177E-3</v>
      </c>
      <c r="DK28">
        <v>1108075663522.0808</v>
      </c>
      <c r="DL28">
        <v>0.48241568922996514</v>
      </c>
      <c r="DM28">
        <v>386000000</v>
      </c>
      <c r="DN28">
        <v>0.68916527032852171</v>
      </c>
      <c r="DO28">
        <v>9432241000</v>
      </c>
      <c r="DP28">
        <v>964267000</v>
      </c>
      <c r="DQ28">
        <v>2297</v>
      </c>
      <c r="DR28">
        <v>0.66483989763013474</v>
      </c>
      <c r="DS28">
        <v>-3.5179078660791916</v>
      </c>
      <c r="DT28" s="12">
        <v>0.52666666666666662</v>
      </c>
      <c r="DU28">
        <v>0.24</v>
      </c>
      <c r="DV28">
        <v>0.76666666666666661</v>
      </c>
      <c r="DW28">
        <v>-3.0452380952380951</v>
      </c>
      <c r="DX28">
        <v>0.43420275229357785</v>
      </c>
      <c r="DY28">
        <v>-3.0078806006989951</v>
      </c>
      <c r="DZ28">
        <v>429</v>
      </c>
      <c r="EA28">
        <v>-3.0072186117231055</v>
      </c>
      <c r="EB28">
        <v>3</v>
      </c>
      <c r="EC28">
        <v>0.13495451314854301</v>
      </c>
      <c r="ED28">
        <v>0.77469793887704341</v>
      </c>
      <c r="EE28" s="13">
        <v>2.8400000000000002E-2</v>
      </c>
      <c r="EF28">
        <v>2.2000000000000002E-2</v>
      </c>
      <c r="EG28">
        <v>26.174202752293578</v>
      </c>
      <c r="EH28" t="s">
        <v>833</v>
      </c>
      <c r="EI28">
        <v>0</v>
      </c>
      <c r="EJ28">
        <v>1</v>
      </c>
      <c r="EK28" s="14">
        <v>45490</v>
      </c>
      <c r="EL28">
        <v>3.81</v>
      </c>
      <c r="EM28">
        <v>-0.2</v>
      </c>
      <c r="EN28">
        <v>-3.48</v>
      </c>
      <c r="EO28">
        <v>0.73</v>
      </c>
      <c r="EP28">
        <v>-0.64</v>
      </c>
    </row>
    <row r="29" spans="1:146" ht="96" hidden="1" x14ac:dyDescent="0.25">
      <c r="A29" s="9"/>
      <c r="B29" s="9"/>
      <c r="C29" s="9" t="str">
        <f>""&amp;CHAR(10)&amp;Basic_Fundamental_Information_Constructure(F29)&amp;CHAR(10)&amp;Basic_Fundamental_Information_Concatenate("")</f>
        <v xml:space="preserve">
市值32.076亿, 利润1.65亿; PE19.61; 平均PE33.94; 平均PEG2.14, PB1.5; ROIC6.26%; ROE8.0333%; 股利率.6285%; 毛利18.0067%; 净利9.0067%; 上一年度营收增23.3%, 利润增42.24%; 当季营收增24.32%, 利润增-3.77%; 过往5年营收增15.88%, 利润增1150.3%
Income profile:
</v>
      </c>
      <c r="D29" t="s">
        <v>731</v>
      </c>
      <c r="E29" t="s">
        <v>732</v>
      </c>
      <c r="F29">
        <v>26.73</v>
      </c>
      <c r="G29">
        <v>0.04</v>
      </c>
      <c r="H29" t="s">
        <v>2617</v>
      </c>
      <c r="I29">
        <v>3207600000</v>
      </c>
      <c r="J29">
        <v>19.61</v>
      </c>
      <c r="K29">
        <v>1.5</v>
      </c>
      <c r="L29" t="s">
        <v>753</v>
      </c>
      <c r="M29" t="s">
        <v>896</v>
      </c>
      <c r="N29" t="s">
        <v>473</v>
      </c>
      <c r="O29" t="s">
        <v>452</v>
      </c>
      <c r="P29">
        <v>24.2</v>
      </c>
      <c r="Q29" t="s">
        <v>353</v>
      </c>
      <c r="R29">
        <v>35777066</v>
      </c>
      <c r="S29" s="6">
        <v>-3.7699999999999997E-2</v>
      </c>
      <c r="T29" t="s">
        <v>131</v>
      </c>
      <c r="U29">
        <v>49653000</v>
      </c>
      <c r="V29">
        <v>120000000</v>
      </c>
      <c r="W29">
        <v>1.54</v>
      </c>
      <c r="X29">
        <v>0.12</v>
      </c>
      <c r="Y29">
        <v>9.6199999999999992</v>
      </c>
      <c r="Z29" t="s">
        <v>69</v>
      </c>
      <c r="AA29" t="s">
        <v>19</v>
      </c>
      <c r="AB29" t="s">
        <v>2113</v>
      </c>
      <c r="AC29" t="s">
        <v>2114</v>
      </c>
      <c r="AD29" t="s">
        <v>2</v>
      </c>
      <c r="AE29">
        <v>-2995767</v>
      </c>
      <c r="AF29" t="s">
        <v>1582</v>
      </c>
      <c r="AG29" t="s">
        <v>2115</v>
      </c>
      <c r="AH29" t="s">
        <v>1583</v>
      </c>
      <c r="AI29" t="s">
        <v>222</v>
      </c>
      <c r="AJ29" t="s">
        <v>1584</v>
      </c>
      <c r="AK29" t="s">
        <v>84</v>
      </c>
      <c r="AL29" t="s">
        <v>1585</v>
      </c>
      <c r="AM29" t="s">
        <v>2</v>
      </c>
      <c r="AN29" t="s">
        <v>2116</v>
      </c>
      <c r="AO29" t="s">
        <v>2117</v>
      </c>
      <c r="AP29" t="s">
        <v>461</v>
      </c>
      <c r="AQ29" t="s">
        <v>157</v>
      </c>
      <c r="AR29" t="s">
        <v>2</v>
      </c>
      <c r="AS29" t="s">
        <v>2118</v>
      </c>
      <c r="AT29" t="s">
        <v>2</v>
      </c>
      <c r="AU29" t="s">
        <v>2119</v>
      </c>
      <c r="AV29" t="s">
        <v>2120</v>
      </c>
      <c r="AW29" t="s">
        <v>2121</v>
      </c>
      <c r="AX29" t="s">
        <v>937</v>
      </c>
      <c r="AY29" t="s">
        <v>450</v>
      </c>
      <c r="AZ29" t="s">
        <v>230</v>
      </c>
      <c r="BA29" t="s">
        <v>395</v>
      </c>
      <c r="BB29" t="s">
        <v>42</v>
      </c>
      <c r="BC29" t="s">
        <v>98</v>
      </c>
      <c r="BD29" t="s">
        <v>800</v>
      </c>
      <c r="BE29" t="s">
        <v>733</v>
      </c>
      <c r="BF29" t="s">
        <v>80</v>
      </c>
      <c r="BG29" t="s">
        <v>734</v>
      </c>
      <c r="BH29" t="s">
        <v>353</v>
      </c>
      <c r="BI29" t="s">
        <v>246</v>
      </c>
      <c r="BJ29" t="s">
        <v>937</v>
      </c>
      <c r="BK29" t="s">
        <v>131</v>
      </c>
      <c r="BL29" t="s">
        <v>2477</v>
      </c>
      <c r="BM29" t="s">
        <v>98</v>
      </c>
      <c r="BN29">
        <v>6.62</v>
      </c>
      <c r="BO29">
        <v>5.52</v>
      </c>
      <c r="BP29">
        <v>6.64</v>
      </c>
      <c r="BQ29">
        <v>7.2</v>
      </c>
      <c r="BR29">
        <v>6.12</v>
      </c>
      <c r="BS29">
        <v>10.78</v>
      </c>
      <c r="BT29" t="s">
        <v>1372</v>
      </c>
      <c r="BU29" t="s">
        <v>1868</v>
      </c>
      <c r="BV29">
        <v>22.9</v>
      </c>
      <c r="BW29">
        <v>15.72</v>
      </c>
      <c r="BX29">
        <v>15.4</v>
      </c>
      <c r="BY29">
        <v>10.71</v>
      </c>
      <c r="BZ29">
        <v>9.27</v>
      </c>
      <c r="CA29">
        <v>7.04</v>
      </c>
      <c r="CB29">
        <v>3.2</v>
      </c>
      <c r="CC29">
        <v>-17.809999999999999</v>
      </c>
      <c r="CD29" t="s">
        <v>2618</v>
      </c>
      <c r="CE29" t="s">
        <v>2619</v>
      </c>
      <c r="CF29" s="10">
        <v>0.24316109422492402</v>
      </c>
      <c r="CG29" s="11">
        <v>-3.7658504832275785E-2</v>
      </c>
      <c r="CH29" s="10">
        <v>0.2329864501953125</v>
      </c>
      <c r="CI29" s="10">
        <v>0.10335683077573776</v>
      </c>
      <c r="CJ29" s="10">
        <v>0.34282323718070984</v>
      </c>
      <c r="CK29" s="10">
        <v>2.0581113174557686E-2</v>
      </c>
      <c r="CL29" s="10">
        <v>9.4039738178253174E-2</v>
      </c>
      <c r="CM29" s="11">
        <v>0.42241379618644714</v>
      </c>
      <c r="CN29" s="11">
        <v>0.45444697141647339</v>
      </c>
      <c r="CO29" s="11">
        <v>-0.17249275743961334</v>
      </c>
      <c r="CP29" s="11">
        <v>-0.10758978128433228</v>
      </c>
      <c r="CQ29" s="11">
        <v>56.918163299560547</v>
      </c>
      <c r="CR29">
        <v>33.942833197295805</v>
      </c>
      <c r="CS29">
        <v>2.1380305672084865</v>
      </c>
      <c r="CT29">
        <v>0.62850729517396176</v>
      </c>
      <c r="CU29" s="10">
        <v>0.15875747390091419</v>
      </c>
      <c r="CV29" s="11">
        <v>11.502988305687904</v>
      </c>
      <c r="CW29">
        <v>0.06</v>
      </c>
      <c r="CX29">
        <v>12.067241312828637</v>
      </c>
      <c r="CY29">
        <v>180372625.65438756</v>
      </c>
      <c r="CZ29">
        <v>0.15875747390091419</v>
      </c>
      <c r="DA29">
        <v>3.7221418823196291</v>
      </c>
      <c r="DB29">
        <v>584770830.56370449</v>
      </c>
      <c r="DC29">
        <v>0.15081960020586846</v>
      </c>
      <c r="DD29">
        <v>1.6928342784388144</v>
      </c>
      <c r="DE29">
        <v>1285772640.4307749</v>
      </c>
      <c r="DF29">
        <v>0.13970657703280448</v>
      </c>
      <c r="DG29">
        <v>0.92719926276538656</v>
      </c>
      <c r="DH29">
        <v>2347499709.5103979</v>
      </c>
      <c r="DI29">
        <v>0.12700597912073136</v>
      </c>
      <c r="DJ29">
        <v>0.38773775197285232</v>
      </c>
      <c r="DK29">
        <v>5613588021.607955</v>
      </c>
      <c r="DL29">
        <v>0.11113023173063992</v>
      </c>
      <c r="DM29">
        <v>165000000</v>
      </c>
      <c r="DN29">
        <v>0.15875747390091419</v>
      </c>
      <c r="DO29">
        <v>2176600000</v>
      </c>
      <c r="DP29">
        <v>1481941700</v>
      </c>
      <c r="DQ29">
        <v>2595</v>
      </c>
      <c r="DR29">
        <v>8.4403620324009831E-2</v>
      </c>
      <c r="DS29">
        <v>-11.54064681052018</v>
      </c>
      <c r="DT29" s="12">
        <v>-0.14000000000000001</v>
      </c>
      <c r="DU29">
        <v>0.70166666666666666</v>
      </c>
      <c r="DV29">
        <v>0.56166666666666665</v>
      </c>
      <c r="DW29">
        <v>6.1523084245597337</v>
      </c>
      <c r="DX29">
        <v>0.45640535991944331</v>
      </c>
      <c r="DY29">
        <v>6.0344834436812098</v>
      </c>
      <c r="DZ29">
        <v>681</v>
      </c>
      <c r="EA29">
        <v>6.0298852010442596</v>
      </c>
      <c r="EB29">
        <v>6</v>
      </c>
      <c r="EC29">
        <v>0.10605166666666666</v>
      </c>
      <c r="ED29">
        <v>0.46841499999999991</v>
      </c>
      <c r="EE29" s="13">
        <v>6.1710000000000008E-2</v>
      </c>
      <c r="EF29">
        <v>6.1310000000000003E-2</v>
      </c>
      <c r="EG29">
        <v>23.226405359919443</v>
      </c>
      <c r="EH29">
        <v>-1</v>
      </c>
      <c r="EI29">
        <v>0</v>
      </c>
      <c r="EJ29">
        <v>1</v>
      </c>
      <c r="EK29" s="14">
        <v>45490</v>
      </c>
      <c r="EL29">
        <v>3.24</v>
      </c>
      <c r="EM29">
        <v>2.73</v>
      </c>
      <c r="EN29">
        <v>-3.24</v>
      </c>
      <c r="EO29">
        <v>0.53</v>
      </c>
      <c r="EP29">
        <v>0.04</v>
      </c>
    </row>
    <row r="30" spans="1:146" ht="96" hidden="1" x14ac:dyDescent="0.25">
      <c r="A30" s="9"/>
      <c r="B30" s="9"/>
      <c r="C30" s="9" t="str">
        <f>""&amp;CHAR(10)&amp;Basic_Fundamental_Information_Constructure(F30)&amp;CHAR(10)&amp;Basic_Fundamental_Information_Concatenate("")</f>
        <v xml:space="preserve">
市值31.377003亿, 利润1.51亿; PE20.94; 平均PE38.45; 平均PEG.98, PB2.02; ROIC7.85%; ROE10.08%; 股利率.8949%; 毛利11.9967%; 净利5.57%; 上一年度营收增37.34%, 利润增51%; 当季营收增26.35%, 利润增-4.18%; 过往5年营收增39.17%, 利润增37.36%
Income profile:
</v>
      </c>
      <c r="D30" t="s">
        <v>866</v>
      </c>
      <c r="E30" t="s">
        <v>867</v>
      </c>
      <c r="F30">
        <v>30.17</v>
      </c>
      <c r="G30">
        <v>-3.39</v>
      </c>
      <c r="H30" t="s">
        <v>2620</v>
      </c>
      <c r="I30">
        <v>3137700300</v>
      </c>
      <c r="J30">
        <v>20.94</v>
      </c>
      <c r="K30">
        <v>2.02</v>
      </c>
      <c r="L30" t="s">
        <v>753</v>
      </c>
      <c r="M30" t="s">
        <v>678</v>
      </c>
      <c r="N30" t="s">
        <v>2122</v>
      </c>
      <c r="O30" t="s">
        <v>419</v>
      </c>
      <c r="P30">
        <v>26.19</v>
      </c>
      <c r="Q30" t="s">
        <v>1586</v>
      </c>
      <c r="R30">
        <v>34618032</v>
      </c>
      <c r="S30" s="6">
        <v>-4.1799999999999997E-2</v>
      </c>
      <c r="T30" t="s">
        <v>136</v>
      </c>
      <c r="U30">
        <v>37500674</v>
      </c>
      <c r="V30">
        <v>104000674</v>
      </c>
      <c r="W30">
        <v>2</v>
      </c>
      <c r="X30">
        <v>0.22</v>
      </c>
      <c r="Y30">
        <v>4.95</v>
      </c>
      <c r="Z30" t="s">
        <v>483</v>
      </c>
      <c r="AA30" t="s">
        <v>143</v>
      </c>
      <c r="AB30" t="s">
        <v>2123</v>
      </c>
      <c r="AC30" t="s">
        <v>2124</v>
      </c>
      <c r="AD30" t="s">
        <v>2</v>
      </c>
      <c r="AE30">
        <v>5132042</v>
      </c>
      <c r="AF30" t="s">
        <v>1587</v>
      </c>
      <c r="AG30" t="s">
        <v>2125</v>
      </c>
      <c r="AH30" t="s">
        <v>1588</v>
      </c>
      <c r="AI30" t="s">
        <v>227</v>
      </c>
      <c r="AJ30" t="s">
        <v>1589</v>
      </c>
      <c r="AK30" t="s">
        <v>385</v>
      </c>
      <c r="AL30" t="s">
        <v>1590</v>
      </c>
      <c r="AM30" t="s">
        <v>2</v>
      </c>
      <c r="AN30" t="s">
        <v>2126</v>
      </c>
      <c r="AO30" t="s">
        <v>378</v>
      </c>
      <c r="AP30" t="s">
        <v>212</v>
      </c>
      <c r="AQ30" t="s">
        <v>110</v>
      </c>
      <c r="AR30" t="s">
        <v>2</v>
      </c>
      <c r="AS30" t="s">
        <v>923</v>
      </c>
      <c r="AT30" t="s">
        <v>1591</v>
      </c>
      <c r="AU30" t="s">
        <v>2127</v>
      </c>
      <c r="AV30" t="s">
        <v>2128</v>
      </c>
      <c r="AW30" t="s">
        <v>2129</v>
      </c>
      <c r="AX30" t="s">
        <v>380</v>
      </c>
      <c r="AY30" t="s">
        <v>781</v>
      </c>
      <c r="AZ30" t="s">
        <v>441</v>
      </c>
      <c r="BA30" t="s">
        <v>113</v>
      </c>
      <c r="BB30" t="s">
        <v>276</v>
      </c>
      <c r="BC30" t="s">
        <v>73</v>
      </c>
      <c r="BD30" t="s">
        <v>868</v>
      </c>
      <c r="BE30" t="s">
        <v>869</v>
      </c>
      <c r="BF30" t="s">
        <v>870</v>
      </c>
      <c r="BG30" t="s">
        <v>871</v>
      </c>
      <c r="BH30" t="s">
        <v>1586</v>
      </c>
      <c r="BI30" t="s">
        <v>93</v>
      </c>
      <c r="BJ30" t="s">
        <v>380</v>
      </c>
      <c r="BK30" t="s">
        <v>136</v>
      </c>
      <c r="BL30" t="s">
        <v>2478</v>
      </c>
      <c r="BM30" t="s">
        <v>73</v>
      </c>
      <c r="BN30">
        <v>5.63</v>
      </c>
      <c r="BO30">
        <v>8.15</v>
      </c>
      <c r="BP30">
        <v>9.77</v>
      </c>
      <c r="BQ30">
        <v>8.17</v>
      </c>
      <c r="BR30">
        <v>9.8000000000000007</v>
      </c>
      <c r="BS30">
        <v>12.27</v>
      </c>
      <c r="BT30" t="s">
        <v>1001</v>
      </c>
      <c r="BU30" t="s">
        <v>1868</v>
      </c>
      <c r="BV30">
        <v>11.22</v>
      </c>
      <c r="BW30">
        <v>11.21</v>
      </c>
      <c r="BX30">
        <v>13.56</v>
      </c>
      <c r="BY30">
        <v>5.48</v>
      </c>
      <c r="BZ30">
        <v>4.99</v>
      </c>
      <c r="CA30">
        <v>6.24</v>
      </c>
      <c r="CB30">
        <v>-8.93</v>
      </c>
      <c r="CC30">
        <v>-19.91</v>
      </c>
      <c r="CD30" t="s">
        <v>2621</v>
      </c>
      <c r="CE30" t="s">
        <v>2622</v>
      </c>
      <c r="CF30" s="10">
        <v>0.26353790613718414</v>
      </c>
      <c r="CG30" s="11">
        <v>-4.1765775640865949E-2</v>
      </c>
      <c r="CH30" s="10">
        <v>0.37344592809677124</v>
      </c>
      <c r="CI30" s="10">
        <v>0.62308311462402344</v>
      </c>
      <c r="CJ30" s="10">
        <v>0.51282060146331787</v>
      </c>
      <c r="CK30" s="10">
        <v>0.36046510934829712</v>
      </c>
      <c r="CL30" s="10">
        <v>8.860759437084198E-2</v>
      </c>
      <c r="CM30" s="11">
        <v>0.50999999046325684</v>
      </c>
      <c r="CN30" s="11">
        <v>0.29397067427635193</v>
      </c>
      <c r="CO30" s="11">
        <v>-2.2347131744027138E-2</v>
      </c>
      <c r="CP30" s="11">
        <v>0.61220121383666992</v>
      </c>
      <c r="CQ30" s="11">
        <v>0.47431358695030212</v>
      </c>
      <c r="CR30">
        <v>38.450835192778037</v>
      </c>
      <c r="CS30">
        <v>0.98167883025703584</v>
      </c>
      <c r="CT30">
        <v>0.89492873715611532</v>
      </c>
      <c r="CU30" s="10">
        <v>0.39168446958065034</v>
      </c>
      <c r="CV30" s="11">
        <v>0.37362766675651071</v>
      </c>
      <c r="CW30">
        <v>0.06</v>
      </c>
      <c r="CX30">
        <v>14.929177228639894</v>
      </c>
      <c r="CY30">
        <v>198249391.4213945</v>
      </c>
      <c r="CZ30">
        <v>0.39168446958065034</v>
      </c>
      <c r="DA30">
        <v>3.8141779690766913</v>
      </c>
      <c r="DB30">
        <v>775973309.05785263</v>
      </c>
      <c r="DC30">
        <v>0.37210024610161779</v>
      </c>
      <c r="DD30">
        <v>1.3100421065016181</v>
      </c>
      <c r="DE30">
        <v>2259240588.7652621</v>
      </c>
      <c r="DF30">
        <v>0.3446823332309723</v>
      </c>
      <c r="DG30">
        <v>0.5024025363257143</v>
      </c>
      <c r="DH30">
        <v>5891093467.8904295</v>
      </c>
      <c r="DI30">
        <v>0.31334757566452032</v>
      </c>
      <c r="DJ30">
        <v>8.5194638028378761E-2</v>
      </c>
      <c r="DK30">
        <v>34740452785.468834</v>
      </c>
      <c r="DL30">
        <v>0.27417912870645522</v>
      </c>
      <c r="DM30">
        <v>151000000</v>
      </c>
      <c r="DN30">
        <v>0.39168446958065034</v>
      </c>
      <c r="DO30">
        <v>2959700300</v>
      </c>
      <c r="DP30">
        <v>1761353700</v>
      </c>
      <c r="DQ30">
        <v>2674</v>
      </c>
      <c r="DR30">
        <v>-0.1281465634434662</v>
      </c>
      <c r="DS30">
        <v>-0.41539344239737663</v>
      </c>
      <c r="DT30" s="12">
        <v>0.27666666666666662</v>
      </c>
      <c r="DU30">
        <v>0.65</v>
      </c>
      <c r="DV30">
        <v>0.92666666666666664</v>
      </c>
      <c r="DW30">
        <v>-9.4485183324962332</v>
      </c>
      <c r="DX30">
        <v>0.54669319830071927</v>
      </c>
      <c r="DY30">
        <v>-9.1330723385648138</v>
      </c>
      <c r="DZ30">
        <v>289</v>
      </c>
      <c r="EA30">
        <v>-9.1255419085970768</v>
      </c>
      <c r="EB30">
        <v>9</v>
      </c>
      <c r="EC30">
        <v>0.2830962422416608</v>
      </c>
      <c r="ED30">
        <v>0.95417170084878489</v>
      </c>
      <c r="EE30" s="13">
        <v>5.0205099999999998</v>
      </c>
      <c r="EF30">
        <v>5.0544099999999998</v>
      </c>
      <c r="EG30">
        <v>25.296693198300719</v>
      </c>
      <c r="EH30" t="s">
        <v>2552</v>
      </c>
      <c r="EI30">
        <v>0</v>
      </c>
      <c r="EJ30">
        <v>1</v>
      </c>
      <c r="EK30" s="14">
        <v>45490</v>
      </c>
      <c r="EL30">
        <v>-2.63</v>
      </c>
      <c r="EM30">
        <v>-0.74</v>
      </c>
      <c r="EN30">
        <v>-3.69</v>
      </c>
      <c r="EO30">
        <v>1.26</v>
      </c>
      <c r="EP30">
        <v>-3.39</v>
      </c>
    </row>
    <row r="31" spans="1:146" ht="96" hidden="1" x14ac:dyDescent="0.25">
      <c r="A31" s="9"/>
      <c r="B31" s="9"/>
      <c r="C31" s="9" t="str">
        <f>""&amp;CHAR(10)&amp;Basic_Fundamental_Information_Constructure(F31)&amp;CHAR(10)&amp;Basic_Fundamental_Information_Concatenate("")</f>
        <v xml:space="preserve">
市值26.471654亿, 利润1.94亿; PE13.58; 平均PE30.96; 平均PEG.91, PB2.16; ROIC15.8667%; ROE17.05%; 股利率.9443%; 毛利20.1267%; 净利11.55%; 上一年度营收增16.82%, 利润增64.41%; 当季营收增-15.13%, 利润增3.6%; 过往5年营收增34.17%, 利润增47.1%
Income profile:
</v>
      </c>
      <c r="D31" t="s">
        <v>899</v>
      </c>
      <c r="E31" t="s">
        <v>900</v>
      </c>
      <c r="F31">
        <v>31.77</v>
      </c>
      <c r="G31">
        <v>-0.41</v>
      </c>
      <c r="H31" t="s">
        <v>2623</v>
      </c>
      <c r="I31">
        <v>2647165400</v>
      </c>
      <c r="J31">
        <v>13.58</v>
      </c>
      <c r="K31">
        <v>2.16</v>
      </c>
      <c r="L31" t="s">
        <v>753</v>
      </c>
      <c r="M31" t="s">
        <v>422</v>
      </c>
      <c r="N31" t="s">
        <v>2131</v>
      </c>
      <c r="O31" t="s">
        <v>109</v>
      </c>
      <c r="P31">
        <v>-15.33</v>
      </c>
      <c r="Q31" t="s">
        <v>1592</v>
      </c>
      <c r="R31">
        <v>39872200</v>
      </c>
      <c r="S31" s="6">
        <v>3.5999999999999997E-2</v>
      </c>
      <c r="T31" t="s">
        <v>29</v>
      </c>
      <c r="U31">
        <v>33728500</v>
      </c>
      <c r="V31">
        <v>83322800</v>
      </c>
      <c r="W31">
        <v>1.41</v>
      </c>
      <c r="X31">
        <v>0.15</v>
      </c>
      <c r="Y31">
        <v>15.48</v>
      </c>
      <c r="Z31" t="s">
        <v>167</v>
      </c>
      <c r="AA31" t="s">
        <v>185</v>
      </c>
      <c r="AB31" t="s">
        <v>2132</v>
      </c>
      <c r="AC31" t="s">
        <v>2133</v>
      </c>
      <c r="AD31" t="s">
        <v>2</v>
      </c>
      <c r="AE31">
        <v>-2659424</v>
      </c>
      <c r="AF31" t="s">
        <v>1593</v>
      </c>
      <c r="AG31" t="s">
        <v>2134</v>
      </c>
      <c r="AH31" t="s">
        <v>1594</v>
      </c>
      <c r="AI31" t="s">
        <v>99</v>
      </c>
      <c r="AJ31" t="s">
        <v>1595</v>
      </c>
      <c r="AK31" t="s">
        <v>88</v>
      </c>
      <c r="AL31" t="s">
        <v>1596</v>
      </c>
      <c r="AM31" t="s">
        <v>2</v>
      </c>
      <c r="AN31" t="s">
        <v>2135</v>
      </c>
      <c r="AO31" t="s">
        <v>2</v>
      </c>
      <c r="AP31" t="s">
        <v>170</v>
      </c>
      <c r="AQ31" t="s">
        <v>158</v>
      </c>
      <c r="AR31" t="s">
        <v>2</v>
      </c>
      <c r="AS31" t="s">
        <v>240</v>
      </c>
      <c r="AT31" t="s">
        <v>2</v>
      </c>
      <c r="AU31" t="s">
        <v>92</v>
      </c>
      <c r="AV31" t="s">
        <v>986</v>
      </c>
      <c r="AW31" t="s">
        <v>2136</v>
      </c>
      <c r="AX31" t="s">
        <v>925</v>
      </c>
      <c r="AY31" t="s">
        <v>728</v>
      </c>
      <c r="AZ31" t="s">
        <v>437</v>
      </c>
      <c r="BA31" t="s">
        <v>18</v>
      </c>
      <c r="BB31" t="s">
        <v>434</v>
      </c>
      <c r="BC31" t="s">
        <v>24</v>
      </c>
      <c r="BD31" t="s">
        <v>901</v>
      </c>
      <c r="BE31" t="s">
        <v>902</v>
      </c>
      <c r="BF31" t="s">
        <v>903</v>
      </c>
      <c r="BG31" t="s">
        <v>904</v>
      </c>
      <c r="BH31" t="s">
        <v>1592</v>
      </c>
      <c r="BI31" t="s">
        <v>237</v>
      </c>
      <c r="BJ31" t="s">
        <v>925</v>
      </c>
      <c r="BK31" t="s">
        <v>29</v>
      </c>
      <c r="BL31" t="s">
        <v>2479</v>
      </c>
      <c r="BM31" t="s">
        <v>24</v>
      </c>
      <c r="BN31">
        <v>12.97</v>
      </c>
      <c r="BO31">
        <v>16.73</v>
      </c>
      <c r="BP31">
        <v>17.899999999999999</v>
      </c>
      <c r="BQ31">
        <v>13.66</v>
      </c>
      <c r="BR31">
        <v>19.29</v>
      </c>
      <c r="BS31">
        <v>18.2</v>
      </c>
      <c r="BT31" t="s">
        <v>948</v>
      </c>
      <c r="BU31" t="s">
        <v>1868</v>
      </c>
      <c r="BV31">
        <v>23.34</v>
      </c>
      <c r="BW31">
        <v>18.68</v>
      </c>
      <c r="BX31">
        <v>18.36</v>
      </c>
      <c r="BY31">
        <v>15.07</v>
      </c>
      <c r="BZ31">
        <v>10.77</v>
      </c>
      <c r="CA31">
        <v>8.81</v>
      </c>
      <c r="CB31">
        <v>1.08</v>
      </c>
      <c r="CC31">
        <v>-16.2</v>
      </c>
      <c r="CD31" t="s">
        <v>2624</v>
      </c>
      <c r="CE31" t="s">
        <v>2625</v>
      </c>
      <c r="CF31" s="10">
        <v>-0.15131578947368421</v>
      </c>
      <c r="CG31" s="11">
        <v>3.6010216622538407E-2</v>
      </c>
      <c r="CH31" s="10">
        <v>0.16818176209926605</v>
      </c>
      <c r="CI31" s="10">
        <v>0.4945652186870575</v>
      </c>
      <c r="CJ31" s="10">
        <v>0.46322068572044373</v>
      </c>
      <c r="CK31" s="10">
        <v>0.4249291718006134</v>
      </c>
      <c r="CL31" s="10">
        <v>0.15737704932689667</v>
      </c>
      <c r="CM31" s="11">
        <v>0.64406782388687134</v>
      </c>
      <c r="CN31" s="11">
        <v>0.81955558061599731</v>
      </c>
      <c r="CO31" s="11">
        <v>1.7644124105572701E-2</v>
      </c>
      <c r="CP31" s="11">
        <v>0.53587311506271362</v>
      </c>
      <c r="CQ31" s="11">
        <v>0.33779025077819824</v>
      </c>
      <c r="CR31">
        <v>30.95586365692553</v>
      </c>
      <c r="CS31">
        <v>0.90605680625941987</v>
      </c>
      <c r="CT31">
        <v>0.94428706326723322</v>
      </c>
      <c r="CU31" s="10">
        <v>0.34165477752685547</v>
      </c>
      <c r="CV31" s="11">
        <v>0.47098617888987065</v>
      </c>
      <c r="CW31">
        <v>0.06</v>
      </c>
      <c r="CX31">
        <v>7.7995516947391277</v>
      </c>
      <c r="CY31">
        <v>245548138.52849996</v>
      </c>
      <c r="CZ31">
        <v>0.34165477752685547</v>
      </c>
      <c r="DA31">
        <v>2.0729363486779584</v>
      </c>
      <c r="DB31">
        <v>923890114.24370134</v>
      </c>
      <c r="DC31">
        <v>0.32457203865051271</v>
      </c>
      <c r="DD31">
        <v>0.75696649724472675</v>
      </c>
      <c r="DE31">
        <v>2530053056.4707785</v>
      </c>
      <c r="DF31">
        <v>0.30065620422363282</v>
      </c>
      <c r="DG31">
        <v>0.31463723575296421</v>
      </c>
      <c r="DH31">
        <v>6086900030.8141603</v>
      </c>
      <c r="DI31">
        <v>0.27332382202148436</v>
      </c>
      <c r="DJ31">
        <v>6.5711897283963552E-2</v>
      </c>
      <c r="DK31">
        <v>29144880594.817039</v>
      </c>
      <c r="DL31">
        <v>0.23915834426879881</v>
      </c>
      <c r="DM31">
        <v>194000000</v>
      </c>
      <c r="DN31">
        <v>0.34165477752685547</v>
      </c>
      <c r="DO31">
        <v>1915165400</v>
      </c>
      <c r="DP31">
        <v>752561510</v>
      </c>
      <c r="DQ31">
        <v>2683</v>
      </c>
      <c r="DR31">
        <v>-0.49297056700053965</v>
      </c>
      <c r="DS31">
        <v>-0.43497596226733226</v>
      </c>
      <c r="DT31" s="12">
        <v>0.22666666666666657</v>
      </c>
      <c r="DU31">
        <v>0.85</v>
      </c>
      <c r="DV31">
        <v>1.0766666666666667</v>
      </c>
      <c r="DW31">
        <v>-3.0022619047619048</v>
      </c>
      <c r="DX31">
        <v>0.48213847447597247</v>
      </c>
      <c r="DY31">
        <v>-3.0005024560732196</v>
      </c>
      <c r="DZ31">
        <v>199</v>
      </c>
      <c r="EA31">
        <v>-3.0004828773071006</v>
      </c>
      <c r="EB31">
        <v>3</v>
      </c>
      <c r="EC31">
        <v>8.5597219488543347E-2</v>
      </c>
      <c r="ED31">
        <v>0.38533270605404524</v>
      </c>
      <c r="EE31" s="13">
        <v>3.0339999999999998</v>
      </c>
      <c r="EF31">
        <v>3.0299</v>
      </c>
      <c r="EG31">
        <v>26.222138474475972</v>
      </c>
      <c r="EH31" t="s">
        <v>2480</v>
      </c>
      <c r="EI31">
        <v>0</v>
      </c>
      <c r="EJ31">
        <v>1</v>
      </c>
      <c r="EK31" s="14">
        <v>45490</v>
      </c>
      <c r="EL31">
        <v>3.91</v>
      </c>
      <c r="EM31">
        <v>1.56</v>
      </c>
      <c r="EN31">
        <v>-4.3099999999999996</v>
      </c>
      <c r="EO31">
        <v>0.5</v>
      </c>
      <c r="EP31">
        <v>-0.41</v>
      </c>
    </row>
    <row r="32" spans="1:146" ht="96" hidden="1" x14ac:dyDescent="0.25">
      <c r="A32" s="9"/>
      <c r="B32" s="9"/>
      <c r="C32" s="9" t="str">
        <f>""&amp;CHAR(10)&amp;Basic_Fundamental_Information_Constructure(F32)&amp;CHAR(10)&amp;Basic_Fundamental_Information_Concatenate("")</f>
        <v xml:space="preserve">
市值59.52147亿, 利润-4.26亿; PE; 平均PE-35.31; 平均PEG-4.5, PB1.21; ROIC.89%; ROE-.2067%; 股利率0%; 毛利8.05%; 净利-2.01%; 上一年度营收增4.79%, 利润增-309.62%; 当季营收增-39.46%, 利润增-24.8%; 过往5年营收增7.85%, 利润增-515.37%
Income profile:
</v>
      </c>
      <c r="D32" t="s">
        <v>581</v>
      </c>
      <c r="E32" t="s">
        <v>582</v>
      </c>
      <c r="F32">
        <v>4.1500000000000004</v>
      </c>
      <c r="G32">
        <v>0</v>
      </c>
      <c r="H32" t="s">
        <v>2626</v>
      </c>
      <c r="I32">
        <v>5952147000</v>
      </c>
      <c r="K32">
        <v>1.21</v>
      </c>
      <c r="L32" t="s">
        <v>753</v>
      </c>
      <c r="M32" t="s">
        <v>1602</v>
      </c>
      <c r="N32" t="s">
        <v>2137</v>
      </c>
      <c r="O32" t="s">
        <v>1524</v>
      </c>
      <c r="P32">
        <v>-39.46</v>
      </c>
      <c r="Q32" t="s">
        <v>1603</v>
      </c>
      <c r="R32">
        <v>-29250000</v>
      </c>
      <c r="S32" s="6">
        <v>-1.036</v>
      </c>
      <c r="T32" t="s">
        <v>1230</v>
      </c>
      <c r="U32">
        <v>1434252300</v>
      </c>
      <c r="V32">
        <v>1434252300</v>
      </c>
      <c r="W32">
        <v>2.0099999999999998</v>
      </c>
      <c r="X32">
        <v>0.13</v>
      </c>
      <c r="Y32">
        <v>-4.03</v>
      </c>
      <c r="Z32" t="s">
        <v>2481</v>
      </c>
      <c r="AA32" t="s">
        <v>2482</v>
      </c>
      <c r="AB32" t="s">
        <v>2268</v>
      </c>
      <c r="AC32" t="s">
        <v>2483</v>
      </c>
      <c r="AD32" t="s">
        <v>2</v>
      </c>
      <c r="AE32">
        <v>2757473</v>
      </c>
      <c r="AF32" t="s">
        <v>1604</v>
      </c>
      <c r="AG32" t="s">
        <v>2138</v>
      </c>
      <c r="AH32" t="s">
        <v>1605</v>
      </c>
      <c r="AI32" t="s">
        <v>2139</v>
      </c>
      <c r="AJ32" t="s">
        <v>1606</v>
      </c>
      <c r="AK32" t="s">
        <v>2484</v>
      </c>
      <c r="AL32" t="s">
        <v>1607</v>
      </c>
      <c r="AM32" t="s">
        <v>2</v>
      </c>
      <c r="AN32" t="s">
        <v>186</v>
      </c>
      <c r="AO32" t="s">
        <v>68</v>
      </c>
      <c r="AP32" t="s">
        <v>250</v>
      </c>
      <c r="AQ32" t="s">
        <v>2140</v>
      </c>
      <c r="AR32" t="s">
        <v>2</v>
      </c>
      <c r="AS32" t="s">
        <v>2485</v>
      </c>
      <c r="AT32" t="s">
        <v>2486</v>
      </c>
      <c r="AU32" t="s">
        <v>1728</v>
      </c>
      <c r="AV32" t="s">
        <v>2141</v>
      </c>
      <c r="AW32" t="s">
        <v>2142</v>
      </c>
      <c r="AX32" t="s">
        <v>1030</v>
      </c>
      <c r="AY32" t="s">
        <v>2487</v>
      </c>
      <c r="AZ32" t="s">
        <v>583</v>
      </c>
      <c r="BA32" t="s">
        <v>584</v>
      </c>
      <c r="BB32" t="s">
        <v>585</v>
      </c>
      <c r="BC32" t="s">
        <v>835</v>
      </c>
      <c r="BD32" t="s">
        <v>2488</v>
      </c>
      <c r="BE32" t="s">
        <v>67</v>
      </c>
      <c r="BF32" t="s">
        <v>2489</v>
      </c>
      <c r="BG32" t="s">
        <v>2490</v>
      </c>
      <c r="BH32" t="s">
        <v>1603</v>
      </c>
      <c r="BI32" t="s">
        <v>2491</v>
      </c>
      <c r="BJ32" t="s">
        <v>1030</v>
      </c>
      <c r="BK32" t="s">
        <v>1230</v>
      </c>
      <c r="BL32" t="s">
        <v>2492</v>
      </c>
      <c r="BM32" t="s">
        <v>835</v>
      </c>
      <c r="BN32">
        <v>0.26</v>
      </c>
      <c r="BO32" t="s">
        <v>2</v>
      </c>
      <c r="BP32">
        <v>1.52</v>
      </c>
      <c r="BQ32">
        <v>0.21</v>
      </c>
      <c r="BR32">
        <v>-1.93</v>
      </c>
      <c r="BS32">
        <v>1.1000000000000001</v>
      </c>
      <c r="BT32" t="s">
        <v>940</v>
      </c>
      <c r="BU32" t="s">
        <v>1882</v>
      </c>
      <c r="BV32">
        <v>7.36</v>
      </c>
      <c r="BW32">
        <v>7.77</v>
      </c>
      <c r="BX32">
        <v>9.02</v>
      </c>
      <c r="BY32">
        <v>-5.34</v>
      </c>
      <c r="BZ32">
        <v>-1.53</v>
      </c>
      <c r="CA32">
        <v>0.84</v>
      </c>
      <c r="CB32">
        <v>1.72</v>
      </c>
      <c r="CC32">
        <v>-14.61</v>
      </c>
      <c r="CD32" t="s">
        <v>2627</v>
      </c>
      <c r="CE32" t="s">
        <v>2628</v>
      </c>
      <c r="CF32" s="10">
        <v>-0.39461103867883529</v>
      </c>
      <c r="CG32" s="11">
        <v>-0.24799467522271884</v>
      </c>
      <c r="CH32" s="10">
        <v>4.7932833433151245E-2</v>
      </c>
      <c r="CI32" s="10">
        <v>0.3990146815776825</v>
      </c>
      <c r="CJ32" s="10">
        <v>3.2824553549289703E-2</v>
      </c>
      <c r="CK32" s="10">
        <v>-0.11823443323373795</v>
      </c>
      <c r="CL32" s="10">
        <v>3.1189363449811935E-2</v>
      </c>
      <c r="CM32" s="11">
        <v>-3.096153736114502</v>
      </c>
      <c r="CN32" s="11">
        <v>-2.7336223125457764</v>
      </c>
      <c r="CO32" s="11">
        <v>-0.65122091770172119</v>
      </c>
      <c r="CP32" s="11">
        <v>1.228723406791687</v>
      </c>
      <c r="CQ32" s="11">
        <v>-20.516244888305664</v>
      </c>
      <c r="CR32">
        <v>-35.307621124730346</v>
      </c>
      <c r="CS32">
        <v>-4.4951863807116341</v>
      </c>
      <c r="CT32">
        <v>0</v>
      </c>
      <c r="CU32" s="10">
        <v>7.8545399755239484E-2</v>
      </c>
      <c r="CV32" s="11">
        <v>-5.1537036895751953</v>
      </c>
      <c r="CW32">
        <v>0.06</v>
      </c>
      <c r="CX32" t="e">
        <v>#VALUE!</v>
      </c>
      <c r="CY32" t="s">
        <v>711</v>
      </c>
      <c r="CZ32">
        <v>7.8545399755239484E-2</v>
      </c>
      <c r="DA32" t="e">
        <v>#VALUE!</v>
      </c>
      <c r="DB32" t="s">
        <v>712</v>
      </c>
      <c r="DC32">
        <v>7.4618129767477503E-2</v>
      </c>
      <c r="DD32" t="e">
        <v>#VALUE!</v>
      </c>
      <c r="DE32" t="s">
        <v>712</v>
      </c>
      <c r="DF32">
        <v>6.911995178461075E-2</v>
      </c>
      <c r="DG32" t="e">
        <v>#VALUE!</v>
      </c>
      <c r="DH32" t="s">
        <v>712</v>
      </c>
      <c r="DI32">
        <v>6.283631980419159E-2</v>
      </c>
      <c r="DJ32" t="e">
        <v>#VALUE!</v>
      </c>
      <c r="DK32" t="s">
        <v>712</v>
      </c>
      <c r="DL32">
        <v>5.4981779828667636E-2</v>
      </c>
      <c r="DM32">
        <v>-426000000</v>
      </c>
      <c r="DN32">
        <v>7.8545399755239484E-2</v>
      </c>
      <c r="DO32">
        <v>6167147000</v>
      </c>
      <c r="DP32">
        <v>1430414800</v>
      </c>
      <c r="DQ32">
        <v>2957</v>
      </c>
      <c r="DR32">
        <v>-0.47315643843407479</v>
      </c>
      <c r="DS32">
        <v>4.9057090143524764</v>
      </c>
      <c r="DT32" s="12">
        <v>-0.28999999999999998</v>
      </c>
      <c r="DU32">
        <v>-3.0150000000000001</v>
      </c>
      <c r="DV32">
        <v>-3.3050000000000002</v>
      </c>
      <c r="DW32">
        <v>-2.1461000000000001</v>
      </c>
      <c r="DX32">
        <v>0.29817900000000136</v>
      </c>
      <c r="DY32">
        <v>-2.0172659518999998</v>
      </c>
      <c r="DZ32">
        <v>4973</v>
      </c>
      <c r="EA32">
        <v>-2.0004530326130019</v>
      </c>
      <c r="EB32">
        <v>2</v>
      </c>
      <c r="EC32">
        <v>3.2959054693515219E-2</v>
      </c>
      <c r="ED32">
        <v>0.27889095942185349</v>
      </c>
      <c r="EE32" s="13">
        <v>-3.0039099999999999</v>
      </c>
      <c r="EF32">
        <v>-3.0039099999999999</v>
      </c>
      <c r="EG32">
        <v>18.118179000000001</v>
      </c>
      <c r="EH32" t="s">
        <v>1214</v>
      </c>
      <c r="EI32">
        <v>0</v>
      </c>
      <c r="EJ32">
        <v>0</v>
      </c>
      <c r="EK32" s="14">
        <v>45490</v>
      </c>
      <c r="EL32">
        <v>3.92</v>
      </c>
      <c r="EM32">
        <v>-0.24</v>
      </c>
      <c r="EN32">
        <v>-1.18</v>
      </c>
      <c r="EO32">
        <v>-0.72</v>
      </c>
      <c r="EP32">
        <v>0</v>
      </c>
    </row>
    <row r="33" spans="1:146" ht="96" hidden="1" x14ac:dyDescent="0.25">
      <c r="A33" s="9"/>
      <c r="B33" s="9"/>
      <c r="C33" s="9" t="str">
        <f>""&amp;CHAR(10)&amp;Basic_Fundamental_Information_Constructure(F33)&amp;CHAR(10)&amp;Basic_Fundamental_Information_Concatenate("")</f>
        <v xml:space="preserve">
市值39.650977亿, 利润-1928.70万; PE; 平均PE354.8; 平均PEG17.13, PB1.28; ROIC4.4167%; ROE5.4367%; 股利率0%; 毛利12.7467%; 净利3.2567%; 上一年度营收增25.39%, 利润增-124.9%; 当季营收增7.12%, 利润增-126.86%; 过往5年营收增20.71%, 利润增93.2%
Income profile:
</v>
      </c>
      <c r="D33" t="s">
        <v>586</v>
      </c>
      <c r="E33" t="s">
        <v>587</v>
      </c>
      <c r="F33">
        <v>3.64</v>
      </c>
      <c r="G33">
        <v>-1.89</v>
      </c>
      <c r="H33" t="s">
        <v>2629</v>
      </c>
      <c r="I33">
        <v>3965097700</v>
      </c>
      <c r="K33">
        <v>1.28</v>
      </c>
      <c r="L33" t="s">
        <v>753</v>
      </c>
      <c r="M33" t="s">
        <v>1393</v>
      </c>
      <c r="N33" t="s">
        <v>2143</v>
      </c>
      <c r="O33" t="s">
        <v>1252</v>
      </c>
      <c r="P33">
        <v>7.13</v>
      </c>
      <c r="Q33" t="s">
        <v>1608</v>
      </c>
      <c r="R33">
        <v>-2716722</v>
      </c>
      <c r="S33" s="6">
        <v>-1.2689999999999999</v>
      </c>
      <c r="T33" t="s">
        <v>1609</v>
      </c>
      <c r="U33">
        <v>1050552870</v>
      </c>
      <c r="V33">
        <v>1089312550</v>
      </c>
      <c r="W33">
        <v>2.12</v>
      </c>
      <c r="X33">
        <v>0.19</v>
      </c>
      <c r="Y33">
        <v>0.03</v>
      </c>
      <c r="Z33" t="s">
        <v>2493</v>
      </c>
      <c r="AA33" t="s">
        <v>2494</v>
      </c>
      <c r="AB33" t="s">
        <v>2495</v>
      </c>
      <c r="AC33" t="s">
        <v>2496</v>
      </c>
      <c r="AD33" t="s">
        <v>2</v>
      </c>
      <c r="AE33">
        <v>18322615</v>
      </c>
      <c r="AF33" t="s">
        <v>1610</v>
      </c>
      <c r="AG33" t="s">
        <v>2144</v>
      </c>
      <c r="AH33" t="s">
        <v>1611</v>
      </c>
      <c r="AI33" t="s">
        <v>1243</v>
      </c>
      <c r="AJ33" t="s">
        <v>1612</v>
      </c>
      <c r="AK33" t="s">
        <v>2497</v>
      </c>
      <c r="AL33" t="s">
        <v>1613</v>
      </c>
      <c r="AM33" t="s">
        <v>2</v>
      </c>
      <c r="AN33" t="s">
        <v>2145</v>
      </c>
      <c r="AO33" t="s">
        <v>2498</v>
      </c>
      <c r="AP33" t="s">
        <v>241</v>
      </c>
      <c r="AQ33" t="s">
        <v>182</v>
      </c>
      <c r="AR33" t="s">
        <v>2</v>
      </c>
      <c r="AS33" t="s">
        <v>2499</v>
      </c>
      <c r="AT33" t="s">
        <v>673</v>
      </c>
      <c r="AU33" t="s">
        <v>2146</v>
      </c>
      <c r="AV33" t="s">
        <v>2147</v>
      </c>
      <c r="AW33" t="s">
        <v>142</v>
      </c>
      <c r="AX33" t="s">
        <v>1020</v>
      </c>
      <c r="AY33" t="s">
        <v>2500</v>
      </c>
      <c r="AZ33" t="s">
        <v>588</v>
      </c>
      <c r="BA33" t="s">
        <v>589</v>
      </c>
      <c r="BB33" t="s">
        <v>561</v>
      </c>
      <c r="BC33" t="s">
        <v>1614</v>
      </c>
      <c r="BD33" t="s">
        <v>49</v>
      </c>
      <c r="BE33" t="s">
        <v>295</v>
      </c>
      <c r="BF33" t="s">
        <v>2501</v>
      </c>
      <c r="BG33" t="s">
        <v>2502</v>
      </c>
      <c r="BH33" t="s">
        <v>1608</v>
      </c>
      <c r="BI33" t="s">
        <v>2503</v>
      </c>
      <c r="BJ33" t="s">
        <v>1020</v>
      </c>
      <c r="BK33" t="s">
        <v>1609</v>
      </c>
      <c r="BL33" t="s">
        <v>2504</v>
      </c>
      <c r="BM33" t="s">
        <v>1614</v>
      </c>
      <c r="BN33">
        <v>1.85</v>
      </c>
      <c r="BO33">
        <v>2.85</v>
      </c>
      <c r="BP33">
        <v>8.5500000000000007</v>
      </c>
      <c r="BQ33">
        <v>1.1399999999999999</v>
      </c>
      <c r="BR33">
        <v>4.03</v>
      </c>
      <c r="BS33">
        <v>11.14</v>
      </c>
      <c r="BT33" t="s">
        <v>940</v>
      </c>
      <c r="BU33" t="s">
        <v>1868</v>
      </c>
      <c r="BV33">
        <v>10.73</v>
      </c>
      <c r="BW33">
        <v>12.13</v>
      </c>
      <c r="BX33">
        <v>15.38</v>
      </c>
      <c r="BY33">
        <v>0.65</v>
      </c>
      <c r="BZ33">
        <v>2.68</v>
      </c>
      <c r="CA33">
        <v>6.44</v>
      </c>
      <c r="CB33">
        <v>4.5999999999999996</v>
      </c>
      <c r="CC33">
        <v>-14.15</v>
      </c>
      <c r="CD33" t="s">
        <v>39</v>
      </c>
      <c r="CE33" t="s">
        <v>2553</v>
      </c>
      <c r="CF33" s="10">
        <v>7.1194762684124391E-2</v>
      </c>
      <c r="CG33" s="11">
        <v>-1.2686472321658129</v>
      </c>
      <c r="CH33" s="10">
        <v>0.25386106967926025</v>
      </c>
      <c r="CI33" s="10">
        <v>0.23003861308097839</v>
      </c>
      <c r="CJ33" s="10">
        <v>0.47053682804107666</v>
      </c>
      <c r="CK33" s="10">
        <v>0.13640876114368439</v>
      </c>
      <c r="CL33" s="10">
        <v>-5.5295221507549286E-2</v>
      </c>
      <c r="CM33" s="11">
        <v>-1.2490142583847046</v>
      </c>
      <c r="CN33" s="11">
        <v>-0.63292229175567627</v>
      </c>
      <c r="CO33" s="11">
        <v>0.90090090036392212</v>
      </c>
      <c r="CP33" s="11">
        <v>4.581535816192627</v>
      </c>
      <c r="CQ33" s="11">
        <v>1.0597207546234131</v>
      </c>
      <c r="CR33">
        <v>354.80059474985609</v>
      </c>
      <c r="CS33">
        <v>17.131021074257909</v>
      </c>
      <c r="CT33">
        <v>0</v>
      </c>
      <c r="CU33" s="10">
        <v>0.20711001008749008</v>
      </c>
      <c r="CV33" s="11">
        <v>0.93204418420791624</v>
      </c>
      <c r="CW33">
        <v>0.06</v>
      </c>
      <c r="CX33" t="e">
        <v>#VALUE!</v>
      </c>
      <c r="CY33" t="s">
        <v>711</v>
      </c>
      <c r="CZ33">
        <v>0.20711001008749008</v>
      </c>
      <c r="DA33" t="e">
        <v>#VALUE!</v>
      </c>
      <c r="DB33" t="s">
        <v>712</v>
      </c>
      <c r="DC33">
        <v>0.19675450958311558</v>
      </c>
      <c r="DD33" t="e">
        <v>#VALUE!</v>
      </c>
      <c r="DE33" t="s">
        <v>712</v>
      </c>
      <c r="DF33">
        <v>0.18225680887699128</v>
      </c>
      <c r="DG33" t="e">
        <v>#VALUE!</v>
      </c>
      <c r="DH33" t="s">
        <v>712</v>
      </c>
      <c r="DI33">
        <v>0.16568800806999207</v>
      </c>
      <c r="DJ33" t="e">
        <v>#VALUE!</v>
      </c>
      <c r="DK33" t="s">
        <v>712</v>
      </c>
      <c r="DL33">
        <v>0.14497700706124306</v>
      </c>
      <c r="DM33">
        <v>-19287000</v>
      </c>
      <c r="DN33">
        <v>0.20711001008749008</v>
      </c>
      <c r="DO33">
        <v>4317097700</v>
      </c>
      <c r="DP33">
        <v>601179300</v>
      </c>
      <c r="DQ33">
        <v>3005</v>
      </c>
      <c r="DR33">
        <v>-0.13591524740336569</v>
      </c>
      <c r="DS33">
        <v>-2.2006914163737292</v>
      </c>
      <c r="DT33" s="12">
        <v>1.0000000000000011E-2</v>
      </c>
      <c r="DU33">
        <v>-1.1100000000000001</v>
      </c>
      <c r="DV33">
        <v>-1.1000000000000001</v>
      </c>
      <c r="DW33">
        <v>6.245333333333333</v>
      </c>
      <c r="DX33">
        <v>0.57639741518578425</v>
      </c>
      <c r="DY33">
        <v>6.0408228325255786</v>
      </c>
      <c r="DZ33">
        <v>3699</v>
      </c>
      <c r="EA33">
        <v>6.0112548557266523</v>
      </c>
      <c r="EB33">
        <v>6</v>
      </c>
      <c r="EC33">
        <v>9.4555047584827703E-2</v>
      </c>
      <c r="ED33">
        <v>0.56824829567969271</v>
      </c>
      <c r="EE33" s="13">
        <v>2.1091000000000002</v>
      </c>
      <c r="EF33">
        <v>2.0901999999999998</v>
      </c>
      <c r="EG33">
        <v>41.166397415185784</v>
      </c>
      <c r="EH33" t="s">
        <v>972</v>
      </c>
      <c r="EI33">
        <v>0</v>
      </c>
      <c r="EJ33">
        <v>0</v>
      </c>
      <c r="EK33" s="14">
        <v>45490</v>
      </c>
      <c r="EL33">
        <v>4.5999999999999996</v>
      </c>
      <c r="EM33">
        <v>0.55000000000000004</v>
      </c>
      <c r="EN33">
        <v>-3.83</v>
      </c>
      <c r="EO33">
        <v>5.4</v>
      </c>
      <c r="EP33">
        <v>-1.89</v>
      </c>
    </row>
    <row r="34" spans="1:146" ht="168" hidden="1" x14ac:dyDescent="0.25">
      <c r="A34" s="9" t="s">
        <v>883</v>
      </c>
      <c r="B34" s="9"/>
      <c r="C34" s="9" t="str">
        <f>"公司主要从事水产饲料、畜禽饲料等的研发、生产和销售以及高纯晶硅、太阳能电池等产品的研发、生产、销售。公司主要产品为水产饲料、太阳能电池、高纯晶硅。"&amp;CHAR(10)&amp;Basic_Fundamental_Information_Constructure(F34)&amp;CHAR(10)&amp;Basic_Fundamental_Information_Concatenate("太阳能电池、组件及相关业务 249.35亿 39.27% 12.49% 8.81%
饲料、食品及相关业务 245.90亿 38.73% 13.27% 9.48%
高纯晶硅及化工 187.61亿 29.55% 71.18% 66.69%
光伏电力 16.03亿 2.52% 5.73% 62.82%
其他业务 7.20亿 1.13% 0.26% 6.27%")</f>
        <v>公司主要从事水产饲料、畜禽饲料等的研发、生产和销售以及高纯晶硅、太阳能电池等产品的研发、生产、销售。公司主要产品为水产饲料、太阳能电池、高纯晶硅。
市值813.05715亿, 利润135.74亿; PE19.42; 平均PE8.76; 平均PEG.2, PB1.38; ROIC25.85%; ROE34.1267%; 股利率5.0111%; 毛利30.7633%; 净利16.54%; 上一年度营收增-2.33%, 利润增-47.25%; 当季营收增-41.13%, 利润增-136.62%; 过往5年营收增43.62%, 利润增72.46%
Income profile:
太阳能电池、组件及相关业务 249.35亿 39.27% 12.49% 8.81%
饲料、食品及相关业务 245.90亿 38.73% 13.27% 9.48%
高纯晶硅及化工 187.61亿 29.55% 71.18% 66.69%
光伏电力 16.03亿 2.52% 5.73% 62.82%
其他业务 7.20亿 1.13% 0.26% 6.27%</v>
      </c>
      <c r="D34" t="s">
        <v>590</v>
      </c>
      <c r="E34" t="s">
        <v>591</v>
      </c>
      <c r="F34">
        <v>18.059999999999999</v>
      </c>
      <c r="G34">
        <v>-0.11</v>
      </c>
      <c r="H34" t="s">
        <v>2630</v>
      </c>
      <c r="I34">
        <v>81305715000</v>
      </c>
      <c r="J34">
        <v>19.420000000000002</v>
      </c>
      <c r="K34">
        <v>1.38</v>
      </c>
      <c r="L34" t="s">
        <v>753</v>
      </c>
      <c r="M34" t="s">
        <v>1617</v>
      </c>
      <c r="N34" t="s">
        <v>2148</v>
      </c>
      <c r="O34" t="s">
        <v>1618</v>
      </c>
      <c r="P34">
        <v>-41.13</v>
      </c>
      <c r="Q34" t="s">
        <v>1619</v>
      </c>
      <c r="R34">
        <v>-3150000000</v>
      </c>
      <c r="S34" s="6">
        <v>-1.091</v>
      </c>
      <c r="T34" t="s">
        <v>1620</v>
      </c>
      <c r="U34">
        <v>4501977600</v>
      </c>
      <c r="V34">
        <v>4501977600</v>
      </c>
      <c r="W34">
        <v>2.46</v>
      </c>
      <c r="X34">
        <v>0.11</v>
      </c>
      <c r="Y34">
        <v>-3.31</v>
      </c>
      <c r="Z34" t="s">
        <v>2149</v>
      </c>
      <c r="AA34" t="s">
        <v>2150</v>
      </c>
      <c r="AB34" t="s">
        <v>59</v>
      </c>
      <c r="AC34" t="s">
        <v>1559</v>
      </c>
      <c r="AD34" t="s">
        <v>2</v>
      </c>
      <c r="AE34">
        <v>277021300</v>
      </c>
      <c r="AF34" t="s">
        <v>1621</v>
      </c>
      <c r="AG34" t="s">
        <v>2151</v>
      </c>
      <c r="AH34" t="s">
        <v>1622</v>
      </c>
      <c r="AI34" t="s">
        <v>2152</v>
      </c>
      <c r="AJ34" t="s">
        <v>1623</v>
      </c>
      <c r="AK34" t="s">
        <v>217</v>
      </c>
      <c r="AL34" t="s">
        <v>1624</v>
      </c>
      <c r="AM34" t="s">
        <v>2</v>
      </c>
      <c r="AN34" t="s">
        <v>2153</v>
      </c>
      <c r="AO34" t="s">
        <v>184</v>
      </c>
      <c r="AP34" t="s">
        <v>2154</v>
      </c>
      <c r="AQ34" t="s">
        <v>2155</v>
      </c>
      <c r="AR34" t="s">
        <v>2156</v>
      </c>
      <c r="AS34" t="s">
        <v>2157</v>
      </c>
      <c r="AT34" t="s">
        <v>2158</v>
      </c>
      <c r="AU34" t="s">
        <v>2159</v>
      </c>
      <c r="AV34" t="s">
        <v>2160</v>
      </c>
      <c r="AW34" t="s">
        <v>2161</v>
      </c>
      <c r="AX34" t="s">
        <v>1031</v>
      </c>
      <c r="AY34" t="s">
        <v>1032</v>
      </c>
      <c r="AZ34" t="s">
        <v>592</v>
      </c>
      <c r="BA34" t="s">
        <v>594</v>
      </c>
      <c r="BB34" t="s">
        <v>595</v>
      </c>
      <c r="BC34" t="s">
        <v>1625</v>
      </c>
      <c r="BD34" t="s">
        <v>1033</v>
      </c>
      <c r="BE34" t="s">
        <v>593</v>
      </c>
      <c r="BF34" t="s">
        <v>359</v>
      </c>
      <c r="BG34" t="s">
        <v>56</v>
      </c>
      <c r="BH34" t="s">
        <v>1619</v>
      </c>
      <c r="BI34" t="s">
        <v>2505</v>
      </c>
      <c r="BJ34" t="s">
        <v>1031</v>
      </c>
      <c r="BK34" t="s">
        <v>1620</v>
      </c>
      <c r="BL34" t="s">
        <v>2506</v>
      </c>
      <c r="BM34" t="s">
        <v>1625</v>
      </c>
      <c r="BN34">
        <v>19.47</v>
      </c>
      <c r="BO34">
        <v>40.76</v>
      </c>
      <c r="BP34">
        <v>17.32</v>
      </c>
      <c r="BQ34">
        <v>25.78</v>
      </c>
      <c r="BR34">
        <v>52.36</v>
      </c>
      <c r="BS34">
        <v>24.24</v>
      </c>
      <c r="BT34" t="s">
        <v>1626</v>
      </c>
      <c r="BU34" t="s">
        <v>1905</v>
      </c>
      <c r="BV34">
        <v>26.44</v>
      </c>
      <c r="BW34">
        <v>38.17</v>
      </c>
      <c r="BX34">
        <v>27.68</v>
      </c>
      <c r="BY34">
        <v>13.12</v>
      </c>
      <c r="BZ34">
        <v>22.73</v>
      </c>
      <c r="CA34">
        <v>13.77</v>
      </c>
      <c r="CB34">
        <v>7.63</v>
      </c>
      <c r="CC34">
        <v>-18.52</v>
      </c>
      <c r="CD34" t="s">
        <v>136</v>
      </c>
      <c r="CE34" t="s">
        <v>1911</v>
      </c>
      <c r="CF34" s="10">
        <v>-0.41134005113550909</v>
      </c>
      <c r="CG34" s="11">
        <v>-1.3662364841297523</v>
      </c>
      <c r="CH34" s="10">
        <v>-2.3303857073187828E-2</v>
      </c>
      <c r="CI34" s="10">
        <v>1.1968687772750854</v>
      </c>
      <c r="CJ34" s="10">
        <v>0.46674206852912903</v>
      </c>
      <c r="CK34" s="10">
        <v>0.17694054543972015</v>
      </c>
      <c r="CL34" s="10">
        <v>0.36390048265457153</v>
      </c>
      <c r="CM34" s="11">
        <v>-0.47252663969993591</v>
      </c>
      <c r="CN34" s="11">
        <v>2.1735107898712158</v>
      </c>
      <c r="CO34" s="11">
        <v>1.2475055456161499</v>
      </c>
      <c r="CP34" s="11">
        <v>0.36925992369651794</v>
      </c>
      <c r="CQ34" s="11">
        <v>0.30510151386260986</v>
      </c>
      <c r="CR34">
        <v>8.7615490579931379</v>
      </c>
      <c r="CS34">
        <v>0.20084719125907044</v>
      </c>
      <c r="CT34">
        <v>5.0110741971207098</v>
      </c>
      <c r="CU34" s="10">
        <v>0.43622960336506367</v>
      </c>
      <c r="CV34" s="11">
        <v>0.72457022666931148</v>
      </c>
      <c r="CW34">
        <v>0.06</v>
      </c>
      <c r="CX34">
        <v>5.3633873506682432</v>
      </c>
      <c r="CY34">
        <v>18391868524.601295</v>
      </c>
      <c r="CZ34">
        <v>0.43622960336506367</v>
      </c>
      <c r="DA34">
        <v>1.3235174703241459</v>
      </c>
      <c r="DB34">
        <v>74530723780.957092</v>
      </c>
      <c r="DC34">
        <v>0.41441812319681048</v>
      </c>
      <c r="DD34">
        <v>0.43038271019447072</v>
      </c>
      <c r="DE34">
        <v>229197671429.29083</v>
      </c>
      <c r="DF34">
        <v>0.38388205096125605</v>
      </c>
      <c r="DG34">
        <v>0.15347957236526633</v>
      </c>
      <c r="DH34">
        <v>642709081604.94495</v>
      </c>
      <c r="DI34">
        <v>0.34898368269205093</v>
      </c>
      <c r="DJ34">
        <v>2.1564577911931344E-2</v>
      </c>
      <c r="DK34">
        <v>4574293798044.7334</v>
      </c>
      <c r="DL34">
        <v>0.30536072235554457</v>
      </c>
      <c r="DM34">
        <v>13574000000</v>
      </c>
      <c r="DN34">
        <v>0.43622960336506367</v>
      </c>
      <c r="DO34">
        <v>98642715000</v>
      </c>
      <c r="DP34">
        <v>29871865000</v>
      </c>
      <c r="DQ34">
        <v>3179</v>
      </c>
      <c r="DR34">
        <v>-0.84756965450057276</v>
      </c>
      <c r="DS34">
        <v>-2.0908067107990638</v>
      </c>
      <c r="DT34" s="12">
        <v>0.20999999999999988</v>
      </c>
      <c r="DU34">
        <v>-0.24833333333333341</v>
      </c>
      <c r="DV34">
        <v>-3.8333333333333525E-2</v>
      </c>
      <c r="DW34">
        <v>7.2917782026768645</v>
      </c>
      <c r="DX34">
        <v>0.44198177676537442</v>
      </c>
      <c r="DY34">
        <v>7.050180533717775</v>
      </c>
      <c r="DZ34">
        <v>1874</v>
      </c>
      <c r="EA34">
        <v>7.0317669209926699</v>
      </c>
      <c r="EB34">
        <v>7</v>
      </c>
      <c r="EC34">
        <v>3.3540815485177004E-2</v>
      </c>
      <c r="ED34">
        <v>0.19502540394692322</v>
      </c>
      <c r="EE34" s="13">
        <v>-3.0731999999999999</v>
      </c>
      <c r="EF34">
        <v>-3.0720999999999998</v>
      </c>
      <c r="EG34">
        <v>27.171981776765374</v>
      </c>
      <c r="EH34" t="s">
        <v>1202</v>
      </c>
      <c r="EI34">
        <v>1</v>
      </c>
      <c r="EJ34">
        <v>0</v>
      </c>
      <c r="EK34" s="14">
        <v>45490</v>
      </c>
      <c r="EL34">
        <v>2.8</v>
      </c>
      <c r="EM34">
        <v>0.7</v>
      </c>
      <c r="EN34">
        <v>0.81</v>
      </c>
      <c r="EO34">
        <v>3.26</v>
      </c>
      <c r="EP34">
        <v>-0.11</v>
      </c>
    </row>
    <row r="35" spans="1:146" ht="180" hidden="1" x14ac:dyDescent="0.25">
      <c r="A35" s="9" t="s">
        <v>1189</v>
      </c>
      <c r="B35" s="9"/>
      <c r="C35" s="9" t="str">
        <f>"公司主要业务为节能节水系统业务及新能源系统业务。公司主要产品包括溴化锂冷热机组、换热器、空冷器系统、多晶硅还原炉及其模块、大尺寸单晶硅锭和硅片。"&amp;CHAR(10)&amp;Basic_Fundamental_Information_Constructure(F35)&amp;CHAR(10)&amp;Basic_Fundamental_Information_Concatenate("单晶硅片 86.05亿 59.44% 28.30% 7.86%(增3559%）
多晶硅还原炉及其他 29.05亿 20.07% 42.23% 34.74%（增197%）
空冷器 11.42亿 7.89% 7.83% 16.38%
溴冷机 9.91亿 6.84% 11.48% 27.68%
换热器 6.05亿 4.18% 7.62% 30.13%
其他业务 2.15亿 1.48% 2.73% 30.42%")</f>
        <v>公司主要业务为节能节水系统业务及新能源系统业务。公司主要产品包括溴化锂冷热机组、换热器、空冷器系统、多晶硅还原炉及其模块、大尺寸单晶硅锭和硅片。
市值76.697815亿, 利润15.02亿; PE10.88; 平均PE13.68; 平均PEG.17, PB1.16; ROIC11.7933%; ROE18.2433%; 股利率2.9268%; 毛利19.6967%; 净利7.6767%; 上一年度营收增59.91%, 利润增57.11%; 当季营收增-22.24%, 利润增-330.08%; 过往5年营收增81.12%, 利润增68.02%
Income profile:
单晶硅片 86.05亿 59.44% 28.30% 7.86%(增3559%）
多晶硅还原炉及其他 29.05亿 20.07% 42.23% 34.74%（增197%）
空冷器 11.42亿 7.89% 7.83% 16.38%
溴冷机 9.91亿 6.84% 11.48% 27.68%
换热器 6.05亿 4.18% 7.62% 30.13%
其他业务 2.15亿 1.48% 2.73% 30.42%</v>
      </c>
      <c r="D35" t="s">
        <v>1035</v>
      </c>
      <c r="E35" t="s">
        <v>1036</v>
      </c>
      <c r="F35">
        <v>4.0999999999999996</v>
      </c>
      <c r="G35">
        <v>-0.49</v>
      </c>
      <c r="H35" t="s">
        <v>2631</v>
      </c>
      <c r="I35">
        <v>7669781500</v>
      </c>
      <c r="J35">
        <v>10.88</v>
      </c>
      <c r="K35">
        <v>1.1599999999999999</v>
      </c>
      <c r="L35" t="s">
        <v>753</v>
      </c>
      <c r="M35" t="s">
        <v>1627</v>
      </c>
      <c r="N35" t="s">
        <v>1851</v>
      </c>
      <c r="O35" t="s">
        <v>1628</v>
      </c>
      <c r="P35" s="6">
        <v>-22.25</v>
      </c>
      <c r="Q35" t="s">
        <v>1629</v>
      </c>
      <c r="R35">
        <v>-1155000000</v>
      </c>
      <c r="S35">
        <v>-1.587</v>
      </c>
      <c r="T35" t="s">
        <v>420</v>
      </c>
      <c r="U35">
        <v>1870678400</v>
      </c>
      <c r="V35">
        <v>1870678400</v>
      </c>
      <c r="W35">
        <v>4.41</v>
      </c>
      <c r="X35">
        <v>0.14000000000000001</v>
      </c>
      <c r="Y35">
        <v>-6.93</v>
      </c>
      <c r="Z35" t="s">
        <v>2162</v>
      </c>
      <c r="AA35" t="s">
        <v>2163</v>
      </c>
      <c r="AB35" t="s">
        <v>2164</v>
      </c>
      <c r="AC35" t="s">
        <v>2165</v>
      </c>
      <c r="AD35" t="s">
        <v>2</v>
      </c>
      <c r="AE35">
        <v>95577827</v>
      </c>
      <c r="AF35" t="s">
        <v>1630</v>
      </c>
      <c r="AG35" t="s">
        <v>2166</v>
      </c>
      <c r="AH35" t="s">
        <v>1631</v>
      </c>
      <c r="AI35" t="s">
        <v>618</v>
      </c>
      <c r="AJ35" t="s">
        <v>1632</v>
      </c>
      <c r="AK35" t="s">
        <v>2167</v>
      </c>
      <c r="AL35" t="s">
        <v>1633</v>
      </c>
      <c r="AM35" t="s">
        <v>2</v>
      </c>
      <c r="AN35" t="s">
        <v>2168</v>
      </c>
      <c r="AO35" t="s">
        <v>2169</v>
      </c>
      <c r="AP35" t="s">
        <v>2170</v>
      </c>
      <c r="AQ35" t="s">
        <v>1427</v>
      </c>
      <c r="AR35" t="s">
        <v>2</v>
      </c>
      <c r="AS35" t="s">
        <v>2171</v>
      </c>
      <c r="AT35" t="s">
        <v>1205</v>
      </c>
      <c r="AU35" t="s">
        <v>293</v>
      </c>
      <c r="AV35" t="s">
        <v>2172</v>
      </c>
      <c r="AW35" t="s">
        <v>273</v>
      </c>
      <c r="AX35" t="s">
        <v>1037</v>
      </c>
      <c r="AY35" t="s">
        <v>1038</v>
      </c>
      <c r="AZ35" t="s">
        <v>941</v>
      </c>
      <c r="BA35" t="s">
        <v>562</v>
      </c>
      <c r="BB35" t="s">
        <v>1039</v>
      </c>
      <c r="BC35" t="s">
        <v>172</v>
      </c>
      <c r="BD35" t="s">
        <v>174</v>
      </c>
      <c r="BE35" t="s">
        <v>141</v>
      </c>
      <c r="BF35" t="s">
        <v>208</v>
      </c>
      <c r="BG35" t="s">
        <v>66</v>
      </c>
      <c r="BH35" t="s">
        <v>1629</v>
      </c>
      <c r="BI35" t="s">
        <v>2507</v>
      </c>
      <c r="BJ35" t="s">
        <v>1037</v>
      </c>
      <c r="BK35" t="s">
        <v>420</v>
      </c>
      <c r="BL35" t="s">
        <v>17</v>
      </c>
      <c r="BM35" t="s">
        <v>172</v>
      </c>
      <c r="BN35">
        <v>11.54</v>
      </c>
      <c r="BO35">
        <v>13.9</v>
      </c>
      <c r="BP35">
        <v>9.94</v>
      </c>
      <c r="BQ35">
        <v>19.12</v>
      </c>
      <c r="BR35">
        <v>22.1</v>
      </c>
      <c r="BS35">
        <v>13.51</v>
      </c>
      <c r="BT35" t="s">
        <v>949</v>
      </c>
      <c r="BU35" t="s">
        <v>1862</v>
      </c>
      <c r="BV35">
        <v>14.74</v>
      </c>
      <c r="BW35">
        <v>16.510000000000002</v>
      </c>
      <c r="BX35">
        <v>27.84</v>
      </c>
      <c r="BY35">
        <v>6.93</v>
      </c>
      <c r="BZ35">
        <v>7.23</v>
      </c>
      <c r="CA35">
        <v>8.8699999999999992</v>
      </c>
      <c r="CB35">
        <v>2.2400000000000002</v>
      </c>
      <c r="CC35" s="10">
        <v>-27.82</v>
      </c>
      <c r="CD35" s="11" t="s">
        <v>102</v>
      </c>
      <c r="CE35" s="10" t="s">
        <v>2632</v>
      </c>
      <c r="CF35" s="10">
        <v>-0.22240527182866565</v>
      </c>
      <c r="CG35" s="10">
        <v>-3.3007968127490042</v>
      </c>
      <c r="CH35" s="10">
        <v>0.59912961721420288</v>
      </c>
      <c r="CI35" s="10">
        <v>2.7796347141265869</v>
      </c>
      <c r="CJ35" s="11">
        <v>0.84845554828643799</v>
      </c>
      <c r="CK35" s="11">
        <v>-0.18005542457103729</v>
      </c>
      <c r="CL35" s="11">
        <v>8.7824864313006401E-3</v>
      </c>
      <c r="CM35" s="11">
        <v>0.57112967967987061</v>
      </c>
      <c r="CN35" s="11">
        <v>2.0838708877563477</v>
      </c>
      <c r="CO35">
        <v>1.2627737522125244</v>
      </c>
      <c r="CP35">
        <v>-0.33816424012184143</v>
      </c>
      <c r="CQ35">
        <v>-0.1785714328289032</v>
      </c>
      <c r="CR35" s="10">
        <v>13.679752972651606</v>
      </c>
      <c r="CS35" s="11">
        <v>0.16863821408416463</v>
      </c>
      <c r="CT35">
        <v>2.9268292682926829</v>
      </c>
      <c r="CU35">
        <v>0.8111893882974982</v>
      </c>
      <c r="CV35">
        <v>0.68020772933959961</v>
      </c>
      <c r="CW35">
        <v>0.06</v>
      </c>
      <c r="CX35">
        <v>9.3027526403625007</v>
      </c>
      <c r="CY35">
        <v>2566421189.83287</v>
      </c>
      <c r="CZ35">
        <v>0.8111893882974982</v>
      </c>
      <c r="DA35">
        <v>1.7426187056544815</v>
      </c>
      <c r="DB35">
        <v>13700519466.783333</v>
      </c>
      <c r="DC35">
        <v>0.77062991888262322</v>
      </c>
      <c r="DD35">
        <v>0.35957864510147586</v>
      </c>
      <c r="DE35">
        <v>66396550032.225502</v>
      </c>
      <c r="DF35">
        <v>0.71384666170179845</v>
      </c>
      <c r="DG35">
        <v>6.9244594758690339E-2</v>
      </c>
      <c r="DH35">
        <v>344789099903.04572</v>
      </c>
      <c r="DI35">
        <v>0.64895151063799861</v>
      </c>
      <c r="DJ35">
        <v>2.0511006566717831E-3</v>
      </c>
      <c r="DK35">
        <v>11639985303666.371</v>
      </c>
      <c r="DL35">
        <v>0.56783257180824875</v>
      </c>
      <c r="DM35">
        <v>1502000000</v>
      </c>
      <c r="DN35">
        <v>0.8111893882974982</v>
      </c>
      <c r="DO35">
        <v>23874781500</v>
      </c>
      <c r="DP35">
        <v>-3556272000</v>
      </c>
      <c r="DQ35" s="12">
        <v>3204</v>
      </c>
      <c r="DR35">
        <v>-1.0335946601261639</v>
      </c>
      <c r="DS35">
        <v>-3.9810045420886038</v>
      </c>
      <c r="DT35">
        <v>0.24333333333333326</v>
      </c>
      <c r="DU35">
        <v>-0.315</v>
      </c>
      <c r="DV35">
        <v>-7.166666666666674E-2</v>
      </c>
      <c r="DW35">
        <v>-3.1336785714285713</v>
      </c>
      <c r="DX35">
        <v>0.37521172638436628</v>
      </c>
      <c r="DY35">
        <v>-3.0274324104234527</v>
      </c>
      <c r="DZ35">
        <v>1956</v>
      </c>
      <c r="EA35">
        <v>-3.0169256951721755</v>
      </c>
      <c r="EB35" s="13">
        <v>3</v>
      </c>
      <c r="EC35" s="13">
        <v>6.7355243958555355E-2</v>
      </c>
      <c r="ED35">
        <v>0.32822317294089676</v>
      </c>
      <c r="EE35">
        <v>-3.0306999999999999</v>
      </c>
      <c r="EF35">
        <v>-3.0257999999999998</v>
      </c>
      <c r="EG35">
        <v>17.205211726384366</v>
      </c>
      <c r="EH35" s="14" t="s">
        <v>1202</v>
      </c>
      <c r="EI35">
        <v>0</v>
      </c>
      <c r="EJ35">
        <v>0</v>
      </c>
      <c r="EK35">
        <v>45490</v>
      </c>
      <c r="EL35">
        <v>4.24</v>
      </c>
      <c r="EM35">
        <v>0</v>
      </c>
      <c r="EN35">
        <v>-2.15</v>
      </c>
      <c r="EO35">
        <v>0.73</v>
      </c>
      <c r="EP35">
        <v>-0.49</v>
      </c>
    </row>
    <row r="36" spans="1:146" ht="132" hidden="1" x14ac:dyDescent="0.25">
      <c r="A36" s="9"/>
      <c r="B36" s="9"/>
      <c r="C36" s="9" t="str">
        <f>"公司主要业务包括晶棒/硅锭生长、硅片加工、电池制造、组件封装、光伏发电。主要产品为硅棒、硅片、太阳能电池片、太阳能电池组件、发电业务。"&amp;CHAR(10)&amp;Basic_Fundamental_Information_Constructure(F36)&amp;CHAR(10)&amp;Basic_Fundamental_Information_Concatenate("光伏产品 33.80亿 97.55% 76.51% 5.37%
发电业务 8471.57万 2.45% 23.49% 65.77%")</f>
        <v>公司主要业务包括晶棒/硅锭生长、硅片加工、电池制造、组件封装、光伏发电。主要产品为硅棒、硅片、太阳能电池片、太阳能电池组件、发电业务。
市值28.231917亿, 利润6759.26万; PE; 平均PE-13.08; 平均PEG-.47, PB1.23; ROIC6.16%; ROE-2.1167%; 股利率0%; 毛利5.0467%; 净利-4.88%; 上一年度营收增-17.96%, 利润增-46.78%; 当季营收增-50.12%, 利润增-493.7%; 过往5年营收增27.79%, 利润增-115.01%
Income profile:
光伏产品 33.80亿 97.55% 76.51% 5.37%
发电业务 8471.57万 2.45% 23.49% 65.77%</v>
      </c>
      <c r="D36" t="s">
        <v>596</v>
      </c>
      <c r="E36" t="s">
        <v>597</v>
      </c>
      <c r="F36">
        <v>2.38</v>
      </c>
      <c r="G36">
        <v>-1.24</v>
      </c>
      <c r="H36" t="s">
        <v>2633</v>
      </c>
      <c r="I36">
        <v>2823191700</v>
      </c>
      <c r="K36">
        <v>1.23</v>
      </c>
      <c r="L36" t="s">
        <v>753</v>
      </c>
      <c r="M36" t="s">
        <v>1635</v>
      </c>
      <c r="N36" t="s">
        <v>2173</v>
      </c>
      <c r="O36" t="s">
        <v>466</v>
      </c>
      <c r="P36">
        <v>-50.12</v>
      </c>
      <c r="Q36" t="s">
        <v>1636</v>
      </c>
      <c r="R36">
        <v>-500000000</v>
      </c>
      <c r="S36" s="6">
        <v>-2.6669999999999998</v>
      </c>
      <c r="T36" t="s">
        <v>1637</v>
      </c>
      <c r="U36">
        <v>1183715020</v>
      </c>
      <c r="V36">
        <v>1186215020</v>
      </c>
      <c r="W36">
        <v>3.6</v>
      </c>
      <c r="X36">
        <v>0.09</v>
      </c>
      <c r="Y36">
        <v>-24.48</v>
      </c>
      <c r="Z36" t="s">
        <v>462</v>
      </c>
      <c r="AA36" t="s">
        <v>512</v>
      </c>
      <c r="AB36" t="s">
        <v>2174</v>
      </c>
      <c r="AC36" t="s">
        <v>2175</v>
      </c>
      <c r="AD36" t="s">
        <v>2</v>
      </c>
      <c r="AE36">
        <v>33535861</v>
      </c>
      <c r="AF36" t="s">
        <v>1638</v>
      </c>
      <c r="AG36" t="s">
        <v>2176</v>
      </c>
      <c r="AH36" t="s">
        <v>1291</v>
      </c>
      <c r="AI36" t="s">
        <v>289</v>
      </c>
      <c r="AJ36" t="s">
        <v>1639</v>
      </c>
      <c r="AK36" t="s">
        <v>2177</v>
      </c>
      <c r="AL36" t="s">
        <v>1640</v>
      </c>
      <c r="AM36" t="s">
        <v>2</v>
      </c>
      <c r="AN36" t="s">
        <v>119</v>
      </c>
      <c r="AO36" t="s">
        <v>393</v>
      </c>
      <c r="AP36" t="s">
        <v>1175</v>
      </c>
      <c r="AQ36" t="s">
        <v>2178</v>
      </c>
      <c r="AR36" t="s">
        <v>2</v>
      </c>
      <c r="AS36" t="s">
        <v>2179</v>
      </c>
      <c r="AT36" t="s">
        <v>2</v>
      </c>
      <c r="AU36" t="s">
        <v>986</v>
      </c>
      <c r="AV36" t="s">
        <v>686</v>
      </c>
      <c r="AW36" t="s">
        <v>2180</v>
      </c>
      <c r="AX36" t="s">
        <v>1642</v>
      </c>
      <c r="AY36" t="s">
        <v>804</v>
      </c>
      <c r="AZ36" t="s">
        <v>598</v>
      </c>
      <c r="BA36" t="s">
        <v>599</v>
      </c>
      <c r="BB36" t="s">
        <v>476</v>
      </c>
      <c r="BC36" t="s">
        <v>55</v>
      </c>
      <c r="BD36" t="s">
        <v>805</v>
      </c>
      <c r="BE36" t="s">
        <v>430</v>
      </c>
      <c r="BF36" t="s">
        <v>429</v>
      </c>
      <c r="BG36" t="s">
        <v>600</v>
      </c>
      <c r="BH36" t="s">
        <v>1636</v>
      </c>
      <c r="BI36" t="s">
        <v>2508</v>
      </c>
      <c r="BJ36" t="s">
        <v>1642</v>
      </c>
      <c r="BK36" t="s">
        <v>1637</v>
      </c>
      <c r="BL36" t="s">
        <v>55</v>
      </c>
      <c r="BM36" t="s">
        <v>55</v>
      </c>
      <c r="BN36">
        <v>7.7</v>
      </c>
      <c r="BO36">
        <v>4.62</v>
      </c>
      <c r="BP36" t="s">
        <v>2</v>
      </c>
      <c r="BQ36">
        <v>11.5</v>
      </c>
      <c r="BR36">
        <v>5.34</v>
      </c>
      <c r="BS36">
        <v>-23.19</v>
      </c>
      <c r="BT36" t="s">
        <v>940</v>
      </c>
      <c r="BU36" t="s">
        <v>1882</v>
      </c>
      <c r="BV36">
        <v>9.1199999999999992</v>
      </c>
      <c r="BW36">
        <v>5.17</v>
      </c>
      <c r="BX36">
        <v>0.85</v>
      </c>
      <c r="BY36">
        <v>1</v>
      </c>
      <c r="BZ36">
        <v>1.51</v>
      </c>
      <c r="CA36">
        <v>-17.149999999999999</v>
      </c>
      <c r="CB36">
        <v>3.03</v>
      </c>
      <c r="CC36">
        <v>-33.520000000000003</v>
      </c>
      <c r="CD36" t="s">
        <v>78</v>
      </c>
      <c r="CE36" t="s">
        <v>2634</v>
      </c>
      <c r="CF36" s="10">
        <v>-0.50124069478908173</v>
      </c>
      <c r="CG36" s="11">
        <v>-4.9370078740157481</v>
      </c>
      <c r="CH36" s="10">
        <v>-0.17962734401226044</v>
      </c>
      <c r="CI36" s="10">
        <v>1.4188095331192017</v>
      </c>
      <c r="CJ36" s="10">
        <v>-3.6602753680199385E-3</v>
      </c>
      <c r="CK36" s="10">
        <v>0.15144698321819305</v>
      </c>
      <c r="CL36" s="10">
        <v>2.5351932272315025E-3</v>
      </c>
      <c r="CM36" s="11">
        <v>-0.46777480840682983</v>
      </c>
      <c r="CN36" s="11">
        <v>1.2106136083602905</v>
      </c>
      <c r="CO36" s="11">
        <v>7.5153373181819916E-2</v>
      </c>
      <c r="CP36" s="11">
        <v>-1.1518151760101318</v>
      </c>
      <c r="CQ36" s="11">
        <v>-5.4168195724487305</v>
      </c>
      <c r="CR36">
        <v>-13.082384697012525</v>
      </c>
      <c r="CS36">
        <v>-0.47075732951879551</v>
      </c>
      <c r="CT36">
        <v>0</v>
      </c>
      <c r="CU36" s="10">
        <v>0.27790081803686917</v>
      </c>
      <c r="CV36" s="11">
        <v>-1.1501285150647163</v>
      </c>
      <c r="CW36">
        <v>0.06</v>
      </c>
      <c r="CX36">
        <v>106.86550584378506</v>
      </c>
      <c r="CY36">
        <v>81487395.125697047</v>
      </c>
      <c r="CZ36">
        <v>0.27790081803686917</v>
      </c>
      <c r="DA36">
        <v>29.891493553572253</v>
      </c>
      <c r="DB36">
        <v>291326751.01673889</v>
      </c>
      <c r="DC36">
        <v>0.26400577713502571</v>
      </c>
      <c r="DD36">
        <v>11.795399613826284</v>
      </c>
      <c r="DE36">
        <v>738270171.85517538</v>
      </c>
      <c r="DF36">
        <v>0.24455271987244487</v>
      </c>
      <c r="DG36">
        <v>5.4190853543762723</v>
      </c>
      <c r="DH36">
        <v>1606948614.1176121</v>
      </c>
      <c r="DI36">
        <v>0.22232065442949533</v>
      </c>
      <c r="DJ36">
        <v>1.4641151181853598</v>
      </c>
      <c r="DK36">
        <v>5947750686.976737</v>
      </c>
      <c r="DL36">
        <v>0.19453057262580842</v>
      </c>
      <c r="DM36">
        <v>67592600</v>
      </c>
      <c r="DN36">
        <v>0.27790081803686917</v>
      </c>
      <c r="DO36">
        <v>8708191700</v>
      </c>
      <c r="DP36">
        <v>-300739800</v>
      </c>
      <c r="DQ36">
        <v>3251</v>
      </c>
      <c r="DR36">
        <v>-0.7791415128259509</v>
      </c>
      <c r="DS36">
        <v>-3.7868793589510319</v>
      </c>
      <c r="DT36" s="12">
        <v>-0.19000000000000003</v>
      </c>
      <c r="DU36">
        <v>-2.4483333333333333</v>
      </c>
      <c r="DV36">
        <v>-2.6383333333333332</v>
      </c>
      <c r="DW36">
        <v>6.082900136798906</v>
      </c>
      <c r="DX36">
        <v>0.38405405405405402</v>
      </c>
      <c r="DY36">
        <v>6.012771102155507</v>
      </c>
      <c r="DZ36">
        <v>4735</v>
      </c>
      <c r="EA36">
        <v>6.0009302623853236</v>
      </c>
      <c r="EB36">
        <v>6</v>
      </c>
      <c r="EC36">
        <v>9.6103993018061759E-2</v>
      </c>
      <c r="ED36">
        <v>0.62383293713478694</v>
      </c>
      <c r="EE36" s="13">
        <v>3.0125099999999998</v>
      </c>
      <c r="EF36">
        <v>3.0249100000000002</v>
      </c>
      <c r="EG36">
        <v>23.154054054054054</v>
      </c>
      <c r="EH36" t="s">
        <v>2509</v>
      </c>
      <c r="EI36">
        <v>0</v>
      </c>
      <c r="EJ36">
        <v>0</v>
      </c>
      <c r="EK36" s="14">
        <v>45490</v>
      </c>
      <c r="EL36">
        <v>6.93</v>
      </c>
      <c r="EM36">
        <v>-1.62</v>
      </c>
      <c r="EN36">
        <v>-2.06</v>
      </c>
      <c r="EO36">
        <v>1.26</v>
      </c>
      <c r="EP36">
        <v>-1.24</v>
      </c>
    </row>
    <row r="37" spans="1:146" ht="168" hidden="1" x14ac:dyDescent="0.25">
      <c r="A37" s="9"/>
      <c r="B37" s="9"/>
      <c r="C37" s="9" t="str">
        <f>"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amp;CHAR(10)&amp;Basic_Fundamental_Information_Constructure(F37)&amp;CHAR(10)&amp;Basic_Fundamental_Information_Concatenate("单晶PERC太阳能电池片 153.17亿 99.01% 96.16% 5.43%
其他业务 8418.76万 0.54% 1.27% 13.09%
受托加工 6919.63万 0.45% 2.56% 32.03%")</f>
        <v>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
市值158.46934亿, 利润7.57亿; PE; 平均PE20.24; 平均PEG.37, PB1.85; ROIC17.87%; ROE18.13%; 股利率0%; 毛利11.9367%; 净利2.8933%; 上一年度营收增-22.54%, 利润增-67.54%; 当季营收增-67.54%, 利润增-342.17%; 过往5年营收增54.25%, 利润增374.95%
Income profile:
单晶PERC太阳能电池片 153.17亿 99.01% 96.16% 5.43%
其他业务 8418.76万 0.54% 1.27% 13.09%
受托加工 6919.63万 0.45% 2.56% 32.03%</v>
      </c>
      <c r="D37" t="s">
        <v>601</v>
      </c>
      <c r="E37" t="s">
        <v>602</v>
      </c>
      <c r="F37">
        <v>8.67</v>
      </c>
      <c r="G37">
        <v>-0.91</v>
      </c>
      <c r="H37" t="s">
        <v>2635</v>
      </c>
      <c r="I37">
        <v>15846934000</v>
      </c>
      <c r="K37">
        <v>1.85</v>
      </c>
      <c r="L37" t="s">
        <v>753</v>
      </c>
      <c r="M37" t="s">
        <v>1644</v>
      </c>
      <c r="N37" t="s">
        <v>2181</v>
      </c>
      <c r="O37" t="s">
        <v>1169</v>
      </c>
      <c r="P37">
        <v>-67.55</v>
      </c>
      <c r="Q37" t="s">
        <v>1645</v>
      </c>
      <c r="R37">
        <v>-1700000000</v>
      </c>
      <c r="S37" s="7">
        <v>-1.1299999999999999</v>
      </c>
      <c r="T37" t="s">
        <v>233</v>
      </c>
      <c r="U37">
        <v>1597092600</v>
      </c>
      <c r="V37">
        <v>1827789400</v>
      </c>
      <c r="W37">
        <v>3.98</v>
      </c>
      <c r="X37">
        <v>7.0000000000000007E-2</v>
      </c>
      <c r="Y37">
        <v>-3.63</v>
      </c>
      <c r="Z37" t="s">
        <v>1599</v>
      </c>
      <c r="AA37" t="s">
        <v>2182</v>
      </c>
      <c r="AB37" t="s">
        <v>126</v>
      </c>
      <c r="AC37" t="s">
        <v>354</v>
      </c>
      <c r="AD37" t="s">
        <v>2</v>
      </c>
      <c r="AE37">
        <v>129803717</v>
      </c>
      <c r="AF37" t="s">
        <v>1646</v>
      </c>
      <c r="AG37" t="s">
        <v>2183</v>
      </c>
      <c r="AH37" t="s">
        <v>1647</v>
      </c>
      <c r="AI37" t="s">
        <v>2184</v>
      </c>
      <c r="AJ37" t="s">
        <v>1648</v>
      </c>
      <c r="AK37" t="s">
        <v>134</v>
      </c>
      <c r="AL37" t="s">
        <v>1649</v>
      </c>
      <c r="AM37" t="s">
        <v>2</v>
      </c>
      <c r="AN37" t="s">
        <v>2185</v>
      </c>
      <c r="AO37" t="s">
        <v>1231</v>
      </c>
      <c r="AP37" t="s">
        <v>2186</v>
      </c>
      <c r="AQ37" t="s">
        <v>2187</v>
      </c>
      <c r="AR37" t="s">
        <v>2</v>
      </c>
      <c r="AS37" t="s">
        <v>2188</v>
      </c>
      <c r="AT37" t="s">
        <v>2189</v>
      </c>
      <c r="AU37" t="s">
        <v>2190</v>
      </c>
      <c r="AV37" t="s">
        <v>2191</v>
      </c>
      <c r="AW37" t="s">
        <v>1440</v>
      </c>
      <c r="AX37" t="s">
        <v>1041</v>
      </c>
      <c r="AY37" t="s">
        <v>807</v>
      </c>
      <c r="AZ37" t="s">
        <v>603</v>
      </c>
      <c r="BA37" t="s">
        <v>604</v>
      </c>
      <c r="BB37" t="s">
        <v>605</v>
      </c>
      <c r="BC37" t="s">
        <v>1650</v>
      </c>
      <c r="BD37" t="s">
        <v>808</v>
      </c>
      <c r="BE37" t="s">
        <v>26</v>
      </c>
      <c r="BF37" t="s">
        <v>31</v>
      </c>
      <c r="BG37" t="s">
        <v>242</v>
      </c>
      <c r="BH37" t="s">
        <v>1645</v>
      </c>
      <c r="BI37" t="s">
        <v>2510</v>
      </c>
      <c r="BJ37" t="s">
        <v>1041</v>
      </c>
      <c r="BK37" t="s">
        <v>233</v>
      </c>
      <c r="BL37" t="s">
        <v>2511</v>
      </c>
      <c r="BM37" t="s">
        <v>1650</v>
      </c>
      <c r="BN37">
        <v>13.77</v>
      </c>
      <c r="BO37">
        <v>21.97</v>
      </c>
      <c r="BP37" t="s">
        <v>2</v>
      </c>
      <c r="BQ37">
        <v>19.47</v>
      </c>
      <c r="BR37">
        <v>37.25</v>
      </c>
      <c r="BS37">
        <v>-2.33</v>
      </c>
      <c r="BT37" t="s">
        <v>940</v>
      </c>
      <c r="BU37" t="s">
        <v>1882</v>
      </c>
      <c r="BV37">
        <v>16.489999999999998</v>
      </c>
      <c r="BW37">
        <v>13.73</v>
      </c>
      <c r="BX37">
        <v>5.59</v>
      </c>
      <c r="BY37">
        <v>2.79</v>
      </c>
      <c r="BZ37">
        <v>6.64</v>
      </c>
      <c r="CA37">
        <v>-0.75</v>
      </c>
      <c r="CB37">
        <v>5.35</v>
      </c>
      <c r="CC37">
        <v>-24.74</v>
      </c>
      <c r="CD37" t="s">
        <v>170</v>
      </c>
      <c r="CE37" t="s">
        <v>2636</v>
      </c>
      <c r="CF37" s="10">
        <v>-0.6754034861200775</v>
      </c>
      <c r="CG37" s="11">
        <v>-3.4216524216524218</v>
      </c>
      <c r="CH37" s="10">
        <v>-0.22537413239479065</v>
      </c>
      <c r="CI37" s="10">
        <v>1.2671449184417725</v>
      </c>
      <c r="CJ37" s="10">
        <v>0.60088986158370972</v>
      </c>
      <c r="CK37" s="10">
        <v>0.59235453605651855</v>
      </c>
      <c r="CL37" s="10">
        <v>0.4773612916469574</v>
      </c>
      <c r="CM37" s="11">
        <v>-0.67538595199584961</v>
      </c>
      <c r="CN37" s="11">
        <v>19.5079345703125</v>
      </c>
      <c r="CO37" s="11">
        <v>-1.1565217971801758</v>
      </c>
      <c r="CP37" s="11">
        <v>0.37606838345527649</v>
      </c>
      <c r="CQ37" s="11">
        <v>0.69565218687057495</v>
      </c>
      <c r="CR37">
        <v>20.238740740740742</v>
      </c>
      <c r="CS37">
        <v>0.37308133522001791</v>
      </c>
      <c r="CT37">
        <v>0</v>
      </c>
      <c r="CU37" s="10">
        <v>0.54247529506683345</v>
      </c>
      <c r="CV37" s="11">
        <v>3.7495494782924652</v>
      </c>
      <c r="CW37">
        <v>0.06</v>
      </c>
      <c r="CX37">
        <v>29.596144069733811</v>
      </c>
      <c r="CY37">
        <v>1101560187.1373518</v>
      </c>
      <c r="CZ37">
        <v>0.54247529506683345</v>
      </c>
      <c r="DA37">
        <v>6.7346515399717299</v>
      </c>
      <c r="DB37">
        <v>4840923662.716609</v>
      </c>
      <c r="DC37">
        <v>0.51535153031349179</v>
      </c>
      <c r="DD37">
        <v>1.9220695147153024</v>
      </c>
      <c r="DE37">
        <v>16961891206.535789</v>
      </c>
      <c r="DF37">
        <v>0.47737825965881342</v>
      </c>
      <c r="DG37">
        <v>0.57513194227129261</v>
      </c>
      <c r="DH37">
        <v>56686008207.524498</v>
      </c>
      <c r="DI37">
        <v>0.43398023605346681</v>
      </c>
      <c r="DJ37">
        <v>5.1474470947339424E-2</v>
      </c>
      <c r="DK37">
        <v>633361225477.25</v>
      </c>
      <c r="DL37">
        <v>0.37973270654678337</v>
      </c>
      <c r="DM37">
        <v>757000000</v>
      </c>
      <c r="DN37">
        <v>0.54247529506683345</v>
      </c>
      <c r="DO37">
        <v>32601934000</v>
      </c>
      <c r="DP37">
        <v>-3980430600</v>
      </c>
      <c r="DQ37">
        <v>3414</v>
      </c>
      <c r="DR37">
        <v>-1.217878781186911</v>
      </c>
      <c r="DS37">
        <v>-7.1712018999448865</v>
      </c>
      <c r="DT37" s="12">
        <v>0.17666666666666667</v>
      </c>
      <c r="DU37">
        <v>-1.2816666666666667</v>
      </c>
      <c r="DV37">
        <v>-1.105</v>
      </c>
      <c r="DW37">
        <v>6.1777999335327349</v>
      </c>
      <c r="DX37">
        <v>0.39964824120603137</v>
      </c>
      <c r="DY37">
        <v>6.031941445345705</v>
      </c>
      <c r="DZ37">
        <v>3707</v>
      </c>
      <c r="EA37">
        <v>6.0087562215555099</v>
      </c>
      <c r="EB37">
        <v>6</v>
      </c>
      <c r="EC37">
        <v>7.8236584586823837E-2</v>
      </c>
      <c r="ED37">
        <v>0.43549875056721526</v>
      </c>
      <c r="EE37" s="13">
        <v>1.0511999999999999</v>
      </c>
      <c r="EF37">
        <v>1.0421</v>
      </c>
      <c r="EG37">
        <v>22.179648241206031</v>
      </c>
      <c r="EH37" t="s">
        <v>958</v>
      </c>
      <c r="EI37">
        <v>0</v>
      </c>
      <c r="EJ37">
        <v>0</v>
      </c>
      <c r="EK37" s="14">
        <v>45490</v>
      </c>
      <c r="EL37">
        <v>4.5</v>
      </c>
      <c r="EM37">
        <v>0.81</v>
      </c>
      <c r="EN37">
        <v>-1.04</v>
      </c>
      <c r="EO37">
        <v>1.98</v>
      </c>
      <c r="EP37">
        <v>-0.91</v>
      </c>
    </row>
    <row r="38" spans="1:146" hidden="1" x14ac:dyDescent="0.25">
      <c r="A38" s="9" t="s">
        <v>1848</v>
      </c>
      <c r="B38" s="9"/>
      <c r="C38" s="9" t="e">
        <f>"公司主营业务是新能源材料的研发、生产及销售，主要产品包括双玻组件玻璃、AR光伏镀膜玻璃和高透光伏玻璃钢化片。公司超薄电子玻璃产能及产品品种、规格均位居国内电子玻璃生产企业前列，行业知名度较高。"&amp;CHAR(10)&amp;Basic_Fundamental_Information_Constructure(#REF!)&amp;CHAR(10)&amp;Basic_Fundamental_Information_Concatenate("新能源玻璃 63.84亿 96.80% 7.47亿 97.76% 11.70%
其他功能玻璃 1.50亿 2.28% -832.48万 -1.09% -5.54%
其他业务 6086.04万 0.92% 2544.50万 3.33% 41.81%")</f>
        <v>#VALUE!</v>
      </c>
      <c r="D38" t="s">
        <v>606</v>
      </c>
      <c r="E38" t="s">
        <v>1043</v>
      </c>
      <c r="F38">
        <v>8.86</v>
      </c>
      <c r="G38">
        <v>0.45</v>
      </c>
      <c r="H38" t="s">
        <v>2637</v>
      </c>
      <c r="I38">
        <v>5720680200</v>
      </c>
      <c r="J38">
        <v>15.22</v>
      </c>
      <c r="K38">
        <v>1.24</v>
      </c>
      <c r="L38" t="s">
        <v>753</v>
      </c>
      <c r="M38" t="s">
        <v>1651</v>
      </c>
      <c r="N38" t="s">
        <v>2192</v>
      </c>
      <c r="O38" t="s">
        <v>438</v>
      </c>
      <c r="P38">
        <v>0.8</v>
      </c>
      <c r="Q38" t="s">
        <v>1652</v>
      </c>
      <c r="R38">
        <v>-51995000</v>
      </c>
      <c r="S38" s="6">
        <v>-1.51</v>
      </c>
      <c r="T38" t="s">
        <v>1206</v>
      </c>
      <c r="U38">
        <v>382445240</v>
      </c>
      <c r="V38">
        <v>645674960</v>
      </c>
      <c r="W38">
        <v>2.4500000000000002</v>
      </c>
      <c r="X38">
        <v>0.12</v>
      </c>
      <c r="Y38">
        <v>0.08</v>
      </c>
      <c r="Z38" t="s">
        <v>2193</v>
      </c>
      <c r="AA38" t="s">
        <v>2194</v>
      </c>
      <c r="AB38" t="s">
        <v>2195</v>
      </c>
      <c r="AC38" t="s">
        <v>2196</v>
      </c>
      <c r="AD38" t="s">
        <v>2</v>
      </c>
      <c r="AE38">
        <v>20700661</v>
      </c>
      <c r="AF38" t="s">
        <v>1653</v>
      </c>
      <c r="AG38">
        <v>886.58</v>
      </c>
      <c r="AH38" t="s">
        <v>1654</v>
      </c>
      <c r="AI38" t="s">
        <v>297</v>
      </c>
      <c r="AJ38" t="s">
        <v>1655</v>
      </c>
      <c r="AK38" t="s">
        <v>2</v>
      </c>
      <c r="AL38" t="s">
        <v>1656</v>
      </c>
      <c r="AM38" t="s">
        <v>2</v>
      </c>
      <c r="AN38" t="s">
        <v>2197</v>
      </c>
      <c r="AO38" t="s">
        <v>1017</v>
      </c>
      <c r="AP38" t="s">
        <v>231</v>
      </c>
      <c r="AQ38" t="s">
        <v>44</v>
      </c>
      <c r="AR38" t="s">
        <v>2</v>
      </c>
      <c r="AS38" t="s">
        <v>1665</v>
      </c>
      <c r="AT38" t="s">
        <v>2198</v>
      </c>
      <c r="AU38" t="s">
        <v>2199</v>
      </c>
      <c r="AV38" t="s">
        <v>906</v>
      </c>
      <c r="AW38" t="s">
        <v>95</v>
      </c>
      <c r="AX38" t="s">
        <v>1044</v>
      </c>
      <c r="AY38" t="s">
        <v>1045</v>
      </c>
      <c r="AZ38" t="s">
        <v>736</v>
      </c>
      <c r="BA38" t="s">
        <v>338</v>
      </c>
      <c r="BB38" t="s">
        <v>394</v>
      </c>
      <c r="BC38" t="s">
        <v>452</v>
      </c>
      <c r="BD38" t="s">
        <v>322</v>
      </c>
      <c r="BE38" t="s">
        <v>360</v>
      </c>
      <c r="BF38" t="s">
        <v>607</v>
      </c>
      <c r="BG38" t="s">
        <v>608</v>
      </c>
      <c r="BH38" t="s">
        <v>1652</v>
      </c>
      <c r="BI38" t="s">
        <v>2512</v>
      </c>
      <c r="BJ38" t="s">
        <v>2</v>
      </c>
      <c r="BK38" t="s">
        <v>1206</v>
      </c>
      <c r="BL38" t="s">
        <v>2513</v>
      </c>
      <c r="BM38" t="s">
        <v>452</v>
      </c>
      <c r="BN38">
        <v>3.72</v>
      </c>
      <c r="BO38">
        <v>7.39</v>
      </c>
      <c r="BP38">
        <v>8.11</v>
      </c>
      <c r="BQ38">
        <v>4.57</v>
      </c>
      <c r="BR38">
        <v>10.130000000000001</v>
      </c>
      <c r="BS38">
        <v>10.63</v>
      </c>
      <c r="BT38" t="s">
        <v>940</v>
      </c>
      <c r="BU38" t="s">
        <v>1868</v>
      </c>
      <c r="BV38">
        <v>11.58</v>
      </c>
      <c r="BW38">
        <v>11.85</v>
      </c>
      <c r="BX38">
        <v>24.08</v>
      </c>
      <c r="BY38">
        <v>7.05</v>
      </c>
      <c r="BZ38">
        <v>9.1300000000000008</v>
      </c>
      <c r="CA38">
        <v>9.57</v>
      </c>
      <c r="CB38">
        <v>2.0699999999999998</v>
      </c>
      <c r="CC38">
        <v>-21.24</v>
      </c>
      <c r="CD38" t="s">
        <v>2638</v>
      </c>
      <c r="CE38" t="s">
        <v>2639</v>
      </c>
      <c r="CF38" s="10" t="s">
        <v>2</v>
      </c>
      <c r="CG38" s="11">
        <v>-5.1775803056354555</v>
      </c>
      <c r="CH38" s="10">
        <v>0.31113311648368835</v>
      </c>
      <c r="CI38" s="10">
        <v>0.38720360398292542</v>
      </c>
      <c r="CJ38" s="10">
        <v>7.2463750839233398E-2</v>
      </c>
      <c r="CK38" s="10">
        <v>0.82264143228530884</v>
      </c>
      <c r="CL38" s="10">
        <v>0.32216677069664001</v>
      </c>
      <c r="CM38" s="11">
        <v>-3.4229829907417297E-2</v>
      </c>
      <c r="CN38" s="11">
        <v>0.59765625</v>
      </c>
      <c r="CO38" s="11">
        <v>-0.31367293000221252</v>
      </c>
      <c r="CP38" s="11">
        <v>5.9074201583862305</v>
      </c>
      <c r="CQ38" s="11">
        <v>2.4515094757080078</v>
      </c>
      <c r="CR38">
        <v>22.842438920378545</v>
      </c>
      <c r="CS38">
        <v>0.59621882138509141</v>
      </c>
      <c r="CT38">
        <v>0</v>
      </c>
      <c r="CU38" s="10">
        <v>0.38312173485755918</v>
      </c>
      <c r="CV38" s="11">
        <v>1.7217366248369217</v>
      </c>
      <c r="CW38">
        <v>0.06</v>
      </c>
      <c r="CX38">
        <v>15.600594658856435</v>
      </c>
      <c r="CY38">
        <v>515408571.00824147</v>
      </c>
      <c r="CZ38">
        <v>0.38312173485755918</v>
      </c>
      <c r="DA38">
        <v>4.0125934695757417</v>
      </c>
      <c r="DB38">
        <v>2003861158.8654544</v>
      </c>
      <c r="DC38">
        <v>0.36396564811468118</v>
      </c>
      <c r="DD38">
        <v>1.3927423802732732</v>
      </c>
      <c r="DE38">
        <v>5773271721.9550104</v>
      </c>
      <c r="DF38">
        <v>0.33714712667465208</v>
      </c>
      <c r="DG38">
        <v>0.54158161199051402</v>
      </c>
      <c r="DH38">
        <v>14846663959.744694</v>
      </c>
      <c r="DI38">
        <v>0.30649738788604736</v>
      </c>
      <c r="DJ38">
        <v>9.519754288870419E-2</v>
      </c>
      <c r="DK38">
        <v>84463106462.741272</v>
      </c>
      <c r="DL38">
        <v>0.26818521440029142</v>
      </c>
      <c r="DM38">
        <v>395000000</v>
      </c>
      <c r="DN38">
        <v>0.38312173485755918</v>
      </c>
      <c r="DO38">
        <v>8040680200</v>
      </c>
      <c r="DP38">
        <v>-1012800</v>
      </c>
      <c r="DQ38">
        <v>3537</v>
      </c>
      <c r="DR38" t="e">
        <v>#VALUE!</v>
      </c>
      <c r="DS38">
        <v>-6.8993169304723772</v>
      </c>
      <c r="DT38" s="12">
        <v>0.20999999999999996</v>
      </c>
      <c r="DU38">
        <v>7.1833333333333416E-2</v>
      </c>
      <c r="DV38">
        <v>0.28183333333333338</v>
      </c>
      <c r="DW38">
        <v>-3.0592619047619047</v>
      </c>
      <c r="DX38">
        <v>0.35205519821010683</v>
      </c>
      <c r="DY38">
        <v>-3.0090110806748798</v>
      </c>
      <c r="DZ38">
        <v>1166</v>
      </c>
      <c r="EA38">
        <v>-3.0069537240923636</v>
      </c>
      <c r="EB38">
        <v>3</v>
      </c>
      <c r="EC38">
        <v>1.4304410999615038E-2</v>
      </c>
      <c r="ED38">
        <v>9.407380456569045E-2</v>
      </c>
      <c r="EE38" s="13">
        <v>-1.0056099999999999</v>
      </c>
      <c r="EF38">
        <v>-1.0011099999999999</v>
      </c>
      <c r="EG38">
        <v>20.152055198210107</v>
      </c>
      <c r="EH38" t="s">
        <v>969</v>
      </c>
      <c r="EI38">
        <v>0</v>
      </c>
      <c r="EJ38">
        <v>1</v>
      </c>
      <c r="EK38" s="14">
        <v>45490</v>
      </c>
      <c r="EL38">
        <v>4.38</v>
      </c>
      <c r="EM38">
        <v>0.66</v>
      </c>
      <c r="EN38">
        <v>-2.74</v>
      </c>
      <c r="EO38">
        <v>-0.56000000000000005</v>
      </c>
      <c r="EP38">
        <v>0.45</v>
      </c>
    </row>
    <row r="39" spans="1:146" hidden="1" x14ac:dyDescent="0.25">
      <c r="A39" s="9"/>
      <c r="B39" s="9"/>
      <c r="C39" s="9" t="e">
        <f>"公司主要从事单晶硅棒,硅片,电池和组件的研发,生产和销售，为光伏集中式地面电站和分布式屋顶开发提供产品和系统解决方案。公司的主要产品为太阳能组件及电池、硅片及硅棒、电站建设及服务、电力。"&amp;CHAR(10)&amp;Basic_Fundamental_Information_Constructure(F39)&amp;CHAR(10)&amp;Basic_Fundamental_Information_Concatenate("太阳能组件及电池 584.54亿 72.23% 61.02% 17.06%
硅片及硅棒 170.28亿 21.04% 28.70% 27.55%
电站建设及服务 19.42亿 2.40% 2.04% 17.17%
受托加工 17.63亿 2.18% 1.61% 14.93%
其他 11.82亿 1.46% 4.49% 62.03%
电力 5.62亿 0.69% 2.14% 62.15%")</f>
        <v>#VALUE!</v>
      </c>
      <c r="D39" t="s">
        <v>609</v>
      </c>
      <c r="E39" t="s">
        <v>2640</v>
      </c>
      <c r="F39">
        <v>14.1</v>
      </c>
      <c r="G39">
        <v>0.21</v>
      </c>
      <c r="H39" t="s">
        <v>2641</v>
      </c>
      <c r="I39">
        <v>106850431000</v>
      </c>
      <c r="J39">
        <v>22.43</v>
      </c>
      <c r="K39">
        <v>1.58</v>
      </c>
      <c r="L39" t="s">
        <v>753</v>
      </c>
      <c r="M39" t="s">
        <v>1657</v>
      </c>
      <c r="N39" t="s">
        <v>2200</v>
      </c>
      <c r="O39" t="s">
        <v>1658</v>
      </c>
      <c r="P39">
        <v>-37.590000000000003</v>
      </c>
      <c r="Q39" t="s">
        <v>1659</v>
      </c>
      <c r="R39">
        <v>-5150000000</v>
      </c>
      <c r="S39" s="6">
        <v>-1.6459999999999999</v>
      </c>
      <c r="T39" t="s">
        <v>1660</v>
      </c>
      <c r="U39">
        <v>7578037200</v>
      </c>
      <c r="V39">
        <v>7578044800</v>
      </c>
      <c r="W39">
        <v>2.46</v>
      </c>
      <c r="X39">
        <v>0.11</v>
      </c>
      <c r="Y39">
        <v>-13.34</v>
      </c>
      <c r="Z39" t="s">
        <v>2201</v>
      </c>
      <c r="AA39" t="s">
        <v>2202</v>
      </c>
      <c r="AB39" t="s">
        <v>379</v>
      </c>
      <c r="AC39" t="s">
        <v>1281</v>
      </c>
      <c r="AD39" t="s">
        <v>2</v>
      </c>
      <c r="AE39">
        <v>-173179220</v>
      </c>
      <c r="AF39" t="s">
        <v>1661</v>
      </c>
      <c r="AG39" t="s">
        <v>2203</v>
      </c>
      <c r="AH39" t="s">
        <v>1662</v>
      </c>
      <c r="AI39" t="s">
        <v>2204</v>
      </c>
      <c r="AJ39" t="s">
        <v>1663</v>
      </c>
      <c r="AK39" t="s">
        <v>872</v>
      </c>
      <c r="AL39" t="s">
        <v>1664</v>
      </c>
      <c r="AM39" t="s">
        <v>2</v>
      </c>
      <c r="AN39" t="s">
        <v>993</v>
      </c>
      <c r="AO39" t="s">
        <v>83</v>
      </c>
      <c r="AP39" t="s">
        <v>2205</v>
      </c>
      <c r="AQ39" t="s">
        <v>2206</v>
      </c>
      <c r="AR39" t="s">
        <v>2207</v>
      </c>
      <c r="AS39" t="s">
        <v>2208</v>
      </c>
      <c r="AT39" t="s">
        <v>2209</v>
      </c>
      <c r="AU39" t="s">
        <v>2210</v>
      </c>
      <c r="AV39" t="s">
        <v>2211</v>
      </c>
      <c r="AW39" t="s">
        <v>2212</v>
      </c>
      <c r="AX39" t="s">
        <v>1046</v>
      </c>
      <c r="AY39" t="s">
        <v>1048</v>
      </c>
      <c r="AZ39" t="s">
        <v>610</v>
      </c>
      <c r="BA39" t="s">
        <v>612</v>
      </c>
      <c r="BB39" t="s">
        <v>613</v>
      </c>
      <c r="BC39" t="s">
        <v>1047</v>
      </c>
      <c r="BD39" t="s">
        <v>809</v>
      </c>
      <c r="BE39" t="s">
        <v>611</v>
      </c>
      <c r="BF39" t="s">
        <v>614</v>
      </c>
      <c r="BG39" t="s">
        <v>615</v>
      </c>
      <c r="BH39" t="s">
        <v>1659</v>
      </c>
      <c r="BI39" t="s">
        <v>2514</v>
      </c>
      <c r="BJ39" t="s">
        <v>2</v>
      </c>
      <c r="BK39" t="s">
        <v>1660</v>
      </c>
      <c r="BL39" t="s">
        <v>2515</v>
      </c>
      <c r="BM39" t="s">
        <v>1047</v>
      </c>
      <c r="BN39">
        <v>13.44</v>
      </c>
      <c r="BO39">
        <v>23.06</v>
      </c>
      <c r="BP39">
        <v>18.170000000000002</v>
      </c>
      <c r="BQ39">
        <v>17.37</v>
      </c>
      <c r="BR39">
        <v>26.95</v>
      </c>
      <c r="BS39">
        <v>21.45</v>
      </c>
      <c r="BT39" t="s">
        <v>1003</v>
      </c>
      <c r="BU39" t="s">
        <v>1882</v>
      </c>
      <c r="BV39">
        <v>18.260000000000002</v>
      </c>
      <c r="BW39">
        <v>15.38</v>
      </c>
      <c r="BX39">
        <v>20.190000000000001</v>
      </c>
      <c r="BY39">
        <v>8.25</v>
      </c>
      <c r="BZ39">
        <v>11.44</v>
      </c>
      <c r="CA39">
        <v>11.21</v>
      </c>
      <c r="CB39">
        <v>5.3</v>
      </c>
      <c r="CC39">
        <v>-23.62</v>
      </c>
      <c r="CD39" t="s">
        <v>2632</v>
      </c>
      <c r="CE39" t="s">
        <v>2642</v>
      </c>
      <c r="CF39" s="10" t="s">
        <v>2</v>
      </c>
      <c r="CG39" s="11">
        <v>-2.4160021996150678</v>
      </c>
      <c r="CH39" s="10">
        <v>3.8760192692279816E-3</v>
      </c>
      <c r="CI39" s="10">
        <v>0.60031259059906006</v>
      </c>
      <c r="CJ39" s="10">
        <v>0.47679680585861206</v>
      </c>
      <c r="CK39" s="10">
        <v>0.65920913219451904</v>
      </c>
      <c r="CL39" s="10">
        <v>0.49613425135612488</v>
      </c>
      <c r="CM39" s="11">
        <v>-0.27416962385177612</v>
      </c>
      <c r="CN39" s="11">
        <v>0.63020032644271851</v>
      </c>
      <c r="CO39" s="11">
        <v>6.2441550195217133E-2</v>
      </c>
      <c r="CP39" s="11">
        <v>0.6196969747543335</v>
      </c>
      <c r="CQ39" s="11">
        <v>1.0641125440597534</v>
      </c>
      <c r="CR39">
        <v>12.561033445012637</v>
      </c>
      <c r="CS39">
        <v>0.28084048841723397</v>
      </c>
      <c r="CT39">
        <v>1.2056737588652482</v>
      </c>
      <c r="CU39" s="10">
        <v>0.44726575985550882</v>
      </c>
      <c r="CV39" s="11">
        <v>0.4204563543200493</v>
      </c>
      <c r="CW39">
        <v>0.06</v>
      </c>
      <c r="CX39">
        <v>8.9750667150699641</v>
      </c>
      <c r="CY39">
        <v>14678824702.081673</v>
      </c>
      <c r="CZ39">
        <v>0.44726575985550882</v>
      </c>
      <c r="DA39">
        <v>2.1959478461954056</v>
      </c>
      <c r="DB39">
        <v>59993879740.018593</v>
      </c>
      <c r="DC39">
        <v>0.42490247186273333</v>
      </c>
      <c r="DD39">
        <v>0.70445987180070802</v>
      </c>
      <c r="DE39">
        <v>187013393201.86328</v>
      </c>
      <c r="DF39">
        <v>0.39359386867284774</v>
      </c>
      <c r="DG39">
        <v>0.2467079332019371</v>
      </c>
      <c r="DH39">
        <v>534005653122.48981</v>
      </c>
      <c r="DI39">
        <v>0.35781260788440705</v>
      </c>
      <c r="DJ39">
        <v>3.307874498061051E-2</v>
      </c>
      <c r="DK39">
        <v>3982721565682.8257</v>
      </c>
      <c r="DL39">
        <v>0.31308603189885614</v>
      </c>
      <c r="DM39">
        <v>10751000000</v>
      </c>
      <c r="DN39">
        <v>0.44726575985550882</v>
      </c>
      <c r="DO39">
        <v>131743431000</v>
      </c>
      <c r="DP39">
        <v>30104327000</v>
      </c>
      <c r="DQ39">
        <v>3627</v>
      </c>
      <c r="DR39" t="e">
        <v>#VALUE!</v>
      </c>
      <c r="DS39">
        <v>-2.8364585539351173</v>
      </c>
      <c r="DT39" s="12">
        <v>0.32666666666666661</v>
      </c>
      <c r="DU39">
        <v>-0.33166666666666683</v>
      </c>
      <c r="DV39">
        <v>-5.0000000000002265E-3</v>
      </c>
      <c r="DW39">
        <v>6.1832641770401109</v>
      </c>
      <c r="DX39">
        <v>0.37199498918844426</v>
      </c>
      <c r="DY39">
        <v>6.035185803689445</v>
      </c>
      <c r="DZ39">
        <v>1798</v>
      </c>
      <c r="EA39">
        <v>6.0227980858446006</v>
      </c>
      <c r="EB39">
        <v>6</v>
      </c>
      <c r="EC39">
        <v>8.1023537891990294E-2</v>
      </c>
      <c r="ED39">
        <v>0.4220085898674022</v>
      </c>
      <c r="EE39" s="13">
        <v>2.1012</v>
      </c>
      <c r="EF39">
        <v>2.1032999999999999</v>
      </c>
      <c r="EG39">
        <v>18.191994989188444</v>
      </c>
      <c r="EH39" t="s">
        <v>972</v>
      </c>
      <c r="EI39">
        <v>0</v>
      </c>
      <c r="EJ39">
        <v>0</v>
      </c>
      <c r="EK39" s="14">
        <v>45490</v>
      </c>
      <c r="EL39">
        <v>4.87</v>
      </c>
      <c r="EM39">
        <v>-0.28000000000000003</v>
      </c>
      <c r="EN39">
        <v>-0.86</v>
      </c>
      <c r="EO39">
        <v>1.3</v>
      </c>
      <c r="EP39">
        <v>0.21</v>
      </c>
    </row>
    <row r="40" spans="1:146" ht="96" hidden="1" x14ac:dyDescent="0.25">
      <c r="A40" s="9"/>
      <c r="B40" s="9"/>
      <c r="C40" s="9" t="str">
        <f>""&amp;CHAR(10)&amp;Basic_Fundamental_Information_Constructure(F40)&amp;CHAR(10)&amp;Basic_Fundamental_Information_Concatenate("")</f>
        <v xml:space="preserve">
市值438.99224亿, 利润27.60亿; PE14.59; 平均PE27; 平均PEG.56, PB1.96; ROIC11.8733%; ROE16.0133%; 股利率2.0354%; 毛利26.4567%; 净利16.9667%; 上一年度营收增39.21%, 利润增30%; 当季营收增6.73%, 利润增48.7%; 过往5年营收增48.59%, 利润增52.73%
Income profile:
</v>
      </c>
      <c r="D40" t="s">
        <v>616</v>
      </c>
      <c r="E40" t="s">
        <v>617</v>
      </c>
      <c r="F40">
        <v>18.670000000000002</v>
      </c>
      <c r="G40">
        <v>-0.53</v>
      </c>
      <c r="H40" t="s">
        <v>2643</v>
      </c>
      <c r="I40">
        <v>43899224000</v>
      </c>
      <c r="J40">
        <v>14.59</v>
      </c>
      <c r="K40">
        <v>1.96</v>
      </c>
      <c r="L40" t="s">
        <v>753</v>
      </c>
      <c r="M40" t="s">
        <v>484</v>
      </c>
      <c r="N40" t="s">
        <v>2213</v>
      </c>
      <c r="O40" t="s">
        <v>1666</v>
      </c>
      <c r="P40">
        <v>6.73</v>
      </c>
      <c r="Q40" t="s">
        <v>1667</v>
      </c>
      <c r="R40">
        <v>759878700</v>
      </c>
      <c r="S40" s="6">
        <v>0.48570000000000002</v>
      </c>
      <c r="T40" t="s">
        <v>1287</v>
      </c>
      <c r="U40">
        <v>1899204300</v>
      </c>
      <c r="V40">
        <v>2351324300</v>
      </c>
      <c r="W40">
        <v>1.89</v>
      </c>
      <c r="X40">
        <v>0.13</v>
      </c>
      <c r="Y40">
        <v>13.25</v>
      </c>
      <c r="Z40" t="s">
        <v>2214</v>
      </c>
      <c r="AA40" t="s">
        <v>2215</v>
      </c>
      <c r="AB40" t="s">
        <v>2216</v>
      </c>
      <c r="AC40" t="s">
        <v>2217</v>
      </c>
      <c r="AD40" t="s">
        <v>2</v>
      </c>
      <c r="AE40">
        <v>99200203</v>
      </c>
      <c r="AF40" t="s">
        <v>1668</v>
      </c>
      <c r="AG40" t="s">
        <v>2218</v>
      </c>
      <c r="AH40" t="s">
        <v>1669</v>
      </c>
      <c r="AI40" t="s">
        <v>2219</v>
      </c>
      <c r="AJ40" t="s">
        <v>1670</v>
      </c>
      <c r="AK40" t="s">
        <v>2220</v>
      </c>
      <c r="AL40" t="s">
        <v>1671</v>
      </c>
      <c r="AM40" t="s">
        <v>2</v>
      </c>
      <c r="AN40" t="s">
        <v>1222</v>
      </c>
      <c r="AO40" t="s">
        <v>865</v>
      </c>
      <c r="AP40" t="s">
        <v>682</v>
      </c>
      <c r="AQ40" t="s">
        <v>2221</v>
      </c>
      <c r="AR40" t="s">
        <v>2</v>
      </c>
      <c r="AS40" t="s">
        <v>1557</v>
      </c>
      <c r="AT40" t="s">
        <v>2222</v>
      </c>
      <c r="AU40" t="s">
        <v>191</v>
      </c>
      <c r="AV40" t="s">
        <v>2223</v>
      </c>
      <c r="AW40" t="s">
        <v>2224</v>
      </c>
      <c r="AX40" t="s">
        <v>1049</v>
      </c>
      <c r="AY40" t="s">
        <v>811</v>
      </c>
      <c r="AZ40" t="s">
        <v>618</v>
      </c>
      <c r="BA40" t="s">
        <v>463</v>
      </c>
      <c r="BB40" t="s">
        <v>371</v>
      </c>
      <c r="BC40" t="s">
        <v>927</v>
      </c>
      <c r="BD40" t="s">
        <v>812</v>
      </c>
      <c r="BE40" t="s">
        <v>481</v>
      </c>
      <c r="BF40" t="s">
        <v>433</v>
      </c>
      <c r="BG40" t="s">
        <v>350</v>
      </c>
      <c r="BH40" t="s">
        <v>1667</v>
      </c>
      <c r="BI40" t="s">
        <v>2516</v>
      </c>
      <c r="BJ40" t="s">
        <v>1049</v>
      </c>
      <c r="BK40" t="s">
        <v>1287</v>
      </c>
      <c r="BL40" t="s">
        <v>2517</v>
      </c>
      <c r="BM40" t="s">
        <v>927</v>
      </c>
      <c r="BN40">
        <v>7.25</v>
      </c>
      <c r="BO40">
        <v>11.42</v>
      </c>
      <c r="BP40">
        <v>16.95</v>
      </c>
      <c r="BQ40">
        <v>12.04</v>
      </c>
      <c r="BR40">
        <v>16</v>
      </c>
      <c r="BS40">
        <v>20</v>
      </c>
      <c r="BT40" t="s">
        <v>1672</v>
      </c>
      <c r="BU40" t="s">
        <v>1868</v>
      </c>
      <c r="BV40">
        <v>21.8</v>
      </c>
      <c r="BW40">
        <v>22.07</v>
      </c>
      <c r="BX40">
        <v>35.5</v>
      </c>
      <c r="BY40">
        <v>12.84</v>
      </c>
      <c r="BZ40">
        <v>13.73</v>
      </c>
      <c r="CA40">
        <v>24.33</v>
      </c>
      <c r="CB40">
        <v>1.91</v>
      </c>
      <c r="CC40">
        <v>-24.17</v>
      </c>
      <c r="CD40" t="s">
        <v>2644</v>
      </c>
      <c r="CE40" t="s">
        <v>2645</v>
      </c>
      <c r="CF40" s="10">
        <v>6.7287977632805224E-2</v>
      </c>
      <c r="CG40" s="11">
        <v>0.48704246575342447</v>
      </c>
      <c r="CH40" s="10">
        <v>0.39214801788330078</v>
      </c>
      <c r="CI40" s="10">
        <v>0.77447497844696045</v>
      </c>
      <c r="CJ40" s="10">
        <v>0.39185309410095215</v>
      </c>
      <c r="CK40" s="10">
        <v>0.30226746201515198</v>
      </c>
      <c r="CL40" s="10">
        <v>0.56886422634124756</v>
      </c>
      <c r="CM40" s="11">
        <v>0.30004706978797913</v>
      </c>
      <c r="CN40" s="11">
        <v>1.4151245122775435E-3</v>
      </c>
      <c r="CO40" s="11">
        <v>0.3014119565486908</v>
      </c>
      <c r="CP40" s="11">
        <v>1.2719664573669434</v>
      </c>
      <c r="CQ40" s="11">
        <v>0.76167076826095581</v>
      </c>
      <c r="CR40">
        <v>26.998292742927429</v>
      </c>
      <c r="CS40">
        <v>0.55561010667326149</v>
      </c>
      <c r="CT40">
        <v>2.0353508302088912</v>
      </c>
      <c r="CU40" s="10">
        <v>0.48592155575752261</v>
      </c>
      <c r="CV40" s="11">
        <v>0.52730227529536933</v>
      </c>
      <c r="CW40">
        <v>0.06</v>
      </c>
      <c r="CX40">
        <v>10.762261185386274</v>
      </c>
      <c r="CY40">
        <v>3869003296.1233606</v>
      </c>
      <c r="CZ40">
        <v>0.48592155575752261</v>
      </c>
      <c r="DA40">
        <v>2.5562050702754506</v>
      </c>
      <c r="DB40">
        <v>16289469293.444855</v>
      </c>
      <c r="DC40">
        <v>0.46162547796964648</v>
      </c>
      <c r="DD40">
        <v>0.7819810851276775</v>
      </c>
      <c r="DE40">
        <v>53248377476.037521</v>
      </c>
      <c r="DF40">
        <v>0.42761096906661988</v>
      </c>
      <c r="DG40">
        <v>0.2569536763123213</v>
      </c>
      <c r="DH40">
        <v>162049535922.53134</v>
      </c>
      <c r="DI40">
        <v>0.38873724460601811</v>
      </c>
      <c r="DJ40">
        <v>2.9235673557888784E-2</v>
      </c>
      <c r="DK40">
        <v>1424260806495.5737</v>
      </c>
      <c r="DL40">
        <v>0.3401450890302658</v>
      </c>
      <c r="DM40">
        <v>2760000000</v>
      </c>
      <c r="DN40">
        <v>0.48592155575752261</v>
      </c>
      <c r="DO40">
        <v>41639224000</v>
      </c>
      <c r="DP40">
        <v>8140931000</v>
      </c>
      <c r="DQ40">
        <v>3794</v>
      </c>
      <c r="DR40">
        <v>-0.41863357812471735</v>
      </c>
      <c r="DS40">
        <v>-4.0259809541944858E-2</v>
      </c>
      <c r="DT40" s="12">
        <v>0.37666666666666654</v>
      </c>
      <c r="DU40">
        <v>0.95333333333333325</v>
      </c>
      <c r="DV40">
        <v>1.3299999999999998</v>
      </c>
      <c r="DW40">
        <v>-3.0923988095238095</v>
      </c>
      <c r="DX40">
        <v>0.36996122448979435</v>
      </c>
      <c r="DY40">
        <v>-3.0166282029033042</v>
      </c>
      <c r="DZ40">
        <v>94</v>
      </c>
      <c r="EA40">
        <v>-3.0163221423838387</v>
      </c>
      <c r="EB40">
        <v>3</v>
      </c>
      <c r="EC40">
        <v>2.6251887074870958E-2</v>
      </c>
      <c r="ED40">
        <v>0.14587524145435829</v>
      </c>
      <c r="EE40" s="13">
        <v>0.12770000000000001</v>
      </c>
      <c r="EF40">
        <v>0.12240000000000001</v>
      </c>
      <c r="EG40">
        <v>19.179961224489794</v>
      </c>
      <c r="EH40" t="s">
        <v>833</v>
      </c>
      <c r="EI40">
        <v>0</v>
      </c>
      <c r="EJ40">
        <v>1</v>
      </c>
      <c r="EK40" s="14">
        <v>45490</v>
      </c>
      <c r="EL40">
        <v>3.11</v>
      </c>
      <c r="EM40">
        <v>1.1599999999999999</v>
      </c>
      <c r="EN40">
        <v>-2.88</v>
      </c>
      <c r="EO40">
        <v>1.1299999999999999</v>
      </c>
      <c r="EP40">
        <v>-0.53</v>
      </c>
    </row>
    <row r="41" spans="1:146" ht="120" hidden="1" x14ac:dyDescent="0.25">
      <c r="A41" s="9"/>
      <c r="B41" s="9"/>
      <c r="C41" s="9" t="s">
        <v>754</v>
      </c>
      <c r="D41" t="s">
        <v>619</v>
      </c>
      <c r="E41" t="s">
        <v>2646</v>
      </c>
      <c r="F41">
        <v>16.22</v>
      </c>
      <c r="G41">
        <v>-0.55000000000000004</v>
      </c>
      <c r="H41" t="s">
        <v>2647</v>
      </c>
      <c r="I41">
        <v>11013740100</v>
      </c>
      <c r="K41">
        <v>0.75600000000000001</v>
      </c>
      <c r="L41" t="s">
        <v>753</v>
      </c>
      <c r="M41" t="s">
        <v>1674</v>
      </c>
      <c r="N41" t="s">
        <v>2225</v>
      </c>
      <c r="O41" t="s">
        <v>694</v>
      </c>
      <c r="P41">
        <v>-37.64</v>
      </c>
      <c r="Q41" t="s">
        <v>1675</v>
      </c>
      <c r="R41">
        <v>-950000000</v>
      </c>
      <c r="S41" s="6">
        <v>-1.2090000000000001</v>
      </c>
      <c r="T41" t="s">
        <v>445</v>
      </c>
      <c r="U41">
        <v>571964310</v>
      </c>
      <c r="V41">
        <v>679022200</v>
      </c>
      <c r="W41">
        <v>2.2000000000000002</v>
      </c>
      <c r="X41">
        <v>7.0000000000000007E-2</v>
      </c>
      <c r="Y41">
        <v>-6.45</v>
      </c>
      <c r="Z41" t="s">
        <v>2226</v>
      </c>
      <c r="AA41" t="s">
        <v>927</v>
      </c>
      <c r="AB41" t="s">
        <v>2227</v>
      </c>
      <c r="AC41" t="s">
        <v>2228</v>
      </c>
      <c r="AD41" t="s">
        <v>2</v>
      </c>
      <c r="AE41">
        <v>30020158</v>
      </c>
      <c r="AF41" t="s">
        <v>1676</v>
      </c>
      <c r="AG41" t="s">
        <v>2229</v>
      </c>
      <c r="AH41" t="s">
        <v>1677</v>
      </c>
      <c r="AI41" t="s">
        <v>2230</v>
      </c>
      <c r="AJ41" t="s">
        <v>1678</v>
      </c>
      <c r="AK41" t="s">
        <v>2</v>
      </c>
      <c r="AL41" t="s">
        <v>1679</v>
      </c>
      <c r="AM41" t="s">
        <v>2</v>
      </c>
      <c r="AN41" t="s">
        <v>697</v>
      </c>
      <c r="AO41" t="s">
        <v>252</v>
      </c>
      <c r="AP41" t="s">
        <v>2231</v>
      </c>
      <c r="AQ41" t="s">
        <v>2232</v>
      </c>
      <c r="AR41" t="s">
        <v>2</v>
      </c>
      <c r="AS41" t="s">
        <v>2233</v>
      </c>
      <c r="AT41" t="s">
        <v>1255</v>
      </c>
      <c r="AU41" t="s">
        <v>74</v>
      </c>
      <c r="AV41" t="s">
        <v>2234</v>
      </c>
      <c r="AW41" t="s">
        <v>2235</v>
      </c>
      <c r="AX41" t="s">
        <v>1050</v>
      </c>
      <c r="AY41" t="s">
        <v>813</v>
      </c>
      <c r="AZ41" t="s">
        <v>412</v>
      </c>
      <c r="BA41" t="s">
        <v>301</v>
      </c>
      <c r="BB41" t="s">
        <v>255</v>
      </c>
      <c r="BC41" t="s">
        <v>932</v>
      </c>
      <c r="BD41" t="s">
        <v>786</v>
      </c>
      <c r="BE41" t="s">
        <v>352</v>
      </c>
      <c r="BF41" t="s">
        <v>76</v>
      </c>
      <c r="BG41" t="s">
        <v>257</v>
      </c>
      <c r="BH41" t="s">
        <v>1675</v>
      </c>
      <c r="BI41" t="s">
        <v>2518</v>
      </c>
      <c r="BJ41" t="s">
        <v>1050</v>
      </c>
      <c r="BK41" t="s">
        <v>445</v>
      </c>
      <c r="BL41" t="s">
        <v>2519</v>
      </c>
      <c r="BM41" t="s">
        <v>932</v>
      </c>
      <c r="BN41">
        <v>10.130000000000001</v>
      </c>
      <c r="BO41">
        <v>30.36</v>
      </c>
      <c r="BP41">
        <v>32.07</v>
      </c>
      <c r="BQ41">
        <v>10.130000000000001</v>
      </c>
      <c r="BR41">
        <v>32.61</v>
      </c>
      <c r="BS41">
        <v>27.58</v>
      </c>
      <c r="BT41" t="s">
        <v>945</v>
      </c>
      <c r="BU41" t="s">
        <v>1905</v>
      </c>
      <c r="BV41">
        <v>15.73</v>
      </c>
      <c r="BW41">
        <v>21.43</v>
      </c>
      <c r="BX41">
        <v>19.75</v>
      </c>
      <c r="BY41">
        <v>6.24</v>
      </c>
      <c r="BZ41">
        <v>13.84</v>
      </c>
      <c r="CA41">
        <v>15.68</v>
      </c>
      <c r="CB41">
        <v>2.4</v>
      </c>
      <c r="CC41">
        <v>-20.8</v>
      </c>
      <c r="CD41" t="s">
        <v>2648</v>
      </c>
      <c r="CE41" t="s">
        <v>150</v>
      </c>
      <c r="CF41" s="10">
        <v>-0.37631653857102199</v>
      </c>
      <c r="CG41" s="11">
        <v>-2.4032496307237814</v>
      </c>
      <c r="CH41" s="10">
        <v>-0.45871558785438538</v>
      </c>
      <c r="CI41" s="10">
        <v>1.0072376728057861</v>
      </c>
      <c r="CJ41" s="10">
        <v>2.6250414848327637</v>
      </c>
      <c r="CK41" s="10">
        <v>2.7357323169708252</v>
      </c>
      <c r="CL41" s="10">
        <v>0.17836257815361023</v>
      </c>
      <c r="CM41" s="11">
        <v>-0.75568747520446777</v>
      </c>
      <c r="CN41" s="11">
        <v>0.77264750003814697</v>
      </c>
      <c r="CO41" s="11">
        <v>2.2222223281860352</v>
      </c>
      <c r="CP41" s="11">
        <v>1.8702702522277832</v>
      </c>
      <c r="CQ41" s="11">
        <v>-7.9601988196372986E-2</v>
      </c>
      <c r="CR41">
        <v>10.322155670103093</v>
      </c>
      <c r="CS41">
        <v>8.4779359170719104E-2</v>
      </c>
      <c r="CT41">
        <v>0.12330456226880396</v>
      </c>
      <c r="CU41" s="10">
        <v>1.2175316929817199</v>
      </c>
      <c r="CV41" s="11">
        <v>0.80597012341022489</v>
      </c>
      <c r="CW41">
        <v>0.06</v>
      </c>
      <c r="CX41">
        <v>8.8220326442551826</v>
      </c>
      <c r="CY41">
        <v>1550180174.0560892</v>
      </c>
      <c r="CZ41">
        <v>1.2175316929817199</v>
      </c>
      <c r="DA41">
        <v>1.2644176162884568</v>
      </c>
      <c r="DB41">
        <v>10815841161.833431</v>
      </c>
      <c r="DC41">
        <v>1.156655108332634</v>
      </c>
      <c r="DD41">
        <v>0.16477191441703409</v>
      </c>
      <c r="DE41">
        <v>82998004534.844467</v>
      </c>
      <c r="DF41">
        <v>1.0714278898239136</v>
      </c>
      <c r="DG41">
        <v>1.7066167192954281E-2</v>
      </c>
      <c r="DH41">
        <v>801336348424.2666</v>
      </c>
      <c r="DI41">
        <v>0.97402535438537596</v>
      </c>
      <c r="DJ41">
        <v>1.1202877847064033E-4</v>
      </c>
      <c r="DK41">
        <v>122073455470051.7</v>
      </c>
      <c r="DL41">
        <v>0.85227218508720393</v>
      </c>
      <c r="DM41">
        <v>741000000</v>
      </c>
      <c r="DN41">
        <v>1.2175316929817199</v>
      </c>
      <c r="DO41">
        <v>13675740100</v>
      </c>
      <c r="DP41">
        <v>-1502361000</v>
      </c>
      <c r="DQ41">
        <v>3988</v>
      </c>
      <c r="DR41">
        <v>-1.5938482315527418</v>
      </c>
      <c r="DS41">
        <v>-3.2092197541340064</v>
      </c>
      <c r="DT41" s="12">
        <v>0.67133333333333356</v>
      </c>
      <c r="DU41">
        <v>-8.8666666666666602E-2</v>
      </c>
      <c r="DV41">
        <v>0.582666666666667</v>
      </c>
      <c r="DW41">
        <v>-3.0542857142857143</v>
      </c>
      <c r="DX41">
        <v>0.38211739130434919</v>
      </c>
      <c r="DY41">
        <v>-3.008800658385093</v>
      </c>
      <c r="DZ41">
        <v>651</v>
      </c>
      <c r="EA41">
        <v>-3.0076788200046947</v>
      </c>
      <c r="EB41">
        <v>3</v>
      </c>
      <c r="EC41">
        <v>3.8438949418737711E-2</v>
      </c>
      <c r="ED41">
        <v>0.23710564985945967</v>
      </c>
      <c r="EE41" s="13">
        <v>3.56E-2</v>
      </c>
      <c r="EF41">
        <v>3.0099999999999998E-2</v>
      </c>
      <c r="EG41">
        <v>22.162117391304349</v>
      </c>
      <c r="EH41" t="s">
        <v>833</v>
      </c>
      <c r="EI41">
        <v>0</v>
      </c>
      <c r="EJ41">
        <v>1</v>
      </c>
      <c r="EK41" s="14">
        <v>45490</v>
      </c>
      <c r="EL41">
        <v>5.1100000000000003</v>
      </c>
      <c r="EM41">
        <v>0.12</v>
      </c>
      <c r="EN41">
        <v>-2.52</v>
      </c>
      <c r="EO41">
        <v>0.37</v>
      </c>
      <c r="EP41">
        <v>-0.55000000000000004</v>
      </c>
    </row>
    <row r="42" spans="1:146" ht="96" hidden="1" x14ac:dyDescent="0.25">
      <c r="A42" s="9"/>
      <c r="B42" s="9"/>
      <c r="C42" s="9" t="str">
        <f>""&amp;CHAR(10)&amp;Basic_Fundamental_Information_Constructure(F42)&amp;CHAR(10)&amp;Basic_Fundamental_Information_Concatenate("")</f>
        <v xml:space="preserve">
市值44.011558亿, 利润1.04亿; PE44.47; 平均PE25.99; 平均PEG1.47, PB1.46; ROIC4.6733%; ROE5.9767%; 股利率.7157%; 毛利12.8033%; 净利4.09%; 上一年度营收增1.24%, 利润增-39.18%; 当季营收增-14.99%, 利润增-155.74%; 过往5年营收增17.73%, 利润增-9.45%
Income profile:
</v>
      </c>
      <c r="D42" t="s">
        <v>620</v>
      </c>
      <c r="E42" t="s">
        <v>621</v>
      </c>
      <c r="F42">
        <v>10.06</v>
      </c>
      <c r="G42">
        <v>0</v>
      </c>
      <c r="H42" t="s">
        <v>2649</v>
      </c>
      <c r="I42">
        <v>4401155800</v>
      </c>
      <c r="J42">
        <v>44.47</v>
      </c>
      <c r="K42">
        <v>1.46</v>
      </c>
      <c r="L42" t="s">
        <v>753</v>
      </c>
      <c r="M42" t="s">
        <v>1269</v>
      </c>
      <c r="N42" t="s">
        <v>1204</v>
      </c>
      <c r="O42" t="s">
        <v>398</v>
      </c>
      <c r="P42">
        <v>-14.93</v>
      </c>
      <c r="Q42" t="s">
        <v>1680</v>
      </c>
      <c r="R42">
        <v>-18500000</v>
      </c>
      <c r="S42" s="6">
        <v>-0.13980000000000001</v>
      </c>
      <c r="T42" t="s">
        <v>57</v>
      </c>
      <c r="U42">
        <v>437490640</v>
      </c>
      <c r="V42">
        <v>437490640</v>
      </c>
      <c r="W42">
        <v>1.68</v>
      </c>
      <c r="X42">
        <v>0.18</v>
      </c>
      <c r="Y42">
        <v>3.18</v>
      </c>
      <c r="Z42" t="s">
        <v>294</v>
      </c>
      <c r="AA42" t="s">
        <v>730</v>
      </c>
      <c r="AB42" t="s">
        <v>2236</v>
      </c>
      <c r="AC42" t="s">
        <v>2237</v>
      </c>
      <c r="AD42" t="s">
        <v>2</v>
      </c>
      <c r="AE42">
        <v>8061137</v>
      </c>
      <c r="AF42" t="s">
        <v>1681</v>
      </c>
      <c r="AG42" t="s">
        <v>2238</v>
      </c>
      <c r="AH42" t="s">
        <v>1682</v>
      </c>
      <c r="AI42" t="s">
        <v>132</v>
      </c>
      <c r="AJ42" t="s">
        <v>1683</v>
      </c>
      <c r="AK42" t="s">
        <v>146</v>
      </c>
      <c r="AL42" t="s">
        <v>1684</v>
      </c>
      <c r="AM42" t="s">
        <v>2</v>
      </c>
      <c r="AN42" t="s">
        <v>30</v>
      </c>
      <c r="AO42" t="s">
        <v>1181</v>
      </c>
      <c r="AP42" t="s">
        <v>100</v>
      </c>
      <c r="AQ42" t="s">
        <v>253</v>
      </c>
      <c r="AR42" t="s">
        <v>2</v>
      </c>
      <c r="AS42" t="s">
        <v>1019</v>
      </c>
      <c r="AT42" t="s">
        <v>2239</v>
      </c>
      <c r="AU42" t="s">
        <v>2240</v>
      </c>
      <c r="AV42" t="s">
        <v>2241</v>
      </c>
      <c r="AW42" t="s">
        <v>2242</v>
      </c>
      <c r="AX42" t="s">
        <v>1051</v>
      </c>
      <c r="AY42" t="s">
        <v>401</v>
      </c>
      <c r="AZ42" t="s">
        <v>464</v>
      </c>
      <c r="BA42" t="s">
        <v>622</v>
      </c>
      <c r="BB42" t="s">
        <v>623</v>
      </c>
      <c r="BC42" t="s">
        <v>45</v>
      </c>
      <c r="BD42" t="s">
        <v>154</v>
      </c>
      <c r="BE42" t="s">
        <v>29</v>
      </c>
      <c r="BF42" t="s">
        <v>303</v>
      </c>
      <c r="BG42" t="s">
        <v>184</v>
      </c>
      <c r="BH42" t="s">
        <v>1680</v>
      </c>
      <c r="BI42" t="s">
        <v>2520</v>
      </c>
      <c r="BJ42" t="s">
        <v>1051</v>
      </c>
      <c r="BK42" t="s">
        <v>57</v>
      </c>
      <c r="BL42" t="s">
        <v>2521</v>
      </c>
      <c r="BM42" t="s">
        <v>45</v>
      </c>
      <c r="BN42">
        <v>2.57</v>
      </c>
      <c r="BO42">
        <v>5.3</v>
      </c>
      <c r="BP42">
        <v>6.15</v>
      </c>
      <c r="BQ42">
        <v>2.83</v>
      </c>
      <c r="BR42">
        <v>6.47</v>
      </c>
      <c r="BS42">
        <v>8.6300000000000008</v>
      </c>
      <c r="BT42" t="s">
        <v>1686</v>
      </c>
      <c r="BU42" t="s">
        <v>1868</v>
      </c>
      <c r="BV42">
        <v>10.74</v>
      </c>
      <c r="BW42">
        <v>13.04</v>
      </c>
      <c r="BX42">
        <v>14.63</v>
      </c>
      <c r="BY42">
        <v>2.4700000000000002</v>
      </c>
      <c r="BZ42">
        <v>4.1500000000000004</v>
      </c>
      <c r="CA42">
        <v>5.65</v>
      </c>
      <c r="CB42">
        <v>1.82</v>
      </c>
      <c r="CC42">
        <v>-18.53</v>
      </c>
      <c r="CD42" t="s">
        <v>2650</v>
      </c>
      <c r="CE42" t="s">
        <v>49</v>
      </c>
      <c r="CF42" s="10">
        <v>-0.14985590778097982</v>
      </c>
      <c r="CG42" s="11">
        <v>-1.5574035239954684</v>
      </c>
      <c r="CH42" s="10">
        <v>1.2393634766340256E-2</v>
      </c>
      <c r="CI42" s="10">
        <v>0.36393773555755615</v>
      </c>
      <c r="CJ42" s="10">
        <v>0.38204300403594971</v>
      </c>
      <c r="CK42" s="10">
        <v>2.2482434287667274E-2</v>
      </c>
      <c r="CL42" s="10">
        <v>0.10564481467008591</v>
      </c>
      <c r="CM42" s="11">
        <v>-0.39181286096572876</v>
      </c>
      <c r="CN42" s="11">
        <v>5.8823530562222004E-3</v>
      </c>
      <c r="CO42" s="11">
        <v>-0.12371134012937546</v>
      </c>
      <c r="CP42" s="11">
        <v>2.1052632480859756E-2</v>
      </c>
      <c r="CQ42" s="11">
        <v>1.6042780131101608E-2</v>
      </c>
      <c r="CR42">
        <v>25.991077559055118</v>
      </c>
      <c r="CS42">
        <v>1.465935136237394</v>
      </c>
      <c r="CT42">
        <v>0.71570576540755459</v>
      </c>
      <c r="CU42" s="10">
        <v>0.17730032466351986</v>
      </c>
      <c r="CV42" s="11">
        <v>-9.4509287085384128E-2</v>
      </c>
      <c r="CW42">
        <v>0.06</v>
      </c>
      <c r="CX42">
        <v>28.735112429342518</v>
      </c>
      <c r="CY42">
        <v>115508711.09906232</v>
      </c>
      <c r="CZ42">
        <v>0.17730032466351986</v>
      </c>
      <c r="DA42">
        <v>8.7277693635136711</v>
      </c>
      <c r="DB42">
        <v>380298294.07221603</v>
      </c>
      <c r="DC42">
        <v>0.16843530843034385</v>
      </c>
      <c r="DD42">
        <v>3.8839842936212645</v>
      </c>
      <c r="DE42">
        <v>854574979.98926198</v>
      </c>
      <c r="DF42">
        <v>0.15602428570389748</v>
      </c>
      <c r="DG42">
        <v>2.0724488992913268</v>
      </c>
      <c r="DH42">
        <v>1601562191.0557044</v>
      </c>
      <c r="DI42">
        <v>0.1418402597308159</v>
      </c>
      <c r="DJ42">
        <v>0.81388946495906345</v>
      </c>
      <c r="DK42">
        <v>4078140758.5450745</v>
      </c>
      <c r="DL42">
        <v>0.1241102272644639</v>
      </c>
      <c r="DM42">
        <v>104000000</v>
      </c>
      <c r="DN42">
        <v>0.17730032466351986</v>
      </c>
      <c r="DO42">
        <v>3319155800</v>
      </c>
      <c r="DP42">
        <v>1772609000</v>
      </c>
      <c r="DQ42">
        <v>4009</v>
      </c>
      <c r="DR42">
        <v>-0.32715623244449965</v>
      </c>
      <c r="DS42">
        <v>-1.4628942369100844</v>
      </c>
      <c r="DT42" s="12">
        <v>-0.15666666666666665</v>
      </c>
      <c r="DU42">
        <v>-1.0649999999999999</v>
      </c>
      <c r="DV42">
        <v>-1.2216666666666667</v>
      </c>
      <c r="DW42">
        <v>-3.0286130952380952</v>
      </c>
      <c r="DX42">
        <v>0.41746445497630447</v>
      </c>
      <c r="DY42">
        <v>-3.0047916763992326</v>
      </c>
      <c r="DZ42">
        <v>3816</v>
      </c>
      <c r="EA42">
        <v>-3.0012112892561991</v>
      </c>
      <c r="EB42">
        <v>3</v>
      </c>
      <c r="EC42">
        <v>8.0767442247450139E-2</v>
      </c>
      <c r="ED42">
        <v>0.48229603266483601</v>
      </c>
      <c r="EE42" s="13">
        <v>-1.0735999999999999</v>
      </c>
      <c r="EF42">
        <v>-1.0735999999999999</v>
      </c>
      <c r="EG42">
        <v>25.167464454976304</v>
      </c>
      <c r="EH42" t="s">
        <v>959</v>
      </c>
      <c r="EI42">
        <v>0</v>
      </c>
      <c r="EJ42">
        <v>0</v>
      </c>
      <c r="EK42" s="14">
        <v>45490</v>
      </c>
      <c r="EL42">
        <v>4.96</v>
      </c>
      <c r="EM42">
        <v>0</v>
      </c>
      <c r="EN42">
        <v>-3.28</v>
      </c>
      <c r="EO42">
        <v>0.3</v>
      </c>
      <c r="EP42">
        <v>0</v>
      </c>
    </row>
    <row r="43" spans="1:146" ht="84" hidden="1" x14ac:dyDescent="0.25">
      <c r="C43" s="9" t="str">
        <f>""&amp;CHAR(10)&amp;Basic_Fundamental_Information_Constructure(F43)&amp;CHAR(10)&amp;Basic_Fundamental_Information_Concatenate("")</f>
        <v xml:space="preserve">
市值56.965244亿, 利润3.71亿; PE15.16; 平均PE30.02; 平均PEG.49, PB1.6; ROIC9.4%; ROE0%; 股利率0%; 毛利10.18%; 净利4.9467%; 上一年度营收增4.05%, 利润增50.81%; 当季营收增22.03%, 利润增217.08%; 过往5年营收增61.85%, 利润增103.71%
Income profile:
</v>
      </c>
      <c r="D43" t="s">
        <v>2243</v>
      </c>
      <c r="E43" t="s">
        <v>2244</v>
      </c>
      <c r="F43">
        <v>24.01</v>
      </c>
      <c r="G43">
        <v>-0.83</v>
      </c>
      <c r="H43" t="s">
        <v>2651</v>
      </c>
      <c r="I43">
        <v>5696524400</v>
      </c>
      <c r="J43">
        <v>15.16</v>
      </c>
      <c r="K43">
        <v>1.6</v>
      </c>
      <c r="L43" t="s">
        <v>753</v>
      </c>
      <c r="M43" t="s">
        <v>2245</v>
      </c>
      <c r="N43" t="s">
        <v>1634</v>
      </c>
      <c r="O43" t="s">
        <v>1174</v>
      </c>
      <c r="P43" s="6">
        <v>22.02</v>
      </c>
      <c r="Q43" t="s">
        <v>2258</v>
      </c>
      <c r="R43">
        <v>198000000</v>
      </c>
      <c r="S43">
        <v>7.7200000000000005E-2</v>
      </c>
      <c r="T43" t="s">
        <v>487</v>
      </c>
      <c r="U43">
        <v>52312747</v>
      </c>
      <c r="V43">
        <v>237256330</v>
      </c>
      <c r="W43">
        <v>3.16</v>
      </c>
      <c r="X43">
        <v>0.22</v>
      </c>
      <c r="Y43">
        <v>4.55</v>
      </c>
      <c r="Z43" t="s">
        <v>43</v>
      </c>
      <c r="AA43" t="s">
        <v>456</v>
      </c>
      <c r="AB43" t="s">
        <v>2246</v>
      </c>
      <c r="AC43" t="s">
        <v>2247</v>
      </c>
      <c r="AD43" t="s">
        <v>2</v>
      </c>
      <c r="AE43">
        <v>15612914</v>
      </c>
      <c r="AF43" t="s">
        <v>2248</v>
      </c>
      <c r="AG43" t="s">
        <v>2249</v>
      </c>
      <c r="AH43" t="s">
        <v>2250</v>
      </c>
      <c r="AI43" t="s">
        <v>245</v>
      </c>
      <c r="AJ43" t="s">
        <v>2251</v>
      </c>
      <c r="AK43" t="s">
        <v>238</v>
      </c>
      <c r="AL43" t="s">
        <v>2252</v>
      </c>
      <c r="AM43" t="s">
        <v>344</v>
      </c>
      <c r="AN43" t="s">
        <v>344</v>
      </c>
      <c r="AO43" t="s">
        <v>1284</v>
      </c>
      <c r="AP43" t="s">
        <v>2253</v>
      </c>
      <c r="AQ43" t="s">
        <v>2254</v>
      </c>
      <c r="AR43" t="s">
        <v>2</v>
      </c>
      <c r="AS43" t="s">
        <v>1768</v>
      </c>
      <c r="AT43" t="s">
        <v>631</v>
      </c>
      <c r="AU43" t="s">
        <v>1745</v>
      </c>
      <c r="AV43" t="s">
        <v>2255</v>
      </c>
      <c r="AW43" t="s">
        <v>386</v>
      </c>
      <c r="AX43" t="s">
        <v>1380</v>
      </c>
      <c r="AY43" t="s">
        <v>1439</v>
      </c>
      <c r="AZ43" t="s">
        <v>693</v>
      </c>
      <c r="BA43" t="s">
        <v>2</v>
      </c>
      <c r="BB43" t="s">
        <v>2</v>
      </c>
      <c r="BC43" t="s">
        <v>274</v>
      </c>
      <c r="BD43" t="s">
        <v>2256</v>
      </c>
      <c r="BE43" t="s">
        <v>2257</v>
      </c>
      <c r="BF43" t="s">
        <v>2</v>
      </c>
      <c r="BG43" t="s">
        <v>2</v>
      </c>
      <c r="BH43" t="s">
        <v>2258</v>
      </c>
      <c r="BI43" t="s">
        <v>2522</v>
      </c>
      <c r="BJ43" t="s">
        <v>1380</v>
      </c>
      <c r="BK43" t="s">
        <v>487</v>
      </c>
      <c r="BL43" t="s">
        <v>2523</v>
      </c>
      <c r="BM43" t="s">
        <v>274</v>
      </c>
      <c r="BN43" t="s">
        <v>2</v>
      </c>
      <c r="BO43">
        <v>9.8800000000000008</v>
      </c>
      <c r="BP43">
        <v>8.92</v>
      </c>
      <c r="BQ43" t="s">
        <v>2</v>
      </c>
      <c r="BR43" t="s">
        <v>2</v>
      </c>
      <c r="BS43" t="s">
        <v>2</v>
      </c>
      <c r="BT43" t="s">
        <v>2</v>
      </c>
      <c r="BU43" t="s">
        <v>1868</v>
      </c>
      <c r="BV43">
        <v>10.68</v>
      </c>
      <c r="BW43">
        <v>9.0500000000000007</v>
      </c>
      <c r="BX43">
        <v>10.81</v>
      </c>
      <c r="BY43">
        <v>6.88</v>
      </c>
      <c r="BZ43">
        <v>4.75</v>
      </c>
      <c r="CA43">
        <v>3.21</v>
      </c>
      <c r="CB43">
        <v>-0.91</v>
      </c>
      <c r="CC43" s="10">
        <v>-31.71</v>
      </c>
      <c r="CD43" s="11" t="s">
        <v>2652</v>
      </c>
      <c r="CE43" s="10" t="s">
        <v>124</v>
      </c>
      <c r="CF43" s="10">
        <v>0.2202970297029703</v>
      </c>
      <c r="CG43" s="10">
        <v>2.1707953732010141</v>
      </c>
      <c r="CH43" s="10">
        <v>4.0532689541578293E-2</v>
      </c>
      <c r="CI43" s="10">
        <v>0.75508135557174683</v>
      </c>
      <c r="CJ43" s="11">
        <v>1.060014009475708</v>
      </c>
      <c r="CK43" s="11" t="s">
        <v>2</v>
      </c>
      <c r="CL43" s="11" t="s">
        <v>2</v>
      </c>
      <c r="CM43" s="11">
        <v>0.50813007354736328</v>
      </c>
      <c r="CN43" s="11">
        <v>1.5969363451004028</v>
      </c>
      <c r="CO43">
        <v>1.0061459541320801</v>
      </c>
      <c r="CP43" t="s">
        <v>2</v>
      </c>
      <c r="CQ43" t="s">
        <v>2</v>
      </c>
      <c r="CR43" s="10">
        <v>30.023368742995213</v>
      </c>
      <c r="CS43" s="11">
        <v>0.4853887933319348</v>
      </c>
      <c r="CT43">
        <v>0</v>
      </c>
      <c r="CU43">
        <v>0.61854268486301101</v>
      </c>
      <c r="CV43">
        <v>1.0370707909266155</v>
      </c>
      <c r="CW43">
        <v>0.06</v>
      </c>
      <c r="CX43">
        <v>13.499841504726856</v>
      </c>
      <c r="CY43">
        <v>566489939.70205379</v>
      </c>
      <c r="CZ43">
        <v>0.61854268486301101</v>
      </c>
      <c r="DA43">
        <v>2.902932072477411</v>
      </c>
      <c r="DB43">
        <v>2634413830.246284</v>
      </c>
      <c r="DC43">
        <v>0.58761555061986048</v>
      </c>
      <c r="DD43">
        <v>0.75496260537430748</v>
      </c>
      <c r="DE43">
        <v>10129673106.402916</v>
      </c>
      <c r="DF43">
        <v>0.54431756267944964</v>
      </c>
      <c r="DG43">
        <v>0.19915735401694623</v>
      </c>
      <c r="DH43">
        <v>38399407532.544716</v>
      </c>
      <c r="DI43">
        <v>0.4948341478904088</v>
      </c>
      <c r="DJ43">
        <v>1.2940586158898136E-2</v>
      </c>
      <c r="DK43">
        <v>590972024458.21594</v>
      </c>
      <c r="DL43">
        <v>0.4329798794041077</v>
      </c>
      <c r="DM43">
        <v>371000000</v>
      </c>
      <c r="DN43">
        <v>0.61854268486301101</v>
      </c>
      <c r="DO43">
        <v>7647524400</v>
      </c>
      <c r="DP43">
        <v>141937100</v>
      </c>
      <c r="DQ43" s="12">
        <v>4127</v>
      </c>
      <c r="DR43">
        <v>-0.39824565516004073</v>
      </c>
      <c r="DS43">
        <v>1.1337245822743987</v>
      </c>
      <c r="DT43">
        <v>0.19000000000000006</v>
      </c>
      <c r="DU43">
        <v>1.76</v>
      </c>
      <c r="DV43">
        <v>1.9500000000000002</v>
      </c>
      <c r="DW43">
        <v>-3.1776726190476192</v>
      </c>
      <c r="DX43">
        <v>0.46525404255319303</v>
      </c>
      <c r="DY43">
        <v>-3.0364680233105368</v>
      </c>
      <c r="DZ43">
        <v>16</v>
      </c>
      <c r="EA43">
        <v>-3.0363537706430277</v>
      </c>
      <c r="EB43" s="13">
        <v>3</v>
      </c>
      <c r="EC43" s="13">
        <v>0.20330205731497239</v>
      </c>
      <c r="ED43">
        <v>0.99048990600166498</v>
      </c>
      <c r="EE43">
        <v>4.0160999999999998</v>
      </c>
      <c r="EF43">
        <v>4.0077999999999996</v>
      </c>
      <c r="EG43">
        <v>26.205254042553193</v>
      </c>
      <c r="EH43" s="14" t="s">
        <v>2653</v>
      </c>
      <c r="EI43">
        <v>0</v>
      </c>
      <c r="EJ43">
        <v>1</v>
      </c>
      <c r="EK43">
        <v>45490</v>
      </c>
      <c r="EL43">
        <v>2.35</v>
      </c>
      <c r="EM43">
        <v>-1.85</v>
      </c>
      <c r="EN43">
        <v>-2.67</v>
      </c>
      <c r="EO43">
        <v>2.2000000000000002</v>
      </c>
      <c r="EP43">
        <v>-0.83</v>
      </c>
    </row>
    <row r="44" spans="1:146" ht="96" hidden="1" x14ac:dyDescent="0.25">
      <c r="A44" s="9"/>
      <c r="B44" s="9"/>
      <c r="C44" s="9" t="str">
        <f>""&amp;CHAR(10)&amp;Basic_Fundamental_Information_Constructure(F44)&amp;CHAR(10)&amp;Basic_Fundamental_Information_Concatenate("")</f>
        <v xml:space="preserve">
市值43.51563亿, 利润8991.83万; PE45.54; 平均PE58.94; 平均PEG2.35, PB1.71; ROIC4.8333%; ROE4.8767%; 股利率.637%; 毛利30.0733%; 净利4.5733%; 上一年度营收增15.32%, 利润增38.78%; 当季营收增26.36%, 利润增21.58%; 过往5年营收增25.08%, 利润增5.44%
Income profile:
</v>
      </c>
      <c r="D44" t="s">
        <v>624</v>
      </c>
      <c r="E44" t="s">
        <v>625</v>
      </c>
      <c r="F44">
        <v>31.4</v>
      </c>
      <c r="G44">
        <v>-0.03</v>
      </c>
      <c r="H44" t="s">
        <v>2654</v>
      </c>
      <c r="I44">
        <v>4351563000</v>
      </c>
      <c r="J44">
        <v>45.54</v>
      </c>
      <c r="K44">
        <v>1.71</v>
      </c>
      <c r="L44" t="s">
        <v>753</v>
      </c>
      <c r="M44" t="s">
        <v>1673</v>
      </c>
      <c r="N44" t="s">
        <v>2259</v>
      </c>
      <c r="O44" t="s">
        <v>209</v>
      </c>
      <c r="P44">
        <v>26.45</v>
      </c>
      <c r="Q44" t="s">
        <v>1687</v>
      </c>
      <c r="R44">
        <v>31715418</v>
      </c>
      <c r="S44" s="6">
        <v>0.21579999999999999</v>
      </c>
      <c r="T44" t="s">
        <v>1688</v>
      </c>
      <c r="U44">
        <v>115999882</v>
      </c>
      <c r="V44">
        <v>138584810</v>
      </c>
      <c r="W44">
        <v>2.4500000000000002</v>
      </c>
      <c r="X44">
        <v>0.11</v>
      </c>
      <c r="Y44">
        <v>5.32</v>
      </c>
      <c r="Z44" t="s">
        <v>252</v>
      </c>
      <c r="AA44" t="s">
        <v>265</v>
      </c>
      <c r="AB44" t="s">
        <v>2260</v>
      </c>
      <c r="AC44" t="s">
        <v>2261</v>
      </c>
      <c r="AD44" t="s">
        <v>2</v>
      </c>
      <c r="AE44">
        <v>-796972</v>
      </c>
      <c r="AF44" t="s">
        <v>1689</v>
      </c>
      <c r="AG44" t="s">
        <v>2262</v>
      </c>
      <c r="AH44" t="s">
        <v>1690</v>
      </c>
      <c r="AI44" t="s">
        <v>467</v>
      </c>
      <c r="AJ44" t="s">
        <v>1691</v>
      </c>
      <c r="AK44" t="s">
        <v>2</v>
      </c>
      <c r="AL44" t="s">
        <v>1692</v>
      </c>
      <c r="AM44" t="s">
        <v>2</v>
      </c>
      <c r="AN44" t="s">
        <v>117</v>
      </c>
      <c r="AO44" t="s">
        <v>187</v>
      </c>
      <c r="AP44" t="s">
        <v>335</v>
      </c>
      <c r="AQ44" t="s">
        <v>1265</v>
      </c>
      <c r="AR44" t="s">
        <v>2</v>
      </c>
      <c r="AS44" t="s">
        <v>2263</v>
      </c>
      <c r="AT44" t="s">
        <v>112</v>
      </c>
      <c r="AU44" t="s">
        <v>2264</v>
      </c>
      <c r="AV44" t="s">
        <v>2265</v>
      </c>
      <c r="AW44" t="s">
        <v>432</v>
      </c>
      <c r="AX44" t="s">
        <v>449</v>
      </c>
      <c r="AY44" t="s">
        <v>814</v>
      </c>
      <c r="AZ44" t="s">
        <v>436</v>
      </c>
      <c r="BA44" t="s">
        <v>269</v>
      </c>
      <c r="BB44" t="s">
        <v>375</v>
      </c>
      <c r="BC44" t="s">
        <v>1693</v>
      </c>
      <c r="BD44" t="s">
        <v>815</v>
      </c>
      <c r="BE44" t="s">
        <v>626</v>
      </c>
      <c r="BF44" t="s">
        <v>627</v>
      </c>
      <c r="BG44" t="s">
        <v>628</v>
      </c>
      <c r="BH44" t="s">
        <v>1687</v>
      </c>
      <c r="BI44" t="s">
        <v>2524</v>
      </c>
      <c r="BJ44" t="s">
        <v>449</v>
      </c>
      <c r="BK44" t="s">
        <v>1688</v>
      </c>
      <c r="BL44" t="s">
        <v>2525</v>
      </c>
      <c r="BM44" t="s">
        <v>1693</v>
      </c>
      <c r="BN44">
        <v>3.72</v>
      </c>
      <c r="BO44">
        <v>5.08</v>
      </c>
      <c r="BP44">
        <v>5.7</v>
      </c>
      <c r="BQ44">
        <v>5.01</v>
      </c>
      <c r="BR44">
        <v>4.5199999999999996</v>
      </c>
      <c r="BS44">
        <v>5.0999999999999996</v>
      </c>
      <c r="BT44" t="s">
        <v>2266</v>
      </c>
      <c r="BU44" t="s">
        <v>1862</v>
      </c>
      <c r="BV44">
        <v>29.77</v>
      </c>
      <c r="BW44">
        <v>30.29</v>
      </c>
      <c r="BX44">
        <v>30.16</v>
      </c>
      <c r="BY44">
        <v>4.67</v>
      </c>
      <c r="BZ44">
        <v>4.22</v>
      </c>
      <c r="CA44">
        <v>4.83</v>
      </c>
      <c r="CB44">
        <v>1.29</v>
      </c>
      <c r="CC44">
        <v>-18.12</v>
      </c>
      <c r="CD44" t="s">
        <v>2655</v>
      </c>
      <c r="CE44" t="s">
        <v>2656</v>
      </c>
      <c r="CF44" s="10">
        <v>0.26356589147286824</v>
      </c>
      <c r="CG44" s="11">
        <v>0.2157696450681765</v>
      </c>
      <c r="CH44" s="10">
        <v>0.15317626297473907</v>
      </c>
      <c r="CI44" s="10">
        <v>0.21242235600948334</v>
      </c>
      <c r="CJ44" s="10">
        <v>0.51743638515472412</v>
      </c>
      <c r="CK44" s="10">
        <v>0.23085847496986389</v>
      </c>
      <c r="CL44" s="10">
        <v>0.14021164178848267</v>
      </c>
      <c r="CM44" s="11">
        <v>0.38776949048042297</v>
      </c>
      <c r="CN44" s="11">
        <v>6.5488152205944061E-2</v>
      </c>
      <c r="CO44" s="11">
        <v>-0.26342907547950745</v>
      </c>
      <c r="CP44" s="11">
        <v>0.37282896041870117</v>
      </c>
      <c r="CQ44" s="11">
        <v>-0.29081523418426514</v>
      </c>
      <c r="CR44">
        <v>58.935013739792218</v>
      </c>
      <c r="CS44">
        <v>2.3496839602100148</v>
      </c>
      <c r="CT44">
        <v>0.63697452229299367</v>
      </c>
      <c r="CU44" s="10">
        <v>0.25082102417945862</v>
      </c>
      <c r="CV44" s="11">
        <v>5.4368458688259125E-2</v>
      </c>
      <c r="CW44">
        <v>0.06</v>
      </c>
      <c r="CX44">
        <v>54.432330752000126</v>
      </c>
      <c r="CY44">
        <v>106105377.45139226</v>
      </c>
      <c r="CZ44">
        <v>0.25082102417945862</v>
      </c>
      <c r="DA44">
        <v>15.563513255889804</v>
      </c>
      <c r="DB44">
        <v>371096352.41350889</v>
      </c>
      <c r="DC44">
        <v>0.23827997297048567</v>
      </c>
      <c r="DD44">
        <v>6.3454180285806023</v>
      </c>
      <c r="DE44">
        <v>910194249.45466161</v>
      </c>
      <c r="DF44">
        <v>0.22072250127792359</v>
      </c>
      <c r="DG44">
        <v>3.0385515361671289</v>
      </c>
      <c r="DH44">
        <v>1900761902.9181831</v>
      </c>
      <c r="DI44">
        <v>0.20065681934356691</v>
      </c>
      <c r="DJ44">
        <v>0.91215164706827223</v>
      </c>
      <c r="DK44">
        <v>6331801316.7691116</v>
      </c>
      <c r="DL44">
        <v>0.17557471692562102</v>
      </c>
      <c r="DM44">
        <v>89918300</v>
      </c>
      <c r="DN44">
        <v>0.25082102417945862</v>
      </c>
      <c r="DO44">
        <v>5775563000</v>
      </c>
      <c r="DP44">
        <v>2035963600</v>
      </c>
      <c r="DQ44">
        <v>4137</v>
      </c>
      <c r="DR44">
        <v>1.2744867293409623E-2</v>
      </c>
      <c r="DS44">
        <v>0.16140118637991738</v>
      </c>
      <c r="DT44" s="12">
        <v>0.12666666666666662</v>
      </c>
      <c r="DU44">
        <v>0.26999999999999996</v>
      </c>
      <c r="DV44">
        <v>0.39666666666666661</v>
      </c>
      <c r="DW44">
        <v>-3.0239761904761906</v>
      </c>
      <c r="DX44">
        <v>0.58790044301549949</v>
      </c>
      <c r="DY44">
        <v>-3.0037858510980144</v>
      </c>
      <c r="DZ44">
        <v>956</v>
      </c>
      <c r="EA44">
        <v>-3.0030771623081765</v>
      </c>
      <c r="EB44">
        <v>3</v>
      </c>
      <c r="EC44">
        <v>6.095328918082725E-2</v>
      </c>
      <c r="ED44">
        <v>0.38602354760236712</v>
      </c>
      <c r="EE44" s="13">
        <v>-2.0605099999999998</v>
      </c>
      <c r="EF44">
        <v>-2.06081</v>
      </c>
      <c r="EG44">
        <v>43.1579004430155</v>
      </c>
      <c r="EH44" t="s">
        <v>975</v>
      </c>
      <c r="EI44">
        <v>0</v>
      </c>
      <c r="EJ44">
        <v>1</v>
      </c>
      <c r="EK44" s="14">
        <v>45490</v>
      </c>
      <c r="EL44">
        <v>3.29</v>
      </c>
      <c r="EM44">
        <v>0.22</v>
      </c>
      <c r="EN44">
        <v>-2.12</v>
      </c>
      <c r="EO44">
        <v>0</v>
      </c>
      <c r="EP44">
        <v>-0.03</v>
      </c>
    </row>
    <row r="45" spans="1:146" ht="96" hidden="1" x14ac:dyDescent="0.25">
      <c r="C45" s="9" t="str">
        <f>""&amp;CHAR(10)&amp;Basic_Fundamental_Information_Constructure(F45)&amp;CHAR(10)&amp;Basic_Fundamental_Information_Concatenate("")</f>
        <v xml:space="preserve">
市值63.788668亿, 利润2828.83万; PE; 平均PE-211.7; 平均PEG-4.01, PB3.02; ROIC2.48%; ROE-13.78%; 股利率0%; 毛利22.6533%; 净利-21.8267%; 上一年度营收增75.21%, 利润增112.35%; 当季营收增.29%, 利润增-603.67%; 过往5年营收增52.81%, 利润增-73.32%
Income profile:
</v>
      </c>
      <c r="D45" t="s">
        <v>1052</v>
      </c>
      <c r="E45" t="s">
        <v>1053</v>
      </c>
      <c r="F45">
        <v>14.71</v>
      </c>
      <c r="G45">
        <v>3.08</v>
      </c>
      <c r="H45" t="s">
        <v>2657</v>
      </c>
      <c r="I45">
        <v>6378866800</v>
      </c>
      <c r="K45">
        <v>3.02</v>
      </c>
      <c r="L45" t="s">
        <v>753</v>
      </c>
      <c r="M45" t="s">
        <v>1280</v>
      </c>
      <c r="N45" t="s">
        <v>1015</v>
      </c>
      <c r="O45" t="s">
        <v>282</v>
      </c>
      <c r="P45" s="6">
        <v>0.28999999999999998</v>
      </c>
      <c r="Q45" t="s">
        <v>1241</v>
      </c>
      <c r="R45">
        <v>-169500000</v>
      </c>
      <c r="S45">
        <v>-1.972</v>
      </c>
      <c r="T45" t="s">
        <v>1694</v>
      </c>
      <c r="U45">
        <v>342634510</v>
      </c>
      <c r="V45">
        <v>433641520</v>
      </c>
      <c r="W45">
        <v>2.73</v>
      </c>
      <c r="X45">
        <v>7.0000000000000007E-2</v>
      </c>
      <c r="Y45">
        <v>-9.6199999999999992</v>
      </c>
      <c r="Z45" t="s">
        <v>360</v>
      </c>
      <c r="AA45" t="s">
        <v>226</v>
      </c>
      <c r="AB45" t="s">
        <v>2267</v>
      </c>
      <c r="AC45" t="s">
        <v>2268</v>
      </c>
      <c r="AD45" t="s">
        <v>2</v>
      </c>
      <c r="AE45">
        <v>7868911</v>
      </c>
      <c r="AF45" t="s">
        <v>20</v>
      </c>
      <c r="AG45" t="s">
        <v>2269</v>
      </c>
      <c r="AH45" t="s">
        <v>1695</v>
      </c>
      <c r="AI45" t="s">
        <v>60</v>
      </c>
      <c r="AJ45" t="s">
        <v>1696</v>
      </c>
      <c r="AK45" t="s">
        <v>45</v>
      </c>
      <c r="AL45" t="s">
        <v>1697</v>
      </c>
      <c r="AM45" t="s">
        <v>2</v>
      </c>
      <c r="AN45" t="s">
        <v>1184</v>
      </c>
      <c r="AO45" t="s">
        <v>121</v>
      </c>
      <c r="AP45" t="s">
        <v>81</v>
      </c>
      <c r="AQ45" t="s">
        <v>891</v>
      </c>
      <c r="AR45" t="s">
        <v>2</v>
      </c>
      <c r="AS45" t="s">
        <v>2270</v>
      </c>
      <c r="AT45" t="s">
        <v>837</v>
      </c>
      <c r="AU45" t="s">
        <v>2271</v>
      </c>
      <c r="AV45" t="s">
        <v>1220</v>
      </c>
      <c r="AW45" t="s">
        <v>934</v>
      </c>
      <c r="AX45" t="s">
        <v>977</v>
      </c>
      <c r="AY45" t="s">
        <v>94</v>
      </c>
      <c r="AZ45" t="s">
        <v>17</v>
      </c>
      <c r="BA45" t="s">
        <v>349</v>
      </c>
      <c r="BB45" t="s">
        <v>118</v>
      </c>
      <c r="BC45" t="s">
        <v>931</v>
      </c>
      <c r="BD45" t="s">
        <v>1054</v>
      </c>
      <c r="BE45" t="s">
        <v>1055</v>
      </c>
      <c r="BF45" t="s">
        <v>1056</v>
      </c>
      <c r="BG45" t="s">
        <v>1057</v>
      </c>
      <c r="BH45" t="s">
        <v>1241</v>
      </c>
      <c r="BI45" t="s">
        <v>242</v>
      </c>
      <c r="BJ45" t="s">
        <v>977</v>
      </c>
      <c r="BK45" t="s">
        <v>1694</v>
      </c>
      <c r="BL45" t="s">
        <v>1698</v>
      </c>
      <c r="BM45" t="s">
        <v>931</v>
      </c>
      <c r="BN45">
        <v>2.48</v>
      </c>
      <c r="BO45" t="s">
        <v>2</v>
      </c>
      <c r="BP45" t="s">
        <v>2</v>
      </c>
      <c r="BQ45">
        <v>2.21</v>
      </c>
      <c r="BR45">
        <v>-27.54</v>
      </c>
      <c r="BS45">
        <v>-16.010000000000002</v>
      </c>
      <c r="BT45" t="s">
        <v>940</v>
      </c>
      <c r="BU45" t="s">
        <v>1905</v>
      </c>
      <c r="BV45">
        <v>17.420000000000002</v>
      </c>
      <c r="BW45">
        <v>19.37</v>
      </c>
      <c r="BX45">
        <v>31.17</v>
      </c>
      <c r="BY45">
        <v>1.6</v>
      </c>
      <c r="BZ45">
        <v>-24.26</v>
      </c>
      <c r="CA45">
        <v>-42.82</v>
      </c>
      <c r="CB45">
        <v>4.55</v>
      </c>
      <c r="CC45" s="10">
        <v>-19.18</v>
      </c>
      <c r="CD45" s="11" t="s">
        <v>2658</v>
      </c>
      <c r="CE45" s="10" t="s">
        <v>2659</v>
      </c>
      <c r="CF45" s="10">
        <v>2.8985507246376812E-3</v>
      </c>
      <c r="CG45" s="10">
        <v>-6.0366681325995746</v>
      </c>
      <c r="CH45" s="10">
        <v>0.75211864709854126</v>
      </c>
      <c r="CI45" s="10">
        <v>1.931676983833313</v>
      </c>
      <c r="CJ45" s="11">
        <v>-0.35856574773788452</v>
      </c>
      <c r="CK45" s="11">
        <v>-6.5176911652088165E-2</v>
      </c>
      <c r="CL45" s="11">
        <v>0.38046273589134216</v>
      </c>
      <c r="CM45" s="11">
        <v>1.1235296726226807</v>
      </c>
      <c r="CN45" s="11">
        <v>-0.65942031145095825</v>
      </c>
      <c r="CO45">
        <v>-4.4569048881530762</v>
      </c>
      <c r="CP45">
        <v>-0.4738452136516571</v>
      </c>
      <c r="CQ45">
        <v>0.80083644390106201</v>
      </c>
      <c r="CR45" s="10">
        <v>-211.70093755704164</v>
      </c>
      <c r="CS45" s="11">
        <v>-4.0087043784873106</v>
      </c>
      <c r="CT45">
        <v>0</v>
      </c>
      <c r="CU45">
        <v>0.52810314148664472</v>
      </c>
      <c r="CV45">
        <v>-0.73316085934638975</v>
      </c>
      <c r="CW45">
        <v>0.06</v>
      </c>
      <c r="CX45">
        <v>198.64509183677137</v>
      </c>
      <c r="CY45">
        <v>40780603.865393072</v>
      </c>
      <c r="CZ45">
        <v>0.52810314148664472</v>
      </c>
      <c r="DA45">
        <v>45.694070806243346</v>
      </c>
      <c r="DB45">
        <v>177284856.81107557</v>
      </c>
      <c r="DC45">
        <v>0.5016979844123125</v>
      </c>
      <c r="DD45">
        <v>13.27294303240366</v>
      </c>
      <c r="DE45">
        <v>610329358.01977718</v>
      </c>
      <c r="DF45">
        <v>0.46473076450824735</v>
      </c>
      <c r="DG45">
        <v>4.0673343938472879</v>
      </c>
      <c r="DH45">
        <v>1991689400.3734465</v>
      </c>
      <c r="DI45">
        <v>0.42248251318931579</v>
      </c>
      <c r="DJ45">
        <v>0.38688518507778846</v>
      </c>
      <c r="DK45">
        <v>20938684427.45155</v>
      </c>
      <c r="DL45">
        <v>0.36967219904065129</v>
      </c>
      <c r="DM45">
        <v>28288300</v>
      </c>
      <c r="DN45">
        <v>0.52810314148664472</v>
      </c>
      <c r="DO45">
        <v>8100866800</v>
      </c>
      <c r="DP45">
        <v>-1028986600</v>
      </c>
      <c r="DQ45" s="12">
        <v>4138</v>
      </c>
      <c r="DR45">
        <v>-0.5252045907620071</v>
      </c>
      <c r="DS45">
        <v>-5.3035072732531852</v>
      </c>
      <c r="DT45">
        <v>0.24333333333333326</v>
      </c>
      <c r="DU45">
        <v>-1.8816666666666668</v>
      </c>
      <c r="DV45">
        <v>-1.6383333333333336</v>
      </c>
      <c r="DW45">
        <v>6.1917404129793514</v>
      </c>
      <c r="DX45">
        <v>0.47888711334535089</v>
      </c>
      <c r="DY45">
        <v>6.0304650807299351</v>
      </c>
      <c r="DZ45">
        <v>4117</v>
      </c>
      <c r="EA45">
        <v>6.0059057039206261</v>
      </c>
      <c r="EB45" s="13">
        <v>6</v>
      </c>
      <c r="EC45" s="13">
        <v>1.9650101770697603E-2</v>
      </c>
      <c r="ED45">
        <v>0.12367335120493074</v>
      </c>
      <c r="EE45">
        <v>-2.0106099999999998</v>
      </c>
      <c r="EF45">
        <v>-2.0202</v>
      </c>
      <c r="EG45">
        <v>32.158887113345351</v>
      </c>
      <c r="EH45" s="14" t="s">
        <v>973</v>
      </c>
      <c r="EI45">
        <v>0</v>
      </c>
      <c r="EJ45">
        <v>0</v>
      </c>
      <c r="EK45">
        <v>45490</v>
      </c>
      <c r="EL45">
        <v>4.6900000000000004</v>
      </c>
      <c r="EM45">
        <v>-1.83</v>
      </c>
      <c r="EN45">
        <v>-2.21</v>
      </c>
      <c r="EO45">
        <v>0.92</v>
      </c>
      <c r="EP45">
        <v>3.08</v>
      </c>
    </row>
    <row r="46" spans="1:146" ht="96" hidden="1" x14ac:dyDescent="0.25">
      <c r="A46" s="9"/>
      <c r="B46" s="9"/>
      <c r="C46" s="9" t="str">
        <f>""&amp;CHAR(10)&amp;Basic_Fundamental_Information_Constructure(F46)&amp;CHAR(10)&amp;Basic_Fundamental_Information_Concatenate("")</f>
        <v xml:space="preserve">
市值36.71658亿, 利润1.69亿; PE28.36; 平均PE60.79; 平均PEG3.34, PB2.93; ROIC7.2433%; ROE9.26%; 股利率.9247%; 毛利23.2333%; 净利7.0267%; 上一年度营收增34.26%, 利润增55.05%; 当季营收增-3.87%, 利润增1.84%; 过往5年营收增18.22%, 利润增9.96%
Income profile:
</v>
      </c>
      <c r="D46" t="s">
        <v>629</v>
      </c>
      <c r="E46" t="s">
        <v>630</v>
      </c>
      <c r="F46">
        <v>13.41</v>
      </c>
      <c r="G46">
        <v>10.01</v>
      </c>
      <c r="H46" t="s">
        <v>2660</v>
      </c>
      <c r="I46">
        <v>3671658000</v>
      </c>
      <c r="J46">
        <v>28.36</v>
      </c>
      <c r="K46">
        <v>2.93</v>
      </c>
      <c r="L46" t="s">
        <v>753</v>
      </c>
      <c r="M46" t="s">
        <v>1183</v>
      </c>
      <c r="N46" t="s">
        <v>897</v>
      </c>
      <c r="O46" t="s">
        <v>324</v>
      </c>
      <c r="P46">
        <v>-3.97</v>
      </c>
      <c r="Q46" t="s">
        <v>699</v>
      </c>
      <c r="R46">
        <v>51500000</v>
      </c>
      <c r="S46" s="6">
        <v>-0.7833</v>
      </c>
      <c r="T46" t="s">
        <v>97</v>
      </c>
      <c r="U46">
        <v>273800000</v>
      </c>
      <c r="V46">
        <v>273800000</v>
      </c>
      <c r="W46">
        <v>1.91</v>
      </c>
      <c r="X46">
        <v>0.14000000000000001</v>
      </c>
      <c r="Y46">
        <v>3.18</v>
      </c>
      <c r="Z46" t="s">
        <v>271</v>
      </c>
      <c r="AA46" t="s">
        <v>96</v>
      </c>
      <c r="AB46" t="s">
        <v>2272</v>
      </c>
      <c r="AC46" t="s">
        <v>2273</v>
      </c>
      <c r="AD46" t="s">
        <v>2</v>
      </c>
      <c r="AE46">
        <v>18065637</v>
      </c>
      <c r="AF46" t="s">
        <v>1700</v>
      </c>
      <c r="AG46" t="s">
        <v>2274</v>
      </c>
      <c r="AH46" t="s">
        <v>1701</v>
      </c>
      <c r="AI46" t="s">
        <v>186</v>
      </c>
      <c r="AJ46" t="s">
        <v>1702</v>
      </c>
      <c r="AK46" t="s">
        <v>2275</v>
      </c>
      <c r="AL46" t="s">
        <v>1703</v>
      </c>
      <c r="AM46" t="s">
        <v>2</v>
      </c>
      <c r="AN46" t="s">
        <v>2276</v>
      </c>
      <c r="AO46" t="s">
        <v>98</v>
      </c>
      <c r="AP46" t="s">
        <v>34</v>
      </c>
      <c r="AQ46" t="s">
        <v>58</v>
      </c>
      <c r="AR46" t="s">
        <v>2</v>
      </c>
      <c r="AS46" t="s">
        <v>952</v>
      </c>
      <c r="AT46" t="s">
        <v>87</v>
      </c>
      <c r="AU46" t="s">
        <v>2277</v>
      </c>
      <c r="AV46" t="s">
        <v>2278</v>
      </c>
      <c r="AW46" t="s">
        <v>2279</v>
      </c>
      <c r="AX46" t="s">
        <v>819</v>
      </c>
      <c r="AY46" t="s">
        <v>788</v>
      </c>
      <c r="AZ46" t="s">
        <v>631</v>
      </c>
      <c r="BA46" t="s">
        <v>333</v>
      </c>
      <c r="BB46" t="s">
        <v>633</v>
      </c>
      <c r="BC46" t="s">
        <v>166</v>
      </c>
      <c r="BD46" t="s">
        <v>816</v>
      </c>
      <c r="BE46" t="s">
        <v>632</v>
      </c>
      <c r="BF46" t="s">
        <v>634</v>
      </c>
      <c r="BG46" t="s">
        <v>635</v>
      </c>
      <c r="BH46" t="s">
        <v>699</v>
      </c>
      <c r="BI46" t="s">
        <v>2526</v>
      </c>
      <c r="BJ46" t="s">
        <v>819</v>
      </c>
      <c r="BK46" t="s">
        <v>97</v>
      </c>
      <c r="BL46" t="s">
        <v>2527</v>
      </c>
      <c r="BM46" t="s">
        <v>166</v>
      </c>
      <c r="BN46">
        <v>9.0299999999999994</v>
      </c>
      <c r="BO46">
        <v>8.2200000000000006</v>
      </c>
      <c r="BP46">
        <v>4.4800000000000004</v>
      </c>
      <c r="BQ46">
        <v>12.45</v>
      </c>
      <c r="BR46">
        <v>10.46</v>
      </c>
      <c r="BS46">
        <v>4.87</v>
      </c>
      <c r="BT46" t="s">
        <v>1704</v>
      </c>
      <c r="BU46" t="s">
        <v>1868</v>
      </c>
      <c r="BV46">
        <v>22.58</v>
      </c>
      <c r="BW46">
        <v>22.71</v>
      </c>
      <c r="BX46">
        <v>24.41</v>
      </c>
      <c r="BY46">
        <v>8.7200000000000006</v>
      </c>
      <c r="BZ46">
        <v>7.58</v>
      </c>
      <c r="CA46">
        <v>4.78</v>
      </c>
      <c r="CB46">
        <v>14.03</v>
      </c>
      <c r="CC46">
        <v>-11.93</v>
      </c>
      <c r="CD46" t="s">
        <v>2661</v>
      </c>
      <c r="CE46" t="s">
        <v>242</v>
      </c>
      <c r="CF46" s="10">
        <v>-3.8674033149171269E-2</v>
      </c>
      <c r="CG46" s="11">
        <v>1.8376253443199323E-2</v>
      </c>
      <c r="CH46" s="10">
        <v>0.34257975220680237</v>
      </c>
      <c r="CI46" s="10">
        <v>0.41650295257568359</v>
      </c>
      <c r="CJ46" s="10">
        <v>0.13111111521720886</v>
      </c>
      <c r="CK46" s="10">
        <v>-0.2800000011920929</v>
      </c>
      <c r="CL46" s="10">
        <v>0.30072841048240662</v>
      </c>
      <c r="CM46" s="11">
        <v>0.55045872926712036</v>
      </c>
      <c r="CN46" s="11">
        <v>1.3010489940643311</v>
      </c>
      <c r="CO46" s="11">
        <v>-0.30771556496620178</v>
      </c>
      <c r="CP46" s="11">
        <v>2.2163333892822266</v>
      </c>
      <c r="CQ46" s="11">
        <v>-3.2621016502380371</v>
      </c>
      <c r="CR46">
        <v>60.787664296779162</v>
      </c>
      <c r="CS46">
        <v>3.3366001148176125</v>
      </c>
      <c r="CT46">
        <v>0.92468307233407898</v>
      </c>
      <c r="CU46" s="10">
        <v>0.1821844458580017</v>
      </c>
      <c r="CV46" s="11">
        <v>9.9604779481887812E-2</v>
      </c>
      <c r="CW46">
        <v>0.06</v>
      </c>
      <c r="CX46">
        <v>19.352988221901224</v>
      </c>
      <c r="CY46">
        <v>188480350.33019084</v>
      </c>
      <c r="CZ46">
        <v>0.1821844458580017</v>
      </c>
      <c r="DA46">
        <v>5.8543697088064439</v>
      </c>
      <c r="DB46">
        <v>623065877.52956653</v>
      </c>
      <c r="DC46">
        <v>0.1730752235651016</v>
      </c>
      <c r="DD46">
        <v>2.5903313041699656</v>
      </c>
      <c r="DE46">
        <v>1408182032.2087486</v>
      </c>
      <c r="DF46">
        <v>0.16032231235504149</v>
      </c>
      <c r="DG46">
        <v>1.3725714632263493</v>
      </c>
      <c r="DH46">
        <v>2657535944.5590258</v>
      </c>
      <c r="DI46">
        <v>0.14574755668640135</v>
      </c>
      <c r="DJ46">
        <v>0.52999370274194546</v>
      </c>
      <c r="DK46">
        <v>6882455359.6178265</v>
      </c>
      <c r="DL46">
        <v>0.12752911210060119</v>
      </c>
      <c r="DM46">
        <v>169000000</v>
      </c>
      <c r="DN46">
        <v>0.1821844458580017</v>
      </c>
      <c r="DO46">
        <v>3647658000</v>
      </c>
      <c r="DP46">
        <v>624457750</v>
      </c>
      <c r="DQ46">
        <v>4219</v>
      </c>
      <c r="DR46">
        <v>-0.22085847900717298</v>
      </c>
      <c r="DS46">
        <v>-8.1228526038688492E-2</v>
      </c>
      <c r="DT46" s="12">
        <v>-0.14000000000000001</v>
      </c>
      <c r="DU46">
        <v>0.20000000000000004</v>
      </c>
      <c r="DV46">
        <v>6.0000000000000026E-2</v>
      </c>
      <c r="DW46">
        <v>5.8503207412687095</v>
      </c>
      <c r="DX46">
        <v>0.59235797101448973</v>
      </c>
      <c r="DY46">
        <v>5.1550627650893013</v>
      </c>
      <c r="DZ46">
        <v>1645</v>
      </c>
      <c r="EA46">
        <v>5.105115976647574</v>
      </c>
      <c r="EB46">
        <v>5</v>
      </c>
      <c r="EC46">
        <v>0.2297790357925493</v>
      </c>
      <c r="ED46">
        <v>1.2600438276113952</v>
      </c>
      <c r="EE46" s="13">
        <v>3.0708000000000002</v>
      </c>
      <c r="EF46">
        <v>4.0209000000000001</v>
      </c>
      <c r="EG46">
        <v>41.18235797101449</v>
      </c>
      <c r="EH46" t="s">
        <v>2653</v>
      </c>
      <c r="EI46">
        <v>1</v>
      </c>
      <c r="EJ46">
        <v>0</v>
      </c>
      <c r="EK46" s="14">
        <v>45490</v>
      </c>
      <c r="EL46">
        <v>3.91</v>
      </c>
      <c r="EM46">
        <v>1.96</v>
      </c>
      <c r="EN46">
        <v>-2.97</v>
      </c>
      <c r="EO46">
        <v>0.83</v>
      </c>
      <c r="EP46">
        <v>10.01</v>
      </c>
    </row>
    <row r="47" spans="1:146" ht="96" hidden="1" x14ac:dyDescent="0.25">
      <c r="A47" s="9"/>
      <c r="B47" s="9"/>
      <c r="C47" s="9" t="str">
        <f>""&amp;CHAR(10)&amp;Basic_Fundamental_Information_Constructure(F47)&amp;CHAR(10)&amp;Basic_Fundamental_Information_Concatenate("")</f>
        <v xml:space="preserve">
市值17.614286亿, 利润-6888.01万; PE; 平均PE-20.65; 平均PEG-.29, PB1.95; ROIC2.93%; ROE-9.0267%; 股利率0%; 毛利9.63%; 净利-74.87%; 上一年度营收增398.99%, 利润增57.48%; 当季营收增-35.67%, 利润增-931.43%; 过往5年营收增70.56%, 利润增-58.54%
Income profile:
</v>
      </c>
      <c r="D47" t="s">
        <v>1296</v>
      </c>
      <c r="E47" t="s">
        <v>1302</v>
      </c>
      <c r="F47">
        <v>2.74</v>
      </c>
      <c r="G47">
        <v>0.37</v>
      </c>
      <c r="H47" t="s">
        <v>2662</v>
      </c>
      <c r="I47">
        <v>1761428600</v>
      </c>
      <c r="K47">
        <v>1.95</v>
      </c>
      <c r="L47" t="s">
        <v>753</v>
      </c>
      <c r="M47" t="s">
        <v>1705</v>
      </c>
      <c r="N47" t="s">
        <v>53</v>
      </c>
      <c r="O47" t="s">
        <v>72</v>
      </c>
      <c r="P47" s="6">
        <v>-35.43</v>
      </c>
      <c r="Q47" t="s">
        <v>259</v>
      </c>
      <c r="R47">
        <v>-96525000</v>
      </c>
      <c r="S47">
        <v>-5.202</v>
      </c>
      <c r="T47" t="s">
        <v>1706</v>
      </c>
      <c r="U47">
        <v>642857140</v>
      </c>
      <c r="V47">
        <v>642857140</v>
      </c>
      <c r="W47">
        <v>2.44</v>
      </c>
      <c r="X47">
        <v>0.03</v>
      </c>
      <c r="Y47">
        <v>-67.25</v>
      </c>
      <c r="Z47" t="s">
        <v>32</v>
      </c>
      <c r="AA47" t="s">
        <v>78</v>
      </c>
      <c r="AB47" t="s">
        <v>2280</v>
      </c>
      <c r="AC47" t="s">
        <v>2281</v>
      </c>
      <c r="AD47" t="s">
        <v>2</v>
      </c>
      <c r="AE47">
        <v>2914689</v>
      </c>
      <c r="AF47" t="s">
        <v>1707</v>
      </c>
      <c r="AG47" t="s">
        <v>2282</v>
      </c>
      <c r="AH47" t="s">
        <v>1708</v>
      </c>
      <c r="AI47" t="s">
        <v>2283</v>
      </c>
      <c r="AJ47" t="s">
        <v>1709</v>
      </c>
      <c r="AK47" t="s">
        <v>2284</v>
      </c>
      <c r="AL47" t="s">
        <v>1710</v>
      </c>
      <c r="AM47" t="s">
        <v>2</v>
      </c>
      <c r="AN47" t="s">
        <v>288</v>
      </c>
      <c r="AO47" t="s">
        <v>2285</v>
      </c>
      <c r="AP47" t="s">
        <v>2286</v>
      </c>
      <c r="AQ47" t="s">
        <v>1017</v>
      </c>
      <c r="AR47" t="s">
        <v>2</v>
      </c>
      <c r="AS47" t="s">
        <v>2287</v>
      </c>
      <c r="AT47" t="s">
        <v>2288</v>
      </c>
      <c r="AU47" t="s">
        <v>2289</v>
      </c>
      <c r="AV47" t="s">
        <v>2290</v>
      </c>
      <c r="AW47" t="s">
        <v>2291</v>
      </c>
      <c r="AX47" t="s">
        <v>173</v>
      </c>
      <c r="AY47" t="s">
        <v>88</v>
      </c>
      <c r="AZ47" t="s">
        <v>109</v>
      </c>
      <c r="BA47" t="s">
        <v>111</v>
      </c>
      <c r="BB47" t="s">
        <v>18</v>
      </c>
      <c r="BC47" t="s">
        <v>801</v>
      </c>
      <c r="BD47" t="s">
        <v>1185</v>
      </c>
      <c r="BE47" t="s">
        <v>1297</v>
      </c>
      <c r="BF47" t="s">
        <v>1298</v>
      </c>
      <c r="BG47" t="s">
        <v>1299</v>
      </c>
      <c r="BH47" t="s">
        <v>259</v>
      </c>
      <c r="BI47" t="s">
        <v>45</v>
      </c>
      <c r="BJ47" t="s">
        <v>173</v>
      </c>
      <c r="BK47" t="s">
        <v>1706</v>
      </c>
      <c r="BL47" t="s">
        <v>2528</v>
      </c>
      <c r="BM47" t="s">
        <v>801</v>
      </c>
      <c r="BN47">
        <v>2.93</v>
      </c>
      <c r="BO47" t="s">
        <v>2</v>
      </c>
      <c r="BP47" t="s">
        <v>2</v>
      </c>
      <c r="BQ47">
        <v>1.74</v>
      </c>
      <c r="BR47">
        <v>-14.7</v>
      </c>
      <c r="BS47">
        <v>-14.12</v>
      </c>
      <c r="BT47" t="s">
        <v>940</v>
      </c>
      <c r="BU47" t="s">
        <v>1882</v>
      </c>
      <c r="BV47">
        <v>9.77</v>
      </c>
      <c r="BW47">
        <v>10.63</v>
      </c>
      <c r="BX47">
        <v>8.49</v>
      </c>
      <c r="BY47">
        <v>-6.31</v>
      </c>
      <c r="BZ47">
        <v>-89.22</v>
      </c>
      <c r="CA47">
        <v>-129.08000000000001</v>
      </c>
      <c r="CB47">
        <v>0.37</v>
      </c>
      <c r="CC47" s="10">
        <v>-28.83</v>
      </c>
      <c r="CD47" s="11" t="s">
        <v>2663</v>
      </c>
      <c r="CE47" s="10" t="s">
        <v>2664</v>
      </c>
      <c r="CF47" s="10">
        <v>-0.35672514619883033</v>
      </c>
      <c r="CG47" s="10">
        <v>-9.3143115551918694</v>
      </c>
      <c r="CH47" s="10">
        <v>3.9898989200592041</v>
      </c>
      <c r="CI47" s="10">
        <v>0.11864406615495682</v>
      </c>
      <c r="CJ47" s="11">
        <v>-0.31395348906517029</v>
      </c>
      <c r="CK47" s="11">
        <v>-0.27528089284896851</v>
      </c>
      <c r="CL47" s="11">
        <v>8.4985839203000069E-3</v>
      </c>
      <c r="CM47" s="11">
        <v>0.57481420040130615</v>
      </c>
      <c r="CN47" s="11">
        <v>0.23222748935222626</v>
      </c>
      <c r="CO47">
        <v>-1.6227762699127197</v>
      </c>
      <c r="CP47">
        <v>-5.7957735061645508</v>
      </c>
      <c r="CQ47">
        <v>3.6845154762268066</v>
      </c>
      <c r="CR47" s="10">
        <v>-20.649686695857586</v>
      </c>
      <c r="CS47" s="11">
        <v>-0.29267028488417424</v>
      </c>
      <c r="CT47">
        <v>0</v>
      </c>
      <c r="CU47">
        <v>0.70556143764406443</v>
      </c>
      <c r="CV47">
        <v>-0.58539852201938625</v>
      </c>
      <c r="CW47">
        <v>0.06</v>
      </c>
      <c r="CX47" t="e">
        <v>#VALUE!</v>
      </c>
      <c r="CY47" t="s">
        <v>711</v>
      </c>
      <c r="CZ47">
        <v>0.70556143764406443</v>
      </c>
      <c r="DA47" t="e">
        <v>#VALUE!</v>
      </c>
      <c r="DB47" t="s">
        <v>712</v>
      </c>
      <c r="DC47">
        <v>0.67028336576186121</v>
      </c>
      <c r="DD47" t="e">
        <v>#VALUE!</v>
      </c>
      <c r="DE47" t="s">
        <v>712</v>
      </c>
      <c r="DF47">
        <v>0.6208940651267767</v>
      </c>
      <c r="DG47" t="e">
        <v>#VALUE!</v>
      </c>
      <c r="DH47" t="s">
        <v>712</v>
      </c>
      <c r="DI47">
        <v>0.56444915011525154</v>
      </c>
      <c r="DJ47" t="e">
        <v>#VALUE!</v>
      </c>
      <c r="DK47" t="s">
        <v>712</v>
      </c>
      <c r="DL47">
        <v>0.49389300635084504</v>
      </c>
      <c r="DM47">
        <v>-68880100</v>
      </c>
      <c r="DN47">
        <v>0.70556143764406443</v>
      </c>
      <c r="DO47">
        <v>2325428600</v>
      </c>
      <c r="DP47">
        <v>-745513860</v>
      </c>
      <c r="DQ47" s="12">
        <v>4298</v>
      </c>
      <c r="DR47">
        <v>-1.0622865838428948</v>
      </c>
      <c r="DS47">
        <v>-8.7289130331724838</v>
      </c>
      <c r="DT47">
        <v>-0.39000000000000007</v>
      </c>
      <c r="DU47">
        <v>-2.433333333333334</v>
      </c>
      <c r="DV47">
        <v>-2.8233333333333341</v>
      </c>
      <c r="DW47">
        <v>-3.1451011904761903</v>
      </c>
      <c r="DX47">
        <v>0.38579427792915494</v>
      </c>
      <c r="DY47">
        <v>-3.0138998637683274</v>
      </c>
      <c r="DZ47">
        <v>4821</v>
      </c>
      <c r="EA47">
        <v>-3.0007784141448486</v>
      </c>
      <c r="EB47" s="13">
        <v>3</v>
      </c>
      <c r="EC47" s="13">
        <v>5.4687889131946173E-2</v>
      </c>
      <c r="ED47">
        <v>0.57088889142617283</v>
      </c>
      <c r="EE47">
        <v>-1.06531</v>
      </c>
      <c r="EF47">
        <v>-1.0616099999999999</v>
      </c>
      <c r="EG47">
        <v>29.095794277929155</v>
      </c>
      <c r="EH47" s="14" t="s">
        <v>969</v>
      </c>
      <c r="EI47">
        <v>0</v>
      </c>
      <c r="EJ47">
        <v>0</v>
      </c>
      <c r="EK47">
        <v>45490</v>
      </c>
      <c r="EL47">
        <v>2.93</v>
      </c>
      <c r="EM47">
        <v>-0.71</v>
      </c>
      <c r="EN47">
        <v>-1.79</v>
      </c>
      <c r="EO47">
        <v>-0.36</v>
      </c>
      <c r="EP47">
        <v>0.37</v>
      </c>
    </row>
    <row r="48" spans="1:146" ht="156" hidden="1" x14ac:dyDescent="0.25">
      <c r="A48" s="9"/>
      <c r="B48" s="9"/>
      <c r="C48" s="9" t="str">
        <f>"公司的主营业务为太阳能电池胶膜、太阳能电池背板的研发、生产和销售。公司的主要产品为光伏胶膜、光伏背板、电子材料感光干膜。公司隶属于光伏行业的封装材料领域，是全球光伏封装材料的龙头企业。"&amp;CHAR(10)&amp;Basic_Fundamental_Information_Constructure(F48)&amp;CHAR(10)&amp;Basic_Fundamental_Information_Concatenate("光伏胶膜 83.17亿 92.26% 88.39% 19.18%
光伏背板 6.92亿 7.68% 5.75% 14.99%
电子材料 3.18亿 3.53% 2.47% 14.01%")</f>
        <v>公司的主营业务为太阳能电池胶膜、太阳能电池背板的研发、生产和销售。公司的主要产品为光伏胶膜、光伏背板、电子材料感光干膜。公司隶属于光伏行业的封装材料领域，是全球光伏封装材料的龙头企业。
市值380.09281亿, 利润18.50亿; PE18.94; 平均PE25.63; 平均PEG.7, PB2.45; ROIC12.4%; ROE14.4%; 股利率1.7845%; 毛利18.4367%; 净利11.2167%; 上一年度营收增19.66%, 利润增17.16%; 当季营收增8.3%, 利润增43.27%; 过往5年营收增36.77%, 利润增24.08%
Income profile:
光伏胶膜 83.17亿 92.26% 88.39% 19.18%
光伏背板 6.92亿 7.68% 5.75% 14.99%
电子材料 3.18亿 3.53% 2.47% 14.01%</v>
      </c>
      <c r="D48" t="s">
        <v>636</v>
      </c>
      <c r="E48" t="s">
        <v>637</v>
      </c>
      <c r="F48">
        <v>14.57</v>
      </c>
      <c r="G48">
        <v>-3.06</v>
      </c>
      <c r="H48" t="s">
        <v>2665</v>
      </c>
      <c r="I48">
        <v>38009281000</v>
      </c>
      <c r="J48">
        <v>18.940000000000001</v>
      </c>
      <c r="K48">
        <v>2.4500000000000002</v>
      </c>
      <c r="L48" t="s">
        <v>753</v>
      </c>
      <c r="M48" t="s">
        <v>1279</v>
      </c>
      <c r="N48" t="s">
        <v>2292</v>
      </c>
      <c r="O48" t="s">
        <v>1348</v>
      </c>
      <c r="P48">
        <v>8.32</v>
      </c>
      <c r="Q48" t="s">
        <v>1711</v>
      </c>
      <c r="R48">
        <v>521500740</v>
      </c>
      <c r="S48" s="6">
        <v>0.43130000000000002</v>
      </c>
      <c r="T48" t="s">
        <v>1616</v>
      </c>
      <c r="U48">
        <v>2608735800</v>
      </c>
      <c r="V48">
        <v>2608735800</v>
      </c>
      <c r="W48">
        <v>1.39</v>
      </c>
      <c r="X48">
        <v>0.24</v>
      </c>
      <c r="Y48">
        <v>9.7899999999999991</v>
      </c>
      <c r="Z48" t="s">
        <v>2293</v>
      </c>
      <c r="AA48" t="s">
        <v>2294</v>
      </c>
      <c r="AB48" t="s">
        <v>2295</v>
      </c>
      <c r="AC48" t="s">
        <v>2296</v>
      </c>
      <c r="AD48" t="s">
        <v>2</v>
      </c>
      <c r="AE48">
        <v>-27848550</v>
      </c>
      <c r="AF48" t="s">
        <v>1712</v>
      </c>
      <c r="AG48" t="s">
        <v>2297</v>
      </c>
      <c r="AH48" t="s">
        <v>1713</v>
      </c>
      <c r="AI48" t="s">
        <v>2298</v>
      </c>
      <c r="AJ48" t="s">
        <v>1714</v>
      </c>
      <c r="AK48" t="s">
        <v>2299</v>
      </c>
      <c r="AL48" t="s">
        <v>1715</v>
      </c>
      <c r="AM48" t="s">
        <v>2</v>
      </c>
      <c r="AN48" t="s">
        <v>407</v>
      </c>
      <c r="AO48" t="s">
        <v>431</v>
      </c>
      <c r="AP48" t="s">
        <v>2300</v>
      </c>
      <c r="AQ48" t="s">
        <v>431</v>
      </c>
      <c r="AR48" t="s">
        <v>2</v>
      </c>
      <c r="AS48" t="s">
        <v>2301</v>
      </c>
      <c r="AT48" t="s">
        <v>354</v>
      </c>
      <c r="AU48" t="s">
        <v>2302</v>
      </c>
      <c r="AV48" t="s">
        <v>2303</v>
      </c>
      <c r="AW48" t="s">
        <v>277</v>
      </c>
      <c r="AX48" t="s">
        <v>1059</v>
      </c>
      <c r="AY48" t="s">
        <v>817</v>
      </c>
      <c r="AZ48" t="s">
        <v>638</v>
      </c>
      <c r="BA48" t="s">
        <v>639</v>
      </c>
      <c r="BB48" t="s">
        <v>640</v>
      </c>
      <c r="BC48" t="s">
        <v>935</v>
      </c>
      <c r="BD48" t="s">
        <v>818</v>
      </c>
      <c r="BE48" t="s">
        <v>300</v>
      </c>
      <c r="BF48" t="s">
        <v>254</v>
      </c>
      <c r="BG48" t="s">
        <v>36</v>
      </c>
      <c r="BH48" t="s">
        <v>1711</v>
      </c>
      <c r="BI48" t="s">
        <v>2529</v>
      </c>
      <c r="BJ48" t="s">
        <v>1059</v>
      </c>
      <c r="BK48" t="s">
        <v>1616</v>
      </c>
      <c r="BL48" t="s">
        <v>2530</v>
      </c>
      <c r="BM48" t="s">
        <v>935</v>
      </c>
      <c r="BN48">
        <v>7.6</v>
      </c>
      <c r="BO48">
        <v>10.34</v>
      </c>
      <c r="BP48">
        <v>19.260000000000002</v>
      </c>
      <c r="BQ48">
        <v>9.81</v>
      </c>
      <c r="BR48">
        <v>12.33</v>
      </c>
      <c r="BS48">
        <v>21.06</v>
      </c>
      <c r="BT48" t="s">
        <v>1716</v>
      </c>
      <c r="BU48" t="s">
        <v>1868</v>
      </c>
      <c r="BV48">
        <v>14.64</v>
      </c>
      <c r="BW48">
        <v>15.62</v>
      </c>
      <c r="BX48">
        <v>25.05</v>
      </c>
      <c r="BY48">
        <v>8.19</v>
      </c>
      <c r="BZ48">
        <v>8.3699999999999992</v>
      </c>
      <c r="CA48">
        <v>17.09</v>
      </c>
      <c r="CB48">
        <v>6.98</v>
      </c>
      <c r="CC48">
        <v>-19.18</v>
      </c>
      <c r="CD48" t="s">
        <v>2666</v>
      </c>
      <c r="CE48" t="s">
        <v>2667</v>
      </c>
      <c r="CF48" s="10">
        <v>8.3044982698961933E-2</v>
      </c>
      <c r="CG48" s="11">
        <v>0.43269434065934065</v>
      </c>
      <c r="CH48" s="10">
        <v>0.19664141535758972</v>
      </c>
      <c r="CI48" s="10">
        <v>0.46811315417289734</v>
      </c>
      <c r="CJ48" s="10">
        <v>0.53199100494384766</v>
      </c>
      <c r="CK48" s="10">
        <v>0.31592977046966553</v>
      </c>
      <c r="CL48" s="10">
        <v>0.3259875476360321</v>
      </c>
      <c r="CM48" s="11">
        <v>0.17162756621837616</v>
      </c>
      <c r="CN48" s="11">
        <v>-0.2812926173210144</v>
      </c>
      <c r="CO48" s="11">
        <v>0.40383389592170715</v>
      </c>
      <c r="CP48" s="11">
        <v>0.63531863689422607</v>
      </c>
      <c r="CQ48" s="11">
        <v>0.27430093288421631</v>
      </c>
      <c r="CR48">
        <v>25.627113833014945</v>
      </c>
      <c r="CS48">
        <v>0.69689538893817271</v>
      </c>
      <c r="CT48">
        <v>1.7844886753603295</v>
      </c>
      <c r="CU48" s="10">
        <v>0.36773257851600649</v>
      </c>
      <c r="CV48" s="11">
        <v>0.24075768291950225</v>
      </c>
      <c r="CW48">
        <v>0.06</v>
      </c>
      <c r="CX48">
        <v>11.63231891661763</v>
      </c>
      <c r="CY48">
        <v>2387080443.636426</v>
      </c>
      <c r="CZ48">
        <v>0.36773257851600649</v>
      </c>
      <c r="DA48">
        <v>3.0284016512738572</v>
      </c>
      <c r="DB48">
        <v>9168955837.9153767</v>
      </c>
      <c r="DC48">
        <v>0.34934594959020615</v>
      </c>
      <c r="DD48">
        <v>1.0711490063475937</v>
      </c>
      <c r="DE48">
        <v>25922892926.616192</v>
      </c>
      <c r="DF48">
        <v>0.3236046690940857</v>
      </c>
      <c r="DG48">
        <v>0.42700532353483861</v>
      </c>
      <c r="DH48">
        <v>65027950401.50013</v>
      </c>
      <c r="DI48">
        <v>0.29418606281280518</v>
      </c>
      <c r="DJ48">
        <v>8.0043448268653977E-2</v>
      </c>
      <c r="DK48">
        <v>346902608528.34869</v>
      </c>
      <c r="DL48">
        <v>0.25741280496120456</v>
      </c>
      <c r="DM48">
        <v>1850000000</v>
      </c>
      <c r="DN48">
        <v>0.36773257851600649</v>
      </c>
      <c r="DO48">
        <v>27767281000</v>
      </c>
      <c r="DP48">
        <v>14255509000</v>
      </c>
      <c r="DQ48">
        <v>4311</v>
      </c>
      <c r="DR48">
        <v>-0.28468759581704456</v>
      </c>
      <c r="DS48">
        <v>0.1919366577398384</v>
      </c>
      <c r="DT48" s="12">
        <v>0.22666666666666657</v>
      </c>
      <c r="DU48">
        <v>0.70333333333333325</v>
      </c>
      <c r="DV48">
        <v>0.92999999999999983</v>
      </c>
      <c r="DW48">
        <v>7.2668195718654438</v>
      </c>
      <c r="DX48">
        <v>0.46513227513227534</v>
      </c>
      <c r="DY48">
        <v>7.0734106758571587</v>
      </c>
      <c r="DZ48">
        <v>287</v>
      </c>
      <c r="EA48">
        <v>7.06928518849256</v>
      </c>
      <c r="EB48">
        <v>7</v>
      </c>
      <c r="EC48">
        <v>5.979907969216354E-2</v>
      </c>
      <c r="ED48">
        <v>0.21734665503497902</v>
      </c>
      <c r="EE48" s="13">
        <v>3.3710000000000004E-2</v>
      </c>
      <c r="EF48">
        <v>6.4309999999999992E-2</v>
      </c>
      <c r="EG48">
        <v>19.275132275132275</v>
      </c>
      <c r="EH48">
        <v>-1</v>
      </c>
      <c r="EI48">
        <v>1</v>
      </c>
      <c r="EJ48">
        <v>1</v>
      </c>
      <c r="EK48" s="14">
        <v>45490</v>
      </c>
      <c r="EL48">
        <v>6.46</v>
      </c>
      <c r="EM48">
        <v>5.03</v>
      </c>
      <c r="EN48">
        <v>-3.41</v>
      </c>
      <c r="EO48">
        <v>2.1800000000000002</v>
      </c>
      <c r="EP48">
        <v>-3.06</v>
      </c>
    </row>
    <row r="49" spans="1:146" ht="156" x14ac:dyDescent="0.25">
      <c r="A49" s="9" t="s">
        <v>1318</v>
      </c>
      <c r="B49" s="9" t="s">
        <v>1319</v>
      </c>
      <c r="C49" s="9" t="str">
        <f>"公司主要从事蒸发器、冷凝器和变频控制芯片等部件以及除湿机和空气源热泵热风机等环境电器产品的研发、生产和销售。公司的主要产品是以热交换器系列、电路控制系列和环境电器系列为核心的三大系列产品。"&amp;CHAR(10)&amp;Basic_Fundamental_Information_Constructure(F49)&amp;CHAR(10)&amp;Basic_Fundamental_Information_Concatenate("热交换器 23.28亿 55.85% 32.20% 13.23%
逆变器 11.98亿 28.73% 46.56% 37.19%
除湿机 5.62亿 13.49% 18.97% 32.27%")</f>
        <v>公司主要从事蒸发器、冷凝器和变频控制芯片等部件以及除湿机和空气源热泵热风机等环境电器产品的研发、生产和销售。公司的主要产品是以热交换器系列、电路控制系列和环境电器系列为核心的三大系列产品。
市值561.47326亿, 利润17.91亿; PE34.34; 平均PE72.75; 平均PEG2.07, PB7.28; ROIC29.0967%; ROE36.2967%; 股利率2.3866%; 毛利33.7967%; 净利21.1333%; 上一年度营收增25.59%, 利润增18.06%; 当季营收增-9.64%, 利润增109.32%; 过往5年营收增35.19%, 利润增86.69%
Income profile:
热交换器 23.28亿 55.85% 32.20% 13.23%
逆变器 11.98亿 28.73% 46.56% 37.19%
除湿机 5.62亿 13.49% 18.97% 32.27%</v>
      </c>
      <c r="D49" t="s">
        <v>1060</v>
      </c>
      <c r="E49" t="s">
        <v>1061</v>
      </c>
      <c r="F49">
        <v>87.99</v>
      </c>
      <c r="G49">
        <v>-2.59</v>
      </c>
      <c r="H49" t="s">
        <v>2668</v>
      </c>
      <c r="I49">
        <v>56147326000</v>
      </c>
      <c r="J49">
        <v>34.340000000000003</v>
      </c>
      <c r="K49">
        <v>7.28</v>
      </c>
      <c r="L49" t="s">
        <v>753</v>
      </c>
      <c r="M49" t="s">
        <v>1295</v>
      </c>
      <c r="N49" t="s">
        <v>821</v>
      </c>
      <c r="O49" t="s">
        <v>1597</v>
      </c>
      <c r="P49" s="6">
        <v>-9.64</v>
      </c>
      <c r="Q49" t="s">
        <v>1719</v>
      </c>
      <c r="R49">
        <v>1232908200</v>
      </c>
      <c r="S49">
        <v>-0.26479999999999998</v>
      </c>
      <c r="T49" t="s">
        <v>1720</v>
      </c>
      <c r="U49">
        <v>602113190</v>
      </c>
      <c r="V49">
        <v>638110310</v>
      </c>
      <c r="W49">
        <v>1.99</v>
      </c>
      <c r="X49">
        <v>0.17</v>
      </c>
      <c r="Y49">
        <v>22.98</v>
      </c>
      <c r="Z49" t="s">
        <v>893</v>
      </c>
      <c r="AA49" t="s">
        <v>2304</v>
      </c>
      <c r="AB49" t="s">
        <v>2305</v>
      </c>
      <c r="AC49" t="s">
        <v>2306</v>
      </c>
      <c r="AD49" t="s">
        <v>2</v>
      </c>
      <c r="AE49">
        <v>-33486876</v>
      </c>
      <c r="AF49" t="s">
        <v>1722</v>
      </c>
      <c r="AG49" t="s">
        <v>2307</v>
      </c>
      <c r="AH49" t="s">
        <v>1723</v>
      </c>
      <c r="AI49" t="s">
        <v>2308</v>
      </c>
      <c r="AJ49" t="s">
        <v>1724</v>
      </c>
      <c r="AK49" t="s">
        <v>2309</v>
      </c>
      <c r="AL49" t="s">
        <v>1725</v>
      </c>
      <c r="AM49" t="s">
        <v>2</v>
      </c>
      <c r="AN49" t="s">
        <v>223</v>
      </c>
      <c r="AO49" t="s">
        <v>2310</v>
      </c>
      <c r="AP49" t="s">
        <v>762</v>
      </c>
      <c r="AQ49" t="s">
        <v>1168</v>
      </c>
      <c r="AR49" t="s">
        <v>2</v>
      </c>
      <c r="AS49" t="s">
        <v>2311</v>
      </c>
      <c r="AT49" t="s">
        <v>357</v>
      </c>
      <c r="AU49" t="s">
        <v>91</v>
      </c>
      <c r="AV49" t="s">
        <v>1290</v>
      </c>
      <c r="AW49" t="s">
        <v>2312</v>
      </c>
      <c r="AX49" t="s">
        <v>1062</v>
      </c>
      <c r="AY49" t="s">
        <v>475</v>
      </c>
      <c r="AZ49" t="s">
        <v>486</v>
      </c>
      <c r="BA49" t="s">
        <v>1063</v>
      </c>
      <c r="BB49" t="s">
        <v>933</v>
      </c>
      <c r="BC49" t="s">
        <v>739</v>
      </c>
      <c r="BD49" t="s">
        <v>907</v>
      </c>
      <c r="BE49" t="s">
        <v>160</v>
      </c>
      <c r="BF49" t="s">
        <v>71</v>
      </c>
      <c r="BG49" t="s">
        <v>126</v>
      </c>
      <c r="BH49" t="s">
        <v>1719</v>
      </c>
      <c r="BI49" t="s">
        <v>2531</v>
      </c>
      <c r="BJ49" t="s">
        <v>1062</v>
      </c>
      <c r="BK49" t="s">
        <v>1720</v>
      </c>
      <c r="BL49" t="s">
        <v>2532</v>
      </c>
      <c r="BM49" t="s">
        <v>739</v>
      </c>
      <c r="BN49">
        <v>20.149999999999999</v>
      </c>
      <c r="BO49">
        <v>34.909999999999997</v>
      </c>
      <c r="BP49">
        <v>32.229999999999997</v>
      </c>
      <c r="BQ49">
        <v>34.1</v>
      </c>
      <c r="BR49">
        <v>45.5</v>
      </c>
      <c r="BS49">
        <v>29.29</v>
      </c>
      <c r="BT49" t="s">
        <v>1727</v>
      </c>
      <c r="BU49" t="s">
        <v>2034</v>
      </c>
      <c r="BV49">
        <v>40.409999999999997</v>
      </c>
      <c r="BW49">
        <v>38.03</v>
      </c>
      <c r="BX49">
        <v>22.95</v>
      </c>
      <c r="BY49">
        <v>23.94</v>
      </c>
      <c r="BZ49">
        <v>25.58</v>
      </c>
      <c r="CA49">
        <v>13.88</v>
      </c>
      <c r="CB49">
        <v>20.04</v>
      </c>
      <c r="CC49" s="15">
        <v>21.87</v>
      </c>
      <c r="CD49" s="15" t="s">
        <v>2669</v>
      </c>
      <c r="CE49" s="15" t="s">
        <v>2670</v>
      </c>
      <c r="CF49" s="10">
        <v>-9.6402877697841824E-2</v>
      </c>
      <c r="CG49" s="11">
        <v>1.0932227504244483</v>
      </c>
      <c r="CH49" s="10">
        <v>0.25587648153305054</v>
      </c>
      <c r="CI49" s="10">
        <v>0.42898267507553101</v>
      </c>
      <c r="CJ49" s="10">
        <v>0.37830686569213867</v>
      </c>
      <c r="CK49" s="10">
        <v>0.17665375769138336</v>
      </c>
      <c r="CL49" s="10">
        <v>0.51981061697006226</v>
      </c>
      <c r="CM49" s="11">
        <v>0.1806197315454483</v>
      </c>
      <c r="CN49" s="11">
        <v>1.6200344562530518</v>
      </c>
      <c r="CO49" s="11">
        <v>0.51570677757263184</v>
      </c>
      <c r="CP49" s="11">
        <v>0.4692307710647583</v>
      </c>
      <c r="CQ49" s="11">
        <v>1.5490195751190186</v>
      </c>
      <c r="CR49" s="15">
        <v>72.745401857050311</v>
      </c>
      <c r="CS49" s="15">
        <v>2.0670648217557028</v>
      </c>
      <c r="CT49" s="15">
        <v>2.3866348448687353</v>
      </c>
      <c r="CU49" s="10">
        <v>0.35192607939243314</v>
      </c>
      <c r="CV49" s="11">
        <v>0.86692226231098179</v>
      </c>
      <c r="CW49">
        <v>0.06</v>
      </c>
      <c r="CX49">
        <v>24.519842715514091</v>
      </c>
      <c r="CY49">
        <v>2284244913.3885355</v>
      </c>
      <c r="CZ49">
        <v>0.35192607939243314</v>
      </c>
      <c r="DA49">
        <v>6.4638868606561966</v>
      </c>
      <c r="DB49">
        <v>8664960759.2782154</v>
      </c>
      <c r="DC49">
        <v>0.33432977542281145</v>
      </c>
      <c r="DD49">
        <v>2.3309445825167052</v>
      </c>
      <c r="DE49">
        <v>24028596140.851665</v>
      </c>
      <c r="DF49">
        <v>0.30969494986534118</v>
      </c>
      <c r="DG49">
        <v>0.95309958773213488</v>
      </c>
      <c r="DH49">
        <v>58765449823.844864</v>
      </c>
      <c r="DI49">
        <v>0.28154086351394653</v>
      </c>
      <c r="DJ49">
        <v>0.19078689736946694</v>
      </c>
      <c r="DK49">
        <v>293570086689.63025</v>
      </c>
      <c r="DL49">
        <v>0.24634825557470319</v>
      </c>
      <c r="DM49">
        <v>1791000000</v>
      </c>
      <c r="DN49">
        <v>0.35192607939243314</v>
      </c>
      <c r="DO49">
        <v>56009326000</v>
      </c>
      <c r="DP49">
        <v>3658751900</v>
      </c>
      <c r="DQ49" s="12">
        <v>4458</v>
      </c>
      <c r="DR49">
        <v>-0.44832895709027498</v>
      </c>
      <c r="DS49">
        <v>0.22630048811346648</v>
      </c>
      <c r="DT49">
        <v>0.22666666666666657</v>
      </c>
      <c r="DU49">
        <v>1.3566666666666667</v>
      </c>
      <c r="DV49">
        <v>1.5833333333333333</v>
      </c>
      <c r="DW49">
        <v>9.9163237311385455</v>
      </c>
      <c r="DX49">
        <v>0.37328205980066531</v>
      </c>
      <c r="DY49">
        <v>9.1954354128214586</v>
      </c>
      <c r="DZ49">
        <v>50</v>
      </c>
      <c r="EA49">
        <v>9.1935220056076208</v>
      </c>
      <c r="EB49" s="13">
        <v>9</v>
      </c>
      <c r="EC49" s="13">
        <v>0.10060627291854915</v>
      </c>
      <c r="ED49">
        <v>0.47170527616142105</v>
      </c>
      <c r="EE49">
        <v>-2.1196000000000002</v>
      </c>
      <c r="EF49">
        <v>-2.0937000000000001</v>
      </c>
      <c r="EG49">
        <v>16.213282059800665</v>
      </c>
      <c r="EH49" s="14" t="s">
        <v>973</v>
      </c>
      <c r="EI49">
        <v>1</v>
      </c>
      <c r="EJ49">
        <v>1</v>
      </c>
      <c r="EK49">
        <v>45490</v>
      </c>
      <c r="EL49">
        <v>10</v>
      </c>
      <c r="EM49">
        <v>5.28</v>
      </c>
      <c r="EN49">
        <v>4.7</v>
      </c>
      <c r="EO49">
        <v>1.63</v>
      </c>
      <c r="EP49">
        <v>-2.59</v>
      </c>
    </row>
    <row r="50" spans="1:146" ht="204" x14ac:dyDescent="0.25">
      <c r="A50" s="9" t="s">
        <v>880</v>
      </c>
      <c r="B50" s="9" t="s">
        <v>881</v>
      </c>
      <c r="C50" s="9" t="str">
        <f>"公司主营业务是光伏逆变器等电力变换设备和电气成套设备及相关产品的研发、制造与销售。主要产品有微型逆变器及监控设备、分布式光伏发电系统、模块化逆变器及其他电力变换设备、电气成套设备及元器件。"&amp;CHAR(10)&amp;Basic_Fundamental_Information_Constructure(F50)&amp;CHAR(10)&amp;Basic_Fundamental_Information_Concatenate("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f>
        <v>公司主营业务是光伏逆变器等电力变换设备和电气成套设备及相关产品的研发、制造与销售。主要产品有微型逆变器及监控设备、分布式光伏发电系统、模块化逆变器及其他电力变换设备、电气成套设备及元器件。
市值133.639312亿, 利润5.12亿; PE33.17; 平均PE55.4; 平均PEG1.14, PB2.08; ROIC5.8633%; ROE19.07%; 股利率3.334%; 毛利43.92%; 净利28.45%; 上一年度营收增31.82%, 利润增-3.94%; 当季营收增-42.93%, 利润增-61.76%; 过往5年营收增48.64%, 利润增138.22%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v>
      </c>
      <c r="D50" t="s">
        <v>740</v>
      </c>
      <c r="E50" t="s">
        <v>741</v>
      </c>
      <c r="F50">
        <v>107.98</v>
      </c>
      <c r="G50">
        <v>-2.06</v>
      </c>
      <c r="H50" t="s">
        <v>2671</v>
      </c>
      <c r="I50">
        <v>13363931200</v>
      </c>
      <c r="J50">
        <v>33.17</v>
      </c>
      <c r="K50">
        <v>2.08</v>
      </c>
      <c r="L50" t="s">
        <v>753</v>
      </c>
      <c r="M50" t="s">
        <v>376</v>
      </c>
      <c r="N50" t="s">
        <v>2313</v>
      </c>
      <c r="O50" t="s">
        <v>19</v>
      </c>
      <c r="P50">
        <v>-42.91</v>
      </c>
      <c r="Q50" t="s">
        <v>1338</v>
      </c>
      <c r="R50">
        <v>67302018</v>
      </c>
      <c r="S50" s="6">
        <v>-0.61829999999999996</v>
      </c>
      <c r="T50" t="s">
        <v>79</v>
      </c>
      <c r="U50">
        <v>62044310</v>
      </c>
      <c r="V50">
        <v>123763023</v>
      </c>
      <c r="W50">
        <v>1.1499999999999999</v>
      </c>
      <c r="X50">
        <v>0.05</v>
      </c>
      <c r="Y50">
        <v>20.03</v>
      </c>
      <c r="Z50" t="s">
        <v>122</v>
      </c>
      <c r="AA50" t="s">
        <v>97</v>
      </c>
      <c r="AB50" t="s">
        <v>2314</v>
      </c>
      <c r="AC50" t="s">
        <v>2315</v>
      </c>
      <c r="AD50" t="s">
        <v>2</v>
      </c>
      <c r="AE50">
        <v>-23892556</v>
      </c>
      <c r="AF50" t="s">
        <v>1729</v>
      </c>
      <c r="AG50" t="s">
        <v>2316</v>
      </c>
      <c r="AH50" t="s">
        <v>1730</v>
      </c>
      <c r="AI50" t="s">
        <v>2317</v>
      </c>
      <c r="AJ50" t="s">
        <v>1731</v>
      </c>
      <c r="AK50" t="s">
        <v>2318</v>
      </c>
      <c r="AL50" t="s">
        <v>1732</v>
      </c>
      <c r="AM50" t="s">
        <v>2</v>
      </c>
      <c r="AN50" t="s">
        <v>141</v>
      </c>
      <c r="AO50" t="s">
        <v>2319</v>
      </c>
      <c r="AP50" t="s">
        <v>141</v>
      </c>
      <c r="AQ50" t="s">
        <v>207</v>
      </c>
      <c r="AR50" t="s">
        <v>2</v>
      </c>
      <c r="AS50" t="s">
        <v>230</v>
      </c>
      <c r="AT50" t="s">
        <v>1225</v>
      </c>
      <c r="AU50" t="s">
        <v>2320</v>
      </c>
      <c r="AV50" t="s">
        <v>2321</v>
      </c>
      <c r="AW50" t="s">
        <v>2322</v>
      </c>
      <c r="AX50" t="s">
        <v>289</v>
      </c>
      <c r="AY50" t="s">
        <v>730</v>
      </c>
      <c r="AZ50" t="s">
        <v>345</v>
      </c>
      <c r="BA50" t="s">
        <v>82</v>
      </c>
      <c r="BB50" t="s">
        <v>116</v>
      </c>
      <c r="BC50" t="s">
        <v>347</v>
      </c>
      <c r="BD50" t="s">
        <v>74</v>
      </c>
      <c r="BE50" t="s">
        <v>57</v>
      </c>
      <c r="BF50" t="s">
        <v>742</v>
      </c>
      <c r="BG50" t="s">
        <v>743</v>
      </c>
      <c r="BH50" t="s">
        <v>1338</v>
      </c>
      <c r="BI50" t="s">
        <v>263</v>
      </c>
      <c r="BJ50" t="s">
        <v>289</v>
      </c>
      <c r="BK50" t="s">
        <v>79</v>
      </c>
      <c r="BL50" t="s">
        <v>229</v>
      </c>
      <c r="BM50" t="s">
        <v>347</v>
      </c>
      <c r="BN50">
        <v>4.83</v>
      </c>
      <c r="BO50">
        <v>6.57</v>
      </c>
      <c r="BP50">
        <v>6.19</v>
      </c>
      <c r="BQ50">
        <v>6.4</v>
      </c>
      <c r="BR50">
        <v>8.61</v>
      </c>
      <c r="BS50">
        <v>42.2</v>
      </c>
      <c r="BT50" t="s">
        <v>1733</v>
      </c>
      <c r="BU50" t="s">
        <v>2034</v>
      </c>
      <c r="BV50">
        <v>44.03</v>
      </c>
      <c r="BW50">
        <v>44.98</v>
      </c>
      <c r="BX50">
        <v>42.75</v>
      </c>
      <c r="BY50">
        <v>25.34</v>
      </c>
      <c r="BZ50">
        <v>34.64</v>
      </c>
      <c r="CA50">
        <v>25.37</v>
      </c>
      <c r="CB50">
        <v>7.17</v>
      </c>
      <c r="CC50">
        <v>-28.04</v>
      </c>
      <c r="CD50" t="s">
        <v>2672</v>
      </c>
      <c r="CE50" t="s">
        <v>2673</v>
      </c>
      <c r="CF50" s="10">
        <v>-0.42931034482758623</v>
      </c>
      <c r="CG50" s="11">
        <v>-0.61760217045454546</v>
      </c>
      <c r="CH50" s="10">
        <v>0.31815230846405029</v>
      </c>
      <c r="CI50" s="10">
        <v>0.93333327770233154</v>
      </c>
      <c r="CJ50" s="10">
        <v>0.60606062412261963</v>
      </c>
      <c r="CK50" s="10">
        <v>7.6086953282356262E-2</v>
      </c>
      <c r="CL50" s="10">
        <v>0.49837133288383484</v>
      </c>
      <c r="CM50" s="11">
        <v>-3.9399623870849609E-2</v>
      </c>
      <c r="CN50" s="11">
        <v>1.6386138200759888</v>
      </c>
      <c r="CO50" s="11">
        <v>0.94230771064758301</v>
      </c>
      <c r="CP50" s="11">
        <v>0.29131591320037842</v>
      </c>
      <c r="CQ50" s="11">
        <v>4.0779938697814941</v>
      </c>
      <c r="CR50">
        <v>55.398429540675124</v>
      </c>
      <c r="CS50">
        <v>1.1389458699895909</v>
      </c>
      <c r="CT50">
        <v>3.3339507316169659</v>
      </c>
      <c r="CU50" s="10">
        <v>0.48640089929103852</v>
      </c>
      <c r="CV50" s="11">
        <v>1.3821663379669189</v>
      </c>
      <c r="CW50">
        <v>0.06</v>
      </c>
      <c r="CX50">
        <v>10.831988787600617</v>
      </c>
      <c r="CY50">
        <v>717959679.65755808</v>
      </c>
      <c r="CZ50">
        <v>0.48640089929103852</v>
      </c>
      <c r="DA50">
        <v>2.5718247395584251</v>
      </c>
      <c r="DB50">
        <v>3023896255.5960469</v>
      </c>
      <c r="DC50">
        <v>0.4620808543264866</v>
      </c>
      <c r="DD50">
        <v>0.78629611902917851</v>
      </c>
      <c r="DE50">
        <v>9890588306.097702</v>
      </c>
      <c r="DF50">
        <v>0.42803279137611389</v>
      </c>
      <c r="DG50">
        <v>0.25816703529404306</v>
      </c>
      <c r="DH50">
        <v>30123641429.055233</v>
      </c>
      <c r="DI50">
        <v>0.38912071943283083</v>
      </c>
      <c r="DJ50">
        <v>2.9313954953040535E-2</v>
      </c>
      <c r="DK50">
        <v>265297917406.85446</v>
      </c>
      <c r="DL50">
        <v>0.34048062950372693</v>
      </c>
      <c r="DM50">
        <v>512000000</v>
      </c>
      <c r="DN50">
        <v>0.48640089929103852</v>
      </c>
      <c r="DO50">
        <v>7776931200</v>
      </c>
      <c r="DP50">
        <v>5470445000</v>
      </c>
      <c r="DQ50">
        <v>4566</v>
      </c>
      <c r="DR50">
        <v>-0.91571124411862481</v>
      </c>
      <c r="DS50">
        <v>-1.9997685084214645</v>
      </c>
      <c r="DT50" s="12">
        <v>0.39333333333333331</v>
      </c>
      <c r="DU50">
        <v>0.81166666666666687</v>
      </c>
      <c r="DV50">
        <v>1.2050000000000001</v>
      </c>
      <c r="DW50">
        <v>7.2036353308719114</v>
      </c>
      <c r="DX50">
        <v>0.39368525712271041</v>
      </c>
      <c r="DY50">
        <v>7.0455502213453514</v>
      </c>
      <c r="DZ50">
        <v>136</v>
      </c>
      <c r="EA50">
        <v>7.0443372136886122</v>
      </c>
      <c r="EB50">
        <v>7</v>
      </c>
      <c r="EC50">
        <v>8.4072768649162688E-2</v>
      </c>
      <c r="ED50">
        <v>0.3758529718525056</v>
      </c>
      <c r="EE50" s="13">
        <v>-2.0388000000000002</v>
      </c>
      <c r="EF50">
        <v>-2.0182000000000002</v>
      </c>
      <c r="EG50">
        <v>17.22368525712271</v>
      </c>
      <c r="EH50" t="s">
        <v>973</v>
      </c>
      <c r="EI50">
        <v>1</v>
      </c>
      <c r="EJ50">
        <v>1</v>
      </c>
      <c r="EK50" s="14">
        <v>45490</v>
      </c>
      <c r="EL50">
        <v>5.87</v>
      </c>
      <c r="EM50">
        <v>4.6399999999999997</v>
      </c>
      <c r="EN50">
        <v>-2.5099999999999998</v>
      </c>
      <c r="EO50">
        <v>1.31</v>
      </c>
      <c r="EP50">
        <v>-2.06</v>
      </c>
    </row>
    <row r="51" spans="1:146" ht="96" hidden="1" x14ac:dyDescent="0.25">
      <c r="A51" s="9"/>
      <c r="B51" s="9"/>
      <c r="C51" s="9" t="str">
        <f>""&amp;CHAR(10)&amp;Basic_Fundamental_Information_Constructure(F51)&amp;CHAR(10)&amp;Basic_Fundamental_Information_Concatenate("")</f>
        <v xml:space="preserve">
市值29.852745亿, 利润1.44亿; PE; 平均PE15.64; 平均PEG.39, PB.586; ROIC4.8767%; ROE5.6667%; 股利率.4708%; 毛利47.55%; 净利18.19%; 上一年度营收增113.88%, 利润增-19.1%; 当季营收增11.58%, 利润增-386.18%; 过往5年营收增39.65%, 利润增-3.75%
Income profile:
</v>
      </c>
      <c r="D51" t="s">
        <v>1187</v>
      </c>
      <c r="E51" t="s">
        <v>1188</v>
      </c>
      <c r="F51">
        <v>5.31</v>
      </c>
      <c r="G51">
        <v>-0.38</v>
      </c>
      <c r="H51" t="s">
        <v>2674</v>
      </c>
      <c r="I51">
        <v>2985274500</v>
      </c>
      <c r="K51">
        <v>0.58599999999999997</v>
      </c>
      <c r="L51" t="s">
        <v>753</v>
      </c>
      <c r="M51" t="s">
        <v>1734</v>
      </c>
      <c r="N51" t="s">
        <v>2323</v>
      </c>
      <c r="O51" t="s">
        <v>115</v>
      </c>
      <c r="P51" s="6">
        <v>11.67</v>
      </c>
      <c r="Q51" t="s">
        <v>1015</v>
      </c>
      <c r="R51">
        <v>-129609219</v>
      </c>
      <c r="S51">
        <v>-3.8620000000000001</v>
      </c>
      <c r="T51" t="s">
        <v>47</v>
      </c>
      <c r="U51">
        <v>562198600</v>
      </c>
      <c r="V51">
        <v>562198600</v>
      </c>
      <c r="W51">
        <v>1.68</v>
      </c>
      <c r="X51">
        <v>0.04</v>
      </c>
      <c r="Y51">
        <v>-38.520000000000003</v>
      </c>
      <c r="Z51" t="s">
        <v>147</v>
      </c>
      <c r="AA51" t="s">
        <v>266</v>
      </c>
      <c r="AB51" t="s">
        <v>2324</v>
      </c>
      <c r="AC51" t="s">
        <v>2325</v>
      </c>
      <c r="AD51" t="s">
        <v>2</v>
      </c>
      <c r="AE51">
        <v>19539529</v>
      </c>
      <c r="AF51" t="s">
        <v>1735</v>
      </c>
      <c r="AG51" t="s">
        <v>2326</v>
      </c>
      <c r="AH51" t="s">
        <v>1736</v>
      </c>
      <c r="AI51" t="s">
        <v>748</v>
      </c>
      <c r="AJ51" t="s">
        <v>1737</v>
      </c>
      <c r="AK51" t="s">
        <v>120</v>
      </c>
      <c r="AL51" t="s">
        <v>1738</v>
      </c>
      <c r="AM51" t="s">
        <v>2</v>
      </c>
      <c r="AN51" t="s">
        <v>2327</v>
      </c>
      <c r="AO51" t="s">
        <v>802</v>
      </c>
      <c r="AP51" t="s">
        <v>2328</v>
      </c>
      <c r="AQ51" t="s">
        <v>788</v>
      </c>
      <c r="AR51" t="s">
        <v>2</v>
      </c>
      <c r="AS51" t="s">
        <v>472</v>
      </c>
      <c r="AT51" t="s">
        <v>1253</v>
      </c>
      <c r="AU51" t="s">
        <v>1821</v>
      </c>
      <c r="AV51" t="s">
        <v>2329</v>
      </c>
      <c r="AW51" t="s">
        <v>186</v>
      </c>
      <c r="AX51" t="s">
        <v>1170</v>
      </c>
      <c r="AY51" t="s">
        <v>279</v>
      </c>
      <c r="AZ51" t="s">
        <v>68</v>
      </c>
      <c r="BA51" t="s">
        <v>204</v>
      </c>
      <c r="BB51" t="s">
        <v>206</v>
      </c>
      <c r="BC51" t="s">
        <v>198</v>
      </c>
      <c r="BD51" t="s">
        <v>163</v>
      </c>
      <c r="BE51" t="s">
        <v>78</v>
      </c>
      <c r="BF51" t="s">
        <v>96</v>
      </c>
      <c r="BG51" t="s">
        <v>54</v>
      </c>
      <c r="BH51" t="s">
        <v>1015</v>
      </c>
      <c r="BI51" t="s">
        <v>189</v>
      </c>
      <c r="BJ51" t="s">
        <v>1170</v>
      </c>
      <c r="BK51" t="s">
        <v>47</v>
      </c>
      <c r="BL51" t="s">
        <v>1739</v>
      </c>
      <c r="BM51" t="s">
        <v>198</v>
      </c>
      <c r="BN51">
        <v>4.18</v>
      </c>
      <c r="BO51">
        <v>4.34</v>
      </c>
      <c r="BP51">
        <v>6.11</v>
      </c>
      <c r="BQ51">
        <v>4.5199999999999996</v>
      </c>
      <c r="BR51">
        <v>5.47</v>
      </c>
      <c r="BS51">
        <v>7.01</v>
      </c>
      <c r="BT51" t="s">
        <v>944</v>
      </c>
      <c r="BU51" t="s">
        <v>1868</v>
      </c>
      <c r="BV51">
        <v>29.94</v>
      </c>
      <c r="BW51">
        <v>50.8</v>
      </c>
      <c r="BX51">
        <v>61.91</v>
      </c>
      <c r="BY51">
        <v>8.52</v>
      </c>
      <c r="BZ51">
        <v>19.22</v>
      </c>
      <c r="CA51">
        <v>26.83</v>
      </c>
      <c r="CB51">
        <v>-0.93</v>
      </c>
      <c r="CC51" s="10">
        <v>-23.38</v>
      </c>
      <c r="CD51" s="11" t="s">
        <v>2675</v>
      </c>
      <c r="CE51" s="10" t="s">
        <v>2676</v>
      </c>
      <c r="CF51" s="10">
        <v>0.1157556270096463</v>
      </c>
      <c r="CG51" s="10">
        <v>-3.8617876731081751</v>
      </c>
      <c r="CH51" s="10">
        <v>1.1388044357299805</v>
      </c>
      <c r="CI51" s="10">
        <v>0.47093889117240906</v>
      </c>
      <c r="CJ51" s="11">
        <v>0.61686748266220093</v>
      </c>
      <c r="CK51" s="11">
        <v>-0.28694158792495728</v>
      </c>
      <c r="CL51" s="11">
        <v>4.3010752648115158E-2</v>
      </c>
      <c r="CM51" s="11">
        <v>-0.19101123511791229</v>
      </c>
      <c r="CN51" s="11">
        <v>1.7142856493592262E-2</v>
      </c>
      <c r="CO51">
        <v>0.5350877046585083</v>
      </c>
      <c r="CP51">
        <v>-0.57933580875396729</v>
      </c>
      <c r="CQ51">
        <v>3.041825070977211E-2</v>
      </c>
      <c r="CR51" s="10">
        <v>15.64335982532751</v>
      </c>
      <c r="CS51" s="11">
        <v>0.39450037394328302</v>
      </c>
      <c r="CT51">
        <v>0.47080979284369118</v>
      </c>
      <c r="CU51">
        <v>0.39653599485754965</v>
      </c>
      <c r="CV51">
        <v>-3.753964640200138E-2</v>
      </c>
      <c r="CW51">
        <v>0.06</v>
      </c>
      <c r="CX51">
        <v>6.2897241552671392</v>
      </c>
      <c r="CY51">
        <v>189718097.41461053</v>
      </c>
      <c r="CZ51">
        <v>0.39653599485754965</v>
      </c>
      <c r="DA51">
        <v>1.6008324904760998</v>
      </c>
      <c r="DB51">
        <v>745408721.46161342</v>
      </c>
      <c r="DC51">
        <v>0.37670919511467216</v>
      </c>
      <c r="DD51">
        <v>0.54656869291240873</v>
      </c>
      <c r="DE51">
        <v>2183210482.9158778</v>
      </c>
      <c r="DF51">
        <v>0.34895167547464367</v>
      </c>
      <c r="DG51">
        <v>0.20796491044084589</v>
      </c>
      <c r="DH51">
        <v>5737864611.2485323</v>
      </c>
      <c r="DI51">
        <v>0.31722879588603975</v>
      </c>
      <c r="DJ51">
        <v>3.4553663238240905E-2</v>
      </c>
      <c r="DK51">
        <v>34533950619.724464</v>
      </c>
      <c r="DL51">
        <v>0.27757519640028472</v>
      </c>
      <c r="DM51">
        <v>144000000</v>
      </c>
      <c r="DN51">
        <v>0.39653599485754965</v>
      </c>
      <c r="DO51">
        <v>1193274500</v>
      </c>
      <c r="DP51">
        <v>1524177900</v>
      </c>
      <c r="DQ51" s="12">
        <v>4567</v>
      </c>
      <c r="DR51">
        <v>-0.28078036784790333</v>
      </c>
      <c r="DS51">
        <v>-3.8242480267061736</v>
      </c>
      <c r="DT51">
        <v>0.19333333333333336</v>
      </c>
      <c r="DU51">
        <v>-1.0483333333333333</v>
      </c>
      <c r="DV51">
        <v>-0.85499999999999998</v>
      </c>
      <c r="DW51">
        <v>-3.0834642857142858</v>
      </c>
      <c r="DX51">
        <v>0.44149924528301754</v>
      </c>
      <c r="DY51">
        <v>-3.0151487048652292</v>
      </c>
      <c r="DZ51">
        <v>3470</v>
      </c>
      <c r="EA51">
        <v>-3.0048557724426042</v>
      </c>
      <c r="EB51" s="13">
        <v>3</v>
      </c>
      <c r="EC51" s="13">
        <v>8.5552151855234057E-2</v>
      </c>
      <c r="ED51">
        <v>0.47136367824466302</v>
      </c>
      <c r="EE51">
        <v>3.9410000000000001E-2</v>
      </c>
      <c r="EF51">
        <v>4.3209999999999998E-2</v>
      </c>
      <c r="EG51">
        <v>26.181499245283018</v>
      </c>
      <c r="EH51" s="14">
        <v>-1</v>
      </c>
      <c r="EI51">
        <v>0</v>
      </c>
      <c r="EJ51">
        <v>0</v>
      </c>
      <c r="EK51">
        <v>45490</v>
      </c>
      <c r="EL51">
        <v>5.04</v>
      </c>
      <c r="EM51">
        <v>-1.24</v>
      </c>
      <c r="EN51">
        <v>-3.6</v>
      </c>
      <c r="EO51">
        <v>-0.56000000000000005</v>
      </c>
      <c r="EP51">
        <v>-0.38</v>
      </c>
    </row>
    <row r="52" spans="1:146" ht="96" hidden="1" x14ac:dyDescent="0.25">
      <c r="C52" s="9" t="str">
        <f>""&amp;CHAR(10)&amp;Basic_Fundamental_Information_Constructure(F52)&amp;CHAR(10)&amp;Basic_Fundamental_Information_Concatenate("")</f>
        <v xml:space="preserve">
市值121.467775亿, 利润2.70亿; PE44.16; 平均PE160.69; 平均PEG1.14, PB5.12; ROIC5.1467%; ROE6.66%; 股利率.3203%; 毛利43.9067%; 净利11.5967%; 上一年度营收增145.26%, 利润增398.61%; 当季营收增125.67%, 利润增428.11%; 过往5年营收增140.47%, 利润增138.87%
Income profile:
</v>
      </c>
      <c r="D52" t="s">
        <v>961</v>
      </c>
      <c r="E52" t="s">
        <v>962</v>
      </c>
      <c r="F52">
        <v>26.54</v>
      </c>
      <c r="G52">
        <v>13.32</v>
      </c>
      <c r="H52" t="s">
        <v>2677</v>
      </c>
      <c r="I52">
        <v>12146777500</v>
      </c>
      <c r="J52">
        <v>44.16</v>
      </c>
      <c r="K52">
        <v>5.12</v>
      </c>
      <c r="L52" t="s">
        <v>753</v>
      </c>
      <c r="M52" t="s">
        <v>1740</v>
      </c>
      <c r="N52" t="s">
        <v>995</v>
      </c>
      <c r="O52" t="s">
        <v>45</v>
      </c>
      <c r="P52">
        <v>125.27</v>
      </c>
      <c r="Q52" t="s">
        <v>1177</v>
      </c>
      <c r="R52">
        <v>3573417</v>
      </c>
      <c r="S52">
        <v>4.2809999999999997</v>
      </c>
      <c r="T52" t="s">
        <v>121</v>
      </c>
      <c r="U52">
        <v>85553717</v>
      </c>
      <c r="V52">
        <v>457678130</v>
      </c>
      <c r="W52">
        <v>3.61</v>
      </c>
      <c r="X52">
        <v>0.02</v>
      </c>
      <c r="Y52">
        <v>2.09</v>
      </c>
      <c r="Z52" t="s">
        <v>285</v>
      </c>
      <c r="AA52" t="s">
        <v>2330</v>
      </c>
      <c r="AB52" t="s">
        <v>2331</v>
      </c>
      <c r="AC52" t="s">
        <v>2332</v>
      </c>
      <c r="AD52" t="s">
        <v>2</v>
      </c>
      <c r="AE52">
        <v>-1561006</v>
      </c>
      <c r="AF52" t="s">
        <v>1741</v>
      </c>
      <c r="AG52" t="s">
        <v>2333</v>
      </c>
      <c r="AH52" t="s">
        <v>1742</v>
      </c>
      <c r="AI52" t="s">
        <v>795</v>
      </c>
      <c r="AJ52" t="s">
        <v>1743</v>
      </c>
      <c r="AK52" t="s">
        <v>290</v>
      </c>
      <c r="AL52" t="s">
        <v>1744</v>
      </c>
      <c r="AM52" t="s">
        <v>2</v>
      </c>
      <c r="AN52" t="s">
        <v>2334</v>
      </c>
      <c r="AO52" t="s">
        <v>1275</v>
      </c>
      <c r="AP52" t="s">
        <v>138</v>
      </c>
      <c r="AQ52" t="s">
        <v>1186</v>
      </c>
      <c r="AR52" t="s">
        <v>2</v>
      </c>
      <c r="AS52" t="s">
        <v>2335</v>
      </c>
      <c r="AT52" t="s">
        <v>2</v>
      </c>
      <c r="AU52" t="s">
        <v>2336</v>
      </c>
      <c r="AV52" t="s">
        <v>2337</v>
      </c>
      <c r="AW52" t="s">
        <v>155</v>
      </c>
      <c r="AX52" t="s">
        <v>280</v>
      </c>
      <c r="AY52" t="s">
        <v>114</v>
      </c>
      <c r="AZ52" t="s">
        <v>426</v>
      </c>
      <c r="BA52" t="s">
        <v>369</v>
      </c>
      <c r="BB52" t="s">
        <v>964</v>
      </c>
      <c r="BC52" t="s">
        <v>1064</v>
      </c>
      <c r="BD52" t="s">
        <v>963</v>
      </c>
      <c r="BE52" t="s">
        <v>965</v>
      </c>
      <c r="BF52" t="s">
        <v>966</v>
      </c>
      <c r="BG52" t="s">
        <v>967</v>
      </c>
      <c r="BH52" t="s">
        <v>1177</v>
      </c>
      <c r="BI52" t="s">
        <v>2533</v>
      </c>
      <c r="BJ52" t="s">
        <v>280</v>
      </c>
      <c r="BK52" t="s">
        <v>121</v>
      </c>
      <c r="BL52" t="s">
        <v>2534</v>
      </c>
      <c r="BM52" t="s">
        <v>1064</v>
      </c>
      <c r="BN52">
        <v>6.25</v>
      </c>
      <c r="BO52">
        <v>3.39</v>
      </c>
      <c r="BP52">
        <v>5.8</v>
      </c>
      <c r="BQ52">
        <v>7.6</v>
      </c>
      <c r="BR52">
        <v>5.95</v>
      </c>
      <c r="BS52">
        <v>6.43</v>
      </c>
      <c r="BT52" t="s">
        <v>1021</v>
      </c>
      <c r="BU52" t="s">
        <v>1862</v>
      </c>
      <c r="BV52">
        <v>43.64</v>
      </c>
      <c r="BW52">
        <v>42.31</v>
      </c>
      <c r="BX52">
        <v>45.77</v>
      </c>
      <c r="BY52">
        <v>16.100000000000001</v>
      </c>
      <c r="BZ52">
        <v>7.91</v>
      </c>
      <c r="CA52">
        <v>10.78</v>
      </c>
      <c r="CB52">
        <v>15.79</v>
      </c>
      <c r="CC52" s="10">
        <v>-12.15</v>
      </c>
      <c r="CD52" s="11" t="s">
        <v>2678</v>
      </c>
      <c r="CE52" s="10" t="s">
        <v>2679</v>
      </c>
      <c r="CF52" s="10">
        <v>1.2567167015511957</v>
      </c>
      <c r="CG52" s="10">
        <v>4.2810733633275184</v>
      </c>
      <c r="CH52" s="10">
        <v>1.4525547027587891</v>
      </c>
      <c r="CI52" s="10">
        <v>0.6004672646522522</v>
      </c>
      <c r="CJ52" s="11">
        <v>0.36741214990615845</v>
      </c>
      <c r="CK52" s="11">
        <v>0.44907405972480774</v>
      </c>
      <c r="CL52" s="11">
        <v>4.1538276672363281</v>
      </c>
      <c r="CM52" s="11">
        <v>3.9861035346984863</v>
      </c>
      <c r="CN52" s="11">
        <v>0.1742822676897049</v>
      </c>
      <c r="CO52">
        <v>-0.19119204580783844</v>
      </c>
      <c r="CP52">
        <v>4.5155826956033707E-2</v>
      </c>
      <c r="CQ52">
        <v>2.9293255805969238</v>
      </c>
      <c r="CR52" s="10">
        <v>160.68760128319607</v>
      </c>
      <c r="CS52" s="11">
        <v>1.1439549869603816</v>
      </c>
      <c r="CT52">
        <v>0.3202712886209495</v>
      </c>
      <c r="CU52">
        <v>1.4046671688556671</v>
      </c>
      <c r="CV52">
        <v>1.3887350328266621</v>
      </c>
      <c r="CW52">
        <v>0.06</v>
      </c>
      <c r="CX52">
        <v>24.538029176082539</v>
      </c>
      <c r="CY52">
        <v>612509561.87833023</v>
      </c>
      <c r="CZ52">
        <v>1.4046671688556671</v>
      </c>
      <c r="DA52">
        <v>3.1389726795541106</v>
      </c>
      <c r="DB52">
        <v>4788119883.2654295</v>
      </c>
      <c r="DC52">
        <v>1.3344338104128837</v>
      </c>
      <c r="DD52">
        <v>0.33603052663347655</v>
      </c>
      <c r="DE52">
        <v>44727417031.350983</v>
      </c>
      <c r="DF52">
        <v>1.2361071085929871</v>
      </c>
      <c r="DG52">
        <v>2.6779136374533666E-2</v>
      </c>
      <c r="DH52">
        <v>561249522381.64661</v>
      </c>
      <c r="DI52">
        <v>1.1237337350845338</v>
      </c>
      <c r="DJ52">
        <v>9.3762678157320584E-5</v>
      </c>
      <c r="DK52">
        <v>160295949255866.47</v>
      </c>
      <c r="DL52">
        <v>0.98326701819896689</v>
      </c>
      <c r="DM52">
        <v>270000000</v>
      </c>
      <c r="DN52">
        <v>1.4046671688556671</v>
      </c>
      <c r="DO52">
        <v>15029777500</v>
      </c>
      <c r="DP52">
        <v>1788689300</v>
      </c>
      <c r="DQ52" s="12">
        <v>4664</v>
      </c>
      <c r="DR52">
        <v>-0.14795046730447137</v>
      </c>
      <c r="DS52">
        <v>2.8923383305008565</v>
      </c>
      <c r="DT52">
        <v>1.031666666666667</v>
      </c>
      <c r="DU52">
        <v>1.2583333333333333</v>
      </c>
      <c r="DV52">
        <v>2.29</v>
      </c>
      <c r="DW52">
        <v>5.7694743508549715</v>
      </c>
      <c r="DX52">
        <v>1.0679940131095971</v>
      </c>
      <c r="DY52">
        <v>5.1369618276935824</v>
      </c>
      <c r="DZ52">
        <v>4</v>
      </c>
      <c r="EA52">
        <v>5.1368545538908066</v>
      </c>
      <c r="EB52" s="13">
        <v>5</v>
      </c>
      <c r="EC52" s="13">
        <v>2.7939941111016164E-2</v>
      </c>
      <c r="ED52">
        <v>0.15697123216265543</v>
      </c>
      <c r="EE52">
        <v>-3.0849099999999998</v>
      </c>
      <c r="EF52">
        <v>-3.0483000000000002</v>
      </c>
      <c r="EG52">
        <v>89.177994013109597</v>
      </c>
      <c r="EH52" s="14" t="s">
        <v>1202</v>
      </c>
      <c r="EI52">
        <v>1</v>
      </c>
      <c r="EJ52">
        <v>1</v>
      </c>
      <c r="EK52">
        <v>45490</v>
      </c>
      <c r="EL52">
        <v>4.71</v>
      </c>
      <c r="EM52">
        <v>-0.42</v>
      </c>
      <c r="EN52">
        <v>-2.68</v>
      </c>
      <c r="EO52">
        <v>0.69</v>
      </c>
      <c r="EP52">
        <v>13.32</v>
      </c>
    </row>
    <row r="53" spans="1:146" ht="168" hidden="1" x14ac:dyDescent="0.25">
      <c r="A53" s="9"/>
      <c r="B53" s="9"/>
      <c r="C53" s="9" t="str">
        <f>"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amp;CHAR(10)&amp;Basic_Fundamental_Information_Constructure(F53)&amp;CHAR(10)&amp;Basic_Fundamental_Information_Concatenate("光伏组件 376.63亿 92.84% 92.87% 13.40%
其他业务 12.17亿 3.00% 2.45% 10.96%
硅片 11.52亿 2.84% 4.42% 20.83%
光伏电池片 5.37亿 1.32% 0.26% 2.63%")</f>
        <v>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
市值750.38999亿, 利润74.40亿; PE10.78; 平均PE31.67; 平均PEG.78, PB2.17; ROIC7.7733%; ROE13.9333%; 股利率2.9867%; 毛利12.63%; 净利4.21%; 上一年度营收增43.55%, 利润增153.15%; 当季营收增-.3%, 利润增-29.09%; 过往5年营收增40.47%, 利润增139.94%
Income profile:
光伏组件 376.63亿 92.84% 92.87% 13.40%
其他业务 12.17亿 3.00% 2.45% 10.96%
硅片 11.52亿 2.84% 4.42% 20.83%
光伏电池片 5.37亿 1.32% 0.26% 2.63%</v>
      </c>
      <c r="D53" t="s">
        <v>745</v>
      </c>
      <c r="E53" t="s">
        <v>746</v>
      </c>
      <c r="F53">
        <v>7.5</v>
      </c>
      <c r="G53">
        <v>1.9</v>
      </c>
      <c r="H53" t="s">
        <v>2680</v>
      </c>
      <c r="I53">
        <v>75038999000</v>
      </c>
      <c r="J53">
        <v>10.78</v>
      </c>
      <c r="K53">
        <v>2.17</v>
      </c>
      <c r="L53" t="s">
        <v>753</v>
      </c>
      <c r="M53" t="s">
        <v>1746</v>
      </c>
      <c r="N53" t="s">
        <v>2338</v>
      </c>
      <c r="O53" t="s">
        <v>1747</v>
      </c>
      <c r="P53">
        <v>-0.3</v>
      </c>
      <c r="Q53" t="s">
        <v>1748</v>
      </c>
      <c r="R53">
        <v>1175724470</v>
      </c>
      <c r="S53" s="6">
        <v>-0.29089999999999999</v>
      </c>
      <c r="T53" t="s">
        <v>689</v>
      </c>
      <c r="U53">
        <v>3108647900</v>
      </c>
      <c r="V53">
        <v>10005199900</v>
      </c>
      <c r="W53">
        <v>3.68</v>
      </c>
      <c r="X53">
        <v>0.18</v>
      </c>
      <c r="Y53">
        <v>5.09</v>
      </c>
      <c r="Z53" t="s">
        <v>2339</v>
      </c>
      <c r="AA53" t="s">
        <v>2340</v>
      </c>
      <c r="AB53" t="s">
        <v>409</v>
      </c>
      <c r="AC53" t="s">
        <v>863</v>
      </c>
      <c r="AD53" t="s">
        <v>2</v>
      </c>
      <c r="AE53">
        <v>146911510</v>
      </c>
      <c r="AF53" t="s">
        <v>1749</v>
      </c>
      <c r="AG53" t="s">
        <v>2341</v>
      </c>
      <c r="AH53" t="s">
        <v>1750</v>
      </c>
      <c r="AI53" t="s">
        <v>2342</v>
      </c>
      <c r="AJ53" t="s">
        <v>1751</v>
      </c>
      <c r="AK53" t="s">
        <v>2343</v>
      </c>
      <c r="AL53" t="s">
        <v>1752</v>
      </c>
      <c r="AM53" t="s">
        <v>2</v>
      </c>
      <c r="AN53" t="s">
        <v>2344</v>
      </c>
      <c r="AO53" t="s">
        <v>1721</v>
      </c>
      <c r="AP53" t="s">
        <v>2345</v>
      </c>
      <c r="AQ53" t="s">
        <v>2346</v>
      </c>
      <c r="AR53" t="s">
        <v>193</v>
      </c>
      <c r="AS53" t="s">
        <v>2347</v>
      </c>
      <c r="AT53" t="s">
        <v>2348</v>
      </c>
      <c r="AU53" t="s">
        <v>692</v>
      </c>
      <c r="AV53" t="s">
        <v>2349</v>
      </c>
      <c r="AW53" t="s">
        <v>2350</v>
      </c>
      <c r="AX53" t="s">
        <v>1066</v>
      </c>
      <c r="AY53" t="s">
        <v>820</v>
      </c>
      <c r="AZ53" t="s">
        <v>747</v>
      </c>
      <c r="BA53" t="s">
        <v>749</v>
      </c>
      <c r="BB53" t="s">
        <v>750</v>
      </c>
      <c r="BC53" t="s">
        <v>1278</v>
      </c>
      <c r="BD53" t="s">
        <v>764</v>
      </c>
      <c r="BE53" t="s">
        <v>748</v>
      </c>
      <c r="BF53" t="s">
        <v>456</v>
      </c>
      <c r="BG53" t="s">
        <v>272</v>
      </c>
      <c r="BH53" t="s">
        <v>1748</v>
      </c>
      <c r="BI53" t="s">
        <v>2535</v>
      </c>
      <c r="BJ53" t="s">
        <v>1066</v>
      </c>
      <c r="BK53" t="s">
        <v>689</v>
      </c>
      <c r="BL53" t="s">
        <v>2536</v>
      </c>
      <c r="BM53" t="s">
        <v>1278</v>
      </c>
      <c r="BN53">
        <v>10.119999999999999</v>
      </c>
      <c r="BO53">
        <v>8.0399999999999991</v>
      </c>
      <c r="BP53">
        <v>5.16</v>
      </c>
      <c r="BQ53">
        <v>20.89</v>
      </c>
      <c r="BR53">
        <v>12.15</v>
      </c>
      <c r="BS53">
        <v>8.76</v>
      </c>
      <c r="BT53" t="s">
        <v>1753</v>
      </c>
      <c r="BU53" t="s">
        <v>1882</v>
      </c>
      <c r="BV53">
        <v>14.04</v>
      </c>
      <c r="BW53">
        <v>10.45</v>
      </c>
      <c r="BX53">
        <v>13.4</v>
      </c>
      <c r="BY53">
        <v>6.27</v>
      </c>
      <c r="BZ53">
        <v>3.55</v>
      </c>
      <c r="CA53">
        <v>2.81</v>
      </c>
      <c r="CB53">
        <v>3.59</v>
      </c>
      <c r="CC53">
        <v>-12.03</v>
      </c>
      <c r="CD53" t="s">
        <v>22</v>
      </c>
      <c r="CE53" t="s">
        <v>2681</v>
      </c>
      <c r="CF53" s="10">
        <v>-2.9801753552455407E-3</v>
      </c>
      <c r="CG53" s="11">
        <v>-0.29087788299155598</v>
      </c>
      <c r="CH53" s="10">
        <v>0.43550732731819153</v>
      </c>
      <c r="CI53" s="10">
        <v>1.0378605127334595</v>
      </c>
      <c r="CJ53" s="10">
        <v>0.20528814196586609</v>
      </c>
      <c r="CK53" s="10">
        <v>0.14140388369560242</v>
      </c>
      <c r="CL53" s="10">
        <v>0.20323148369789124</v>
      </c>
      <c r="CM53" s="11">
        <v>1.5314732789993286</v>
      </c>
      <c r="CN53" s="11">
        <v>1.5758109092712402</v>
      </c>
      <c r="CO53" s="11">
        <v>9.5009535551071167E-2</v>
      </c>
      <c r="CP53" s="11">
        <v>-0.24547426402568817</v>
      </c>
      <c r="CQ53" s="11">
        <v>4.0401458740234375</v>
      </c>
      <c r="CR53">
        <v>31.668706056129984</v>
      </c>
      <c r="CS53">
        <v>0.78260370325185469</v>
      </c>
      <c r="CT53">
        <v>2.9866666666666668</v>
      </c>
      <c r="CU53" s="10">
        <v>0.40465826988220216</v>
      </c>
      <c r="CV53" s="11">
        <v>1.3993930667638779</v>
      </c>
      <c r="CW53">
        <v>0.06</v>
      </c>
      <c r="CX53">
        <v>13.918192089957419</v>
      </c>
      <c r="CY53">
        <v>9859110875.3996086</v>
      </c>
      <c r="CZ53">
        <v>0.40465826988220216</v>
      </c>
      <c r="DA53">
        <v>3.5199648932876211</v>
      </c>
      <c r="DB53">
        <v>38983627155.393761</v>
      </c>
      <c r="DC53">
        <v>0.38442535638809205</v>
      </c>
      <c r="DD53">
        <v>1.1898911190739829</v>
      </c>
      <c r="DE53">
        <v>115322315462.60336</v>
      </c>
      <c r="DF53">
        <v>0.35609927749633791</v>
      </c>
      <c r="DG53">
        <v>0.44680139376992228</v>
      </c>
      <c r="DH53">
        <v>307118556283.33411</v>
      </c>
      <c r="DI53">
        <v>0.32372661590576174</v>
      </c>
      <c r="DJ53">
        <v>7.1740887207024151E-2</v>
      </c>
      <c r="DK53">
        <v>1912730722217.2839</v>
      </c>
      <c r="DL53">
        <v>0.28326078891754147</v>
      </c>
      <c r="DM53">
        <v>7440000000.000001</v>
      </c>
      <c r="DN53">
        <v>0.40465826988220216</v>
      </c>
      <c r="DO53">
        <v>137220999000</v>
      </c>
      <c r="DP53">
        <v>9697576000</v>
      </c>
      <c r="DQ53">
        <v>4733</v>
      </c>
      <c r="DR53">
        <v>-0.40763844523744769</v>
      </c>
      <c r="DS53">
        <v>-1.6902709497554338</v>
      </c>
      <c r="DT53" s="12">
        <v>0.26</v>
      </c>
      <c r="DU53">
        <v>0.84833333333333327</v>
      </c>
      <c r="DV53">
        <v>1.1083333333333334</v>
      </c>
      <c r="DW53">
        <v>6.2298335467349553</v>
      </c>
      <c r="DX53">
        <v>0.72813364055299645</v>
      </c>
      <c r="DY53">
        <v>6.0202560671949588</v>
      </c>
      <c r="DZ53">
        <v>183</v>
      </c>
      <c r="EA53">
        <v>6.0195302280924174</v>
      </c>
      <c r="EB53">
        <v>6</v>
      </c>
      <c r="EC53">
        <v>1.5292048287810821E-2</v>
      </c>
      <c r="ED53">
        <v>0.17350977665123912</v>
      </c>
      <c r="EE53" s="13">
        <v>-3.0228100000000002</v>
      </c>
      <c r="EF53">
        <v>-3.0038100000000001</v>
      </c>
      <c r="EG53">
        <v>64.088133640552996</v>
      </c>
      <c r="EH53" t="s">
        <v>1214</v>
      </c>
      <c r="EI53">
        <v>0</v>
      </c>
      <c r="EJ53">
        <v>1</v>
      </c>
      <c r="EK53" s="14">
        <v>45490</v>
      </c>
      <c r="EL53">
        <v>1.93</v>
      </c>
      <c r="EM53">
        <v>0.27</v>
      </c>
      <c r="EN53">
        <v>-1.89</v>
      </c>
      <c r="EO53">
        <v>1.38</v>
      </c>
      <c r="EP53">
        <v>1.9</v>
      </c>
    </row>
    <row r="54" spans="1:146" ht="132" hidden="1" x14ac:dyDescent="0.25">
      <c r="A54" s="9"/>
      <c r="B54" s="9"/>
      <c r="C54" s="9" t="str">
        <f>"公司主营业务是高纯多晶硅的研发、制造与销售，是国内领先的多晶硅专业生产商之一。公司的主要产品为多晶硅，主要用于加工硅锭、硅片、电池片和电池组件等太阳能光伏产品。"&amp;CHAR(10)&amp;Basic_Fundamental_Information_Constructure(F54)&amp;CHAR(10)&amp;Basic_Fundamental_Information_Concatenate("多晶硅销售 107.89亿 99.61% 99.46% 65.56%
副产品及其他 4248.80万 0.39% 0.54% 90.12%")</f>
        <v>公司主营业务是高纯多晶硅的研发、制造与销售，是国内领先的多晶硅专业生产商之一。公司的主要产品为多晶硅，主要用于加工硅锭、硅片、电池片和电池组件等太阳能光伏产品。
市值396.17亿, 利润57.63亿; PE12.45; 平均PE7.36; 平均PEG.1, PB.896; ROIC40.3333%; ROE42.9567%; 股利率2.2633%; 毛利60.2767%; 净利49.9767%; 上一年度营收增-47.22%, 利润增-69.86%; 当季营收增-38.59%, 利润增-88.64%; 过往5年营收增76.91%, 利润增179.25%
Income profile:
多晶硅销售 107.89亿 99.61% 99.46% 65.56%
副产品及其他 4248.80万 0.39% 0.54% 90.12%</v>
      </c>
      <c r="D54" t="s">
        <v>641</v>
      </c>
      <c r="E54" t="s">
        <v>2351</v>
      </c>
      <c r="F54">
        <v>18.47</v>
      </c>
      <c r="G54">
        <v>0.65</v>
      </c>
      <c r="H54" t="s">
        <v>2682</v>
      </c>
      <c r="I54">
        <v>39617000000</v>
      </c>
      <c r="J54">
        <v>12.45</v>
      </c>
      <c r="K54">
        <v>0.89600000000000002</v>
      </c>
      <c r="L54" t="s">
        <v>753</v>
      </c>
      <c r="M54" t="s">
        <v>1754</v>
      </c>
      <c r="N54" t="s">
        <v>2352</v>
      </c>
      <c r="O54" t="s">
        <v>688</v>
      </c>
      <c r="P54">
        <v>-38.6</v>
      </c>
      <c r="Q54" t="s">
        <v>1755</v>
      </c>
      <c r="R54">
        <v>330613500</v>
      </c>
      <c r="S54" s="6">
        <v>-0.88639999999999997</v>
      </c>
      <c r="T54" t="s">
        <v>1756</v>
      </c>
      <c r="U54">
        <v>519937720</v>
      </c>
      <c r="V54">
        <v>2144937700</v>
      </c>
      <c r="W54">
        <v>1.1399999999999999</v>
      </c>
      <c r="X54">
        <v>0.06</v>
      </c>
      <c r="Y54">
        <v>11.09</v>
      </c>
      <c r="Z54" t="s">
        <v>479</v>
      </c>
      <c r="AA54" t="s">
        <v>714</v>
      </c>
      <c r="AB54" t="s">
        <v>2353</v>
      </c>
      <c r="AC54" t="s">
        <v>2354</v>
      </c>
      <c r="AD54" t="s">
        <v>2</v>
      </c>
      <c r="AE54">
        <v>-73364368</v>
      </c>
      <c r="AF54" t="s">
        <v>20</v>
      </c>
      <c r="AG54" t="s">
        <v>2355</v>
      </c>
      <c r="AH54" t="s">
        <v>1757</v>
      </c>
      <c r="AI54" t="s">
        <v>2356</v>
      </c>
      <c r="AJ54" t="s">
        <v>20</v>
      </c>
      <c r="AK54" t="s">
        <v>2357</v>
      </c>
      <c r="AL54" t="s">
        <v>1758</v>
      </c>
      <c r="AM54" t="s">
        <v>2</v>
      </c>
      <c r="AN54" t="s">
        <v>2358</v>
      </c>
      <c r="AO54" t="s">
        <v>2</v>
      </c>
      <c r="AP54" t="s">
        <v>2</v>
      </c>
      <c r="AQ54" t="s">
        <v>337</v>
      </c>
      <c r="AR54" t="s">
        <v>2</v>
      </c>
      <c r="AS54" t="s">
        <v>2359</v>
      </c>
      <c r="AT54" t="s">
        <v>2</v>
      </c>
      <c r="AU54" t="s">
        <v>2360</v>
      </c>
      <c r="AV54" t="s">
        <v>2361</v>
      </c>
      <c r="AW54" t="s">
        <v>2362</v>
      </c>
      <c r="AX54" t="s">
        <v>1068</v>
      </c>
      <c r="AY54" t="s">
        <v>806</v>
      </c>
      <c r="AZ54" t="s">
        <v>642</v>
      </c>
      <c r="BA54" t="s">
        <v>643</v>
      </c>
      <c r="BB54" t="s">
        <v>485</v>
      </c>
      <c r="BC54" t="s">
        <v>1069</v>
      </c>
      <c r="BD54" t="s">
        <v>821</v>
      </c>
      <c r="BE54" t="s">
        <v>400</v>
      </c>
      <c r="BF54" t="s">
        <v>286</v>
      </c>
      <c r="BG54" t="s">
        <v>188</v>
      </c>
      <c r="BH54" t="s">
        <v>1755</v>
      </c>
      <c r="BI54" t="s">
        <v>2537</v>
      </c>
      <c r="BJ54" t="s">
        <v>1068</v>
      </c>
      <c r="BK54" t="s">
        <v>1756</v>
      </c>
      <c r="BL54" t="s">
        <v>2538</v>
      </c>
      <c r="BM54" t="s">
        <v>1069</v>
      </c>
      <c r="BN54">
        <v>10.99</v>
      </c>
      <c r="BO54">
        <v>60.9</v>
      </c>
      <c r="BP54">
        <v>49.11</v>
      </c>
      <c r="BQ54">
        <v>11.25</v>
      </c>
      <c r="BR54">
        <v>61.68</v>
      </c>
      <c r="BS54">
        <v>55.94</v>
      </c>
      <c r="BT54" t="s">
        <v>2363</v>
      </c>
      <c r="BU54" t="s">
        <v>1905</v>
      </c>
      <c r="BV54">
        <v>40.35</v>
      </c>
      <c r="BW54">
        <v>74.83</v>
      </c>
      <c r="BX54">
        <v>65.650000000000006</v>
      </c>
      <c r="BY54">
        <v>35.29</v>
      </c>
      <c r="BZ54">
        <v>61.8</v>
      </c>
      <c r="CA54">
        <v>52.84</v>
      </c>
      <c r="CB54">
        <v>-1.76</v>
      </c>
      <c r="CC54">
        <v>-29.05</v>
      </c>
      <c r="CD54" t="s">
        <v>2683</v>
      </c>
      <c r="CE54" t="s">
        <v>2666</v>
      </c>
      <c r="CF54" s="10">
        <v>-0.38591433278418452</v>
      </c>
      <c r="CG54" s="11">
        <v>-0.88642614221916871</v>
      </c>
      <c r="CH54" s="10">
        <v>-0.47223660349845886</v>
      </c>
      <c r="CI54" s="10">
        <v>1.8563516139984131</v>
      </c>
      <c r="CJ54" s="10">
        <v>1.32246994972229</v>
      </c>
      <c r="CK54" s="10">
        <v>0.92250627279281616</v>
      </c>
      <c r="CL54" s="10">
        <v>0.21664988994598389</v>
      </c>
      <c r="CM54" s="11">
        <v>-0.69860363006591797</v>
      </c>
      <c r="CN54" s="11">
        <v>2.3404960632324219</v>
      </c>
      <c r="CO54" s="11">
        <v>4.4880156517028809</v>
      </c>
      <c r="CP54" s="11">
        <v>3.2226719856262207</v>
      </c>
      <c r="CQ54" s="11">
        <v>-0.39012345671653748</v>
      </c>
      <c r="CR54">
        <v>7.358511593350463</v>
      </c>
      <c r="CS54">
        <v>9.5670916971196784E-2</v>
      </c>
      <c r="CT54">
        <v>2.2633459664320519</v>
      </c>
      <c r="CU54" s="10">
        <v>0.76914822459220888</v>
      </c>
      <c r="CV54" s="11">
        <v>1.7924913227558137</v>
      </c>
      <c r="CW54">
        <v>0.06</v>
      </c>
      <c r="CX54">
        <v>0.22893402262583662</v>
      </c>
      <c r="CY54">
        <v>9618491715.4008484</v>
      </c>
      <c r="CZ54">
        <v>0.76914822459220888</v>
      </c>
      <c r="DA54">
        <v>4.4167220038167213E-2</v>
      </c>
      <c r="DB54">
        <v>49855979119.743927</v>
      </c>
      <c r="DC54">
        <v>0.73069081336259845</v>
      </c>
      <c r="DD54">
        <v>9.5798373461928998E-3</v>
      </c>
      <c r="DE54">
        <v>229857764847.65594</v>
      </c>
      <c r="DF54">
        <v>0.67685043764114383</v>
      </c>
      <c r="DG54">
        <v>1.9742780060524323E-3</v>
      </c>
      <c r="DH54">
        <v>1115344441486.687</v>
      </c>
      <c r="DI54">
        <v>0.61531857967376713</v>
      </c>
      <c r="DJ54">
        <v>6.9160212909602013E-5</v>
      </c>
      <c r="DK54">
        <v>31839115401194.496</v>
      </c>
      <c r="DL54">
        <v>0.53840375721454614</v>
      </c>
      <c r="DM54">
        <v>5763000000</v>
      </c>
      <c r="DN54">
        <v>0.76914822459220888</v>
      </c>
      <c r="DO54">
        <v>2202000000</v>
      </c>
      <c r="DP54">
        <v>16721952000</v>
      </c>
      <c r="DQ54">
        <v>4800</v>
      </c>
      <c r="DR54">
        <v>-1.1550625573763935</v>
      </c>
      <c r="DS54">
        <v>-2.6789174649749823</v>
      </c>
      <c r="DT54" s="12">
        <v>0.32666666666666661</v>
      </c>
      <c r="DU54">
        <v>0.21633333333333313</v>
      </c>
      <c r="DV54">
        <v>0.54299999999999971</v>
      </c>
      <c r="DW54">
        <v>-3.1475892857142855</v>
      </c>
      <c r="DX54">
        <v>0.71643141025640777</v>
      </c>
      <c r="DY54">
        <v>-3.0245634929601648</v>
      </c>
      <c r="DZ54">
        <v>715</v>
      </c>
      <c r="EA54">
        <v>-3.0211245077503515</v>
      </c>
      <c r="EB54">
        <v>3</v>
      </c>
      <c r="EC54">
        <v>1.2104454129367021E-2</v>
      </c>
      <c r="ED54">
        <v>7.2729385100555599E-2</v>
      </c>
      <c r="EE54" s="13">
        <v>-4.0602099999999997</v>
      </c>
      <c r="EF54">
        <v>-4.0537099999999997</v>
      </c>
      <c r="EG54">
        <v>55.166431410256408</v>
      </c>
      <c r="EH54" t="s">
        <v>1306</v>
      </c>
      <c r="EI54">
        <v>0</v>
      </c>
      <c r="EJ54">
        <v>1</v>
      </c>
      <c r="EK54" s="14">
        <v>45490</v>
      </c>
      <c r="EL54">
        <v>2.87</v>
      </c>
      <c r="EM54">
        <v>-0.62</v>
      </c>
      <c r="EN54">
        <v>-2.86</v>
      </c>
      <c r="EO54">
        <v>-1.71</v>
      </c>
      <c r="EP54">
        <v>0.65</v>
      </c>
    </row>
    <row r="55" spans="1:146" ht="192" x14ac:dyDescent="0.25">
      <c r="A55" s="9" t="s">
        <v>968</v>
      </c>
      <c r="B55" s="9" t="s">
        <v>882</v>
      </c>
      <c r="C55" s="9" t="str">
        <f>"公司专注于光伏发电新能源领域，主要从事分布式光伏发电系统中组件级电力电子设备的研发、生产及销售，主要产品包括微型逆变器、智控关断器、能量通信及监控分析系统等。微型逆变器市占率国内第一，全球第二；"&amp;CHAR(10)&amp;Basic_Fundamental_Information_Constructure(F55)&amp;CHAR(10)&amp;Basic_Fundamental_Information_Concatenate("微型逆变器 5.12亿 76.98% 75.97% 36.87%
智控关断器 8748.38万 13.16% 7.28% 20.67%
能量通信器 5328.39万 8.01% 15.15% 70.65%
其他业务收入 592.34万 0.89% 0.16% 6.72%
光伏发电 375.79万 0.57% 1.00% 66.06%
其他 260.69万 0.39% 0.44% 42.29%")</f>
        <v>公司专注于光伏发电新能源领域，主要从事分布式光伏发电系统中组件级电力电子设备的研发、生产及销售，主要产品包括微型逆变器、智控关断器、能量通信及监控分析系统等。微型逆变器市占率国内第一，全球第二；
市值65.636523亿, 利润2.20亿; PE46.06; 平均PE49.54; 平均PEG1.06, PB1.79; ROIC18.8467%; ROE21.8%; 股利率2.381%; 毛利37.4967%; 净利19.1967%; 上一年度营收增6.13%, 利润增-39.06%; 当季营收增-1.83%, 利润增-66.16%; 过往5年营收增46.69%, 利润增114.5%
Income profile:
微型逆变器 5.12亿 76.98% 75.97% 36.87%
智控关断器 8748.38万 13.16% 7.28% 20.67%
能量通信器 5328.39万 8.01% 15.15% 70.65%
其他业务收入 592.34万 0.89% 0.16% 6.72%
光伏发电 375.79万 0.57% 1.00% 66.06%
其他 260.69万 0.39% 0.44% 42.29%</v>
      </c>
      <c r="D55" t="s">
        <v>873</v>
      </c>
      <c r="E55" t="s">
        <v>874</v>
      </c>
      <c r="F55">
        <v>42</v>
      </c>
      <c r="G55">
        <v>-0.9</v>
      </c>
      <c r="H55" t="s">
        <v>2684</v>
      </c>
      <c r="I55">
        <v>6563652300</v>
      </c>
      <c r="J55">
        <v>46.06</v>
      </c>
      <c r="K55">
        <v>1.79</v>
      </c>
      <c r="L55" t="s">
        <v>753</v>
      </c>
      <c r="M55" t="s">
        <v>836</v>
      </c>
      <c r="N55" t="s">
        <v>1601</v>
      </c>
      <c r="O55" t="s">
        <v>114</v>
      </c>
      <c r="P55">
        <v>-1.83</v>
      </c>
      <c r="Q55" t="s">
        <v>1536</v>
      </c>
      <c r="R55">
        <v>39930859</v>
      </c>
      <c r="S55" s="6">
        <v>-0.66059999999999997</v>
      </c>
      <c r="T55" t="s">
        <v>247</v>
      </c>
      <c r="U55">
        <v>80587083</v>
      </c>
      <c r="V55">
        <v>156277440</v>
      </c>
      <c r="W55">
        <v>1.26</v>
      </c>
      <c r="X55">
        <v>0.09</v>
      </c>
      <c r="Y55">
        <v>9.2799999999999994</v>
      </c>
      <c r="Z55" t="s">
        <v>403</v>
      </c>
      <c r="AA55" t="s">
        <v>28</v>
      </c>
      <c r="AB55" t="s">
        <v>2364</v>
      </c>
      <c r="AC55" t="s">
        <v>2365</v>
      </c>
      <c r="AD55" t="s">
        <v>2</v>
      </c>
      <c r="AE55">
        <v>4862620</v>
      </c>
      <c r="AF55" t="s">
        <v>1759</v>
      </c>
      <c r="AG55" t="s">
        <v>2366</v>
      </c>
      <c r="AH55" t="s">
        <v>1760</v>
      </c>
      <c r="AI55" t="s">
        <v>1531</v>
      </c>
      <c r="AJ55" t="s">
        <v>1761</v>
      </c>
      <c r="AK55" t="s">
        <v>2367</v>
      </c>
      <c r="AL55" t="s">
        <v>1762</v>
      </c>
      <c r="AM55" t="s">
        <v>2</v>
      </c>
      <c r="AN55" t="s">
        <v>2368</v>
      </c>
      <c r="AO55" t="s">
        <v>2369</v>
      </c>
      <c r="AP55" t="s">
        <v>2370</v>
      </c>
      <c r="AQ55" t="s">
        <v>50</v>
      </c>
      <c r="AR55" t="s">
        <v>2</v>
      </c>
      <c r="AS55" t="s">
        <v>129</v>
      </c>
      <c r="AT55" t="s">
        <v>2371</v>
      </c>
      <c r="AU55" t="s">
        <v>55</v>
      </c>
      <c r="AV55" t="s">
        <v>173</v>
      </c>
      <c r="AW55" t="s">
        <v>2372</v>
      </c>
      <c r="AX55" t="s">
        <v>744</v>
      </c>
      <c r="AY55" t="s">
        <v>402</v>
      </c>
      <c r="AZ55" t="s">
        <v>794</v>
      </c>
      <c r="BA55" t="s">
        <v>199</v>
      </c>
      <c r="BB55" t="s">
        <v>140</v>
      </c>
      <c r="BC55" t="s">
        <v>214</v>
      </c>
      <c r="BD55" t="s">
        <v>39</v>
      </c>
      <c r="BE55" t="s">
        <v>875</v>
      </c>
      <c r="BF55" t="s">
        <v>876</v>
      </c>
      <c r="BG55" t="s">
        <v>877</v>
      </c>
      <c r="BH55" t="s">
        <v>1536</v>
      </c>
      <c r="BI55" t="s">
        <v>2539</v>
      </c>
      <c r="BJ55" t="s">
        <v>744</v>
      </c>
      <c r="BK55" t="s">
        <v>247</v>
      </c>
      <c r="BL55" t="s">
        <v>24</v>
      </c>
      <c r="BM55" t="s">
        <v>214</v>
      </c>
      <c r="BN55">
        <v>3.22</v>
      </c>
      <c r="BO55">
        <v>16.510000000000002</v>
      </c>
      <c r="BP55">
        <v>36.81</v>
      </c>
      <c r="BQ55">
        <v>4.8</v>
      </c>
      <c r="BR55">
        <v>18.02</v>
      </c>
      <c r="BS55">
        <v>42.58</v>
      </c>
      <c r="BT55" t="s">
        <v>1071</v>
      </c>
      <c r="BU55" t="s">
        <v>2034</v>
      </c>
      <c r="BV55">
        <v>35.81</v>
      </c>
      <c r="BW55">
        <v>39.32</v>
      </c>
      <c r="BX55">
        <v>37.36</v>
      </c>
      <c r="BY55">
        <v>15.18</v>
      </c>
      <c r="BZ55">
        <v>26.91</v>
      </c>
      <c r="CA55">
        <v>15.5</v>
      </c>
      <c r="CB55">
        <v>5.63</v>
      </c>
      <c r="CC55">
        <v>-14.71</v>
      </c>
      <c r="CD55" t="s">
        <v>2685</v>
      </c>
      <c r="CE55" t="s">
        <v>2686</v>
      </c>
      <c r="CF55" s="10">
        <v>-1.8348623853211142E-2</v>
      </c>
      <c r="CG55" s="11">
        <v>-0.66160288983050852</v>
      </c>
      <c r="CH55" s="10">
        <v>6.1285499483346939E-2</v>
      </c>
      <c r="CI55" s="10">
        <v>1.0120301246643066</v>
      </c>
      <c r="CJ55" s="10">
        <v>0.35991820693016052</v>
      </c>
      <c r="CK55" s="10">
        <v>0.27012985944747925</v>
      </c>
      <c r="CL55" s="10">
        <v>0.63135594129562378</v>
      </c>
      <c r="CM55" s="11">
        <v>-0.39058172702789307</v>
      </c>
      <c r="CN55" s="11">
        <v>2.5048544406890869</v>
      </c>
      <c r="CO55" s="11">
        <v>0.34091004729270935</v>
      </c>
      <c r="CP55" s="11">
        <v>2.5622003078460693</v>
      </c>
      <c r="CQ55" s="11">
        <v>0.70739144086837769</v>
      </c>
      <c r="CR55">
        <v>49.53659347439298</v>
      </c>
      <c r="CS55">
        <v>1.0608681402091504</v>
      </c>
      <c r="CT55">
        <v>2.3809523809523809</v>
      </c>
      <c r="CU55" s="10">
        <v>0.46694392636418341</v>
      </c>
      <c r="CV55" s="11">
        <v>1.14495490193367</v>
      </c>
      <c r="CW55">
        <v>0.06</v>
      </c>
      <c r="CX55">
        <v>12.85440296363727</v>
      </c>
      <c r="CY55">
        <v>304460060.18879282</v>
      </c>
      <c r="CZ55">
        <v>0.46694392636418341</v>
      </c>
      <c r="DA55">
        <v>3.097818739594429</v>
      </c>
      <c r="DB55">
        <v>1263357423.0725911</v>
      </c>
      <c r="DC55">
        <v>0.44359673004597422</v>
      </c>
      <c r="DD55">
        <v>0.97003088845536434</v>
      </c>
      <c r="DE55">
        <v>4034564617.0421772</v>
      </c>
      <c r="DF55">
        <v>0.41091065520048142</v>
      </c>
      <c r="DG55">
        <v>0.32888627518145558</v>
      </c>
      <c r="DH55">
        <v>11899713047.741899</v>
      </c>
      <c r="DI55">
        <v>0.37355514109134674</v>
      </c>
      <c r="DJ55">
        <v>4.0562551678007867E-2</v>
      </c>
      <c r="DK55">
        <v>96484371374.542923</v>
      </c>
      <c r="DL55">
        <v>0.32686074845492835</v>
      </c>
      <c r="DM55">
        <v>220000000.00000003</v>
      </c>
      <c r="DN55">
        <v>0.46694392636418341</v>
      </c>
      <c r="DO55">
        <v>3913652300</v>
      </c>
      <c r="DP55">
        <v>3193099600</v>
      </c>
      <c r="DQ55">
        <v>4838</v>
      </c>
      <c r="DR55">
        <v>-0.48529255021739454</v>
      </c>
      <c r="DS55">
        <v>-1.8065577917641784</v>
      </c>
      <c r="DT55" s="12">
        <v>0.31</v>
      </c>
      <c r="DU55">
        <v>0.505</v>
      </c>
      <c r="DV55">
        <v>0.81499999999999995</v>
      </c>
      <c r="DW55">
        <v>6.2767944936086533</v>
      </c>
      <c r="DX55">
        <v>0.4199065793957627</v>
      </c>
      <c r="DY55">
        <v>6.0691727650933203</v>
      </c>
      <c r="DZ55">
        <v>380</v>
      </c>
      <c r="EA55">
        <v>6.064025780418274</v>
      </c>
      <c r="EB55">
        <v>6</v>
      </c>
      <c r="EC55">
        <v>6.8041810769359931E-2</v>
      </c>
      <c r="ED55">
        <v>0.2722689852098934</v>
      </c>
      <c r="EE55" s="13">
        <v>-5.0151000000000003</v>
      </c>
      <c r="EF55">
        <v>-5.0061</v>
      </c>
      <c r="EG55">
        <v>17.249906579395763</v>
      </c>
      <c r="EH55" t="s">
        <v>2472</v>
      </c>
      <c r="EI55">
        <v>0</v>
      </c>
      <c r="EJ55">
        <v>1</v>
      </c>
      <c r="EK55" s="14">
        <v>45490</v>
      </c>
      <c r="EL55">
        <v>4.2</v>
      </c>
      <c r="EM55">
        <v>3.93</v>
      </c>
      <c r="EN55">
        <v>-2.93</v>
      </c>
      <c r="EO55">
        <v>1.39</v>
      </c>
      <c r="EP55">
        <v>-0.9</v>
      </c>
    </row>
    <row r="56" spans="1:146" ht="168" x14ac:dyDescent="0.25">
      <c r="A56" s="9" t="s">
        <v>912</v>
      </c>
      <c r="B56" s="9" t="s">
        <v>861</v>
      </c>
      <c r="C56" s="9" t="str">
        <f>"公司主营业务为太阳能、储能等新能源电力电源设备的研发、生产和销售。公司的主要产品包括光伏并网逆变器、光伏储能逆变器、智能数据采集器以及SEMS智慧能源管理系统。"&amp;CHAR(10)&amp;Basic_Fundamental_Information_Constructure(F56)&amp;CHAR(10)&amp;Basic_Fundamental_Information_Concatenate("光伏并网逆变器 19.54亿 72.98% 71.81% 31.15%
储能产品 4.78亿 17.85% 22.65% 40.18%
户用系统 1.75亿 6.53% 2.83% 13.71%
其他产品 5384.36万 2.01% 2.07% 32.66%
其他业务 1675.16万 0.63% 0.63% 32.10%")</f>
        <v>公司主营业务为太阳能、储能等新能源电力电源设备的研发、生产和销售。公司的主要产品包括光伏并网逆变器、光伏储能逆变器、智能数据采集器以及SEMS智慧能源管理系统。
市值149.5566亿, 利润8.52亿; PE30.72; 平均PE40.79; 平均PEG.72, PB5.04; ROIC25.19%; ROE28.27%; 股利率1.2136%; 毛利31.6233%; 净利11.8967%; 上一年度营收增56.11%, 利润增31.28%; 当季营收增-34.5%, 利润增-108.58%; 过往5年营收增56.37%, 利润增81.4%
Income profile:
光伏并网逆变器 19.54亿 72.98% 71.81% 31.15%
储能产品 4.78亿 17.85% 22.65% 40.18%
户用系统 1.75亿 6.53% 2.83% 13.71%
其他产品 5384.36万 2.01% 2.07% 32.66%
其他业务 1675.16万 0.63% 0.63% 32.10%</v>
      </c>
      <c r="D56" t="s">
        <v>644</v>
      </c>
      <c r="E56" t="s">
        <v>645</v>
      </c>
      <c r="F56">
        <v>61.8</v>
      </c>
      <c r="G56">
        <v>-1.56</v>
      </c>
      <c r="H56" t="s">
        <v>2687</v>
      </c>
      <c r="I56">
        <v>14955660000</v>
      </c>
      <c r="J56">
        <v>30.72</v>
      </c>
      <c r="K56">
        <v>5.04</v>
      </c>
      <c r="L56" t="s">
        <v>753</v>
      </c>
      <c r="M56" t="s">
        <v>1246</v>
      </c>
      <c r="N56" t="s">
        <v>1598</v>
      </c>
      <c r="O56" t="s">
        <v>1531</v>
      </c>
      <c r="P56">
        <v>-34.5</v>
      </c>
      <c r="Q56" t="s">
        <v>1763</v>
      </c>
      <c r="R56">
        <v>-28821466</v>
      </c>
      <c r="S56" s="6">
        <v>-1.0860000000000001</v>
      </c>
      <c r="T56" t="s">
        <v>1226</v>
      </c>
      <c r="U56">
        <v>242000980</v>
      </c>
      <c r="V56">
        <v>242000980</v>
      </c>
      <c r="W56">
        <v>2.21</v>
      </c>
      <c r="X56">
        <v>0.16</v>
      </c>
      <c r="Y56">
        <v>-1.7</v>
      </c>
      <c r="Z56" t="s">
        <v>1533</v>
      </c>
      <c r="AA56" t="s">
        <v>205</v>
      </c>
      <c r="AB56" t="s">
        <v>251</v>
      </c>
      <c r="AC56" t="s">
        <v>2373</v>
      </c>
      <c r="AD56" t="s">
        <v>2</v>
      </c>
      <c r="AE56">
        <v>2538980</v>
      </c>
      <c r="AF56" t="s">
        <v>1764</v>
      </c>
      <c r="AG56">
        <v>8205.2999999999993</v>
      </c>
      <c r="AH56" t="s">
        <v>1765</v>
      </c>
      <c r="AI56" t="s">
        <v>1264</v>
      </c>
      <c r="AJ56" t="s">
        <v>1766</v>
      </c>
      <c r="AK56" t="s">
        <v>2374</v>
      </c>
      <c r="AL56" t="s">
        <v>1767</v>
      </c>
      <c r="AM56" t="s">
        <v>2</v>
      </c>
      <c r="AN56" t="s">
        <v>128</v>
      </c>
      <c r="AO56" t="s">
        <v>2375</v>
      </c>
      <c r="AP56" t="s">
        <v>1285</v>
      </c>
      <c r="AQ56" t="s">
        <v>372</v>
      </c>
      <c r="AR56" t="s">
        <v>2</v>
      </c>
      <c r="AS56" t="s">
        <v>1271</v>
      </c>
      <c r="AT56" t="s">
        <v>365</v>
      </c>
      <c r="AU56" t="s">
        <v>2376</v>
      </c>
      <c r="AV56" t="s">
        <v>458</v>
      </c>
      <c r="AW56" t="s">
        <v>2377</v>
      </c>
      <c r="AX56" t="s">
        <v>1070</v>
      </c>
      <c r="AY56" t="s">
        <v>822</v>
      </c>
      <c r="AZ56" t="s">
        <v>646</v>
      </c>
      <c r="BA56" t="s">
        <v>424</v>
      </c>
      <c r="BB56" t="s">
        <v>442</v>
      </c>
      <c r="BC56" t="s">
        <v>924</v>
      </c>
      <c r="BD56" t="s">
        <v>334</v>
      </c>
      <c r="BE56" t="s">
        <v>71</v>
      </c>
      <c r="BF56" t="s">
        <v>39</v>
      </c>
      <c r="BG56" t="s">
        <v>647</v>
      </c>
      <c r="BH56" t="s">
        <v>1763</v>
      </c>
      <c r="BI56" t="s">
        <v>1769</v>
      </c>
      <c r="BJ56" t="s">
        <v>1070</v>
      </c>
      <c r="BK56" t="s">
        <v>1226</v>
      </c>
      <c r="BL56" t="s">
        <v>271</v>
      </c>
      <c r="BM56" t="s">
        <v>924</v>
      </c>
      <c r="BN56">
        <v>28.13</v>
      </c>
      <c r="BO56">
        <v>30.38</v>
      </c>
      <c r="BP56">
        <v>17.059999999999999</v>
      </c>
      <c r="BQ56">
        <v>33.51</v>
      </c>
      <c r="BR56">
        <v>33.18</v>
      </c>
      <c r="BS56">
        <v>18.12</v>
      </c>
      <c r="BT56" t="s">
        <v>1770</v>
      </c>
      <c r="BU56" t="s">
        <v>2034</v>
      </c>
      <c r="BV56">
        <v>30.76</v>
      </c>
      <c r="BW56">
        <v>32.450000000000003</v>
      </c>
      <c r="BX56">
        <v>31.66</v>
      </c>
      <c r="BY56">
        <v>11.78</v>
      </c>
      <c r="BZ56">
        <v>13.51</v>
      </c>
      <c r="CA56">
        <v>10.4</v>
      </c>
      <c r="CB56">
        <v>18.91</v>
      </c>
      <c r="CC56">
        <v>-14.61</v>
      </c>
      <c r="CD56" t="s">
        <v>2688</v>
      </c>
      <c r="CE56" t="s">
        <v>2689</v>
      </c>
      <c r="CF56" s="10">
        <v>-0.34496800465386862</v>
      </c>
      <c r="CG56" s="11">
        <v>-1.0857781726190476</v>
      </c>
      <c r="CH56" s="10">
        <v>0.56114643812179565</v>
      </c>
      <c r="CI56" s="10">
        <v>0.75877517461776733</v>
      </c>
      <c r="CJ56" s="10">
        <v>0.68533682823181152</v>
      </c>
      <c r="CK56" s="10">
        <v>0.68148142099380493</v>
      </c>
      <c r="CL56" s="10">
        <v>0.13173653185367584</v>
      </c>
      <c r="CM56" s="11">
        <v>0.31278890371322632</v>
      </c>
      <c r="CN56" s="11">
        <v>1.3178571462631226</v>
      </c>
      <c r="CO56" s="11">
        <v>7.6923079788684845E-2</v>
      </c>
      <c r="CP56" s="11">
        <v>1.5242718458175659</v>
      </c>
      <c r="CQ56" s="11">
        <v>0.83794993162155151</v>
      </c>
      <c r="CR56">
        <v>40.787409069295855</v>
      </c>
      <c r="CS56">
        <v>0.72357194757326904</v>
      </c>
      <c r="CT56">
        <v>1.2135922330097089</v>
      </c>
      <c r="CU56" s="10">
        <v>0.56369527876377101</v>
      </c>
      <c r="CV56" s="11">
        <v>0.81395818144083021</v>
      </c>
      <c r="CW56">
        <v>0.06</v>
      </c>
      <c r="CX56">
        <v>12.672611528614231</v>
      </c>
      <c r="CY56">
        <v>1256856959.9120121</v>
      </c>
      <c r="CZ56">
        <v>0.56369527876377101</v>
      </c>
      <c r="DA56">
        <v>2.8381700739853422</v>
      </c>
      <c r="DB56">
        <v>5611946988.6575441</v>
      </c>
      <c r="DC56">
        <v>0.53551051482558243</v>
      </c>
      <c r="DD56">
        <v>0.78923378655062848</v>
      </c>
      <c r="DE56">
        <v>20181168459.110638</v>
      </c>
      <c r="DF56">
        <v>0.49605184531211849</v>
      </c>
      <c r="DG56">
        <v>0.22799600562228145</v>
      </c>
      <c r="DH56">
        <v>69859381775.254364</v>
      </c>
      <c r="DI56">
        <v>0.45095622301101684</v>
      </c>
      <c r="DJ56">
        <v>1.8654561972085565E-2</v>
      </c>
      <c r="DK56">
        <v>853821173814.42334</v>
      </c>
      <c r="DL56">
        <v>0.39458669513463968</v>
      </c>
      <c r="DM56">
        <v>852000000</v>
      </c>
      <c r="DN56">
        <v>0.56369527876377101</v>
      </c>
      <c r="DO56">
        <v>15927660000</v>
      </c>
      <c r="DP56">
        <v>1348529299.9999995</v>
      </c>
      <c r="DQ56">
        <v>4876</v>
      </c>
      <c r="DR56">
        <v>-0.90866328341763958</v>
      </c>
      <c r="DS56">
        <v>-1.8997363540598777</v>
      </c>
      <c r="DT56" s="12">
        <v>0.52666666666666662</v>
      </c>
      <c r="DU56">
        <v>1.6666666666665586E-3</v>
      </c>
      <c r="DV56">
        <v>0.52833333333333321</v>
      </c>
      <c r="DW56">
        <v>5.7726070861977785</v>
      </c>
      <c r="DX56">
        <v>0.43472247891166649</v>
      </c>
      <c r="DY56">
        <v>5.2122525339449739</v>
      </c>
      <c r="DZ56">
        <v>733</v>
      </c>
      <c r="EA56">
        <v>5.1817882481839268</v>
      </c>
      <c r="EB56">
        <v>5</v>
      </c>
      <c r="EC56">
        <v>0.11333425178691425</v>
      </c>
      <c r="ED56">
        <v>0.4125408913633325</v>
      </c>
      <c r="EE56" s="13">
        <v>-3.1459000000000001</v>
      </c>
      <c r="EF56">
        <v>-3.1303000000000001</v>
      </c>
      <c r="EG56">
        <v>16.274722478911666</v>
      </c>
      <c r="EH56" t="s">
        <v>1202</v>
      </c>
      <c r="EI56">
        <v>1</v>
      </c>
      <c r="EJ56">
        <v>1</v>
      </c>
      <c r="EK56" s="14">
        <v>45490</v>
      </c>
      <c r="EL56">
        <v>5.08</v>
      </c>
      <c r="EM56">
        <v>11.7</v>
      </c>
      <c r="EN56">
        <v>0.33</v>
      </c>
      <c r="EO56">
        <v>2.58</v>
      </c>
      <c r="EP56">
        <v>-1.56</v>
      </c>
    </row>
    <row r="57" spans="1:146" ht="96" hidden="1" x14ac:dyDescent="0.25">
      <c r="A57" s="9"/>
      <c r="B57" s="9"/>
      <c r="C57" s="9" t="str">
        <f>""&amp;CHAR(10)&amp;Basic_Fundamental_Information_Constructure(F57)&amp;CHAR(10)&amp;Basic_Fundamental_Information_Concatenate("")</f>
        <v xml:space="preserve">
市值127.389185亿, 利润3.45亿; PE27.68; 平均PE80.57; 平均PEG2.68, PB4.33; ROIC2.15%; ROE2.84%; 股利率1.3986%; 毛利14.0967%; 净利2.43%; 上一年度营收增72.56%, 利润增676.49%; 当季营收增122.58%, 利润增297.18%; 过往5年营收增30.04%, 利润增183.97%
Income profile:
</v>
      </c>
      <c r="D57" t="s">
        <v>648</v>
      </c>
      <c r="E57" t="s">
        <v>649</v>
      </c>
      <c r="F57">
        <v>62.92</v>
      </c>
      <c r="G57">
        <v>1.83</v>
      </c>
      <c r="H57" t="s">
        <v>2690</v>
      </c>
      <c r="I57">
        <v>12738918500</v>
      </c>
      <c r="J57">
        <v>27.68</v>
      </c>
      <c r="K57">
        <v>4.33</v>
      </c>
      <c r="L57" t="s">
        <v>753</v>
      </c>
      <c r="M57" t="s">
        <v>1771</v>
      </c>
      <c r="N57" t="s">
        <v>2378</v>
      </c>
      <c r="O57" t="s">
        <v>1283</v>
      </c>
      <c r="P57">
        <v>122.47</v>
      </c>
      <c r="Q57" t="s">
        <v>1772</v>
      </c>
      <c r="R57">
        <v>153995530</v>
      </c>
      <c r="S57" s="6">
        <v>2.972</v>
      </c>
      <c r="T57" t="s">
        <v>242</v>
      </c>
      <c r="U57">
        <v>202384670</v>
      </c>
      <c r="V57">
        <v>202462150</v>
      </c>
      <c r="W57">
        <v>2.62</v>
      </c>
      <c r="X57">
        <v>0.23</v>
      </c>
      <c r="Y57">
        <v>8.08</v>
      </c>
      <c r="Z57" t="s">
        <v>351</v>
      </c>
      <c r="AA57" t="s">
        <v>1245</v>
      </c>
      <c r="AB57" t="s">
        <v>2379</v>
      </c>
      <c r="AC57" t="s">
        <v>2380</v>
      </c>
      <c r="AD57" t="s">
        <v>2</v>
      </c>
      <c r="AE57">
        <v>10006709</v>
      </c>
      <c r="AF57" t="s">
        <v>1773</v>
      </c>
      <c r="AG57" t="s">
        <v>2381</v>
      </c>
      <c r="AH57" t="s">
        <v>1774</v>
      </c>
      <c r="AI57" t="s">
        <v>1349</v>
      </c>
      <c r="AJ57" t="s">
        <v>1775</v>
      </c>
      <c r="AK57" t="s">
        <v>170</v>
      </c>
      <c r="AL57" t="s">
        <v>1776</v>
      </c>
      <c r="AM57" t="s">
        <v>2</v>
      </c>
      <c r="AN57" t="s">
        <v>112</v>
      </c>
      <c r="AO57" t="s">
        <v>471</v>
      </c>
      <c r="AP57" t="s">
        <v>2382</v>
      </c>
      <c r="AQ57" t="s">
        <v>1237</v>
      </c>
      <c r="AR57" t="s">
        <v>2</v>
      </c>
      <c r="AS57" t="s">
        <v>2383</v>
      </c>
      <c r="AT57" t="s">
        <v>39</v>
      </c>
      <c r="AU57" t="s">
        <v>2384</v>
      </c>
      <c r="AV57" t="s">
        <v>70</v>
      </c>
      <c r="AW57" t="s">
        <v>226</v>
      </c>
      <c r="AX57" t="s">
        <v>1034</v>
      </c>
      <c r="AY57" t="s">
        <v>823</v>
      </c>
      <c r="AZ57" t="s">
        <v>650</v>
      </c>
      <c r="BA57" t="s">
        <v>651</v>
      </c>
      <c r="BB57" t="s">
        <v>499</v>
      </c>
      <c r="BC57" t="s">
        <v>1072</v>
      </c>
      <c r="BD57" t="s">
        <v>824</v>
      </c>
      <c r="BE57" t="s">
        <v>390</v>
      </c>
      <c r="BF57" t="s">
        <v>123</v>
      </c>
      <c r="BG57" t="s">
        <v>652</v>
      </c>
      <c r="BH57" t="s">
        <v>1772</v>
      </c>
      <c r="BI57" t="s">
        <v>2540</v>
      </c>
      <c r="BJ57" t="s">
        <v>1034</v>
      </c>
      <c r="BK57" t="s">
        <v>242</v>
      </c>
      <c r="BL57" t="s">
        <v>2541</v>
      </c>
      <c r="BM57" t="s">
        <v>1072</v>
      </c>
      <c r="BN57">
        <v>5.04</v>
      </c>
      <c r="BO57">
        <v>1.5</v>
      </c>
      <c r="BP57">
        <v>-0.09</v>
      </c>
      <c r="BQ57">
        <v>6.11</v>
      </c>
      <c r="BR57">
        <v>1.8</v>
      </c>
      <c r="BS57">
        <v>0.61</v>
      </c>
      <c r="BT57" t="s">
        <v>1777</v>
      </c>
      <c r="BU57" t="s">
        <v>1868</v>
      </c>
      <c r="BV57">
        <v>18.11</v>
      </c>
      <c r="BW57">
        <v>12.44</v>
      </c>
      <c r="BX57">
        <v>11.74</v>
      </c>
      <c r="BY57">
        <v>5.41</v>
      </c>
      <c r="BZ57">
        <v>1.23</v>
      </c>
      <c r="CA57">
        <v>0.65</v>
      </c>
      <c r="CB57">
        <v>11.3</v>
      </c>
      <c r="CC57">
        <v>-6.75</v>
      </c>
      <c r="CD57" t="s">
        <v>2691</v>
      </c>
      <c r="CE57" t="s">
        <v>2692</v>
      </c>
      <c r="CF57" s="10">
        <v>1.2257668711656442</v>
      </c>
      <c r="CG57" s="11">
        <v>2.9718129789204091</v>
      </c>
      <c r="CH57" s="10">
        <v>0.72562789916992188</v>
      </c>
      <c r="CI57" s="10">
        <v>0.53333330154418945</v>
      </c>
      <c r="CJ57" s="10">
        <v>-0.22818788886070251</v>
      </c>
      <c r="CK57" s="10">
        <v>0.3711656928062439</v>
      </c>
      <c r="CL57" s="10">
        <v>0.1002892330288887</v>
      </c>
      <c r="CM57" s="11">
        <v>6.7648658752441406</v>
      </c>
      <c r="CN57" s="11">
        <v>1.9556953907012939</v>
      </c>
      <c r="CO57" s="11">
        <v>-0.94725513458251953</v>
      </c>
      <c r="CP57" s="11">
        <v>0.75925928354263306</v>
      </c>
      <c r="CQ57" s="11">
        <v>0.66593998670578003</v>
      </c>
      <c r="CR57">
        <v>80.566100800922854</v>
      </c>
      <c r="CS57">
        <v>2.6815532679937113</v>
      </c>
      <c r="CT57">
        <v>1.3986013986013988</v>
      </c>
      <c r="CU57" s="10">
        <v>0.3004456475377083</v>
      </c>
      <c r="CV57" s="11">
        <v>1.8397010803222655</v>
      </c>
      <c r="CW57">
        <v>0.06</v>
      </c>
      <c r="CX57">
        <v>35.791194584348581</v>
      </c>
      <c r="CY57">
        <v>423258253.20802766</v>
      </c>
      <c r="CZ57">
        <v>0.3004456475377083</v>
      </c>
      <c r="DA57">
        <v>9.830938262530994</v>
      </c>
      <c r="DB57">
        <v>1540943305.2527258</v>
      </c>
      <c r="DC57">
        <v>0.28542336516082289</v>
      </c>
      <c r="DD57">
        <v>3.7747697931520818</v>
      </c>
      <c r="DE57">
        <v>4013203275.993701</v>
      </c>
      <c r="DF57">
        <v>0.26439216983318331</v>
      </c>
      <c r="DG57">
        <v>1.6745288273022338</v>
      </c>
      <c r="DH57">
        <v>9046675251.5725956</v>
      </c>
      <c r="DI57">
        <v>0.24035651803016667</v>
      </c>
      <c r="DJ57">
        <v>0.41359835845068144</v>
      </c>
      <c r="DK57">
        <v>36627124335.664879</v>
      </c>
      <c r="DL57">
        <v>0.21031195327639579</v>
      </c>
      <c r="DM57">
        <v>345000000</v>
      </c>
      <c r="DN57">
        <v>0.3004456475377083</v>
      </c>
      <c r="DO57">
        <v>15148918500</v>
      </c>
      <c r="DP57">
        <v>1807783700</v>
      </c>
      <c r="DQ57">
        <v>4887</v>
      </c>
      <c r="DR57">
        <v>0.9253212236279359</v>
      </c>
      <c r="DS57">
        <v>1.1321118985981435</v>
      </c>
      <c r="DT57" s="12">
        <v>2.6666666666666616E-2</v>
      </c>
      <c r="DU57">
        <v>1.4166666666666667</v>
      </c>
      <c r="DV57">
        <v>1.4433333333333334</v>
      </c>
      <c r="DW57">
        <v>5.5973451327433628</v>
      </c>
      <c r="DX57">
        <v>0.63568079281452872</v>
      </c>
      <c r="DY57">
        <v>5.2005172877431907</v>
      </c>
      <c r="DZ57">
        <v>70</v>
      </c>
      <c r="EA57">
        <v>5.1977688620251516</v>
      </c>
      <c r="EB57">
        <v>5</v>
      </c>
      <c r="EC57">
        <v>8.4119426766929031E-2</v>
      </c>
      <c r="ED57">
        <v>0.25059350599605901</v>
      </c>
      <c r="EE57" s="13">
        <v>3.7499999999999999E-2</v>
      </c>
      <c r="EF57">
        <v>5.5800000000000002E-2</v>
      </c>
      <c r="EG57">
        <v>30.335680792814529</v>
      </c>
      <c r="EH57" t="s">
        <v>833</v>
      </c>
      <c r="EI57">
        <v>1</v>
      </c>
      <c r="EJ57">
        <v>1</v>
      </c>
      <c r="EK57" s="14">
        <v>45490</v>
      </c>
      <c r="EL57">
        <v>5.52</v>
      </c>
      <c r="EM57">
        <v>5.35</v>
      </c>
      <c r="EN57">
        <v>-1.36</v>
      </c>
      <c r="EO57">
        <v>-0.63</v>
      </c>
      <c r="EP57">
        <v>1.83</v>
      </c>
    </row>
    <row r="58" spans="1:146" ht="96" hidden="1" x14ac:dyDescent="0.25">
      <c r="C58" s="9" t="str">
        <f>""&amp;CHAR(10)&amp;Basic_Fundamental_Information_Constructure(F58)&amp;CHAR(10)&amp;Basic_Fundamental_Information_Concatenate("")</f>
        <v xml:space="preserve">
市值66.000132亿, 利润1.77亿; PE121.8; 平均PE40.8; 平均PEG.55, PB2.92; ROIC14.4233%; ROE17.74%; 股利率.2727%; 毛利32.69%; 净利11.73%; 上一年度营收增-27.72%, 利润增-39.59%; 当季营收增-69.68%, 利润增-190.97%; 过往5年营收增74.54%, 利润增45.28%
Income profile:
</v>
      </c>
      <c r="D58" s="6" t="s">
        <v>1207</v>
      </c>
      <c r="E58" t="s">
        <v>1208</v>
      </c>
      <c r="F58">
        <v>16.5</v>
      </c>
      <c r="G58">
        <v>1.85</v>
      </c>
      <c r="H58" t="s">
        <v>2693</v>
      </c>
      <c r="I58">
        <v>6600013200</v>
      </c>
      <c r="J58">
        <v>121.8</v>
      </c>
      <c r="K58">
        <v>2.92</v>
      </c>
      <c r="L58" t="s">
        <v>753</v>
      </c>
      <c r="M58" t="s">
        <v>925</v>
      </c>
      <c r="N58" t="s">
        <v>1384</v>
      </c>
      <c r="O58" t="s">
        <v>47</v>
      </c>
      <c r="P58" s="7">
        <v>-69.67</v>
      </c>
      <c r="Q58" t="s">
        <v>1556</v>
      </c>
      <c r="R58">
        <v>-58449865</v>
      </c>
      <c r="S58">
        <v>-1.91</v>
      </c>
      <c r="T58" t="s">
        <v>88</v>
      </c>
      <c r="U58">
        <v>81828756</v>
      </c>
      <c r="V58">
        <v>400000800</v>
      </c>
      <c r="W58">
        <v>1.78</v>
      </c>
      <c r="X58">
        <v>0.04</v>
      </c>
      <c r="Y58">
        <v>-40.58</v>
      </c>
      <c r="Z58" t="s">
        <v>327</v>
      </c>
      <c r="AA58" t="s">
        <v>80</v>
      </c>
      <c r="AB58" t="s">
        <v>2385</v>
      </c>
      <c r="AC58" t="s">
        <v>2386</v>
      </c>
      <c r="AD58" t="s">
        <v>2</v>
      </c>
      <c r="AE58">
        <v>-3156347</v>
      </c>
      <c r="AF58" t="s">
        <v>1779</v>
      </c>
      <c r="AG58" t="s">
        <v>2387</v>
      </c>
      <c r="AH58" t="s">
        <v>1780</v>
      </c>
      <c r="AI58" t="s">
        <v>225</v>
      </c>
      <c r="AJ58" t="s">
        <v>1781</v>
      </c>
      <c r="AK58" t="s">
        <v>78</v>
      </c>
      <c r="AL58" t="s">
        <v>1782</v>
      </c>
      <c r="AM58" t="s">
        <v>2</v>
      </c>
      <c r="AN58" t="s">
        <v>103</v>
      </c>
      <c r="AO58" t="s">
        <v>905</v>
      </c>
      <c r="AP58" t="s">
        <v>234</v>
      </c>
      <c r="AQ58" t="s">
        <v>444</v>
      </c>
      <c r="AR58">
        <v>6171.43</v>
      </c>
      <c r="AS58" t="s">
        <v>683</v>
      </c>
      <c r="AT58" t="s">
        <v>2388</v>
      </c>
      <c r="AU58" t="s">
        <v>2389</v>
      </c>
      <c r="AV58" t="s">
        <v>47</v>
      </c>
      <c r="AW58" t="s">
        <v>2390</v>
      </c>
      <c r="AX58" t="s">
        <v>1209</v>
      </c>
      <c r="AY58" t="s">
        <v>1219</v>
      </c>
      <c r="AZ58" t="s">
        <v>262</v>
      </c>
      <c r="BA58" t="s">
        <v>242</v>
      </c>
      <c r="BB58" t="s">
        <v>2</v>
      </c>
      <c r="BC58" t="s">
        <v>211</v>
      </c>
      <c r="BD58" t="s">
        <v>1210</v>
      </c>
      <c r="BE58" t="s">
        <v>137</v>
      </c>
      <c r="BF58" t="s">
        <v>83</v>
      </c>
      <c r="BG58" t="s">
        <v>2</v>
      </c>
      <c r="BH58" t="s">
        <v>1556</v>
      </c>
      <c r="BI58" t="s">
        <v>2542</v>
      </c>
      <c r="BJ58" t="s">
        <v>1209</v>
      </c>
      <c r="BK58" t="s">
        <v>88</v>
      </c>
      <c r="BL58" t="s">
        <v>2543</v>
      </c>
      <c r="BM58" t="s">
        <v>211</v>
      </c>
      <c r="BN58">
        <v>8.64</v>
      </c>
      <c r="BO58">
        <v>23.22</v>
      </c>
      <c r="BP58">
        <v>11.41</v>
      </c>
      <c r="BQ58">
        <v>11</v>
      </c>
      <c r="BR58">
        <v>24.48</v>
      </c>
      <c r="BS58" t="s">
        <v>2</v>
      </c>
      <c r="BT58" t="s">
        <v>953</v>
      </c>
      <c r="BU58" t="s">
        <v>1882</v>
      </c>
      <c r="BV58">
        <v>26.73</v>
      </c>
      <c r="BW58">
        <v>23.19</v>
      </c>
      <c r="BX58">
        <v>48.15</v>
      </c>
      <c r="BY58">
        <v>10.220000000000001</v>
      </c>
      <c r="BZ58">
        <v>12.23</v>
      </c>
      <c r="CA58">
        <v>12.74</v>
      </c>
      <c r="CB58">
        <v>18.11</v>
      </c>
      <c r="CC58" s="10">
        <v>26.68</v>
      </c>
      <c r="CD58" s="11" t="s">
        <v>2694</v>
      </c>
      <c r="CE58" s="10" t="s">
        <v>2695</v>
      </c>
      <c r="CF58" s="10">
        <v>-0.69684210526315793</v>
      </c>
      <c r="CG58" s="10">
        <v>-1.9097113663600567</v>
      </c>
      <c r="CH58" s="10">
        <v>-0.27724429965019226</v>
      </c>
      <c r="CI58" s="10">
        <v>2.3637640476226807</v>
      </c>
      <c r="CJ58" s="11">
        <v>0.62557077407836914</v>
      </c>
      <c r="CK58" s="11">
        <v>0.26956522464752197</v>
      </c>
      <c r="CL58" s="11" t="s">
        <v>2</v>
      </c>
      <c r="CM58" s="11">
        <v>-0.39590445160865784</v>
      </c>
      <c r="CN58" s="11">
        <v>2.2284760475158691</v>
      </c>
      <c r="CO58">
        <v>-0.36088100075721741</v>
      </c>
      <c r="CP58">
        <v>0.33962264657020569</v>
      </c>
      <c r="CQ58" t="s">
        <v>2</v>
      </c>
      <c r="CR58" s="10">
        <v>40.803543817787073</v>
      </c>
      <c r="CS58" s="11">
        <v>0.54739443160692569</v>
      </c>
      <c r="CT58">
        <v>0.27272727272727271</v>
      </c>
      <c r="CU58">
        <v>0.74541393667459488</v>
      </c>
      <c r="CV58">
        <v>0.4528283104300499</v>
      </c>
      <c r="CW58">
        <v>0.06</v>
      </c>
      <c r="CX58">
        <v>18.648107441769053</v>
      </c>
      <c r="CY58">
        <v>291451195.0862295</v>
      </c>
      <c r="CZ58">
        <v>0.74541393667459488</v>
      </c>
      <c r="DA58">
        <v>3.6586210587200343</v>
      </c>
      <c r="DB58">
        <v>1485535974.5568826</v>
      </c>
      <c r="DC58">
        <v>0.70814323984086514</v>
      </c>
      <c r="DD58">
        <v>0.81635432377959716</v>
      </c>
      <c r="DE58">
        <v>6657664498.9600964</v>
      </c>
      <c r="DF58">
        <v>0.65596426427364352</v>
      </c>
      <c r="DG58">
        <v>0.17484976012720094</v>
      </c>
      <c r="DH58">
        <v>31083904238.965488</v>
      </c>
      <c r="DI58">
        <v>0.5963311493396759</v>
      </c>
      <c r="DJ58">
        <v>6.7399268337731133E-3</v>
      </c>
      <c r="DK58">
        <v>806390534206.64465</v>
      </c>
      <c r="DL58">
        <v>0.52178975567221642</v>
      </c>
      <c r="DM58">
        <v>177000000</v>
      </c>
      <c r="DN58">
        <v>0.74541393667459488</v>
      </c>
      <c r="DO58">
        <v>5435013200</v>
      </c>
      <c r="DP58">
        <v>559697200</v>
      </c>
      <c r="DQ58" s="12">
        <v>4897</v>
      </c>
      <c r="DR58">
        <v>-1.4422560419377528</v>
      </c>
      <c r="DS58">
        <v>-2.3625396767901066</v>
      </c>
      <c r="DT58">
        <v>0.13199999999999984</v>
      </c>
      <c r="DU58">
        <v>-0.89800000000000002</v>
      </c>
      <c r="DV58">
        <v>-0.76600000000000024</v>
      </c>
      <c r="DW58">
        <v>9.6787856071964011</v>
      </c>
      <c r="DX58">
        <v>0.54076446726794358</v>
      </c>
      <c r="DY58">
        <v>9.11591246260204</v>
      </c>
      <c r="DZ58">
        <v>3357</v>
      </c>
      <c r="EA58">
        <v>9.0397193674473417</v>
      </c>
      <c r="EB58" s="13">
        <v>9</v>
      </c>
      <c r="EC58" s="13">
        <v>2.3742702514594972E-2</v>
      </c>
      <c r="ED58">
        <v>0.13903772192455616</v>
      </c>
      <c r="EE58">
        <v>-1.0091000000000001</v>
      </c>
      <c r="EF58">
        <v>-1.0276000000000001</v>
      </c>
      <c r="EG58">
        <v>37.170764467267944</v>
      </c>
      <c r="EH58" s="14" t="s">
        <v>959</v>
      </c>
      <c r="EI58">
        <v>1</v>
      </c>
      <c r="EJ58">
        <v>0</v>
      </c>
      <c r="EK58">
        <v>45490</v>
      </c>
      <c r="EL58">
        <v>1.29</v>
      </c>
      <c r="EM58">
        <v>20</v>
      </c>
      <c r="EN58">
        <v>-2.36</v>
      </c>
      <c r="EO58">
        <v>-2.29</v>
      </c>
      <c r="EP58">
        <v>1.85</v>
      </c>
    </row>
    <row r="59" spans="1:146" ht="96" hidden="1" x14ac:dyDescent="0.25">
      <c r="C59" s="9" t="str">
        <f>""&amp;CHAR(10)&amp;Basic_Fundamental_Information_Constructure(F59)&amp;CHAR(10)&amp;Basic_Fundamental_Information_Concatenate("")</f>
        <v xml:space="preserve">
市值335.62778亿, 利润29.03亿; PE13.09; 平均PE19.39; 平均PEG1.03, PB1.53; ROIC7.7267%; ROE19.605%; 股利率1.3142%; 毛利11.5467%; 净利3.4333%; 上一年度营收增7.94%, 利润增34.59%; 当季营收增-18.88%, 利润增-36.95%; 过往5年营收增18.81%, 利润增1197.15%
Income profile:
</v>
      </c>
      <c r="D59" s="6" t="s">
        <v>1211</v>
      </c>
      <c r="E59" t="s">
        <v>1212</v>
      </c>
      <c r="F59">
        <v>9.1</v>
      </c>
      <c r="G59">
        <v>0.44</v>
      </c>
      <c r="H59" t="s">
        <v>2696</v>
      </c>
      <c r="I59">
        <v>33562778000</v>
      </c>
      <c r="J59">
        <v>13.09</v>
      </c>
      <c r="K59">
        <v>1.53</v>
      </c>
      <c r="L59" t="s">
        <v>753</v>
      </c>
      <c r="M59" t="s">
        <v>1783</v>
      </c>
      <c r="N59" t="s">
        <v>2391</v>
      </c>
      <c r="O59" t="s">
        <v>1784</v>
      </c>
      <c r="P59">
        <v>-18.88</v>
      </c>
      <c r="Q59" t="s">
        <v>1785</v>
      </c>
      <c r="R59">
        <v>578756050</v>
      </c>
      <c r="S59">
        <v>-0.36980000000000002</v>
      </c>
      <c r="T59" t="s">
        <v>1786</v>
      </c>
      <c r="U59">
        <v>1381910400</v>
      </c>
      <c r="V59">
        <v>3688217300</v>
      </c>
      <c r="W59">
        <v>3.07</v>
      </c>
      <c r="X59">
        <v>0.14000000000000001</v>
      </c>
      <c r="Y59">
        <v>5.78</v>
      </c>
      <c r="Z59" t="s">
        <v>2392</v>
      </c>
      <c r="AA59" t="s">
        <v>2393</v>
      </c>
      <c r="AB59" t="s">
        <v>189</v>
      </c>
      <c r="AC59" t="s">
        <v>282</v>
      </c>
      <c r="AD59" t="s">
        <v>2</v>
      </c>
      <c r="AE59">
        <v>22847304</v>
      </c>
      <c r="AF59" t="s">
        <v>1787</v>
      </c>
      <c r="AG59" t="s">
        <v>30</v>
      </c>
      <c r="AH59" t="s">
        <v>1788</v>
      </c>
      <c r="AI59" t="s">
        <v>2394</v>
      </c>
      <c r="AJ59" t="s">
        <v>1789</v>
      </c>
      <c r="AK59" t="s">
        <v>1581</v>
      </c>
      <c r="AL59" t="s">
        <v>1790</v>
      </c>
      <c r="AM59" t="s">
        <v>2</v>
      </c>
      <c r="AN59" t="s">
        <v>690</v>
      </c>
      <c r="AO59" t="s">
        <v>2395</v>
      </c>
      <c r="AP59" t="s">
        <v>2396</v>
      </c>
      <c r="AQ59" t="s">
        <v>1615</v>
      </c>
      <c r="AR59" t="s">
        <v>2</v>
      </c>
      <c r="AS59" t="s">
        <v>2397</v>
      </c>
      <c r="AT59" t="s">
        <v>2398</v>
      </c>
      <c r="AU59" t="s">
        <v>2399</v>
      </c>
      <c r="AV59" t="s">
        <v>2400</v>
      </c>
      <c r="AW59" t="s">
        <v>1203</v>
      </c>
      <c r="AX59" t="s">
        <v>1213</v>
      </c>
      <c r="AY59" t="s">
        <v>1257</v>
      </c>
      <c r="AZ59" t="s">
        <v>1258</v>
      </c>
      <c r="BA59" t="s">
        <v>1042</v>
      </c>
      <c r="BB59" t="s">
        <v>1259</v>
      </c>
      <c r="BC59" t="s">
        <v>1176</v>
      </c>
      <c r="BD59" t="s">
        <v>1260</v>
      </c>
      <c r="BE59" t="s">
        <v>1178</v>
      </c>
      <c r="BF59" t="s">
        <v>457</v>
      </c>
      <c r="BG59" t="s">
        <v>1261</v>
      </c>
      <c r="BH59" t="s">
        <v>1785</v>
      </c>
      <c r="BI59" t="s">
        <v>2544</v>
      </c>
      <c r="BJ59" t="s">
        <v>1213</v>
      </c>
      <c r="BK59" t="s">
        <v>1786</v>
      </c>
      <c r="BL59" t="s">
        <v>1017</v>
      </c>
      <c r="BM59" t="s">
        <v>1176</v>
      </c>
      <c r="BN59">
        <v>10.210000000000001</v>
      </c>
      <c r="BO59">
        <v>12.3</v>
      </c>
      <c r="BP59">
        <v>0.67</v>
      </c>
      <c r="BQ59">
        <v>18.73</v>
      </c>
      <c r="BR59">
        <v>20.48</v>
      </c>
      <c r="BS59" t="s">
        <v>2</v>
      </c>
      <c r="BT59" t="s">
        <v>2401</v>
      </c>
      <c r="BU59" t="s">
        <v>1882</v>
      </c>
      <c r="BV59">
        <v>13.97</v>
      </c>
      <c r="BW59">
        <v>11.41</v>
      </c>
      <c r="BX59">
        <v>9.26</v>
      </c>
      <c r="BY59">
        <v>5.63</v>
      </c>
      <c r="BZ59">
        <v>4.5199999999999996</v>
      </c>
      <c r="CA59">
        <v>0.15</v>
      </c>
      <c r="CB59">
        <v>-2.2599999999999998</v>
      </c>
      <c r="CC59" s="10">
        <v>-24.86</v>
      </c>
      <c r="CD59" s="11" t="s">
        <v>2697</v>
      </c>
      <c r="CE59" s="10" t="s">
        <v>347</v>
      </c>
      <c r="CF59" s="10">
        <v>-0.18882596568337418</v>
      </c>
      <c r="CG59" s="10">
        <v>-0.36954678649237471</v>
      </c>
      <c r="CH59" s="10">
        <v>7.9392395913600922E-2</v>
      </c>
      <c r="CI59" s="10">
        <v>0.69710820913314819</v>
      </c>
      <c r="CJ59" s="11">
        <v>0.20323042571544647</v>
      </c>
      <c r="CK59" s="11">
        <v>7.3754541575908661E-2</v>
      </c>
      <c r="CL59" s="11">
        <v>-0.11285696923732758</v>
      </c>
      <c r="CM59" s="11">
        <v>0.34585079550743103</v>
      </c>
      <c r="CN59" s="11">
        <v>60.657989501953125</v>
      </c>
      <c r="CO59">
        <v>-0.97831165790557861</v>
      </c>
      <c r="CP59">
        <v>-7.9863093793392181E-2</v>
      </c>
      <c r="CQ59">
        <v>-8.7929271161556244E-2</v>
      </c>
      <c r="CR59" s="10">
        <v>19.394875459348953</v>
      </c>
      <c r="CS59" s="11">
        <v>1.0309528859431798</v>
      </c>
      <c r="CT59">
        <v>1.3141758241758241</v>
      </c>
      <c r="CU59">
        <v>0.18812572062015534</v>
      </c>
      <c r="CV59">
        <v>11.971547254920006</v>
      </c>
      <c r="CW59">
        <v>0.06</v>
      </c>
      <c r="CX59">
        <v>17.169199889962083</v>
      </c>
      <c r="CY59">
        <v>3253895251.84935</v>
      </c>
      <c r="CZ59">
        <v>0.18812572062015534</v>
      </c>
      <c r="DA59">
        <v>5.1682822509088178</v>
      </c>
      <c r="DB59">
        <v>10809544697.404266</v>
      </c>
      <c r="DC59">
        <v>0.17871943458914757</v>
      </c>
      <c r="DD59">
        <v>2.2707835593436814</v>
      </c>
      <c r="DE59">
        <v>24602423146.020588</v>
      </c>
      <c r="DF59">
        <v>0.1655506341457367</v>
      </c>
      <c r="DG59">
        <v>1.1930364511931977</v>
      </c>
      <c r="DH59">
        <v>46827385654.583878</v>
      </c>
      <c r="DI59">
        <v>0.15050057649612428</v>
      </c>
      <c r="DJ59">
        <v>0.45119855317824226</v>
      </c>
      <c r="DK59">
        <v>123818610690.29247</v>
      </c>
      <c r="DL59">
        <v>0.13168800443410872</v>
      </c>
      <c r="DM59">
        <v>2903000000</v>
      </c>
      <c r="DN59">
        <v>0.18812572062015534</v>
      </c>
      <c r="DO59">
        <v>55866778000</v>
      </c>
      <c r="DP59">
        <v>3860838000</v>
      </c>
      <c r="DQ59" s="12">
        <v>4912</v>
      </c>
      <c r="DR59">
        <v>-0.37695168630352949</v>
      </c>
      <c r="DS59">
        <v>-12.341094041412381</v>
      </c>
      <c r="DT59">
        <v>-6.6666666666666714E-3</v>
      </c>
      <c r="DU59">
        <v>4.6666666666666634E-2</v>
      </c>
      <c r="DV59">
        <v>3.9999999999999966E-2</v>
      </c>
      <c r="DW59">
        <v>-3.1002023809523811</v>
      </c>
      <c r="DX59">
        <v>0.29271969981238388</v>
      </c>
      <c r="DY59">
        <v>-3.0132988299204859</v>
      </c>
      <c r="DZ59">
        <v>1705</v>
      </c>
      <c r="EA59">
        <v>-3.0088589425082226</v>
      </c>
      <c r="EB59" s="13">
        <v>3</v>
      </c>
      <c r="EC59" s="13">
        <v>1.9179889427881593E-2</v>
      </c>
      <c r="ED59">
        <v>0.14451426167324793</v>
      </c>
      <c r="EE59">
        <v>-6.1293100000000003</v>
      </c>
      <c r="EF59">
        <v>-6.1249099999999999</v>
      </c>
      <c r="EG59">
        <v>16.132719699812384</v>
      </c>
      <c r="EH59" s="14" t="s">
        <v>1317</v>
      </c>
      <c r="EI59">
        <v>0</v>
      </c>
      <c r="EJ59">
        <v>0</v>
      </c>
      <c r="EK59">
        <v>45490</v>
      </c>
      <c r="EL59">
        <v>2.15</v>
      </c>
      <c r="EM59">
        <v>0.11</v>
      </c>
      <c r="EN59">
        <v>-3.89</v>
      </c>
      <c r="EO59">
        <v>-0.98</v>
      </c>
      <c r="EP59">
        <v>0.44</v>
      </c>
    </row>
    <row r="60" spans="1:146" ht="96" hidden="1" x14ac:dyDescent="0.25">
      <c r="C60" s="9" t="str">
        <f>""&amp;CHAR(10)&amp;Basic_Fundamental_Information_Constructure(F60)&amp;CHAR(10)&amp;Basic_Fundamental_Information_Concatenate("")</f>
        <v xml:space="preserve">
市值62.420477亿, 利润4.42亿; PE15.84; 平均PE29.27; 平均PEG.22, PB1.33; ROIC10.27%; ROE19.6%; 股利率4.3856%; 毛利10.6167%; 净利5.05%; 上一年度营收增58.21%, 利润增13.04%; 当季营收增65.53%, 利润增-38.85%; 过往5年营收增135.87%, 利润增313.06%
Income profile:
</v>
      </c>
      <c r="D60" t="s">
        <v>954</v>
      </c>
      <c r="E60" t="s">
        <v>1073</v>
      </c>
      <c r="F60">
        <v>25.79</v>
      </c>
      <c r="G60">
        <v>2.54</v>
      </c>
      <c r="H60" t="s">
        <v>2698</v>
      </c>
      <c r="I60">
        <v>6242047700</v>
      </c>
      <c r="J60">
        <v>15.84</v>
      </c>
      <c r="K60">
        <v>1.33</v>
      </c>
      <c r="L60" t="s">
        <v>753</v>
      </c>
      <c r="M60" t="s">
        <v>472</v>
      </c>
      <c r="N60" t="s">
        <v>2402</v>
      </c>
      <c r="O60" t="s">
        <v>1792</v>
      </c>
      <c r="P60" s="6">
        <v>65.569999999999993</v>
      </c>
      <c r="Q60" t="s">
        <v>1793</v>
      </c>
      <c r="R60">
        <v>75820999</v>
      </c>
      <c r="S60">
        <v>-0.38800000000000001</v>
      </c>
      <c r="T60" t="s">
        <v>62</v>
      </c>
      <c r="U60">
        <v>178824890</v>
      </c>
      <c r="V60">
        <v>242033640</v>
      </c>
      <c r="W60">
        <v>1.64</v>
      </c>
      <c r="X60">
        <v>0.39</v>
      </c>
      <c r="Y60">
        <v>2.56</v>
      </c>
      <c r="Z60" t="s">
        <v>2403</v>
      </c>
      <c r="AA60" t="s">
        <v>793</v>
      </c>
      <c r="AB60" t="s">
        <v>2404</v>
      </c>
      <c r="AC60" t="s">
        <v>2405</v>
      </c>
      <c r="AD60" t="s">
        <v>2</v>
      </c>
      <c r="AE60">
        <v>11942557</v>
      </c>
      <c r="AF60" t="s">
        <v>1794</v>
      </c>
      <c r="AG60" t="s">
        <v>2406</v>
      </c>
      <c r="AH60" t="s">
        <v>1795</v>
      </c>
      <c r="AI60" t="s">
        <v>86</v>
      </c>
      <c r="AJ60" t="s">
        <v>1796</v>
      </c>
      <c r="AK60" t="s">
        <v>691</v>
      </c>
      <c r="AL60" t="s">
        <v>1797</v>
      </c>
      <c r="AM60" t="s">
        <v>2</v>
      </c>
      <c r="AN60" t="s">
        <v>2407</v>
      </c>
      <c r="AO60" t="s">
        <v>2408</v>
      </c>
      <c r="AP60" t="s">
        <v>328</v>
      </c>
      <c r="AQ60" t="s">
        <v>2409</v>
      </c>
      <c r="AR60" t="s">
        <v>2</v>
      </c>
      <c r="AS60" t="s">
        <v>2410</v>
      </c>
      <c r="AT60" t="s">
        <v>2</v>
      </c>
      <c r="AU60" t="s">
        <v>2411</v>
      </c>
      <c r="AV60" t="s">
        <v>2412</v>
      </c>
      <c r="AW60" t="s">
        <v>787</v>
      </c>
      <c r="AX60" t="s">
        <v>1074</v>
      </c>
      <c r="AY60" t="s">
        <v>955</v>
      </c>
      <c r="AZ60" t="s">
        <v>956</v>
      </c>
      <c r="BA60" t="s">
        <v>355</v>
      </c>
      <c r="BB60" t="s">
        <v>95</v>
      </c>
      <c r="BC60" t="s">
        <v>207</v>
      </c>
      <c r="BD60" t="s">
        <v>286</v>
      </c>
      <c r="BE60" t="s">
        <v>75</v>
      </c>
      <c r="BF60" t="s">
        <v>957</v>
      </c>
      <c r="BG60" t="s">
        <v>951</v>
      </c>
      <c r="BH60" t="s">
        <v>1793</v>
      </c>
      <c r="BI60" t="s">
        <v>2545</v>
      </c>
      <c r="BJ60" t="s">
        <v>1074</v>
      </c>
      <c r="BK60" t="s">
        <v>62</v>
      </c>
      <c r="BL60" t="s">
        <v>75</v>
      </c>
      <c r="BM60" t="s">
        <v>207</v>
      </c>
      <c r="BN60">
        <v>7.66</v>
      </c>
      <c r="BO60">
        <v>10.06</v>
      </c>
      <c r="BP60">
        <v>13.09</v>
      </c>
      <c r="BQ60">
        <v>9.2799999999999994</v>
      </c>
      <c r="BR60">
        <v>27.33</v>
      </c>
      <c r="BS60">
        <v>22.19</v>
      </c>
      <c r="BT60" t="s">
        <v>2413</v>
      </c>
      <c r="BU60" t="s">
        <v>1868</v>
      </c>
      <c r="BV60">
        <v>9.82</v>
      </c>
      <c r="BW60">
        <v>11.55</v>
      </c>
      <c r="BX60">
        <v>10.48</v>
      </c>
      <c r="BY60">
        <v>4.29</v>
      </c>
      <c r="BZ60">
        <v>6.01</v>
      </c>
      <c r="CA60">
        <v>4.8499999999999996</v>
      </c>
      <c r="CB60">
        <v>2.91</v>
      </c>
      <c r="CC60" s="10">
        <v>-30.46</v>
      </c>
      <c r="CD60" s="11" t="s">
        <v>2699</v>
      </c>
      <c r="CE60" s="10" t="s">
        <v>2700</v>
      </c>
      <c r="CF60" s="10">
        <v>0.65526905829596416</v>
      </c>
      <c r="CG60" s="10">
        <v>-0.3885403306451613</v>
      </c>
      <c r="CH60" s="10">
        <v>0.58210331201553345</v>
      </c>
      <c r="CI60" s="10">
        <v>0.27930757403373718</v>
      </c>
      <c r="CJ60" s="11">
        <v>1.0311626195907593</v>
      </c>
      <c r="CK60" s="11">
        <v>1.7997763156890869</v>
      </c>
      <c r="CL60" s="11">
        <v>3.1009173393249512</v>
      </c>
      <c r="CM60" s="11">
        <v>0.1304347813129425</v>
      </c>
      <c r="CN60" s="11">
        <v>0.5829959511756897</v>
      </c>
      <c r="CO60">
        <v>0.99193549156188965</v>
      </c>
      <c r="CP60">
        <v>0.75200396776199341</v>
      </c>
      <c r="CQ60">
        <v>13.195534706115723</v>
      </c>
      <c r="CR60" s="10">
        <v>29.265042348893182</v>
      </c>
      <c r="CS60" s="11">
        <v>0.21539740493641568</v>
      </c>
      <c r="CT60">
        <v>4.3855758045754172</v>
      </c>
      <c r="CU60">
        <v>1.3586534321308137</v>
      </c>
      <c r="CV60">
        <v>3.1305809795856474</v>
      </c>
      <c r="CW60">
        <v>0.06</v>
      </c>
      <c r="CX60">
        <v>4.1840256374370668</v>
      </c>
      <c r="CY60">
        <v>983513978.30360341</v>
      </c>
      <c r="CZ60">
        <v>1.3586534321308137</v>
      </c>
      <c r="DA60">
        <v>0.55011888841016177</v>
      </c>
      <c r="DB60">
        <v>7480287964.466095</v>
      </c>
      <c r="DC60">
        <v>1.290720760524273</v>
      </c>
      <c r="DD60">
        <v>6.1753228124181075E-2</v>
      </c>
      <c r="DE60">
        <v>66636964981.408745</v>
      </c>
      <c r="DF60">
        <v>1.1956150202751161</v>
      </c>
      <c r="DG60">
        <v>5.2417409779567173E-3</v>
      </c>
      <c r="DH60">
        <v>785053614305.84961</v>
      </c>
      <c r="DI60">
        <v>1.0869227457046511</v>
      </c>
      <c r="DJ60">
        <v>2.1345522214111678E-5</v>
      </c>
      <c r="DK60">
        <v>192782713803999.25</v>
      </c>
      <c r="DL60">
        <v>0.95105740249156956</v>
      </c>
      <c r="DM60">
        <v>442000000</v>
      </c>
      <c r="DN60">
        <v>1.3586534321308137</v>
      </c>
      <c r="DO60">
        <v>4115047700</v>
      </c>
      <c r="DP60">
        <v>3956391400</v>
      </c>
      <c r="DQ60" s="12">
        <v>4928</v>
      </c>
      <c r="DR60">
        <v>-0.70338437383484953</v>
      </c>
      <c r="DS60">
        <v>-3.5191213102308088</v>
      </c>
      <c r="DT60">
        <v>0.95833333333333348</v>
      </c>
      <c r="DU60">
        <v>0.99500000000000011</v>
      </c>
      <c r="DV60">
        <v>1.9533333333333336</v>
      </c>
      <c r="DW60">
        <v>6.0872040755169312</v>
      </c>
      <c r="DX60">
        <v>0.49714235798352518</v>
      </c>
      <c r="DY60">
        <v>6.0163195763180122</v>
      </c>
      <c r="DZ60">
        <v>15</v>
      </c>
      <c r="EA60">
        <v>6.0162716433544778</v>
      </c>
      <c r="EB60" s="13">
        <v>6</v>
      </c>
      <c r="EC60">
        <v>4.4036440554296501E-2</v>
      </c>
      <c r="ED60">
        <v>0.23530985196933782</v>
      </c>
      <c r="EE60">
        <v>-2.0735100000000002</v>
      </c>
      <c r="EF60">
        <v>-2.0481099999999999</v>
      </c>
      <c r="EG60">
        <v>31.187142357983525</v>
      </c>
      <c r="EH60" s="14" t="s">
        <v>975</v>
      </c>
      <c r="EI60">
        <v>0</v>
      </c>
      <c r="EJ60">
        <v>1</v>
      </c>
      <c r="EK60">
        <v>45490</v>
      </c>
      <c r="EL60">
        <v>4.2300000000000004</v>
      </c>
      <c r="EM60">
        <v>0</v>
      </c>
      <c r="EN60">
        <v>-3.48</v>
      </c>
      <c r="EO60">
        <v>-0.24</v>
      </c>
      <c r="EP60">
        <v>2.54</v>
      </c>
    </row>
    <row r="61" spans="1:146" ht="180" hidden="1" x14ac:dyDescent="0.25">
      <c r="A61" s="9"/>
      <c r="B61" s="9"/>
      <c r="C61" s="9" t="str">
        <f>"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amp;CHAR(10)&amp;Basic_Fundamental_Information_Constructure(F61)&amp;CHAR(10)&amp;Basic_Fundamental_Information_Concatenate("光伏设备 53.64亿 85.11% 19.58亿 84.99% 36.49%
改造及其他 5.66亿 8.98% 2.23亿 9.67% 39.39%
锂电设备 3.47亿 5.50% 1.13亿 4.92% 32.66%
半导体 2087.61万 0.33% 698.46万 0.30% 33.46%")</f>
        <v>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
市值129.483546亿, 利润12.56亿; PE9.47; 平均PE29.66; 平均PEG.48, PB3.35; ROIC23.83%; ROE32.4833%; 股利率4.8458%; 毛利37.71%; 净利19.1633%; 上一年度营收增78.02%, 利润增76.16%; 当季营收增89.03%, 利润增231.43%; 过往5年营收增62.06%, 利润增92.83%
Income profile:
光伏设备 53.64亿 85.11% 19.58亿 84.99% 36.49%
改造及其他 5.66亿 8.98% 2.23亿 9.67% 39.39%
锂电设备 3.47亿 5.50% 1.13亿 4.92% 32.66%
半导体 2087.61万 0.33% 698.46万 0.30% 33.46%</v>
      </c>
      <c r="D61" t="s">
        <v>653</v>
      </c>
      <c r="E61" t="s">
        <v>654</v>
      </c>
      <c r="F61">
        <v>41.18</v>
      </c>
      <c r="G61">
        <v>3.65</v>
      </c>
      <c r="H61" t="s">
        <v>2701</v>
      </c>
      <c r="I61">
        <v>12948354600</v>
      </c>
      <c r="J61">
        <v>9.4700000000000006</v>
      </c>
      <c r="K61">
        <v>3.35</v>
      </c>
      <c r="L61" t="s">
        <v>753</v>
      </c>
      <c r="M61" t="s">
        <v>1525</v>
      </c>
      <c r="N61" t="s">
        <v>2414</v>
      </c>
      <c r="O61" t="s">
        <v>1276</v>
      </c>
      <c r="P61">
        <v>89.06</v>
      </c>
      <c r="Q61" t="s">
        <v>1798</v>
      </c>
      <c r="R61">
        <v>732452650</v>
      </c>
      <c r="S61" s="6">
        <v>0.50439999999999996</v>
      </c>
      <c r="T61" t="s">
        <v>482</v>
      </c>
      <c r="U61">
        <v>290240780</v>
      </c>
      <c r="V61">
        <v>314433090</v>
      </c>
      <c r="W61">
        <v>3.77</v>
      </c>
      <c r="X61">
        <v>0.13</v>
      </c>
      <c r="Y61">
        <v>18.309999999999999</v>
      </c>
      <c r="Z61" t="s">
        <v>1579</v>
      </c>
      <c r="AA61" t="s">
        <v>1171</v>
      </c>
      <c r="AB61" t="s">
        <v>2415</v>
      </c>
      <c r="AC61" t="s">
        <v>2416</v>
      </c>
      <c r="AD61" t="s">
        <v>2</v>
      </c>
      <c r="AE61">
        <v>2537337</v>
      </c>
      <c r="AF61" t="s">
        <v>1799</v>
      </c>
      <c r="AG61" t="s">
        <v>2417</v>
      </c>
      <c r="AH61" t="s">
        <v>1800</v>
      </c>
      <c r="AI61" t="s">
        <v>1215</v>
      </c>
      <c r="AJ61" t="s">
        <v>1802</v>
      </c>
      <c r="AK61" t="s">
        <v>2</v>
      </c>
      <c r="AL61" t="s">
        <v>1803</v>
      </c>
      <c r="AM61" t="s">
        <v>2</v>
      </c>
      <c r="AN61" t="s">
        <v>156</v>
      </c>
      <c r="AO61" t="s">
        <v>287</v>
      </c>
      <c r="AP61" t="s">
        <v>928</v>
      </c>
      <c r="AQ61" t="s">
        <v>2418</v>
      </c>
      <c r="AR61" t="s">
        <v>2</v>
      </c>
      <c r="AS61" t="s">
        <v>2419</v>
      </c>
      <c r="AT61" t="s">
        <v>322</v>
      </c>
      <c r="AU61" t="s">
        <v>1274</v>
      </c>
      <c r="AV61" t="s">
        <v>2420</v>
      </c>
      <c r="AW61" t="s">
        <v>70</v>
      </c>
      <c r="AX61" t="s">
        <v>895</v>
      </c>
      <c r="AY61" t="s">
        <v>719</v>
      </c>
      <c r="AZ61" t="s">
        <v>373</v>
      </c>
      <c r="BA61" t="s">
        <v>460</v>
      </c>
      <c r="BB61" t="s">
        <v>219</v>
      </c>
      <c r="BC61" t="s">
        <v>474</v>
      </c>
      <c r="BD61" t="s">
        <v>487</v>
      </c>
      <c r="BE61" t="s">
        <v>84</v>
      </c>
      <c r="BF61" t="s">
        <v>655</v>
      </c>
      <c r="BG61" t="s">
        <v>656</v>
      </c>
      <c r="BH61" t="s">
        <v>1798</v>
      </c>
      <c r="BI61" t="s">
        <v>2546</v>
      </c>
      <c r="BJ61" t="s">
        <v>895</v>
      </c>
      <c r="BK61" t="s">
        <v>482</v>
      </c>
      <c r="BL61" t="s">
        <v>260</v>
      </c>
      <c r="BM61" t="s">
        <v>474</v>
      </c>
      <c r="BN61">
        <v>20.94</v>
      </c>
      <c r="BO61">
        <v>27.65</v>
      </c>
      <c r="BP61">
        <v>22.9</v>
      </c>
      <c r="BQ61">
        <v>29.92</v>
      </c>
      <c r="BR61">
        <v>37.76</v>
      </c>
      <c r="BS61">
        <v>29.77</v>
      </c>
      <c r="BT61" t="s">
        <v>2421</v>
      </c>
      <c r="BU61" t="s">
        <v>1862</v>
      </c>
      <c r="BV61">
        <v>36.549999999999997</v>
      </c>
      <c r="BW61">
        <v>38.92</v>
      </c>
      <c r="BX61">
        <v>37.659999999999997</v>
      </c>
      <c r="BY61">
        <v>19.91</v>
      </c>
      <c r="BZ61">
        <v>19.63</v>
      </c>
      <c r="CA61">
        <v>17.95</v>
      </c>
      <c r="CB61">
        <v>6.57</v>
      </c>
      <c r="CC61">
        <v>-27.4</v>
      </c>
      <c r="CD61" t="s">
        <v>2702</v>
      </c>
      <c r="CE61" t="s">
        <v>38</v>
      </c>
      <c r="CF61" s="10">
        <v>0.89027911453320496</v>
      </c>
      <c r="CG61" s="11">
        <v>2.3142653846153847</v>
      </c>
      <c r="CH61" s="10">
        <v>0.78022605180740356</v>
      </c>
      <c r="CI61" s="10">
        <v>0.72935998439788818</v>
      </c>
      <c r="CJ61" s="10">
        <v>0.78933572769165039</v>
      </c>
      <c r="CK61" s="10">
        <v>0.51724135875701904</v>
      </c>
      <c r="CL61" s="10">
        <v>0.28668943047523499</v>
      </c>
      <c r="CM61" s="11">
        <v>0.76157081127166748</v>
      </c>
      <c r="CN61" s="11">
        <v>0.9218328595161438</v>
      </c>
      <c r="CO61" s="11">
        <v>1.3935483694076538</v>
      </c>
      <c r="CP61" s="11">
        <v>1.1108566522598267</v>
      </c>
      <c r="CQ61" s="11">
        <v>0.45362284779548645</v>
      </c>
      <c r="CR61">
        <v>29.664665580987766</v>
      </c>
      <c r="CS61">
        <v>0.47802248210394727</v>
      </c>
      <c r="CT61">
        <v>4.8458474987858189</v>
      </c>
      <c r="CU61" s="10">
        <v>0.62057051062583923</v>
      </c>
      <c r="CV61" s="11">
        <v>0.92828630805015566</v>
      </c>
      <c r="CW61">
        <v>0.06</v>
      </c>
      <c r="CX61">
        <v>10.776536244143223</v>
      </c>
      <c r="CY61">
        <v>1920223171.081183</v>
      </c>
      <c r="CZ61">
        <v>0.62057051062583923</v>
      </c>
      <c r="DA61">
        <v>2.3138731613158297</v>
      </c>
      <c r="DB61">
        <v>8943167216.7511177</v>
      </c>
      <c r="DC61">
        <v>0.58954198509454725</v>
      </c>
      <c r="DD61">
        <v>0.60028304361389417</v>
      </c>
      <c r="DE61">
        <v>34472662221.840294</v>
      </c>
      <c r="DF61">
        <v>0.54610204935073858</v>
      </c>
      <c r="DG61">
        <v>0.15782312314144761</v>
      </c>
      <c r="DH61">
        <v>131117381205.62827</v>
      </c>
      <c r="DI61">
        <v>0.49645640850067141</v>
      </c>
      <c r="DJ61">
        <v>1.016828289397149E-2</v>
      </c>
      <c r="DK61">
        <v>2035088403398.8228</v>
      </c>
      <c r="DL61">
        <v>0.43439935743808744</v>
      </c>
      <c r="DM61">
        <v>1256000000</v>
      </c>
      <c r="DN61">
        <v>0.62057051062583923</v>
      </c>
      <c r="DO61">
        <v>20693354600</v>
      </c>
      <c r="DP61">
        <v>3503865000</v>
      </c>
      <c r="DQ61">
        <v>4939</v>
      </c>
      <c r="DR61">
        <v>0.26970860390736573</v>
      </c>
      <c r="DS61">
        <v>1.3859790765652291</v>
      </c>
      <c r="DT61" s="12">
        <v>0.67666666666666675</v>
      </c>
      <c r="DU61">
        <v>1.6733333333333336</v>
      </c>
      <c r="DV61">
        <v>2.3500000000000005</v>
      </c>
      <c r="DW61">
        <v>7.1934059464233151</v>
      </c>
      <c r="DX61">
        <v>0.62383850574712485</v>
      </c>
      <c r="DY61">
        <v>7.0432916980500035</v>
      </c>
      <c r="DZ61">
        <v>3</v>
      </c>
      <c r="EA61">
        <v>7.0432662672502877</v>
      </c>
      <c r="EB61">
        <v>7</v>
      </c>
      <c r="EC61">
        <v>0.1238670522876584</v>
      </c>
      <c r="ED61">
        <v>0.55337687264403379</v>
      </c>
      <c r="EE61" s="13">
        <v>-3.0053000000000001</v>
      </c>
      <c r="EF61">
        <v>-3.0417999999999998</v>
      </c>
      <c r="EG61">
        <v>40.223838505747125</v>
      </c>
      <c r="EH61" t="s">
        <v>1202</v>
      </c>
      <c r="EI61">
        <v>1</v>
      </c>
      <c r="EJ61">
        <v>1</v>
      </c>
      <c r="EK61" s="14">
        <v>45490</v>
      </c>
      <c r="EL61">
        <v>2.5099999999999998</v>
      </c>
      <c r="EM61">
        <v>-0.5</v>
      </c>
      <c r="EN61">
        <v>-1.22</v>
      </c>
      <c r="EO61">
        <v>2.0499999999999998</v>
      </c>
      <c r="EP61">
        <v>3.65</v>
      </c>
    </row>
    <row r="62" spans="1:146" ht="192" hidden="1" x14ac:dyDescent="0.25">
      <c r="A62" s="9" t="s">
        <v>913</v>
      </c>
      <c r="B62" s="9" t="s">
        <v>976</v>
      </c>
      <c r="C62" s="9" t="str">
        <f>"公司主要从事高硬脆材料切割设备和切割耗材的研发、生产和销售。主要产品为高硬脆材料切割设备、高硬脆材料切割耗材、轮胎检测设备及耗材等三类。"&amp;CHAR(10)&amp;Basic_Fundamental_Information_Constructure(F62)&amp;CHAR(10)&amp;Basic_Fundamental_Information_Concatenate("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f>
        <v>公司主要从事高硬脆材料切割设备和切割耗材的研发、生产和销售。主要产品为高硬脆材料切割设备、高硬脆材料切割耗材、轮胎检测设备及耗材等三类。
市值61.289993亿, 利润14.61亿; PE4.58; 平均PE14.32; 平均PEG.21, PB1.46; ROIC31.19%; ROE35.2367%; 股利率4.0143%; 毛利39.25%; 净利18.9133%; 上一年度营收增73.17%, 利润增85.17%; 当季营收增12.79%, 利润增-36.63%; 过往5年营收增66.64%, 利润增135.76%
Income profile:
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v>
      </c>
      <c r="D62" t="s">
        <v>657</v>
      </c>
      <c r="E62" t="s">
        <v>658</v>
      </c>
      <c r="F62">
        <v>11.21</v>
      </c>
      <c r="G62">
        <v>1.91</v>
      </c>
      <c r="H62" t="s">
        <v>2703</v>
      </c>
      <c r="I62">
        <v>6128999300</v>
      </c>
      <c r="J62">
        <v>4.58</v>
      </c>
      <c r="K62">
        <v>1.46</v>
      </c>
      <c r="L62" t="s">
        <v>753</v>
      </c>
      <c r="M62" t="s">
        <v>1804</v>
      </c>
      <c r="N62" t="s">
        <v>2422</v>
      </c>
      <c r="O62" t="s">
        <v>1536</v>
      </c>
      <c r="P62">
        <v>12.76</v>
      </c>
      <c r="Q62" t="s">
        <v>1805</v>
      </c>
      <c r="R62">
        <v>211652080</v>
      </c>
      <c r="S62" s="6">
        <v>-0.36709999999999998</v>
      </c>
      <c r="T62" t="s">
        <v>1179</v>
      </c>
      <c r="U62">
        <v>517603650</v>
      </c>
      <c r="V62">
        <v>546743920</v>
      </c>
      <c r="W62">
        <v>2.16</v>
      </c>
      <c r="X62">
        <v>0.15</v>
      </c>
      <c r="Y62">
        <v>14.91</v>
      </c>
      <c r="Z62" t="s">
        <v>1232</v>
      </c>
      <c r="AA62" t="s">
        <v>329</v>
      </c>
      <c r="AB62" t="s">
        <v>2423</v>
      </c>
      <c r="AC62" t="s">
        <v>194</v>
      </c>
      <c r="AD62" t="s">
        <v>2</v>
      </c>
      <c r="AE62">
        <v>7047714</v>
      </c>
      <c r="AF62" t="s">
        <v>1806</v>
      </c>
      <c r="AG62" t="s">
        <v>2424</v>
      </c>
      <c r="AH62" t="s">
        <v>1807</v>
      </c>
      <c r="AI62" t="s">
        <v>330</v>
      </c>
      <c r="AJ62" t="s">
        <v>1808</v>
      </c>
      <c r="AK62" t="s">
        <v>281</v>
      </c>
      <c r="AL62" t="s">
        <v>1809</v>
      </c>
      <c r="AM62" t="s">
        <v>2</v>
      </c>
      <c r="AN62" t="s">
        <v>22</v>
      </c>
      <c r="AO62" t="s">
        <v>2425</v>
      </c>
      <c r="AP62" t="s">
        <v>2426</v>
      </c>
      <c r="AQ62" t="s">
        <v>782</v>
      </c>
      <c r="AR62" t="s">
        <v>2</v>
      </c>
      <c r="AS62" t="s">
        <v>2427</v>
      </c>
      <c r="AT62" t="s">
        <v>2</v>
      </c>
      <c r="AU62" t="s">
        <v>2428</v>
      </c>
      <c r="AV62" t="s">
        <v>404</v>
      </c>
      <c r="AW62" t="s">
        <v>2429</v>
      </c>
      <c r="AX62" t="s">
        <v>1075</v>
      </c>
      <c r="AY62" t="s">
        <v>197</v>
      </c>
      <c r="AZ62" t="s">
        <v>249</v>
      </c>
      <c r="BA62" t="s">
        <v>164</v>
      </c>
      <c r="BB62" t="s">
        <v>148</v>
      </c>
      <c r="BC62" t="s">
        <v>480</v>
      </c>
      <c r="BD62" t="s">
        <v>106</v>
      </c>
      <c r="BE62" t="s">
        <v>659</v>
      </c>
      <c r="BF62" t="s">
        <v>660</v>
      </c>
      <c r="BG62" t="s">
        <v>661</v>
      </c>
      <c r="BH62" t="s">
        <v>1805</v>
      </c>
      <c r="BI62" t="s">
        <v>2547</v>
      </c>
      <c r="BJ62" t="s">
        <v>1075</v>
      </c>
      <c r="BK62" t="s">
        <v>1179</v>
      </c>
      <c r="BL62" t="s">
        <v>48</v>
      </c>
      <c r="BM62" t="s">
        <v>480</v>
      </c>
      <c r="BN62">
        <v>33.99</v>
      </c>
      <c r="BO62">
        <v>44.05</v>
      </c>
      <c r="BP62">
        <v>15.53</v>
      </c>
      <c r="BQ62">
        <v>39.979999999999997</v>
      </c>
      <c r="BR62">
        <v>49.51</v>
      </c>
      <c r="BS62">
        <v>16.22</v>
      </c>
      <c r="BT62" t="s">
        <v>1811</v>
      </c>
      <c r="BU62" t="s">
        <v>1862</v>
      </c>
      <c r="BV62">
        <v>42.49</v>
      </c>
      <c r="BW62">
        <v>41.51</v>
      </c>
      <c r="BX62">
        <v>33.75</v>
      </c>
      <c r="BY62">
        <v>23.63</v>
      </c>
      <c r="BZ62">
        <v>22.09</v>
      </c>
      <c r="CA62">
        <v>11.02</v>
      </c>
      <c r="CB62">
        <v>2.94</v>
      </c>
      <c r="CC62">
        <v>-29.23</v>
      </c>
      <c r="CD62" t="s">
        <v>2704</v>
      </c>
      <c r="CE62" t="s">
        <v>201</v>
      </c>
      <c r="CF62" s="10">
        <v>0.12787926926131851</v>
      </c>
      <c r="CG62" s="11">
        <v>-0.36631113772455087</v>
      </c>
      <c r="CH62" s="10">
        <v>0.73172777891159058</v>
      </c>
      <c r="CI62" s="10">
        <v>1.278876781463623</v>
      </c>
      <c r="CJ62" s="10">
        <v>1.1005362272262573</v>
      </c>
      <c r="CK62" s="10">
        <v>4.4817928224802017E-2</v>
      </c>
      <c r="CL62" s="10">
        <v>0.17627677321434021</v>
      </c>
      <c r="CM62" s="11">
        <v>0.8517109751701355</v>
      </c>
      <c r="CN62" s="11">
        <v>3.5606937408447266</v>
      </c>
      <c r="CO62" s="11">
        <v>1.9389829635620117</v>
      </c>
      <c r="CP62" s="11">
        <v>0.83828473091125488</v>
      </c>
      <c r="CQ62" s="11">
        <v>-0.40184482932090759</v>
      </c>
      <c r="CR62">
        <v>14.323337441611088</v>
      </c>
      <c r="CS62">
        <v>0.21492084651158511</v>
      </c>
      <c r="CT62">
        <v>4.0142729705619979</v>
      </c>
      <c r="CU62" s="10">
        <v>0.66644709780812261</v>
      </c>
      <c r="CV62" s="11">
        <v>1.3575655162334441</v>
      </c>
      <c r="CW62">
        <v>0.06</v>
      </c>
      <c r="CX62">
        <v>3.2918748496385555</v>
      </c>
      <c r="CY62">
        <v>2296867179.1487427</v>
      </c>
      <c r="CZ62">
        <v>0.66644709780812261</v>
      </c>
      <c r="DA62">
        <v>0.68351156308220373</v>
      </c>
      <c r="DB62">
        <v>11061991791.19178</v>
      </c>
      <c r="DC62">
        <v>0.63312474291771648</v>
      </c>
      <c r="DD62">
        <v>0.16771727695390959</v>
      </c>
      <c r="DE62">
        <v>45081815286.554169</v>
      </c>
      <c r="DF62">
        <v>0.58647344607114793</v>
      </c>
      <c r="DG62">
        <v>4.0880355339020936E-2</v>
      </c>
      <c r="DH62">
        <v>184954343896.88165</v>
      </c>
      <c r="DI62">
        <v>0.53315767824649807</v>
      </c>
      <c r="DJ62">
        <v>2.176582145511636E-3</v>
      </c>
      <c r="DK62">
        <v>3473794598376.0156</v>
      </c>
      <c r="DL62">
        <v>0.4665129684656858</v>
      </c>
      <c r="DM62">
        <v>1461000000</v>
      </c>
      <c r="DN62">
        <v>0.66644709780812261</v>
      </c>
      <c r="DO62">
        <v>7560999300</v>
      </c>
      <c r="DP62">
        <v>2823986800</v>
      </c>
      <c r="DQ62">
        <v>4965</v>
      </c>
      <c r="DR62">
        <v>-0.53856782854680407</v>
      </c>
      <c r="DS62">
        <v>-1.7238766539579951</v>
      </c>
      <c r="DT62" s="12">
        <v>0.55999999999999994</v>
      </c>
      <c r="DU62">
        <v>1.0666666666666667</v>
      </c>
      <c r="DV62">
        <v>1.6266666666666665</v>
      </c>
      <c r="DW62">
        <v>6.0913894933167549</v>
      </c>
      <c r="DX62">
        <v>0.48333426294820442</v>
      </c>
      <c r="DY62">
        <v>6.0149270355321018</v>
      </c>
      <c r="DZ62">
        <v>42</v>
      </c>
      <c r="EA62">
        <v>6.0148042754983546</v>
      </c>
      <c r="EB62">
        <v>6</v>
      </c>
      <c r="EC62">
        <v>7.4983732786639848E-2</v>
      </c>
      <c r="ED62">
        <v>0.45908146541437528</v>
      </c>
      <c r="EE62" s="13">
        <v>7.5899999999999995E-2</v>
      </c>
      <c r="EF62">
        <v>9.5000000000000001E-2</v>
      </c>
      <c r="EG62">
        <v>32.163334262948204</v>
      </c>
      <c r="EH62" t="s">
        <v>833</v>
      </c>
      <c r="EI62">
        <v>0</v>
      </c>
      <c r="EJ62">
        <v>1</v>
      </c>
      <c r="EK62" s="14">
        <v>45490</v>
      </c>
      <c r="EL62">
        <v>3.49</v>
      </c>
      <c r="EM62">
        <v>0.62</v>
      </c>
      <c r="EN62">
        <v>-2.91</v>
      </c>
      <c r="EO62">
        <v>-0.09</v>
      </c>
      <c r="EP62">
        <v>1.91</v>
      </c>
    </row>
    <row r="63" spans="1:146" ht="96" hidden="1" x14ac:dyDescent="0.25">
      <c r="A63" s="9"/>
      <c r="B63" s="9"/>
      <c r="C63" s="9" t="str">
        <f>""&amp;CHAR(10)&amp;Basic_Fundamental_Information_Constructure(F63)&amp;CHAR(10)&amp;Basic_Fundamental_Information_Concatenate("")</f>
        <v xml:space="preserve">
市值20.814618亿, 利润-2387.54万; PE; 平均PE24.85; 平均PEG2.01, PB.736; ROIC4.7667%; ROE5.7033%; 股利率0%; 毛利14.3333%; 净利5.04%; 上一年度营收增-19.86%, 利润增-122.74%; 当季营收增-18.45%, 利润增-59.18%; 过往5年营收增12.36%, 利润增-20.32%
Income profile:
</v>
      </c>
      <c r="D63" t="s">
        <v>662</v>
      </c>
      <c r="E63" t="s">
        <v>663</v>
      </c>
      <c r="F63">
        <v>10.34</v>
      </c>
      <c r="G63">
        <v>0.1</v>
      </c>
      <c r="H63" t="s">
        <v>2705</v>
      </c>
      <c r="I63">
        <v>2081461800</v>
      </c>
      <c r="K63">
        <v>0.73599999999999999</v>
      </c>
      <c r="L63" t="s">
        <v>753</v>
      </c>
      <c r="M63" t="s">
        <v>417</v>
      </c>
      <c r="N63" t="s">
        <v>2430</v>
      </c>
      <c r="O63" t="s">
        <v>86</v>
      </c>
      <c r="P63">
        <v>-18.43</v>
      </c>
      <c r="Q63" t="s">
        <v>399</v>
      </c>
      <c r="R63">
        <v>7929437</v>
      </c>
      <c r="S63" s="6">
        <v>-0.59179999999999999</v>
      </c>
      <c r="T63" t="s">
        <v>1812</v>
      </c>
      <c r="U63">
        <v>201301920</v>
      </c>
      <c r="V63">
        <v>201301920</v>
      </c>
      <c r="W63">
        <v>1.17</v>
      </c>
      <c r="X63">
        <v>0.1</v>
      </c>
      <c r="Y63">
        <v>2.42</v>
      </c>
      <c r="Z63" t="s">
        <v>130</v>
      </c>
      <c r="AA63" t="s">
        <v>139</v>
      </c>
      <c r="AB63" t="s">
        <v>2431</v>
      </c>
      <c r="AC63" t="s">
        <v>2432</v>
      </c>
      <c r="AD63" t="s">
        <v>2</v>
      </c>
      <c r="AE63">
        <v>-11371253</v>
      </c>
      <c r="AF63" t="s">
        <v>1813</v>
      </c>
      <c r="AG63" t="s">
        <v>2433</v>
      </c>
      <c r="AH63" t="s">
        <v>1814</v>
      </c>
      <c r="AI63" t="s">
        <v>1256</v>
      </c>
      <c r="AJ63" t="s">
        <v>1815</v>
      </c>
      <c r="AK63" t="s">
        <v>356</v>
      </c>
      <c r="AL63" t="s">
        <v>1816</v>
      </c>
      <c r="AM63" t="s">
        <v>2</v>
      </c>
      <c r="AN63" t="s">
        <v>55</v>
      </c>
      <c r="AO63" t="s">
        <v>2434</v>
      </c>
      <c r="AP63" t="s">
        <v>92</v>
      </c>
      <c r="AQ63" t="s">
        <v>77</v>
      </c>
      <c r="AR63" t="s">
        <v>2</v>
      </c>
      <c r="AS63" t="s">
        <v>772</v>
      </c>
      <c r="AT63" t="s">
        <v>2</v>
      </c>
      <c r="AU63" t="s">
        <v>2435</v>
      </c>
      <c r="AV63" t="s">
        <v>2436</v>
      </c>
      <c r="AW63" t="s">
        <v>2437</v>
      </c>
      <c r="AX63" t="s">
        <v>298</v>
      </c>
      <c r="AY63" t="s">
        <v>825</v>
      </c>
      <c r="AZ63" t="s">
        <v>664</v>
      </c>
      <c r="BA63" t="s">
        <v>665</v>
      </c>
      <c r="BB63" t="s">
        <v>294</v>
      </c>
      <c r="BC63" t="s">
        <v>108</v>
      </c>
      <c r="BD63" t="s">
        <v>21</v>
      </c>
      <c r="BE63" t="s">
        <v>108</v>
      </c>
      <c r="BF63" t="s">
        <v>108</v>
      </c>
      <c r="BG63" t="s">
        <v>666</v>
      </c>
      <c r="BH63" t="s">
        <v>399</v>
      </c>
      <c r="BI63" t="s">
        <v>149</v>
      </c>
      <c r="BJ63" t="s">
        <v>298</v>
      </c>
      <c r="BK63" t="s">
        <v>1812</v>
      </c>
      <c r="BL63" t="s">
        <v>2548</v>
      </c>
      <c r="BM63" t="s">
        <v>108</v>
      </c>
      <c r="BN63">
        <v>0.31</v>
      </c>
      <c r="BO63">
        <v>5.4</v>
      </c>
      <c r="BP63">
        <v>8.59</v>
      </c>
      <c r="BQ63">
        <v>1.49</v>
      </c>
      <c r="BR63">
        <v>6.63</v>
      </c>
      <c r="BS63">
        <v>8.99</v>
      </c>
      <c r="BT63" t="s">
        <v>940</v>
      </c>
      <c r="BU63" t="s">
        <v>1868</v>
      </c>
      <c r="BV63">
        <v>6.49</v>
      </c>
      <c r="BW63">
        <v>19.13</v>
      </c>
      <c r="BX63">
        <v>17.38</v>
      </c>
      <c r="BY63">
        <v>-1.75</v>
      </c>
      <c r="BZ63">
        <v>7.34</v>
      </c>
      <c r="CA63">
        <v>9.5299999999999994</v>
      </c>
      <c r="CB63">
        <v>1.67</v>
      </c>
      <c r="CC63">
        <v>-13.98</v>
      </c>
      <c r="CD63" t="s">
        <v>2706</v>
      </c>
      <c r="CE63" t="s">
        <v>2707</v>
      </c>
      <c r="CF63" s="10">
        <v>-0.18453865336658354</v>
      </c>
      <c r="CG63" s="11">
        <v>-0.59183419982498586</v>
      </c>
      <c r="CH63" s="10">
        <v>-0.19862227141857147</v>
      </c>
      <c r="CI63" s="10">
        <v>0.35143527388572693</v>
      </c>
      <c r="CJ63" s="10">
        <v>0.40261146426200867</v>
      </c>
      <c r="CK63" s="10">
        <v>-2.854122593998909E-2</v>
      </c>
      <c r="CL63" s="10">
        <v>9.1118797659873962E-2</v>
      </c>
      <c r="CM63" s="11">
        <v>-1.2273848056793213</v>
      </c>
      <c r="CN63" s="11">
        <v>-0.14634145796298981</v>
      </c>
      <c r="CO63" s="11">
        <v>0.17142857611179352</v>
      </c>
      <c r="CP63" s="11">
        <v>0</v>
      </c>
      <c r="CQ63" s="11">
        <v>0.18650631606578827</v>
      </c>
      <c r="CR63">
        <v>24.847356361081747</v>
      </c>
      <c r="CS63">
        <v>2.0102972818212055</v>
      </c>
      <c r="CT63">
        <v>0</v>
      </c>
      <c r="CU63" s="10">
        <v>0.1236004076898098</v>
      </c>
      <c r="CV63" s="11">
        <v>-0.20315827429294586</v>
      </c>
      <c r="CW63">
        <v>0.06</v>
      </c>
      <c r="CX63" t="s">
        <v>1849</v>
      </c>
      <c r="CY63" t="s">
        <v>712</v>
      </c>
      <c r="CZ63">
        <v>0.1236004076898098</v>
      </c>
      <c r="DA63" t="s">
        <v>1849</v>
      </c>
      <c r="DB63" t="s">
        <v>712</v>
      </c>
      <c r="DC63">
        <v>0.11742038730531931</v>
      </c>
      <c r="DD63" t="s">
        <v>1849</v>
      </c>
      <c r="DE63" t="s">
        <v>712</v>
      </c>
      <c r="DF63">
        <v>0.10876835876703263</v>
      </c>
      <c r="DG63" t="s">
        <v>1849</v>
      </c>
      <c r="DH63" t="s">
        <v>712</v>
      </c>
      <c r="DI63">
        <v>9.8880326151847844E-2</v>
      </c>
      <c r="DJ63" t="s">
        <v>1849</v>
      </c>
      <c r="DK63" t="s">
        <v>712</v>
      </c>
      <c r="DL63">
        <v>8.6520285382866852E-2</v>
      </c>
      <c r="DM63">
        <v>-23875400</v>
      </c>
      <c r="DN63">
        <v>0.1236004076898098</v>
      </c>
      <c r="DO63">
        <v>-207538200</v>
      </c>
      <c r="DP63">
        <v>2040044100</v>
      </c>
      <c r="DQ63">
        <v>4969</v>
      </c>
      <c r="DR63">
        <v>-0.30813906105639333</v>
      </c>
      <c r="DS63">
        <v>-0.38867592553204</v>
      </c>
      <c r="DT63" s="12">
        <v>-0.32333333333333331</v>
      </c>
      <c r="DU63">
        <v>-0.73666666666666669</v>
      </c>
      <c r="DV63">
        <v>-1.06</v>
      </c>
      <c r="DW63">
        <v>-2.1398000000000001</v>
      </c>
      <c r="DX63">
        <v>0.4293846364695395</v>
      </c>
      <c r="DY63">
        <v>-2.0222819721784417</v>
      </c>
      <c r="DZ63">
        <v>3664</v>
      </c>
      <c r="EA63">
        <v>-2.0062958460649094</v>
      </c>
      <c r="EB63">
        <v>2</v>
      </c>
      <c r="EC63">
        <v>4.6217144873729965E-2</v>
      </c>
      <c r="ED63">
        <v>0.28997239569299688</v>
      </c>
      <c r="EE63" s="13">
        <v>-2.0609099999999998</v>
      </c>
      <c r="EF63">
        <v>-2.0599099999999999</v>
      </c>
      <c r="EG63">
        <v>27.159384636469539</v>
      </c>
      <c r="EH63" t="s">
        <v>975</v>
      </c>
      <c r="EI63">
        <v>0</v>
      </c>
      <c r="EJ63">
        <v>0</v>
      </c>
      <c r="EK63" s="14">
        <v>45490</v>
      </c>
      <c r="EL63">
        <v>5.1100000000000003</v>
      </c>
      <c r="EM63">
        <v>0.84</v>
      </c>
      <c r="EN63">
        <v>-4.08</v>
      </c>
      <c r="EO63">
        <v>-0.1</v>
      </c>
      <c r="EP63">
        <v>0.1</v>
      </c>
    </row>
    <row r="64" spans="1:146" ht="96" hidden="1" x14ac:dyDescent="0.25">
      <c r="A64" s="9"/>
      <c r="B64" s="9"/>
      <c r="C64" s="9" t="str">
        <f>""&amp;CHAR(10)&amp;Basic_Fundamental_Information_Constructure(F64)&amp;CHAR(10)&amp;Basic_Fundamental_Information_Concatenate("")</f>
        <v xml:space="preserve">
市值33.727876亿, 利润2.02亿; PE113.4; 平均PE13.02; 平均PEG.21, PB.567; ROIC14.5733%; ROE17.3133%; 股利率0%; 毛利44.1533%; 净利31.48%; 上一年度营收增-26.07%, 利润增-63.34%; 当季营收增-33.11%, 利润增-146.36%; 过往5年营收增61.44%, 利润增60.95%
Income profile:
</v>
      </c>
      <c r="D64" t="s">
        <v>667</v>
      </c>
      <c r="E64" t="s">
        <v>751</v>
      </c>
      <c r="F64">
        <v>16.47</v>
      </c>
      <c r="G64">
        <v>0.18</v>
      </c>
      <c r="H64" t="s">
        <v>2708</v>
      </c>
      <c r="I64">
        <v>3372787600</v>
      </c>
      <c r="J64">
        <v>113.4</v>
      </c>
      <c r="K64">
        <v>0.56699999999999995</v>
      </c>
      <c r="L64" t="s">
        <v>753</v>
      </c>
      <c r="M64" t="s">
        <v>981</v>
      </c>
      <c r="N64" t="s">
        <v>2438</v>
      </c>
      <c r="O64" t="s">
        <v>74</v>
      </c>
      <c r="P64">
        <v>-33.090000000000003</v>
      </c>
      <c r="Q64" t="s">
        <v>512</v>
      </c>
      <c r="R64">
        <v>-54699605</v>
      </c>
      <c r="S64" s="6">
        <v>-1.4630000000000001</v>
      </c>
      <c r="T64" t="s">
        <v>74</v>
      </c>
      <c r="U64">
        <v>204783700</v>
      </c>
      <c r="V64">
        <v>204783700</v>
      </c>
      <c r="W64">
        <v>1.17</v>
      </c>
      <c r="X64">
        <v>0.03</v>
      </c>
      <c r="Y64">
        <v>-26.92</v>
      </c>
      <c r="Z64" t="s">
        <v>322</v>
      </c>
      <c r="AA64" t="s">
        <v>171</v>
      </c>
      <c r="AB64" t="s">
        <v>2439</v>
      </c>
      <c r="AC64" t="s">
        <v>2440</v>
      </c>
      <c r="AD64" t="s">
        <v>2</v>
      </c>
      <c r="AE64">
        <v>2421608</v>
      </c>
      <c r="AF64" t="s">
        <v>1817</v>
      </c>
      <c r="AG64">
        <v>4728.42</v>
      </c>
      <c r="AH64" t="s">
        <v>1818</v>
      </c>
      <c r="AI64" t="s">
        <v>122</v>
      </c>
      <c r="AJ64" t="s">
        <v>1819</v>
      </c>
      <c r="AK64" t="s">
        <v>136</v>
      </c>
      <c r="AL64" t="s">
        <v>1820</v>
      </c>
      <c r="AM64" t="s">
        <v>2</v>
      </c>
      <c r="AN64" t="s">
        <v>1250</v>
      </c>
      <c r="AO64" t="s">
        <v>2441</v>
      </c>
      <c r="AP64" t="s">
        <v>153</v>
      </c>
      <c r="AQ64" t="s">
        <v>54</v>
      </c>
      <c r="AR64" t="s">
        <v>2</v>
      </c>
      <c r="AS64" t="s">
        <v>1243</v>
      </c>
      <c r="AT64" t="s">
        <v>239</v>
      </c>
      <c r="AU64" t="s">
        <v>2442</v>
      </c>
      <c r="AV64" t="s">
        <v>2443</v>
      </c>
      <c r="AW64" t="s">
        <v>2444</v>
      </c>
      <c r="AX64" t="s">
        <v>921</v>
      </c>
      <c r="AY64" t="s">
        <v>744</v>
      </c>
      <c r="AZ64" t="s">
        <v>87</v>
      </c>
      <c r="BA64" t="s">
        <v>101</v>
      </c>
      <c r="BB64" t="s">
        <v>64</v>
      </c>
      <c r="BC64" t="s">
        <v>735</v>
      </c>
      <c r="BD64" t="s">
        <v>240</v>
      </c>
      <c r="BE64" t="s">
        <v>97</v>
      </c>
      <c r="BF64" t="s">
        <v>668</v>
      </c>
      <c r="BG64" t="s">
        <v>669</v>
      </c>
      <c r="BH64" t="s">
        <v>512</v>
      </c>
      <c r="BI64" t="s">
        <v>332</v>
      </c>
      <c r="BJ64" t="s">
        <v>921</v>
      </c>
      <c r="BK64" t="s">
        <v>74</v>
      </c>
      <c r="BL64" t="s">
        <v>24</v>
      </c>
      <c r="BM64" t="s">
        <v>735</v>
      </c>
      <c r="BN64">
        <v>4.8899999999999997</v>
      </c>
      <c r="BO64">
        <v>12.75</v>
      </c>
      <c r="BP64">
        <v>26.08</v>
      </c>
      <c r="BQ64">
        <v>5.08</v>
      </c>
      <c r="BR64">
        <v>15.49</v>
      </c>
      <c r="BS64">
        <v>31.37</v>
      </c>
      <c r="BT64" t="s">
        <v>1822</v>
      </c>
      <c r="BU64" t="s">
        <v>1868</v>
      </c>
      <c r="BV64">
        <v>27.39</v>
      </c>
      <c r="BW64">
        <v>47.8</v>
      </c>
      <c r="BX64">
        <v>57.27</v>
      </c>
      <c r="BY64">
        <v>19.010000000000002</v>
      </c>
      <c r="BZ64">
        <v>37.979999999999997</v>
      </c>
      <c r="CA64">
        <v>37.450000000000003</v>
      </c>
      <c r="CB64">
        <v>-0.54</v>
      </c>
      <c r="CC64">
        <v>-26.64</v>
      </c>
      <c r="CD64" t="s">
        <v>2709</v>
      </c>
      <c r="CE64" t="s">
        <v>102</v>
      </c>
      <c r="CF64" s="10">
        <v>-0.33112582781456956</v>
      </c>
      <c r="CG64" s="11">
        <v>-1.4635559745762712</v>
      </c>
      <c r="CH64" s="10">
        <v>-0.26068964600563049</v>
      </c>
      <c r="CI64" s="10">
        <v>8.370702713727951E-2</v>
      </c>
      <c r="CJ64" s="10">
        <v>2.1408450603485107</v>
      </c>
      <c r="CK64" s="10">
        <v>0.77499997615814209</v>
      </c>
      <c r="CL64" s="10">
        <v>0.3333333432674408</v>
      </c>
      <c r="CM64" s="11">
        <v>-0.63339382410049438</v>
      </c>
      <c r="CN64" s="11">
        <v>9.980040043592453E-2</v>
      </c>
      <c r="CO64" s="11">
        <v>1.9644970893859863</v>
      </c>
      <c r="CP64" s="11">
        <v>1.1758023500442505</v>
      </c>
      <c r="CQ64" s="11">
        <v>0.44067662954330444</v>
      </c>
      <c r="CR64">
        <v>13.017433833204768</v>
      </c>
      <c r="CS64">
        <v>0.21185879491883319</v>
      </c>
      <c r="CT64">
        <v>0</v>
      </c>
      <c r="CU64" s="10">
        <v>0.61443915218114853</v>
      </c>
      <c r="CV64" s="11">
        <v>0.60947652906179428</v>
      </c>
      <c r="CW64">
        <v>0.06</v>
      </c>
      <c r="CX64" t="s">
        <v>1849</v>
      </c>
      <c r="CY64">
        <v>307657272.3967849</v>
      </c>
      <c r="CZ64">
        <v>0.61443915218114853</v>
      </c>
      <c r="DA64" t="s">
        <v>1849</v>
      </c>
      <c r="DB64">
        <v>1426418128.5611017</v>
      </c>
      <c r="DC64">
        <v>0.58371719457209104</v>
      </c>
      <c r="DD64" t="s">
        <v>1849</v>
      </c>
      <c r="DE64">
        <v>5457429828.4975891</v>
      </c>
      <c r="DF64">
        <v>0.54070645391941075</v>
      </c>
      <c r="DG64" t="s">
        <v>1849</v>
      </c>
      <c r="DH64">
        <v>20547998106.552727</v>
      </c>
      <c r="DI64">
        <v>0.49155132174491883</v>
      </c>
      <c r="DJ64" t="s">
        <v>1849</v>
      </c>
      <c r="DK64">
        <v>310855780790.0293</v>
      </c>
      <c r="DL64">
        <v>0.43010740652680396</v>
      </c>
      <c r="DM64">
        <v>202000000</v>
      </c>
      <c r="DN64">
        <v>0.61443915218114853</v>
      </c>
      <c r="DO64">
        <v>-1488212400</v>
      </c>
      <c r="DP64">
        <v>2333882400</v>
      </c>
      <c r="DQ64">
        <v>5001</v>
      </c>
      <c r="DR64">
        <v>-0.94556497999571809</v>
      </c>
      <c r="DS64">
        <v>-2.0730325036380655</v>
      </c>
      <c r="DT64" s="12">
        <v>0.11000000000000003</v>
      </c>
      <c r="DU64">
        <v>-0.53166666666666662</v>
      </c>
      <c r="DV64">
        <v>-0.42166666666666658</v>
      </c>
      <c r="DW64">
        <v>-3.1203333333333334</v>
      </c>
      <c r="DX64">
        <v>0.5031849206349206</v>
      </c>
      <c r="DY64">
        <v>-3.0292632521164022</v>
      </c>
      <c r="DZ64">
        <v>2780</v>
      </c>
      <c r="EA64">
        <v>-3.0133337747552122</v>
      </c>
      <c r="EB64">
        <v>3</v>
      </c>
      <c r="EC64">
        <v>0.14962763149606145</v>
      </c>
      <c r="ED64">
        <v>0.61528334530531481</v>
      </c>
      <c r="EE64" s="13">
        <v>-2.0968100000000001</v>
      </c>
      <c r="EF64">
        <v>-2.0950099999999998</v>
      </c>
      <c r="EG64">
        <v>26.243184920634921</v>
      </c>
      <c r="EH64" t="s">
        <v>975</v>
      </c>
      <c r="EI64">
        <v>0</v>
      </c>
      <c r="EJ64">
        <v>0</v>
      </c>
      <c r="EK64" s="14">
        <v>45490</v>
      </c>
      <c r="EL64">
        <v>3.99</v>
      </c>
      <c r="EM64">
        <v>-0.7</v>
      </c>
      <c r="EN64">
        <v>-4.3899999999999997</v>
      </c>
      <c r="EO64">
        <v>0.55000000000000004</v>
      </c>
      <c r="EP64">
        <v>0.18</v>
      </c>
    </row>
    <row r="65" spans="1:146" ht="168" hidden="1" x14ac:dyDescent="0.25">
      <c r="A65" s="9"/>
      <c r="B65" s="9"/>
      <c r="C65" s="9" t="str">
        <f>"公司主要业务包括光伏产品、光伏系统、智慧能源三大板块。公司主要产品有光伏组件、系统产品、光伏电站、智能微网及多能系统。"&amp;CHAR(10)&amp;Basic_Fundamental_Information_Constructure(F65)&amp;CHAR(10)&amp;Basic_Fundamental_Information_Concatenate("光伏产品 324.63亿 90.85% 80.78% 12.06%
系统产品 53.62亿 15.01% 12.38% 11.19%
光伏电站工程建设管理 7.46亿 2.09% 3.99% 25.94%
光伏电站销售 4.03亿 1.13% 0.60% 7.22%
智慧能源 3.54亿 0.99% 2.33% 31.91%")</f>
        <v>公司主要业务包括光伏产品、光伏系统、智慧能源三大板块。公司主要产品有光伏组件、系统产品、光伏电站、智能微网及多能系统。
市值362.64635亿, 利润55.31亿; PE8.47; 平均PE16.18; 平均PEG.42, PB1.15; ROIC8.5333%; ROE14.9367%; 股利率3.8041%; 毛利14.4767%; 净利4.58%; 上一年度营收增33.32%, 利润增50.26%; 当季营收增-14.37%, 利润增-70.83%; 过往5年营收增38.99%, 利润增61.54%
Income profile:
光伏产品 324.63亿 90.85% 80.78% 12.06%
系统产品 53.62亿 15.01% 12.38% 11.19%
光伏电站工程建设管理 7.46亿 2.09% 3.99% 25.94%
光伏电站销售 4.03亿 1.13% 0.60% 7.22%
智慧能源 3.54亿 0.99% 2.33% 31.91%</v>
      </c>
      <c r="D65" t="s">
        <v>670</v>
      </c>
      <c r="E65" t="s">
        <v>671</v>
      </c>
      <c r="F65">
        <v>16.64</v>
      </c>
      <c r="G65">
        <v>0.36</v>
      </c>
      <c r="H65" t="s">
        <v>2710</v>
      </c>
      <c r="I65">
        <v>36264635000</v>
      </c>
      <c r="J65">
        <v>8.4700000000000006</v>
      </c>
      <c r="K65">
        <v>1.1499999999999999</v>
      </c>
      <c r="L65" t="s">
        <v>753</v>
      </c>
      <c r="M65" t="s">
        <v>1823</v>
      </c>
      <c r="N65" t="s">
        <v>2445</v>
      </c>
      <c r="O65" t="s">
        <v>1824</v>
      </c>
      <c r="P65">
        <v>-14.37</v>
      </c>
      <c r="Q65" t="s">
        <v>1825</v>
      </c>
      <c r="R65">
        <v>515738780</v>
      </c>
      <c r="S65" s="6">
        <v>-0.70830000000000004</v>
      </c>
      <c r="T65" t="s">
        <v>1826</v>
      </c>
      <c r="U65">
        <v>2179365100</v>
      </c>
      <c r="V65">
        <v>2179365100</v>
      </c>
      <c r="W65">
        <v>3.54</v>
      </c>
      <c r="X65">
        <v>0.14000000000000001</v>
      </c>
      <c r="Y65">
        <v>2.75</v>
      </c>
      <c r="Z65" t="s">
        <v>2446</v>
      </c>
      <c r="AA65" t="s">
        <v>2447</v>
      </c>
      <c r="AB65" t="s">
        <v>2448</v>
      </c>
      <c r="AC65" t="s">
        <v>1238</v>
      </c>
      <c r="AD65" t="s">
        <v>2</v>
      </c>
      <c r="AE65">
        <v>291901300</v>
      </c>
      <c r="AF65" t="s">
        <v>1829</v>
      </c>
      <c r="AG65" t="s">
        <v>2449</v>
      </c>
      <c r="AH65" t="s">
        <v>1830</v>
      </c>
      <c r="AI65" t="s">
        <v>2450</v>
      </c>
      <c r="AJ65" t="s">
        <v>1831</v>
      </c>
      <c r="AK65" t="s">
        <v>1254</v>
      </c>
      <c r="AL65" t="s">
        <v>1832</v>
      </c>
      <c r="AM65" t="s">
        <v>2</v>
      </c>
      <c r="AN65" t="s">
        <v>2451</v>
      </c>
      <c r="AO65" t="s">
        <v>2452</v>
      </c>
      <c r="AP65" t="s">
        <v>2453</v>
      </c>
      <c r="AQ65" t="s">
        <v>2454</v>
      </c>
      <c r="AR65" t="s">
        <v>2</v>
      </c>
      <c r="AS65" t="s">
        <v>2455</v>
      </c>
      <c r="AT65" t="s">
        <v>2456</v>
      </c>
      <c r="AU65" t="s">
        <v>2457</v>
      </c>
      <c r="AV65" t="s">
        <v>2458</v>
      </c>
      <c r="AW65" t="s">
        <v>2459</v>
      </c>
      <c r="AX65" t="s">
        <v>1076</v>
      </c>
      <c r="AY65" t="s">
        <v>827</v>
      </c>
      <c r="AZ65" t="s">
        <v>672</v>
      </c>
      <c r="BA65" t="s">
        <v>674</v>
      </c>
      <c r="BB65" t="s">
        <v>675</v>
      </c>
      <c r="BC65" t="s">
        <v>183</v>
      </c>
      <c r="BD65" t="s">
        <v>828</v>
      </c>
      <c r="BE65" t="s">
        <v>673</v>
      </c>
      <c r="BF65" t="s">
        <v>366</v>
      </c>
      <c r="BG65" t="s">
        <v>206</v>
      </c>
      <c r="BH65" t="s">
        <v>1825</v>
      </c>
      <c r="BI65" t="s">
        <v>1833</v>
      </c>
      <c r="BJ65" t="s">
        <v>1076</v>
      </c>
      <c r="BK65" t="s">
        <v>1826</v>
      </c>
      <c r="BL65" t="s">
        <v>1262</v>
      </c>
      <c r="BM65" t="s">
        <v>183</v>
      </c>
      <c r="BN65">
        <v>9.6</v>
      </c>
      <c r="BO65">
        <v>9.61</v>
      </c>
      <c r="BP65">
        <v>6.39</v>
      </c>
      <c r="BQ65">
        <v>17.38</v>
      </c>
      <c r="BR65">
        <v>16.16</v>
      </c>
      <c r="BS65">
        <v>11.27</v>
      </c>
      <c r="BT65" t="s">
        <v>1834</v>
      </c>
      <c r="BU65" t="s">
        <v>1882</v>
      </c>
      <c r="BV65">
        <v>15.86</v>
      </c>
      <c r="BW65">
        <v>13.43</v>
      </c>
      <c r="BX65">
        <v>14.14</v>
      </c>
      <c r="BY65">
        <v>5.29</v>
      </c>
      <c r="BZ65">
        <v>4.29</v>
      </c>
      <c r="CA65">
        <v>4.16</v>
      </c>
      <c r="CB65">
        <v>4.3899999999999997</v>
      </c>
      <c r="CC65">
        <v>-21.79</v>
      </c>
      <c r="CD65" t="s">
        <v>2711</v>
      </c>
      <c r="CE65" t="s">
        <v>952</v>
      </c>
      <c r="CF65" s="10">
        <v>-0.14367465640977531</v>
      </c>
      <c r="CG65" s="11">
        <v>-0.70829254524886875</v>
      </c>
      <c r="CH65" s="10">
        <v>0.33320796489715576</v>
      </c>
      <c r="CI65" s="10">
        <v>0.91214025020599365</v>
      </c>
      <c r="CJ65" s="10">
        <v>0.51199942827224731</v>
      </c>
      <c r="CK65" s="10">
        <v>0.26138415932655334</v>
      </c>
      <c r="CL65" s="10">
        <v>-6.9130666553974152E-2</v>
      </c>
      <c r="CM65" s="11">
        <v>0.50258082151412964</v>
      </c>
      <c r="CN65" s="11">
        <v>1.0404655933380127</v>
      </c>
      <c r="CO65" s="11">
        <v>0.46786013245582581</v>
      </c>
      <c r="CP65" s="11">
        <v>0.91731661558151245</v>
      </c>
      <c r="CQ65" s="11">
        <v>0.14874552190303802</v>
      </c>
      <c r="CR65">
        <v>16.184752305861352</v>
      </c>
      <c r="CS65">
        <v>0.41507855134510241</v>
      </c>
      <c r="CT65">
        <v>3.8040865384615383</v>
      </c>
      <c r="CU65" s="10">
        <v>0.38992022722959518</v>
      </c>
      <c r="CV65" s="11">
        <v>0.61539373695850375</v>
      </c>
      <c r="CW65">
        <v>0.06</v>
      </c>
      <c r="CX65">
        <v>11.380578853179532</v>
      </c>
      <c r="CY65">
        <v>7252498846.0442362</v>
      </c>
      <c r="CZ65">
        <v>0.38992022722959518</v>
      </c>
      <c r="DA65">
        <v>2.911590412043076</v>
      </c>
      <c r="DB65">
        <v>28347955350.657639</v>
      </c>
      <c r="DC65">
        <v>0.37042421586811541</v>
      </c>
      <c r="DD65">
        <v>1.0022004351939513</v>
      </c>
      <c r="DE65">
        <v>82356415045.885376</v>
      </c>
      <c r="DF65">
        <v>0.34312979996204379</v>
      </c>
      <c r="DG65">
        <v>0.38544649865557074</v>
      </c>
      <c r="DH65">
        <v>214135127152.24948</v>
      </c>
      <c r="DI65">
        <v>0.31193618178367616</v>
      </c>
      <c r="DJ65">
        <v>6.5847943479706419E-2</v>
      </c>
      <c r="DK65">
        <v>1253458052572.8516</v>
      </c>
      <c r="DL65">
        <v>0.27294415906071662</v>
      </c>
      <c r="DM65">
        <v>5531000000</v>
      </c>
      <c r="DN65">
        <v>0.38992022722959518</v>
      </c>
      <c r="DO65">
        <v>82537635000</v>
      </c>
      <c r="DP65">
        <v>18945956999.999992</v>
      </c>
      <c r="DQ65">
        <v>5002</v>
      </c>
      <c r="DR65">
        <v>-0.53359488363937047</v>
      </c>
      <c r="DS65">
        <v>-1.3236862822073725</v>
      </c>
      <c r="DT65" s="12">
        <v>0.27666666666666662</v>
      </c>
      <c r="DU65">
        <v>0.39333333333333331</v>
      </c>
      <c r="DV65">
        <v>0.66999999999999993</v>
      </c>
      <c r="DW65">
        <v>6.1676852559205502</v>
      </c>
      <c r="DX65">
        <v>0.43656301145662968</v>
      </c>
      <c r="DY65">
        <v>6.0262533086437964</v>
      </c>
      <c r="DZ65">
        <v>536</v>
      </c>
      <c r="EA65">
        <v>6.0234979192893663</v>
      </c>
      <c r="EB65">
        <v>6</v>
      </c>
      <c r="EC65">
        <v>4.3893517428539162E-2</v>
      </c>
      <c r="ED65">
        <v>0.28035688008402082</v>
      </c>
      <c r="EE65" s="13">
        <v>-1.0115099999999999</v>
      </c>
      <c r="EF65">
        <v>-1.0079100000000001</v>
      </c>
      <c r="EG65">
        <v>28.15656301145663</v>
      </c>
      <c r="EH65" t="s">
        <v>969</v>
      </c>
      <c r="EI65">
        <v>0</v>
      </c>
      <c r="EJ65">
        <v>1</v>
      </c>
      <c r="EK65" s="14">
        <v>45490</v>
      </c>
      <c r="EL65">
        <v>4.0199999999999996</v>
      </c>
      <c r="EM65">
        <v>0.24</v>
      </c>
      <c r="EN65">
        <v>-3.43</v>
      </c>
      <c r="EO65">
        <v>3.3</v>
      </c>
      <c r="EP65">
        <v>0.36</v>
      </c>
    </row>
    <row r="66" spans="1:146" ht="168" hidden="1" x14ac:dyDescent="0.25">
      <c r="A66" s="9" t="s">
        <v>914</v>
      </c>
      <c r="B66" s="9"/>
      <c r="C66" s="9" t="str">
        <f>"公司是从事特种高分子薄膜研发、生产和销售的高新技术企业。公司主营的高分子薄膜材料主要为新能源行业中的光伏产业进行配套，主要产品包括透明EVA胶膜、白色增效EVA胶膜、POE胶膜及其他高分子胶膜等。"&amp;CHAR(10)&amp;Basic_Fundamental_Information_Constructure(F66)&amp;CHAR(10)&amp;Basic_Fundamental_Information_Concatenate("光伏胶膜 30.52亿 98.29% 97.04% 14.92%
其他业务 3625.39万 1.17% 1.25% 16.18%
其他 1429.06万 0.46% 1.38% 45.42%
非光伏胶膜 250.48万 0.08% 0.33% 61.24%")</f>
        <v>公司是从事特种高分子薄膜研发、生产和销售的高新技术企业。公司主营的高分子薄膜材料主要为新能源行业中的光伏产业进行配套，主要产品包括透明EVA胶膜、白色增效EVA胶膜、POE胶膜及其他高分子胶膜等。
市值23.500453亿, 利润-2.29亿; PE; 平均PE36.1; 平均PEG.69, PB1.18; ROIC7.995%; ROE3.6933%; 股利率0%; 毛利8.7767%; 净利1.4567%; 上一年度营收增-8.2%, 利润增-557.15%; 当季营收增-35.09%, 利润增-182.83%; 过往5年营收增52.07%, 利润增-49.73%
Income profile:
光伏胶膜 30.52亿 98.29% 97.04% 14.92%
其他业务 3625.39万 1.17% 1.25% 16.18%
其他 1429.06万 0.46% 1.38% 45.42%
非光伏胶膜 250.48万 0.08% 0.33% 61.24%</v>
      </c>
      <c r="D66" t="s">
        <v>676</v>
      </c>
      <c r="E66" t="s">
        <v>677</v>
      </c>
      <c r="F66">
        <v>27.97</v>
      </c>
      <c r="G66">
        <v>-1.17</v>
      </c>
      <c r="H66" t="s">
        <v>2712</v>
      </c>
      <c r="I66">
        <v>2350045300</v>
      </c>
      <c r="K66">
        <v>1.18</v>
      </c>
      <c r="L66" t="s">
        <v>753</v>
      </c>
      <c r="M66" t="s">
        <v>1717</v>
      </c>
      <c r="N66" t="s">
        <v>894</v>
      </c>
      <c r="O66" t="s">
        <v>1229</v>
      </c>
      <c r="P66">
        <v>-35.08</v>
      </c>
      <c r="Q66" t="s">
        <v>1836</v>
      </c>
      <c r="R66">
        <v>-18840674</v>
      </c>
      <c r="S66" s="6">
        <v>-1.8280000000000001</v>
      </c>
      <c r="T66" t="s">
        <v>931</v>
      </c>
      <c r="U66">
        <v>84020211</v>
      </c>
      <c r="V66">
        <v>84020211</v>
      </c>
      <c r="W66">
        <v>2.4</v>
      </c>
      <c r="X66">
        <v>0.17</v>
      </c>
      <c r="Y66">
        <v>-2.15</v>
      </c>
      <c r="Z66" t="s">
        <v>23</v>
      </c>
      <c r="AA66" t="s">
        <v>230</v>
      </c>
      <c r="AB66" t="s">
        <v>2460</v>
      </c>
      <c r="AC66" t="s">
        <v>2461</v>
      </c>
      <c r="AD66" t="s">
        <v>2</v>
      </c>
      <c r="AE66">
        <v>18602701</v>
      </c>
      <c r="AF66" t="s">
        <v>1837</v>
      </c>
      <c r="AG66">
        <v>710.87</v>
      </c>
      <c r="AH66" t="s">
        <v>1838</v>
      </c>
      <c r="AI66" t="s">
        <v>414</v>
      </c>
      <c r="AJ66" t="s">
        <v>1839</v>
      </c>
      <c r="AK66" t="s">
        <v>195</v>
      </c>
      <c r="AL66" t="s">
        <v>1840</v>
      </c>
      <c r="AM66" t="s">
        <v>2</v>
      </c>
      <c r="AN66" t="s">
        <v>320</v>
      </c>
      <c r="AO66" t="s">
        <v>1472</v>
      </c>
      <c r="AP66" t="s">
        <v>2462</v>
      </c>
      <c r="AQ66" t="s">
        <v>101</v>
      </c>
      <c r="AR66" t="s">
        <v>2</v>
      </c>
      <c r="AS66" t="s">
        <v>756</v>
      </c>
      <c r="AT66" t="s">
        <v>216</v>
      </c>
      <c r="AU66" t="s">
        <v>696</v>
      </c>
      <c r="AV66" t="s">
        <v>2463</v>
      </c>
      <c r="AW66" t="s">
        <v>38</v>
      </c>
      <c r="AX66" t="s">
        <v>1077</v>
      </c>
      <c r="AY66" t="s">
        <v>810</v>
      </c>
      <c r="AZ66" t="s">
        <v>678</v>
      </c>
      <c r="BA66" t="s">
        <v>363</v>
      </c>
      <c r="BB66" t="s">
        <v>679</v>
      </c>
      <c r="BC66" t="s">
        <v>1078</v>
      </c>
      <c r="BD66" t="s">
        <v>66</v>
      </c>
      <c r="BE66" t="s">
        <v>167</v>
      </c>
      <c r="BF66" t="s">
        <v>680</v>
      </c>
      <c r="BG66" t="s">
        <v>681</v>
      </c>
      <c r="BH66" t="s">
        <v>1836</v>
      </c>
      <c r="BI66" t="s">
        <v>2549</v>
      </c>
      <c r="BJ66" t="s">
        <v>1077</v>
      </c>
      <c r="BK66" t="s">
        <v>931</v>
      </c>
      <c r="BL66" t="s">
        <v>2550</v>
      </c>
      <c r="BM66" t="s">
        <v>1078</v>
      </c>
      <c r="BN66" t="s">
        <v>2</v>
      </c>
      <c r="BO66">
        <v>3.73</v>
      </c>
      <c r="BP66">
        <v>12.26</v>
      </c>
      <c r="BQ66">
        <v>-3.09</v>
      </c>
      <c r="BR66">
        <v>2.09</v>
      </c>
      <c r="BS66">
        <v>12.08</v>
      </c>
      <c r="BT66" t="s">
        <v>940</v>
      </c>
      <c r="BU66" t="s">
        <v>1868</v>
      </c>
      <c r="BV66">
        <v>3.35</v>
      </c>
      <c r="BW66">
        <v>7.87</v>
      </c>
      <c r="BX66">
        <v>15.11</v>
      </c>
      <c r="BY66">
        <v>-4.6900000000000004</v>
      </c>
      <c r="BZ66">
        <v>0.94</v>
      </c>
      <c r="CA66">
        <v>8.1199999999999992</v>
      </c>
      <c r="CB66">
        <v>2.72</v>
      </c>
      <c r="CC66">
        <v>-19.3</v>
      </c>
      <c r="CD66" t="s">
        <v>2713</v>
      </c>
      <c r="CE66" t="s">
        <v>2714</v>
      </c>
      <c r="CF66" s="10">
        <v>-0.35085122131754254</v>
      </c>
      <c r="CG66" s="11">
        <v>-1.8283180557204219</v>
      </c>
      <c r="CH66" s="10">
        <v>-8.1967182457447052E-2</v>
      </c>
      <c r="CI66" s="10">
        <v>0.70917874574661255</v>
      </c>
      <c r="CJ66" s="10">
        <v>1.0965564250946045</v>
      </c>
      <c r="CK66" s="10">
        <v>0.39322665333747864</v>
      </c>
      <c r="CL66" s="10">
        <v>0.48671329021453857</v>
      </c>
      <c r="CM66" s="11">
        <v>-5.5714607238769531</v>
      </c>
      <c r="CN66" s="11">
        <v>-0.80121666193008423</v>
      </c>
      <c r="CO66" s="11">
        <v>0.1300448477268219</v>
      </c>
      <c r="CP66" s="11">
        <v>2.3343052864074707</v>
      </c>
      <c r="CQ66" s="11">
        <v>1.4218025207519531</v>
      </c>
      <c r="CR66">
        <v>36.099939604173073</v>
      </c>
      <c r="CS66">
        <v>0.69324095766251592</v>
      </c>
      <c r="CT66">
        <v>0</v>
      </c>
      <c r="CU66" s="10">
        <v>0.5207415863871574</v>
      </c>
      <c r="CV66" s="11">
        <v>-0.49730494618415833</v>
      </c>
      <c r="CW66">
        <v>0.06</v>
      </c>
      <c r="CX66" t="e">
        <v>#VALUE!</v>
      </c>
      <c r="CY66" t="s">
        <v>711</v>
      </c>
      <c r="CZ66">
        <v>0.5207415863871574</v>
      </c>
      <c r="DA66" t="e">
        <v>#VALUE!</v>
      </c>
      <c r="DB66" t="s">
        <v>712</v>
      </c>
      <c r="DC66">
        <v>0.4947045070677995</v>
      </c>
      <c r="DD66" t="e">
        <v>#VALUE!</v>
      </c>
      <c r="DE66" t="s">
        <v>712</v>
      </c>
      <c r="DF66">
        <v>0.45825259602069851</v>
      </c>
      <c r="DG66" t="e">
        <v>#VALUE!</v>
      </c>
      <c r="DH66" t="s">
        <v>712</v>
      </c>
      <c r="DI66">
        <v>0.41659326910972594</v>
      </c>
      <c r="DJ66" t="e">
        <v>#VALUE!</v>
      </c>
      <c r="DK66" t="s">
        <v>712</v>
      </c>
      <c r="DL66">
        <v>0.36451911047101015</v>
      </c>
      <c r="DM66">
        <v>-229000000</v>
      </c>
      <c r="DN66">
        <v>0.5207415863871574</v>
      </c>
      <c r="DO66">
        <v>3374045300</v>
      </c>
      <c r="DP66">
        <v>1696925100</v>
      </c>
      <c r="DQ66">
        <v>5058</v>
      </c>
      <c r="DR66">
        <v>-0.87159280770469993</v>
      </c>
      <c r="DS66">
        <v>-1.3310131095362636</v>
      </c>
      <c r="DT66" s="12">
        <v>0.34333333333333332</v>
      </c>
      <c r="DU66">
        <v>-1.4033333333333335</v>
      </c>
      <c r="DV66">
        <v>-1.0600000000000003</v>
      </c>
      <c r="DW66">
        <v>6.1235240690281563</v>
      </c>
      <c r="DX66">
        <v>0.37781054470451353</v>
      </c>
      <c r="DY66">
        <v>6.0219638819980146</v>
      </c>
      <c r="DZ66">
        <v>3665</v>
      </c>
      <c r="EA66">
        <v>6.006201667875688</v>
      </c>
      <c r="EB66">
        <v>6</v>
      </c>
      <c r="EC66">
        <v>9.7883591365891712E-2</v>
      </c>
      <c r="ED66">
        <v>0.55049373775078947</v>
      </c>
      <c r="EE66" s="13">
        <v>-3.0721099999999999</v>
      </c>
      <c r="EF66">
        <v>-3.0838100000000002</v>
      </c>
      <c r="EG66">
        <v>20.177810544704514</v>
      </c>
      <c r="EH66" t="s">
        <v>1214</v>
      </c>
      <c r="EI66">
        <v>0</v>
      </c>
      <c r="EJ66">
        <v>0</v>
      </c>
      <c r="EK66" s="14">
        <v>45490</v>
      </c>
      <c r="EL66">
        <v>6.87</v>
      </c>
      <c r="EM66">
        <v>0.14000000000000001</v>
      </c>
      <c r="EN66">
        <v>-3.57</v>
      </c>
      <c r="EO66">
        <v>0.71</v>
      </c>
      <c r="EP66">
        <v>-1.17</v>
      </c>
    </row>
    <row r="67" spans="1:146" ht="96" x14ac:dyDescent="0.25">
      <c r="C67" s="9" t="str">
        <f>""&amp;CHAR(10)&amp;Basic_Fundamental_Information_Constructure(F67)&amp;CHAR(10)&amp;Basic_Fundamental_Information_Concatenate("")</f>
        <v xml:space="preserve">
市值99.184亿, 利润10.65亿; PE16.67; 平均PE21.61; 平均PEG.15, PB2.27; ROIC73.2667%; ROE107.56%; 股利率0%; 毛利38.43%; 净利18.6467%; 上一年度营收增-3.01%, 利润增-6.08%; 当季营收增-65.31%, 利润增-93.25%; 过往5年营收增141.2%, 利润增6590.63%
Income profile:
</v>
      </c>
      <c r="D67" t="s">
        <v>1303</v>
      </c>
      <c r="E67" t="s">
        <v>1304</v>
      </c>
      <c r="F67">
        <v>61.99</v>
      </c>
      <c r="G67">
        <v>-0.48</v>
      </c>
      <c r="H67" t="s">
        <v>2715</v>
      </c>
      <c r="I67">
        <v>9918400000</v>
      </c>
      <c r="J67">
        <v>16.670000000000002</v>
      </c>
      <c r="K67">
        <v>2.27</v>
      </c>
      <c r="L67" t="s">
        <v>753</v>
      </c>
      <c r="M67" t="s">
        <v>1247</v>
      </c>
      <c r="N67" t="s">
        <v>2464</v>
      </c>
      <c r="O67" t="s">
        <v>255</v>
      </c>
      <c r="P67" s="6">
        <v>-65.31</v>
      </c>
      <c r="Q67" t="s">
        <v>1841</v>
      </c>
      <c r="R67">
        <v>33960597</v>
      </c>
      <c r="S67">
        <v>-0.9325</v>
      </c>
      <c r="T67" t="s">
        <v>1223</v>
      </c>
      <c r="U67">
        <v>32000000</v>
      </c>
      <c r="V67">
        <v>160000000</v>
      </c>
      <c r="W67">
        <v>1.26</v>
      </c>
      <c r="X67">
        <v>0.13</v>
      </c>
      <c r="Y67">
        <v>4.96</v>
      </c>
      <c r="Z67" t="s">
        <v>1850</v>
      </c>
      <c r="AA67" t="s">
        <v>210</v>
      </c>
      <c r="AB67" t="s">
        <v>2465</v>
      </c>
      <c r="AC67" t="s">
        <v>2466</v>
      </c>
      <c r="AD67" t="s">
        <v>2</v>
      </c>
      <c r="AE67">
        <v>23200124</v>
      </c>
      <c r="AF67" t="s">
        <v>20</v>
      </c>
      <c r="AG67" t="s">
        <v>2467</v>
      </c>
      <c r="AH67" t="s">
        <v>1842</v>
      </c>
      <c r="AI67" t="s">
        <v>1396</v>
      </c>
      <c r="AJ67" t="s">
        <v>1843</v>
      </c>
      <c r="AK67" t="s">
        <v>2</v>
      </c>
      <c r="AL67" t="s">
        <v>1844</v>
      </c>
      <c r="AM67" t="s">
        <v>2</v>
      </c>
      <c r="AN67" t="s">
        <v>38</v>
      </c>
      <c r="AO67" t="s">
        <v>2</v>
      </c>
      <c r="AP67" t="s">
        <v>2468</v>
      </c>
      <c r="AQ67" t="s">
        <v>349</v>
      </c>
      <c r="AR67" t="s">
        <v>2</v>
      </c>
      <c r="AS67" t="s">
        <v>1000</v>
      </c>
      <c r="AT67" t="s">
        <v>2</v>
      </c>
      <c r="AU67" t="s">
        <v>152</v>
      </c>
      <c r="AV67" t="s">
        <v>2469</v>
      </c>
      <c r="AW67" t="s">
        <v>2470</v>
      </c>
      <c r="AX67" t="s">
        <v>1267</v>
      </c>
      <c r="AY67" t="s">
        <v>407</v>
      </c>
      <c r="AZ67" t="s">
        <v>118</v>
      </c>
      <c r="BA67" t="s">
        <v>118</v>
      </c>
      <c r="BB67" t="s">
        <v>2</v>
      </c>
      <c r="BC67" t="s">
        <v>1288</v>
      </c>
      <c r="BD67" t="s">
        <v>1845</v>
      </c>
      <c r="BE67" t="s">
        <v>1846</v>
      </c>
      <c r="BF67" t="s">
        <v>1847</v>
      </c>
      <c r="BG67" t="s">
        <v>2</v>
      </c>
      <c r="BH67" t="s">
        <v>1841</v>
      </c>
      <c r="BI67" t="s">
        <v>2551</v>
      </c>
      <c r="BJ67" t="s">
        <v>1267</v>
      </c>
      <c r="BK67" t="s">
        <v>1223</v>
      </c>
      <c r="BL67" t="s">
        <v>437</v>
      </c>
      <c r="BM67" t="s">
        <v>1288</v>
      </c>
      <c r="BN67">
        <v>54.87</v>
      </c>
      <c r="BO67">
        <v>137.91999999999999</v>
      </c>
      <c r="BP67">
        <v>27.01</v>
      </c>
      <c r="BQ67">
        <v>56.81</v>
      </c>
      <c r="BR67">
        <v>158.31</v>
      </c>
      <c r="BS67" t="s">
        <v>2</v>
      </c>
      <c r="BT67" t="s">
        <v>940</v>
      </c>
      <c r="BU67" t="s">
        <v>2034</v>
      </c>
      <c r="BV67">
        <v>39.9</v>
      </c>
      <c r="BW67">
        <v>39.01</v>
      </c>
      <c r="BX67">
        <v>36.380000000000003</v>
      </c>
      <c r="BY67">
        <v>23.8</v>
      </c>
      <c r="BZ67">
        <v>24.59</v>
      </c>
      <c r="CA67">
        <v>7.55</v>
      </c>
      <c r="CB67">
        <v>32.54</v>
      </c>
      <c r="CC67" s="15">
        <v>0.8</v>
      </c>
      <c r="CD67" s="15" t="s">
        <v>2716</v>
      </c>
      <c r="CE67" s="15" t="s">
        <v>2717</v>
      </c>
      <c r="CF67" s="10">
        <v>-0.65314401622718055</v>
      </c>
      <c r="CG67" s="11">
        <v>-0.9324839025844931</v>
      </c>
      <c r="CH67" s="10">
        <v>-3.0138729140162468E-2</v>
      </c>
      <c r="CI67" s="10">
        <v>4.5366144180297852</v>
      </c>
      <c r="CJ67" s="10">
        <v>1.1413881778717041</v>
      </c>
      <c r="CK67" s="10">
        <v>0</v>
      </c>
      <c r="CL67" s="10" t="s">
        <v>2</v>
      </c>
      <c r="CM67" s="11">
        <v>-6.0846559703350067E-2</v>
      </c>
      <c r="CN67" s="11">
        <v>17.035928726196289</v>
      </c>
      <c r="CO67" s="11">
        <v>0.90158265829086304</v>
      </c>
      <c r="CP67" s="11">
        <v>245.74850463867187</v>
      </c>
      <c r="CQ67" s="11" t="s">
        <v>2</v>
      </c>
      <c r="CR67" s="15">
        <v>21.608029165785069</v>
      </c>
      <c r="CS67" s="15">
        <v>0.15303505661991695</v>
      </c>
      <c r="CT67" s="15">
        <v>0</v>
      </c>
      <c r="CU67" s="10">
        <v>1.4119659666903317</v>
      </c>
      <c r="CV67" s="11">
        <v>65.906292365863919</v>
      </c>
      <c r="CW67">
        <v>0.06</v>
      </c>
      <c r="CX67">
        <v>2.7071692097545772</v>
      </c>
      <c r="CY67">
        <v>2423343164.6464181</v>
      </c>
      <c r="CZ67">
        <v>1.4119659666903317</v>
      </c>
      <c r="DA67">
        <v>0.34481531545571081</v>
      </c>
      <c r="DB67">
        <v>19025837037.805935</v>
      </c>
      <c r="DC67">
        <v>1.3413676683558151</v>
      </c>
      <c r="DD67">
        <v>3.6637956741439978E-2</v>
      </c>
      <c r="DE67">
        <v>179060203774.40286</v>
      </c>
      <c r="DF67">
        <v>1.2425300506874919</v>
      </c>
      <c r="DG67">
        <v>2.8909327077790291E-3</v>
      </c>
      <c r="DH67">
        <v>2269302215975.8447</v>
      </c>
      <c r="DI67">
        <v>1.1295727733522654</v>
      </c>
      <c r="DJ67">
        <v>9.8844822195936057E-6</v>
      </c>
      <c r="DK67">
        <v>663706995900664</v>
      </c>
      <c r="DL67">
        <v>0.98837617668323208</v>
      </c>
      <c r="DM67">
        <v>1065000000</v>
      </c>
      <c r="DN67">
        <v>1.4119659666903317</v>
      </c>
      <c r="DO67">
        <v>6560400000</v>
      </c>
      <c r="DP67">
        <v>3711047000</v>
      </c>
      <c r="DQ67" s="12">
        <v>5082</v>
      </c>
      <c r="DR67">
        <v>-2.0651099829175124</v>
      </c>
      <c r="DS67">
        <v>-66.838776268448413</v>
      </c>
      <c r="DT67">
        <v>0.21200000000000002</v>
      </c>
      <c r="DU67">
        <v>0.78400000000000003</v>
      </c>
      <c r="DV67">
        <v>0.996</v>
      </c>
      <c r="DW67">
        <v>5.0245851259987706</v>
      </c>
      <c r="DX67">
        <v>0.58402806912683469</v>
      </c>
      <c r="DY67">
        <v>5.0094413784665477</v>
      </c>
      <c r="DZ67">
        <v>236</v>
      </c>
      <c r="EA67">
        <v>5.009005082144224</v>
      </c>
      <c r="EB67" s="13">
        <v>5</v>
      </c>
      <c r="EC67" s="13">
        <v>0.16705125000000001</v>
      </c>
      <c r="ED67">
        <v>0.43499749999999998</v>
      </c>
      <c r="EE67">
        <v>-1.1128</v>
      </c>
      <c r="EF67">
        <v>-1.1080000000000001</v>
      </c>
      <c r="EG67">
        <v>20.384028069126835</v>
      </c>
      <c r="EH67" s="14" t="s">
        <v>959</v>
      </c>
      <c r="EI67">
        <v>1</v>
      </c>
      <c r="EJ67">
        <v>1</v>
      </c>
      <c r="EK67">
        <v>45490</v>
      </c>
      <c r="EL67">
        <v>6.8</v>
      </c>
      <c r="EM67">
        <v>7.53</v>
      </c>
      <c r="EN67">
        <v>6.81</v>
      </c>
      <c r="EO67">
        <v>8.58</v>
      </c>
      <c r="EP67">
        <v>-0.48</v>
      </c>
    </row>
    <row r="68" spans="1:146" hidden="1" x14ac:dyDescent="0.25">
      <c r="A68" s="9"/>
      <c r="B68" s="9"/>
      <c r="C68" s="9"/>
      <c r="D68"/>
      <c r="S68" s="6"/>
    </row>
    <row r="69" spans="1:146" hidden="1" x14ac:dyDescent="0.25">
      <c r="A69" s="9"/>
      <c r="B69" s="9"/>
      <c r="C69" s="9"/>
      <c r="D69"/>
      <c r="S69" s="6"/>
    </row>
    <row r="70" spans="1:146" hidden="1" x14ac:dyDescent="0.25">
      <c r="A70" s="9"/>
      <c r="B70" s="9"/>
      <c r="C70" s="9"/>
      <c r="D70"/>
      <c r="S70" s="6"/>
    </row>
    <row r="71" spans="1:146" hidden="1" x14ac:dyDescent="0.25">
      <c r="A71" s="9"/>
      <c r="B71" s="9"/>
      <c r="C71" s="9"/>
      <c r="D71"/>
      <c r="S71" s="6"/>
    </row>
    <row r="72" spans="1:146" hidden="1" x14ac:dyDescent="0.25">
      <c r="A72" s="9"/>
      <c r="B72" s="9"/>
      <c r="C72" s="9"/>
      <c r="D72"/>
      <c r="S72" s="6"/>
    </row>
    <row r="73" spans="1:146" hidden="1" x14ac:dyDescent="0.25">
      <c r="A73" s="9"/>
      <c r="B73" s="9"/>
      <c r="C73" s="9"/>
      <c r="D73"/>
      <c r="S73" s="6"/>
    </row>
  </sheetData>
  <autoFilter ref="BU1:BU73">
    <filterColumn colId="0">
      <filters>
        <filter val="逆变器"/>
      </filters>
    </filterColumn>
  </autoFilter>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光伏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840</v>
      </c>
      <c r="B1" t="s">
        <v>841</v>
      </c>
      <c r="C1" t="s">
        <v>842</v>
      </c>
      <c r="D1" t="s">
        <v>843</v>
      </c>
      <c r="E1" t="s">
        <v>844</v>
      </c>
      <c r="F1" t="s">
        <v>845</v>
      </c>
      <c r="G1" t="s">
        <v>846</v>
      </c>
      <c r="H1" t="s">
        <v>847</v>
      </c>
      <c r="I1" t="s">
        <v>848</v>
      </c>
      <c r="J1" t="s">
        <v>849</v>
      </c>
      <c r="K1" t="s">
        <v>850</v>
      </c>
      <c r="L1" t="s">
        <v>851</v>
      </c>
      <c r="M1" t="s">
        <v>852</v>
      </c>
      <c r="N1" t="s">
        <v>853</v>
      </c>
      <c r="O1" t="s">
        <v>854</v>
      </c>
      <c r="P1" t="s">
        <v>855</v>
      </c>
      <c r="S1" t="s">
        <v>841</v>
      </c>
      <c r="T1" t="s">
        <v>842</v>
      </c>
      <c r="U1" t="s">
        <v>843</v>
      </c>
      <c r="V1" t="s">
        <v>844</v>
      </c>
      <c r="W1" t="s">
        <v>845</v>
      </c>
      <c r="X1" t="s">
        <v>846</v>
      </c>
      <c r="Y1" t="s">
        <v>847</v>
      </c>
      <c r="Z1" t="s">
        <v>848</v>
      </c>
      <c r="AA1" t="s">
        <v>849</v>
      </c>
      <c r="AB1" t="s">
        <v>850</v>
      </c>
      <c r="AC1" t="s">
        <v>851</v>
      </c>
      <c r="AD1" t="s">
        <v>852</v>
      </c>
      <c r="AE1" t="s">
        <v>856</v>
      </c>
      <c r="AF1" t="s">
        <v>857</v>
      </c>
      <c r="AG1" t="s">
        <v>858</v>
      </c>
    </row>
    <row r="2" spans="1:33" x14ac:dyDescent="0.25">
      <c r="A2" t="s">
        <v>859</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860</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1308</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1309</v>
      </c>
    </row>
    <row r="5" spans="1:30" x14ac:dyDescent="0.25">
      <c r="A5" s="15">
        <v>1</v>
      </c>
      <c r="B5" s="15">
        <f>A5*$A$4+A5</f>
        <v>1.43</v>
      </c>
      <c r="C5" s="15">
        <f t="shared" ref="C5:AD5" si="1">B5*$A$4+B5</f>
        <v>2.0449000000000002</v>
      </c>
      <c r="D5" s="15">
        <f t="shared" si="1"/>
        <v>2.924207</v>
      </c>
      <c r="E5" s="15">
        <f t="shared" si="1"/>
        <v>4.1816160099999999</v>
      </c>
      <c r="F5" s="15">
        <f t="shared" si="1"/>
        <v>5.9797108943000001</v>
      </c>
      <c r="G5" s="15">
        <f t="shared" si="1"/>
        <v>8.5509865788490007</v>
      </c>
      <c r="H5" s="15">
        <f t="shared" si="1"/>
        <v>12.227910807754071</v>
      </c>
      <c r="I5" s="15">
        <f t="shared" si="1"/>
        <v>17.485912455088322</v>
      </c>
      <c r="J5" s="15">
        <f t="shared" si="1"/>
        <v>25.004854810776301</v>
      </c>
      <c r="K5" s="15">
        <f t="shared" si="1"/>
        <v>35.756942379410113</v>
      </c>
      <c r="L5" s="15">
        <f t="shared" si="1"/>
        <v>51.132427602556461</v>
      </c>
      <c r="M5" s="15">
        <f t="shared" si="1"/>
        <v>73.119371471655739</v>
      </c>
      <c r="N5" s="15">
        <f t="shared" si="1"/>
        <v>104.5607012044677</v>
      </c>
      <c r="O5" s="15">
        <f t="shared" si="1"/>
        <v>149.52180272238883</v>
      </c>
      <c r="P5">
        <f t="shared" si="1"/>
        <v>213.816177893016</v>
      </c>
      <c r="Q5">
        <f t="shared" si="1"/>
        <v>305.75713438701291</v>
      </c>
      <c r="R5">
        <f t="shared" si="1"/>
        <v>437.23270217342849</v>
      </c>
      <c r="S5" s="15">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1310</v>
      </c>
    </row>
    <row r="7" spans="1:30" x14ac:dyDescent="0.25">
      <c r="A7" s="16">
        <f>SUM($A$5:A5)</f>
        <v>1</v>
      </c>
      <c r="B7" s="16">
        <f>SUM($A$5:B5)</f>
        <v>2.4299999999999997</v>
      </c>
      <c r="C7" s="16">
        <f>SUM($A$5:C5)</f>
        <v>4.4748999999999999</v>
      </c>
      <c r="D7" s="16">
        <f>SUM($A$5:D5)</f>
        <v>7.3991069999999999</v>
      </c>
      <c r="E7" s="16">
        <f>SUM($A$5:E5)</f>
        <v>11.58072301</v>
      </c>
      <c r="F7" s="16">
        <f>SUM($A$5:F5)</f>
        <v>17.560433904299998</v>
      </c>
      <c r="G7" s="16">
        <f>SUM($A$5:G5)</f>
        <v>26.111420483148997</v>
      </c>
      <c r="H7" s="16">
        <f>SUM($A$5:H5)</f>
        <v>38.339331290903068</v>
      </c>
      <c r="I7" s="16">
        <f>SUM($A$5:I5)</f>
        <v>55.825243745991386</v>
      </c>
      <c r="J7" s="16">
        <f>SUM($A$5:J5)</f>
        <v>80.830098556767695</v>
      </c>
      <c r="K7" s="16">
        <f>SUM($A$5:K5)</f>
        <v>116.5870409361778</v>
      </c>
      <c r="L7" s="16">
        <f>SUM($A$5:L5)</f>
        <v>167.71946853873425</v>
      </c>
      <c r="M7" s="16">
        <f>SUM($A$5:M5)</f>
        <v>240.83884001038999</v>
      </c>
      <c r="N7" s="16">
        <f>SUM($A$5:N5)</f>
        <v>345.39954121485766</v>
      </c>
      <c r="O7" s="16">
        <f>SUM($A$5:O5)</f>
        <v>494.92134393724649</v>
      </c>
      <c r="P7" s="16">
        <f>SUM($A$5:P5)</f>
        <v>708.73752183026249</v>
      </c>
      <c r="Q7" s="16">
        <f>SUM($A$5:Q5)</f>
        <v>1014.4946562172754</v>
      </c>
      <c r="R7" s="16">
        <f>SUM($A$5:R5)</f>
        <v>1451.727358390704</v>
      </c>
      <c r="S7" s="16">
        <f>SUM($A$5:S5)</f>
        <v>2076.9701224987066</v>
      </c>
      <c r="T7" s="16">
        <f>SUM($A$5:T5)</f>
        <v>2971.0672751731508</v>
      </c>
      <c r="U7" s="16">
        <f>SUM($A$5:U5)</f>
        <v>4249.6262034976062</v>
      </c>
      <c r="V7" s="16">
        <f>SUM($A$5:V5)</f>
        <v>6077.9654710015766</v>
      </c>
      <c r="W7" s="16">
        <f>SUM($A$5:W5)</f>
        <v>8692.4906235322542</v>
      </c>
      <c r="X7" s="16">
        <f>SUM($A$5:X5)</f>
        <v>12431.261591651124</v>
      </c>
      <c r="Y7" s="16">
        <f>SUM($A$5:Y5)</f>
        <v>17777.704076061105</v>
      </c>
      <c r="Z7" s="16">
        <f>SUM($A$5:Z5)</f>
        <v>25423.116828767379</v>
      </c>
      <c r="AA7" s="16">
        <f>SUM($A$5:AA5)</f>
        <v>36356.057065137356</v>
      </c>
      <c r="AB7" s="16">
        <f>SUM($A$5:AB5)</f>
        <v>51990.161603146422</v>
      </c>
      <c r="AC7" s="16">
        <f>SUM($A$5:AC5)</f>
        <v>74346.931092499377</v>
      </c>
      <c r="AD7" s="16">
        <f>SUM($A$5:AD5)</f>
        <v>106317.1114622741</v>
      </c>
    </row>
    <row r="8" spans="1:30" x14ac:dyDescent="0.25">
      <c r="A8" s="1" t="s">
        <v>1311</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1312</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1313</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1314</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1315</v>
      </c>
      <c r="B14">
        <v>0.3</v>
      </c>
      <c r="C14" t="s">
        <v>1316</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2024-07-17T22:40:10Z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