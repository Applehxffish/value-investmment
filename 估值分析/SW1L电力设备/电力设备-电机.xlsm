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电力设备\"/>
    </mc:Choice>
  </mc:AlternateContent>
  <bookViews>
    <workbookView xWindow="-120" yWindow="-120" windowWidth="29040" windowHeight="15720"/>
  </bookViews>
  <sheets>
    <sheet name="电力设备" sheetId="7" r:id="rId1"/>
    <sheet name="利基分析" sheetId="15" r:id="rId2"/>
    <sheet name="估值-增速与年化收益" sheetId="14" r:id="rId3"/>
  </sheets>
  <functionGroups builtInGroupCount="18"/>
  <definedNames>
    <definedName name="_xlnm._FilterDatabase" localSheetId="0" hidden="1">电力设备!$BU$1:$BU$30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4" l="1"/>
  <c r="D13" i="14" s="1"/>
  <c r="E13" i="14" s="1"/>
  <c r="F13" i="14" s="1"/>
  <c r="G13" i="14" s="1"/>
  <c r="H13" i="14" s="1"/>
  <c r="I13" i="14" s="1"/>
  <c r="J13" i="14" s="1"/>
  <c r="K13" i="14" s="1"/>
  <c r="L13" i="14" s="1"/>
  <c r="M13" i="14" s="1"/>
  <c r="N13" i="14" s="1"/>
  <c r="O13" i="14" s="1"/>
  <c r="P13" i="14" s="1"/>
  <c r="Q13" i="14" s="1"/>
  <c r="R13" i="14" s="1"/>
  <c r="S13" i="14" s="1"/>
  <c r="T13" i="14" s="1"/>
  <c r="C12" i="14"/>
  <c r="C11" i="14" s="1"/>
  <c r="B11" i="14"/>
  <c r="A7" i="14"/>
  <c r="B5" i="14"/>
  <c r="A1" i="14"/>
  <c r="B1" i="14" s="1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0" i="7"/>
  <c r="C15" i="7"/>
  <c r="C19" i="7"/>
  <c r="A9" i="14" l="1"/>
  <c r="C5" i="14"/>
  <c r="D12" i="14"/>
  <c r="B7" i="14"/>
  <c r="B9" i="14" s="1"/>
  <c r="C7" i="14"/>
  <c r="C9" i="14" s="1"/>
  <c r="AD3" i="15"/>
  <c r="AC3" i="15"/>
  <c r="AB3" i="15"/>
  <c r="AA3" i="15"/>
  <c r="Z3" i="15"/>
  <c r="Y3" i="15"/>
  <c r="X3" i="15"/>
  <c r="W3" i="15"/>
  <c r="V3" i="15"/>
  <c r="U3" i="15"/>
  <c r="T3" i="15"/>
  <c r="S3" i="15"/>
  <c r="M3" i="15"/>
  <c r="L3" i="15"/>
  <c r="K3" i="15"/>
  <c r="J3" i="15"/>
  <c r="I3" i="15"/>
  <c r="H3" i="15"/>
  <c r="B3" i="15"/>
  <c r="C3" i="15"/>
  <c r="D3" i="15"/>
  <c r="E3" i="15"/>
  <c r="F3" i="15"/>
  <c r="G3" i="15"/>
  <c r="Z2" i="15"/>
  <c r="AD2" i="15"/>
  <c r="AC2" i="15"/>
  <c r="AB2" i="15"/>
  <c r="AA2" i="15"/>
  <c r="Y2" i="15"/>
  <c r="I2" i="15"/>
  <c r="T2" i="15"/>
  <c r="C2" i="15"/>
  <c r="X2" i="15"/>
  <c r="W2" i="15"/>
  <c r="V2" i="15"/>
  <c r="U2" i="15"/>
  <c r="S2" i="15"/>
  <c r="M2" i="15"/>
  <c r="L2" i="15"/>
  <c r="K2" i="15"/>
  <c r="J2" i="15"/>
  <c r="H2" i="15"/>
  <c r="G2" i="15"/>
  <c r="F2" i="15"/>
  <c r="E2" i="15"/>
  <c r="D2" i="15"/>
  <c r="B2" i="15"/>
  <c r="C17" i="7"/>
  <c r="C16" i="7"/>
  <c r="C22" i="7"/>
  <c r="C24" i="7"/>
  <c r="D11" i="14" l="1"/>
  <c r="E12" i="14"/>
  <c r="D5" i="14"/>
  <c r="AE3" i="15"/>
  <c r="AF3" i="15" s="1"/>
  <c r="N3" i="15"/>
  <c r="O3" i="15" s="1"/>
  <c r="AE2" i="15"/>
  <c r="E5" i="14" l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F12" i="14"/>
  <c r="E11" i="14"/>
  <c r="D7" i="14"/>
  <c r="D9" i="14" s="1"/>
  <c r="AG3" i="15"/>
  <c r="P3" i="15"/>
  <c r="AG2" i="15"/>
  <c r="AF2" i="15"/>
  <c r="N2" i="15"/>
  <c r="C23" i="7"/>
  <c r="C21" i="7"/>
  <c r="C13" i="7"/>
  <c r="C8" i="7"/>
  <c r="C12" i="7"/>
  <c r="C6" i="7"/>
  <c r="C4" i="7"/>
  <c r="C10" i="7"/>
  <c r="C2" i="7"/>
  <c r="C7" i="7"/>
  <c r="C3" i="7"/>
  <c r="C18" i="7"/>
  <c r="C14" i="7"/>
  <c r="C11" i="7"/>
  <c r="C5" i="7"/>
  <c r="C9" i="7"/>
  <c r="F7" i="14" l="1"/>
  <c r="F9" i="14" s="1"/>
  <c r="AA7" i="14"/>
  <c r="AA9" i="14" s="1"/>
  <c r="F11" i="14"/>
  <c r="G12" i="14"/>
  <c r="T7" i="14"/>
  <c r="T9" i="14" s="1"/>
  <c r="R7" i="14"/>
  <c r="R9" i="14" s="1"/>
  <c r="Z7" i="14"/>
  <c r="Z9" i="14" s="1"/>
  <c r="S7" i="14"/>
  <c r="S9" i="14" s="1"/>
  <c r="G7" i="14"/>
  <c r="G9" i="14" s="1"/>
  <c r="H7" i="14"/>
  <c r="H9" i="14" s="1"/>
  <c r="Q7" i="14"/>
  <c r="Q9" i="14" s="1"/>
  <c r="L7" i="14"/>
  <c r="L9" i="14" s="1"/>
  <c r="O7" i="14"/>
  <c r="O9" i="14" s="1"/>
  <c r="J7" i="14"/>
  <c r="J9" i="14" s="1"/>
  <c r="X7" i="14"/>
  <c r="X9" i="14" s="1"/>
  <c r="M7" i="14"/>
  <c r="M9" i="14" s="1"/>
  <c r="U7" i="14"/>
  <c r="U9" i="14" s="1"/>
  <c r="V7" i="14"/>
  <c r="V9" i="14" s="1"/>
  <c r="Y7" i="14"/>
  <c r="Y9" i="14" s="1"/>
  <c r="AC7" i="14"/>
  <c r="AC9" i="14" s="1"/>
  <c r="AD7" i="14"/>
  <c r="AD9" i="14" s="1"/>
  <c r="K7" i="14"/>
  <c r="K9" i="14" s="1"/>
  <c r="E7" i="14"/>
  <c r="E9" i="14" s="1"/>
  <c r="I7" i="14"/>
  <c r="I9" i="14" s="1"/>
  <c r="W7" i="14"/>
  <c r="W9" i="14" s="1"/>
  <c r="P7" i="14"/>
  <c r="P9" i="14" s="1"/>
  <c r="AB7" i="14"/>
  <c r="AB9" i="14" s="1"/>
  <c r="N7" i="14"/>
  <c r="N9" i="14" s="1"/>
  <c r="O2" i="15"/>
  <c r="P2" i="15"/>
  <c r="H12" i="14" l="1"/>
  <c r="G11" i="14"/>
  <c r="H11" i="14" l="1"/>
  <c r="I12" i="14"/>
  <c r="J12" i="14" l="1"/>
  <c r="I11" i="14"/>
  <c r="J11" i="14" l="1"/>
  <c r="K12" i="14"/>
  <c r="K11" i="14" l="1"/>
  <c r="L12" i="14"/>
  <c r="L11" i="14" l="1"/>
  <c r="M12" i="14"/>
  <c r="N12" i="14" l="1"/>
  <c r="M11" i="14"/>
  <c r="O12" i="14" l="1"/>
  <c r="N11" i="14"/>
  <c r="P12" i="14" l="1"/>
  <c r="O11" i="14"/>
  <c r="P11" i="14" l="1"/>
  <c r="Q12" i="14"/>
  <c r="R12" i="14" l="1"/>
  <c r="Q11" i="14"/>
  <c r="R11" i="14" l="1"/>
  <c r="S12" i="14"/>
  <c r="S11" i="14" l="1"/>
  <c r="T12" i="14"/>
  <c r="T11" i="14" s="1"/>
</calcChain>
</file>

<file path=xl/sharedStrings.xml><?xml version="1.0" encoding="utf-8"?>
<sst xmlns="http://schemas.openxmlformats.org/spreadsheetml/2006/main" count="1436" uniqueCount="1099">
  <si>
    <t>现价</t>
  </si>
  <si>
    <t>市净率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</si>
  <si>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</si>
  <si>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</si>
  <si>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</si>
  <si>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</si>
  <si>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</si>
  <si>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</si>
  <si>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</si>
  <si>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</si>
  <si>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</si>
  <si>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</si>
  <si>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</si>
  <si>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</si>
  <si>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</si>
  <si>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</si>
  <si>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</si>
  <si>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0亿</t>
  </si>
  <si>
    <t>1.23亿</t>
  </si>
  <si>
    <t>6.47亿</t>
  </si>
  <si>
    <t>2.75亿</t>
  </si>
  <si>
    <t>1.94亿</t>
  </si>
  <si>
    <t>1.95亿</t>
  </si>
  <si>
    <t>1.49亿</t>
  </si>
  <si>
    <t>3.30亿</t>
  </si>
  <si>
    <t>2.22亿</t>
  </si>
  <si>
    <t>1.03亿</t>
  </si>
  <si>
    <t>3.51亿</t>
  </si>
  <si>
    <t>5.36亿</t>
  </si>
  <si>
    <t>1.29亿</t>
  </si>
  <si>
    <t>1.71亿</t>
  </si>
  <si>
    <t>4.29亿</t>
  </si>
  <si>
    <t>1.21亿</t>
  </si>
  <si>
    <t>1.44亿</t>
  </si>
  <si>
    <t>7.21亿</t>
  </si>
  <si>
    <t>2.11亿</t>
  </si>
  <si>
    <t>1.31亿</t>
  </si>
  <si>
    <t>1.12亿</t>
  </si>
  <si>
    <t>4.21亿</t>
  </si>
  <si>
    <t>1.27亿</t>
  </si>
  <si>
    <t>1.56亿</t>
  </si>
  <si>
    <t>2.64亿</t>
  </si>
  <si>
    <t>1.52亿</t>
  </si>
  <si>
    <t>2.68亿</t>
  </si>
  <si>
    <t>1.28亿</t>
  </si>
  <si>
    <t>1.80亿</t>
  </si>
  <si>
    <t>3.93亿</t>
  </si>
  <si>
    <t>1.72亿</t>
  </si>
  <si>
    <t>1.93亿</t>
  </si>
  <si>
    <t>2.60亿</t>
  </si>
  <si>
    <t>1.10亿</t>
  </si>
  <si>
    <t>1.00亿</t>
  </si>
  <si>
    <t>1.24亿</t>
  </si>
  <si>
    <t>1.40亿</t>
  </si>
  <si>
    <t>2.69亿</t>
  </si>
  <si>
    <t>1.14亿</t>
  </si>
  <si>
    <t>5.12亿</t>
  </si>
  <si>
    <t>1.08亿</t>
  </si>
  <si>
    <t>2.88亿</t>
  </si>
  <si>
    <t>1.54亿</t>
  </si>
  <si>
    <t>3.96亿</t>
  </si>
  <si>
    <t>1.46亿</t>
  </si>
  <si>
    <t>1.30亿</t>
  </si>
  <si>
    <t>2.18亿</t>
  </si>
  <si>
    <t>1.69亿</t>
  </si>
  <si>
    <t>1.16亿</t>
  </si>
  <si>
    <t>8.89亿</t>
  </si>
  <si>
    <t>3.81亿</t>
  </si>
  <si>
    <t>3.88亿</t>
  </si>
  <si>
    <t>1.88亿</t>
  </si>
  <si>
    <t>1.01亿</t>
  </si>
  <si>
    <t>1.15亿</t>
  </si>
  <si>
    <t>7.94亿</t>
  </si>
  <si>
    <t>2.32亿</t>
  </si>
  <si>
    <t>1.36亿</t>
  </si>
  <si>
    <t>2.70亿</t>
  </si>
  <si>
    <t>2.79亿</t>
  </si>
  <si>
    <t>2.30亿</t>
  </si>
  <si>
    <t>4.58亿</t>
  </si>
  <si>
    <t>2.35亿</t>
  </si>
  <si>
    <t>2.44亿</t>
  </si>
  <si>
    <t>1.84亿</t>
  </si>
  <si>
    <t>1.02亿</t>
  </si>
  <si>
    <t>2.10亿</t>
  </si>
  <si>
    <t>1.65亿</t>
  </si>
  <si>
    <t>7.16亿</t>
  </si>
  <si>
    <t>4.30亿</t>
  </si>
  <si>
    <t>1.07亿</t>
  </si>
  <si>
    <t>1.51亿</t>
  </si>
  <si>
    <t>1.42亿</t>
  </si>
  <si>
    <t>9.93亿</t>
  </si>
  <si>
    <t>2.97亿</t>
  </si>
  <si>
    <t>2.36亿</t>
  </si>
  <si>
    <t>1.37亿</t>
  </si>
  <si>
    <t>3.65亿</t>
  </si>
  <si>
    <t>2.00亿</t>
  </si>
  <si>
    <t>5.29亿</t>
  </si>
  <si>
    <t>4.80亿</t>
  </si>
  <si>
    <t>6.07亿</t>
  </si>
  <si>
    <t>4.01亿</t>
  </si>
  <si>
    <t>2.61亿</t>
  </si>
  <si>
    <t>1.61亿</t>
  </si>
  <si>
    <t>3.25亿</t>
  </si>
  <si>
    <t>6.06亿</t>
  </si>
  <si>
    <t>1.70亿</t>
  </si>
  <si>
    <t>3.15亿</t>
  </si>
  <si>
    <t>5.60亿</t>
  </si>
  <si>
    <t>7.44亿</t>
  </si>
  <si>
    <t>1.50亿</t>
  </si>
  <si>
    <t>8.55亿</t>
  </si>
  <si>
    <t>5.42亿</t>
  </si>
  <si>
    <t>2.28亿</t>
  </si>
  <si>
    <t>1.45亿</t>
  </si>
  <si>
    <t>5.69亿</t>
  </si>
  <si>
    <t>1.75亿</t>
  </si>
  <si>
    <t>2.45亿</t>
  </si>
  <si>
    <t>2.23亿</t>
  </si>
  <si>
    <t>6.37亿</t>
  </si>
  <si>
    <t>1.43亿</t>
  </si>
  <si>
    <t>2.72亿</t>
  </si>
  <si>
    <t>1.91亿</t>
  </si>
  <si>
    <t>2.19亿</t>
  </si>
  <si>
    <t>3.16亿</t>
  </si>
  <si>
    <t>4.75亿</t>
  </si>
  <si>
    <t>4.24亿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</si>
  <si>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</si>
  <si>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</si>
  <si>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</si>
  <si>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</si>
  <si>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</si>
  <si>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</si>
  <si>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</si>
  <si>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2.96亿</t>
  </si>
  <si>
    <t>6.92亿</t>
  </si>
  <si>
    <t>4.99亿</t>
  </si>
  <si>
    <t>3.26亿</t>
  </si>
  <si>
    <t>3.01亿</t>
  </si>
  <si>
    <t>2.55亿</t>
  </si>
  <si>
    <t>1.87亿</t>
  </si>
  <si>
    <t>2.06亿</t>
  </si>
  <si>
    <t>12.95亿</t>
  </si>
  <si>
    <t>1.83亿</t>
  </si>
  <si>
    <t>3.18亿</t>
  </si>
  <si>
    <t>6.63亿</t>
  </si>
  <si>
    <t>1.63亿</t>
  </si>
  <si>
    <t>5.82亿</t>
  </si>
  <si>
    <t>4.76亿</t>
  </si>
  <si>
    <t>7.05亿</t>
  </si>
  <si>
    <t>16.52亿</t>
  </si>
  <si>
    <t>6.66亿</t>
  </si>
  <si>
    <t>2.67亿</t>
  </si>
  <si>
    <t>2.73亿</t>
  </si>
  <si>
    <t>8.50亿</t>
  </si>
  <si>
    <t>5.86亿</t>
  </si>
  <si>
    <t>7.53亿</t>
  </si>
  <si>
    <t>2.13亿</t>
  </si>
  <si>
    <t>3.44亿</t>
  </si>
  <si>
    <t>5.32亿</t>
  </si>
  <si>
    <t>6.69亿</t>
  </si>
  <si>
    <t>4.02亿</t>
  </si>
  <si>
    <t>3.17亿</t>
  </si>
  <si>
    <t>2.41亿</t>
  </si>
  <si>
    <t>1.76亿</t>
  </si>
  <si>
    <t>7.29亿</t>
  </si>
  <si>
    <t>11.40亿</t>
  </si>
  <si>
    <t>7.57亿</t>
  </si>
  <si>
    <t>7.98亿</t>
  </si>
  <si>
    <t>3.24亿</t>
  </si>
  <si>
    <t>1.99亿</t>
  </si>
  <si>
    <t>3.04亿</t>
  </si>
  <si>
    <t>4.45亿</t>
  </si>
  <si>
    <t>5.01亿</t>
  </si>
  <si>
    <t>3.45亿</t>
  </si>
  <si>
    <t>4.72亿</t>
  </si>
  <si>
    <t>4.06亿</t>
  </si>
  <si>
    <t>11.53亿</t>
  </si>
  <si>
    <t>SZ003021</t>
  </si>
  <si>
    <t>兆威机电</t>
  </si>
  <si>
    <t>11.95亿</t>
  </si>
  <si>
    <t>2.20亿</t>
  </si>
  <si>
    <t>17.83亿</t>
  </si>
  <si>
    <t>3.57亿</t>
  </si>
  <si>
    <t>1.13亿</t>
  </si>
  <si>
    <t>5.06亿</t>
  </si>
  <si>
    <t>9.57亿</t>
  </si>
  <si>
    <t>2.01亿</t>
  </si>
  <si>
    <t>9.88亿</t>
  </si>
  <si>
    <t>2.42亿</t>
  </si>
  <si>
    <t>3.83亿</t>
  </si>
  <si>
    <t>6.08亿</t>
  </si>
  <si>
    <t>7.71亿</t>
  </si>
  <si>
    <t>1.48亿</t>
  </si>
  <si>
    <t>2.38亿</t>
  </si>
  <si>
    <t>2.74亿</t>
  </si>
  <si>
    <t>2.46亿</t>
  </si>
  <si>
    <t>11.12亿</t>
  </si>
  <si>
    <t>3.08亿</t>
  </si>
  <si>
    <t>7.35亿</t>
  </si>
  <si>
    <t>3.46亿</t>
  </si>
  <si>
    <t>5.75亿</t>
  </si>
  <si>
    <t>2.14亿</t>
  </si>
  <si>
    <t>2.47亿</t>
  </si>
  <si>
    <t>3.62亿</t>
  </si>
  <si>
    <t>5.05亿</t>
  </si>
  <si>
    <t>8.56亿</t>
  </si>
  <si>
    <t>6.74亿</t>
  </si>
  <si>
    <t>4.27亿</t>
  </si>
  <si>
    <t>1.34亿</t>
  </si>
  <si>
    <t>1.39亿</t>
  </si>
  <si>
    <t>11.02亿</t>
  </si>
  <si>
    <t>2.33亿</t>
  </si>
  <si>
    <t>8.67亿</t>
  </si>
  <si>
    <t>3.92亿</t>
  </si>
  <si>
    <t>6.50亿</t>
  </si>
  <si>
    <t>6.35亿</t>
  </si>
  <si>
    <t>16.70亿</t>
  </si>
  <si>
    <t>3.77亿</t>
  </si>
  <si>
    <t>3.55亿</t>
  </si>
  <si>
    <t>7.32亿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</si>
  <si>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</si>
  <si>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</si>
  <si>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</si>
  <si>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</si>
  <si>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</si>
  <si>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</si>
  <si>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</si>
  <si>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</si>
  <si>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</si>
  <si>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</si>
  <si>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</si>
  <si>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</si>
  <si>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</si>
  <si>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</si>
  <si>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</si>
  <si>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3.99亿</t>
  </si>
  <si>
    <t>1.25亿</t>
  </si>
  <si>
    <t>3.41亿</t>
  </si>
  <si>
    <t>3.84亿</t>
  </si>
  <si>
    <t>销售毛利率%[20201231]</t>
  </si>
  <si>
    <t>销售净利率%[20201231]</t>
  </si>
  <si>
    <t>2.54亿</t>
  </si>
  <si>
    <t>22.50亿</t>
  </si>
  <si>
    <t>3.02亿</t>
  </si>
  <si>
    <t>2.80亿</t>
  </si>
  <si>
    <t>4.98亿</t>
  </si>
  <si>
    <t>4.86亿</t>
  </si>
  <si>
    <t>11.97亿</t>
  </si>
  <si>
    <t>2.90亿</t>
  </si>
  <si>
    <t>6.03亿</t>
  </si>
  <si>
    <t>2.87亿</t>
  </si>
  <si>
    <t>5.11亿</t>
  </si>
  <si>
    <t>2.04亿</t>
  </si>
  <si>
    <t>9.42亿</t>
  </si>
  <si>
    <t>17.61亿</t>
  </si>
  <si>
    <t>4.08亿</t>
  </si>
  <si>
    <t>2.50亿</t>
  </si>
  <si>
    <t>2.77亿</t>
  </si>
  <si>
    <t>2.16亿</t>
  </si>
  <si>
    <t>1.79亿</t>
  </si>
  <si>
    <t>3.43亿</t>
  </si>
  <si>
    <t>2.65亿</t>
  </si>
  <si>
    <t>7.04亿</t>
  </si>
  <si>
    <t>4.63亿</t>
  </si>
  <si>
    <t>22.49亿</t>
  </si>
  <si>
    <t>4.47亿</t>
  </si>
  <si>
    <t>3.67亿</t>
  </si>
  <si>
    <t>10.54亿</t>
  </si>
  <si>
    <t>10.00亿</t>
  </si>
  <si>
    <t>5.24亿</t>
  </si>
  <si>
    <t>1.67亿</t>
  </si>
  <si>
    <t>18.91亿</t>
  </si>
  <si>
    <t>6.22亿</t>
  </si>
  <si>
    <t>5.46亿</t>
  </si>
  <si>
    <t>2.59亿</t>
  </si>
  <si>
    <t>9.63亿</t>
  </si>
  <si>
    <t>8.00亿</t>
  </si>
  <si>
    <t>13.97亿</t>
  </si>
  <si>
    <t>6.36亿</t>
  </si>
  <si>
    <t>9.10亿</t>
  </si>
  <si>
    <t>8.44亿</t>
  </si>
  <si>
    <t>2.17亿</t>
  </si>
  <si>
    <t>23.69亿</t>
  </si>
  <si>
    <t>9.67亿</t>
  </si>
  <si>
    <t>3.13亿</t>
  </si>
  <si>
    <t>20.54亿</t>
  </si>
  <si>
    <t>4.70亿</t>
  </si>
  <si>
    <t>6.43亿</t>
  </si>
  <si>
    <t>10.61亿</t>
  </si>
  <si>
    <t>SZ000922</t>
  </si>
  <si>
    <t>佳电股份</t>
  </si>
  <si>
    <t>21.03亿</t>
  </si>
  <si>
    <t>19.48亿</t>
  </si>
  <si>
    <t>SZ002196</t>
  </si>
  <si>
    <t>方正电机</t>
  </si>
  <si>
    <t>13.64亿</t>
  </si>
  <si>
    <t>SZ002249</t>
  </si>
  <si>
    <t>大洋电机</t>
  </si>
  <si>
    <t>77.76亿</t>
  </si>
  <si>
    <t>81.46亿</t>
  </si>
  <si>
    <t>86.38亿</t>
  </si>
  <si>
    <t>5361.68万</t>
  </si>
  <si>
    <t>-23.76亿</t>
  </si>
  <si>
    <t>SZ002576</t>
  </si>
  <si>
    <t>通达动力</t>
  </si>
  <si>
    <t>15.16亿</t>
  </si>
  <si>
    <t>8930.12万</t>
  </si>
  <si>
    <t>12.94亿</t>
  </si>
  <si>
    <t>11.55亿</t>
  </si>
  <si>
    <t>8.19亿</t>
  </si>
  <si>
    <t>3422.19万</t>
  </si>
  <si>
    <t>1936.72万</t>
  </si>
  <si>
    <t>SZ002801</t>
  </si>
  <si>
    <t>微光股份</t>
  </si>
  <si>
    <t>9727.69万</t>
  </si>
  <si>
    <t>SZ002823</t>
  </si>
  <si>
    <t>凯中精密</t>
  </si>
  <si>
    <t>19.21亿</t>
  </si>
  <si>
    <t>8368.70万</t>
  </si>
  <si>
    <t>20.24亿</t>
  </si>
  <si>
    <t>11.16亿</t>
  </si>
  <si>
    <t>6561.08万</t>
  </si>
  <si>
    <t>SZ002892</t>
  </si>
  <si>
    <t>科力尔</t>
  </si>
  <si>
    <t>9823.79万</t>
  </si>
  <si>
    <t>8.51亿</t>
  </si>
  <si>
    <t>8805.47万</t>
  </si>
  <si>
    <t>6955.71万</t>
  </si>
  <si>
    <t>SZ300626</t>
  </si>
  <si>
    <t>华瑞股份</t>
  </si>
  <si>
    <t>1173.07万</t>
  </si>
  <si>
    <t>2416.79万</t>
  </si>
  <si>
    <t>4408.41万</t>
  </si>
  <si>
    <t>SZ300660</t>
  </si>
  <si>
    <t>江苏雷利</t>
  </si>
  <si>
    <t>24.22亿</t>
  </si>
  <si>
    <t>SZ300907</t>
  </si>
  <si>
    <t>康平科技</t>
  </si>
  <si>
    <t>8.35亿</t>
  </si>
  <si>
    <t>6015.57万</t>
  </si>
  <si>
    <t>5119.44万</t>
  </si>
  <si>
    <t>5935.57万</t>
  </si>
  <si>
    <t>SZ301023</t>
  </si>
  <si>
    <t>江南奕帆</t>
  </si>
  <si>
    <t>6789.09万</t>
  </si>
  <si>
    <t>6315.97万</t>
  </si>
  <si>
    <t>5328.97万</t>
  </si>
  <si>
    <t>SH600580</t>
  </si>
  <si>
    <t>卧龙电驱</t>
  </si>
  <si>
    <t>125.65亿</t>
  </si>
  <si>
    <t>124.16亿</t>
  </si>
  <si>
    <t>110.76亿</t>
  </si>
  <si>
    <t>SH603320</t>
  </si>
  <si>
    <t>迪贝电气</t>
  </si>
  <si>
    <t>4177.45万</t>
  </si>
  <si>
    <t>4102.15万</t>
  </si>
  <si>
    <t>4283.28万</t>
  </si>
  <si>
    <t>SH603489</t>
  </si>
  <si>
    <t>八方股份</t>
  </si>
  <si>
    <t>SH603728</t>
  </si>
  <si>
    <t>鸣志电器</t>
  </si>
  <si>
    <t>22.13亿</t>
  </si>
  <si>
    <t>20.58亿</t>
  </si>
  <si>
    <t>18.94亿</t>
  </si>
  <si>
    <t>SH603819</t>
  </si>
  <si>
    <t>9.41亿</t>
  </si>
  <si>
    <t>1507.68万</t>
  </si>
  <si>
    <t>9.53亿</t>
  </si>
  <si>
    <t>9517.13万</t>
  </si>
  <si>
    <t>4819.14万</t>
  </si>
  <si>
    <t>SH603988</t>
  </si>
  <si>
    <t>中电电机</t>
  </si>
  <si>
    <t>4822.91万</t>
  </si>
  <si>
    <t>4.36亿</t>
  </si>
  <si>
    <t>14.78亿</t>
  </si>
  <si>
    <t>12.05亿</t>
  </si>
  <si>
    <t>12.13亿</t>
  </si>
  <si>
    <t>11.93亿</t>
  </si>
  <si>
    <t>30.24亿</t>
  </si>
  <si>
    <t>3.71亿</t>
  </si>
  <si>
    <t>9.35亿</t>
  </si>
  <si>
    <t>8.23亿</t>
  </si>
  <si>
    <t>-1.05亿</t>
  </si>
  <si>
    <t>SH600416</t>
  </si>
  <si>
    <t>湘电股份</t>
  </si>
  <si>
    <t>46.96亿</t>
  </si>
  <si>
    <t>7526.14万</t>
  </si>
  <si>
    <t>52.05亿</t>
  </si>
  <si>
    <t>61.99亿</t>
  </si>
  <si>
    <t>-15.79亿</t>
  </si>
  <si>
    <t>-19.12亿</t>
  </si>
  <si>
    <t>6.27亿</t>
  </si>
  <si>
    <t>15.86亿</t>
  </si>
  <si>
    <t>代码</t>
  </si>
  <si>
    <t>9.11亿</t>
  </si>
  <si>
    <t>涨幅%</t>
  </si>
  <si>
    <t>流通股本</t>
  </si>
  <si>
    <t>投入资本回报率roic%[20201231]</t>
  </si>
  <si>
    <t>净资产收益率%[20201231]</t>
  </si>
  <si>
    <t>扭亏</t>
  </si>
  <si>
    <t>SZ301226</t>
  </si>
  <si>
    <t>祥明智能</t>
  </si>
  <si>
    <t>5.51亿</t>
  </si>
  <si>
    <t>5964.61万</t>
  </si>
  <si>
    <t>4475.39万</t>
  </si>
  <si>
    <t>6267.71万</t>
  </si>
  <si>
    <t>29.19亿</t>
  </si>
  <si>
    <t>净利润[20201231]</t>
  </si>
  <si>
    <t>30.46亿</t>
  </si>
  <si>
    <t>25.43亿</t>
  </si>
  <si>
    <t>3.12亿</t>
  </si>
  <si>
    <t>100.17亿</t>
  </si>
  <si>
    <t>58.80亿</t>
  </si>
  <si>
    <t>4.61亿</t>
  </si>
  <si>
    <t>20.09亿</t>
  </si>
  <si>
    <t>-1.28亿</t>
  </si>
  <si>
    <t>5.27亿</t>
  </si>
  <si>
    <t>24.47亿</t>
  </si>
  <si>
    <t>1274.38万</t>
  </si>
  <si>
    <t>8.90亿</t>
  </si>
  <si>
    <t>14.35亿</t>
  </si>
  <si>
    <t>14.70亿</t>
  </si>
  <si>
    <t>4.89亿</t>
  </si>
  <si>
    <t>9.83亿</t>
  </si>
  <si>
    <t>4183.55万</t>
  </si>
  <si>
    <t>1810.66万</t>
  </si>
  <si>
    <t>6552.80万</t>
  </si>
  <si>
    <t>-1.62亿</t>
  </si>
  <si>
    <t>40.26亿</t>
  </si>
  <si>
    <t>7947.27万</t>
  </si>
  <si>
    <t>11.38亿</t>
  </si>
  <si>
    <t>7861.65万</t>
  </si>
  <si>
    <t>26.47亿</t>
  </si>
  <si>
    <t>27.14亿</t>
  </si>
  <si>
    <t>14.42亿</t>
  </si>
  <si>
    <t>3234.64万</t>
  </si>
  <si>
    <t>3993.81万</t>
  </si>
  <si>
    <t>23.31亿</t>
  </si>
  <si>
    <t xml:space="preserve">    名称</t>
  </si>
  <si>
    <t>净利润?</t>
  </si>
  <si>
    <t>投入资本回报率roic%[20211231]</t>
  </si>
  <si>
    <t>净资产收益率%[20211231]</t>
  </si>
  <si>
    <t/>
  </si>
  <si>
    <t>3.98亿</t>
  </si>
  <si>
    <t>-1.04亿</t>
  </si>
  <si>
    <t>12.02亿</t>
  </si>
  <si>
    <t>利基</t>
    <phoneticPr fontId="1" type="noConversion"/>
  </si>
  <si>
    <t>营收[~-18%]</t>
  </si>
  <si>
    <t>营收[-18%~0]</t>
  </si>
  <si>
    <t>营收[0~10%]</t>
  </si>
  <si>
    <t>营收[10%~30%]</t>
  </si>
  <si>
    <t>营收[30%~80%]</t>
  </si>
  <si>
    <t>营收[80%~]</t>
  </si>
  <si>
    <t>利润[~-18%]</t>
  </si>
  <si>
    <t>利润[-18%~0]</t>
  </si>
  <si>
    <t>利润[0~10%]</t>
  </si>
  <si>
    <t>利润[10%~30%]</t>
  </si>
  <si>
    <t>利润[30%~80%]</t>
  </si>
  <si>
    <t>利润[80%~]</t>
  </si>
  <si>
    <t>Total</t>
    <phoneticPr fontId="1" type="noConversion"/>
  </si>
  <si>
    <t>营收top</t>
    <phoneticPr fontId="1" type="noConversion"/>
  </si>
  <si>
    <t>利润top</t>
    <phoneticPr fontId="1" type="noConversion"/>
  </si>
  <si>
    <t>Total</t>
  </si>
  <si>
    <t>营收top</t>
  </si>
  <si>
    <t>利润top</t>
  </si>
  <si>
    <t>光伏</t>
    <phoneticPr fontId="1" type="noConversion"/>
  </si>
  <si>
    <t>风能</t>
    <phoneticPr fontId="1" type="noConversion"/>
  </si>
  <si>
    <t>6.28亿</t>
  </si>
  <si>
    <t>细分行业</t>
  </si>
  <si>
    <t>电机</t>
  </si>
  <si>
    <t>10.32亿</t>
  </si>
  <si>
    <t>9.55亿</t>
  </si>
  <si>
    <t>5.30亿</t>
  </si>
  <si>
    <t>12.61亿</t>
  </si>
  <si>
    <t>2.92亿</t>
  </si>
  <si>
    <t>12.72亿</t>
  </si>
  <si>
    <t>9.94亿</t>
  </si>
  <si>
    <t>6.91亿</t>
  </si>
  <si>
    <t>12.06亿</t>
  </si>
  <si>
    <t>8.29亿</t>
  </si>
  <si>
    <t>28.50亿</t>
  </si>
  <si>
    <t>8.60亿</t>
  </si>
  <si>
    <t>7.63亿</t>
  </si>
  <si>
    <t>6.20亿</t>
  </si>
  <si>
    <t>9.86亿</t>
  </si>
  <si>
    <t>11.52亿</t>
  </si>
  <si>
    <t>10派1元(含税)</t>
  </si>
  <si>
    <t>不分配不转增</t>
  </si>
  <si>
    <t>10派0.6元(含税)</t>
  </si>
  <si>
    <t>10派3元(含税)</t>
  </si>
  <si>
    <t>10派0.4元(含税)</t>
  </si>
  <si>
    <t>10派5元(含税)</t>
  </si>
  <si>
    <t>10派0.55元(含税)</t>
  </si>
  <si>
    <t>10派3.1元(含税)</t>
  </si>
  <si>
    <t>1-0</t>
  </si>
  <si>
    <t>-1-1</t>
  </si>
  <si>
    <t>1.混合式步进电机全球市占率超10%，位列全球第四，打破了日企垄断</t>
    <phoneticPr fontId="1" type="noConversion"/>
  </si>
  <si>
    <t>3-0</t>
  </si>
  <si>
    <t>2-0</t>
  </si>
  <si>
    <t>2-1</t>
  </si>
  <si>
    <t>3-1</t>
  </si>
  <si>
    <t>14.04亿</t>
  </si>
  <si>
    <t>109.30亿</t>
  </si>
  <si>
    <t>9.40亿</t>
  </si>
  <si>
    <t>3.00亿</t>
  </si>
  <si>
    <t>17.52亿</t>
  </si>
  <si>
    <t>6749.70万</t>
  </si>
  <si>
    <t>26.62亿</t>
  </si>
  <si>
    <t>11.83亿</t>
  </si>
  <si>
    <t>7.22亿</t>
  </si>
  <si>
    <t>2484.89万</t>
  </si>
  <si>
    <t>29.00亿</t>
  </si>
  <si>
    <t>6.79亿</t>
  </si>
  <si>
    <t>3014.05万</t>
  </si>
  <si>
    <t>10派1.3元(含税)</t>
  </si>
  <si>
    <t>7978.21万</t>
  </si>
  <si>
    <t>10派7元(含税)</t>
  </si>
  <si>
    <t>6474.30万</t>
  </si>
  <si>
    <t>6258.26万</t>
  </si>
  <si>
    <t>10转4股派5.5元(含税)</t>
  </si>
  <si>
    <t>3419.77万</t>
  </si>
  <si>
    <t>29.60亿</t>
  </si>
  <si>
    <t>-8056.98万</t>
  </si>
  <si>
    <t>10转4股派10元(含税)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</si>
  <si>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</si>
  <si>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</si>
  <si>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</si>
  <si>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</si>
  <si>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</si>
  <si>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</si>
  <si>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</si>
  <si>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</si>
  <si>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</si>
  <si>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</si>
  <si>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</si>
  <si>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</si>
  <si>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</si>
  <si>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</si>
  <si>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</si>
  <si>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</si>
  <si>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</si>
  <si>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</si>
  <si>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</si>
  <si>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</si>
  <si>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</si>
  <si>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</si>
  <si>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</si>
  <si>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</si>
  <si>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</si>
  <si>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</si>
  <si>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</si>
  <si>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</si>
  <si>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</si>
  <si>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</si>
  <si>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</si>
  <si>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</si>
  <si>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</si>
  <si>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</si>
  <si>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</si>
  <si>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</si>
  <si>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投入资本回报率roic%[20230331]</t>
  </si>
  <si>
    <t>净资产收益率%[20230331]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</si>
  <si>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</si>
  <si>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</si>
  <si>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</si>
  <si>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</si>
  <si>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</si>
  <si>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</si>
  <si>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</si>
  <si>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</si>
  <si>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</si>
  <si>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</si>
  <si>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</si>
  <si>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</si>
  <si>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</si>
  <si>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</si>
  <si>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</si>
  <si>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</si>
  <si>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</si>
  <si>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</si>
  <si>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</si>
  <si>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</si>
  <si>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</si>
  <si>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</si>
  <si>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</si>
  <si>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</si>
  <si>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</si>
  <si>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</si>
  <si>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</si>
  <si>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</si>
  <si>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</si>
  <si>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</si>
  <si>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</si>
  <si>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</si>
  <si>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</si>
  <si>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</si>
  <si>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</si>
  <si>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</si>
  <si>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</si>
  <si>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</si>
  <si>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</si>
  <si>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</si>
  <si>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</si>
  <si>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</si>
  <si>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</si>
  <si>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</si>
  <si>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</si>
  <si>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</si>
  <si>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</si>
  <si>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</si>
  <si>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</si>
  <si>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</si>
  <si>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</si>
  <si>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8.37亿</t>
  </si>
  <si>
    <t>2.08亿</t>
  </si>
  <si>
    <t>11.28亿</t>
  </si>
  <si>
    <t>26.66亿</t>
  </si>
  <si>
    <t>6.30亿</t>
  </si>
  <si>
    <t>16.48亿</t>
  </si>
  <si>
    <t>-3-0</t>
  </si>
  <si>
    <t>-3-1</t>
  </si>
  <si>
    <t>12.88亿</t>
  </si>
  <si>
    <t>9.03亿</t>
  </si>
  <si>
    <t>15.63亿</t>
  </si>
  <si>
    <t>23.11亿</t>
  </si>
  <si>
    <t>14.27亿</t>
  </si>
  <si>
    <t>4.97亿</t>
  </si>
  <si>
    <t>5.88亿</t>
  </si>
  <si>
    <t>5.90亿</t>
  </si>
  <si>
    <t>100.00万</t>
  </si>
  <si>
    <t>12.08亿</t>
  </si>
  <si>
    <t>15.35亿</t>
  </si>
  <si>
    <t>73.04亿</t>
  </si>
  <si>
    <t>24.96亿</t>
  </si>
  <si>
    <t>18.08亿</t>
  </si>
  <si>
    <t>12.68亿</t>
  </si>
  <si>
    <t>19.22亿</t>
  </si>
  <si>
    <t>14.83亿</t>
  </si>
  <si>
    <t>112.88亿</t>
  </si>
  <si>
    <t>-2.31亿</t>
  </si>
  <si>
    <t>28.71亿</t>
  </si>
  <si>
    <t>71.93亿</t>
  </si>
  <si>
    <t>9.47亿</t>
  </si>
  <si>
    <t>-4-1</t>
  </si>
  <si>
    <t>SZ301502</t>
  </si>
  <si>
    <t>华阳智能</t>
  </si>
  <si>
    <t>6349.71万</t>
  </si>
  <si>
    <t>&lt;-折合年化收益</t>
    <phoneticPr fontId="1" type="noConversion"/>
  </si>
  <si>
    <t>&lt;-增速</t>
    <phoneticPr fontId="1" type="noConversion"/>
  </si>
  <si>
    <t>&lt;-估值</t>
    <phoneticPr fontId="1" type="noConversion"/>
  </si>
  <si>
    <t>未来</t>
    <phoneticPr fontId="1" type="noConversion"/>
  </si>
  <si>
    <t>PE</t>
    <phoneticPr fontId="1" type="noConversion"/>
  </si>
  <si>
    <t>Price</t>
    <phoneticPr fontId="1" type="noConversion"/>
  </si>
  <si>
    <t>Earning</t>
    <phoneticPr fontId="1" type="noConversion"/>
  </si>
  <si>
    <t>E增速-&gt;</t>
    <phoneticPr fontId="1" type="noConversion"/>
  </si>
  <si>
    <t>P增速-&gt;</t>
    <phoneticPr fontId="1" type="noConversion"/>
  </si>
  <si>
    <t>-5-1</t>
  </si>
  <si>
    <t>SH603344</t>
  </si>
  <si>
    <t>5-1</t>
  </si>
  <si>
    <t>星德胜</t>
  </si>
  <si>
    <t>-2.85亿</t>
  </si>
  <si>
    <t>7-1</t>
  </si>
  <si>
    <t>27.00亿</t>
  </si>
  <si>
    <t>61.58亿</t>
  </si>
  <si>
    <t>53.21亿</t>
  </si>
  <si>
    <t>-2524982亿</t>
  </si>
  <si>
    <t>90223317亿</t>
  </si>
  <si>
    <t>1551832400亿</t>
  </si>
  <si>
    <t>7386433900亿</t>
  </si>
  <si>
    <t>45.59亿</t>
  </si>
  <si>
    <t>10派2.02元(含税)</t>
  </si>
  <si>
    <t>5300.00万</t>
  </si>
  <si>
    <t>24.19亿</t>
  </si>
  <si>
    <t>26.67亿</t>
  </si>
  <si>
    <t>4306026亿</t>
  </si>
  <si>
    <t>-12385651亿</t>
  </si>
  <si>
    <t>724934310亿</t>
  </si>
  <si>
    <t>2146712000亿</t>
  </si>
  <si>
    <t>2857.75万</t>
  </si>
  <si>
    <t>-6.49亿</t>
  </si>
  <si>
    <t>1628.24万</t>
  </si>
  <si>
    <t>-5.16亿</t>
  </si>
  <si>
    <t>817.20万</t>
  </si>
  <si>
    <t>73.09亿</t>
  </si>
  <si>
    <t>27.22亿</t>
  </si>
  <si>
    <t>21551620亿</t>
  </si>
  <si>
    <t>196342210亿</t>
  </si>
  <si>
    <t>2720824700亿</t>
  </si>
  <si>
    <t>10563185500亿</t>
  </si>
  <si>
    <t>2500.00万</t>
  </si>
  <si>
    <t>37.41亿</t>
  </si>
  <si>
    <t>16.75亿</t>
  </si>
  <si>
    <t>8801.06万</t>
  </si>
  <si>
    <t>750710亿</t>
  </si>
  <si>
    <t>12346044亿</t>
  </si>
  <si>
    <t>488782260亿</t>
  </si>
  <si>
    <t>1353325300亿</t>
  </si>
  <si>
    <t>2546.02万</t>
  </si>
  <si>
    <t>-1.32亿</t>
  </si>
  <si>
    <t>28.52亿</t>
  </si>
  <si>
    <t>1843665亿</t>
  </si>
  <si>
    <t>72080940亿</t>
  </si>
  <si>
    <t>261952780亿</t>
  </si>
  <si>
    <t>1192056320亿</t>
  </si>
  <si>
    <t>7586.32万</t>
  </si>
  <si>
    <t>23.54亿</t>
  </si>
  <si>
    <t>7671.86万</t>
  </si>
  <si>
    <t>-1451000亿</t>
  </si>
  <si>
    <t>25556953亿</t>
  </si>
  <si>
    <t>481486950亿</t>
  </si>
  <si>
    <t>1342579400亿</t>
  </si>
  <si>
    <t>2478.47万</t>
  </si>
  <si>
    <t>40.01万</t>
  </si>
  <si>
    <t>5104.55万</t>
  </si>
  <si>
    <t>-21520041亿</t>
  </si>
  <si>
    <t>22451570亿</t>
  </si>
  <si>
    <t>353932070亿</t>
  </si>
  <si>
    <t>1347959000亿</t>
  </si>
  <si>
    <t>7322.25万</t>
  </si>
  <si>
    <t>4538.47万</t>
  </si>
  <si>
    <t>10转4股派0.9元(含税)</t>
  </si>
  <si>
    <t>9440001亿</t>
  </si>
  <si>
    <t>44162372亿</t>
  </si>
  <si>
    <t>344923050亿</t>
  </si>
  <si>
    <t>2606148200亿</t>
  </si>
  <si>
    <t>2824.46万</t>
  </si>
  <si>
    <t>9.30亿</t>
  </si>
  <si>
    <t>27.67亿</t>
  </si>
  <si>
    <t>-9086.65万</t>
  </si>
  <si>
    <t>-1103712亿</t>
  </si>
  <si>
    <t>4871312亿</t>
  </si>
  <si>
    <t>147597490亿</t>
  </si>
  <si>
    <t>578645240亿</t>
  </si>
  <si>
    <t>186.95万</t>
  </si>
  <si>
    <t>10.98万</t>
  </si>
  <si>
    <t>30.77亿</t>
  </si>
  <si>
    <t>-1323237亿</t>
  </si>
  <si>
    <t>76906702亿</t>
  </si>
  <si>
    <t>1071755820亿</t>
  </si>
  <si>
    <t>3987888600亿</t>
  </si>
  <si>
    <t>7171.51万</t>
  </si>
  <si>
    <t>10派5.6元(含税)</t>
  </si>
  <si>
    <t>4962.20万</t>
  </si>
  <si>
    <t>490717亿</t>
  </si>
  <si>
    <t>16000282亿</t>
  </si>
  <si>
    <t>292733030亿</t>
  </si>
  <si>
    <t>792253420亿</t>
  </si>
  <si>
    <t>7404.95万</t>
  </si>
  <si>
    <t>4064.99万</t>
  </si>
  <si>
    <t>4760.83万</t>
  </si>
  <si>
    <t>1587295亿</t>
  </si>
  <si>
    <t>11393745亿</t>
  </si>
  <si>
    <t>80572874亿</t>
  </si>
  <si>
    <t>713062210亿</t>
  </si>
  <si>
    <t>100.10万</t>
  </si>
  <si>
    <t>9099.73万</t>
  </si>
  <si>
    <t>4103.68万</t>
  </si>
  <si>
    <t>1792304亿</t>
  </si>
  <si>
    <t>4508220亿</t>
  </si>
  <si>
    <t>122256260亿</t>
  </si>
  <si>
    <t>739987180亿</t>
  </si>
  <si>
    <t>10派2.3元(含税)</t>
  </si>
  <si>
    <t>21.06亿</t>
  </si>
  <si>
    <t>6535.33万</t>
  </si>
  <si>
    <t>8306亿</t>
  </si>
  <si>
    <t>8023438亿</t>
  </si>
  <si>
    <t>213659520亿</t>
  </si>
  <si>
    <t>767504860亿</t>
  </si>
  <si>
    <t>6517.06万</t>
  </si>
  <si>
    <t>6036.64万</t>
  </si>
  <si>
    <t>4647.12万</t>
  </si>
  <si>
    <t>10派5.25元(含税)</t>
  </si>
  <si>
    <t>17.87亿</t>
  </si>
  <si>
    <t>45.63亿</t>
  </si>
  <si>
    <t>1465350亿</t>
  </si>
  <si>
    <t>52894069亿</t>
  </si>
  <si>
    <t>3843102700亿</t>
  </si>
  <si>
    <t>9927213200亿</t>
  </si>
  <si>
    <t>45.77亿</t>
  </si>
  <si>
    <t>139.62亿</t>
  </si>
  <si>
    <t>155.67亿</t>
  </si>
  <si>
    <t>7847076亿</t>
  </si>
  <si>
    <t>198202160亿</t>
  </si>
  <si>
    <t>5175941800亿</t>
  </si>
  <si>
    <t>13279544900亿</t>
  </si>
  <si>
    <t>47.95亿</t>
  </si>
  <si>
    <t>4154.03万</t>
  </si>
  <si>
    <t>13606760亿</t>
  </si>
  <si>
    <t>138213700亿</t>
  </si>
  <si>
    <t>690497970亿</t>
  </si>
  <si>
    <t>10派1.0元(含税)</t>
  </si>
  <si>
    <t>-326196亿</t>
  </si>
  <si>
    <t>38125734亿</t>
  </si>
  <si>
    <t>378191170亿</t>
  </si>
  <si>
    <t>2237654000亿</t>
  </si>
  <si>
    <t>5259.17万</t>
  </si>
  <si>
    <t>-16500亿</t>
  </si>
  <si>
    <t>15576302亿</t>
  </si>
  <si>
    <t>304620040亿</t>
  </si>
  <si>
    <t>2211356900亿</t>
  </si>
  <si>
    <t>21.44亿</t>
  </si>
  <si>
    <t>3893515亿</t>
  </si>
  <si>
    <t>592570790亿</t>
  </si>
  <si>
    <t>2217877500亿</t>
  </si>
  <si>
    <t>8108546亿</t>
  </si>
  <si>
    <t>416644880亿</t>
  </si>
  <si>
    <t>1129618320亿</t>
  </si>
  <si>
    <t>4320.70万</t>
  </si>
  <si>
    <t>-6165082亿</t>
  </si>
  <si>
    <t>279258290亿</t>
  </si>
  <si>
    <t>911638170亿</t>
  </si>
  <si>
    <t>5158.68万</t>
  </si>
  <si>
    <t>-11.63亿</t>
  </si>
  <si>
    <t>169.62万</t>
  </si>
  <si>
    <t>5.39亿</t>
  </si>
  <si>
    <t>6.05亿</t>
  </si>
  <si>
    <t>6.55亿</t>
  </si>
  <si>
    <t>589.16万</t>
  </si>
  <si>
    <t>36.01亿</t>
  </si>
  <si>
    <t>5529.45万</t>
  </si>
  <si>
    <t>4138.79万</t>
  </si>
  <si>
    <t>24.57万</t>
  </si>
  <si>
    <t>16.42亿</t>
  </si>
  <si>
    <t>55.82亿</t>
  </si>
  <si>
    <t>-1175.58万</t>
  </si>
  <si>
    <t>3737.98万</t>
  </si>
  <si>
    <t>560.04万</t>
  </si>
  <si>
    <t>5.09亿</t>
  </si>
  <si>
    <t>816.17万</t>
  </si>
  <si>
    <t>3019.70万</t>
  </si>
  <si>
    <t>26.18万</t>
  </si>
  <si>
    <t>22.14亿</t>
  </si>
  <si>
    <t>-5646.39万</t>
  </si>
  <si>
    <t>-2004.03万</t>
  </si>
  <si>
    <t>2852.77万</t>
  </si>
  <si>
    <t>1491.04万</t>
  </si>
  <si>
    <t>89.89亿</t>
  </si>
  <si>
    <t>24.91亿</t>
  </si>
  <si>
    <t>8464.28万</t>
  </si>
  <si>
    <t>155.34万</t>
  </si>
  <si>
    <t>31.59亿</t>
  </si>
  <si>
    <t>27.17亿</t>
  </si>
  <si>
    <t>67.68亿</t>
  </si>
  <si>
    <t>3866.35万</t>
  </si>
  <si>
    <t>-1225.41万</t>
  </si>
  <si>
    <t>7785.84万</t>
  </si>
  <si>
    <t>225.80万</t>
  </si>
  <si>
    <t>1304.36万</t>
  </si>
  <si>
    <t>2.90万</t>
  </si>
  <si>
    <t>4821.84万</t>
  </si>
  <si>
    <t>1266.74万</t>
  </si>
  <si>
    <t>3800.92万</t>
  </si>
  <si>
    <t>4.29万</t>
  </si>
  <si>
    <t>-1222.27万</t>
  </si>
  <si>
    <t>-2623.08万</t>
  </si>
  <si>
    <t>-1210.40万</t>
  </si>
  <si>
    <t>794.54万</t>
  </si>
  <si>
    <t>9107.86万</t>
  </si>
  <si>
    <t>92.98万</t>
  </si>
  <si>
    <t>374.08万</t>
  </si>
  <si>
    <t>468.46万</t>
  </si>
  <si>
    <t>1.66万</t>
  </si>
  <si>
    <t>221.86万</t>
  </si>
  <si>
    <t>4.62万</t>
  </si>
  <si>
    <t>519.15万</t>
  </si>
  <si>
    <t>-3967.66万</t>
  </si>
  <si>
    <t>425.48万</t>
  </si>
  <si>
    <t>3320.05万</t>
  </si>
  <si>
    <t>-4-0</t>
  </si>
  <si>
    <t>4184.57万</t>
  </si>
  <si>
    <t>7.18亿</t>
  </si>
  <si>
    <t>1727.80万</t>
  </si>
  <si>
    <t>2552.35万</t>
  </si>
  <si>
    <t>123.85万</t>
  </si>
  <si>
    <t>2689.44万</t>
  </si>
  <si>
    <t>8.95亿</t>
  </si>
  <si>
    <t>1283.29万</t>
  </si>
  <si>
    <t>-8889.49万</t>
  </si>
  <si>
    <t>10派0.804558元(含税)</t>
  </si>
  <si>
    <t>3660.20万</t>
  </si>
  <si>
    <t>677.18万</t>
  </si>
  <si>
    <t>1812.32万</t>
  </si>
  <si>
    <t>70.05万</t>
  </si>
  <si>
    <t>546.17万</t>
  </si>
  <si>
    <t>5100.00万</t>
  </si>
  <si>
    <t>5810.99万</t>
  </si>
  <si>
    <t>3144.78万</t>
  </si>
  <si>
    <t>-9613.11万</t>
  </si>
  <si>
    <t>9540.44万</t>
  </si>
  <si>
    <t>360.68万</t>
  </si>
  <si>
    <t>31.42亿</t>
  </si>
  <si>
    <t>1333.82万</t>
  </si>
  <si>
    <t>1721.56万</t>
  </si>
  <si>
    <t>22.51万</t>
  </si>
  <si>
    <t>1273.64万</t>
  </si>
  <si>
    <t>3753.75万</t>
  </si>
  <si>
    <t>4443.40万</t>
  </si>
  <si>
    <t>7544.50万</t>
  </si>
  <si>
    <t>18.00万</t>
  </si>
  <si>
    <t>1671.84万</t>
  </si>
  <si>
    <t>1124.90万</t>
  </si>
  <si>
    <t>347.35万</t>
  </si>
  <si>
    <t>1036.14万</t>
  </si>
  <si>
    <t>8504.54万</t>
  </si>
  <si>
    <t>7587.53万</t>
  </si>
  <si>
    <t>3904.72万</t>
  </si>
  <si>
    <t>4904.49万</t>
  </si>
  <si>
    <t>1557.42万</t>
  </si>
  <si>
    <t>-259.42万</t>
  </si>
  <si>
    <t>2606.32万</t>
  </si>
  <si>
    <t>4791.64万</t>
  </si>
  <si>
    <t>398.32万</t>
  </si>
  <si>
    <t>39.11亿</t>
  </si>
  <si>
    <t>2419.06万</t>
  </si>
  <si>
    <t>7633.13万</t>
  </si>
  <si>
    <t>34.08万</t>
  </si>
  <si>
    <t>18.20亿</t>
  </si>
  <si>
    <t>1777.20万</t>
  </si>
  <si>
    <t>-541.93万</t>
  </si>
  <si>
    <t>1845.92万</t>
  </si>
  <si>
    <t>83.06万</t>
  </si>
  <si>
    <t>7.87亿</t>
  </si>
  <si>
    <t>482.75万</t>
  </si>
  <si>
    <t>1203.42万</t>
  </si>
  <si>
    <t>704.66万</t>
  </si>
  <si>
    <t>19.74万</t>
  </si>
  <si>
    <t>4320.41万</t>
  </si>
  <si>
    <t>-4795.30万</t>
  </si>
  <si>
    <t>1696.22万</t>
  </si>
  <si>
    <t>3909.22万</t>
  </si>
  <si>
    <t>603.78万</t>
  </si>
  <si>
    <t>4808.99万</t>
  </si>
  <si>
    <t>45.21万</t>
  </si>
  <si>
    <t>2814.58万</t>
  </si>
  <si>
    <t>2326.60万</t>
  </si>
  <si>
    <t>60.17万</t>
  </si>
  <si>
    <t>344.06万</t>
  </si>
  <si>
    <t>636.64万</t>
  </si>
  <si>
    <t>65.82万</t>
  </si>
  <si>
    <t>481.75万</t>
  </si>
  <si>
    <t>4384.35万</t>
  </si>
  <si>
    <t>5869.24万</t>
  </si>
  <si>
    <t>241.90万</t>
  </si>
  <si>
    <t>-333.24万</t>
  </si>
  <si>
    <t>-12.04万</t>
  </si>
  <si>
    <t>4222.37万</t>
  </si>
  <si>
    <t>-666.58万</t>
  </si>
  <si>
    <t>256.87万</t>
  </si>
  <si>
    <t>2698.00万</t>
  </si>
  <si>
    <t>538.05万</t>
  </si>
  <si>
    <t>8984.73万</t>
  </si>
  <si>
    <t>244.38万</t>
  </si>
  <si>
    <t>1011.62万</t>
  </si>
  <si>
    <t>14.72万</t>
  </si>
  <si>
    <t>6512.91万</t>
  </si>
  <si>
    <t>198.70万</t>
  </si>
  <si>
    <t>6974.24万</t>
  </si>
  <si>
    <t>2728.55万</t>
  </si>
  <si>
    <t>-6.33万</t>
  </si>
  <si>
    <t>8580.27万</t>
  </si>
  <si>
    <t>-560.53万</t>
  </si>
  <si>
    <t>2100.97万</t>
  </si>
  <si>
    <t>7398.12万</t>
  </si>
  <si>
    <t>115.76万</t>
  </si>
  <si>
    <t>6693.15万</t>
  </si>
  <si>
    <t>8692.67万</t>
  </si>
  <si>
    <t>140.86万</t>
  </si>
  <si>
    <t>1009.09万</t>
  </si>
  <si>
    <t>3899.50万</t>
  </si>
  <si>
    <t>2098.56万</t>
  </si>
  <si>
    <t>4503.20万</t>
  </si>
  <si>
    <t>396.96万</t>
  </si>
  <si>
    <t>708.89万</t>
  </si>
  <si>
    <t>-1586.55万</t>
  </si>
  <si>
    <t>988.43万</t>
  </si>
  <si>
    <t>672.63万</t>
  </si>
  <si>
    <t>6436.69万</t>
  </si>
  <si>
    <t>1442.75万</t>
  </si>
  <si>
    <t>449.40亿</t>
  </si>
  <si>
    <t>3464.61万</t>
  </si>
  <si>
    <t>8303.97万</t>
  </si>
  <si>
    <t>351.13万</t>
  </si>
  <si>
    <t>4961.26万</t>
  </si>
  <si>
    <t>15.09亿</t>
  </si>
  <si>
    <t>26.57亿</t>
  </si>
  <si>
    <t>2362.32万</t>
  </si>
  <si>
    <t>107.69亿</t>
  </si>
  <si>
    <t>6391.29万</t>
  </si>
  <si>
    <t>1837.86万</t>
  </si>
  <si>
    <t>109.42亿</t>
  </si>
  <si>
    <t>229.71亿</t>
  </si>
  <si>
    <t>35.34亿</t>
  </si>
  <si>
    <t>27.91亿</t>
  </si>
  <si>
    <t>555.24万</t>
  </si>
  <si>
    <t>28.01万</t>
  </si>
  <si>
    <t>99.95亿</t>
  </si>
  <si>
    <t>29.87亿</t>
  </si>
  <si>
    <t>-3422.38万</t>
  </si>
  <si>
    <t>-3.15亿</t>
  </si>
  <si>
    <t>142.66亿</t>
  </si>
  <si>
    <t>136.98亿</t>
  </si>
  <si>
    <t>40.09亿</t>
  </si>
  <si>
    <t>-4.67亿</t>
  </si>
  <si>
    <t>9303.77万</t>
  </si>
  <si>
    <t>1683.30万</t>
  </si>
  <si>
    <t>8184.78万</t>
  </si>
  <si>
    <t>118.01万</t>
  </si>
  <si>
    <t>505.77万</t>
  </si>
  <si>
    <t>78.11万</t>
  </si>
  <si>
    <t>7742.98万</t>
  </si>
  <si>
    <t>8250.07万</t>
  </si>
  <si>
    <t>3714.55万</t>
  </si>
  <si>
    <t>-514.50万</t>
  </si>
  <si>
    <t>49.08万</t>
  </si>
  <si>
    <t>936.89万</t>
  </si>
  <si>
    <t>3672.22万</t>
  </si>
  <si>
    <t>304.38万</t>
  </si>
  <si>
    <t>19.20亿</t>
  </si>
  <si>
    <t>140.45亿</t>
  </si>
  <si>
    <t>402.77万</t>
  </si>
  <si>
    <t>1388.52万</t>
  </si>
  <si>
    <t>2524.64万</t>
  </si>
  <si>
    <t>149.86万</t>
  </si>
  <si>
    <t>31.91亿</t>
  </si>
  <si>
    <t>1418.37万</t>
  </si>
  <si>
    <t>9979.16万</t>
  </si>
  <si>
    <t>SH603350</t>
  </si>
  <si>
    <t>C安乃达</t>
  </si>
  <si>
    <t>1963.81万</t>
  </si>
  <si>
    <t>7.62亿</t>
  </si>
  <si>
    <t>11.56亿</t>
  </si>
  <si>
    <t>875.02万</t>
  </si>
  <si>
    <t>1388.13万</t>
  </si>
  <si>
    <t>-1192356亿</t>
  </si>
  <si>
    <t>2.59万</t>
  </si>
  <si>
    <t>33650900亿</t>
  </si>
  <si>
    <t>345243610亿</t>
  </si>
  <si>
    <t>910.72万</t>
  </si>
  <si>
    <t>1134935990亿</t>
  </si>
  <si>
    <t>8532.32万</t>
  </si>
  <si>
    <t>4010.83万</t>
  </si>
  <si>
    <t>8983.67万</t>
  </si>
  <si>
    <t>-913.70万</t>
  </si>
  <si>
    <t>9011.32万</t>
  </si>
  <si>
    <t>13.98亿</t>
  </si>
  <si>
    <t>11.80亿</t>
  </si>
  <si>
    <t>7.69亿</t>
  </si>
  <si>
    <t>7813.88万</t>
  </si>
  <si>
    <t>2461.45万</t>
  </si>
  <si>
    <t>2631.07万</t>
  </si>
  <si>
    <t>6458.54万</t>
  </si>
  <si>
    <t>157.25万</t>
  </si>
  <si>
    <t>7878.35万</t>
  </si>
  <si>
    <t>1858.51万</t>
  </si>
  <si>
    <t>2825.02万</t>
  </si>
  <si>
    <t>3.49万</t>
  </si>
  <si>
    <t>14.40亿</t>
  </si>
  <si>
    <t>6417.65万</t>
  </si>
  <si>
    <t>6444.90万</t>
  </si>
  <si>
    <t>94.96万</t>
  </si>
  <si>
    <t>-9702.89万</t>
  </si>
  <si>
    <t>-157.21万</t>
  </si>
  <si>
    <t>1752.40万</t>
  </si>
  <si>
    <t>750.85万</t>
  </si>
  <si>
    <t>4073.59万</t>
  </si>
  <si>
    <t>496.53万</t>
  </si>
  <si>
    <t>-5242.02万</t>
  </si>
  <si>
    <t>5662.29万</t>
  </si>
  <si>
    <t>8849.24万</t>
  </si>
  <si>
    <t>8.11万</t>
  </si>
  <si>
    <t>2564.21万</t>
  </si>
  <si>
    <t>9039.30万</t>
  </si>
  <si>
    <t>2800.00万</t>
  </si>
  <si>
    <t>2430.37万</t>
  </si>
  <si>
    <t>-8099.92万</t>
  </si>
  <si>
    <t>7096.05万</t>
  </si>
  <si>
    <t>6232.77万</t>
  </si>
  <si>
    <t>-425.53万</t>
  </si>
  <si>
    <t>2058.49万</t>
  </si>
  <si>
    <t>神力股份</t>
  </si>
  <si>
    <t>97.59万</t>
  </si>
  <si>
    <t>208.88万</t>
  </si>
  <si>
    <t>109.28万</t>
  </si>
  <si>
    <t>1314.73万</t>
  </si>
  <si>
    <t>167.91万</t>
  </si>
  <si>
    <t>-3939.78万</t>
  </si>
  <si>
    <t>4928.93万</t>
  </si>
  <si>
    <t>-5885.24万</t>
  </si>
  <si>
    <t>1019.43万</t>
  </si>
  <si>
    <t>373.69万</t>
  </si>
  <si>
    <t>3644.75万</t>
  </si>
  <si>
    <t>222.55万</t>
  </si>
  <si>
    <t>33.79亿</t>
  </si>
  <si>
    <t>982.73万</t>
  </si>
  <si>
    <t>879.04万</t>
  </si>
  <si>
    <t>5509.40万</t>
  </si>
  <si>
    <t>664.72万</t>
  </si>
  <si>
    <t>-3683.91万</t>
  </si>
  <si>
    <t>9043.08万</t>
  </si>
  <si>
    <t>1334.09万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</si>
</sst>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10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</cellXfs>
  <cellStyles count="2">
    <cellStyle name="常规" xfId="0" builtinId="0"/>
    <cellStyle name="常规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412750</xdr:colOff>
          <xdr:row>0</xdr:row>
          <xdr:rowOff>50800</xdr:rowOff>
        </xdr:from>
        <xdr:to>
          <xdr:col>147</xdr:col>
          <xdr:colOff>1593850</xdr:colOff>
          <xdr:row>1</xdr:row>
          <xdr:rowOff>0</xdr:rowOff>
        </xdr:to>
        <xdr:sp macro="" textlink="">
          <xdr:nvSpPr>
            <xdr:cNvPr id="1025" name="Button 1" descr="更新基本面按钮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0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19" sqref="C19:C20"/>
    </sheetView>
  </sheetViews>
  <sheetFormatPr defaultRowHeight="14" x14ac:dyDescent="0.25"/>
  <cols>
    <col min="1" max="1" width="41.81640625" customWidth="1"/>
    <col min="2" max="2" width="38.36328125" customWidth="1"/>
    <col min="3" max="3" width="47.36328125" customWidth="1"/>
    <col min="4" max="4" width="12.08984375" style="3" customWidth="1"/>
    <col min="9" max="9" width="10.90625" customWidth="1"/>
    <col min="148" max="148" width="24.90625" customWidth="1"/>
  </cols>
  <sheetData>
    <row r="1" spans="1:146" s="2" customFormat="1" ht="50.25" customHeight="1" x14ac:dyDescent="0.25">
      <c r="A1" s="4" t="s">
        <v>3</v>
      </c>
      <c r="B1" s="5" t="s">
        <v>4</v>
      </c>
      <c r="C1" s="4" t="s">
        <v>5</v>
      </c>
      <c r="D1" t="s">
        <v>392</v>
      </c>
      <c r="E1" t="s">
        <v>437</v>
      </c>
      <c r="F1" t="s">
        <v>0</v>
      </c>
      <c r="G1" t="s">
        <v>394</v>
      </c>
      <c r="H1" t="s">
        <v>523</v>
      </c>
      <c r="I1" t="s">
        <v>6</v>
      </c>
      <c r="J1" t="s">
        <v>7</v>
      </c>
      <c r="K1" t="s">
        <v>1</v>
      </c>
      <c r="L1" t="s">
        <v>8</v>
      </c>
      <c r="M1" t="s">
        <v>9</v>
      </c>
      <c r="N1" t="s">
        <v>10</v>
      </c>
      <c r="O1" t="s">
        <v>11</v>
      </c>
      <c r="P1" t="s">
        <v>524</v>
      </c>
      <c r="Q1" t="s">
        <v>525</v>
      </c>
      <c r="R1" t="s">
        <v>438</v>
      </c>
      <c r="S1" t="s">
        <v>12</v>
      </c>
      <c r="T1" t="s">
        <v>526</v>
      </c>
      <c r="U1" t="s">
        <v>395</v>
      </c>
      <c r="V1" t="s">
        <v>13</v>
      </c>
      <c r="W1" t="s">
        <v>527</v>
      </c>
      <c r="X1" t="s">
        <v>528</v>
      </c>
      <c r="Y1" t="s">
        <v>529</v>
      </c>
      <c r="Z1" t="s">
        <v>530</v>
      </c>
      <c r="AA1" t="s">
        <v>531</v>
      </c>
      <c r="AB1" t="s">
        <v>532</v>
      </c>
      <c r="AC1" t="s">
        <v>533</v>
      </c>
      <c r="AD1" t="s">
        <v>534</v>
      </c>
      <c r="AE1" t="s">
        <v>14</v>
      </c>
      <c r="AF1" t="s">
        <v>15</v>
      </c>
      <c r="AG1" t="s">
        <v>535</v>
      </c>
      <c r="AH1" t="s">
        <v>536</v>
      </c>
      <c r="AI1" t="s">
        <v>537</v>
      </c>
      <c r="AJ1" t="s">
        <v>16</v>
      </c>
      <c r="AK1" t="s">
        <v>538</v>
      </c>
      <c r="AL1" t="s">
        <v>125</v>
      </c>
      <c r="AM1" t="s">
        <v>539</v>
      </c>
      <c r="AN1" t="s">
        <v>540</v>
      </c>
      <c r="AO1" t="s">
        <v>541</v>
      </c>
      <c r="AP1" t="s">
        <v>542</v>
      </c>
      <c r="AQ1" t="s">
        <v>543</v>
      </c>
      <c r="AR1" t="s">
        <v>544</v>
      </c>
      <c r="AS1" t="s">
        <v>545</v>
      </c>
      <c r="AT1" t="s">
        <v>546</v>
      </c>
      <c r="AU1" t="s">
        <v>547</v>
      </c>
      <c r="AV1" t="s">
        <v>548</v>
      </c>
      <c r="AW1" t="s">
        <v>549</v>
      </c>
      <c r="AX1" t="s">
        <v>550</v>
      </c>
      <c r="AY1" t="s">
        <v>551</v>
      </c>
      <c r="AZ1" t="s">
        <v>126</v>
      </c>
      <c r="BA1" t="s">
        <v>127</v>
      </c>
      <c r="BB1" t="s">
        <v>128</v>
      </c>
      <c r="BC1" t="s">
        <v>552</v>
      </c>
      <c r="BD1" t="s">
        <v>406</v>
      </c>
      <c r="BE1" t="s">
        <v>129</v>
      </c>
      <c r="BF1" t="s">
        <v>130</v>
      </c>
      <c r="BG1" t="s">
        <v>131</v>
      </c>
      <c r="BH1" t="s">
        <v>553</v>
      </c>
      <c r="BI1" t="s">
        <v>554</v>
      </c>
      <c r="BJ1" t="s">
        <v>555</v>
      </c>
      <c r="BK1" t="s">
        <v>556</v>
      </c>
      <c r="BL1" t="s">
        <v>557</v>
      </c>
      <c r="BM1" t="s">
        <v>558</v>
      </c>
      <c r="BN1" t="s">
        <v>559</v>
      </c>
      <c r="BO1" t="s">
        <v>439</v>
      </c>
      <c r="BP1" t="s">
        <v>396</v>
      </c>
      <c r="BQ1" t="s">
        <v>560</v>
      </c>
      <c r="BR1" t="s">
        <v>440</v>
      </c>
      <c r="BS1" t="s">
        <v>397</v>
      </c>
      <c r="BT1" t="s">
        <v>561</v>
      </c>
      <c r="BU1" t="s">
        <v>467</v>
      </c>
      <c r="BV1" t="s">
        <v>562</v>
      </c>
      <c r="BW1" t="s">
        <v>563</v>
      </c>
      <c r="BX1" t="s">
        <v>238</v>
      </c>
      <c r="BY1" t="s">
        <v>564</v>
      </c>
      <c r="BZ1" t="s">
        <v>565</v>
      </c>
      <c r="CA1" t="s">
        <v>239</v>
      </c>
      <c r="CB1" t="s">
        <v>566</v>
      </c>
      <c r="CC1" t="s">
        <v>567</v>
      </c>
      <c r="CD1" t="s">
        <v>568</v>
      </c>
      <c r="CE1" t="s">
        <v>569</v>
      </c>
      <c r="CF1" t="s">
        <v>219</v>
      </c>
      <c r="CG1" t="s">
        <v>220</v>
      </c>
      <c r="CH1" t="s">
        <v>221</v>
      </c>
      <c r="CI1" t="s">
        <v>222</v>
      </c>
      <c r="CJ1" t="s">
        <v>223</v>
      </c>
      <c r="CK1" t="s">
        <v>224</v>
      </c>
      <c r="CL1" t="s">
        <v>225</v>
      </c>
      <c r="CM1" t="s">
        <v>226</v>
      </c>
      <c r="CN1" t="s">
        <v>227</v>
      </c>
      <c r="CO1" t="s">
        <v>228</v>
      </c>
      <c r="CP1" t="s">
        <v>229</v>
      </c>
      <c r="CQ1" t="s">
        <v>230</v>
      </c>
      <c r="CR1" t="s">
        <v>570</v>
      </c>
      <c r="CS1" t="s">
        <v>571</v>
      </c>
      <c r="CT1" t="s">
        <v>572</v>
      </c>
      <c r="CU1" t="s">
        <v>573</v>
      </c>
      <c r="CV1" t="s">
        <v>574</v>
      </c>
      <c r="CW1" t="s">
        <v>575</v>
      </c>
      <c r="CX1">
        <v>1</v>
      </c>
      <c r="CY1" t="s">
        <v>576</v>
      </c>
      <c r="CZ1" t="s">
        <v>577</v>
      </c>
      <c r="DA1">
        <v>3</v>
      </c>
      <c r="DB1" t="s">
        <v>578</v>
      </c>
      <c r="DC1" t="s">
        <v>579</v>
      </c>
      <c r="DD1">
        <v>6</v>
      </c>
      <c r="DE1" t="s">
        <v>580</v>
      </c>
      <c r="DF1" t="s">
        <v>581</v>
      </c>
      <c r="DG1">
        <v>10</v>
      </c>
      <c r="DH1" t="s">
        <v>582</v>
      </c>
      <c r="DI1" t="s">
        <v>583</v>
      </c>
      <c r="DJ1">
        <v>20</v>
      </c>
      <c r="DK1" t="s">
        <v>584</v>
      </c>
      <c r="DL1" t="s">
        <v>231</v>
      </c>
      <c r="DM1" t="s">
        <v>232</v>
      </c>
      <c r="DN1" s="1" t="s">
        <v>233</v>
      </c>
      <c r="DO1" t="s">
        <v>585</v>
      </c>
      <c r="DP1" t="s">
        <v>586</v>
      </c>
      <c r="DQ1" s="11" t="s">
        <v>587</v>
      </c>
      <c r="DR1" t="s">
        <v>588</v>
      </c>
      <c r="DS1" t="s">
        <v>589</v>
      </c>
      <c r="DT1" t="s">
        <v>590</v>
      </c>
      <c r="DU1" t="s">
        <v>591</v>
      </c>
      <c r="DV1" t="s">
        <v>592</v>
      </c>
      <c r="DW1" t="s">
        <v>593</v>
      </c>
      <c r="DX1" t="s">
        <v>594</v>
      </c>
      <c r="DY1" t="s">
        <v>595</v>
      </c>
      <c r="DZ1" t="s">
        <v>596</v>
      </c>
      <c r="EA1" t="s">
        <v>597</v>
      </c>
      <c r="EB1" t="s">
        <v>598</v>
      </c>
      <c r="EC1" t="s">
        <v>599</v>
      </c>
      <c r="ED1" t="s">
        <v>600</v>
      </c>
      <c r="EE1" t="s">
        <v>601</v>
      </c>
      <c r="EF1" t="s">
        <v>602</v>
      </c>
      <c r="EG1" t="s">
        <v>603</v>
      </c>
      <c r="EH1" t="s">
        <v>604</v>
      </c>
      <c r="EI1" t="s">
        <v>605</v>
      </c>
      <c r="EJ1"/>
      <c r="EK1" s="13" t="s">
        <v>606</v>
      </c>
      <c r="EL1" t="s">
        <v>607</v>
      </c>
      <c r="EM1" t="s">
        <v>608</v>
      </c>
      <c r="EN1" t="s">
        <v>609</v>
      </c>
      <c r="EO1" t="s">
        <v>610</v>
      </c>
      <c r="EP1" t="s">
        <v>611</v>
      </c>
    </row>
    <row r="2" spans="1:146" ht="96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市值67.689532亿, 利润3.99亿; PE17.72; 平均PE20.06; 平均PEG.87, PB2.06; ROIC8%; ROE10.3467%; 股利率1.7782%; 毛利22.5833%; 净利8.3767%; 上一年度营收增16.71%, 利润增4.72%; 当季营收增-4.55%, 利润增-15.47%; 过往5年营收增23.11%, 利润增15.54%
Income profile:
</v>
      </c>
      <c r="D2" t="s">
        <v>288</v>
      </c>
      <c r="E2" t="s">
        <v>289</v>
      </c>
      <c r="F2">
        <v>11.36</v>
      </c>
      <c r="G2">
        <v>1.61</v>
      </c>
      <c r="H2" t="s">
        <v>816</v>
      </c>
      <c r="I2">
        <v>6768953200</v>
      </c>
      <c r="J2">
        <v>17.72</v>
      </c>
      <c r="K2">
        <v>2.06</v>
      </c>
      <c r="L2" t="s">
        <v>468</v>
      </c>
      <c r="M2" t="s">
        <v>662</v>
      </c>
      <c r="N2" t="s">
        <v>817</v>
      </c>
      <c r="O2" t="s">
        <v>175</v>
      </c>
      <c r="P2">
        <v>-4.57</v>
      </c>
      <c r="Q2" t="s">
        <v>663</v>
      </c>
      <c r="R2">
        <v>92984844</v>
      </c>
      <c r="S2" s="6">
        <v>-0.15679999999999999</v>
      </c>
      <c r="T2" t="s">
        <v>234</v>
      </c>
      <c r="U2">
        <v>587144250</v>
      </c>
      <c r="V2">
        <v>595858550</v>
      </c>
      <c r="W2">
        <v>2.62</v>
      </c>
      <c r="X2">
        <v>0.12</v>
      </c>
      <c r="Y2">
        <v>10.17</v>
      </c>
      <c r="Z2" t="s">
        <v>266</v>
      </c>
      <c r="AA2" t="s">
        <v>393</v>
      </c>
      <c r="AB2" t="s">
        <v>818</v>
      </c>
      <c r="AC2" t="s">
        <v>819</v>
      </c>
      <c r="AD2" t="s">
        <v>2</v>
      </c>
      <c r="AE2">
        <v>2900371</v>
      </c>
      <c r="AF2" t="s">
        <v>664</v>
      </c>
      <c r="AG2" t="s">
        <v>820</v>
      </c>
      <c r="AH2" t="s">
        <v>665</v>
      </c>
      <c r="AI2" t="s">
        <v>771</v>
      </c>
      <c r="AJ2" t="s">
        <v>666</v>
      </c>
      <c r="AK2" t="s">
        <v>271</v>
      </c>
      <c r="AL2" t="s">
        <v>667</v>
      </c>
      <c r="AM2" t="s">
        <v>2</v>
      </c>
      <c r="AN2" t="s">
        <v>58</v>
      </c>
      <c r="AO2" t="s">
        <v>375</v>
      </c>
      <c r="AP2" t="s">
        <v>814</v>
      </c>
      <c r="AQ2" t="s">
        <v>821</v>
      </c>
      <c r="AR2" t="s">
        <v>2</v>
      </c>
      <c r="AS2" t="s">
        <v>822</v>
      </c>
      <c r="AT2" t="s">
        <v>2</v>
      </c>
      <c r="AU2" t="s">
        <v>659</v>
      </c>
      <c r="AV2" t="s">
        <v>823</v>
      </c>
      <c r="AW2" t="s">
        <v>82</v>
      </c>
      <c r="AX2" t="s">
        <v>668</v>
      </c>
      <c r="AY2" t="s">
        <v>407</v>
      </c>
      <c r="AZ2" t="s">
        <v>281</v>
      </c>
      <c r="BA2" t="s">
        <v>290</v>
      </c>
      <c r="BB2" t="s">
        <v>291</v>
      </c>
      <c r="BC2" t="s">
        <v>67</v>
      </c>
      <c r="BD2" t="s">
        <v>155</v>
      </c>
      <c r="BE2" t="s">
        <v>254</v>
      </c>
      <c r="BF2" t="s">
        <v>172</v>
      </c>
      <c r="BG2" t="s">
        <v>76</v>
      </c>
      <c r="BH2" t="s">
        <v>663</v>
      </c>
      <c r="BI2" t="s">
        <v>629</v>
      </c>
      <c r="BJ2" t="s">
        <v>668</v>
      </c>
      <c r="BK2" t="s">
        <v>234</v>
      </c>
      <c r="BL2" t="s">
        <v>50</v>
      </c>
      <c r="BM2" t="s">
        <v>67</v>
      </c>
      <c r="BN2">
        <v>7.03</v>
      </c>
      <c r="BO2">
        <v>9.4499999999999993</v>
      </c>
      <c r="BP2">
        <v>7.52</v>
      </c>
      <c r="BQ2">
        <v>9.07</v>
      </c>
      <c r="BR2">
        <v>12.4</v>
      </c>
      <c r="BS2">
        <v>9.57</v>
      </c>
      <c r="BT2" t="s">
        <v>669</v>
      </c>
      <c r="BU2" t="s">
        <v>468</v>
      </c>
      <c r="BV2">
        <v>23.96</v>
      </c>
      <c r="BW2">
        <v>23.75</v>
      </c>
      <c r="BX2">
        <v>20.04</v>
      </c>
      <c r="BY2">
        <v>8.31</v>
      </c>
      <c r="BZ2">
        <v>9.81</v>
      </c>
      <c r="CA2">
        <v>7.01</v>
      </c>
      <c r="CB2">
        <v>-4.78</v>
      </c>
      <c r="CC2">
        <v>-12.87</v>
      </c>
      <c r="CD2" t="s">
        <v>824</v>
      </c>
      <c r="CE2" t="s">
        <v>76</v>
      </c>
      <c r="CF2" s="9">
        <v>-4.5529801324503308E-2</v>
      </c>
      <c r="CG2" s="10">
        <v>-0.15468323636363648</v>
      </c>
      <c r="CH2" s="9">
        <v>0.16714188456535339</v>
      </c>
      <c r="CI2" s="9">
        <v>0.49671697616577148</v>
      </c>
      <c r="CJ2" s="9">
        <v>0.28577467799186707</v>
      </c>
      <c r="CK2" s="9">
        <v>0.1264859139919281</v>
      </c>
      <c r="CL2" s="9">
        <v>7.9568818211555481E-2</v>
      </c>
      <c r="CM2" s="10">
        <v>4.724409431219101E-2</v>
      </c>
      <c r="CN2" s="10">
        <v>0.78873240947723389</v>
      </c>
      <c r="CO2" s="10">
        <v>-0.47794118523597717</v>
      </c>
      <c r="CP2" s="10">
        <v>0.18260869383811951</v>
      </c>
      <c r="CQ2" s="10">
        <v>0.23655913770198822</v>
      </c>
      <c r="CR2">
        <v>20.056157629629631</v>
      </c>
      <c r="CS2">
        <v>0.86771485590795605</v>
      </c>
      <c r="CT2">
        <v>1.7781690140845072</v>
      </c>
      <c r="CU2" s="9">
        <v>0.23113765418529511</v>
      </c>
      <c r="CV2" s="10">
        <v>0.15544063001871108</v>
      </c>
      <c r="CW2">
        <v>0.06</v>
      </c>
      <c r="CX2">
        <v>20.124244583003797</v>
      </c>
      <c r="CY2">
        <v>463418796.24521959</v>
      </c>
      <c r="CZ2">
        <v>0.23113765418529511</v>
      </c>
      <c r="DA2">
        <v>5.8471908762619123</v>
      </c>
      <c r="DB2">
        <v>1594945914.6033638</v>
      </c>
      <c r="DC2">
        <v>0.21958077147603033</v>
      </c>
      <c r="DD2">
        <v>2.4409388207985012</v>
      </c>
      <c r="DE2">
        <v>3820641927.0062709</v>
      </c>
      <c r="DF2">
        <v>0.2034011356830597</v>
      </c>
      <c r="DG2">
        <v>1.2040079462651758</v>
      </c>
      <c r="DH2">
        <v>7745757184.5177946</v>
      </c>
      <c r="DI2">
        <v>0.18491012334823609</v>
      </c>
      <c r="DJ2">
        <v>0.38944454885973567</v>
      </c>
      <c r="DK2">
        <v>23946806361.279644</v>
      </c>
      <c r="DL2">
        <v>0.16179635792970656</v>
      </c>
      <c r="DM2">
        <v>399000000</v>
      </c>
      <c r="DN2">
        <v>0.23113765418529511</v>
      </c>
      <c r="DO2">
        <v>9325953200</v>
      </c>
      <c r="DP2">
        <v>1804433900</v>
      </c>
      <c r="DQ2">
        <v>372</v>
      </c>
      <c r="DR2">
        <v>-0.27666745550979843</v>
      </c>
      <c r="DS2">
        <v>-0.31012386638234757</v>
      </c>
      <c r="DT2" s="11">
        <v>1.0000000000000011E-2</v>
      </c>
      <c r="DU2">
        <v>0.1633333333333333</v>
      </c>
      <c r="DV2">
        <v>0.17333333333333331</v>
      </c>
      <c r="DW2">
        <v>-8.3714063714063709</v>
      </c>
      <c r="DX2">
        <v>0.31397777777777619</v>
      </c>
      <c r="DY2">
        <v>-8.0497602002935338</v>
      </c>
      <c r="DZ2">
        <v>1315</v>
      </c>
      <c r="EA2">
        <v>-8.0369549824097763</v>
      </c>
      <c r="EB2">
        <v>8</v>
      </c>
      <c r="EC2">
        <v>6.2732673719291268E-2</v>
      </c>
      <c r="ED2">
        <v>0.46823193189054685</v>
      </c>
      <c r="EE2" s="12">
        <v>3.0051100000000002</v>
      </c>
      <c r="EF2">
        <v>3.0317099999999999</v>
      </c>
      <c r="EG2">
        <v>18.133977777777776</v>
      </c>
      <c r="EH2" t="s">
        <v>499</v>
      </c>
      <c r="EI2">
        <v>0</v>
      </c>
      <c r="EJ2">
        <v>1</v>
      </c>
      <c r="EK2" s="13">
        <v>45470</v>
      </c>
      <c r="EL2">
        <v>1.1200000000000001</v>
      </c>
      <c r="EM2">
        <v>-4.68</v>
      </c>
      <c r="EN2">
        <v>-0.75</v>
      </c>
      <c r="EO2">
        <v>0.84</v>
      </c>
      <c r="EP2">
        <v>-2.66</v>
      </c>
    </row>
    <row r="3" spans="1:146" ht="96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市值20.603535亿, 利润1.00亿; PE24.66; 平均PE-9.88; 平均PEG-.61, PB1.47; ROIC4.47%; ROE-3.2867%; 股利率0%; 毛利12.1167%; 净利-1.95%; 上一年度营收增7.08%, 利润增143.29%; 当季营收增9.21%, 利润增-124.47%; 过往5年营收增16.18%, 利润增-928.68%
Income profile:
</v>
      </c>
      <c r="D3" t="s">
        <v>292</v>
      </c>
      <c r="E3" t="s">
        <v>293</v>
      </c>
      <c r="F3">
        <v>4.1399999999999997</v>
      </c>
      <c r="G3">
        <v>1.72</v>
      </c>
      <c r="H3" t="s">
        <v>825</v>
      </c>
      <c r="I3">
        <v>2060353500</v>
      </c>
      <c r="J3">
        <v>24.66</v>
      </c>
      <c r="K3">
        <v>1.47</v>
      </c>
      <c r="L3" t="s">
        <v>468</v>
      </c>
      <c r="M3" t="s">
        <v>672</v>
      </c>
      <c r="N3" t="s">
        <v>500</v>
      </c>
      <c r="O3" t="s">
        <v>245</v>
      </c>
      <c r="P3">
        <v>9.11</v>
      </c>
      <c r="Q3" t="s">
        <v>632</v>
      </c>
      <c r="R3">
        <v>-2000000</v>
      </c>
      <c r="S3" s="6">
        <v>-2.02</v>
      </c>
      <c r="T3" t="s">
        <v>51</v>
      </c>
      <c r="U3">
        <v>492185020</v>
      </c>
      <c r="V3">
        <v>497669930</v>
      </c>
      <c r="W3">
        <v>2.98</v>
      </c>
      <c r="X3">
        <v>0.12</v>
      </c>
      <c r="Y3">
        <v>-1.73</v>
      </c>
      <c r="Z3" t="s">
        <v>826</v>
      </c>
      <c r="AA3" t="s">
        <v>38</v>
      </c>
      <c r="AB3" t="s">
        <v>827</v>
      </c>
      <c r="AC3" t="s">
        <v>828</v>
      </c>
      <c r="AD3" t="s">
        <v>2</v>
      </c>
      <c r="AE3">
        <v>8720182</v>
      </c>
      <c r="AF3" t="s">
        <v>673</v>
      </c>
      <c r="AG3" t="s">
        <v>829</v>
      </c>
      <c r="AH3" t="s">
        <v>674</v>
      </c>
      <c r="AI3" t="s">
        <v>285</v>
      </c>
      <c r="AJ3" t="s">
        <v>675</v>
      </c>
      <c r="AK3" t="s">
        <v>111</v>
      </c>
      <c r="AL3" t="s">
        <v>676</v>
      </c>
      <c r="AM3" t="s">
        <v>2</v>
      </c>
      <c r="AN3" t="s">
        <v>249</v>
      </c>
      <c r="AO3" t="s">
        <v>265</v>
      </c>
      <c r="AP3" t="s">
        <v>511</v>
      </c>
      <c r="AQ3" t="s">
        <v>641</v>
      </c>
      <c r="AR3" t="s">
        <v>2</v>
      </c>
      <c r="AS3" t="s">
        <v>830</v>
      </c>
      <c r="AT3" t="s">
        <v>174</v>
      </c>
      <c r="AU3" t="s">
        <v>39</v>
      </c>
      <c r="AV3" t="s">
        <v>831</v>
      </c>
      <c r="AW3" t="s">
        <v>832</v>
      </c>
      <c r="AX3" t="s">
        <v>436</v>
      </c>
      <c r="AY3" t="s">
        <v>270</v>
      </c>
      <c r="AZ3" t="s">
        <v>614</v>
      </c>
      <c r="BA3" t="s">
        <v>319</v>
      </c>
      <c r="BB3" t="s">
        <v>294</v>
      </c>
      <c r="BC3" t="s">
        <v>638</v>
      </c>
      <c r="BD3" t="s">
        <v>677</v>
      </c>
      <c r="BE3" t="s">
        <v>678</v>
      </c>
      <c r="BF3" t="s">
        <v>679</v>
      </c>
      <c r="BG3" t="s">
        <v>680</v>
      </c>
      <c r="BH3" t="s">
        <v>632</v>
      </c>
      <c r="BI3" t="s">
        <v>170</v>
      </c>
      <c r="BJ3" t="s">
        <v>436</v>
      </c>
      <c r="BK3" t="s">
        <v>51</v>
      </c>
      <c r="BL3" t="s">
        <v>681</v>
      </c>
      <c r="BM3" t="s">
        <v>638</v>
      </c>
      <c r="BN3">
        <v>4.47</v>
      </c>
      <c r="BO3" t="s">
        <v>2</v>
      </c>
      <c r="BP3" t="s">
        <v>2</v>
      </c>
      <c r="BQ3">
        <v>6.65</v>
      </c>
      <c r="BR3">
        <v>-18.21</v>
      </c>
      <c r="BS3">
        <v>1.7</v>
      </c>
      <c r="BT3" t="s">
        <v>486</v>
      </c>
      <c r="BU3" t="s">
        <v>468</v>
      </c>
      <c r="BV3">
        <v>15.81</v>
      </c>
      <c r="BW3">
        <v>11.71</v>
      </c>
      <c r="BX3">
        <v>8.83</v>
      </c>
      <c r="BY3">
        <v>3.99</v>
      </c>
      <c r="BZ3">
        <v>-10.029999999999999</v>
      </c>
      <c r="CA3">
        <v>0.19</v>
      </c>
      <c r="CB3">
        <v>-1.19</v>
      </c>
      <c r="CC3">
        <v>-16.02</v>
      </c>
      <c r="CD3" t="s">
        <v>833</v>
      </c>
      <c r="CE3" t="s">
        <v>43</v>
      </c>
      <c r="CF3" s="9">
        <v>9.2134831460674291E-2</v>
      </c>
      <c r="CG3" s="10">
        <v>-1.2447381302006852</v>
      </c>
      <c r="CH3" s="9">
        <v>7.07850381731987E-2</v>
      </c>
      <c r="CI3" s="9">
        <v>0.23268111050128937</v>
      </c>
      <c r="CJ3" s="9">
        <v>0.6764184832572937</v>
      </c>
      <c r="CK3" s="9">
        <v>1.075268816202879E-2</v>
      </c>
      <c r="CL3" s="9">
        <v>-0.18181818723678589</v>
      </c>
      <c r="CM3" s="10">
        <v>1.4329004287719727</v>
      </c>
      <c r="CN3" s="10">
        <v>-9.083282470703125</v>
      </c>
      <c r="CO3" s="10">
        <v>1.0440330505371094</v>
      </c>
      <c r="CP3" s="10">
        <v>-40.858989715576172</v>
      </c>
      <c r="CQ3" s="10">
        <v>1.0315550565719604</v>
      </c>
      <c r="CR3">
        <v>-9.8806848249848276</v>
      </c>
      <c r="CS3">
        <v>-0.61080929119980654</v>
      </c>
      <c r="CT3">
        <v>0</v>
      </c>
      <c r="CU3" s="9">
        <v>0.16176382657140492</v>
      </c>
      <c r="CV3" s="10">
        <v>-9.2867567300796505</v>
      </c>
      <c r="CW3">
        <v>0.06</v>
      </c>
      <c r="CX3">
        <v>30.32246855538915</v>
      </c>
      <c r="CY3">
        <v>109600360.99730235</v>
      </c>
      <c r="CZ3">
        <v>0.16176382657140492</v>
      </c>
      <c r="DA3">
        <v>9.3295785593725924</v>
      </c>
      <c r="DB3">
        <v>356216894.34849381</v>
      </c>
      <c r="DC3">
        <v>0.15367563524283467</v>
      </c>
      <c r="DD3">
        <v>4.2282079621682334</v>
      </c>
      <c r="DE3">
        <v>785995752.74811649</v>
      </c>
      <c r="DF3">
        <v>0.14235216738283632</v>
      </c>
      <c r="DG3">
        <v>2.3061615024780853</v>
      </c>
      <c r="DH3">
        <v>1441075786.0752125</v>
      </c>
      <c r="DI3">
        <v>0.12941106125712395</v>
      </c>
      <c r="DJ3">
        <v>0.95476885226664099</v>
      </c>
      <c r="DK3">
        <v>3480793798.5307021</v>
      </c>
      <c r="DL3">
        <v>0.11323467859998344</v>
      </c>
      <c r="DM3">
        <v>100000000</v>
      </c>
      <c r="DN3">
        <v>0.16176382657140492</v>
      </c>
      <c r="DO3">
        <v>3323353500</v>
      </c>
      <c r="DP3">
        <v>-67288000</v>
      </c>
      <c r="DQ3">
        <v>706</v>
      </c>
      <c r="DR3">
        <v>-6.9628995110730632E-2</v>
      </c>
      <c r="DS3">
        <v>8.0420185998789648</v>
      </c>
      <c r="DT3" s="11">
        <v>-0.12333333333333336</v>
      </c>
      <c r="DU3">
        <v>-1.4650000000000001</v>
      </c>
      <c r="DV3">
        <v>-1.5883333333333334</v>
      </c>
      <c r="DW3">
        <v>-3.0002261904761904</v>
      </c>
      <c r="DX3">
        <v>0.34644664179104523</v>
      </c>
      <c r="DY3">
        <v>-3.0000240772165956</v>
      </c>
      <c r="DZ3">
        <v>4085</v>
      </c>
      <c r="EA3">
        <v>-3.0000048295786712</v>
      </c>
      <c r="EB3">
        <v>3</v>
      </c>
      <c r="EC3">
        <v>5.732253101970617E-2</v>
      </c>
      <c r="ED3">
        <v>0.53850952980020317</v>
      </c>
      <c r="EE3" s="12">
        <v>-3.0920999999999998</v>
      </c>
      <c r="EF3">
        <v>-3.0685000000000002</v>
      </c>
      <c r="EG3">
        <v>24.106446641791045</v>
      </c>
      <c r="EH3" t="s">
        <v>618</v>
      </c>
      <c r="EI3">
        <v>0</v>
      </c>
      <c r="EJ3">
        <v>0</v>
      </c>
      <c r="EK3" s="13">
        <v>45470</v>
      </c>
      <c r="EL3">
        <v>0.49</v>
      </c>
      <c r="EM3">
        <v>-4.1399999999999997</v>
      </c>
      <c r="EN3">
        <v>2.0299999999999998</v>
      </c>
      <c r="EO3">
        <v>5.22</v>
      </c>
      <c r="EP3">
        <v>-2.36</v>
      </c>
    </row>
    <row r="4" spans="1:146" ht="96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市值111.331693亿, 利润6.30亿; PE16.65; 平均PE-73.21; 平均PEG-11.82, PB1.25; ROIC4.61%; ROE4.8%; 股利率2.8139%; 毛利20.8533%; 净利4.1867%; 上一年度营收增3.28%, 利润增47.54%; 当季营收增.81%, 利润增22.56%; 过往5年营收增6.19%, 利润增91.08%
Income profile:
</v>
      </c>
      <c r="D4" t="s">
        <v>295</v>
      </c>
      <c r="E4" t="s">
        <v>296</v>
      </c>
      <c r="F4">
        <v>4.62</v>
      </c>
      <c r="G4">
        <v>-0.43</v>
      </c>
      <c r="H4" t="s">
        <v>834</v>
      </c>
      <c r="I4">
        <v>11133169300</v>
      </c>
      <c r="J4">
        <v>16.649999999999999</v>
      </c>
      <c r="K4">
        <v>1.25</v>
      </c>
      <c r="L4" t="s">
        <v>468</v>
      </c>
      <c r="M4" t="s">
        <v>682</v>
      </c>
      <c r="N4" t="s">
        <v>835</v>
      </c>
      <c r="O4" t="s">
        <v>683</v>
      </c>
      <c r="P4">
        <v>0.81</v>
      </c>
      <c r="Q4" t="s">
        <v>637</v>
      </c>
      <c r="R4">
        <v>208357200</v>
      </c>
      <c r="S4" s="6">
        <v>0.2258</v>
      </c>
      <c r="T4" t="s">
        <v>616</v>
      </c>
      <c r="U4">
        <v>1799803500</v>
      </c>
      <c r="V4">
        <v>2409776900</v>
      </c>
      <c r="W4">
        <v>1.86</v>
      </c>
      <c r="X4">
        <v>0.17</v>
      </c>
      <c r="Y4">
        <v>7.89</v>
      </c>
      <c r="Z4" t="s">
        <v>836</v>
      </c>
      <c r="AA4" t="s">
        <v>761</v>
      </c>
      <c r="AB4" t="s">
        <v>837</v>
      </c>
      <c r="AC4" t="s">
        <v>120</v>
      </c>
      <c r="AD4" t="s">
        <v>2</v>
      </c>
      <c r="AE4">
        <v>-47648397</v>
      </c>
      <c r="AF4" t="s">
        <v>684</v>
      </c>
      <c r="AG4" t="s">
        <v>838</v>
      </c>
      <c r="AH4" t="s">
        <v>685</v>
      </c>
      <c r="AI4" t="s">
        <v>839</v>
      </c>
      <c r="AJ4" t="s">
        <v>686</v>
      </c>
      <c r="AK4" t="s">
        <v>272</v>
      </c>
      <c r="AL4" t="s">
        <v>687</v>
      </c>
      <c r="AM4" t="s">
        <v>2</v>
      </c>
      <c r="AN4" t="s">
        <v>18</v>
      </c>
      <c r="AO4" t="s">
        <v>688</v>
      </c>
      <c r="AP4" t="s">
        <v>840</v>
      </c>
      <c r="AQ4" t="s">
        <v>698</v>
      </c>
      <c r="AR4" t="s">
        <v>2</v>
      </c>
      <c r="AS4" t="s">
        <v>841</v>
      </c>
      <c r="AT4" t="s">
        <v>842</v>
      </c>
      <c r="AU4" t="s">
        <v>69</v>
      </c>
      <c r="AV4" t="s">
        <v>184</v>
      </c>
      <c r="AW4" t="s">
        <v>843</v>
      </c>
      <c r="AX4" t="s">
        <v>501</v>
      </c>
      <c r="AY4" t="s">
        <v>410</v>
      </c>
      <c r="AZ4" t="s">
        <v>297</v>
      </c>
      <c r="BA4" t="s">
        <v>298</v>
      </c>
      <c r="BB4" t="s">
        <v>299</v>
      </c>
      <c r="BC4" t="s">
        <v>206</v>
      </c>
      <c r="BD4" t="s">
        <v>255</v>
      </c>
      <c r="BE4" t="s">
        <v>26</v>
      </c>
      <c r="BF4" t="s">
        <v>300</v>
      </c>
      <c r="BG4" t="s">
        <v>301</v>
      </c>
      <c r="BH4" t="s">
        <v>637</v>
      </c>
      <c r="BI4" t="s">
        <v>661</v>
      </c>
      <c r="BJ4" t="s">
        <v>501</v>
      </c>
      <c r="BK4" t="s">
        <v>616</v>
      </c>
      <c r="BL4" t="s">
        <v>104</v>
      </c>
      <c r="BM4" t="s">
        <v>206</v>
      </c>
      <c r="BN4">
        <v>5.69</v>
      </c>
      <c r="BO4">
        <v>5</v>
      </c>
      <c r="BP4">
        <v>3.14</v>
      </c>
      <c r="BQ4">
        <v>6.23</v>
      </c>
      <c r="BR4">
        <v>5.2</v>
      </c>
      <c r="BS4">
        <v>2.97</v>
      </c>
      <c r="BT4" t="s">
        <v>513</v>
      </c>
      <c r="BU4" t="s">
        <v>468</v>
      </c>
      <c r="BV4">
        <v>22.69</v>
      </c>
      <c r="BW4">
        <v>20.3</v>
      </c>
      <c r="BX4">
        <v>19.57</v>
      </c>
      <c r="BY4">
        <v>5.98</v>
      </c>
      <c r="BZ4">
        <v>3.89</v>
      </c>
      <c r="CA4">
        <v>2.69</v>
      </c>
      <c r="CB4">
        <v>-2.33</v>
      </c>
      <c r="CC4">
        <v>-7.97</v>
      </c>
      <c r="CD4" t="s">
        <v>844</v>
      </c>
      <c r="CE4" t="s">
        <v>96</v>
      </c>
      <c r="CF4" s="9">
        <v>8.1481481481481474E-3</v>
      </c>
      <c r="CG4" s="10">
        <v>0.22563058823529411</v>
      </c>
      <c r="CH4" s="9">
        <v>3.2753948122262955E-2</v>
      </c>
      <c r="CI4" s="9">
        <v>9.1144993901252747E-2</v>
      </c>
      <c r="CJ4" s="9">
        <v>0.28819450736045837</v>
      </c>
      <c r="CK4" s="9">
        <v>-4.5421048998832703E-2</v>
      </c>
      <c r="CL4" s="9">
        <v>-5.6957658380270004E-2</v>
      </c>
      <c r="CM4" s="10">
        <v>0.47540983557701111</v>
      </c>
      <c r="CN4" s="10">
        <v>0.70800000429153442</v>
      </c>
      <c r="CO4" s="10">
        <v>1.4271844625473022</v>
      </c>
      <c r="CP4" s="10">
        <v>0.92103970050811768</v>
      </c>
      <c r="CQ4" s="10">
        <v>1.0225660800933838</v>
      </c>
      <c r="CR4">
        <v>-73.213772239558992</v>
      </c>
      <c r="CS4">
        <v>-11.819549138285359</v>
      </c>
      <c r="CT4">
        <v>2.8138528138528138</v>
      </c>
      <c r="CU4" s="9">
        <v>6.1942948400974272E-2</v>
      </c>
      <c r="CV4" s="10">
        <v>0.9108400166034698</v>
      </c>
      <c r="CW4">
        <v>0.06</v>
      </c>
      <c r="CX4">
        <v>14.977577182432826</v>
      </c>
      <c r="CY4">
        <v>631154771.21944702</v>
      </c>
      <c r="CZ4">
        <v>6.1942948400974272E-2</v>
      </c>
      <c r="DA4">
        <v>5.0125850332060109</v>
      </c>
      <c r="DB4">
        <v>1885887069.7209551</v>
      </c>
      <c r="DC4">
        <v>5.8845800980925553E-2</v>
      </c>
      <c r="DD4">
        <v>2.5466069669024591</v>
      </c>
      <c r="DE4">
        <v>3712064493.2100658</v>
      </c>
      <c r="DF4">
        <v>5.4509794592857361E-2</v>
      </c>
      <c r="DG4">
        <v>1.5838582528655598</v>
      </c>
      <c r="DH4">
        <v>5968444008.7344093</v>
      </c>
      <c r="DI4">
        <v>4.9554358720779422E-2</v>
      </c>
      <c r="DJ4">
        <v>0.88217185075431503</v>
      </c>
      <c r="DK4">
        <v>10715791137.426249</v>
      </c>
      <c r="DL4">
        <v>4.336006388068199E-2</v>
      </c>
      <c r="DM4">
        <v>630000000</v>
      </c>
      <c r="DN4">
        <v>6.1942948400974272E-2</v>
      </c>
      <c r="DO4">
        <v>9453169300</v>
      </c>
      <c r="DP4">
        <v>3795185499.999999</v>
      </c>
      <c r="DQ4">
        <v>758</v>
      </c>
      <c r="DR4">
        <v>-5.3794800252826125E-2</v>
      </c>
      <c r="DS4">
        <v>-0.68520942836817567</v>
      </c>
      <c r="DT4" s="11">
        <v>-0.3066666666666667</v>
      </c>
      <c r="DU4">
        <v>1.3866666666666665</v>
      </c>
      <c r="DV4">
        <v>1.0799999999999998</v>
      </c>
      <c r="DW4">
        <v>-2.0796999999999999</v>
      </c>
      <c r="DX4">
        <v>0.37718034026465075</v>
      </c>
      <c r="DY4">
        <v>-2.0117302731190927</v>
      </c>
      <c r="DZ4">
        <v>171</v>
      </c>
      <c r="EA4">
        <v>-2.0113377336468101</v>
      </c>
      <c r="EB4">
        <v>2</v>
      </c>
      <c r="EC4">
        <v>3.2309381005353646E-2</v>
      </c>
      <c r="ED4">
        <v>0.21952239645089136</v>
      </c>
      <c r="EE4" s="12">
        <v>3.3600000000000005E-2</v>
      </c>
      <c r="EF4">
        <v>1.2299999999999998E-2</v>
      </c>
      <c r="EG4">
        <v>23.147180340264651</v>
      </c>
      <c r="EH4" t="s">
        <v>441</v>
      </c>
      <c r="EI4">
        <v>0</v>
      </c>
      <c r="EJ4">
        <v>1</v>
      </c>
      <c r="EK4" s="13">
        <v>45470</v>
      </c>
      <c r="EL4">
        <v>0.62</v>
      </c>
      <c r="EM4">
        <v>-2.48</v>
      </c>
      <c r="EN4">
        <v>-1.06</v>
      </c>
      <c r="EO4">
        <v>3.43</v>
      </c>
      <c r="EP4">
        <v>-2.13</v>
      </c>
    </row>
    <row r="5" spans="1:146" ht="96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市值18.09496亿, 利润8801.06万; PE23.85; 平均PE27.05; 平均PEG3.04, PB1.49; ROIC6.9467%; ROE7.5433%; 股利率.5018%; 毛利14.1767%; 净利4.7067%; 上一年度营收增-4.39%, 利润增30.39%; 当季营收增-23.35%, 利润增-47.71%; 过往5年营收增8.9%, 利润增49.78%
Income profile:
</v>
      </c>
      <c r="D5" t="s">
        <v>302</v>
      </c>
      <c r="E5" t="s">
        <v>303</v>
      </c>
      <c r="F5">
        <v>10.96</v>
      </c>
      <c r="G5">
        <v>0.27</v>
      </c>
      <c r="H5" t="s">
        <v>812</v>
      </c>
      <c r="I5">
        <v>1809496000</v>
      </c>
      <c r="J5">
        <v>23.85</v>
      </c>
      <c r="K5">
        <v>1.49</v>
      </c>
      <c r="L5" t="s">
        <v>468</v>
      </c>
      <c r="M5" t="s">
        <v>244</v>
      </c>
      <c r="N5" t="s">
        <v>444</v>
      </c>
      <c r="O5" t="s">
        <v>237</v>
      </c>
      <c r="P5">
        <v>-23.29</v>
      </c>
      <c r="Q5" t="s">
        <v>690</v>
      </c>
      <c r="R5">
        <v>13313664</v>
      </c>
      <c r="S5" s="6">
        <v>-0.47710000000000002</v>
      </c>
      <c r="T5" t="s">
        <v>691</v>
      </c>
      <c r="U5">
        <v>161902770</v>
      </c>
      <c r="V5">
        <v>165100000</v>
      </c>
      <c r="W5">
        <v>1.43</v>
      </c>
      <c r="X5">
        <v>0.23</v>
      </c>
      <c r="Y5">
        <v>3.46</v>
      </c>
      <c r="Z5" t="s">
        <v>378</v>
      </c>
      <c r="AA5" t="s">
        <v>259</v>
      </c>
      <c r="AB5" t="s">
        <v>845</v>
      </c>
      <c r="AC5" t="s">
        <v>846</v>
      </c>
      <c r="AD5" t="s">
        <v>2</v>
      </c>
      <c r="AE5">
        <v>-181720</v>
      </c>
      <c r="AF5" t="s">
        <v>692</v>
      </c>
      <c r="AG5" t="s">
        <v>847</v>
      </c>
      <c r="AH5" t="s">
        <v>693</v>
      </c>
      <c r="AI5" t="s">
        <v>73</v>
      </c>
      <c r="AJ5" t="s">
        <v>694</v>
      </c>
      <c r="AK5" t="s">
        <v>848</v>
      </c>
      <c r="AL5" t="s">
        <v>695</v>
      </c>
      <c r="AM5" t="s">
        <v>2</v>
      </c>
      <c r="AN5" t="s">
        <v>849</v>
      </c>
      <c r="AO5" t="s">
        <v>850</v>
      </c>
      <c r="AP5" t="s">
        <v>63</v>
      </c>
      <c r="AQ5" t="s">
        <v>258</v>
      </c>
      <c r="AR5" t="s">
        <v>851</v>
      </c>
      <c r="AS5" t="s">
        <v>625</v>
      </c>
      <c r="AT5" t="s">
        <v>2</v>
      </c>
      <c r="AU5" t="s">
        <v>852</v>
      </c>
      <c r="AV5" t="s">
        <v>853</v>
      </c>
      <c r="AW5" t="s">
        <v>854</v>
      </c>
      <c r="AX5" t="s">
        <v>504</v>
      </c>
      <c r="AY5" t="s">
        <v>413</v>
      </c>
      <c r="AZ5" t="s">
        <v>304</v>
      </c>
      <c r="BA5" t="s">
        <v>306</v>
      </c>
      <c r="BB5" t="s">
        <v>307</v>
      </c>
      <c r="BC5" t="s">
        <v>505</v>
      </c>
      <c r="BD5" t="s">
        <v>26</v>
      </c>
      <c r="BE5" t="s">
        <v>305</v>
      </c>
      <c r="BF5" t="s">
        <v>309</v>
      </c>
      <c r="BG5" t="s">
        <v>310</v>
      </c>
      <c r="BH5" t="s">
        <v>690</v>
      </c>
      <c r="BI5" t="s">
        <v>171</v>
      </c>
      <c r="BJ5" t="s">
        <v>504</v>
      </c>
      <c r="BK5" t="s">
        <v>691</v>
      </c>
      <c r="BL5" t="s">
        <v>696</v>
      </c>
      <c r="BM5" t="s">
        <v>505</v>
      </c>
      <c r="BN5">
        <v>5.67</v>
      </c>
      <c r="BO5">
        <v>5.51</v>
      </c>
      <c r="BP5">
        <v>9.66</v>
      </c>
      <c r="BQ5">
        <v>6.39</v>
      </c>
      <c r="BR5">
        <v>6.19</v>
      </c>
      <c r="BS5">
        <v>10.050000000000001</v>
      </c>
      <c r="BT5" t="s">
        <v>491</v>
      </c>
      <c r="BU5" t="s">
        <v>468</v>
      </c>
      <c r="BV5">
        <v>14.25</v>
      </c>
      <c r="BW5">
        <v>14.27</v>
      </c>
      <c r="BX5">
        <v>14.01</v>
      </c>
      <c r="BY5">
        <v>5.24</v>
      </c>
      <c r="BZ5">
        <v>3.81</v>
      </c>
      <c r="CA5">
        <v>5.07</v>
      </c>
      <c r="CB5">
        <v>-3.44</v>
      </c>
      <c r="CC5">
        <v>-12.21</v>
      </c>
      <c r="CD5" t="s">
        <v>855</v>
      </c>
      <c r="CE5" t="s">
        <v>856</v>
      </c>
      <c r="CF5" s="9">
        <v>-0.23353293413173654</v>
      </c>
      <c r="CG5" s="10">
        <v>-0.4770793630843434</v>
      </c>
      <c r="CH5" s="9">
        <v>-4.3949734419584274E-2</v>
      </c>
      <c r="CI5" s="9">
        <v>-0.12792430818080902</v>
      </c>
      <c r="CJ5" s="9">
        <v>0.32519784569740295</v>
      </c>
      <c r="CK5" s="9">
        <v>0.17156104743480682</v>
      </c>
      <c r="CL5" s="9">
        <v>0.12034625560045242</v>
      </c>
      <c r="CM5" s="10">
        <v>0.30391868948936462</v>
      </c>
      <c r="CN5" s="10">
        <v>-0.34468930959701538</v>
      </c>
      <c r="CO5" s="10">
        <v>0.15339995920658112</v>
      </c>
      <c r="CP5" s="10">
        <v>1.6094752550125122</v>
      </c>
      <c r="CQ5" s="10">
        <v>0.76700299978256226</v>
      </c>
      <c r="CR5">
        <v>27.047914301494849</v>
      </c>
      <c r="CS5">
        <v>3.0375139931776776</v>
      </c>
      <c r="CT5">
        <v>0.50182481751824815</v>
      </c>
      <c r="CU5" s="9">
        <v>8.9046221226453781E-2</v>
      </c>
      <c r="CV5" s="10">
        <v>0.49782151877880099</v>
      </c>
      <c r="CW5">
        <v>0.06</v>
      </c>
      <c r="CX5">
        <v>12.225925543670277</v>
      </c>
      <c r="CY5">
        <v>90422274.865917861</v>
      </c>
      <c r="CZ5">
        <v>8.9046221226453781E-2</v>
      </c>
      <c r="DA5">
        <v>3.9985468586370678</v>
      </c>
      <c r="DB5">
        <v>276474439.11081636</v>
      </c>
      <c r="DC5">
        <v>8.4593910165131084E-2</v>
      </c>
      <c r="DD5">
        <v>1.9705186945448789</v>
      </c>
      <c r="DE5">
        <v>561017768.09345675</v>
      </c>
      <c r="DF5">
        <v>7.8360674679279332E-2</v>
      </c>
      <c r="DG5">
        <v>1.1847717963394608</v>
      </c>
      <c r="DH5">
        <v>933087708.04268301</v>
      </c>
      <c r="DI5">
        <v>7.1236976981163033E-2</v>
      </c>
      <c r="DJ5">
        <v>0.61366960433767848</v>
      </c>
      <c r="DK5">
        <v>1801451452.3546267</v>
      </c>
      <c r="DL5">
        <v>6.2332354858517645E-2</v>
      </c>
      <c r="DM5">
        <v>88010600</v>
      </c>
      <c r="DN5">
        <v>8.9046221226453781E-2</v>
      </c>
      <c r="DO5">
        <v>1105496000</v>
      </c>
      <c r="DP5">
        <v>856325300</v>
      </c>
      <c r="DQ5">
        <v>1069</v>
      </c>
      <c r="DR5">
        <v>-0.32257915535819032</v>
      </c>
      <c r="DS5">
        <v>-0.97490088186314439</v>
      </c>
      <c r="DT5" s="11">
        <v>-0.19000000000000003</v>
      </c>
      <c r="DU5">
        <v>0.36333333333333329</v>
      </c>
      <c r="DV5">
        <v>0.17333333333333326</v>
      </c>
      <c r="DW5">
        <v>-8.281736281736281</v>
      </c>
      <c r="DX5">
        <v>0.35723673837761938</v>
      </c>
      <c r="DY5">
        <v>-8.0245777543013119</v>
      </c>
      <c r="DZ5">
        <v>1317</v>
      </c>
      <c r="EA5">
        <v>-8.018243331128156</v>
      </c>
      <c r="EB5">
        <v>8</v>
      </c>
      <c r="EC5">
        <v>4.8124772864930346E-2</v>
      </c>
      <c r="ED5">
        <v>0.55165717746820109</v>
      </c>
      <c r="EE5" s="12">
        <v>3.0590000000000002</v>
      </c>
      <c r="EF5">
        <v>3.0415000000000001</v>
      </c>
      <c r="EG5">
        <v>27.087236738377619</v>
      </c>
      <c r="EH5" t="s">
        <v>496</v>
      </c>
      <c r="EI5">
        <v>0</v>
      </c>
      <c r="EJ5">
        <v>1</v>
      </c>
      <c r="EK5" s="13">
        <v>45470</v>
      </c>
      <c r="EL5">
        <v>-0.61</v>
      </c>
      <c r="EM5">
        <v>-5.24</v>
      </c>
      <c r="EN5">
        <v>1.94</v>
      </c>
      <c r="EO5">
        <v>3.44</v>
      </c>
      <c r="EP5">
        <v>-1.75</v>
      </c>
    </row>
    <row r="6" spans="1:146" ht="96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市值41.815987亿, 利润1.21亿; PE35.42; 平均PE22.04; 平均PEG1.45, PB2.68; ROIC18.2333%; ROE18.61%; 股利率1.6474%; 毛利32.2833%; 净利19.14%; 上一年度营收增5.23%, 利润增-60.71%; 当季营收增4.64%, 利润增-4%; 过往5年营收增15.23%, 利润增15.75%
Income profile:
</v>
      </c>
      <c r="D6" t="s">
        <v>311</v>
      </c>
      <c r="E6" t="s">
        <v>312</v>
      </c>
      <c r="F6">
        <v>18.21</v>
      </c>
      <c r="G6">
        <v>0.05</v>
      </c>
      <c r="H6" t="s">
        <v>857</v>
      </c>
      <c r="I6">
        <v>4181598700</v>
      </c>
      <c r="J6">
        <v>35.42</v>
      </c>
      <c r="K6">
        <v>2.68</v>
      </c>
      <c r="L6" t="s">
        <v>468</v>
      </c>
      <c r="M6" t="s">
        <v>169</v>
      </c>
      <c r="N6" t="s">
        <v>622</v>
      </c>
      <c r="O6" t="s">
        <v>122</v>
      </c>
      <c r="P6">
        <v>4.5599999999999996</v>
      </c>
      <c r="Q6" t="s">
        <v>634</v>
      </c>
      <c r="R6">
        <v>72826885</v>
      </c>
      <c r="S6" s="6">
        <v>-0.04</v>
      </c>
      <c r="T6" t="s">
        <v>32</v>
      </c>
      <c r="U6">
        <v>115802700</v>
      </c>
      <c r="V6">
        <v>229632000</v>
      </c>
      <c r="W6">
        <v>1.18</v>
      </c>
      <c r="X6">
        <v>0.17</v>
      </c>
      <c r="Y6">
        <v>23.08</v>
      </c>
      <c r="Z6" t="s">
        <v>77</v>
      </c>
      <c r="AA6" t="s">
        <v>200</v>
      </c>
      <c r="AB6" t="s">
        <v>858</v>
      </c>
      <c r="AC6" t="s">
        <v>859</v>
      </c>
      <c r="AD6" t="s">
        <v>2</v>
      </c>
      <c r="AE6">
        <v>-5415206</v>
      </c>
      <c r="AF6" t="s">
        <v>699</v>
      </c>
      <c r="AG6" t="s">
        <v>860</v>
      </c>
      <c r="AH6" t="s">
        <v>700</v>
      </c>
      <c r="AI6" t="s">
        <v>173</v>
      </c>
      <c r="AJ6" t="s">
        <v>701</v>
      </c>
      <c r="AK6" t="s">
        <v>861</v>
      </c>
      <c r="AL6" t="s">
        <v>702</v>
      </c>
      <c r="AM6" t="s">
        <v>2</v>
      </c>
      <c r="AN6" t="s">
        <v>92</v>
      </c>
      <c r="AO6" t="s">
        <v>2</v>
      </c>
      <c r="AP6" t="s">
        <v>862</v>
      </c>
      <c r="AQ6" t="s">
        <v>168</v>
      </c>
      <c r="AR6" t="s">
        <v>2</v>
      </c>
      <c r="AS6" t="s">
        <v>260</v>
      </c>
      <c r="AT6" t="s">
        <v>2</v>
      </c>
      <c r="AU6" t="s">
        <v>863</v>
      </c>
      <c r="AV6" t="s">
        <v>864</v>
      </c>
      <c r="AW6" t="s">
        <v>2</v>
      </c>
      <c r="AX6" t="s">
        <v>374</v>
      </c>
      <c r="AY6" t="s">
        <v>195</v>
      </c>
      <c r="AZ6" t="s">
        <v>166</v>
      </c>
      <c r="BA6" t="s">
        <v>72</v>
      </c>
      <c r="BB6" t="s">
        <v>19</v>
      </c>
      <c r="BC6" t="s">
        <v>196</v>
      </c>
      <c r="BD6" t="s">
        <v>240</v>
      </c>
      <c r="BE6" t="s">
        <v>48</v>
      </c>
      <c r="BF6" t="s">
        <v>84</v>
      </c>
      <c r="BG6" t="s">
        <v>313</v>
      </c>
      <c r="BH6" t="s">
        <v>634</v>
      </c>
      <c r="BI6" t="s">
        <v>242</v>
      </c>
      <c r="BJ6" t="s">
        <v>374</v>
      </c>
      <c r="BK6" t="s">
        <v>32</v>
      </c>
      <c r="BL6" t="s">
        <v>703</v>
      </c>
      <c r="BM6" t="s">
        <v>196</v>
      </c>
      <c r="BN6">
        <v>12.89</v>
      </c>
      <c r="BO6">
        <v>21.23</v>
      </c>
      <c r="BP6">
        <v>20.58</v>
      </c>
      <c r="BQ6">
        <v>13.85</v>
      </c>
      <c r="BR6">
        <v>21.77</v>
      </c>
      <c r="BS6">
        <v>20.21</v>
      </c>
      <c r="BT6" t="s">
        <v>488</v>
      </c>
      <c r="BU6" t="s">
        <v>468</v>
      </c>
      <c r="BV6">
        <v>33.69</v>
      </c>
      <c r="BW6">
        <v>33.89</v>
      </c>
      <c r="BX6">
        <v>29.27</v>
      </c>
      <c r="BY6">
        <v>9.0399999999999991</v>
      </c>
      <c r="BZ6">
        <v>25.49</v>
      </c>
      <c r="CA6">
        <v>22.89</v>
      </c>
      <c r="CB6">
        <v>-3.96</v>
      </c>
      <c r="CC6">
        <v>-14.75</v>
      </c>
      <c r="CD6" t="s">
        <v>865</v>
      </c>
      <c r="CE6" t="s">
        <v>866</v>
      </c>
      <c r="CF6" s="9">
        <v>4.6357615894039736E-2</v>
      </c>
      <c r="CG6" s="10">
        <v>-4.0023555557898952E-2</v>
      </c>
      <c r="CH6" s="9">
        <v>5.2282214164733887E-2</v>
      </c>
      <c r="CI6" s="9">
        <v>8.363303542137146E-2</v>
      </c>
      <c r="CJ6" s="9">
        <v>0.39348369836807251</v>
      </c>
      <c r="CK6" s="9">
        <v>5.0377831794321537E-3</v>
      </c>
      <c r="CL6" s="9">
        <v>0.22720247507095337</v>
      </c>
      <c r="CM6" s="10">
        <v>-0.6071428656578064</v>
      </c>
      <c r="CN6" s="10">
        <v>0.21259842813014984</v>
      </c>
      <c r="CO6" s="10">
        <v>0.31606218218803406</v>
      </c>
      <c r="CP6" s="10">
        <v>0.16969697177410126</v>
      </c>
      <c r="CQ6" s="10">
        <v>0.69618898630142212</v>
      </c>
      <c r="CR6">
        <v>22.041730092212187</v>
      </c>
      <c r="CS6">
        <v>1.4469928748843945</v>
      </c>
      <c r="CT6">
        <v>1.6474464579901154</v>
      </c>
      <c r="CU6" s="9">
        <v>0.15232784124091267</v>
      </c>
      <c r="CV6" s="10">
        <v>0.15748074054718017</v>
      </c>
      <c r="CW6">
        <v>0.06</v>
      </c>
      <c r="CX6">
        <v>22.218443262430796</v>
      </c>
      <c r="CY6">
        <v>131539310.1793872</v>
      </c>
      <c r="CZ6">
        <v>0.15232784124091267</v>
      </c>
      <c r="DA6">
        <v>6.8901224585229945</v>
      </c>
      <c r="DB6">
        <v>424172243.32272679</v>
      </c>
      <c r="DC6">
        <v>0.14471144917886702</v>
      </c>
      <c r="DD6">
        <v>3.1572474200073919</v>
      </c>
      <c r="DE6">
        <v>925679337.47591996</v>
      </c>
      <c r="DF6">
        <v>0.13404850029200316</v>
      </c>
      <c r="DG6">
        <v>1.7448193028613497</v>
      </c>
      <c r="DH6">
        <v>1675015111.9988163</v>
      </c>
      <c r="DI6">
        <v>0.12186227299273014</v>
      </c>
      <c r="DJ6">
        <v>0.74531986756200408</v>
      </c>
      <c r="DK6">
        <v>3921267669.3565602</v>
      </c>
      <c r="DL6">
        <v>0.10662948886863886</v>
      </c>
      <c r="DM6">
        <v>121000000</v>
      </c>
      <c r="DN6">
        <v>0.15232784124091267</v>
      </c>
      <c r="DO6">
        <v>2922598700</v>
      </c>
      <c r="DP6">
        <v>927056320</v>
      </c>
      <c r="DQ6">
        <v>1274</v>
      </c>
      <c r="DR6">
        <v>-0.10597022534687293</v>
      </c>
      <c r="DS6">
        <v>-0.19750429610507914</v>
      </c>
      <c r="DT6" s="11">
        <v>-0.20666666666666669</v>
      </c>
      <c r="DU6">
        <v>0.26666666666666666</v>
      </c>
      <c r="DV6">
        <v>5.999999999999997E-2</v>
      </c>
      <c r="DW6">
        <v>-8.2684745762711866</v>
      </c>
      <c r="DX6">
        <v>0.39815469646541546</v>
      </c>
      <c r="DY6">
        <v>-8.0344062778307155</v>
      </c>
      <c r="DZ6">
        <v>1569</v>
      </c>
      <c r="EA6">
        <v>-8.0238420019175276</v>
      </c>
      <c r="EB6">
        <v>8</v>
      </c>
      <c r="EC6">
        <v>1.8528776477146042E-2</v>
      </c>
      <c r="ED6">
        <v>0.14458133012820512</v>
      </c>
      <c r="EE6" s="12">
        <v>-4.0237999999999996</v>
      </c>
      <c r="EF6">
        <v>-4.0039999999999996</v>
      </c>
      <c r="EG6">
        <v>27.128154696465415</v>
      </c>
      <c r="EH6" t="s">
        <v>867</v>
      </c>
      <c r="EI6">
        <v>0</v>
      </c>
      <c r="EJ6">
        <v>0</v>
      </c>
      <c r="EK6" s="13">
        <v>45470</v>
      </c>
      <c r="EL6">
        <v>-2.11</v>
      </c>
      <c r="EM6">
        <v>-3.95</v>
      </c>
      <c r="EN6">
        <v>1.01</v>
      </c>
      <c r="EO6">
        <v>1.37</v>
      </c>
      <c r="EP6">
        <v>-1.98</v>
      </c>
    </row>
    <row r="7" spans="1:146" ht="96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市值41.145226亿, 利润7671.86万; PE39.46; 平均PE65.56; 平均PEG4.98, PB2.74; ROIC2.7533%; ROE1.9033%; 股利率.6104%; 毛利14.63%; 净利1.33%; 上一年度营收增13.6%, 利润增209.54%; 当季营收增10.39%, 利润增19895%; 过往5年营收增13.18%, 利润增40.97%
Income profile:
</v>
      </c>
      <c r="D7" t="s">
        <v>314</v>
      </c>
      <c r="E7" t="s">
        <v>315</v>
      </c>
      <c r="F7">
        <v>13.18</v>
      </c>
      <c r="G7">
        <v>-2.37</v>
      </c>
      <c r="H7" t="s">
        <v>868</v>
      </c>
      <c r="I7">
        <v>4114522600</v>
      </c>
      <c r="J7">
        <v>39.46</v>
      </c>
      <c r="K7">
        <v>2.74</v>
      </c>
      <c r="L7" t="s">
        <v>468</v>
      </c>
      <c r="M7" t="s">
        <v>704</v>
      </c>
      <c r="N7" t="s">
        <v>636</v>
      </c>
      <c r="O7" t="s">
        <v>107</v>
      </c>
      <c r="P7">
        <v>10.39</v>
      </c>
      <c r="Q7" t="s">
        <v>377</v>
      </c>
      <c r="R7">
        <v>80000000</v>
      </c>
      <c r="S7" s="6">
        <v>68.86</v>
      </c>
      <c r="T7" t="s">
        <v>705</v>
      </c>
      <c r="U7">
        <v>200358350</v>
      </c>
      <c r="V7">
        <v>312179260</v>
      </c>
      <c r="W7">
        <v>2.56</v>
      </c>
      <c r="X7">
        <v>0.2</v>
      </c>
      <c r="Y7">
        <v>3.76</v>
      </c>
      <c r="Z7" t="s">
        <v>869</v>
      </c>
      <c r="AA7" t="s">
        <v>390</v>
      </c>
      <c r="AB7" t="s">
        <v>870</v>
      </c>
      <c r="AC7" t="s">
        <v>871</v>
      </c>
      <c r="AD7" t="s">
        <v>2</v>
      </c>
      <c r="AE7">
        <v>20301605</v>
      </c>
      <c r="AF7" t="s">
        <v>706</v>
      </c>
      <c r="AG7" t="s">
        <v>872</v>
      </c>
      <c r="AH7" t="s">
        <v>707</v>
      </c>
      <c r="AI7" t="s">
        <v>69</v>
      </c>
      <c r="AJ7" t="s">
        <v>708</v>
      </c>
      <c r="AK7" t="s">
        <v>873</v>
      </c>
      <c r="AL7" t="s">
        <v>709</v>
      </c>
      <c r="AM7" t="s">
        <v>2</v>
      </c>
      <c r="AN7" t="s">
        <v>93</v>
      </c>
      <c r="AO7" t="s">
        <v>874</v>
      </c>
      <c r="AP7" t="s">
        <v>2</v>
      </c>
      <c r="AQ7" t="s">
        <v>54</v>
      </c>
      <c r="AR7" t="s">
        <v>2</v>
      </c>
      <c r="AS7" t="s">
        <v>253</v>
      </c>
      <c r="AT7" t="s">
        <v>124</v>
      </c>
      <c r="AU7" t="s">
        <v>875</v>
      </c>
      <c r="AV7" t="s">
        <v>876</v>
      </c>
      <c r="AW7" t="s">
        <v>52</v>
      </c>
      <c r="AX7" t="s">
        <v>506</v>
      </c>
      <c r="AY7" t="s">
        <v>416</v>
      </c>
      <c r="AZ7" t="s">
        <v>316</v>
      </c>
      <c r="BA7" t="s">
        <v>318</v>
      </c>
      <c r="BB7" t="s">
        <v>215</v>
      </c>
      <c r="BC7" t="s">
        <v>710</v>
      </c>
      <c r="BD7" t="s">
        <v>417</v>
      </c>
      <c r="BE7" t="s">
        <v>317</v>
      </c>
      <c r="BF7" t="s">
        <v>320</v>
      </c>
      <c r="BG7" t="s">
        <v>182</v>
      </c>
      <c r="BH7" t="s">
        <v>377</v>
      </c>
      <c r="BI7" t="s">
        <v>205</v>
      </c>
      <c r="BJ7" t="s">
        <v>506</v>
      </c>
      <c r="BK7" t="s">
        <v>705</v>
      </c>
      <c r="BL7" t="s">
        <v>711</v>
      </c>
      <c r="BM7" t="s">
        <v>710</v>
      </c>
      <c r="BN7">
        <v>2.76</v>
      </c>
      <c r="BO7">
        <v>3</v>
      </c>
      <c r="BP7">
        <v>2.5</v>
      </c>
      <c r="BQ7">
        <v>2.99</v>
      </c>
      <c r="BR7">
        <v>1.84</v>
      </c>
      <c r="BS7">
        <v>0.88</v>
      </c>
      <c r="BT7" t="s">
        <v>877</v>
      </c>
      <c r="BU7" t="s">
        <v>468</v>
      </c>
      <c r="BV7">
        <v>14.68</v>
      </c>
      <c r="BW7">
        <v>14.2</v>
      </c>
      <c r="BX7">
        <v>15.01</v>
      </c>
      <c r="BY7">
        <v>2.54</v>
      </c>
      <c r="BZ7">
        <v>0.93</v>
      </c>
      <c r="CA7">
        <v>0.52</v>
      </c>
      <c r="CB7">
        <v>8.0299999999999994</v>
      </c>
      <c r="CC7">
        <v>15.21</v>
      </c>
      <c r="CD7" t="s">
        <v>150</v>
      </c>
      <c r="CE7" t="s">
        <v>412</v>
      </c>
      <c r="CF7" s="9">
        <v>0.10385756676557864</v>
      </c>
      <c r="CG7" s="10">
        <v>198.95001249687579</v>
      </c>
      <c r="CH7" s="9">
        <v>0.13598792254924774</v>
      </c>
      <c r="CI7" s="9">
        <v>8.7862715125083923E-2</v>
      </c>
      <c r="CJ7" s="9">
        <v>0.2738158106803894</v>
      </c>
      <c r="CK7" s="9">
        <v>-5.0889357924461365E-2</v>
      </c>
      <c r="CL7" s="9">
        <v>0.21197605133056641</v>
      </c>
      <c r="CM7" s="10">
        <v>2.0954015254974365</v>
      </c>
      <c r="CN7" s="10">
        <v>0.94484376907348633</v>
      </c>
      <c r="CO7" s="10">
        <v>-0.8477206826210022</v>
      </c>
      <c r="CP7" s="10">
        <v>0.27550646662712097</v>
      </c>
      <c r="CQ7" s="10">
        <v>-0.41937345266342163</v>
      </c>
      <c r="CR7">
        <v>65.562262561516562</v>
      </c>
      <c r="CS7">
        <v>4.9762390799587477</v>
      </c>
      <c r="CT7">
        <v>0.61043854324734448</v>
      </c>
      <c r="CU7" s="9">
        <v>0.13175062835216522</v>
      </c>
      <c r="CV7" s="10">
        <v>0.40973152518272399</v>
      </c>
      <c r="CW7">
        <v>0.06</v>
      </c>
      <c r="CX7">
        <v>60.864651725124418</v>
      </c>
      <c r="CY7">
        <v>81911626.185187191</v>
      </c>
      <c r="CZ7">
        <v>0.13175062835216522</v>
      </c>
      <c r="DA7">
        <v>19.202352654824757</v>
      </c>
      <c r="DB7">
        <v>259630821.78617027</v>
      </c>
      <c r="DC7">
        <v>0.12516309693455696</v>
      </c>
      <c r="DD7">
        <v>9.0118054826291534</v>
      </c>
      <c r="DE7">
        <v>553221283.97133315</v>
      </c>
      <c r="DF7">
        <v>0.11594055294990539</v>
      </c>
      <c r="DG7">
        <v>5.1225696404653327</v>
      </c>
      <c r="DH7">
        <v>973246427.06997275</v>
      </c>
      <c r="DI7">
        <v>0.10540050268173218</v>
      </c>
      <c r="DJ7">
        <v>2.3375240761502267</v>
      </c>
      <c r="DK7">
        <v>2132821925.0733371</v>
      </c>
      <c r="DL7">
        <v>9.2225439846515656E-2</v>
      </c>
      <c r="DM7">
        <v>76718600</v>
      </c>
      <c r="DN7">
        <v>0.13175062835216522</v>
      </c>
      <c r="DO7">
        <v>4985522600</v>
      </c>
      <c r="DP7">
        <v>-418420600</v>
      </c>
      <c r="DQ7">
        <v>1294</v>
      </c>
      <c r="DR7">
        <v>-2.7893061586586582E-2</v>
      </c>
      <c r="DS7">
        <v>198.54028097169305</v>
      </c>
      <c r="DT7" s="11">
        <v>-0.20666666666666669</v>
      </c>
      <c r="DU7">
        <v>0.56999999999999995</v>
      </c>
      <c r="DV7">
        <v>0.36333333333333329</v>
      </c>
      <c r="DW7">
        <v>9.5279421433267579</v>
      </c>
      <c r="DX7">
        <v>0.75917570498915432</v>
      </c>
      <c r="DY7">
        <v>9.3057712630547602</v>
      </c>
      <c r="DZ7">
        <v>927</v>
      </c>
      <c r="EA7">
        <v>9.2503016033968812</v>
      </c>
      <c r="EB7">
        <v>9</v>
      </c>
      <c r="EC7">
        <v>0.85527782979561162</v>
      </c>
      <c r="ED7">
        <v>1.4767156536920487</v>
      </c>
      <c r="EE7" s="12">
        <v>1.1233</v>
      </c>
      <c r="EF7">
        <v>2.0733999999999999</v>
      </c>
      <c r="EG7">
        <v>18.579175704989154</v>
      </c>
      <c r="EH7" t="s">
        <v>497</v>
      </c>
      <c r="EI7">
        <v>1</v>
      </c>
      <c r="EJ7">
        <v>1</v>
      </c>
      <c r="EK7" s="13">
        <v>45470</v>
      </c>
      <c r="EL7">
        <v>0.19</v>
      </c>
      <c r="EM7">
        <v>-5.71</v>
      </c>
      <c r="EN7">
        <v>9.99</v>
      </c>
      <c r="EO7">
        <v>10</v>
      </c>
      <c r="EP7">
        <v>10.01</v>
      </c>
    </row>
    <row r="8" spans="1:146" ht="96" x14ac:dyDescent="0.25">
      <c r="C8" s="7" t="str">
        <f>""&amp;CHAR(10)&amp;Basic_Fundamental_Information_Constructure(F8)&amp;CHAR(10)&amp;Basic_Fundamental_Information_Concatenate("")</f>
        <v xml:space="preserve">
市值58.885341亿, 利润5104.55万; PE356.4; 平均PE73.13; 平均PEG5.14, PB4.58; ROIC5.8233%; ROE7.6%; 股利率.9504%; 毛利18.3567%; 净利5.49%; 上一年度营收增9.47%, 利润增-30.29%; 当季营收增15.82%, 利润增-76.07%; 过往5年营收增14.23%, 利润增-3.24%
Income profile:
</v>
      </c>
      <c r="D8" t="s">
        <v>321</v>
      </c>
      <c r="E8" t="s">
        <v>322</v>
      </c>
      <c r="F8">
        <v>9.4700000000000006</v>
      </c>
      <c r="G8">
        <v>-3.96</v>
      </c>
      <c r="H8" t="s">
        <v>878</v>
      </c>
      <c r="I8">
        <v>5888534100</v>
      </c>
      <c r="J8">
        <v>356.4</v>
      </c>
      <c r="K8">
        <v>4.58</v>
      </c>
      <c r="L8" t="s">
        <v>468</v>
      </c>
      <c r="M8" t="s">
        <v>482</v>
      </c>
      <c r="N8" t="s">
        <v>306</v>
      </c>
      <c r="O8" t="s">
        <v>156</v>
      </c>
      <c r="P8">
        <v>15.76</v>
      </c>
      <c r="Q8" t="s">
        <v>140</v>
      </c>
      <c r="R8">
        <v>10862320</v>
      </c>
      <c r="S8" s="6">
        <v>-0.76070000000000004</v>
      </c>
      <c r="T8" t="s">
        <v>712</v>
      </c>
      <c r="U8">
        <v>396495840</v>
      </c>
      <c r="V8">
        <v>621809310</v>
      </c>
      <c r="W8">
        <v>1.59</v>
      </c>
      <c r="X8">
        <v>0.17</v>
      </c>
      <c r="Y8">
        <v>2.7</v>
      </c>
      <c r="Z8" t="s">
        <v>142</v>
      </c>
      <c r="AA8" t="s">
        <v>20</v>
      </c>
      <c r="AB8" t="s">
        <v>879</v>
      </c>
      <c r="AC8" t="s">
        <v>880</v>
      </c>
      <c r="AD8" t="s">
        <v>2</v>
      </c>
      <c r="AE8">
        <v>-911472</v>
      </c>
      <c r="AF8" t="s">
        <v>713</v>
      </c>
      <c r="AG8" t="s">
        <v>881</v>
      </c>
      <c r="AH8" t="s">
        <v>714</v>
      </c>
      <c r="AI8" t="s">
        <v>188</v>
      </c>
      <c r="AJ8" t="s">
        <v>715</v>
      </c>
      <c r="AK8" t="s">
        <v>882</v>
      </c>
      <c r="AL8" t="s">
        <v>716</v>
      </c>
      <c r="AM8" t="s">
        <v>2</v>
      </c>
      <c r="AN8" t="s">
        <v>136</v>
      </c>
      <c r="AO8" t="s">
        <v>883</v>
      </c>
      <c r="AP8" t="s">
        <v>884</v>
      </c>
      <c r="AQ8" t="s">
        <v>135</v>
      </c>
      <c r="AR8" t="s">
        <v>2</v>
      </c>
      <c r="AS8" t="s">
        <v>813</v>
      </c>
      <c r="AT8" t="s">
        <v>613</v>
      </c>
      <c r="AU8" t="s">
        <v>885</v>
      </c>
      <c r="AV8" t="s">
        <v>886</v>
      </c>
      <c r="AW8" t="s">
        <v>887</v>
      </c>
      <c r="AX8" t="s">
        <v>507</v>
      </c>
      <c r="AY8" t="s">
        <v>419</v>
      </c>
      <c r="AZ8" t="s">
        <v>90</v>
      </c>
      <c r="BA8" t="s">
        <v>324</v>
      </c>
      <c r="BB8" t="s">
        <v>34</v>
      </c>
      <c r="BC8" t="s">
        <v>717</v>
      </c>
      <c r="BD8" t="s">
        <v>26</v>
      </c>
      <c r="BE8" t="s">
        <v>323</v>
      </c>
      <c r="BF8" t="s">
        <v>325</v>
      </c>
      <c r="BG8" t="s">
        <v>326</v>
      </c>
      <c r="BH8" t="s">
        <v>140</v>
      </c>
      <c r="BI8" t="s">
        <v>91</v>
      </c>
      <c r="BJ8" t="s">
        <v>507</v>
      </c>
      <c r="BK8" t="s">
        <v>712</v>
      </c>
      <c r="BL8" t="s">
        <v>718</v>
      </c>
      <c r="BM8" t="s">
        <v>717</v>
      </c>
      <c r="BN8">
        <v>2.4900000000000002</v>
      </c>
      <c r="BO8">
        <v>4.88</v>
      </c>
      <c r="BP8">
        <v>10.1</v>
      </c>
      <c r="BQ8">
        <v>3.35</v>
      </c>
      <c r="BR8">
        <v>5.66</v>
      </c>
      <c r="BS8">
        <v>13.79</v>
      </c>
      <c r="BT8" t="s">
        <v>719</v>
      </c>
      <c r="BU8" t="s">
        <v>468</v>
      </c>
      <c r="BV8">
        <v>18.57</v>
      </c>
      <c r="BW8">
        <v>17.55</v>
      </c>
      <c r="BX8">
        <v>18.95</v>
      </c>
      <c r="BY8">
        <v>3.54</v>
      </c>
      <c r="BZ8">
        <v>5.78</v>
      </c>
      <c r="CA8">
        <v>7.15</v>
      </c>
      <c r="CB8">
        <v>-1.35</v>
      </c>
      <c r="CC8">
        <v>-0.17</v>
      </c>
      <c r="CD8" t="s">
        <v>45</v>
      </c>
      <c r="CE8" t="s">
        <v>218</v>
      </c>
      <c r="CF8" s="9">
        <v>0.15824915824915825</v>
      </c>
      <c r="CG8" s="10">
        <v>-0.76066119198760818</v>
      </c>
      <c r="CH8" s="9">
        <v>9.4674549996852875E-2</v>
      </c>
      <c r="CI8" s="9">
        <v>-0.17560975253582001</v>
      </c>
      <c r="CJ8" s="9">
        <v>0.44511586427688599</v>
      </c>
      <c r="CK8" s="9">
        <v>0.16686251759529114</v>
      </c>
      <c r="CL8" s="9">
        <v>0.18030513823032379</v>
      </c>
      <c r="CM8" s="10">
        <v>-0.30287134647369385</v>
      </c>
      <c r="CN8" s="10">
        <v>-0.2891019880771637</v>
      </c>
      <c r="CO8" s="10">
        <v>4.847513884305954E-2</v>
      </c>
      <c r="CP8" s="10">
        <v>0.11564629524946213</v>
      </c>
      <c r="CQ8" s="10">
        <v>0.26593402028083801</v>
      </c>
      <c r="CR8">
        <v>73.131670812309295</v>
      </c>
      <c r="CS8">
        <v>5.1403559273743253</v>
      </c>
      <c r="CT8">
        <v>0.9503695881731784</v>
      </c>
      <c r="CU8" s="9">
        <v>0.14226966351270676</v>
      </c>
      <c r="CV8" s="10">
        <v>-3.2383576035499573E-2</v>
      </c>
      <c r="CW8">
        <v>0.06</v>
      </c>
      <c r="CX8">
        <v>94.797148077468847</v>
      </c>
      <c r="CY8">
        <v>55007288.781922519</v>
      </c>
      <c r="CZ8">
        <v>0.14226966351270676</v>
      </c>
      <c r="DA8">
        <v>29.64546423884638</v>
      </c>
      <c r="DB8">
        <v>175896523.59591174</v>
      </c>
      <c r="DC8">
        <v>0.13515618033707141</v>
      </c>
      <c r="DD8">
        <v>13.744308776961738</v>
      </c>
      <c r="DE8">
        <v>379395878.2955038</v>
      </c>
      <c r="DF8">
        <v>0.12519730389118194</v>
      </c>
      <c r="DG8">
        <v>7.7016246737214322</v>
      </c>
      <c r="DH8">
        <v>677069361.45465684</v>
      </c>
      <c r="DI8">
        <v>0.11381573081016541</v>
      </c>
      <c r="DJ8">
        <v>3.399048447315808</v>
      </c>
      <c r="DK8">
        <v>1534115850.6045601</v>
      </c>
      <c r="DL8">
        <v>9.9588764458894724E-2</v>
      </c>
      <c r="DM8">
        <v>51045500</v>
      </c>
      <c r="DN8">
        <v>0.14226966351270676</v>
      </c>
      <c r="DO8">
        <v>5214534100</v>
      </c>
      <c r="DP8">
        <v>808959000</v>
      </c>
      <c r="DQ8">
        <v>1359</v>
      </c>
      <c r="DR8">
        <v>1.5979494736451494E-2</v>
      </c>
      <c r="DS8">
        <v>-0.7282776159521086</v>
      </c>
      <c r="DT8" s="11">
        <v>-0.24000000000000007</v>
      </c>
      <c r="DU8">
        <v>-0.65666666666666662</v>
      </c>
      <c r="DV8">
        <v>-0.89666666666666672</v>
      </c>
      <c r="DW8">
        <v>-1.7000000000000001E-3</v>
      </c>
      <c r="DX8">
        <v>0.49590163934426101</v>
      </c>
      <c r="DY8">
        <v>-4.1803278688524591E-4</v>
      </c>
      <c r="DZ8">
        <v>3452</v>
      </c>
      <c r="EA8">
        <v>-1.3563568701677843E-4</v>
      </c>
      <c r="EB8">
        <v>0</v>
      </c>
      <c r="EC8">
        <v>0.2894778143479389</v>
      </c>
      <c r="ED8">
        <v>1.1772097783482849</v>
      </c>
      <c r="EE8" s="12">
        <v>5.0570000000000004</v>
      </c>
      <c r="EF8">
        <v>5.0022099999999998</v>
      </c>
      <c r="EG8">
        <v>25.245901639344261</v>
      </c>
      <c r="EH8" t="s">
        <v>657</v>
      </c>
      <c r="EI8">
        <v>0</v>
      </c>
      <c r="EJ8">
        <v>0</v>
      </c>
      <c r="EK8" s="13">
        <v>45470</v>
      </c>
      <c r="EL8">
        <v>7.17</v>
      </c>
      <c r="EM8">
        <v>1.67</v>
      </c>
      <c r="EN8">
        <v>6.27</v>
      </c>
      <c r="EO8">
        <v>-2.0299999999999998</v>
      </c>
      <c r="EP8">
        <v>-5.92</v>
      </c>
    </row>
    <row r="9" spans="1:146" ht="96" x14ac:dyDescent="0.25">
      <c r="A9" s="8"/>
      <c r="B9" s="8"/>
      <c r="C9" s="7" t="str">
        <f>""&amp;CHAR(10)&amp;Basic_Fundamental_Information_Constructure(F9)&amp;CHAR(10)&amp;Basic_Fundamental_Information_Concatenate("")</f>
        <v xml:space="preserve">
市值104.287652亿, 利润1.80亿; PE50.37; 平均PE51.84; 平均PEG2.5, PB3.32; ROIC3.7933%; ROE4.9267%; 股利率1.2626%; 毛利29.5133%; 净利13.64%; 上一年度营收增4.69%, 利润增20%; 当季营收增40.54%, 利润增96.04%; 过往5年营收增20.74%, 利润增26.3%
Income profile:
</v>
      </c>
      <c r="D9" t="s">
        <v>176</v>
      </c>
      <c r="E9" t="s">
        <v>177</v>
      </c>
      <c r="F9">
        <v>43.56</v>
      </c>
      <c r="G9">
        <v>-0.86</v>
      </c>
      <c r="H9" t="s">
        <v>888</v>
      </c>
      <c r="I9">
        <v>10428765200</v>
      </c>
      <c r="J9">
        <v>50.37</v>
      </c>
      <c r="K9">
        <v>3.32</v>
      </c>
      <c r="L9" t="s">
        <v>468</v>
      </c>
      <c r="M9" t="s">
        <v>85</v>
      </c>
      <c r="N9" t="s">
        <v>889</v>
      </c>
      <c r="O9" t="s">
        <v>409</v>
      </c>
      <c r="P9">
        <v>40.65</v>
      </c>
      <c r="Q9" t="s">
        <v>477</v>
      </c>
      <c r="R9">
        <v>55371497</v>
      </c>
      <c r="S9" s="6">
        <v>0.96040000000000003</v>
      </c>
      <c r="T9" t="s">
        <v>45</v>
      </c>
      <c r="U9">
        <v>238940380</v>
      </c>
      <c r="V9">
        <v>239411510</v>
      </c>
      <c r="W9">
        <v>1.22</v>
      </c>
      <c r="X9">
        <v>0.08</v>
      </c>
      <c r="Y9">
        <v>17.73</v>
      </c>
      <c r="Z9" t="s">
        <v>260</v>
      </c>
      <c r="AA9" t="s">
        <v>83</v>
      </c>
      <c r="AB9" t="s">
        <v>890</v>
      </c>
      <c r="AC9" t="s">
        <v>891</v>
      </c>
      <c r="AD9" t="s">
        <v>2</v>
      </c>
      <c r="AE9">
        <v>-8164971</v>
      </c>
      <c r="AF9" t="s">
        <v>720</v>
      </c>
      <c r="AG9" t="s">
        <v>892</v>
      </c>
      <c r="AH9" t="s">
        <v>721</v>
      </c>
      <c r="AI9" t="s">
        <v>73</v>
      </c>
      <c r="AJ9" t="s">
        <v>722</v>
      </c>
      <c r="AK9" t="s">
        <v>893</v>
      </c>
      <c r="AL9" t="s">
        <v>723</v>
      </c>
      <c r="AM9" t="s">
        <v>2</v>
      </c>
      <c r="AN9" t="s">
        <v>169</v>
      </c>
      <c r="AO9" t="s">
        <v>894</v>
      </c>
      <c r="AP9" t="s">
        <v>138</v>
      </c>
      <c r="AQ9" t="s">
        <v>257</v>
      </c>
      <c r="AR9" t="s">
        <v>2</v>
      </c>
      <c r="AS9" t="s">
        <v>248</v>
      </c>
      <c r="AT9" t="s">
        <v>2</v>
      </c>
      <c r="AU9" t="s">
        <v>895</v>
      </c>
      <c r="AV9" t="s">
        <v>896</v>
      </c>
      <c r="AW9" t="s">
        <v>897</v>
      </c>
      <c r="AX9" t="s">
        <v>484</v>
      </c>
      <c r="AY9" t="s">
        <v>164</v>
      </c>
      <c r="AZ9" t="s">
        <v>178</v>
      </c>
      <c r="BA9" t="s">
        <v>180</v>
      </c>
      <c r="BB9" t="s">
        <v>165</v>
      </c>
      <c r="BC9" t="s">
        <v>108</v>
      </c>
      <c r="BD9" t="s">
        <v>191</v>
      </c>
      <c r="BE9" t="s">
        <v>115</v>
      </c>
      <c r="BF9" t="s">
        <v>181</v>
      </c>
      <c r="BG9" t="s">
        <v>39</v>
      </c>
      <c r="BH9" t="s">
        <v>477</v>
      </c>
      <c r="BI9" t="s">
        <v>25</v>
      </c>
      <c r="BJ9" t="s">
        <v>484</v>
      </c>
      <c r="BK9" t="s">
        <v>45</v>
      </c>
      <c r="BL9" t="s">
        <v>724</v>
      </c>
      <c r="BM9" t="s">
        <v>108</v>
      </c>
      <c r="BN9">
        <v>3.42</v>
      </c>
      <c r="BO9">
        <v>4.07</v>
      </c>
      <c r="BP9">
        <v>3.89</v>
      </c>
      <c r="BQ9">
        <v>4.28</v>
      </c>
      <c r="BR9">
        <v>5.21</v>
      </c>
      <c r="BS9">
        <v>5.29</v>
      </c>
      <c r="BT9" t="s">
        <v>518</v>
      </c>
      <c r="BU9" t="s">
        <v>468</v>
      </c>
      <c r="BV9">
        <v>29.05</v>
      </c>
      <c r="BW9">
        <v>29.76</v>
      </c>
      <c r="BX9">
        <v>29.73</v>
      </c>
      <c r="BY9">
        <v>14.92</v>
      </c>
      <c r="BZ9">
        <v>13.06</v>
      </c>
      <c r="CA9">
        <v>12.94</v>
      </c>
      <c r="CB9">
        <v>-5.61</v>
      </c>
      <c r="CC9">
        <v>-12.98</v>
      </c>
      <c r="CD9" t="s">
        <v>898</v>
      </c>
      <c r="CE9" t="s">
        <v>40</v>
      </c>
      <c r="CF9" s="9">
        <v>0.40540540540540521</v>
      </c>
      <c r="CG9" s="10">
        <v>0.96042772777805319</v>
      </c>
      <c r="CH9" s="9">
        <v>4.6875E-2</v>
      </c>
      <c r="CI9" s="9">
        <v>1.0526316240429878E-2</v>
      </c>
      <c r="CJ9" s="9">
        <v>-4.602515697479248E-2</v>
      </c>
      <c r="CK9" s="9">
        <v>-0.32978120446205139</v>
      </c>
      <c r="CL9" s="9">
        <v>1.3553500175476074</v>
      </c>
      <c r="CM9" s="10">
        <v>0.20000000298023224</v>
      </c>
      <c r="CN9" s="10">
        <v>1.3513513840734959E-2</v>
      </c>
      <c r="CO9" s="10">
        <v>-0.39591836929321289</v>
      </c>
      <c r="CP9" s="10">
        <v>-0.31372550129890442</v>
      </c>
      <c r="CQ9" s="10">
        <v>1.8110235929489136</v>
      </c>
      <c r="CR9">
        <v>51.841417729908869</v>
      </c>
      <c r="CS9">
        <v>2.4997188429566526</v>
      </c>
      <c r="CT9">
        <v>1.2626262626262625</v>
      </c>
      <c r="CU9" s="9">
        <v>0.20738899447023867</v>
      </c>
      <c r="CV9" s="10">
        <v>0.26297864783555269</v>
      </c>
      <c r="CW9">
        <v>0.06</v>
      </c>
      <c r="CX9">
        <v>39.032486864222719</v>
      </c>
      <c r="CY9">
        <v>205028319.81570089</v>
      </c>
      <c r="CZ9">
        <v>0.20738899447023867</v>
      </c>
      <c r="DA9">
        <v>11.564285900602085</v>
      </c>
      <c r="DB9">
        <v>692024156.85549092</v>
      </c>
      <c r="DC9">
        <v>0.19701954474672673</v>
      </c>
      <c r="DD9">
        <v>4.9662946614726673</v>
      </c>
      <c r="DE9">
        <v>1611415702.3512013</v>
      </c>
      <c r="DF9">
        <v>0.18250231513381004</v>
      </c>
      <c r="DG9">
        <v>2.5372559503484693</v>
      </c>
      <c r="DH9">
        <v>3154102446.3459792</v>
      </c>
      <c r="DI9">
        <v>0.16591119557619094</v>
      </c>
      <c r="DJ9">
        <v>0.8957935546421596</v>
      </c>
      <c r="DK9">
        <v>8933715986.8233757</v>
      </c>
      <c r="DL9">
        <v>0.14517229612916707</v>
      </c>
      <c r="DM9">
        <v>180000000</v>
      </c>
      <c r="DN9">
        <v>0.20738899447023867</v>
      </c>
      <c r="DO9">
        <v>8002765200</v>
      </c>
      <c r="DP9">
        <v>2003148200</v>
      </c>
      <c r="DQ9">
        <v>1477</v>
      </c>
      <c r="DR9">
        <v>0.19801641093516653</v>
      </c>
      <c r="DS9">
        <v>0.69744907994250049</v>
      </c>
      <c r="DT9" s="11">
        <v>-0.35666666666666669</v>
      </c>
      <c r="DU9">
        <v>0.6283333333333333</v>
      </c>
      <c r="DV9">
        <v>0.27166666666666661</v>
      </c>
      <c r="DW9">
        <v>-8.4322033898305087</v>
      </c>
      <c r="DX9">
        <v>0.37716923076923026</v>
      </c>
      <c r="DY9">
        <v>-8.0463189048239894</v>
      </c>
      <c r="DZ9">
        <v>1110</v>
      </c>
      <c r="EA9">
        <v>-8.0362574597448067</v>
      </c>
      <c r="EB9">
        <v>8</v>
      </c>
      <c r="EC9">
        <v>6.9831229083346907E-2</v>
      </c>
      <c r="ED9">
        <v>0.65159774482020516</v>
      </c>
      <c r="EE9" s="12">
        <v>-1.10331</v>
      </c>
      <c r="EF9">
        <v>-1.1311100000000001</v>
      </c>
      <c r="EG9">
        <v>27.10716923076923</v>
      </c>
      <c r="EH9" t="s">
        <v>494</v>
      </c>
      <c r="EI9">
        <v>0</v>
      </c>
      <c r="EJ9">
        <v>1</v>
      </c>
      <c r="EK9" s="13">
        <v>45470</v>
      </c>
      <c r="EL9">
        <v>0.92</v>
      </c>
      <c r="EM9">
        <v>-4.99</v>
      </c>
      <c r="EN9">
        <v>-4.08</v>
      </c>
      <c r="EO9">
        <v>2.58</v>
      </c>
      <c r="EP9">
        <v>-2.78</v>
      </c>
    </row>
    <row r="10" spans="1:146" ht="96" x14ac:dyDescent="0.25">
      <c r="C10" s="8" t="str">
        <f>""&amp;CHAR(10)&amp;Basic_Fundamental_Information_Constructure(F10)&amp;CHAR(10)&amp;Basic_Fundamental_Information_Concatenate("")</f>
        <v xml:space="preserve">
市值13.518亿, 利润-9086.65万; PE; 平均PE145.35; 平均PEG59.82, PB2.57; ROIC4.4467%; ROE4.34%; 股利率0%; 毛利17.8533%; 净利-1.89%; 上一年度营收增-.45%, 利润增-465.68%; 当季营收增20.15%, 利润增4605.75%; 过往5年营收增-2.43%, 利润增-69.26%
Income profile:
</v>
      </c>
      <c r="D10" t="s">
        <v>327</v>
      </c>
      <c r="E10" t="s">
        <v>328</v>
      </c>
      <c r="F10">
        <v>7.51</v>
      </c>
      <c r="G10">
        <v>-1.96</v>
      </c>
      <c r="H10" t="s">
        <v>899</v>
      </c>
      <c r="I10">
        <v>1351800000</v>
      </c>
      <c r="K10">
        <v>2.57</v>
      </c>
      <c r="L10" t="s">
        <v>468</v>
      </c>
      <c r="M10" t="s">
        <v>372</v>
      </c>
      <c r="N10" t="s">
        <v>415</v>
      </c>
      <c r="O10" t="s">
        <v>101</v>
      </c>
      <c r="P10">
        <v>19.91</v>
      </c>
      <c r="Q10" t="s">
        <v>149</v>
      </c>
      <c r="R10">
        <v>5166914</v>
      </c>
      <c r="S10" s="6">
        <v>46.05</v>
      </c>
      <c r="T10" t="s">
        <v>727</v>
      </c>
      <c r="U10">
        <v>177301500</v>
      </c>
      <c r="V10">
        <v>180000000</v>
      </c>
      <c r="W10">
        <v>1.98</v>
      </c>
      <c r="X10">
        <v>0.16</v>
      </c>
      <c r="Y10">
        <v>3.21</v>
      </c>
      <c r="Z10" t="s">
        <v>59</v>
      </c>
      <c r="AA10" t="s">
        <v>36</v>
      </c>
      <c r="AB10" t="s">
        <v>900</v>
      </c>
      <c r="AC10" t="s">
        <v>901</v>
      </c>
      <c r="AD10" t="s">
        <v>2</v>
      </c>
      <c r="AE10">
        <v>2007700</v>
      </c>
      <c r="AF10" t="s">
        <v>728</v>
      </c>
      <c r="AG10" t="s">
        <v>2</v>
      </c>
      <c r="AH10" t="s">
        <v>729</v>
      </c>
      <c r="AI10" t="s">
        <v>902</v>
      </c>
      <c r="AJ10" t="s">
        <v>730</v>
      </c>
      <c r="AK10" t="s">
        <v>903</v>
      </c>
      <c r="AL10" t="s">
        <v>731</v>
      </c>
      <c r="AM10" t="s">
        <v>2</v>
      </c>
      <c r="AN10" t="s">
        <v>732</v>
      </c>
      <c r="AO10" t="s">
        <v>193</v>
      </c>
      <c r="AP10" t="s">
        <v>670</v>
      </c>
      <c r="AQ10" t="s">
        <v>904</v>
      </c>
      <c r="AR10" t="s">
        <v>2</v>
      </c>
      <c r="AS10" t="s">
        <v>78</v>
      </c>
      <c r="AT10" t="s">
        <v>905</v>
      </c>
      <c r="AU10" t="s">
        <v>906</v>
      </c>
      <c r="AV10" t="s">
        <v>907</v>
      </c>
      <c r="AW10" t="s">
        <v>908</v>
      </c>
      <c r="AX10" t="s">
        <v>158</v>
      </c>
      <c r="AY10" t="s">
        <v>422</v>
      </c>
      <c r="AZ10" t="s">
        <v>163</v>
      </c>
      <c r="BA10" t="s">
        <v>154</v>
      </c>
      <c r="BB10" t="s">
        <v>152</v>
      </c>
      <c r="BC10" t="s">
        <v>509</v>
      </c>
      <c r="BD10" t="s">
        <v>423</v>
      </c>
      <c r="BE10" t="s">
        <v>329</v>
      </c>
      <c r="BF10" t="s">
        <v>330</v>
      </c>
      <c r="BG10" t="s">
        <v>331</v>
      </c>
      <c r="BH10" t="s">
        <v>149</v>
      </c>
      <c r="BI10" t="s">
        <v>207</v>
      </c>
      <c r="BJ10" t="s">
        <v>158</v>
      </c>
      <c r="BK10" t="s">
        <v>727</v>
      </c>
      <c r="BL10" t="s">
        <v>733</v>
      </c>
      <c r="BM10" t="s">
        <v>509</v>
      </c>
      <c r="BN10">
        <v>1.85</v>
      </c>
      <c r="BO10">
        <v>4.4000000000000004</v>
      </c>
      <c r="BP10">
        <v>7.09</v>
      </c>
      <c r="BQ10">
        <v>1.59</v>
      </c>
      <c r="BR10">
        <v>4.12</v>
      </c>
      <c r="BS10">
        <v>7.31</v>
      </c>
      <c r="BT10" t="s">
        <v>486</v>
      </c>
      <c r="BU10" t="s">
        <v>468</v>
      </c>
      <c r="BV10">
        <v>17.010000000000002</v>
      </c>
      <c r="BW10">
        <v>16.37</v>
      </c>
      <c r="BX10">
        <v>20.18</v>
      </c>
      <c r="BY10">
        <v>-13.65</v>
      </c>
      <c r="BZ10">
        <v>3.72</v>
      </c>
      <c r="CA10">
        <v>4.26</v>
      </c>
      <c r="CB10">
        <v>0.27</v>
      </c>
      <c r="CC10">
        <v>-2.97</v>
      </c>
      <c r="CD10" t="s">
        <v>909</v>
      </c>
      <c r="CE10" t="s">
        <v>280</v>
      </c>
      <c r="CF10" s="9">
        <v>0.2014925373134327</v>
      </c>
      <c r="CG10" s="10">
        <v>46.057504553734063</v>
      </c>
      <c r="CH10" s="9">
        <v>-4.4843051582574844E-3</v>
      </c>
      <c r="CI10" s="9">
        <v>-0.31943032145500183</v>
      </c>
      <c r="CJ10" s="9">
        <v>0.34842249751091003</v>
      </c>
      <c r="CK10" s="9">
        <v>-3.187251091003418E-2</v>
      </c>
      <c r="CL10" s="9">
        <v>-0.11411764472723007</v>
      </c>
      <c r="CM10" s="10">
        <v>-4.6567611694335938</v>
      </c>
      <c r="CN10" s="10">
        <v>-0.40603315830230713</v>
      </c>
      <c r="CO10" s="10">
        <v>2.5663259029388428</v>
      </c>
      <c r="CP10" s="10">
        <v>-0.51461648941040039</v>
      </c>
      <c r="CQ10" s="10">
        <v>-0.45177739858627319</v>
      </c>
      <c r="CR10">
        <v>145.35327577122825</v>
      </c>
      <c r="CS10">
        <v>59.824885613066989</v>
      </c>
      <c r="CT10">
        <v>0</v>
      </c>
      <c r="CU10" s="9">
        <v>-2.4296456947922707E-2</v>
      </c>
      <c r="CV10" s="10">
        <v>-0.69257246255874638</v>
      </c>
      <c r="CW10">
        <v>0.06</v>
      </c>
      <c r="CX10" t="e">
        <v>#VALUE!</v>
      </c>
      <c r="CY10" t="s">
        <v>398</v>
      </c>
      <c r="CZ10">
        <v>-2.4296456947922707E-2</v>
      </c>
      <c r="DA10" t="e">
        <v>#VALUE!</v>
      </c>
      <c r="DB10" t="s">
        <v>398</v>
      </c>
      <c r="DC10">
        <v>-2.308163410052657E-2</v>
      </c>
      <c r="DD10" t="e">
        <v>#VALUE!</v>
      </c>
      <c r="DE10" t="s">
        <v>398</v>
      </c>
      <c r="DF10">
        <v>-2.1380882114171981E-2</v>
      </c>
      <c r="DG10" t="e">
        <v>#VALUE!</v>
      </c>
      <c r="DH10" t="s">
        <v>398</v>
      </c>
      <c r="DI10">
        <v>-1.9437165558338167E-2</v>
      </c>
      <c r="DJ10" t="e">
        <v>#VALUE!</v>
      </c>
      <c r="DK10" t="s">
        <v>398</v>
      </c>
      <c r="DL10">
        <v>-1.7007519863545893E-2</v>
      </c>
      <c r="DM10">
        <v>-90866500</v>
      </c>
      <c r="DN10">
        <v>-2.4296456947922707E-2</v>
      </c>
      <c r="DO10">
        <v>1260800000</v>
      </c>
      <c r="DP10">
        <v>120645240</v>
      </c>
      <c r="DQ10">
        <v>2093</v>
      </c>
      <c r="DR10">
        <v>0.2257889942613554</v>
      </c>
      <c r="DS10">
        <v>46.750077016292806</v>
      </c>
      <c r="DT10" s="11">
        <v>-0.45666666666666672</v>
      </c>
      <c r="DU10">
        <v>-1.2466666666666666</v>
      </c>
      <c r="DV10">
        <v>-1.7033333333333334</v>
      </c>
      <c r="DW10">
        <v>-1.0297000000000001</v>
      </c>
      <c r="DX10">
        <v>0.52081290322580576</v>
      </c>
      <c r="DY10">
        <v>-1.0065581432258064</v>
      </c>
      <c r="DZ10">
        <v>4182</v>
      </c>
      <c r="EA10">
        <v>-1.0011909896112619</v>
      </c>
      <c r="EB10">
        <v>1</v>
      </c>
      <c r="EC10">
        <v>0.26620222222222223</v>
      </c>
      <c r="ED10">
        <v>1.2055555555555555</v>
      </c>
      <c r="EE10" s="12">
        <v>-4.0621999999999998</v>
      </c>
      <c r="EF10">
        <v>-4.0141</v>
      </c>
      <c r="EG10">
        <v>30.220812903225806</v>
      </c>
      <c r="EH10" t="s">
        <v>867</v>
      </c>
      <c r="EI10">
        <v>0</v>
      </c>
      <c r="EJ10">
        <v>0</v>
      </c>
      <c r="EK10" s="13">
        <v>45470</v>
      </c>
      <c r="EL10">
        <v>0.42</v>
      </c>
      <c r="EM10">
        <v>-5.14</v>
      </c>
      <c r="EN10">
        <v>4.6900000000000004</v>
      </c>
      <c r="EO10">
        <v>10.49</v>
      </c>
      <c r="EP10">
        <v>-4.8099999999999996</v>
      </c>
    </row>
    <row r="11" spans="1:146" ht="96" x14ac:dyDescent="0.25">
      <c r="C11" s="8" t="str">
        <f>""&amp;CHAR(10)&amp;Basic_Fundamental_Information_Constructure(F11)&amp;CHAR(10)&amp;Basic_Fundamental_Information_Concatenate("")</f>
        <v xml:space="preserve">
市值78.612799亿, 利润3.17亿; PE24.69; 平均PE30.97; 平均PEG4.6, PB2.31; ROIC7.7433%; ROE8.8367%; 股利率2.2746%; 毛利27.96%; 净利10.4567%; 上一年度营收增6.1%, 利润增22.39%; 当季营收增2.56%, 利润增1.85%; 过往5年营收增6.73%, 利润增10.32%
Income profile:
</v>
      </c>
      <c r="D11" t="s">
        <v>332</v>
      </c>
      <c r="E11" t="s">
        <v>333</v>
      </c>
      <c r="F11">
        <v>24.62</v>
      </c>
      <c r="G11">
        <v>-1.36</v>
      </c>
      <c r="H11" t="s">
        <v>910</v>
      </c>
      <c r="I11">
        <v>7861279900</v>
      </c>
      <c r="J11">
        <v>24.69</v>
      </c>
      <c r="K11">
        <v>2.31</v>
      </c>
      <c r="L11" t="s">
        <v>468</v>
      </c>
      <c r="M11" t="s">
        <v>635</v>
      </c>
      <c r="N11" t="s">
        <v>911</v>
      </c>
      <c r="O11" t="s">
        <v>508</v>
      </c>
      <c r="P11">
        <v>2.46</v>
      </c>
      <c r="Q11" t="s">
        <v>734</v>
      </c>
      <c r="R11">
        <v>73038450</v>
      </c>
      <c r="S11" s="6">
        <v>1.8499999999999999E-2</v>
      </c>
      <c r="T11" t="s">
        <v>160</v>
      </c>
      <c r="U11">
        <v>319122120</v>
      </c>
      <c r="V11">
        <v>319304630</v>
      </c>
      <c r="W11">
        <v>1.48</v>
      </c>
      <c r="X11">
        <v>0.12</v>
      </c>
      <c r="Y11">
        <v>10.43</v>
      </c>
      <c r="Z11" t="s">
        <v>277</v>
      </c>
      <c r="AA11" t="s">
        <v>183</v>
      </c>
      <c r="AB11" t="s">
        <v>912</v>
      </c>
      <c r="AC11" t="s">
        <v>913</v>
      </c>
      <c r="AD11" t="s">
        <v>2</v>
      </c>
      <c r="AE11">
        <v>-10700808</v>
      </c>
      <c r="AF11" t="s">
        <v>735</v>
      </c>
      <c r="AG11" t="s">
        <v>914</v>
      </c>
      <c r="AH11" t="s">
        <v>736</v>
      </c>
      <c r="AI11" t="s">
        <v>391</v>
      </c>
      <c r="AJ11" t="s">
        <v>737</v>
      </c>
      <c r="AK11" t="s">
        <v>198</v>
      </c>
      <c r="AL11" t="s">
        <v>738</v>
      </c>
      <c r="AM11" t="s">
        <v>2</v>
      </c>
      <c r="AN11" t="s">
        <v>111</v>
      </c>
      <c r="AO11" t="s">
        <v>28</v>
      </c>
      <c r="AP11" t="s">
        <v>626</v>
      </c>
      <c r="AQ11" t="s">
        <v>250</v>
      </c>
      <c r="AR11" t="s">
        <v>2</v>
      </c>
      <c r="AS11" t="s">
        <v>915</v>
      </c>
      <c r="AT11" t="s">
        <v>2</v>
      </c>
      <c r="AU11" t="s">
        <v>235</v>
      </c>
      <c r="AV11" t="s">
        <v>916</v>
      </c>
      <c r="AW11" t="s">
        <v>917</v>
      </c>
      <c r="AX11" t="s">
        <v>510</v>
      </c>
      <c r="AY11" t="s">
        <v>405</v>
      </c>
      <c r="AZ11" t="s">
        <v>334</v>
      </c>
      <c r="BA11" t="s">
        <v>241</v>
      </c>
      <c r="BB11" t="s">
        <v>263</v>
      </c>
      <c r="BC11" t="s">
        <v>273</v>
      </c>
      <c r="BD11" t="s">
        <v>80</v>
      </c>
      <c r="BE11" t="s">
        <v>151</v>
      </c>
      <c r="BF11" t="s">
        <v>77</v>
      </c>
      <c r="BG11" t="s">
        <v>95</v>
      </c>
      <c r="BH11" t="s">
        <v>734</v>
      </c>
      <c r="BI11" t="s">
        <v>261</v>
      </c>
      <c r="BJ11" t="s">
        <v>510</v>
      </c>
      <c r="BK11" t="s">
        <v>160</v>
      </c>
      <c r="BL11" t="s">
        <v>739</v>
      </c>
      <c r="BM11" t="s">
        <v>273</v>
      </c>
      <c r="BN11">
        <v>6.14</v>
      </c>
      <c r="BO11">
        <v>8.56</v>
      </c>
      <c r="BP11">
        <v>8.5299999999999994</v>
      </c>
      <c r="BQ11">
        <v>8.06</v>
      </c>
      <c r="BR11">
        <v>9.07</v>
      </c>
      <c r="BS11">
        <v>9.3800000000000008</v>
      </c>
      <c r="BT11" t="s">
        <v>740</v>
      </c>
      <c r="BU11" t="s">
        <v>468</v>
      </c>
      <c r="BV11">
        <v>29.81</v>
      </c>
      <c r="BW11">
        <v>28.5</v>
      </c>
      <c r="BX11">
        <v>25.57</v>
      </c>
      <c r="BY11">
        <v>11.74</v>
      </c>
      <c r="BZ11">
        <v>10.62</v>
      </c>
      <c r="CA11">
        <v>9.01</v>
      </c>
      <c r="CB11">
        <v>-3.53</v>
      </c>
      <c r="CC11">
        <v>-8.07</v>
      </c>
      <c r="CD11" t="s">
        <v>918</v>
      </c>
      <c r="CE11" t="s">
        <v>62</v>
      </c>
      <c r="CF11" s="9">
        <v>2.556818181818182E-2</v>
      </c>
      <c r="CG11" s="10">
        <v>1.8452878124690614E-2</v>
      </c>
      <c r="CH11" s="9">
        <v>6.1034459620714188E-2</v>
      </c>
      <c r="CI11" s="9">
        <v>-6.5091000869870186E-3</v>
      </c>
      <c r="CJ11" s="9">
        <v>0.20520228147506714</v>
      </c>
      <c r="CK11" s="9">
        <v>7.6444566249847412E-2</v>
      </c>
      <c r="CL11" s="9">
        <v>4.446136299520731E-4</v>
      </c>
      <c r="CM11" s="10">
        <v>0.2239382266998291</v>
      </c>
      <c r="CN11" s="10">
        <v>6.1475411057472229E-2</v>
      </c>
      <c r="CO11" s="10">
        <v>-0.10622710734605789</v>
      </c>
      <c r="CP11" s="10">
        <v>0.18695652484893799</v>
      </c>
      <c r="CQ11" s="10">
        <v>0.15000000596046448</v>
      </c>
      <c r="CR11">
        <v>30.970242547603412</v>
      </c>
      <c r="CS11">
        <v>4.6002220664209297</v>
      </c>
      <c r="CT11">
        <v>2.2745735174654751</v>
      </c>
      <c r="CU11" s="9">
        <v>6.7323364177718753E-2</v>
      </c>
      <c r="CV11" s="10">
        <v>0.10322861224412919</v>
      </c>
      <c r="CW11">
        <v>0.06</v>
      </c>
      <c r="CX11">
        <v>18.397437427689823</v>
      </c>
      <c r="CY11">
        <v>319190100.4191857</v>
      </c>
      <c r="CZ11">
        <v>6.7323364177718753E-2</v>
      </c>
      <c r="DA11">
        <v>6.128972023762552</v>
      </c>
      <c r="DB11">
        <v>958118241.88993931</v>
      </c>
      <c r="DC11">
        <v>6.3957195968832814E-2</v>
      </c>
      <c r="DD11">
        <v>3.0951349778455506</v>
      </c>
      <c r="DE11">
        <v>1897261328.5148404</v>
      </c>
      <c r="DF11">
        <v>5.9244560476392504E-2</v>
      </c>
      <c r="DG11">
        <v>1.9123446432681461</v>
      </c>
      <c r="DH11">
        <v>3070722592.1183486</v>
      </c>
      <c r="DI11">
        <v>5.3858691342175004E-2</v>
      </c>
      <c r="DJ11">
        <v>1.0504154816097671</v>
      </c>
      <c r="DK11">
        <v>5590435406.5695047</v>
      </c>
      <c r="DL11">
        <v>4.7126354924403126E-2</v>
      </c>
      <c r="DM11">
        <v>317000000</v>
      </c>
      <c r="DN11">
        <v>6.7323364177718753E-2</v>
      </c>
      <c r="DO11">
        <v>5872279900</v>
      </c>
      <c r="DP11">
        <v>2167888600</v>
      </c>
      <c r="DQ11">
        <v>2126</v>
      </c>
      <c r="DR11">
        <v>-4.175518235953693E-2</v>
      </c>
      <c r="DS11">
        <v>-8.4775734119438576E-2</v>
      </c>
      <c r="DT11" s="11">
        <v>-0.3066666666666667</v>
      </c>
      <c r="DU11">
        <v>0.3833333333333333</v>
      </c>
      <c r="DV11">
        <v>7.6666666666666605E-2</v>
      </c>
      <c r="DW11">
        <v>-8.4374225526641879</v>
      </c>
      <c r="DX11">
        <v>0.41199384615384504</v>
      </c>
      <c r="DY11">
        <v>-8.0621113106472215</v>
      </c>
      <c r="DZ11">
        <v>1534</v>
      </c>
      <c r="EA11">
        <v>-8.0434657625977426</v>
      </c>
      <c r="EB11">
        <v>8</v>
      </c>
      <c r="EC11">
        <v>5.7810624293171069E-2</v>
      </c>
      <c r="ED11">
        <v>0.40713471646183147</v>
      </c>
      <c r="EE11" s="12">
        <v>7.710000000000005E-3</v>
      </c>
      <c r="EF11">
        <v>3.7610000000000005E-2</v>
      </c>
      <c r="EG11">
        <v>27.141993846153845</v>
      </c>
      <c r="EH11">
        <v>-1</v>
      </c>
      <c r="EI11">
        <v>0</v>
      </c>
      <c r="EJ11">
        <v>0</v>
      </c>
      <c r="EK11" s="13">
        <v>45470</v>
      </c>
      <c r="EL11">
        <v>-1.35</v>
      </c>
      <c r="EM11">
        <v>-4.4800000000000004</v>
      </c>
      <c r="EN11">
        <v>-0.92</v>
      </c>
      <c r="EO11">
        <v>3.57</v>
      </c>
      <c r="EP11">
        <v>-2.99</v>
      </c>
    </row>
    <row r="12" spans="1:146" ht="96" x14ac:dyDescent="0.25">
      <c r="A12" s="8"/>
      <c r="B12" s="8"/>
      <c r="C12" s="8" t="str">
        <f>""&amp;CHAR(10)&amp;Basic_Fundamental_Information_Constructure(F12)&amp;CHAR(10)&amp;Basic_Fundamental_Information_Concatenate("")</f>
        <v xml:space="preserve">
市值17.1744亿, 利润1.72亿; PE28.22; 平均PE26.36; 平均PEG2.01, PB2.18; ROIC3.72%; ROE3.9833%; 股利率2.7949%; 毛利13.0767%; 净利3.3%; 上一年度营收增0%, 利润增470.66%; 当季营收增17.04%, 利润增-53.67%; 过往5年营收增13.1%, 利润增94.2%
Income profile:
</v>
      </c>
      <c r="D12" t="s">
        <v>335</v>
      </c>
      <c r="E12" t="s">
        <v>336</v>
      </c>
      <c r="F12">
        <v>17.89</v>
      </c>
      <c r="G12">
        <v>1.02</v>
      </c>
      <c r="H12" t="s">
        <v>919</v>
      </c>
      <c r="I12">
        <v>1717440000</v>
      </c>
      <c r="J12">
        <v>28.22</v>
      </c>
      <c r="K12">
        <v>2.1800000000000002</v>
      </c>
      <c r="L12" t="s">
        <v>468</v>
      </c>
      <c r="M12" t="s">
        <v>442</v>
      </c>
      <c r="N12" t="s">
        <v>920</v>
      </c>
      <c r="O12" t="s">
        <v>100</v>
      </c>
      <c r="P12">
        <v>15.9</v>
      </c>
      <c r="Q12" t="s">
        <v>475</v>
      </c>
      <c r="R12">
        <v>18111960</v>
      </c>
      <c r="S12" s="6">
        <v>1.6339999999999999</v>
      </c>
      <c r="T12" t="s">
        <v>47</v>
      </c>
      <c r="U12">
        <v>95998875</v>
      </c>
      <c r="V12">
        <v>96000000</v>
      </c>
      <c r="W12">
        <v>1.53</v>
      </c>
      <c r="X12">
        <v>0.22</v>
      </c>
      <c r="Y12">
        <v>6.84</v>
      </c>
      <c r="Z12" t="s">
        <v>187</v>
      </c>
      <c r="AA12" t="s">
        <v>200</v>
      </c>
      <c r="AB12" t="s">
        <v>921</v>
      </c>
      <c r="AC12" t="s">
        <v>922</v>
      </c>
      <c r="AD12" t="s">
        <v>2</v>
      </c>
      <c r="AE12">
        <v>1213977</v>
      </c>
      <c r="AF12" t="s">
        <v>742</v>
      </c>
      <c r="AG12">
        <v>205.02</v>
      </c>
      <c r="AH12" t="s">
        <v>743</v>
      </c>
      <c r="AI12" t="s">
        <v>59</v>
      </c>
      <c r="AJ12" t="s">
        <v>744</v>
      </c>
      <c r="AK12" t="s">
        <v>2</v>
      </c>
      <c r="AL12" t="s">
        <v>745</v>
      </c>
      <c r="AM12" t="s">
        <v>2</v>
      </c>
      <c r="AN12" t="s">
        <v>923</v>
      </c>
      <c r="AO12" t="s">
        <v>74</v>
      </c>
      <c r="AP12" t="s">
        <v>924</v>
      </c>
      <c r="AQ12" t="s">
        <v>137</v>
      </c>
      <c r="AR12" t="s">
        <v>2</v>
      </c>
      <c r="AS12" t="s">
        <v>174</v>
      </c>
      <c r="AT12" t="s">
        <v>2</v>
      </c>
      <c r="AU12" t="s">
        <v>925</v>
      </c>
      <c r="AV12" t="s">
        <v>926</v>
      </c>
      <c r="AW12" t="s">
        <v>927</v>
      </c>
      <c r="AX12" t="s">
        <v>475</v>
      </c>
      <c r="AY12" t="s">
        <v>175</v>
      </c>
      <c r="AZ12" t="s">
        <v>337</v>
      </c>
      <c r="BA12" t="s">
        <v>103</v>
      </c>
      <c r="BB12" t="s">
        <v>153</v>
      </c>
      <c r="BC12" t="s">
        <v>512</v>
      </c>
      <c r="BD12" t="s">
        <v>424</v>
      </c>
      <c r="BE12" t="s">
        <v>338</v>
      </c>
      <c r="BF12" t="s">
        <v>339</v>
      </c>
      <c r="BG12" t="s">
        <v>340</v>
      </c>
      <c r="BH12" t="s">
        <v>379</v>
      </c>
      <c r="BI12" t="s">
        <v>116</v>
      </c>
      <c r="BJ12" t="s">
        <v>475</v>
      </c>
      <c r="BK12" t="s">
        <v>741</v>
      </c>
      <c r="BL12" t="s">
        <v>928</v>
      </c>
      <c r="BM12" t="s">
        <v>512</v>
      </c>
      <c r="BN12">
        <v>4.18</v>
      </c>
      <c r="BO12">
        <v>4</v>
      </c>
      <c r="BP12">
        <v>2.98</v>
      </c>
      <c r="BQ12">
        <v>5.36</v>
      </c>
      <c r="BR12">
        <v>4.13</v>
      </c>
      <c r="BS12">
        <v>2.46</v>
      </c>
      <c r="BT12" t="s">
        <v>490</v>
      </c>
      <c r="BU12" t="s">
        <v>468</v>
      </c>
      <c r="BV12">
        <v>16.899999999999999</v>
      </c>
      <c r="BW12">
        <v>12.82</v>
      </c>
      <c r="BX12">
        <v>9.51</v>
      </c>
      <c r="BY12">
        <v>5.3</v>
      </c>
      <c r="BZ12">
        <v>3.03</v>
      </c>
      <c r="CA12">
        <v>1.57</v>
      </c>
      <c r="CB12">
        <v>-5.79</v>
      </c>
      <c r="CC12">
        <v>-6.04</v>
      </c>
      <c r="CD12" t="s">
        <v>929</v>
      </c>
      <c r="CE12" t="s">
        <v>930</v>
      </c>
      <c r="CF12" s="9">
        <v>0.17040358744394618</v>
      </c>
      <c r="CG12" s="10">
        <v>-0.53668609083141905</v>
      </c>
      <c r="CH12" s="9">
        <v>0</v>
      </c>
      <c r="CI12" s="9">
        <v>-0.13790108263492584</v>
      </c>
      <c r="CJ12" s="9">
        <v>0.38083824515342712</v>
      </c>
      <c r="CK12" s="9">
        <v>0.3778877854347229</v>
      </c>
      <c r="CL12" s="9">
        <v>3.4129694104194641E-2</v>
      </c>
      <c r="CM12" s="10">
        <v>4.7066073417663574</v>
      </c>
      <c r="CN12" s="10">
        <v>0.66461402177810669</v>
      </c>
      <c r="CO12" s="10">
        <v>-0.6990044116973877</v>
      </c>
      <c r="CP12" s="10">
        <v>0.17504453659057617</v>
      </c>
      <c r="CQ12" s="10">
        <v>-0.1374981701374054</v>
      </c>
      <c r="CR12">
        <v>26.357753069487401</v>
      </c>
      <c r="CS12">
        <v>2.0121815601374622</v>
      </c>
      <c r="CT12">
        <v>2.794857462269424</v>
      </c>
      <c r="CU12" s="9">
        <v>0.13099092841148377</v>
      </c>
      <c r="CV12" s="10">
        <v>0.94195266366004948</v>
      </c>
      <c r="CW12">
        <v>0.06</v>
      </c>
      <c r="CX12">
        <v>7.2386943774318224</v>
      </c>
      <c r="CY12">
        <v>183519282.72337285</v>
      </c>
      <c r="CZ12">
        <v>0.13099092841148377</v>
      </c>
      <c r="DA12">
        <v>2.2852107272155298</v>
      </c>
      <c r="DB12">
        <v>581320568.89942479</v>
      </c>
      <c r="DC12">
        <v>0.12444138199090958</v>
      </c>
      <c r="DD12">
        <v>1.0734082396296107</v>
      </c>
      <c r="DE12">
        <v>1237590649.0697241</v>
      </c>
      <c r="DF12">
        <v>0.11527201700210572</v>
      </c>
      <c r="DG12">
        <v>0.61078287789752173</v>
      </c>
      <c r="DH12">
        <v>2174979109.7171001</v>
      </c>
      <c r="DI12">
        <v>0.10479274272918702</v>
      </c>
      <c r="DJ12">
        <v>0.27937531863855397</v>
      </c>
      <c r="DK12">
        <v>4755037082.2795887</v>
      </c>
      <c r="DL12">
        <v>9.1693649888038631E-2</v>
      </c>
      <c r="DM12">
        <v>172000000</v>
      </c>
      <c r="DN12">
        <v>0.13099092841148377</v>
      </c>
      <c r="DO12">
        <v>1328440000</v>
      </c>
      <c r="DP12">
        <v>386253420.00000006</v>
      </c>
      <c r="DQ12">
        <v>2363</v>
      </c>
      <c r="DR12">
        <v>3.941265903246241E-2</v>
      </c>
      <c r="DS12">
        <v>-1.4786387544914685</v>
      </c>
      <c r="DT12" s="11">
        <v>-0.19000000000000003</v>
      </c>
      <c r="DU12">
        <v>0.22999999999999995</v>
      </c>
      <c r="DV12">
        <v>3.9999999999999925E-2</v>
      </c>
      <c r="DW12">
        <v>-8.9586092715231782</v>
      </c>
      <c r="DX12">
        <v>0.27555235090944274</v>
      </c>
      <c r="DY12">
        <v>-8.1203556476433238</v>
      </c>
      <c r="DZ12">
        <v>1518</v>
      </c>
      <c r="EA12">
        <v>-8.0846022478150328</v>
      </c>
      <c r="EB12">
        <v>8</v>
      </c>
      <c r="EC12">
        <v>6.2893749999999998E-2</v>
      </c>
      <c r="ED12">
        <v>0.50093645833333333</v>
      </c>
      <c r="EE12" s="12">
        <v>-3.1082100000000001</v>
      </c>
      <c r="EF12">
        <v>-3.1383100000000002</v>
      </c>
      <c r="EG12">
        <v>15.125552350909443</v>
      </c>
      <c r="EH12" t="s">
        <v>619</v>
      </c>
      <c r="EI12">
        <v>0</v>
      </c>
      <c r="EJ12">
        <v>0</v>
      </c>
      <c r="EK12" s="13">
        <v>45470</v>
      </c>
      <c r="EL12">
        <v>-0.92</v>
      </c>
      <c r="EM12">
        <v>-5.24</v>
      </c>
      <c r="EN12">
        <v>0.1</v>
      </c>
      <c r="EO12">
        <v>2.2999999999999998</v>
      </c>
      <c r="EP12">
        <v>-3.01</v>
      </c>
    </row>
    <row r="13" spans="1:146" ht="96" x14ac:dyDescent="0.25">
      <c r="A13" s="8"/>
      <c r="B13" s="8"/>
      <c r="C13" s="8" t="str">
        <f>""&amp;CHAR(10)&amp;Basic_Fundamental_Information_Constructure(F13)&amp;CHAR(10)&amp;Basic_Fundamental_Information_Concatenate("")</f>
        <v xml:space="preserve">
市值15.915271亿, 利润-1.05亿; PE34.29; 平均PE42.51; 平均PEG45.65, PB1.94; ROIC8.3467%; ROE9.1367%; 股利率2.4631%; 毛利44.76%; 净利33.8633%; 上一年度营收增-20.77%, 利润增-231.61%; 当季营收增-3.73%, 利润增297.49%; 过往5年营收增.93%, 利润增-37.46%
Income profile:
</v>
      </c>
      <c r="D13" t="s">
        <v>341</v>
      </c>
      <c r="E13" t="s">
        <v>342</v>
      </c>
      <c r="F13">
        <v>28.42</v>
      </c>
      <c r="G13">
        <v>1.43</v>
      </c>
      <c r="H13" t="s">
        <v>931</v>
      </c>
      <c r="I13">
        <v>1591527100</v>
      </c>
      <c r="J13">
        <v>34.29</v>
      </c>
      <c r="K13">
        <v>1.94</v>
      </c>
      <c r="L13" t="s">
        <v>468</v>
      </c>
      <c r="M13" t="s">
        <v>746</v>
      </c>
      <c r="N13" t="s">
        <v>380</v>
      </c>
      <c r="O13" t="s">
        <v>747</v>
      </c>
      <c r="P13">
        <v>5.25</v>
      </c>
      <c r="Q13" t="s">
        <v>112</v>
      </c>
      <c r="R13">
        <v>13164578</v>
      </c>
      <c r="S13" s="6">
        <v>-8.3099999999999993E-2</v>
      </c>
      <c r="T13" t="s">
        <v>381</v>
      </c>
      <c r="U13">
        <v>24617891</v>
      </c>
      <c r="V13">
        <v>56000250</v>
      </c>
      <c r="W13">
        <v>1.07</v>
      </c>
      <c r="X13">
        <v>0.05</v>
      </c>
      <c r="Y13">
        <v>31.45</v>
      </c>
      <c r="Z13" t="s">
        <v>932</v>
      </c>
      <c r="AA13" t="s">
        <v>933</v>
      </c>
      <c r="AB13" t="s">
        <v>934</v>
      </c>
      <c r="AC13" t="s">
        <v>935</v>
      </c>
      <c r="AD13" t="s">
        <v>2</v>
      </c>
      <c r="AE13">
        <v>-2254609</v>
      </c>
      <c r="AF13" t="s">
        <v>749</v>
      </c>
      <c r="AG13">
        <v>205.81</v>
      </c>
      <c r="AH13" t="s">
        <v>750</v>
      </c>
      <c r="AI13" t="s">
        <v>68</v>
      </c>
      <c r="AJ13" t="s">
        <v>751</v>
      </c>
      <c r="AK13" t="s">
        <v>936</v>
      </c>
      <c r="AL13" t="s">
        <v>752</v>
      </c>
      <c r="AM13" t="s">
        <v>2</v>
      </c>
      <c r="AN13" t="s">
        <v>937</v>
      </c>
      <c r="AO13" t="s">
        <v>753</v>
      </c>
      <c r="AP13" t="s">
        <v>938</v>
      </c>
      <c r="AQ13" t="s">
        <v>939</v>
      </c>
      <c r="AR13" t="s">
        <v>2</v>
      </c>
      <c r="AS13" t="s">
        <v>940</v>
      </c>
      <c r="AT13" t="s">
        <v>2</v>
      </c>
      <c r="AU13" t="s">
        <v>941</v>
      </c>
      <c r="AV13" t="s">
        <v>942</v>
      </c>
      <c r="AW13" t="s">
        <v>943</v>
      </c>
      <c r="AX13" t="s">
        <v>141</v>
      </c>
      <c r="AY13" t="s">
        <v>139</v>
      </c>
      <c r="AZ13" t="s">
        <v>81</v>
      </c>
      <c r="BA13" t="s">
        <v>64</v>
      </c>
      <c r="BB13" t="s">
        <v>61</v>
      </c>
      <c r="BC13" t="s">
        <v>514</v>
      </c>
      <c r="BD13" t="s">
        <v>425</v>
      </c>
      <c r="BE13" t="s">
        <v>343</v>
      </c>
      <c r="BF13" t="s">
        <v>344</v>
      </c>
      <c r="BG13" t="s">
        <v>345</v>
      </c>
      <c r="BH13" t="s">
        <v>114</v>
      </c>
      <c r="BI13" t="s">
        <v>944</v>
      </c>
      <c r="BJ13" t="s">
        <v>141</v>
      </c>
      <c r="BK13" t="s">
        <v>748</v>
      </c>
      <c r="BL13" t="s">
        <v>945</v>
      </c>
      <c r="BM13" t="s">
        <v>514</v>
      </c>
      <c r="BN13">
        <v>3.88</v>
      </c>
      <c r="BO13">
        <v>8.8699999999999992</v>
      </c>
      <c r="BP13">
        <v>12.29</v>
      </c>
      <c r="BQ13">
        <v>4.6100000000000003</v>
      </c>
      <c r="BR13">
        <v>9.6</v>
      </c>
      <c r="BS13">
        <v>13.2</v>
      </c>
      <c r="BT13" t="s">
        <v>515</v>
      </c>
      <c r="BU13" t="s">
        <v>468</v>
      </c>
      <c r="BV13">
        <v>43.3</v>
      </c>
      <c r="BW13">
        <v>45.25</v>
      </c>
      <c r="BX13">
        <v>45.73</v>
      </c>
      <c r="BY13">
        <v>26.6</v>
      </c>
      <c r="BZ13">
        <v>43.25</v>
      </c>
      <c r="CA13">
        <v>31.74</v>
      </c>
      <c r="CB13">
        <v>-6.36</v>
      </c>
      <c r="CC13">
        <v>-6.33</v>
      </c>
      <c r="CD13" t="s">
        <v>946</v>
      </c>
      <c r="CE13" t="s">
        <v>947</v>
      </c>
      <c r="CF13" s="9">
        <v>-3.7272905974606675E-2</v>
      </c>
      <c r="CG13" s="10">
        <v>2.9749434426475441</v>
      </c>
      <c r="CH13" s="9">
        <v>-0.20765027403831482</v>
      </c>
      <c r="CI13" s="9">
        <v>-0.11165048182010651</v>
      </c>
      <c r="CJ13" s="9">
        <v>0.1195652186870575</v>
      </c>
      <c r="CK13" s="9">
        <v>8.875739574432373E-2</v>
      </c>
      <c r="CL13" s="9">
        <v>0.15753424167633057</v>
      </c>
      <c r="CM13" s="10">
        <v>-2.3160848617553711</v>
      </c>
      <c r="CN13" s="10">
        <v>0.21752679347991943</v>
      </c>
      <c r="CO13" s="10">
        <v>-3.4804314374923706E-2</v>
      </c>
      <c r="CP13" s="10">
        <v>7.4908465147018433E-2</v>
      </c>
      <c r="CQ13" s="10">
        <v>0.18521402776241302</v>
      </c>
      <c r="CR13">
        <v>42.506768739338987</v>
      </c>
      <c r="CS13">
        <v>45.651126825197096</v>
      </c>
      <c r="CT13">
        <v>2.4630541871921179</v>
      </c>
      <c r="CU13" s="9">
        <v>9.3112200498580936E-3</v>
      </c>
      <c r="CV13" s="10">
        <v>-0.37464797794818877</v>
      </c>
      <c r="CW13">
        <v>0.06</v>
      </c>
      <c r="CX13" t="e">
        <v>#VALUE!</v>
      </c>
      <c r="CY13" t="s">
        <v>398</v>
      </c>
      <c r="CZ13">
        <v>9.3112200498580936E-3</v>
      </c>
      <c r="DA13" t="e">
        <v>#VALUE!</v>
      </c>
      <c r="DB13" t="s">
        <v>398</v>
      </c>
      <c r="DC13">
        <v>8.8456590473651887E-3</v>
      </c>
      <c r="DD13" t="e">
        <v>#VALUE!</v>
      </c>
      <c r="DE13" t="s">
        <v>398</v>
      </c>
      <c r="DF13">
        <v>8.1938736438751224E-3</v>
      </c>
      <c r="DG13" t="e">
        <v>#VALUE!</v>
      </c>
      <c r="DH13" t="s">
        <v>398</v>
      </c>
      <c r="DI13">
        <v>7.4489760398864756E-3</v>
      </c>
      <c r="DJ13" t="e">
        <v>#VALUE!</v>
      </c>
      <c r="DK13" t="s">
        <v>398</v>
      </c>
      <c r="DL13">
        <v>6.5178540349006648E-3</v>
      </c>
      <c r="DM13">
        <v>-105000000</v>
      </c>
      <c r="DN13">
        <v>9.3112200498580936E-3</v>
      </c>
      <c r="DO13">
        <v>842576600</v>
      </c>
      <c r="DP13">
        <v>654369810</v>
      </c>
      <c r="DQ13">
        <v>2472</v>
      </c>
      <c r="DR13">
        <v>-4.6584126024464767E-2</v>
      </c>
      <c r="DS13">
        <v>3.3495914205957327</v>
      </c>
      <c r="DT13" s="11">
        <v>-0.50666666666666671</v>
      </c>
      <c r="DU13">
        <v>-0.72000000000000008</v>
      </c>
      <c r="DV13">
        <v>-1.2266666666666668</v>
      </c>
      <c r="DW13">
        <v>-5.9952830188679247</v>
      </c>
      <c r="DX13">
        <v>0.30520756115641046</v>
      </c>
      <c r="DY13">
        <v>-5.0947584688868064</v>
      </c>
      <c r="DZ13">
        <v>2928</v>
      </c>
      <c r="EA13">
        <v>-5.040462422526617</v>
      </c>
      <c r="EB13">
        <v>5</v>
      </c>
      <c r="EC13">
        <v>4.5869438082865699E-2</v>
      </c>
      <c r="ED13">
        <v>0.48178356346623452</v>
      </c>
      <c r="EE13" s="12">
        <v>-3.0101</v>
      </c>
      <c r="EF13">
        <v>-3.0520100000000001</v>
      </c>
      <c r="EG13">
        <v>21.09520756115641</v>
      </c>
      <c r="EH13" t="s">
        <v>619</v>
      </c>
      <c r="EI13">
        <v>0</v>
      </c>
      <c r="EJ13">
        <v>0</v>
      </c>
      <c r="EK13" s="13">
        <v>45470</v>
      </c>
      <c r="EL13">
        <v>1.07</v>
      </c>
      <c r="EM13">
        <v>-6.9</v>
      </c>
      <c r="EN13">
        <v>3.73</v>
      </c>
      <c r="EO13">
        <v>10.3</v>
      </c>
      <c r="EP13">
        <v>-6.21</v>
      </c>
    </row>
    <row r="14" spans="1:146" ht="96" x14ac:dyDescent="0.25">
      <c r="A14" s="8"/>
      <c r="B14" s="8"/>
      <c r="C14" s="8" t="str">
        <f>""&amp;CHAR(10)&amp;Basic_Fundamental_Information_Constructure(F14)&amp;CHAR(10)&amp;Basic_Fundamental_Information_Concatenate("")</f>
        <v xml:space="preserve">
市值18.768亿, 利润1.46亿; PE59.27; 平均PE25.57; 平均PEG1.94, PB2.06; ROIC9.6033%; ROE9.3167%; 股利率1.3333%; 毛利20.0267%; 净利8.54%; 上一年度营收增46.19%, 利润增125.51%; 当季营收增28.2%, 利润增213.19%; 过往5年营收增13.16%, 利润增27.71%
Income profile:
</v>
      </c>
      <c r="D14" t="s">
        <v>399</v>
      </c>
      <c r="E14" t="s">
        <v>400</v>
      </c>
      <c r="F14">
        <v>17.25</v>
      </c>
      <c r="G14">
        <v>3.6</v>
      </c>
      <c r="H14" t="s">
        <v>948</v>
      </c>
      <c r="I14">
        <v>1876800000</v>
      </c>
      <c r="J14">
        <v>59.27</v>
      </c>
      <c r="K14">
        <v>2.06</v>
      </c>
      <c r="L14" t="s">
        <v>468</v>
      </c>
      <c r="M14" t="s">
        <v>89</v>
      </c>
      <c r="N14" t="s">
        <v>278</v>
      </c>
      <c r="O14" t="s">
        <v>50</v>
      </c>
      <c r="P14">
        <v>-28.43</v>
      </c>
      <c r="Q14" t="s">
        <v>502</v>
      </c>
      <c r="R14">
        <v>6344860</v>
      </c>
      <c r="S14" s="6">
        <v>-0.59630000000000005</v>
      </c>
      <c r="T14" t="s">
        <v>61</v>
      </c>
      <c r="U14">
        <v>49079864</v>
      </c>
      <c r="V14">
        <v>108800000</v>
      </c>
      <c r="W14">
        <v>1.1299999999999999</v>
      </c>
      <c r="X14">
        <v>0.11</v>
      </c>
      <c r="Y14">
        <v>5.76</v>
      </c>
      <c r="Z14" t="s">
        <v>57</v>
      </c>
      <c r="AA14" t="s">
        <v>949</v>
      </c>
      <c r="AB14" t="s">
        <v>950</v>
      </c>
      <c r="AC14" t="s">
        <v>951</v>
      </c>
      <c r="AD14" t="s">
        <v>2</v>
      </c>
      <c r="AE14">
        <v>-47505</v>
      </c>
      <c r="AF14" t="s">
        <v>756</v>
      </c>
      <c r="AG14" t="s">
        <v>952</v>
      </c>
      <c r="AH14" t="s">
        <v>757</v>
      </c>
      <c r="AI14" t="s">
        <v>80</v>
      </c>
      <c r="AJ14" t="s">
        <v>758</v>
      </c>
      <c r="AK14" t="s">
        <v>953</v>
      </c>
      <c r="AL14" t="s">
        <v>759</v>
      </c>
      <c r="AM14" t="s">
        <v>2</v>
      </c>
      <c r="AN14" t="s">
        <v>954</v>
      </c>
      <c r="AO14" t="s">
        <v>2</v>
      </c>
      <c r="AP14" t="s">
        <v>2</v>
      </c>
      <c r="AQ14" t="s">
        <v>955</v>
      </c>
      <c r="AR14" t="s">
        <v>2</v>
      </c>
      <c r="AS14" t="s">
        <v>55</v>
      </c>
      <c r="AT14" t="s">
        <v>2</v>
      </c>
      <c r="AU14" t="s">
        <v>956</v>
      </c>
      <c r="AV14" t="s">
        <v>82</v>
      </c>
      <c r="AW14" t="s">
        <v>957</v>
      </c>
      <c r="AX14" t="s">
        <v>286</v>
      </c>
      <c r="AY14" t="s">
        <v>197</v>
      </c>
      <c r="AZ14" t="s">
        <v>401</v>
      </c>
      <c r="BA14" t="s">
        <v>268</v>
      </c>
      <c r="BB14" t="s">
        <v>106</v>
      </c>
      <c r="BC14" t="s">
        <v>516</v>
      </c>
      <c r="BD14" t="s">
        <v>517</v>
      </c>
      <c r="BE14" t="s">
        <v>402</v>
      </c>
      <c r="BF14" t="s">
        <v>403</v>
      </c>
      <c r="BG14" t="s">
        <v>404</v>
      </c>
      <c r="BH14" t="s">
        <v>145</v>
      </c>
      <c r="BI14" t="s">
        <v>958</v>
      </c>
      <c r="BJ14" t="s">
        <v>286</v>
      </c>
      <c r="BK14" t="s">
        <v>755</v>
      </c>
      <c r="BL14" t="s">
        <v>959</v>
      </c>
      <c r="BM14" t="s">
        <v>516</v>
      </c>
      <c r="BN14">
        <v>4.2300000000000004</v>
      </c>
      <c r="BO14">
        <v>9.4499999999999993</v>
      </c>
      <c r="BP14">
        <v>15.13</v>
      </c>
      <c r="BQ14">
        <v>4.55</v>
      </c>
      <c r="BR14">
        <v>8.27</v>
      </c>
      <c r="BS14">
        <v>15.13</v>
      </c>
      <c r="BT14" t="s">
        <v>760</v>
      </c>
      <c r="BU14" t="s">
        <v>468</v>
      </c>
      <c r="BV14">
        <v>20</v>
      </c>
      <c r="BW14">
        <v>20.83</v>
      </c>
      <c r="BX14">
        <v>19.25</v>
      </c>
      <c r="BY14">
        <v>7.05</v>
      </c>
      <c r="BZ14">
        <v>10.07</v>
      </c>
      <c r="CA14">
        <v>8.5</v>
      </c>
      <c r="CB14">
        <v>3.67</v>
      </c>
      <c r="CC14">
        <v>7.61</v>
      </c>
      <c r="CD14" t="s">
        <v>960</v>
      </c>
      <c r="CE14" t="s">
        <v>961</v>
      </c>
      <c r="CF14" s="9">
        <v>0.28201093904970376</v>
      </c>
      <c r="CG14" s="10">
        <v>2.1319394144827215</v>
      </c>
      <c r="CH14" s="9">
        <v>0.4618973433971405</v>
      </c>
      <c r="CI14" s="9">
        <v>-0.12517006695270538</v>
      </c>
      <c r="CJ14" s="9">
        <v>0.33393830060958862</v>
      </c>
      <c r="CK14" s="9">
        <v>5.1526717841625214E-2</v>
      </c>
      <c r="CL14" s="9">
        <v>-6.4285717904567719E-2</v>
      </c>
      <c r="CM14" s="10">
        <v>1.2550700902938843</v>
      </c>
      <c r="CN14" s="10">
        <v>3.4520778805017471E-2</v>
      </c>
      <c r="CO14" s="10">
        <v>4.9232054501771927E-2</v>
      </c>
      <c r="CP14" s="10">
        <v>0.33275759220123291</v>
      </c>
      <c r="CQ14" s="10">
        <v>-0.28596091270446777</v>
      </c>
      <c r="CR14">
        <v>25.569325528658204</v>
      </c>
      <c r="CS14">
        <v>1.9432337677485194</v>
      </c>
      <c r="CT14">
        <v>1.3333333333333333</v>
      </c>
      <c r="CU14" s="9">
        <v>0.13158131539821624</v>
      </c>
      <c r="CV14" s="10">
        <v>0.27712392061948776</v>
      </c>
      <c r="CW14">
        <v>0.06</v>
      </c>
      <c r="CX14">
        <v>7.1141080815645727</v>
      </c>
      <c r="CY14">
        <v>155859313.25296181</v>
      </c>
      <c r="CZ14">
        <v>0.13158131539821624</v>
      </c>
      <c r="DA14">
        <v>2.2447678064526944</v>
      </c>
      <c r="DB14">
        <v>493948637.72221804</v>
      </c>
      <c r="DC14">
        <v>0.12500224962830542</v>
      </c>
      <c r="DD14">
        <v>1.0536922467168401</v>
      </c>
      <c r="DE14">
        <v>1052299666.6767436</v>
      </c>
      <c r="DF14">
        <v>0.11579155755043029</v>
      </c>
      <c r="DG14">
        <v>0.59908611338091566</v>
      </c>
      <c r="DH14">
        <v>1850819064.6291847</v>
      </c>
      <c r="DI14">
        <v>0.105265052318573</v>
      </c>
      <c r="DJ14">
        <v>0.27351922092695591</v>
      </c>
      <c r="DK14">
        <v>4053828452.1368546</v>
      </c>
      <c r="DL14">
        <v>9.2106920778751364E-2</v>
      </c>
      <c r="DM14">
        <v>146000000</v>
      </c>
      <c r="DN14">
        <v>0.13158131539821624</v>
      </c>
      <c r="DO14">
        <v>1108800000</v>
      </c>
      <c r="DP14">
        <v>625987180</v>
      </c>
      <c r="DQ14">
        <v>2648</v>
      </c>
      <c r="DR14">
        <v>0.15042962365148752</v>
      </c>
      <c r="DS14">
        <v>1.8548154938632337</v>
      </c>
      <c r="DT14" s="11">
        <v>-0.14000000000000001</v>
      </c>
      <c r="DU14">
        <v>0.56999999999999995</v>
      </c>
      <c r="DV14">
        <v>0.42999999999999994</v>
      </c>
      <c r="DW14">
        <v>8.4822601839684619</v>
      </c>
      <c r="DX14">
        <v>0.62398701291679637</v>
      </c>
      <c r="DY14">
        <v>8.136955629093908</v>
      </c>
      <c r="DZ14">
        <v>600</v>
      </c>
      <c r="EA14">
        <v>8.1208747333098881</v>
      </c>
      <c r="EB14">
        <v>8</v>
      </c>
      <c r="EC14">
        <v>0.19310386029411761</v>
      </c>
      <c r="ED14">
        <v>0.6799742647058824</v>
      </c>
      <c r="EE14" s="12">
        <v>1.0814999999999999</v>
      </c>
      <c r="EF14">
        <v>1.0526</v>
      </c>
      <c r="EG14">
        <v>34.283987012916796</v>
      </c>
      <c r="EH14" t="s">
        <v>493</v>
      </c>
      <c r="EI14">
        <v>0</v>
      </c>
      <c r="EJ14">
        <v>1</v>
      </c>
      <c r="EK14" s="13">
        <v>45470</v>
      </c>
      <c r="EL14">
        <v>0.35</v>
      </c>
      <c r="EM14">
        <v>-5.19</v>
      </c>
      <c r="EN14">
        <v>9.06</v>
      </c>
      <c r="EO14">
        <v>6.34</v>
      </c>
      <c r="EP14">
        <v>-2.89</v>
      </c>
    </row>
    <row r="15" spans="1:146" ht="96" x14ac:dyDescent="0.25">
      <c r="C15" s="8" t="str">
        <f>""&amp;CHAR(10)&amp;Basic_Fundamental_Information_Constructure(F15)&amp;CHAR(10)&amp;Basic_Fundamental_Information_Concatenate("")</f>
        <v xml:space="preserve">
市值20.58431亿, 利润6693.15万; PE34.54; 平均PE34.03; 平均PEG1, PB2.48; ROIC14.3333%; ROE11.1%; 股利率1.4559%; 毛利25.1833%; 净利13.5%; 上一年度营收增92.01%, 利润增5.41%; 当季营收增-41.18%, 利润增-21.2%; 过往5年营收增34.13%, 利润增10.17%
Income profile:
</v>
      </c>
      <c r="D15" t="s">
        <v>643</v>
      </c>
      <c r="E15" t="s">
        <v>644</v>
      </c>
      <c r="F15">
        <v>36.06</v>
      </c>
      <c r="G15">
        <v>2.12</v>
      </c>
      <c r="H15" t="s">
        <v>962</v>
      </c>
      <c r="I15">
        <v>2058431000</v>
      </c>
      <c r="J15">
        <v>34.54</v>
      </c>
      <c r="K15">
        <v>2.48</v>
      </c>
      <c r="L15" t="s">
        <v>468</v>
      </c>
      <c r="M15" t="s">
        <v>613</v>
      </c>
      <c r="N15" t="s">
        <v>478</v>
      </c>
      <c r="O15" t="s">
        <v>50</v>
      </c>
      <c r="P15" s="6">
        <v>2.3199999999999998</v>
      </c>
      <c r="Q15" t="s">
        <v>66</v>
      </c>
      <c r="R15">
        <v>7788853</v>
      </c>
      <c r="S15">
        <v>-0.42470000000000002</v>
      </c>
      <c r="T15" t="s">
        <v>963</v>
      </c>
      <c r="U15">
        <v>13532102</v>
      </c>
      <c r="V15">
        <v>57083500</v>
      </c>
      <c r="W15">
        <v>1.27</v>
      </c>
      <c r="X15">
        <v>0.13</v>
      </c>
      <c r="Y15">
        <v>7.09</v>
      </c>
      <c r="Z15" t="s">
        <v>82</v>
      </c>
      <c r="AA15" t="s">
        <v>964</v>
      </c>
      <c r="AB15" t="s">
        <v>965</v>
      </c>
      <c r="AC15" t="s">
        <v>966</v>
      </c>
      <c r="AD15" t="s">
        <v>2</v>
      </c>
      <c r="AE15">
        <v>-192093</v>
      </c>
      <c r="AF15" t="s">
        <v>763</v>
      </c>
      <c r="AG15">
        <v>942.02</v>
      </c>
      <c r="AH15" t="s">
        <v>764</v>
      </c>
      <c r="AI15" t="s">
        <v>94</v>
      </c>
      <c r="AJ15" t="s">
        <v>765</v>
      </c>
      <c r="AK15" t="s">
        <v>967</v>
      </c>
      <c r="AL15" t="s">
        <v>766</v>
      </c>
      <c r="AM15" t="s">
        <v>2</v>
      </c>
      <c r="AN15" t="s">
        <v>968</v>
      </c>
      <c r="AO15" t="s">
        <v>969</v>
      </c>
      <c r="AP15" t="s">
        <v>970</v>
      </c>
      <c r="AQ15" t="s">
        <v>23</v>
      </c>
      <c r="AR15" t="s">
        <v>2</v>
      </c>
      <c r="AS15" t="s">
        <v>179</v>
      </c>
      <c r="AT15" t="s">
        <v>2</v>
      </c>
      <c r="AU15" t="s">
        <v>971</v>
      </c>
      <c r="AV15" t="s">
        <v>972</v>
      </c>
      <c r="AW15" t="s">
        <v>217</v>
      </c>
      <c r="AX15" t="s">
        <v>262</v>
      </c>
      <c r="AY15" t="s">
        <v>134</v>
      </c>
      <c r="AZ15" t="s">
        <v>60</v>
      </c>
      <c r="BA15" t="s">
        <v>105</v>
      </c>
      <c r="BB15" t="s">
        <v>2</v>
      </c>
      <c r="BC15" t="s">
        <v>645</v>
      </c>
      <c r="BD15" t="s">
        <v>767</v>
      </c>
      <c r="BE15" t="s">
        <v>768</v>
      </c>
      <c r="BF15" t="s">
        <v>769</v>
      </c>
      <c r="BG15" t="s">
        <v>2</v>
      </c>
      <c r="BH15" t="s">
        <v>146</v>
      </c>
      <c r="BI15" t="s">
        <v>138</v>
      </c>
      <c r="BJ15" t="s">
        <v>262</v>
      </c>
      <c r="BK15" t="s">
        <v>762</v>
      </c>
      <c r="BL15" t="s">
        <v>973</v>
      </c>
      <c r="BM15" t="s">
        <v>645</v>
      </c>
      <c r="BN15">
        <v>10.08</v>
      </c>
      <c r="BO15">
        <v>14.72</v>
      </c>
      <c r="BP15">
        <v>18.2</v>
      </c>
      <c r="BQ15">
        <v>11.1</v>
      </c>
      <c r="BR15" t="s">
        <v>2</v>
      </c>
      <c r="BS15" t="s">
        <v>2</v>
      </c>
      <c r="BT15" t="s">
        <v>770</v>
      </c>
      <c r="BU15" t="s">
        <v>468</v>
      </c>
      <c r="BV15">
        <v>24.28</v>
      </c>
      <c r="BW15">
        <v>25.35</v>
      </c>
      <c r="BX15">
        <v>25.92</v>
      </c>
      <c r="BY15">
        <v>13.73</v>
      </c>
      <c r="BZ15">
        <v>13.7</v>
      </c>
      <c r="CA15">
        <v>13.07</v>
      </c>
      <c r="CB15">
        <v>-7.94</v>
      </c>
      <c r="CC15" s="9">
        <v>-9.23</v>
      </c>
      <c r="CD15" s="10" t="s">
        <v>974</v>
      </c>
      <c r="CE15" s="9" t="s">
        <v>975</v>
      </c>
      <c r="CF15" s="9">
        <v>-0.41176470588235287</v>
      </c>
      <c r="CG15" s="9">
        <v>-0.21199751120463767</v>
      </c>
      <c r="CH15" s="9">
        <v>0.92008638381958008</v>
      </c>
      <c r="CI15" s="9">
        <v>-7.2144292294979095E-2</v>
      </c>
      <c r="CJ15" s="10">
        <v>0.26010102033615112</v>
      </c>
      <c r="CK15" s="10">
        <v>0.25714287161827087</v>
      </c>
      <c r="CL15" s="10" t="s">
        <v>2</v>
      </c>
      <c r="CM15" s="10">
        <v>5.4087508469820023E-2</v>
      </c>
      <c r="CN15" s="10">
        <v>-2.5678757578134537E-2</v>
      </c>
      <c r="CO15">
        <v>7.9584009945392609E-2</v>
      </c>
      <c r="CP15">
        <v>0.29900670051574707</v>
      </c>
      <c r="CQ15" t="s">
        <v>2</v>
      </c>
      <c r="CR15" s="9">
        <v>34.03076279077149</v>
      </c>
      <c r="CS15" s="10">
        <v>0.99710261319993687</v>
      </c>
      <c r="CT15">
        <v>1.4559068219633942</v>
      </c>
      <c r="CU15">
        <v>0.34129649586975574</v>
      </c>
      <c r="CV15">
        <v>0.10174986533820629</v>
      </c>
      <c r="CW15">
        <v>0.06</v>
      </c>
      <c r="CX15">
        <v>16.972175890790876</v>
      </c>
      <c r="CY15">
        <v>84693383.40877977</v>
      </c>
      <c r="CZ15">
        <v>0.34129649586975574</v>
      </c>
      <c r="DA15">
        <v>4.5120875517750711</v>
      </c>
      <c r="DB15">
        <v>318573383.93943834</v>
      </c>
      <c r="DC15">
        <v>0.32423167107626794</v>
      </c>
      <c r="DD15">
        <v>1.6483836227747</v>
      </c>
      <c r="DE15">
        <v>872024557.96084261</v>
      </c>
      <c r="DF15">
        <v>0.30034091636538507</v>
      </c>
      <c r="DG15">
        <v>0.68555108110099594</v>
      </c>
      <c r="DH15">
        <v>2096752582.8877463</v>
      </c>
      <c r="DI15">
        <v>0.27303719669580462</v>
      </c>
      <c r="DJ15">
        <v>0.14338861980461487</v>
      </c>
      <c r="DK15">
        <v>10024721640.80163</v>
      </c>
      <c r="DL15">
        <v>0.238907547108829</v>
      </c>
      <c r="DM15">
        <v>66931500</v>
      </c>
      <c r="DN15">
        <v>0.34129649586975574</v>
      </c>
      <c r="DO15">
        <v>1437431000</v>
      </c>
      <c r="DP15">
        <v>547504860</v>
      </c>
      <c r="DQ15" s="11">
        <v>2806</v>
      </c>
      <c r="DR15">
        <v>-0.75306120175210856</v>
      </c>
      <c r="DS15">
        <v>-0.31374737654284396</v>
      </c>
      <c r="DT15">
        <v>0.17199999999999999</v>
      </c>
      <c r="DU15">
        <v>-0.12400000000000003</v>
      </c>
      <c r="DV15">
        <v>4.7999999999999959E-2</v>
      </c>
      <c r="DW15">
        <v>-9.8602383531960989</v>
      </c>
      <c r="DX15">
        <v>0.3044993622498538</v>
      </c>
      <c r="DY15">
        <v>-9.089894359291856</v>
      </c>
      <c r="DZ15">
        <v>3767</v>
      </c>
      <c r="EA15">
        <v>-9.0236258560722042</v>
      </c>
      <c r="EB15" s="12">
        <v>9</v>
      </c>
      <c r="EC15" s="12">
        <v>0.11783264866379953</v>
      </c>
      <c r="ED15">
        <v>1.1275920362276313</v>
      </c>
      <c r="EE15">
        <v>2.0411999999999999</v>
      </c>
      <c r="EF15">
        <v>2.0072999999999999</v>
      </c>
      <c r="EG15">
        <v>20.104499362249854</v>
      </c>
      <c r="EH15" s="13" t="s">
        <v>497</v>
      </c>
      <c r="EI15">
        <v>0</v>
      </c>
      <c r="EJ15">
        <v>0</v>
      </c>
      <c r="EK15">
        <v>45470</v>
      </c>
      <c r="EL15">
        <v>0.84</v>
      </c>
      <c r="EM15">
        <v>-5.93</v>
      </c>
      <c r="EN15">
        <v>2.5299999999999998</v>
      </c>
      <c r="EO15">
        <v>1.78</v>
      </c>
      <c r="EP15">
        <v>-3.39</v>
      </c>
    </row>
    <row r="16" spans="1:146" ht="180" x14ac:dyDescent="0.25">
      <c r="A16" s="8"/>
      <c r="B16" s="8"/>
      <c r="C16" s="8" t="str">
        <f>"主营业务是设计、生产、销售发电机、交直流电动机、特种电机、船用推进系统、电气控制设备、机电一体化系统、变压器、互感器、风力发电设备；开发、研制地铁车辆及混合动力汽车驱动系统。"&amp;CHAR(10)&amp;Basic_Fundamental_Information_Constructure(F16)&amp;CHAR(10)&amp;Basic_Fundamental_Information_Concatenate("电机 14.60亿 36.27% 41.18% 21.74%
特种产品及备件 12.02亿 29.85% 30.72% 19.70%
风力发电系统 11.33亿 28.14% 22.21% 15.11%
电控 1.53亿 3.79% 2.62% 13.25%
其他业务 7824.25万 1.94% 3.27% 32.20%")</f>
        <v>主营业务是设计、生产、销售发电机、交直流电动机、特种电机、船用推进系统、电气控制设备、机电一体化系统、变压器、互感器、风力发电设备；开发、研制地铁车辆及混合动力汽车驱动系统。
市值126.973937亿, 利润1.52亿; PE49.19; 平均PE-26.05; 平均PEG-.15, PB1.74; ROIC3.42%; ROE3.87%; 股利率0%; 毛利21.5467%; 净利5.27%; 上一年度营收增881.87%, 利润增-41.54%; 当季营收增-88.29%, 利润增-59.15%; 过往5年营收增171.09%, 利润增62.68%
Income profile:
电机 14.60亿 36.27% 41.18% 21.74%
特种产品及备件 12.02亿 29.85% 30.72% 19.70%
风力发电系统 11.33亿 28.14% 22.21% 15.11%
电控 1.53亿 3.79% 2.62% 13.25%
其他业务 7824.25万 1.94% 3.27% 32.20%</v>
      </c>
      <c r="D16" t="s">
        <v>382</v>
      </c>
      <c r="E16" t="s">
        <v>383</v>
      </c>
      <c r="F16">
        <v>9.58</v>
      </c>
      <c r="G16">
        <v>2.02</v>
      </c>
      <c r="H16" t="s">
        <v>976</v>
      </c>
      <c r="I16">
        <v>12697393700</v>
      </c>
      <c r="J16">
        <v>49.19</v>
      </c>
      <c r="K16">
        <v>1.74</v>
      </c>
      <c r="L16" t="s">
        <v>468</v>
      </c>
      <c r="M16" t="s">
        <v>640</v>
      </c>
      <c r="N16" t="s">
        <v>631</v>
      </c>
      <c r="O16" t="s">
        <v>472</v>
      </c>
      <c r="P16">
        <v>9.51</v>
      </c>
      <c r="Q16" t="s">
        <v>977</v>
      </c>
      <c r="R16">
        <v>60459241</v>
      </c>
      <c r="S16" s="6">
        <v>-0.40839999999999999</v>
      </c>
      <c r="T16" t="s">
        <v>42</v>
      </c>
      <c r="U16">
        <v>1116288870</v>
      </c>
      <c r="V16">
        <v>1325406450</v>
      </c>
      <c r="W16">
        <v>1.96</v>
      </c>
      <c r="X16">
        <v>0.09</v>
      </c>
      <c r="Y16">
        <v>4.8</v>
      </c>
      <c r="Z16" t="s">
        <v>376</v>
      </c>
      <c r="AA16" t="s">
        <v>469</v>
      </c>
      <c r="AB16" t="s">
        <v>978</v>
      </c>
      <c r="AC16" t="s">
        <v>979</v>
      </c>
      <c r="AD16" t="s">
        <v>2</v>
      </c>
      <c r="AE16">
        <v>9817902</v>
      </c>
      <c r="AF16" t="s">
        <v>773</v>
      </c>
      <c r="AG16" t="s">
        <v>980</v>
      </c>
      <c r="AH16" t="s">
        <v>774</v>
      </c>
      <c r="AI16" t="s">
        <v>799</v>
      </c>
      <c r="AJ16" t="s">
        <v>775</v>
      </c>
      <c r="AK16" t="s">
        <v>58</v>
      </c>
      <c r="AL16" t="s">
        <v>776</v>
      </c>
      <c r="AM16" t="s">
        <v>2</v>
      </c>
      <c r="AN16" t="s">
        <v>981</v>
      </c>
      <c r="AO16" t="s">
        <v>982</v>
      </c>
      <c r="AP16" t="s">
        <v>279</v>
      </c>
      <c r="AQ16" t="s">
        <v>983</v>
      </c>
      <c r="AR16" t="s">
        <v>2</v>
      </c>
      <c r="AS16" t="s">
        <v>411</v>
      </c>
      <c r="AT16" t="s">
        <v>481</v>
      </c>
      <c r="AU16" t="s">
        <v>697</v>
      </c>
      <c r="AV16" t="s">
        <v>984</v>
      </c>
      <c r="AW16" t="s">
        <v>426</v>
      </c>
      <c r="AX16" t="s">
        <v>777</v>
      </c>
      <c r="AY16" t="s">
        <v>427</v>
      </c>
      <c r="AZ16" t="s">
        <v>384</v>
      </c>
      <c r="BA16" t="s">
        <v>386</v>
      </c>
      <c r="BB16" t="s">
        <v>387</v>
      </c>
      <c r="BC16" t="s">
        <v>49</v>
      </c>
      <c r="BD16" t="s">
        <v>428</v>
      </c>
      <c r="BE16" t="s">
        <v>385</v>
      </c>
      <c r="BF16" t="s">
        <v>388</v>
      </c>
      <c r="BG16" t="s">
        <v>389</v>
      </c>
      <c r="BH16" t="s">
        <v>772</v>
      </c>
      <c r="BI16" t="s">
        <v>985</v>
      </c>
      <c r="BJ16" t="s">
        <v>777</v>
      </c>
      <c r="BK16" t="s">
        <v>503</v>
      </c>
      <c r="BL16" t="s">
        <v>191</v>
      </c>
      <c r="BM16" t="s">
        <v>49</v>
      </c>
      <c r="BN16">
        <v>3.06</v>
      </c>
      <c r="BO16">
        <v>4.38</v>
      </c>
      <c r="BP16">
        <v>2.82</v>
      </c>
      <c r="BQ16">
        <v>3.69</v>
      </c>
      <c r="BR16">
        <v>5.7</v>
      </c>
      <c r="BS16">
        <v>2.2200000000000002</v>
      </c>
      <c r="BT16" t="s">
        <v>486</v>
      </c>
      <c r="BU16" t="s">
        <v>468</v>
      </c>
      <c r="BV16">
        <v>21.38</v>
      </c>
      <c r="BW16">
        <v>24.11</v>
      </c>
      <c r="BX16">
        <v>19.149999999999999</v>
      </c>
      <c r="BY16">
        <v>6.57</v>
      </c>
      <c r="BZ16">
        <v>6.33</v>
      </c>
      <c r="CA16">
        <v>2.91</v>
      </c>
      <c r="CB16">
        <v>-3.62</v>
      </c>
      <c r="CC16">
        <v>-16.62</v>
      </c>
      <c r="CD16" t="s">
        <v>986</v>
      </c>
      <c r="CE16" t="s">
        <v>247</v>
      </c>
      <c r="CF16" s="9">
        <v>-0.88290463367072147</v>
      </c>
      <c r="CG16" s="10">
        <v>-0.5914916148648649</v>
      </c>
      <c r="CH16" s="9">
        <v>8.8186588287353516</v>
      </c>
      <c r="CI16" s="9">
        <v>0.1368604302406311</v>
      </c>
      <c r="CJ16" s="9">
        <v>-0.14267463982105255</v>
      </c>
      <c r="CK16" s="9">
        <v>-9.7790621221065521E-2</v>
      </c>
      <c r="CL16" s="9">
        <v>-0.16034841537475586</v>
      </c>
      <c r="CM16" s="10">
        <v>-0.41538462042808533</v>
      </c>
      <c r="CN16" s="10">
        <v>2.2715635299682617</v>
      </c>
      <c r="CO16" s="10">
        <v>5.5955696851015091E-2</v>
      </c>
      <c r="CP16" s="10">
        <v>1.0476640462875366</v>
      </c>
      <c r="CQ16" s="10">
        <v>0.17416314780712128</v>
      </c>
      <c r="CR16">
        <v>-26.052474297908407</v>
      </c>
      <c r="CS16">
        <v>-0.15226984755046885</v>
      </c>
      <c r="CT16">
        <v>0</v>
      </c>
      <c r="CU16" s="9">
        <v>1.7109411165118218</v>
      </c>
      <c r="CV16" s="10">
        <v>0.62679236009716988</v>
      </c>
      <c r="CW16">
        <v>0.06</v>
      </c>
      <c r="CX16">
        <v>32.377514391052671</v>
      </c>
      <c r="CY16">
        <v>388738726.14131778</v>
      </c>
      <c r="CZ16">
        <v>1.7109411165118218</v>
      </c>
      <c r="DA16">
        <v>3.478474049402192</v>
      </c>
      <c r="DB16">
        <v>3618366421.9553652</v>
      </c>
      <c r="DC16">
        <v>1.6253940606862307</v>
      </c>
      <c r="DD16">
        <v>0.27544180279274272</v>
      </c>
      <c r="DE16">
        <v>45695292335.385574</v>
      </c>
      <c r="DF16">
        <v>1.5056281825304032</v>
      </c>
      <c r="DG16">
        <v>1.4736575157544059E-2</v>
      </c>
      <c r="DH16">
        <v>854092186647.36206</v>
      </c>
      <c r="DI16">
        <v>1.3687528932094575</v>
      </c>
      <c r="DJ16">
        <v>1.9907729730050682E-5</v>
      </c>
      <c r="DK16">
        <v>632236516703402</v>
      </c>
      <c r="DL16">
        <v>1.1976587815582751</v>
      </c>
      <c r="DM16">
        <v>152000000</v>
      </c>
      <c r="DN16">
        <v>1.7109411165118218</v>
      </c>
      <c r="DO16">
        <v>12586393700</v>
      </c>
      <c r="DP16">
        <v>4047213200</v>
      </c>
      <c r="DQ16">
        <v>3167</v>
      </c>
      <c r="DR16">
        <v>-2.5938457501825432</v>
      </c>
      <c r="DS16">
        <v>-1.2182839749620347</v>
      </c>
      <c r="DT16" s="11">
        <v>-0.24000000000000002</v>
      </c>
      <c r="DU16">
        <v>-0.13666666666666671</v>
      </c>
      <c r="DV16">
        <v>-0.37666666666666671</v>
      </c>
      <c r="DW16">
        <v>-8.2178098676293629</v>
      </c>
      <c r="DX16">
        <v>0.51038931034482804</v>
      </c>
      <c r="DY16">
        <v>-8.048002966513133</v>
      </c>
      <c r="DZ16">
        <v>1219</v>
      </c>
      <c r="EA16">
        <v>-8.0365517696091189</v>
      </c>
      <c r="EB16">
        <v>8</v>
      </c>
      <c r="EC16">
        <v>4.8221358814120756E-2</v>
      </c>
      <c r="ED16">
        <v>0.21880080634887508</v>
      </c>
      <c r="EE16" s="12">
        <v>2.01701</v>
      </c>
      <c r="EF16">
        <v>2.0352100000000002</v>
      </c>
      <c r="EG16">
        <v>29.220389310344828</v>
      </c>
      <c r="EH16" t="s">
        <v>498</v>
      </c>
      <c r="EI16">
        <v>0</v>
      </c>
      <c r="EJ16">
        <v>1</v>
      </c>
      <c r="EK16" s="13">
        <v>45470</v>
      </c>
      <c r="EL16">
        <v>0.13</v>
      </c>
      <c r="EM16">
        <v>-1.54</v>
      </c>
      <c r="EN16">
        <v>2.2200000000000002</v>
      </c>
      <c r="EO16">
        <v>0.65</v>
      </c>
      <c r="EP16">
        <v>-1.82</v>
      </c>
    </row>
    <row r="17" spans="1:146" ht="156" x14ac:dyDescent="0.25">
      <c r="A17" s="8"/>
      <c r="B17" s="8"/>
      <c r="C17" s="8" t="str">
        <f>"公司主要业务有电机及控制、电源电池、光伏电站、贸易，其中主要产品为高压电机及驱动、低压电机及驱动、微特电机及控制、电池、贸易。"&amp;CHAR(10)&amp;Basic_Fundamental_Information_Constructure(F17)&amp;CHAR(10)&amp;Basic_Fundamental_Information_Concatenate("工业电机及驱动 78.87亿 56.34% 68.35% 27.45%
日用电机及控制 35.95亿 25.68% 18.93% 16.67%
其他 14.38亿 10.28% 6.43% 14.15%
电动交通 6.68亿 4.77% 3.87% 18.35%")</f>
        <v>公司主要业务有电机及控制、电源电池、光伏电站、贸易，其中主要产品为高压电机及驱动、低压电机及驱动、微特电机及控制、电池、贸易。
市值151.50011亿, 利润-11.63亿; PE30.62; 平均PE29.4; 平均PEG1.68, PB1.58; ROIC7.2%; ROE10.5133%; 股利率.8636%; 毛利24.3667%; 净利5.7167%; 上一年度营收增61.02%, 利润增-245.38%; 当季营收增-6.68%, 利润增147.66%; 过往5年营收增17.5%, 利润增-41.85%
Income profile:
工业电机及驱动 78.87亿 56.34% 68.35% 27.45%
日用电机及控制 35.95亿 25.68% 18.93% 16.67%
其他 14.38亿 10.28% 6.43% 14.15%
电动交通 6.68亿 4.77% 3.87% 18.35%</v>
      </c>
      <c r="D17" t="s">
        <v>346</v>
      </c>
      <c r="E17" t="s">
        <v>347</v>
      </c>
      <c r="F17">
        <v>11.58</v>
      </c>
      <c r="G17">
        <v>0.35</v>
      </c>
      <c r="H17" t="s">
        <v>987</v>
      </c>
      <c r="I17">
        <v>15150011000</v>
      </c>
      <c r="J17">
        <v>30.62</v>
      </c>
      <c r="K17">
        <v>1.58</v>
      </c>
      <c r="L17" t="s">
        <v>468</v>
      </c>
      <c r="M17" t="s">
        <v>778</v>
      </c>
      <c r="N17" t="s">
        <v>988</v>
      </c>
      <c r="O17" t="s">
        <v>689</v>
      </c>
      <c r="P17">
        <v>-2.46</v>
      </c>
      <c r="Q17" t="s">
        <v>989</v>
      </c>
      <c r="R17">
        <v>222580920</v>
      </c>
      <c r="S17" s="6">
        <v>-0.13600000000000001</v>
      </c>
      <c r="T17" t="s">
        <v>811</v>
      </c>
      <c r="U17">
        <v>1308291130</v>
      </c>
      <c r="V17">
        <v>1308291130</v>
      </c>
      <c r="W17">
        <v>2.27</v>
      </c>
      <c r="X17">
        <v>0.15</v>
      </c>
      <c r="Y17">
        <v>5.88</v>
      </c>
      <c r="Z17" t="s">
        <v>990</v>
      </c>
      <c r="AA17" t="s">
        <v>991</v>
      </c>
      <c r="AB17" t="s">
        <v>21</v>
      </c>
      <c r="AC17" t="s">
        <v>102</v>
      </c>
      <c r="AD17" t="s">
        <v>2</v>
      </c>
      <c r="AE17">
        <v>64490793</v>
      </c>
      <c r="AF17" t="s">
        <v>780</v>
      </c>
      <c r="AG17" t="s">
        <v>992</v>
      </c>
      <c r="AH17" t="s">
        <v>781</v>
      </c>
      <c r="AI17" t="s">
        <v>671</v>
      </c>
      <c r="AJ17" t="s">
        <v>782</v>
      </c>
      <c r="AK17" t="s">
        <v>42</v>
      </c>
      <c r="AL17" t="s">
        <v>783</v>
      </c>
      <c r="AM17" t="s">
        <v>2</v>
      </c>
      <c r="AN17" t="s">
        <v>421</v>
      </c>
      <c r="AO17" t="s">
        <v>630</v>
      </c>
      <c r="AP17" t="s">
        <v>378</v>
      </c>
      <c r="AQ17" t="s">
        <v>784</v>
      </c>
      <c r="AR17" t="s">
        <v>993</v>
      </c>
      <c r="AS17" t="s">
        <v>994</v>
      </c>
      <c r="AT17" t="s">
        <v>995</v>
      </c>
      <c r="AU17" t="s">
        <v>996</v>
      </c>
      <c r="AV17" t="s">
        <v>997</v>
      </c>
      <c r="AW17" t="s">
        <v>144</v>
      </c>
      <c r="AX17" t="s">
        <v>998</v>
      </c>
      <c r="AY17" t="s">
        <v>999</v>
      </c>
      <c r="AZ17" t="s">
        <v>348</v>
      </c>
      <c r="BA17" t="s">
        <v>349</v>
      </c>
      <c r="BB17" t="s">
        <v>350</v>
      </c>
      <c r="BC17" t="s">
        <v>275</v>
      </c>
      <c r="BD17" t="s">
        <v>186</v>
      </c>
      <c r="BE17" t="s">
        <v>211</v>
      </c>
      <c r="BF17" t="s">
        <v>274</v>
      </c>
      <c r="BG17" t="s">
        <v>117</v>
      </c>
      <c r="BH17" t="s">
        <v>779</v>
      </c>
      <c r="BI17" t="s">
        <v>1000</v>
      </c>
      <c r="BJ17" t="s">
        <v>998</v>
      </c>
      <c r="BK17" t="s">
        <v>471</v>
      </c>
      <c r="BL17" t="s">
        <v>1001</v>
      </c>
      <c r="BM17" t="s">
        <v>275</v>
      </c>
      <c r="BN17">
        <v>6.56</v>
      </c>
      <c r="BO17">
        <v>6.75</v>
      </c>
      <c r="BP17">
        <v>8.2899999999999991</v>
      </c>
      <c r="BQ17">
        <v>9.76</v>
      </c>
      <c r="BR17">
        <v>9.27</v>
      </c>
      <c r="BS17">
        <v>12.51</v>
      </c>
      <c r="BT17" t="s">
        <v>485</v>
      </c>
      <c r="BU17" t="s">
        <v>468</v>
      </c>
      <c r="BV17">
        <v>25.16</v>
      </c>
      <c r="BW17">
        <v>24.82</v>
      </c>
      <c r="BX17">
        <v>23.12</v>
      </c>
      <c r="BY17">
        <v>3.55</v>
      </c>
      <c r="BZ17">
        <v>5.88</v>
      </c>
      <c r="CA17">
        <v>7.72</v>
      </c>
      <c r="CB17">
        <v>-4.6900000000000004</v>
      </c>
      <c r="CC17">
        <v>-22.8</v>
      </c>
      <c r="CD17" t="s">
        <v>1002</v>
      </c>
      <c r="CE17" t="s">
        <v>282</v>
      </c>
      <c r="CF17" s="9">
        <v>-6.6849588426041634E-2</v>
      </c>
      <c r="CG17" s="10">
        <v>1.4766186723768737</v>
      </c>
      <c r="CH17" s="9">
        <v>0.61019206047058105</v>
      </c>
      <c r="CI17" s="9">
        <v>4.1465945541858673E-2</v>
      </c>
      <c r="CJ17" s="9">
        <v>9.0171083807945251E-2</v>
      </c>
      <c r="CK17" s="9">
        <v>1.2000659480690956E-2</v>
      </c>
      <c r="CL17" s="9">
        <v>0.120982326567173</v>
      </c>
      <c r="CM17" s="10">
        <v>-2.4537501335144043</v>
      </c>
      <c r="CN17" s="10">
        <v>-0.19028340280056</v>
      </c>
      <c r="CO17" s="10">
        <v>0.13956171274185181</v>
      </c>
      <c r="CP17" s="10">
        <v>-9.9688470363616943E-2</v>
      </c>
      <c r="CQ17" s="10">
        <v>0.51177394390106201</v>
      </c>
      <c r="CR17">
        <v>29.398468952134543</v>
      </c>
      <c r="CS17">
        <v>1.6802733845984368</v>
      </c>
      <c r="CT17">
        <v>0.86355785837651122</v>
      </c>
      <c r="CU17" s="9">
        <v>0.1749624151736498</v>
      </c>
      <c r="CV17" s="10">
        <v>-0.41847727000713347</v>
      </c>
      <c r="CW17">
        <v>0.06</v>
      </c>
      <c r="CX17" t="e">
        <v>#VALUE!</v>
      </c>
      <c r="CY17" t="s">
        <v>398</v>
      </c>
      <c r="CZ17">
        <v>0.1749624151736498</v>
      </c>
      <c r="DA17" t="e">
        <v>#VALUE!</v>
      </c>
      <c r="DB17" t="s">
        <v>398</v>
      </c>
      <c r="DC17">
        <v>0.1662142944149673</v>
      </c>
      <c r="DD17" t="e">
        <v>#VALUE!</v>
      </c>
      <c r="DE17" t="s">
        <v>398</v>
      </c>
      <c r="DF17">
        <v>0.15396692535281181</v>
      </c>
      <c r="DG17" t="e">
        <v>#VALUE!</v>
      </c>
      <c r="DH17" t="s">
        <v>398</v>
      </c>
      <c r="DI17">
        <v>0.13996993213891984</v>
      </c>
      <c r="DJ17" t="e">
        <v>#VALUE!</v>
      </c>
      <c r="DK17" t="s">
        <v>398</v>
      </c>
      <c r="DL17">
        <v>0.12247369062155485</v>
      </c>
      <c r="DM17">
        <v>-1163000000</v>
      </c>
      <c r="DN17">
        <v>0.1749624151736498</v>
      </c>
      <c r="DO17">
        <v>18170011000</v>
      </c>
      <c r="DP17">
        <v>3284544900</v>
      </c>
      <c r="DQ17">
        <v>3288</v>
      </c>
      <c r="DR17">
        <v>-0.24181200359969143</v>
      </c>
      <c r="DS17">
        <v>1.8950959423840072</v>
      </c>
      <c r="DT17" s="11">
        <v>-0.10666666666666669</v>
      </c>
      <c r="DU17">
        <v>-1.02</v>
      </c>
      <c r="DV17">
        <v>-1.1266666666666667</v>
      </c>
      <c r="DW17">
        <v>-8.2057017543859647</v>
      </c>
      <c r="DX17">
        <v>0.33621271561530519</v>
      </c>
      <c r="DY17">
        <v>-8.0197911243963063</v>
      </c>
      <c r="DZ17">
        <v>4917</v>
      </c>
      <c r="EA17">
        <v>-8.000747492565262</v>
      </c>
      <c r="EB17">
        <v>8</v>
      </c>
      <c r="EC17">
        <v>7.1113911778947853E-2</v>
      </c>
      <c r="ED17">
        <v>0.73913212267975859</v>
      </c>
      <c r="EE17" s="12">
        <v>0.12520000000000001</v>
      </c>
      <c r="EF17">
        <v>1.0132000000000001</v>
      </c>
      <c r="EG17">
        <v>24.096212715615305</v>
      </c>
      <c r="EH17" t="s">
        <v>493</v>
      </c>
      <c r="EI17">
        <v>0</v>
      </c>
      <c r="EJ17">
        <v>0</v>
      </c>
      <c r="EK17" s="13">
        <v>45470</v>
      </c>
      <c r="EL17">
        <v>-0.19</v>
      </c>
      <c r="EM17">
        <v>-3.9</v>
      </c>
      <c r="EN17">
        <v>10.039999999999999</v>
      </c>
      <c r="EO17">
        <v>1.58</v>
      </c>
      <c r="EP17">
        <v>3.8</v>
      </c>
    </row>
    <row r="18" spans="1:146" ht="96" x14ac:dyDescent="0.25">
      <c r="A18" s="8"/>
      <c r="B18" s="8"/>
      <c r="C18" s="8" t="str">
        <f>""&amp;CHAR(10)&amp;Basic_Fundamental_Information_Constructure(F18)&amp;CHAR(10)&amp;Basic_Fundamental_Information_Concatenate("")</f>
        <v xml:space="preserve">
市值19.114612亿, 利润8184.78万; PE38.03; 平均PE35.81; 平均PEG3.33, PB2.4; ROIC5.32%; ROE5.94%; 股利率.6803%; 毛利13.2367%; 净利4.9333%; 上一年度营收增-4.5%, 利润增139.34%; 当季营收增64.34%, 利润增311.97%; 过往5年营收增10.76%, 利润增33.73%
Income profile:
</v>
      </c>
      <c r="D18" t="s">
        <v>351</v>
      </c>
      <c r="E18" t="s">
        <v>352</v>
      </c>
      <c r="F18">
        <v>14.7</v>
      </c>
      <c r="G18">
        <v>0.96</v>
      </c>
      <c r="H18" t="s">
        <v>1003</v>
      </c>
      <c r="I18">
        <v>1911461200</v>
      </c>
      <c r="J18">
        <v>38.03</v>
      </c>
      <c r="K18">
        <v>2.4</v>
      </c>
      <c r="L18" t="s">
        <v>468</v>
      </c>
      <c r="M18" t="s">
        <v>123</v>
      </c>
      <c r="N18" t="s">
        <v>612</v>
      </c>
      <c r="O18" t="s">
        <v>79</v>
      </c>
      <c r="P18">
        <v>17.399999999999999</v>
      </c>
      <c r="Q18" t="s">
        <v>470</v>
      </c>
      <c r="R18">
        <v>38596800</v>
      </c>
      <c r="S18" s="6">
        <v>1.5629999999999999</v>
      </c>
      <c r="T18" t="s">
        <v>1004</v>
      </c>
      <c r="U18">
        <v>130031376</v>
      </c>
      <c r="V18">
        <v>130031376</v>
      </c>
      <c r="W18">
        <v>1.58</v>
      </c>
      <c r="X18">
        <v>0.18</v>
      </c>
      <c r="Y18">
        <v>6.1</v>
      </c>
      <c r="Z18" t="s">
        <v>121</v>
      </c>
      <c r="AA18" t="s">
        <v>168</v>
      </c>
      <c r="AB18" t="s">
        <v>1005</v>
      </c>
      <c r="AC18" t="s">
        <v>1006</v>
      </c>
      <c r="AD18" t="s">
        <v>2</v>
      </c>
      <c r="AE18">
        <v>1564556</v>
      </c>
      <c r="AF18" t="s">
        <v>17</v>
      </c>
      <c r="AG18" t="s">
        <v>2</v>
      </c>
      <c r="AH18" t="s">
        <v>786</v>
      </c>
      <c r="AI18" t="s">
        <v>251</v>
      </c>
      <c r="AJ18" t="s">
        <v>787</v>
      </c>
      <c r="AK18" t="s">
        <v>182</v>
      </c>
      <c r="AL18" t="s">
        <v>788</v>
      </c>
      <c r="AM18" t="s">
        <v>2</v>
      </c>
      <c r="AN18" t="s">
        <v>1007</v>
      </c>
      <c r="AO18" t="s">
        <v>628</v>
      </c>
      <c r="AP18" t="s">
        <v>1008</v>
      </c>
      <c r="AQ18" t="s">
        <v>1009</v>
      </c>
      <c r="AR18" t="s">
        <v>2</v>
      </c>
      <c r="AS18" t="s">
        <v>210</v>
      </c>
      <c r="AT18" t="s">
        <v>2</v>
      </c>
      <c r="AU18" t="s">
        <v>1010</v>
      </c>
      <c r="AV18" t="s">
        <v>1011</v>
      </c>
      <c r="AW18" t="s">
        <v>1012</v>
      </c>
      <c r="AX18" t="s">
        <v>267</v>
      </c>
      <c r="AY18" t="s">
        <v>429</v>
      </c>
      <c r="AZ18" t="s">
        <v>163</v>
      </c>
      <c r="BA18" t="s">
        <v>133</v>
      </c>
      <c r="BB18" t="s">
        <v>214</v>
      </c>
      <c r="BC18" t="s">
        <v>519</v>
      </c>
      <c r="BD18" t="s">
        <v>430</v>
      </c>
      <c r="BE18" t="s">
        <v>353</v>
      </c>
      <c r="BF18" t="s">
        <v>354</v>
      </c>
      <c r="BG18" t="s">
        <v>355</v>
      </c>
      <c r="BH18" t="s">
        <v>725</v>
      </c>
      <c r="BI18" t="s">
        <v>118</v>
      </c>
      <c r="BJ18" t="s">
        <v>267</v>
      </c>
      <c r="BK18" t="s">
        <v>785</v>
      </c>
      <c r="BL18" t="s">
        <v>1013</v>
      </c>
      <c r="BM18" t="s">
        <v>519</v>
      </c>
      <c r="BN18">
        <v>2.67</v>
      </c>
      <c r="BO18">
        <v>4.3099999999999996</v>
      </c>
      <c r="BP18">
        <v>8.98</v>
      </c>
      <c r="BQ18">
        <v>2.99</v>
      </c>
      <c r="BR18">
        <v>4.3499999999999996</v>
      </c>
      <c r="BS18">
        <v>10.48</v>
      </c>
      <c r="BT18" t="s">
        <v>789</v>
      </c>
      <c r="BU18" t="s">
        <v>468</v>
      </c>
      <c r="BV18">
        <v>13.88</v>
      </c>
      <c r="BW18">
        <v>11.51</v>
      </c>
      <c r="BX18">
        <v>14.32</v>
      </c>
      <c r="BY18">
        <v>4.45</v>
      </c>
      <c r="BZ18">
        <v>3.43</v>
      </c>
      <c r="CA18">
        <v>6.92</v>
      </c>
      <c r="CB18">
        <v>3.96</v>
      </c>
      <c r="CC18">
        <v>7.06</v>
      </c>
      <c r="CD18" t="s">
        <v>1014</v>
      </c>
      <c r="CE18" t="s">
        <v>118</v>
      </c>
      <c r="CF18" s="9">
        <v>0.64335664335664333</v>
      </c>
      <c r="CG18" s="10">
        <v>3.1196725335951925</v>
      </c>
      <c r="CH18" s="9">
        <v>-4.5000001788139343E-2</v>
      </c>
      <c r="CI18" s="9">
        <v>-0.12126538157463074</v>
      </c>
      <c r="CJ18" s="9">
        <v>0.56104254722595215</v>
      </c>
      <c r="CK18" s="9">
        <v>5.3468208760023117E-2</v>
      </c>
      <c r="CL18" s="9">
        <v>8.9763782918453217E-2</v>
      </c>
      <c r="CM18" s="10">
        <v>1.3933714628219604</v>
      </c>
      <c r="CN18" s="10">
        <v>-0.5650060772895813</v>
      </c>
      <c r="CO18" s="10">
        <v>0.88192546367645264</v>
      </c>
      <c r="CP18" s="10">
        <v>1.8356228247284889E-2</v>
      </c>
      <c r="CQ18" s="10">
        <v>-4.2287684977054596E-2</v>
      </c>
      <c r="CR18">
        <v>35.807357563813888</v>
      </c>
      <c r="CS18">
        <v>3.327764703907655</v>
      </c>
      <c r="CT18">
        <v>0.68027210884353739</v>
      </c>
      <c r="CU18" s="9">
        <v>0.10760183110833169</v>
      </c>
      <c r="CV18" s="10">
        <v>0.33727187849581242</v>
      </c>
      <c r="CW18">
        <v>0.06</v>
      </c>
      <c r="CX18">
        <v>18.117400936437619</v>
      </c>
      <c r="CY18">
        <v>85523370.898291051</v>
      </c>
      <c r="CZ18">
        <v>0.10760183110833169</v>
      </c>
      <c r="DA18">
        <v>5.8331802937519139</v>
      </c>
      <c r="DB18">
        <v>265628888.86867976</v>
      </c>
      <c r="DC18">
        <v>0.10222173955291509</v>
      </c>
      <c r="DD18">
        <v>2.8146081213085883</v>
      </c>
      <c r="DE18">
        <v>550506902.99280918</v>
      </c>
      <c r="DF18">
        <v>9.4689611375331884E-2</v>
      </c>
      <c r="DG18">
        <v>1.6521702159805656</v>
      </c>
      <c r="DH18">
        <v>937833877.53445995</v>
      </c>
      <c r="DI18">
        <v>8.6081464886665349E-2</v>
      </c>
      <c r="DJ18">
        <v>0.81136798244853137</v>
      </c>
      <c r="DK18">
        <v>1909689849.1410327</v>
      </c>
      <c r="DL18">
        <v>7.532128177583218E-2</v>
      </c>
      <c r="DM18">
        <v>81847800</v>
      </c>
      <c r="DN18">
        <v>0.10760183110833169</v>
      </c>
      <c r="DO18">
        <v>1549461200</v>
      </c>
      <c r="DP18">
        <v>457497970</v>
      </c>
      <c r="DQ18">
        <v>4086</v>
      </c>
      <c r="DR18">
        <v>0.53575481224831167</v>
      </c>
      <c r="DS18">
        <v>2.7824006550993801</v>
      </c>
      <c r="DT18" s="11">
        <v>-0.3066666666666667</v>
      </c>
      <c r="DU18">
        <v>0.89</v>
      </c>
      <c r="DV18">
        <v>0.58333333333333326</v>
      </c>
      <c r="DW18">
        <v>8.5609065155807365</v>
      </c>
      <c r="DX18">
        <v>1.0967986013986</v>
      </c>
      <c r="DY18">
        <v>8.1440400087164964</v>
      </c>
      <c r="DZ18">
        <v>1760</v>
      </c>
      <c r="EA18">
        <v>8.094429359921774</v>
      </c>
      <c r="EB18">
        <v>8</v>
      </c>
      <c r="EC18">
        <v>0.28241030072618784</v>
      </c>
      <c r="ED18">
        <v>1.0997345748306162</v>
      </c>
      <c r="EE18" s="12">
        <v>-5.0140099999999999</v>
      </c>
      <c r="EF18">
        <v>-5.04061</v>
      </c>
      <c r="EG18">
        <v>84.2567986013986</v>
      </c>
      <c r="EH18" t="s">
        <v>655</v>
      </c>
      <c r="EI18">
        <v>0</v>
      </c>
      <c r="EJ18">
        <v>0</v>
      </c>
      <c r="EK18" s="13">
        <v>45470</v>
      </c>
      <c r="EL18">
        <v>3.03</v>
      </c>
      <c r="EM18">
        <v>-6.51</v>
      </c>
      <c r="EN18">
        <v>-0.22</v>
      </c>
      <c r="EO18">
        <v>2.06</v>
      </c>
      <c r="EP18">
        <v>-2.66</v>
      </c>
    </row>
    <row r="19" spans="1:146" ht="96" x14ac:dyDescent="0.25">
      <c r="C19" s="8" t="str">
        <f>""&amp;CHAR(10)&amp;Basic_Fundamental_Information_Constructure(F19)&amp;CHAR(10)&amp;Basic_Fundamental_Information_Concatenate("")</f>
        <v xml:space="preserve">
市值44.061267亿, 利润14.78亿; PE21.62; 平均PE10.86; 平均PEG.06, PB2.29; ROIC26.6%; ROE0%; 股利率1.3687%; 毛利18.0867%; 净利9.1%; 上一年度营收增676.83%, 利润增690.37%; 当季营收增-85.21%, 利润增-89.01%; 过往5年营收增187.66%, 利润增221.78%
Income profile:
</v>
      </c>
      <c r="D19" t="s">
        <v>656</v>
      </c>
      <c r="E19" t="s">
        <v>658</v>
      </c>
      <c r="F19">
        <v>22.65</v>
      </c>
      <c r="G19">
        <v>-1.31</v>
      </c>
      <c r="H19" t="s">
        <v>1015</v>
      </c>
      <c r="I19">
        <v>4406126700</v>
      </c>
      <c r="J19">
        <v>21.62</v>
      </c>
      <c r="K19">
        <v>2.29</v>
      </c>
      <c r="L19" t="s">
        <v>468</v>
      </c>
      <c r="M19" t="s">
        <v>476</v>
      </c>
      <c r="N19" t="s">
        <v>1016</v>
      </c>
      <c r="O19" t="s">
        <v>173</v>
      </c>
      <c r="P19" s="6">
        <v>30.64</v>
      </c>
      <c r="Q19" t="s">
        <v>1017</v>
      </c>
      <c r="R19">
        <v>39792352</v>
      </c>
      <c r="S19">
        <v>0.26989999999999997</v>
      </c>
      <c r="T19" t="s">
        <v>373</v>
      </c>
      <c r="U19">
        <v>47656268</v>
      </c>
      <c r="V19">
        <v>194530980</v>
      </c>
      <c r="W19">
        <v>1.34</v>
      </c>
      <c r="X19">
        <v>0.22</v>
      </c>
      <c r="Y19">
        <v>8.44</v>
      </c>
      <c r="Z19" t="s">
        <v>86</v>
      </c>
      <c r="AA19" t="s">
        <v>46</v>
      </c>
      <c r="AB19" t="s">
        <v>1018</v>
      </c>
      <c r="AC19" t="s">
        <v>1019</v>
      </c>
      <c r="AD19" t="s">
        <v>2</v>
      </c>
      <c r="AE19">
        <v>-3347569</v>
      </c>
      <c r="AF19" t="s">
        <v>790</v>
      </c>
      <c r="AG19">
        <v>1000.26</v>
      </c>
      <c r="AH19" t="s">
        <v>791</v>
      </c>
      <c r="AI19" t="s">
        <v>620</v>
      </c>
      <c r="AJ19" t="s">
        <v>792</v>
      </c>
      <c r="AK19" t="s">
        <v>88</v>
      </c>
      <c r="AL19" t="s">
        <v>793</v>
      </c>
      <c r="AM19" t="s">
        <v>2</v>
      </c>
      <c r="AN19" t="s">
        <v>87</v>
      </c>
      <c r="AO19" t="s">
        <v>2</v>
      </c>
      <c r="AP19" t="s">
        <v>1020</v>
      </c>
      <c r="AQ19" t="s">
        <v>99</v>
      </c>
      <c r="AR19" t="s">
        <v>2</v>
      </c>
      <c r="AS19" t="s">
        <v>815</v>
      </c>
      <c r="AT19" t="s">
        <v>2</v>
      </c>
      <c r="AU19" t="s">
        <v>1021</v>
      </c>
      <c r="AV19" t="s">
        <v>443</v>
      </c>
      <c r="AW19" t="s">
        <v>109</v>
      </c>
      <c r="AX19" t="s">
        <v>633</v>
      </c>
      <c r="AY19" t="s">
        <v>623</v>
      </c>
      <c r="AZ19" t="s">
        <v>148</v>
      </c>
      <c r="BA19" t="s">
        <v>287</v>
      </c>
      <c r="BB19" t="s">
        <v>2</v>
      </c>
      <c r="BC19" t="s">
        <v>138</v>
      </c>
      <c r="BD19" t="s">
        <v>47</v>
      </c>
      <c r="BE19" t="s">
        <v>208</v>
      </c>
      <c r="BF19" t="s">
        <v>794</v>
      </c>
      <c r="BG19" t="s">
        <v>2</v>
      </c>
      <c r="BH19" t="s">
        <v>284</v>
      </c>
      <c r="BI19" t="s">
        <v>1022</v>
      </c>
      <c r="BJ19" t="s">
        <v>633</v>
      </c>
      <c r="BK19" t="s">
        <v>22</v>
      </c>
      <c r="BL19" t="s">
        <v>202</v>
      </c>
      <c r="BM19" t="s">
        <v>138</v>
      </c>
      <c r="BN19" t="s">
        <v>2</v>
      </c>
      <c r="BO19">
        <v>23.05</v>
      </c>
      <c r="BP19">
        <v>30.15</v>
      </c>
      <c r="BQ19" t="s">
        <v>2</v>
      </c>
      <c r="BR19" t="s">
        <v>2</v>
      </c>
      <c r="BS19" t="s">
        <v>2</v>
      </c>
      <c r="BT19" t="s">
        <v>492</v>
      </c>
      <c r="BU19" t="s">
        <v>468</v>
      </c>
      <c r="BV19">
        <v>19.32</v>
      </c>
      <c r="BW19">
        <v>18.41</v>
      </c>
      <c r="BX19">
        <v>16.53</v>
      </c>
      <c r="BY19">
        <v>9.51</v>
      </c>
      <c r="BZ19">
        <v>10.33</v>
      </c>
      <c r="CA19">
        <v>7.46</v>
      </c>
      <c r="CB19">
        <v>-4.71</v>
      </c>
      <c r="CC19" s="9">
        <v>-22.14</v>
      </c>
      <c r="CD19" s="10" t="s">
        <v>1023</v>
      </c>
      <c r="CE19" s="9" t="s">
        <v>1024</v>
      </c>
      <c r="CF19" s="9">
        <v>-0.85208398621121906</v>
      </c>
      <c r="CG19" s="9">
        <v>-0.89007637569060771</v>
      </c>
      <c r="CH19" s="9">
        <v>6.768251895904541</v>
      </c>
      <c r="CI19" s="9">
        <v>-0.21765471994876862</v>
      </c>
      <c r="CJ19" s="10">
        <v>0.39891046285629272</v>
      </c>
      <c r="CK19" s="10">
        <v>0.55702167749404907</v>
      </c>
      <c r="CL19" s="10" t="s">
        <v>2</v>
      </c>
      <c r="CM19" s="10">
        <v>6.9037437438964844</v>
      </c>
      <c r="CN19" s="10">
        <v>8.7209299206733704E-2</v>
      </c>
      <c r="CO19">
        <v>0.23741006851196289</v>
      </c>
      <c r="CP19">
        <v>1.6430026292800903</v>
      </c>
      <c r="CQ19" t="s">
        <v>2</v>
      </c>
      <c r="CR19" s="9">
        <v>10.860062919512092</v>
      </c>
      <c r="CS19" s="10">
        <v>5.786995540493655E-2</v>
      </c>
      <c r="CT19">
        <v>1.3686534216335542</v>
      </c>
      <c r="CU19">
        <v>1.8766323290765285</v>
      </c>
      <c r="CV19">
        <v>2.2178414352238178</v>
      </c>
      <c r="CW19">
        <v>0.06</v>
      </c>
      <c r="CX19">
        <v>0.79210290956783047</v>
      </c>
      <c r="CY19">
        <v>4011002436.2029333</v>
      </c>
      <c r="CZ19">
        <v>1.8766323290765285</v>
      </c>
      <c r="DA19">
        <v>7.7853034452888062E-2</v>
      </c>
      <c r="DB19">
        <v>40809285371.177208</v>
      </c>
      <c r="DC19">
        <v>1.7828007126227021</v>
      </c>
      <c r="DD19">
        <v>5.2892337648917064E-3</v>
      </c>
      <c r="DE19">
        <v>600678064389.73865</v>
      </c>
      <c r="DF19">
        <v>1.651436449587345</v>
      </c>
      <c r="DG19">
        <v>2.314308392211406E-4</v>
      </c>
      <c r="DH19">
        <v>13728190722949.156</v>
      </c>
      <c r="DI19">
        <v>1.5013058632612228</v>
      </c>
      <c r="DJ19">
        <v>1.9338794341774213E-7</v>
      </c>
      <c r="DK19">
        <v>1.6428773396369438E+16</v>
      </c>
      <c r="DL19">
        <v>1.31364263035357</v>
      </c>
      <c r="DM19">
        <v>1478000000</v>
      </c>
      <c r="DN19">
        <v>1.8766323290765285</v>
      </c>
      <c r="DO19">
        <v>3177126700</v>
      </c>
      <c r="DP19">
        <v>1582654000</v>
      </c>
      <c r="DQ19" s="11">
        <v>4106</v>
      </c>
      <c r="DR19">
        <v>-2.7287163152877474</v>
      </c>
      <c r="DS19">
        <v>-3.1079178109144254</v>
      </c>
      <c r="DT19">
        <v>-4.8000000000000043E-2</v>
      </c>
      <c r="DU19">
        <v>0.27199999999999996</v>
      </c>
      <c r="DV19">
        <v>0.22399999999999992</v>
      </c>
      <c r="DW19">
        <v>-8.2127371273712733</v>
      </c>
      <c r="DX19">
        <v>0.41213320560047295</v>
      </c>
      <c r="DY19">
        <v>-8.0302370098635141</v>
      </c>
      <c r="DZ19">
        <v>1054</v>
      </c>
      <c r="EA19">
        <v>-8.0240002567527231</v>
      </c>
      <c r="EB19" s="12">
        <v>8</v>
      </c>
      <c r="EC19" s="12">
        <v>7.2912293969834507E-2</v>
      </c>
      <c r="ED19">
        <v>0.51298564372625888</v>
      </c>
      <c r="EE19">
        <v>7.0000099999999996</v>
      </c>
      <c r="EF19">
        <v>7.0298100000000003</v>
      </c>
      <c r="EG19">
        <v>27.142133205600473</v>
      </c>
      <c r="EH19" s="13" t="s">
        <v>660</v>
      </c>
      <c r="EI19">
        <v>0</v>
      </c>
      <c r="EJ19">
        <v>1</v>
      </c>
      <c r="EK19">
        <v>45470</v>
      </c>
      <c r="EL19">
        <v>-2.71</v>
      </c>
      <c r="EM19">
        <v>-5.34</v>
      </c>
      <c r="EN19">
        <v>0.56000000000000005</v>
      </c>
      <c r="EO19">
        <v>2.8</v>
      </c>
      <c r="EP19">
        <v>-2.98</v>
      </c>
    </row>
    <row r="20" spans="1:146" ht="96" x14ac:dyDescent="0.25">
      <c r="C20" s="8" t="str">
        <f>""&amp;CHAR(10)&amp;Basic_Fundamental_Information_Constructure(F20)&amp;CHAR(10)&amp;Basic_Fundamental_Information_Concatenate("")</f>
        <v xml:space="preserve">
市值50.518亿, 利润1.12亿; PE34.52; 平均PE51.05; 平均PEG2.12, PB3.96; ROIC33.12%; ROE0%; 股利率0%; 毛利20.7233%; 净利10.6967%; 上一年度营收增-17.31%, 利润增-25.83%; 当季营收增27.24%, 利润增192.93%; 过往5年营收增24.12%, 利润增68.44%
Income profile:
</v>
      </c>
      <c r="D20" t="s">
        <v>1025</v>
      </c>
      <c r="E20" t="s">
        <v>1026</v>
      </c>
      <c r="F20">
        <v>43.55</v>
      </c>
      <c r="G20">
        <v>-20.09</v>
      </c>
      <c r="H20" t="s">
        <v>1027</v>
      </c>
      <c r="I20">
        <v>5051800000</v>
      </c>
      <c r="J20">
        <v>34.520000000000003</v>
      </c>
      <c r="K20">
        <v>3.96</v>
      </c>
      <c r="L20" t="s">
        <v>468</v>
      </c>
      <c r="M20" t="s">
        <v>143</v>
      </c>
      <c r="N20" t="s">
        <v>1028</v>
      </c>
      <c r="O20" t="s">
        <v>283</v>
      </c>
      <c r="P20" s="6">
        <v>-10.33</v>
      </c>
      <c r="Q20" t="s">
        <v>1029</v>
      </c>
      <c r="R20">
        <v>77070800</v>
      </c>
      <c r="S20">
        <v>-4.4699999999999997E-2</v>
      </c>
      <c r="T20" t="s">
        <v>37</v>
      </c>
      <c r="U20">
        <v>28415213</v>
      </c>
      <c r="V20">
        <v>116000000</v>
      </c>
      <c r="W20">
        <v>1.9</v>
      </c>
      <c r="X20">
        <v>0.22</v>
      </c>
      <c r="Y20">
        <v>10.83</v>
      </c>
      <c r="Z20" t="s">
        <v>75</v>
      </c>
      <c r="AA20" t="s">
        <v>192</v>
      </c>
      <c r="AB20" t="s">
        <v>1030</v>
      </c>
      <c r="AC20" t="s">
        <v>1031</v>
      </c>
      <c r="AD20" t="s">
        <v>2</v>
      </c>
      <c r="AE20">
        <v>-5168194</v>
      </c>
      <c r="AF20" t="s">
        <v>1032</v>
      </c>
      <c r="AG20" t="s">
        <v>1033</v>
      </c>
      <c r="AH20" t="s">
        <v>1034</v>
      </c>
      <c r="AI20" t="s">
        <v>97</v>
      </c>
      <c r="AJ20" t="s">
        <v>1035</v>
      </c>
      <c r="AK20" t="s">
        <v>1036</v>
      </c>
      <c r="AL20" t="s">
        <v>1037</v>
      </c>
      <c r="AM20" t="s">
        <v>1038</v>
      </c>
      <c r="AN20" t="s">
        <v>1039</v>
      </c>
      <c r="AO20" t="s">
        <v>1040</v>
      </c>
      <c r="AP20" t="s">
        <v>473</v>
      </c>
      <c r="AQ20" t="s">
        <v>35</v>
      </c>
      <c r="AR20" t="s">
        <v>2</v>
      </c>
      <c r="AS20" t="s">
        <v>466</v>
      </c>
      <c r="AT20" t="s">
        <v>2</v>
      </c>
      <c r="AU20" t="s">
        <v>414</v>
      </c>
      <c r="AV20" t="s">
        <v>1041</v>
      </c>
      <c r="AW20" t="s">
        <v>1042</v>
      </c>
      <c r="AX20" t="s">
        <v>1043</v>
      </c>
      <c r="AY20" t="s">
        <v>1044</v>
      </c>
      <c r="AZ20" t="s">
        <v>1045</v>
      </c>
      <c r="BA20" t="s">
        <v>110</v>
      </c>
      <c r="BB20" t="s">
        <v>2</v>
      </c>
      <c r="BC20" t="s">
        <v>88</v>
      </c>
      <c r="BD20" t="s">
        <v>29</v>
      </c>
      <c r="BE20" t="s">
        <v>1046</v>
      </c>
      <c r="BF20" t="s">
        <v>1047</v>
      </c>
      <c r="BG20" t="s">
        <v>2</v>
      </c>
      <c r="BH20" t="s">
        <v>624</v>
      </c>
      <c r="BI20" t="s">
        <v>194</v>
      </c>
      <c r="BJ20" t="s">
        <v>1043</v>
      </c>
      <c r="BK20" t="s">
        <v>191</v>
      </c>
      <c r="BL20" t="s">
        <v>1048</v>
      </c>
      <c r="BM20" t="s">
        <v>88</v>
      </c>
      <c r="BN20" t="s">
        <v>2</v>
      </c>
      <c r="BO20">
        <v>29.25</v>
      </c>
      <c r="BP20">
        <v>36.99</v>
      </c>
      <c r="BQ20" t="s">
        <v>2</v>
      </c>
      <c r="BR20" t="s">
        <v>2</v>
      </c>
      <c r="BS20" t="s">
        <v>2</v>
      </c>
      <c r="BT20" t="s">
        <v>2</v>
      </c>
      <c r="BU20" t="s">
        <v>468</v>
      </c>
      <c r="BV20">
        <v>20.25</v>
      </c>
      <c r="BW20">
        <v>21.28</v>
      </c>
      <c r="BX20">
        <v>20.64</v>
      </c>
      <c r="BY20">
        <v>10.34</v>
      </c>
      <c r="BZ20">
        <v>10.78</v>
      </c>
      <c r="CA20">
        <v>10.97</v>
      </c>
      <c r="CB20">
        <v>8.7100000000000009</v>
      </c>
      <c r="CC20" s="9">
        <v>8.7100000000000009</v>
      </c>
      <c r="CD20" s="10" t="s">
        <v>1049</v>
      </c>
      <c r="CE20" s="9" t="s">
        <v>1049</v>
      </c>
      <c r="CF20" s="9">
        <v>0.27235772357723576</v>
      </c>
      <c r="CG20" s="9">
        <v>1.9292569182879968</v>
      </c>
      <c r="CH20" s="9">
        <v>-0.17310443520545959</v>
      </c>
      <c r="CI20" s="9">
        <v>0.18474575877189636</v>
      </c>
      <c r="CJ20" s="10">
        <v>0.53446036577224731</v>
      </c>
      <c r="CK20" s="10">
        <v>0.41881918907165527</v>
      </c>
      <c r="CL20" s="10" t="s">
        <v>2</v>
      </c>
      <c r="CM20" s="10">
        <v>-0.25827813148498535</v>
      </c>
      <c r="CN20" s="10">
        <v>0.1705426424741745</v>
      </c>
      <c r="CO20">
        <v>0.65090841054916382</v>
      </c>
      <c r="CP20">
        <v>2.1745028495788574</v>
      </c>
      <c r="CQ20" t="s">
        <v>2</v>
      </c>
      <c r="CR20" s="9">
        <v>51.053727180798994</v>
      </c>
      <c r="CS20" s="10">
        <v>2.1163901962576475</v>
      </c>
      <c r="CT20">
        <v>0</v>
      </c>
      <c r="CU20">
        <v>0.24123021960258484</v>
      </c>
      <c r="CV20">
        <v>0.6844189427793026</v>
      </c>
      <c r="CW20">
        <v>0.06</v>
      </c>
      <c r="CX20">
        <v>37.764722084129211</v>
      </c>
      <c r="CY20">
        <v>131148853.39197123</v>
      </c>
      <c r="CZ20">
        <v>0.24123021960258484</v>
      </c>
      <c r="DA20">
        <v>10.882586782095613</v>
      </c>
      <c r="DB20">
        <v>455112382.66884381</v>
      </c>
      <c r="DC20">
        <v>0.22916870862245559</v>
      </c>
      <c r="DD20">
        <v>4.4883714359632529</v>
      </c>
      <c r="DE20">
        <v>1103473736.6688271</v>
      </c>
      <c r="DF20">
        <v>0.21228259325027465</v>
      </c>
      <c r="DG20">
        <v>2.1806592551965425</v>
      </c>
      <c r="DH20">
        <v>2271239758.434247</v>
      </c>
      <c r="DI20">
        <v>0.19298417568206788</v>
      </c>
      <c r="DJ20">
        <v>0.67901308973132912</v>
      </c>
      <c r="DK20">
        <v>7294115643.5728159</v>
      </c>
      <c r="DL20">
        <v>0.16886115372180938</v>
      </c>
      <c r="DM20">
        <v>112000000.00000001</v>
      </c>
      <c r="DN20">
        <v>0.24123021960258484</v>
      </c>
      <c r="DO20">
        <v>4952800000</v>
      </c>
      <c r="DP20">
        <v>506935990</v>
      </c>
      <c r="DQ20" s="11">
        <v>4109</v>
      </c>
      <c r="DR20">
        <v>3.1127503974650916E-2</v>
      </c>
      <c r="DS20">
        <v>1.2448379755086942</v>
      </c>
      <c r="DT20">
        <v>-0.24800000000000005</v>
      </c>
      <c r="DU20">
        <v>1.3980000000000001</v>
      </c>
      <c r="DV20">
        <v>1.1500000000000001</v>
      </c>
      <c r="DW20">
        <v>5.9999000000000002</v>
      </c>
      <c r="DX20">
        <v>0.44</v>
      </c>
      <c r="DY20">
        <v>5.9998000100000004</v>
      </c>
      <c r="DZ20">
        <v>2072</v>
      </c>
      <c r="EA20">
        <v>5.5944016497808224</v>
      </c>
      <c r="EB20" s="12">
        <v>5</v>
      </c>
      <c r="EC20" s="12">
        <v>0.5567706896551724</v>
      </c>
      <c r="ED20">
        <v>0.5567706896551724</v>
      </c>
      <c r="EE20">
        <v>-1.1041099999999999</v>
      </c>
      <c r="EF20">
        <v>-1.12771</v>
      </c>
      <c r="EG20">
        <v>44</v>
      </c>
      <c r="EH20" s="13" t="s">
        <v>494</v>
      </c>
      <c r="EI20">
        <v>1</v>
      </c>
      <c r="EJ20">
        <v>0</v>
      </c>
      <c r="EK20">
        <v>45470</v>
      </c>
      <c r="EL20">
        <v>2.64</v>
      </c>
      <c r="EM20">
        <v>-5.14</v>
      </c>
      <c r="EN20">
        <v>2.86</v>
      </c>
      <c r="EO20">
        <v>1.17</v>
      </c>
      <c r="EP20">
        <v>-2.36</v>
      </c>
    </row>
    <row r="21" spans="1:146" ht="96" x14ac:dyDescent="0.25">
      <c r="A21" s="8"/>
      <c r="B21" s="8"/>
      <c r="C21" s="8" t="str">
        <f>""&amp;CHAR(10)&amp;Basic_Fundamental_Information_Constructure(F21)&amp;CHAR(10)&amp;Basic_Fundamental_Information_Concatenate("")</f>
        <v xml:space="preserve">
市值43.741808亿, 利润7878.35万; PE44.72; 平均PE12.17; 平均PEG.9, PB1.58; ROIC15.0167%; ROE15.8667%; 股利率3.8402%; 毛利31.4467%; 净利16.2167%; 上一年度营收增-72.95%, 利润增-84.61%; 当季营收增79.39%, 利润增-5.64%; 过往5年营收增13.6%, 利润增2.89%
Income profile:
</v>
      </c>
      <c r="D21" t="s">
        <v>356</v>
      </c>
      <c r="E21" t="s">
        <v>357</v>
      </c>
      <c r="F21">
        <v>26.04</v>
      </c>
      <c r="G21">
        <v>0.19</v>
      </c>
      <c r="H21" t="s">
        <v>1050</v>
      </c>
      <c r="I21">
        <v>4374180800</v>
      </c>
      <c r="J21">
        <v>44.72</v>
      </c>
      <c r="K21">
        <v>1.58</v>
      </c>
      <c r="L21" t="s">
        <v>468</v>
      </c>
      <c r="M21" t="s">
        <v>627</v>
      </c>
      <c r="N21" t="s">
        <v>726</v>
      </c>
      <c r="O21" t="s">
        <v>132</v>
      </c>
      <c r="P21">
        <v>-34.5</v>
      </c>
      <c r="Q21" t="s">
        <v>190</v>
      </c>
      <c r="R21">
        <v>16535627</v>
      </c>
      <c r="S21" s="6">
        <v>-0.64500000000000002</v>
      </c>
      <c r="T21" t="s">
        <v>1051</v>
      </c>
      <c r="U21">
        <v>167979300</v>
      </c>
      <c r="V21">
        <v>167979300</v>
      </c>
      <c r="W21">
        <v>1.19</v>
      </c>
      <c r="X21">
        <v>0.09</v>
      </c>
      <c r="Y21">
        <v>5.59</v>
      </c>
      <c r="Z21" t="s">
        <v>256</v>
      </c>
      <c r="AA21" t="s">
        <v>35</v>
      </c>
      <c r="AB21" t="s">
        <v>1052</v>
      </c>
      <c r="AC21" t="s">
        <v>1053</v>
      </c>
      <c r="AD21" t="s">
        <v>2</v>
      </c>
      <c r="AE21">
        <v>-3434808</v>
      </c>
      <c r="AF21" t="s">
        <v>795</v>
      </c>
      <c r="AG21" t="s">
        <v>1054</v>
      </c>
      <c r="AH21" t="s">
        <v>796</v>
      </c>
      <c r="AI21" t="s">
        <v>1055</v>
      </c>
      <c r="AJ21" t="s">
        <v>797</v>
      </c>
      <c r="AK21" t="s">
        <v>1056</v>
      </c>
      <c r="AL21" t="s">
        <v>798</v>
      </c>
      <c r="AM21" t="s">
        <v>2</v>
      </c>
      <c r="AN21" t="s">
        <v>100</v>
      </c>
      <c r="AO21" t="s">
        <v>2</v>
      </c>
      <c r="AP21" t="s">
        <v>1057</v>
      </c>
      <c r="AQ21" t="s">
        <v>236</v>
      </c>
      <c r="AR21" t="s">
        <v>2</v>
      </c>
      <c r="AS21" t="s">
        <v>203</v>
      </c>
      <c r="AT21" t="s">
        <v>2</v>
      </c>
      <c r="AU21" t="s">
        <v>1058</v>
      </c>
      <c r="AV21" t="s">
        <v>1059</v>
      </c>
      <c r="AW21" t="s">
        <v>1060</v>
      </c>
      <c r="AX21" t="s">
        <v>479</v>
      </c>
      <c r="AY21" t="s">
        <v>431</v>
      </c>
      <c r="AZ21" t="s">
        <v>276</v>
      </c>
      <c r="BA21" t="s">
        <v>246</v>
      </c>
      <c r="BB21" t="s">
        <v>252</v>
      </c>
      <c r="BC21" t="s">
        <v>56</v>
      </c>
      <c r="BD21" t="s">
        <v>98</v>
      </c>
      <c r="BE21" t="s">
        <v>159</v>
      </c>
      <c r="BF21" t="s">
        <v>167</v>
      </c>
      <c r="BG21" t="s">
        <v>73</v>
      </c>
      <c r="BH21" t="s">
        <v>617</v>
      </c>
      <c r="BI21" t="s">
        <v>84</v>
      </c>
      <c r="BJ21" t="s">
        <v>479</v>
      </c>
      <c r="BK21" t="s">
        <v>44</v>
      </c>
      <c r="BL21" t="s">
        <v>1061</v>
      </c>
      <c r="BM21" t="s">
        <v>56</v>
      </c>
      <c r="BN21">
        <v>3.61</v>
      </c>
      <c r="BO21">
        <v>17.89</v>
      </c>
      <c r="BP21">
        <v>23.55</v>
      </c>
      <c r="BQ21">
        <v>4.29</v>
      </c>
      <c r="BR21">
        <v>18.510000000000002</v>
      </c>
      <c r="BS21">
        <v>24.8</v>
      </c>
      <c r="BT21" t="s">
        <v>522</v>
      </c>
      <c r="BU21" t="s">
        <v>468</v>
      </c>
      <c r="BV21">
        <v>28.86</v>
      </c>
      <c r="BW21">
        <v>31.22</v>
      </c>
      <c r="BX21">
        <v>34.26</v>
      </c>
      <c r="BY21">
        <v>7.76</v>
      </c>
      <c r="BZ21">
        <v>17.97</v>
      </c>
      <c r="CA21">
        <v>22.92</v>
      </c>
      <c r="CB21">
        <v>-3.48</v>
      </c>
      <c r="CC21">
        <v>-24.74</v>
      </c>
      <c r="CD21" t="s">
        <v>1062</v>
      </c>
      <c r="CE21" t="s">
        <v>1063</v>
      </c>
      <c r="CF21" s="9">
        <v>0.79393939393939394</v>
      </c>
      <c r="CG21" s="10">
        <v>-5.6401107053184206E-2</v>
      </c>
      <c r="CH21" s="9">
        <v>-0.72947365045547485</v>
      </c>
      <c r="CI21" s="9">
        <v>7.6690517365932465E-2</v>
      </c>
      <c r="CJ21" s="9">
        <v>0.8947746753692627</v>
      </c>
      <c r="CK21" s="9">
        <v>0.16708438098430634</v>
      </c>
      <c r="CL21" s="9">
        <v>0.27070057392120361</v>
      </c>
      <c r="CM21" s="10">
        <v>-0.8461260199546814</v>
      </c>
      <c r="CN21" s="10">
        <v>-0.15650741755962372</v>
      </c>
      <c r="CO21" s="10">
        <v>0.50995022058486938</v>
      </c>
      <c r="CP21" s="10">
        <v>0.24074074625968933</v>
      </c>
      <c r="CQ21" s="10">
        <v>0.39655172824859619</v>
      </c>
      <c r="CR21">
        <v>12.174267406722429</v>
      </c>
      <c r="CS21">
        <v>0.89546104176393004</v>
      </c>
      <c r="CT21">
        <v>3.8402457757296466</v>
      </c>
      <c r="CU21" s="9">
        <v>0.13595529943704604</v>
      </c>
      <c r="CV21" s="10">
        <v>2.892185151576996E-2</v>
      </c>
      <c r="CW21">
        <v>0.06</v>
      </c>
      <c r="CX21">
        <v>26.024065775110021</v>
      </c>
      <c r="CY21">
        <v>84428805.974715576</v>
      </c>
      <c r="CZ21">
        <v>0.13595529943704604</v>
      </c>
      <c r="DA21">
        <v>8.1815170678704678</v>
      </c>
      <c r="DB21">
        <v>268554203.55089414</v>
      </c>
      <c r="DC21">
        <v>0.12915753446519374</v>
      </c>
      <c r="DD21">
        <v>3.8210129405213027</v>
      </c>
      <c r="DE21">
        <v>575025741.65588605</v>
      </c>
      <c r="DF21">
        <v>0.11964066350460052</v>
      </c>
      <c r="DG21">
        <v>2.1596294338533397</v>
      </c>
      <c r="DH21">
        <v>1017387874.7705615</v>
      </c>
      <c r="DI21">
        <v>0.10876423954963683</v>
      </c>
      <c r="DJ21">
        <v>0.97251573113484813</v>
      </c>
      <c r="DK21">
        <v>2259275330.6273675</v>
      </c>
      <c r="DL21">
        <v>9.5168709605932225E-2</v>
      </c>
      <c r="DM21">
        <v>78783500</v>
      </c>
      <c r="DN21">
        <v>0.13595529943704604</v>
      </c>
      <c r="DO21">
        <v>2197180800</v>
      </c>
      <c r="DP21">
        <v>1706356900</v>
      </c>
      <c r="DQ21">
        <v>4155</v>
      </c>
      <c r="DR21">
        <v>0.65798409450234785</v>
      </c>
      <c r="DS21">
        <v>-8.5322958568954166E-2</v>
      </c>
      <c r="DT21" s="11">
        <v>-0.29000000000000004</v>
      </c>
      <c r="DU21">
        <v>-0.13333333333333339</v>
      </c>
      <c r="DV21">
        <v>-0.42333333333333345</v>
      </c>
      <c r="DW21">
        <v>-8.1406628940986252</v>
      </c>
      <c r="DX21">
        <v>0.44432144619365332</v>
      </c>
      <c r="DY21">
        <v>-8.0259271880660439</v>
      </c>
      <c r="DZ21">
        <v>1013</v>
      </c>
      <c r="EA21">
        <v>-8.0207874147762386</v>
      </c>
      <c r="EB21">
        <v>8</v>
      </c>
      <c r="EC21">
        <v>4.4698959931372496E-2</v>
      </c>
      <c r="ED21">
        <v>0.24250547537702563</v>
      </c>
      <c r="EE21" s="12">
        <v>1.0871999999999999</v>
      </c>
      <c r="EF21">
        <v>1.0627</v>
      </c>
      <c r="EG21">
        <v>26.184321446193653</v>
      </c>
      <c r="EH21" t="s">
        <v>493</v>
      </c>
      <c r="EI21">
        <v>0</v>
      </c>
      <c r="EJ21">
        <v>1</v>
      </c>
      <c r="EK21" s="13">
        <v>45470</v>
      </c>
      <c r="EL21">
        <v>0.41</v>
      </c>
      <c r="EM21">
        <v>-5.25</v>
      </c>
      <c r="EN21">
        <v>-2.5099999999999998</v>
      </c>
      <c r="EO21">
        <v>7.08</v>
      </c>
      <c r="EP21">
        <v>-2.4500000000000002</v>
      </c>
    </row>
    <row r="22" spans="1:146" ht="144" x14ac:dyDescent="0.25">
      <c r="A22" s="8" t="s">
        <v>495</v>
      </c>
      <c r="B22" s="8"/>
      <c r="C22" s="8" t="str">
        <f>"公司的主营业务是控制电机及其驱动系统、LED智能照明控制与驱动产品以及设备状态管理系统整体解决方案、电源电控研发与经营，电力自动化应用中继电器等产品的国际贸易代理。"&amp;CHAR(10)&amp;Basic_Fundamental_Information_Constructure(F22)&amp;CHAR(10)&amp;Basic_Fundamental_Information_Concatenate("控制电机及其驱动系统 10.06亿 79.37% 84.03% 40.75%
贸易代理业务 1.51亿 11.90% 6.23% 20.14%
LED控制与驱动产品 5301.57万 4.18% 3.62% 33.28%")</f>
        <v>公司的主营业务是控制电机及其驱动系统、LED智能照明控制与驱动产品以及设备状态管理系统整体解决方案、电源电控研发与经营，电力自动化应用中继电器等产品的国际贸易代理。
市值158.82695亿, 利润-5242.02万; PE138.8; 平均PE93.65; 平均PEG11.43, PB5.55; ROIC7.93%; ROE8.25%; 股利率.1058%; 毛利37.6833%; 净利8.12%; 上一年度营收增-88.85%, 利润增-121.22%; 当季营收增875.49%, 利润增252.46%; 过往5年营收增-8.19%, 利润增-14.81%
Income profile:
控制电机及其驱动系统 10.06亿 79.37% 84.03% 40.75%
贸易代理业务 1.51亿 11.90% 6.23% 20.14%
LED控制与驱动产品 5301.57万 4.18% 3.62% 33.28%</v>
      </c>
      <c r="D22" t="s">
        <v>358</v>
      </c>
      <c r="E22" t="s">
        <v>359</v>
      </c>
      <c r="F22">
        <v>37.81</v>
      </c>
      <c r="G22">
        <v>-1.66</v>
      </c>
      <c r="H22" t="s">
        <v>1064</v>
      </c>
      <c r="I22">
        <v>15882695000</v>
      </c>
      <c r="J22">
        <v>138.80000000000001</v>
      </c>
      <c r="K22">
        <v>5.55</v>
      </c>
      <c r="L22" t="s">
        <v>468</v>
      </c>
      <c r="M22" t="s">
        <v>483</v>
      </c>
      <c r="N22" t="s">
        <v>639</v>
      </c>
      <c r="O22" t="s">
        <v>189</v>
      </c>
      <c r="P22">
        <v>-6.34</v>
      </c>
      <c r="Q22" t="s">
        <v>24</v>
      </c>
      <c r="R22">
        <v>6487479</v>
      </c>
      <c r="S22" s="6">
        <v>-0.80030000000000001</v>
      </c>
      <c r="T22" t="s">
        <v>1065</v>
      </c>
      <c r="U22">
        <v>418882500</v>
      </c>
      <c r="V22">
        <v>420066000</v>
      </c>
      <c r="W22">
        <v>1.34</v>
      </c>
      <c r="X22">
        <v>0.16</v>
      </c>
      <c r="Y22">
        <v>1.06</v>
      </c>
      <c r="Z22" t="s">
        <v>145</v>
      </c>
      <c r="AA22" t="s">
        <v>216</v>
      </c>
      <c r="AB22" t="s">
        <v>1066</v>
      </c>
      <c r="AC22" t="s">
        <v>1067</v>
      </c>
      <c r="AD22" t="s">
        <v>2</v>
      </c>
      <c r="AE22">
        <v>-2538272</v>
      </c>
      <c r="AF22" t="s">
        <v>17</v>
      </c>
      <c r="AG22" t="s">
        <v>1068</v>
      </c>
      <c r="AH22" t="s">
        <v>800</v>
      </c>
      <c r="AI22" t="s">
        <v>113</v>
      </c>
      <c r="AJ22" t="s">
        <v>801</v>
      </c>
      <c r="AK22" t="s">
        <v>1069</v>
      </c>
      <c r="AL22" t="s">
        <v>802</v>
      </c>
      <c r="AM22" t="s">
        <v>2</v>
      </c>
      <c r="AN22" t="s">
        <v>1070</v>
      </c>
      <c r="AO22" t="s">
        <v>79</v>
      </c>
      <c r="AP22" t="s">
        <v>2</v>
      </c>
      <c r="AQ22" t="s">
        <v>119</v>
      </c>
      <c r="AR22" t="s">
        <v>2</v>
      </c>
      <c r="AS22" t="s">
        <v>418</v>
      </c>
      <c r="AT22" t="s">
        <v>1071</v>
      </c>
      <c r="AU22" t="s">
        <v>1072</v>
      </c>
      <c r="AV22" t="s">
        <v>1073</v>
      </c>
      <c r="AW22" t="s">
        <v>1074</v>
      </c>
      <c r="AX22" t="s">
        <v>520</v>
      </c>
      <c r="AY22" t="s">
        <v>432</v>
      </c>
      <c r="AZ22" t="s">
        <v>360</v>
      </c>
      <c r="BA22" t="s">
        <v>361</v>
      </c>
      <c r="BB22" t="s">
        <v>362</v>
      </c>
      <c r="BC22" t="s">
        <v>201</v>
      </c>
      <c r="BD22" t="s">
        <v>243</v>
      </c>
      <c r="BE22" t="s">
        <v>185</v>
      </c>
      <c r="BF22" t="s">
        <v>114</v>
      </c>
      <c r="BG22" t="s">
        <v>269</v>
      </c>
      <c r="BH22" t="s">
        <v>408</v>
      </c>
      <c r="BI22" t="s">
        <v>1075</v>
      </c>
      <c r="BJ22" t="s">
        <v>520</v>
      </c>
      <c r="BK22" t="s">
        <v>53</v>
      </c>
      <c r="BL22" t="s">
        <v>1076</v>
      </c>
      <c r="BM22" t="s">
        <v>201</v>
      </c>
      <c r="BN22">
        <v>2.72</v>
      </c>
      <c r="BO22">
        <v>9.1999999999999993</v>
      </c>
      <c r="BP22">
        <v>11.87</v>
      </c>
      <c r="BQ22">
        <v>3.05</v>
      </c>
      <c r="BR22">
        <v>9.6</v>
      </c>
      <c r="BS22">
        <v>12.1</v>
      </c>
      <c r="BT22" t="s">
        <v>489</v>
      </c>
      <c r="BU22" t="s">
        <v>468</v>
      </c>
      <c r="BV22">
        <v>37.19</v>
      </c>
      <c r="BW22">
        <v>38.200000000000003</v>
      </c>
      <c r="BX22">
        <v>37.659999999999997</v>
      </c>
      <c r="BY22">
        <v>5.58</v>
      </c>
      <c r="BZ22">
        <v>8.41</v>
      </c>
      <c r="CA22">
        <v>10.37</v>
      </c>
      <c r="CB22">
        <v>-6.02</v>
      </c>
      <c r="CC22">
        <v>-22.74</v>
      </c>
      <c r="CD22" t="s">
        <v>1077</v>
      </c>
      <c r="CE22" t="s">
        <v>33</v>
      </c>
      <c r="CF22" s="9">
        <v>8.7548922870569577</v>
      </c>
      <c r="CG22" s="10">
        <v>2.5245644255399151</v>
      </c>
      <c r="CH22" s="9">
        <v>-0.88851356506347656</v>
      </c>
      <c r="CI22" s="9">
        <v>9.0641170740127563E-2</v>
      </c>
      <c r="CJ22" s="9">
        <v>0.22638949751853943</v>
      </c>
      <c r="CK22" s="9">
        <v>7.5315810739994049E-2</v>
      </c>
      <c r="CL22" s="9">
        <v>8.6589232087135315E-2</v>
      </c>
      <c r="CM22" s="10">
        <v>-1.212227463722229</v>
      </c>
      <c r="CN22" s="10">
        <v>-0.11785714328289032</v>
      </c>
      <c r="CO22" s="10">
        <v>0.39303481578826904</v>
      </c>
      <c r="CP22" s="10">
        <v>0.1485714316368103</v>
      </c>
      <c r="CQ22" s="10">
        <v>4.790419340133667E-2</v>
      </c>
      <c r="CR22">
        <v>93.649824809808521</v>
      </c>
      <c r="CS22">
        <v>11.432481505080586</v>
      </c>
      <c r="CT22">
        <v>0.10579211848717271</v>
      </c>
      <c r="CU22" s="9">
        <v>-8.1915570795536047E-2</v>
      </c>
      <c r="CV22" s="10">
        <v>-0.14811483323574065</v>
      </c>
      <c r="CW22">
        <v>0.06</v>
      </c>
      <c r="CX22" t="e">
        <v>#VALUE!</v>
      </c>
      <c r="CY22" t="s">
        <v>398</v>
      </c>
      <c r="CZ22">
        <v>-8.1915570795536047E-2</v>
      </c>
      <c r="DA22" t="e">
        <v>#VALUE!</v>
      </c>
      <c r="DB22" t="s">
        <v>398</v>
      </c>
      <c r="DC22">
        <v>-7.7819792255759246E-2</v>
      </c>
      <c r="DD22" t="e">
        <v>#VALUE!</v>
      </c>
      <c r="DE22" t="s">
        <v>398</v>
      </c>
      <c r="DF22">
        <v>-7.2085702300071719E-2</v>
      </c>
      <c r="DG22" t="e">
        <v>#VALUE!</v>
      </c>
      <c r="DH22" t="s">
        <v>398</v>
      </c>
      <c r="DI22">
        <v>-6.5532456636428843E-2</v>
      </c>
      <c r="DJ22" t="e">
        <v>#VALUE!</v>
      </c>
      <c r="DK22" t="s">
        <v>398</v>
      </c>
      <c r="DL22">
        <v>-5.7340899556875227E-2</v>
      </c>
      <c r="DM22">
        <v>-52420200.000000007</v>
      </c>
      <c r="DN22">
        <v>-8.1915570795536047E-2</v>
      </c>
      <c r="DO22">
        <v>13997695000</v>
      </c>
      <c r="DP22">
        <v>1327877500</v>
      </c>
      <c r="DQ22">
        <v>4284</v>
      </c>
      <c r="DR22">
        <v>8.8368078578524933</v>
      </c>
      <c r="DS22">
        <v>2.6726792587756556</v>
      </c>
      <c r="DT22" s="11">
        <v>-0.64</v>
      </c>
      <c r="DU22">
        <v>-0.6166666666666667</v>
      </c>
      <c r="DV22">
        <v>-1.2566666666666668</v>
      </c>
      <c r="DW22">
        <v>-9.2647317502198767</v>
      </c>
      <c r="DX22">
        <v>0.45295069444444408</v>
      </c>
      <c r="DY22">
        <v>-9.0378435875354253</v>
      </c>
      <c r="DZ22">
        <v>5026</v>
      </c>
      <c r="EA22">
        <v>-9.0006220863704449</v>
      </c>
      <c r="EB22">
        <v>9</v>
      </c>
      <c r="EC22">
        <v>4.9003966043431262E-2</v>
      </c>
      <c r="ED22">
        <v>0.34280327377126452</v>
      </c>
      <c r="EE22" s="12">
        <v>2.1166999999999998</v>
      </c>
      <c r="EF22">
        <v>2.1093000000000002</v>
      </c>
      <c r="EG22">
        <v>31.142950694444444</v>
      </c>
      <c r="EH22" t="s">
        <v>497</v>
      </c>
      <c r="EI22">
        <v>0</v>
      </c>
      <c r="EJ22">
        <v>0</v>
      </c>
      <c r="EK22" s="13">
        <v>45470</v>
      </c>
      <c r="EL22">
        <v>-2.58</v>
      </c>
      <c r="EM22">
        <v>-4.92</v>
      </c>
      <c r="EN22">
        <v>0.32</v>
      </c>
      <c r="EO22">
        <v>6.59</v>
      </c>
      <c r="EP22">
        <v>-0.74</v>
      </c>
    </row>
    <row r="23" spans="1:146" ht="96" x14ac:dyDescent="0.25">
      <c r="A23" s="8"/>
      <c r="B23" s="8"/>
      <c r="C23" s="8" t="str">
        <f>""&amp;CHAR(10)&amp;Basic_Fundamental_Information_Constructure(F23)&amp;CHAR(10)&amp;Basic_Fundamental_Information_Concatenate("")</f>
        <v xml:space="preserve">
市值21.92543亿, 利润208.88万; PE12.24; 平均PE117.14; 平均PEG4.26, PB2.43; ROIC3.7%; ROE-2.0933%; 股利率2.9791%; 毛利9.26%; 净利2.4167%; 上一年度营收增81.36%, 利润增102.59%; 当季营收增-58.62%, 利润增-9.88%; 过往5年营收增27.51%, 利润增-23.72%
Income profile:
</v>
      </c>
      <c r="D23" t="s">
        <v>363</v>
      </c>
      <c r="E23" t="s">
        <v>1078</v>
      </c>
      <c r="F23">
        <v>10.07</v>
      </c>
      <c r="G23">
        <v>0.3</v>
      </c>
      <c r="H23" t="s">
        <v>1079</v>
      </c>
      <c r="I23">
        <v>2192543000</v>
      </c>
      <c r="J23">
        <v>12.24</v>
      </c>
      <c r="K23">
        <v>2.4300000000000002</v>
      </c>
      <c r="L23" t="s">
        <v>468</v>
      </c>
      <c r="M23" t="s">
        <v>199</v>
      </c>
      <c r="N23" t="s">
        <v>621</v>
      </c>
      <c r="O23" t="s">
        <v>54</v>
      </c>
      <c r="P23">
        <v>-25.08</v>
      </c>
      <c r="Q23" t="s">
        <v>615</v>
      </c>
      <c r="R23">
        <v>9187451</v>
      </c>
      <c r="S23" s="6">
        <v>19.29</v>
      </c>
      <c r="T23" t="s">
        <v>1080</v>
      </c>
      <c r="U23">
        <v>217730190</v>
      </c>
      <c r="V23">
        <v>217730190</v>
      </c>
      <c r="W23">
        <v>1.6</v>
      </c>
      <c r="X23">
        <v>0.18</v>
      </c>
      <c r="Y23">
        <v>3.42</v>
      </c>
      <c r="Z23" t="s">
        <v>41</v>
      </c>
      <c r="AA23" t="s">
        <v>161</v>
      </c>
      <c r="AB23" t="s">
        <v>1081</v>
      </c>
      <c r="AC23" t="s">
        <v>1082</v>
      </c>
      <c r="AD23" t="s">
        <v>2</v>
      </c>
      <c r="AE23">
        <v>3804042</v>
      </c>
      <c r="AF23" t="s">
        <v>17</v>
      </c>
      <c r="AG23" t="s">
        <v>2</v>
      </c>
      <c r="AH23" t="s">
        <v>803</v>
      </c>
      <c r="AI23" t="s">
        <v>70</v>
      </c>
      <c r="AJ23" t="s">
        <v>804</v>
      </c>
      <c r="AK23" t="s">
        <v>2</v>
      </c>
      <c r="AL23" t="s">
        <v>805</v>
      </c>
      <c r="AM23" t="s">
        <v>2</v>
      </c>
      <c r="AN23" t="s">
        <v>1083</v>
      </c>
      <c r="AO23" t="s">
        <v>212</v>
      </c>
      <c r="AP23" t="s">
        <v>2</v>
      </c>
      <c r="AQ23" t="s">
        <v>71</v>
      </c>
      <c r="AR23" t="s">
        <v>2</v>
      </c>
      <c r="AS23" t="s">
        <v>157</v>
      </c>
      <c r="AT23" t="s">
        <v>2</v>
      </c>
      <c r="AU23" t="s">
        <v>1084</v>
      </c>
      <c r="AV23" t="s">
        <v>1085</v>
      </c>
      <c r="AW23" t="s">
        <v>1086</v>
      </c>
      <c r="AX23" t="s">
        <v>420</v>
      </c>
      <c r="AY23" t="s">
        <v>433</v>
      </c>
      <c r="AZ23" t="s">
        <v>364</v>
      </c>
      <c r="BA23" t="s">
        <v>209</v>
      </c>
      <c r="BB23" t="s">
        <v>366</v>
      </c>
      <c r="BC23" t="s">
        <v>521</v>
      </c>
      <c r="BD23" t="s">
        <v>434</v>
      </c>
      <c r="BE23" t="s">
        <v>365</v>
      </c>
      <c r="BF23" t="s">
        <v>367</v>
      </c>
      <c r="BG23" t="s">
        <v>368</v>
      </c>
      <c r="BH23" t="s">
        <v>474</v>
      </c>
      <c r="BI23" t="s">
        <v>213</v>
      </c>
      <c r="BJ23" t="s">
        <v>420</v>
      </c>
      <c r="BK23" t="s">
        <v>104</v>
      </c>
      <c r="BL23" t="s">
        <v>1087</v>
      </c>
      <c r="BM23" t="s">
        <v>521</v>
      </c>
      <c r="BN23" t="s">
        <v>2</v>
      </c>
      <c r="BO23" t="s">
        <v>2</v>
      </c>
      <c r="BP23">
        <v>3.7</v>
      </c>
      <c r="BQ23">
        <v>0.17</v>
      </c>
      <c r="BR23">
        <v>-10.59</v>
      </c>
      <c r="BS23">
        <v>4.1399999999999997</v>
      </c>
      <c r="BT23" t="s">
        <v>488</v>
      </c>
      <c r="BU23" t="s">
        <v>468</v>
      </c>
      <c r="BV23">
        <v>8.1199999999999992</v>
      </c>
      <c r="BW23">
        <v>9.4600000000000009</v>
      </c>
      <c r="BX23">
        <v>10.199999999999999</v>
      </c>
      <c r="BY23">
        <v>12.98</v>
      </c>
      <c r="BZ23">
        <v>-7.92</v>
      </c>
      <c r="CA23">
        <v>2.19</v>
      </c>
      <c r="CB23">
        <v>-4.0999999999999996</v>
      </c>
      <c r="CC23">
        <v>-21.33</v>
      </c>
      <c r="CD23" t="s">
        <v>1088</v>
      </c>
      <c r="CE23" t="s">
        <v>1089</v>
      </c>
      <c r="CF23" s="9">
        <v>-0.58615384615384614</v>
      </c>
      <c r="CG23" s="10">
        <v>-9.8765878971582163E-2</v>
      </c>
      <c r="CH23" s="9">
        <v>0.81360536813735962</v>
      </c>
      <c r="CI23" s="9">
        <v>1.9417475908994675E-2</v>
      </c>
      <c r="CJ23" s="9">
        <v>0.53241235017776489</v>
      </c>
      <c r="CK23" s="9">
        <v>-0.14609800279140472</v>
      </c>
      <c r="CL23" s="9">
        <v>0.15634837746620178</v>
      </c>
      <c r="CM23" s="10">
        <v>1.0259253978729248</v>
      </c>
      <c r="CN23" s="10">
        <v>-3.4908428192138672</v>
      </c>
      <c r="CO23" s="10">
        <v>1.145442008972168</v>
      </c>
      <c r="CP23" s="10">
        <v>-0.84158247709274292</v>
      </c>
      <c r="CQ23" s="10">
        <v>0.9748605489730835</v>
      </c>
      <c r="CR23">
        <v>117.13877132698575</v>
      </c>
      <c r="CS23">
        <v>4.2574689295004511</v>
      </c>
      <c r="CT23">
        <v>2.9791459781529293</v>
      </c>
      <c r="CU23" s="9">
        <v>0.27513711377978323</v>
      </c>
      <c r="CV23" s="10">
        <v>-0.23723946809768676</v>
      </c>
      <c r="CW23">
        <v>0.06</v>
      </c>
      <c r="CX23">
        <v>742.03522754012624</v>
      </c>
      <c r="CY23">
        <v>2512741.8898709537</v>
      </c>
      <c r="CZ23">
        <v>0.27513711377978323</v>
      </c>
      <c r="DA23">
        <v>208.02004973831401</v>
      </c>
      <c r="DB23">
        <v>8963285.0407716278</v>
      </c>
      <c r="DC23">
        <v>0.26138025809079407</v>
      </c>
      <c r="DD23">
        <v>82.361049383748011</v>
      </c>
      <c r="DE23">
        <v>22638650.356583767</v>
      </c>
      <c r="DF23">
        <v>0.24212066012620925</v>
      </c>
      <c r="DG23">
        <v>38.000211185406812</v>
      </c>
      <c r="DH23">
        <v>49066648.364208005</v>
      </c>
      <c r="DI23">
        <v>0.2201096910238266</v>
      </c>
      <c r="DJ23">
        <v>10.379110111788263</v>
      </c>
      <c r="DK23">
        <v>179643821.09043351</v>
      </c>
      <c r="DL23">
        <v>0.19259597964584824</v>
      </c>
      <c r="DM23">
        <v>2088800</v>
      </c>
      <c r="DN23">
        <v>0.27513711377978323</v>
      </c>
      <c r="DO23">
        <v>1864543000</v>
      </c>
      <c r="DP23">
        <v>597618320</v>
      </c>
      <c r="DQ23">
        <v>4324</v>
      </c>
      <c r="DR23">
        <v>-0.86129095993362936</v>
      </c>
      <c r="DS23">
        <v>0.13847358912610458</v>
      </c>
      <c r="DT23" s="11">
        <v>0.12666666666666662</v>
      </c>
      <c r="DU23">
        <v>-0.36999999999999994</v>
      </c>
      <c r="DV23">
        <v>-0.24333333333333332</v>
      </c>
      <c r="DW23">
        <v>-8.1922175339896857</v>
      </c>
      <c r="DX23">
        <v>0.45252829412168294</v>
      </c>
      <c r="DY23">
        <v>-8.0197077358602389</v>
      </c>
      <c r="DZ23">
        <v>3764</v>
      </c>
      <c r="EA23">
        <v>-8.0051911178997806</v>
      </c>
      <c r="EB23">
        <v>8</v>
      </c>
      <c r="EC23">
        <v>1.7162985068813839E-2</v>
      </c>
      <c r="ED23">
        <v>0.16739754831426915</v>
      </c>
      <c r="EE23" s="12">
        <v>-3.0251000000000001</v>
      </c>
      <c r="EF23">
        <v>-3.0028999999999999</v>
      </c>
      <c r="EG23">
        <v>35.102528294121683</v>
      </c>
      <c r="EH23" t="s">
        <v>618</v>
      </c>
      <c r="EI23">
        <v>0</v>
      </c>
      <c r="EJ23">
        <v>0</v>
      </c>
      <c r="EK23" s="13">
        <v>45470</v>
      </c>
      <c r="EL23">
        <v>0</v>
      </c>
      <c r="EM23">
        <v>-1.85</v>
      </c>
      <c r="EN23">
        <v>1.72</v>
      </c>
      <c r="EO23">
        <v>2.38</v>
      </c>
      <c r="EP23">
        <v>-2.2200000000000002</v>
      </c>
    </row>
    <row r="24" spans="1:146" ht="156" x14ac:dyDescent="0.25">
      <c r="A24" s="8"/>
      <c r="B24" s="8"/>
      <c r="C24" s="8" t="str">
        <f>"公司所从事的主要业务是研发、生产和销售大中型直流电动机、中高压交流电动机、发电机、电机试验站电源系统和开关试验站电源系统等成套设备。公司主要产品是直流电动机、交流电动机、发电机、电机试验站电源系统、开关试验站电源系统。"&amp;CHAR(10)&amp;Basic_Fundamental_Information_Constructure(F24)&amp;CHAR(10)&amp;Basic_Fundamental_Information_Concatenate("发电机 3.54亿 43.23% 19.61% 11.99%
交流电机 3.29亿 40.13% 58.37% 38.45%
直流电机 9823.68万 11.99% 11.91% 26.26%")</f>
        <v>公司所从事的主要业务是研发、生产和销售大中型直流电动机、中高压交流电动机、发电机、电机试验站电源系统和开关试验站电源系统等成套设备。公司主要产品是直流电动机、交流电动机、发电机、电机试验站电源系统、开关试验站电源系统。
市值18.36912亿, 利润3.51亿; PE86.61; 平均PE14.23; 平均PEG.19, PB2.8; ROIC5.66%; ROE5.4733%; 股利率.7682%; 毛利24.9933%; 净利5.5233%; 上一年度营收增292.91%, 利润增580.41%; 当季营收增-84.4%, 利润增-120.37%; 过往5年营收增75.22%, 利润增143.71%
Income profile:
发电机 3.54亿 43.23% 19.61% 11.99%
交流电机 3.29亿 40.13% 58.37% 38.45%
直流电机 9823.68万 11.99% 11.91% 26.26%</v>
      </c>
      <c r="D24" t="s">
        <v>369</v>
      </c>
      <c r="E24" t="s">
        <v>370</v>
      </c>
      <c r="F24">
        <v>7.81</v>
      </c>
      <c r="G24">
        <v>1.43</v>
      </c>
      <c r="H24" t="s">
        <v>1090</v>
      </c>
      <c r="I24">
        <v>1836912000</v>
      </c>
      <c r="J24">
        <v>86.61</v>
      </c>
      <c r="K24">
        <v>2.8</v>
      </c>
      <c r="L24" t="s">
        <v>468</v>
      </c>
      <c r="M24" t="s">
        <v>264</v>
      </c>
      <c r="N24" t="s">
        <v>815</v>
      </c>
      <c r="O24" t="s">
        <v>50</v>
      </c>
      <c r="P24">
        <v>-39.159999999999997</v>
      </c>
      <c r="Q24" t="s">
        <v>1091</v>
      </c>
      <c r="R24">
        <v>-18424110</v>
      </c>
      <c r="S24" s="6">
        <v>-6.1539999999999999</v>
      </c>
      <c r="T24" t="s">
        <v>27</v>
      </c>
      <c r="U24">
        <v>235200000</v>
      </c>
      <c r="V24">
        <v>235200000</v>
      </c>
      <c r="W24">
        <v>1.63</v>
      </c>
      <c r="X24">
        <v>0.1</v>
      </c>
      <c r="Y24">
        <v>-16.7</v>
      </c>
      <c r="Z24" t="s">
        <v>65</v>
      </c>
      <c r="AA24" t="s">
        <v>754</v>
      </c>
      <c r="AB24" t="s">
        <v>1092</v>
      </c>
      <c r="AC24" t="s">
        <v>1093</v>
      </c>
      <c r="AD24" t="s">
        <v>2</v>
      </c>
      <c r="AE24">
        <v>68281</v>
      </c>
      <c r="AF24" t="s">
        <v>17</v>
      </c>
      <c r="AG24" t="s">
        <v>2</v>
      </c>
      <c r="AH24" t="s">
        <v>807</v>
      </c>
      <c r="AI24" t="s">
        <v>1094</v>
      </c>
      <c r="AJ24" t="s">
        <v>808</v>
      </c>
      <c r="AK24" t="s">
        <v>1095</v>
      </c>
      <c r="AL24" t="s">
        <v>809</v>
      </c>
      <c r="AM24" t="s">
        <v>2</v>
      </c>
      <c r="AN24">
        <v>0</v>
      </c>
      <c r="AO24" t="s">
        <v>2</v>
      </c>
      <c r="AP24" t="s">
        <v>162</v>
      </c>
      <c r="AQ24" t="s">
        <v>87</v>
      </c>
      <c r="AR24" t="s">
        <v>2</v>
      </c>
      <c r="AS24" t="s">
        <v>378</v>
      </c>
      <c r="AT24" t="s">
        <v>2</v>
      </c>
      <c r="AU24" t="s">
        <v>1096</v>
      </c>
      <c r="AV24" t="s">
        <v>2</v>
      </c>
      <c r="AW24" t="s">
        <v>2</v>
      </c>
      <c r="AX24" t="s">
        <v>480</v>
      </c>
      <c r="AY24" t="s">
        <v>308</v>
      </c>
      <c r="AZ24" t="s">
        <v>204</v>
      </c>
      <c r="BA24" t="s">
        <v>189</v>
      </c>
      <c r="BB24" t="s">
        <v>31</v>
      </c>
      <c r="BC24" t="s">
        <v>810</v>
      </c>
      <c r="BD24" t="s">
        <v>435</v>
      </c>
      <c r="BE24" t="s">
        <v>30</v>
      </c>
      <c r="BF24" t="s">
        <v>182</v>
      </c>
      <c r="BG24" t="s">
        <v>371</v>
      </c>
      <c r="BH24" t="s">
        <v>165</v>
      </c>
      <c r="BI24" t="s">
        <v>147</v>
      </c>
      <c r="BJ24" t="s">
        <v>480</v>
      </c>
      <c r="BK24" t="s">
        <v>806</v>
      </c>
      <c r="BL24" t="s">
        <v>1097</v>
      </c>
      <c r="BM24" t="s">
        <v>810</v>
      </c>
      <c r="BN24">
        <v>2.25</v>
      </c>
      <c r="BO24">
        <v>8.6</v>
      </c>
      <c r="BP24">
        <v>6.13</v>
      </c>
      <c r="BQ24">
        <v>2.06</v>
      </c>
      <c r="BR24">
        <v>8.44</v>
      </c>
      <c r="BS24">
        <v>5.92</v>
      </c>
      <c r="BT24" t="s">
        <v>487</v>
      </c>
      <c r="BU24" t="s">
        <v>468</v>
      </c>
      <c r="BV24">
        <v>22.75</v>
      </c>
      <c r="BW24">
        <v>25.8</v>
      </c>
      <c r="BX24">
        <v>26.43</v>
      </c>
      <c r="BY24">
        <v>5.7</v>
      </c>
      <c r="BZ24">
        <v>6</v>
      </c>
      <c r="CA24">
        <v>4.87</v>
      </c>
      <c r="CB24">
        <v>0</v>
      </c>
      <c r="CC24">
        <v>-12.05</v>
      </c>
      <c r="CD24" t="s">
        <v>1098</v>
      </c>
      <c r="CE24" t="s">
        <v>62</v>
      </c>
      <c r="CF24" s="9">
        <v>-0.84397163120567376</v>
      </c>
      <c r="CG24" s="10">
        <v>-1.2037371116920341</v>
      </c>
      <c r="CH24" s="9">
        <v>2.9290697574615479</v>
      </c>
      <c r="CI24" s="9">
        <v>5.0061050802469254E-2</v>
      </c>
      <c r="CJ24" s="9">
        <v>-4.322429746389389E-2</v>
      </c>
      <c r="CK24" s="9">
        <v>0.40789473056793213</v>
      </c>
      <c r="CL24" s="9">
        <v>0.4172494113445282</v>
      </c>
      <c r="CM24" s="10">
        <v>5.8040657043457031</v>
      </c>
      <c r="CN24" s="10">
        <v>0.29166886210441589</v>
      </c>
      <c r="CO24" s="10">
        <v>-0.76644390821456909</v>
      </c>
      <c r="CP24" s="10">
        <v>0.51327431201934814</v>
      </c>
      <c r="CQ24" s="10">
        <v>1.3429838418960571</v>
      </c>
      <c r="CR24">
        <v>14.225769728197594</v>
      </c>
      <c r="CS24">
        <v>0.18911962429883175</v>
      </c>
      <c r="CT24">
        <v>0.76824583866837393</v>
      </c>
      <c r="CU24" s="9">
        <v>0.75221013054251673</v>
      </c>
      <c r="CV24" s="10">
        <v>1.437109762430191</v>
      </c>
      <c r="CW24">
        <v>0.06</v>
      </c>
      <c r="CX24">
        <v>2.8074380685028588</v>
      </c>
      <c r="CY24">
        <v>580212977.18907857</v>
      </c>
      <c r="CZ24">
        <v>0.75221013054251673</v>
      </c>
      <c r="DA24">
        <v>0.5481501716987438</v>
      </c>
      <c r="DB24">
        <v>2971652813.5928941</v>
      </c>
      <c r="DC24">
        <v>0.7145996240153909</v>
      </c>
      <c r="DD24">
        <v>0.12132010659820718</v>
      </c>
      <c r="DE24">
        <v>13426562551.537285</v>
      </c>
      <c r="DF24">
        <v>0.66194491487741469</v>
      </c>
      <c r="DG24">
        <v>2.5699190553268799E-2</v>
      </c>
      <c r="DH24">
        <v>63383786217.843002</v>
      </c>
      <c r="DI24">
        <v>0.60176810443401341</v>
      </c>
      <c r="DJ24">
        <v>9.637934834296687E-4</v>
      </c>
      <c r="DK24">
        <v>1690104807726.5479</v>
      </c>
      <c r="DL24">
        <v>0.52654709137976163</v>
      </c>
      <c r="DM24">
        <v>351000000</v>
      </c>
      <c r="DN24">
        <v>0.75221013054251673</v>
      </c>
      <c r="DO24">
        <v>1628912000</v>
      </c>
      <c r="DP24">
        <v>540638170</v>
      </c>
      <c r="DQ24">
        <v>4417</v>
      </c>
      <c r="DR24">
        <v>-1.5961817617481904</v>
      </c>
      <c r="DS24">
        <v>-2.6408468741222251</v>
      </c>
      <c r="DT24" s="11">
        <v>7.6666666666666591E-2</v>
      </c>
      <c r="DU24">
        <v>-0.39833333333333343</v>
      </c>
      <c r="DV24">
        <v>-0.32166666666666682</v>
      </c>
      <c r="DW24">
        <v>-2.1204999999999998</v>
      </c>
      <c r="DX24">
        <v>0.30262230769230741</v>
      </c>
      <c r="DY24">
        <v>-2.0123659880769229</v>
      </c>
      <c r="DZ24">
        <v>3314</v>
      </c>
      <c r="EA24">
        <v>-2.0043462455158814</v>
      </c>
      <c r="EB24">
        <v>2</v>
      </c>
      <c r="EC24">
        <v>5.6721513605442177E-2</v>
      </c>
      <c r="ED24">
        <v>0.55272108843537415</v>
      </c>
      <c r="EE24" s="12">
        <v>-4.0336100000000004</v>
      </c>
      <c r="EF24">
        <v>-4.0557100000000004</v>
      </c>
      <c r="EG24">
        <v>20.102622307692307</v>
      </c>
      <c r="EH24" t="s">
        <v>642</v>
      </c>
      <c r="EI24">
        <v>0</v>
      </c>
      <c r="EJ24">
        <v>0</v>
      </c>
      <c r="EK24" s="13">
        <v>45470</v>
      </c>
      <c r="EL24">
        <v>-0.42</v>
      </c>
      <c r="EM24">
        <v>-5.0999999999999996</v>
      </c>
      <c r="EN24">
        <v>-1.1100000000000001</v>
      </c>
      <c r="EO24">
        <v>4.55</v>
      </c>
      <c r="EP24">
        <v>-2.21</v>
      </c>
    </row>
    <row r="25" spans="1:146" x14ac:dyDescent="0.25">
      <c r="A25" s="8"/>
      <c r="B25" s="8"/>
      <c r="C25" s="8"/>
      <c r="D25"/>
      <c r="S25" s="6"/>
    </row>
    <row r="26" spans="1:146" x14ac:dyDescent="0.25">
      <c r="A26" s="8"/>
      <c r="B26" s="8"/>
      <c r="C26" s="8"/>
      <c r="D26"/>
      <c r="S26" s="6"/>
    </row>
    <row r="27" spans="1:146" x14ac:dyDescent="0.25">
      <c r="A27" s="8"/>
      <c r="B27" s="8"/>
      <c r="C27" s="8"/>
      <c r="D27"/>
      <c r="S27" s="6"/>
    </row>
    <row r="28" spans="1:146" x14ac:dyDescent="0.25">
      <c r="A28" s="8"/>
      <c r="B28" s="8"/>
      <c r="C28" s="8"/>
      <c r="D28"/>
      <c r="S28" s="6"/>
    </row>
    <row r="29" spans="1:146" x14ac:dyDescent="0.25">
      <c r="A29" s="8"/>
      <c r="B29" s="8"/>
      <c r="C29" s="8"/>
      <c r="D29"/>
      <c r="S29" s="6"/>
    </row>
    <row r="30" spans="1:146" x14ac:dyDescent="0.25">
      <c r="A30" s="8"/>
      <c r="B30" s="8"/>
      <c r="C30" s="8"/>
      <c r="D30"/>
      <c r="S30" s="6"/>
    </row>
  </sheetData>
  <autoFilter ref="BU1:BU30"/>
  <sortState ref="A2:D71">
    <sortCondition ref="C2:C7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'Basic_Fundamental_Tabel_Update_Buttom &quot;电机&quot;,&quot;&quot;'" altText="更新基本面按钮_x000a_">
                <anchor moveWithCells="1" sizeWithCells="1">
                  <from>
                    <xdr:col>147</xdr:col>
                    <xdr:colOff>412750</xdr:colOff>
                    <xdr:row>0</xdr:row>
                    <xdr:rowOff>50800</xdr:rowOff>
                  </from>
                  <to>
                    <xdr:col>147</xdr:col>
                    <xdr:colOff>1593850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3"/>
  <sheetViews>
    <sheetView workbookViewId="0">
      <selection activeCell="B2" sqref="B2"/>
    </sheetView>
  </sheetViews>
  <sheetFormatPr defaultRowHeight="14" x14ac:dyDescent="0.25"/>
  <sheetData>
    <row r="1" spans="1:33" x14ac:dyDescent="0.25">
      <c r="A1" t="s">
        <v>445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451</v>
      </c>
      <c r="H1" t="s">
        <v>452</v>
      </c>
      <c r="I1" t="s">
        <v>453</v>
      </c>
      <c r="J1" t="s">
        <v>454</v>
      </c>
      <c r="K1" t="s">
        <v>455</v>
      </c>
      <c r="L1" t="s">
        <v>456</v>
      </c>
      <c r="M1" t="s">
        <v>457</v>
      </c>
      <c r="N1" t="s">
        <v>458</v>
      </c>
      <c r="O1" t="s">
        <v>459</v>
      </c>
      <c r="P1" t="s">
        <v>460</v>
      </c>
      <c r="S1" t="s">
        <v>446</v>
      </c>
      <c r="T1" t="s">
        <v>447</v>
      </c>
      <c r="U1" t="s">
        <v>448</v>
      </c>
      <c r="V1" t="s">
        <v>449</v>
      </c>
      <c r="W1" t="s">
        <v>450</v>
      </c>
      <c r="X1" t="s">
        <v>451</v>
      </c>
      <c r="Y1" t="s">
        <v>452</v>
      </c>
      <c r="Z1" t="s">
        <v>453</v>
      </c>
      <c r="AA1" t="s">
        <v>454</v>
      </c>
      <c r="AB1" t="s">
        <v>455</v>
      </c>
      <c r="AC1" t="s">
        <v>456</v>
      </c>
      <c r="AD1" t="s">
        <v>457</v>
      </c>
      <c r="AE1" t="s">
        <v>461</v>
      </c>
      <c r="AF1" t="s">
        <v>462</v>
      </c>
      <c r="AG1" t="s">
        <v>463</v>
      </c>
    </row>
    <row r="2" spans="1:33" x14ac:dyDescent="0.25">
      <c r="A2" t="s">
        <v>464</v>
      </c>
      <c r="B2" t="e">
        <f>COUNTIFS(电力设备!#REF!,$A$2,电力设备!CF:CF,"&lt;-18%")</f>
        <v>#REF!</v>
      </c>
      <c r="C2" t="e">
        <f>COUNTIFS(电力设备!#REF!,$A$2,电力设备!CF:CF,"&lt;0%") - COUNTIFS(电力设备!#REF!,$A$2,电力设备!CF:CF,"&lt;-18%")</f>
        <v>#REF!</v>
      </c>
      <c r="D2" t="e">
        <f>COUNTIFS(电力设备!#REF!,$A$2,电力设备!CF:CF,"&lt;10%") - COUNTIFS(电力设备!#REF!,$A$2,电力设备!CF:CF,"&lt;=0%")</f>
        <v>#REF!</v>
      </c>
      <c r="E2" t="e">
        <f>COUNTIFS(电力设备!#REF!,$A$2,电力设备!CF:CF,"&lt;30%") - COUNTIFS(电力设备!#REF!,$A$2,电力设备!CF:CF,"&lt;10%")</f>
        <v>#REF!</v>
      </c>
      <c r="F2" t="e">
        <f>COUNTIFS(电力设备!#REF!,$A$2,电力设备!CF:CF,"&lt;80%") - COUNTIFS(电力设备!#REF!,$A$2,电力设备!CF:CF,"&lt;=30%")</f>
        <v>#REF!</v>
      </c>
      <c r="G2" t="e">
        <f>COUNTIFS(电力设备!#REF!,$A$2,电力设备!CF:CF,"&gt;=80%")</f>
        <v>#REF!</v>
      </c>
      <c r="H2" t="e">
        <f>COUNTIFS(电力设备!#REF!,$A$2,电力设备!CG:CG,"&lt;-18%")</f>
        <v>#REF!</v>
      </c>
      <c r="I2" t="e">
        <f>COUNTIFS(电力设备!#REF!,$A$2,电力设备!CG:CG,"&lt;0%") - COUNTIFS(电力设备!#REF!,$A$2,电力设备!CG:CG,"&lt;-18%")</f>
        <v>#REF!</v>
      </c>
      <c r="J2" t="e">
        <f>COUNTIFS(电力设备!#REF!,$A$2,电力设备!CG:CG,"&lt;10%") - COUNTIFS(电力设备!#REF!,$A$2,电力设备!CG:CG,"&lt;=0%")</f>
        <v>#REF!</v>
      </c>
      <c r="K2" t="e">
        <f>COUNTIFS(电力设备!#REF!,$A$2,电力设备!CG:CG,"&lt;30%") - COUNTIFS(电力设备!#REF!,$A$2,电力设备!CG:CG,"&lt;10%")</f>
        <v>#REF!</v>
      </c>
      <c r="L2" t="e">
        <f>COUNTIFS(电力设备!#REF!,$A$2,电力设备!CG:CG,"&lt;80%") - COUNTIFS(电力设备!#REF!,$A$2,电力设备!CG:CG,"&lt;=30%")</f>
        <v>#REF!</v>
      </c>
      <c r="M2" t="e">
        <f>COUNTIFS(电力设备!#REF!,$A$2,电力设备!CG:CG,"&gt;=80%")</f>
        <v>#REF!</v>
      </c>
      <c r="N2" t="e">
        <f>SUM(H2:M2)</f>
        <v>#REF!</v>
      </c>
      <c r="O2" t="e">
        <f>SUM(E2:G2)/N2</f>
        <v>#REF!</v>
      </c>
      <c r="P2" t="e">
        <f>SUM(K2:M2)/N2</f>
        <v>#REF!</v>
      </c>
      <c r="S2" t="e">
        <f>COUNTIFS(电力设备!#REF!,$A$2,电力设备!CH:CH,"&lt;-18%")</f>
        <v>#REF!</v>
      </c>
      <c r="T2" t="e">
        <f>COUNTIFS(电力设备!#REF!,$A$2,电力设备!CH:CH,"&lt;0%") - COUNTIFS(电力设备!#REF!,$A$2,电力设备!CH:CH,"&lt;-18%")</f>
        <v>#REF!</v>
      </c>
      <c r="U2" t="e">
        <f>COUNTIFS(电力设备!#REF!,$A$2,电力设备!CH:CH,"&lt;10%") - COUNTIFS(电力设备!#REF!,$A$2,电力设备!CH:CH,"&lt;=0%")</f>
        <v>#REF!</v>
      </c>
      <c r="V2" t="e">
        <f>COUNTIFS(电力设备!#REF!,$A$2,电力设备!CH:CH,"&lt;30%") - COUNTIFS(电力设备!#REF!,$A$2,电力设备!CH:CH,"&lt;10%")</f>
        <v>#REF!</v>
      </c>
      <c r="W2" t="e">
        <f>COUNTIFS(电力设备!#REF!,$A$2,电力设备!CH:CH,"&lt;80%") - COUNTIFS(电力设备!#REF!,$A$2,电力设备!CH:CH,"&lt;=30%")</f>
        <v>#REF!</v>
      </c>
      <c r="X2" t="e">
        <f>COUNTIFS(电力设备!#REF!,$A$2,电力设备!CH:CH,"&gt;=80%")</f>
        <v>#REF!</v>
      </c>
      <c r="Y2" t="e">
        <f>COUNTIFS(电力设备!#REF!,$A$2,电力设备!CM:CM,"&lt;-18%")</f>
        <v>#REF!</v>
      </c>
      <c r="Z2" t="e">
        <f>COUNTIFS(电力设备!#REF!,$A$2,电力设备!CM:CM,"&lt;0%") - COUNTIFS(电力设备!#REF!,$A$2,电力设备!CM:CM,"&lt;-18%")</f>
        <v>#REF!</v>
      </c>
      <c r="AA2" t="e">
        <f>COUNTIFS(电力设备!#REF!,$A$2,电力设备!CM:CM,"&lt;10%") - COUNTIFS(电力设备!#REF!,$A$2,电力设备!CM:CM,"&lt;=0%")</f>
        <v>#REF!</v>
      </c>
      <c r="AB2" t="e">
        <f>COUNTIFS(电力设备!#REF!,$A$2,电力设备!CM:CM,"&lt;30%") - COUNTIFS(电力设备!#REF!,$A$2,电力设备!CM:CM,"&lt;10%")</f>
        <v>#REF!</v>
      </c>
      <c r="AC2" t="e">
        <f>COUNTIFS(电力设备!#REF!,$A$2,电力设备!CM:CM,"&lt;80%") - COUNTIFS(电力设备!#REF!,$A$2,电力设备!CM:CM,"&lt;=30%")</f>
        <v>#REF!</v>
      </c>
      <c r="AD2" t="e">
        <f>COUNTIFS(电力设备!#REF!,$A$2,电力设备!CM:CM,"&gt;=80%")</f>
        <v>#REF!</v>
      </c>
      <c r="AE2" t="e">
        <f>SUM(Y2:AD2)</f>
        <v>#REF!</v>
      </c>
      <c r="AF2" t="e">
        <f>SUM(V2:X2)/AE2</f>
        <v>#REF!</v>
      </c>
      <c r="AG2" t="e">
        <f>SUM(AB2:AD2)/AE2</f>
        <v>#REF!</v>
      </c>
    </row>
    <row r="3" spans="1:33" x14ac:dyDescent="0.25">
      <c r="A3" t="s">
        <v>465</v>
      </c>
      <c r="B3" t="e">
        <f>COUNTIFS(电力设备!#REF!,$A$3,电力设备!CF:CF,"&lt;-18%")</f>
        <v>#REF!</v>
      </c>
      <c r="C3" t="e">
        <f>COUNTIFS(电力设备!#REF!,$A$3,电力设备!CF:CF,"&lt;0%") - COUNTIFS(电力设备!#REF!,$A$3,电力设备!CF:CF,"&lt;-18%")</f>
        <v>#REF!</v>
      </c>
      <c r="D3" t="e">
        <f>COUNTIFS(电力设备!#REF!,$A$3,电力设备!CF:CF,"&lt;10%") - COUNTIFS(电力设备!#REF!,$A$3,电力设备!CF:CF,"&lt;=0%")</f>
        <v>#REF!</v>
      </c>
      <c r="E3" t="e">
        <f>COUNTIFS(电力设备!#REF!,$A$3,电力设备!CF:CF,"&lt;30%") - COUNTIFS(电力设备!#REF!,$A$3,电力设备!CF:CF,"&lt;10%")</f>
        <v>#REF!</v>
      </c>
      <c r="F3" t="e">
        <f>COUNTIFS(电力设备!#REF!,$A$3,电力设备!CF:CF,"&lt;80%") - COUNTIFS(电力设备!#REF!,$A$3,电力设备!CF:CF,"&lt;=30%")</f>
        <v>#REF!</v>
      </c>
      <c r="G3" t="e">
        <f>COUNTIFS(电力设备!#REF!,$A$3,电力设备!CF:CF,"&gt;=80%")</f>
        <v>#REF!</v>
      </c>
      <c r="H3" t="e">
        <f>COUNTIFS(电力设备!#REF!,$A$3,电力设备!CG:CG,"&lt;-18%")</f>
        <v>#REF!</v>
      </c>
      <c r="I3" t="e">
        <f>COUNTIFS(电力设备!#REF!,$A$3,电力设备!CG:CG,"&lt;0%") - COUNTIFS(电力设备!#REF!,$A$3,电力设备!CG:CG,"&lt;-18%")</f>
        <v>#REF!</v>
      </c>
      <c r="J3" t="e">
        <f>COUNTIFS(电力设备!#REF!,$A$3,电力设备!CG:CG,"&lt;10%") - COUNTIFS(电力设备!#REF!,$A$3,电力设备!CG:CG,"&lt;=0%")</f>
        <v>#REF!</v>
      </c>
      <c r="K3" t="e">
        <f>COUNTIFS(电力设备!#REF!,$A$3,电力设备!CG:CG,"&lt;30%") - COUNTIFS(电力设备!#REF!,$A$3,电力设备!CG:CG,"&lt;10%")</f>
        <v>#REF!</v>
      </c>
      <c r="L3" t="e">
        <f>COUNTIFS(电力设备!#REF!,$A$3,电力设备!CG:CG,"&lt;80%") - COUNTIFS(电力设备!#REF!,$A$3,电力设备!CG:CG,"&lt;=30%")</f>
        <v>#REF!</v>
      </c>
      <c r="M3" t="e">
        <f>COUNTIFS(电力设备!#REF!,$A$3,电力设备!CG:CG,"&gt;=80%")</f>
        <v>#REF!</v>
      </c>
      <c r="N3" t="e">
        <f>SUM(H3:M3)</f>
        <v>#REF!</v>
      </c>
      <c r="O3" t="e">
        <f>SUM(E3:G3)/N3</f>
        <v>#REF!</v>
      </c>
      <c r="P3" t="e">
        <f>SUM(K3:M3)/N3</f>
        <v>#REF!</v>
      </c>
      <c r="S3" t="e">
        <f>COUNTIFS(电力设备!#REF!,$A$3,电力设备!CH:CH,"&lt;-18%")</f>
        <v>#REF!</v>
      </c>
      <c r="T3" t="e">
        <f>COUNTIFS(电力设备!#REF!,$A$3,电力设备!CH:CH,"&lt;0%") - COUNTIFS(电力设备!#REF!,$A$3,电力设备!CH:CH,"&lt;-18%")</f>
        <v>#REF!</v>
      </c>
      <c r="U3" t="e">
        <f>COUNTIFS(电力设备!#REF!,$A$3,电力设备!CH:CH,"&lt;10%") - COUNTIFS(电力设备!#REF!,$A$3,电力设备!CH:CH,"&lt;=0%")</f>
        <v>#REF!</v>
      </c>
      <c r="V3" t="e">
        <f>COUNTIFS(电力设备!#REF!,$A$3,电力设备!CH:CH,"&lt;30%") - COUNTIFS(电力设备!#REF!,$A$3,电力设备!CH:CH,"&lt;10%")</f>
        <v>#REF!</v>
      </c>
      <c r="W3" t="e">
        <f>COUNTIFS(电力设备!#REF!,$A$3,电力设备!CH:CH,"&lt;80%") - COUNTIFS(电力设备!#REF!,$A$3,电力设备!CH:CH,"&lt;=30%")</f>
        <v>#REF!</v>
      </c>
      <c r="X3" t="e">
        <f>COUNTIFS(电力设备!#REF!,$A$3,电力设备!CH:CH,"&gt;=80%")</f>
        <v>#REF!</v>
      </c>
      <c r="Y3" t="e">
        <f>COUNTIFS(电力设备!#REF!,$A$3,电力设备!CM:CM,"&lt;-18%")</f>
        <v>#REF!</v>
      </c>
      <c r="Z3" t="e">
        <f>COUNTIFS(电力设备!#REF!,$A$3,电力设备!CM:CM,"&lt;0%") - COUNTIFS(电力设备!#REF!,$A$3,电力设备!CM:CM,"&lt;-18%")</f>
        <v>#REF!</v>
      </c>
      <c r="AA3" t="e">
        <f>COUNTIFS(电力设备!#REF!,$A$3,电力设备!CM:CM,"&lt;10%") - COUNTIFS(电力设备!#REF!,$A$3,电力设备!CM:CM,"&lt;=0%")</f>
        <v>#REF!</v>
      </c>
      <c r="AB3" t="e">
        <f>COUNTIFS(电力设备!#REF!,$A$3,电力设备!CM:CM,"&lt;30%") - COUNTIFS(电力设备!#REF!,$A$3,电力设备!CM:CM,"&lt;10%")</f>
        <v>#REF!</v>
      </c>
      <c r="AC3" t="e">
        <f>COUNTIFS(电力设备!#REF!,$A$3,电力设备!CM:CM,"&lt;80%") - COUNTIFS(电力设备!#REF!,$A$3,电力设备!CM:CM,"&lt;=30%")</f>
        <v>#REF!</v>
      </c>
      <c r="AD3" t="e">
        <f>COUNTIFS(电力设备!#REF!,$A$3,电力设备!CM:CM,"&gt;=80%")</f>
        <v>#REF!</v>
      </c>
      <c r="AE3" t="e">
        <f>SUM(Y3:AD3)</f>
        <v>#REF!</v>
      </c>
      <c r="AF3" t="e">
        <f>SUM(V3:X3)/AE3</f>
        <v>#REF!</v>
      </c>
      <c r="AG3" t="e">
        <f>SUM(AB3:AD3)/AE3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4"/>
  <sheetViews>
    <sheetView workbookViewId="0">
      <selection activeCell="A7" sqref="A7"/>
    </sheetView>
  </sheetViews>
  <sheetFormatPr defaultRowHeight="14" x14ac:dyDescent="0.25"/>
  <sheetData>
    <row r="1" spans="1:30" x14ac:dyDescent="0.25">
      <c r="A1">
        <f>A6</f>
        <v>24.78</v>
      </c>
      <c r="B1">
        <f>A1+A1*$A$2</f>
        <v>25.523400000000002</v>
      </c>
      <c r="C1">
        <f t="shared" ref="C1:AD1" si="0">B1+B1*$A$2</f>
        <v>26.289102000000003</v>
      </c>
      <c r="D1">
        <f t="shared" si="0"/>
        <v>27.077775060000004</v>
      </c>
      <c r="E1">
        <f t="shared" si="0"/>
        <v>27.890108311800002</v>
      </c>
      <c r="F1">
        <f t="shared" si="0"/>
        <v>28.726811561154001</v>
      </c>
      <c r="G1">
        <f t="shared" si="0"/>
        <v>29.588615907988622</v>
      </c>
      <c r="H1">
        <f t="shared" si="0"/>
        <v>30.47627438522828</v>
      </c>
      <c r="I1">
        <f t="shared" si="0"/>
        <v>31.390562616785129</v>
      </c>
      <c r="J1">
        <f t="shared" si="0"/>
        <v>32.332279495288681</v>
      </c>
      <c r="K1">
        <f t="shared" si="0"/>
        <v>33.302247880147341</v>
      </c>
      <c r="L1">
        <f t="shared" si="0"/>
        <v>34.301315316551758</v>
      </c>
      <c r="M1">
        <f t="shared" si="0"/>
        <v>35.33035477604831</v>
      </c>
      <c r="N1">
        <f t="shared" si="0"/>
        <v>36.390265419329758</v>
      </c>
      <c r="O1">
        <f t="shared" si="0"/>
        <v>37.481973381909654</v>
      </c>
      <c r="P1">
        <f t="shared" si="0"/>
        <v>38.606432583366946</v>
      </c>
      <c r="Q1">
        <f t="shared" si="0"/>
        <v>39.764625560867955</v>
      </c>
      <c r="R1">
        <f t="shared" si="0"/>
        <v>40.957564327693994</v>
      </c>
      <c r="S1">
        <f t="shared" si="0"/>
        <v>42.186291257524815</v>
      </c>
      <c r="T1">
        <f t="shared" si="0"/>
        <v>43.451879995250557</v>
      </c>
      <c r="U1">
        <f t="shared" si="0"/>
        <v>44.755436395108077</v>
      </c>
      <c r="V1">
        <f t="shared" si="0"/>
        <v>46.098099486961317</v>
      </c>
      <c r="W1">
        <f t="shared" si="0"/>
        <v>47.481042471570156</v>
      </c>
      <c r="X1">
        <f t="shared" si="0"/>
        <v>48.905473745717259</v>
      </c>
      <c r="Y1">
        <f t="shared" si="0"/>
        <v>50.372637958088774</v>
      </c>
      <c r="Z1">
        <f t="shared" si="0"/>
        <v>51.883817096831436</v>
      </c>
      <c r="AA1">
        <f t="shared" si="0"/>
        <v>53.440331609736376</v>
      </c>
      <c r="AB1">
        <f t="shared" si="0"/>
        <v>55.043541558028465</v>
      </c>
      <c r="AC1">
        <f t="shared" si="0"/>
        <v>56.694847804769317</v>
      </c>
      <c r="AD1">
        <f t="shared" si="0"/>
        <v>58.395693238912393</v>
      </c>
    </row>
    <row r="2" spans="1:30" x14ac:dyDescent="0.25">
      <c r="A2">
        <v>0.03</v>
      </c>
      <c r="B2" t="s">
        <v>646</v>
      </c>
    </row>
    <row r="3" spans="1:30" s="1" customFormat="1" x14ac:dyDescent="0.25">
      <c r="A3" s="1">
        <v>1</v>
      </c>
      <c r="B3" s="1">
        <v>2</v>
      </c>
      <c r="C3" s="1">
        <v>3</v>
      </c>
      <c r="D3" s="1">
        <v>4</v>
      </c>
      <c r="E3" s="1">
        <v>5</v>
      </c>
      <c r="F3" s="1">
        <v>6</v>
      </c>
      <c r="G3" s="1">
        <v>7</v>
      </c>
      <c r="H3" s="1">
        <v>8</v>
      </c>
      <c r="I3" s="1">
        <v>9</v>
      </c>
      <c r="J3" s="1">
        <v>10</v>
      </c>
      <c r="K3" s="1">
        <v>11</v>
      </c>
      <c r="L3" s="1">
        <v>12</v>
      </c>
      <c r="M3" s="1">
        <v>13</v>
      </c>
      <c r="N3" s="1">
        <v>14</v>
      </c>
      <c r="O3" s="1">
        <v>15</v>
      </c>
      <c r="P3" s="1">
        <v>16</v>
      </c>
      <c r="Q3" s="1">
        <v>17</v>
      </c>
      <c r="R3" s="1">
        <v>18</v>
      </c>
      <c r="S3" s="1">
        <v>19</v>
      </c>
      <c r="T3" s="1">
        <v>20</v>
      </c>
      <c r="U3" s="1">
        <v>21</v>
      </c>
      <c r="V3" s="1">
        <v>22</v>
      </c>
      <c r="W3" s="1">
        <v>23</v>
      </c>
      <c r="X3" s="1">
        <v>24</v>
      </c>
      <c r="Y3" s="1">
        <v>25</v>
      </c>
      <c r="Z3" s="1">
        <v>26</v>
      </c>
      <c r="AA3" s="1">
        <v>27</v>
      </c>
      <c r="AB3" s="1">
        <v>28</v>
      </c>
      <c r="AC3" s="1">
        <v>29</v>
      </c>
      <c r="AD3" s="1">
        <v>30</v>
      </c>
    </row>
    <row r="4" spans="1:30" x14ac:dyDescent="0.25">
      <c r="A4">
        <v>0.43</v>
      </c>
      <c r="B4" t="s">
        <v>647</v>
      </c>
    </row>
    <row r="5" spans="1:30" x14ac:dyDescent="0.25">
      <c r="A5" s="14">
        <v>1</v>
      </c>
      <c r="B5" s="14">
        <f>A5*$A$4+A5</f>
        <v>1.43</v>
      </c>
      <c r="C5" s="14">
        <f t="shared" ref="C5:AD5" si="1">B5*$A$4+B5</f>
        <v>2.0449000000000002</v>
      </c>
      <c r="D5" s="14">
        <f t="shared" si="1"/>
        <v>2.924207</v>
      </c>
      <c r="E5" s="14">
        <f t="shared" si="1"/>
        <v>4.1816160099999999</v>
      </c>
      <c r="F5" s="14">
        <f t="shared" si="1"/>
        <v>5.9797108943000001</v>
      </c>
      <c r="G5" s="14">
        <f t="shared" si="1"/>
        <v>8.5509865788490007</v>
      </c>
      <c r="H5" s="14">
        <f t="shared" si="1"/>
        <v>12.227910807754071</v>
      </c>
      <c r="I5" s="14">
        <f t="shared" si="1"/>
        <v>17.485912455088322</v>
      </c>
      <c r="J5" s="14">
        <f t="shared" si="1"/>
        <v>25.004854810776301</v>
      </c>
      <c r="K5" s="14">
        <f t="shared" si="1"/>
        <v>35.756942379410113</v>
      </c>
      <c r="L5" s="14">
        <f t="shared" si="1"/>
        <v>51.132427602556461</v>
      </c>
      <c r="M5" s="14">
        <f t="shared" si="1"/>
        <v>73.119371471655739</v>
      </c>
      <c r="N5" s="14">
        <f t="shared" si="1"/>
        <v>104.5607012044677</v>
      </c>
      <c r="O5" s="14">
        <f t="shared" si="1"/>
        <v>149.52180272238883</v>
      </c>
      <c r="P5">
        <f t="shared" si="1"/>
        <v>213.816177893016</v>
      </c>
      <c r="Q5">
        <f t="shared" si="1"/>
        <v>305.75713438701291</v>
      </c>
      <c r="R5">
        <f t="shared" si="1"/>
        <v>437.23270217342849</v>
      </c>
      <c r="S5" s="14">
        <f t="shared" si="1"/>
        <v>625.2427641080028</v>
      </c>
      <c r="T5">
        <f t="shared" si="1"/>
        <v>894.09715267444403</v>
      </c>
      <c r="U5">
        <f t="shared" si="1"/>
        <v>1278.5589283244549</v>
      </c>
      <c r="V5">
        <f t="shared" si="1"/>
        <v>1828.3392675039704</v>
      </c>
      <c r="W5">
        <f t="shared" si="1"/>
        <v>2614.5251525306776</v>
      </c>
      <c r="X5">
        <f t="shared" si="1"/>
        <v>3738.770968118869</v>
      </c>
      <c r="Y5">
        <f t="shared" si="1"/>
        <v>5346.4424844099831</v>
      </c>
      <c r="Z5">
        <f t="shared" si="1"/>
        <v>7645.4127527062756</v>
      </c>
      <c r="AA5">
        <f t="shared" si="1"/>
        <v>10932.940236369974</v>
      </c>
      <c r="AB5">
        <f t="shared" si="1"/>
        <v>15634.104538009062</v>
      </c>
      <c r="AC5">
        <f t="shared" si="1"/>
        <v>22356.769489352959</v>
      </c>
      <c r="AD5">
        <f t="shared" si="1"/>
        <v>31970.180369774731</v>
      </c>
    </row>
    <row r="6" spans="1:30" x14ac:dyDescent="0.25">
      <c r="A6">
        <v>24.78</v>
      </c>
      <c r="B6" t="s">
        <v>648</v>
      </c>
    </row>
    <row r="7" spans="1:30" x14ac:dyDescent="0.25">
      <c r="A7" s="15">
        <f>SUM($A$5:A5)</f>
        <v>1</v>
      </c>
      <c r="B7" s="15">
        <f>SUM($A$5:B5)</f>
        <v>2.4299999999999997</v>
      </c>
      <c r="C7" s="15">
        <f>SUM($A$5:C5)</f>
        <v>4.4748999999999999</v>
      </c>
      <c r="D7" s="15">
        <f>SUM($A$5:D5)</f>
        <v>7.3991069999999999</v>
      </c>
      <c r="E7" s="15">
        <f>SUM($A$5:E5)</f>
        <v>11.58072301</v>
      </c>
      <c r="F7" s="15">
        <f>SUM($A$5:F5)</f>
        <v>17.560433904299998</v>
      </c>
      <c r="G7" s="15">
        <f>SUM($A$5:G5)</f>
        <v>26.111420483148997</v>
      </c>
      <c r="H7" s="15">
        <f>SUM($A$5:H5)</f>
        <v>38.339331290903068</v>
      </c>
      <c r="I7" s="15">
        <f>SUM($A$5:I5)</f>
        <v>55.825243745991386</v>
      </c>
      <c r="J7" s="15">
        <f>SUM($A$5:J5)</f>
        <v>80.830098556767695</v>
      </c>
      <c r="K7" s="15">
        <f>SUM($A$5:K5)</f>
        <v>116.5870409361778</v>
      </c>
      <c r="L7" s="15">
        <f>SUM($A$5:L5)</f>
        <v>167.71946853873425</v>
      </c>
      <c r="M7" s="15">
        <f>SUM($A$5:M5)</f>
        <v>240.83884001038999</v>
      </c>
      <c r="N7" s="15">
        <f>SUM($A$5:N5)</f>
        <v>345.39954121485766</v>
      </c>
      <c r="O7" s="15">
        <f>SUM($A$5:O5)</f>
        <v>494.92134393724649</v>
      </c>
      <c r="P7" s="15">
        <f>SUM($A$5:P5)</f>
        <v>708.73752183026249</v>
      </c>
      <c r="Q7" s="15">
        <f>SUM($A$5:Q5)</f>
        <v>1014.4946562172754</v>
      </c>
      <c r="R7" s="15">
        <f>SUM($A$5:R5)</f>
        <v>1451.727358390704</v>
      </c>
      <c r="S7" s="15">
        <f>SUM($A$5:S5)</f>
        <v>2076.9701224987066</v>
      </c>
      <c r="T7" s="15">
        <f>SUM($A$5:T5)</f>
        <v>2971.0672751731508</v>
      </c>
      <c r="U7" s="15">
        <f>SUM($A$5:U5)</f>
        <v>4249.6262034976062</v>
      </c>
      <c r="V7" s="15">
        <f>SUM($A$5:V5)</f>
        <v>6077.9654710015766</v>
      </c>
      <c r="W7" s="15">
        <f>SUM($A$5:W5)</f>
        <v>8692.4906235322542</v>
      </c>
      <c r="X7" s="15">
        <f>SUM($A$5:X5)</f>
        <v>12431.261591651124</v>
      </c>
      <c r="Y7" s="15">
        <f>SUM($A$5:Y5)</f>
        <v>17777.704076061105</v>
      </c>
      <c r="Z7" s="15">
        <f>SUM($A$5:Z5)</f>
        <v>25423.116828767379</v>
      </c>
      <c r="AA7" s="15">
        <f>SUM($A$5:AA5)</f>
        <v>36356.057065137356</v>
      </c>
      <c r="AB7" s="15">
        <f>SUM($A$5:AB5)</f>
        <v>51990.161603146422</v>
      </c>
      <c r="AC7" s="15">
        <f>SUM($A$5:AC5)</f>
        <v>74346.931092499377</v>
      </c>
      <c r="AD7" s="15">
        <f>SUM($A$5:AD5)</f>
        <v>106317.1114622741</v>
      </c>
    </row>
    <row r="8" spans="1:30" x14ac:dyDescent="0.25">
      <c r="A8" s="1" t="s">
        <v>649</v>
      </c>
      <c r="B8" s="1">
        <v>1</v>
      </c>
      <c r="C8" s="1">
        <v>2</v>
      </c>
      <c r="D8" s="1">
        <v>3</v>
      </c>
      <c r="E8" s="1">
        <v>4</v>
      </c>
      <c r="F8" s="1">
        <v>5</v>
      </c>
      <c r="G8" s="1">
        <v>6</v>
      </c>
      <c r="H8" s="1">
        <v>7</v>
      </c>
      <c r="I8" s="1">
        <v>8</v>
      </c>
      <c r="J8" s="1">
        <v>9</v>
      </c>
      <c r="K8" s="1">
        <v>10</v>
      </c>
      <c r="L8" s="1">
        <v>11</v>
      </c>
      <c r="M8" s="1">
        <v>12</v>
      </c>
      <c r="N8" s="1">
        <v>13</v>
      </c>
      <c r="O8" s="1">
        <v>14</v>
      </c>
      <c r="P8" s="1">
        <v>15</v>
      </c>
      <c r="Q8" s="1">
        <v>16</v>
      </c>
      <c r="R8" s="1">
        <v>17</v>
      </c>
      <c r="S8" s="1">
        <v>18</v>
      </c>
      <c r="T8" s="1">
        <v>19</v>
      </c>
      <c r="U8" s="1">
        <v>20</v>
      </c>
      <c r="V8" s="1">
        <v>21</v>
      </c>
      <c r="W8" s="1">
        <v>22</v>
      </c>
      <c r="X8" s="1">
        <v>23</v>
      </c>
      <c r="Y8" s="1">
        <v>24</v>
      </c>
      <c r="Z8" s="1">
        <v>25</v>
      </c>
      <c r="AA8" s="1">
        <v>26</v>
      </c>
      <c r="AB8" s="1">
        <v>27</v>
      </c>
      <c r="AC8" s="1">
        <v>28</v>
      </c>
      <c r="AD8" s="1">
        <v>29</v>
      </c>
    </row>
    <row r="9" spans="1:30" x14ac:dyDescent="0.25">
      <c r="A9">
        <f>IF(A7&gt;A1,(A7-A1)/$A$6,0)</f>
        <v>0</v>
      </c>
      <c r="B9">
        <f t="shared" ref="B9:AD9" si="2">IF(B7&gt;B1,(B7-B1)/$A$6,0)</f>
        <v>0</v>
      </c>
      <c r="C9">
        <f t="shared" si="2"/>
        <v>0</v>
      </c>
      <c r="D9">
        <f t="shared" si="2"/>
        <v>0</v>
      </c>
      <c r="E9">
        <f t="shared" si="2"/>
        <v>0</v>
      </c>
      <c r="F9">
        <f t="shared" si="2"/>
        <v>0</v>
      </c>
      <c r="G9">
        <f t="shared" si="2"/>
        <v>0</v>
      </c>
      <c r="H9">
        <f t="shared" si="2"/>
        <v>0.31731464510390589</v>
      </c>
      <c r="I9">
        <f t="shared" si="2"/>
        <v>0.98606461376942112</v>
      </c>
      <c r="J9">
        <f t="shared" si="2"/>
        <v>1.9571355553462071</v>
      </c>
      <c r="K9">
        <f t="shared" si="2"/>
        <v>3.3609682427776613</v>
      </c>
      <c r="L9">
        <f t="shared" si="2"/>
        <v>5.384106264010593</v>
      </c>
      <c r="M9">
        <f t="shared" si="2"/>
        <v>8.2933206309258125</v>
      </c>
      <c r="N9">
        <f t="shared" si="2"/>
        <v>12.470107982063272</v>
      </c>
      <c r="O9">
        <f t="shared" si="2"/>
        <v>18.460023024831994</v>
      </c>
      <c r="P9">
        <f t="shared" si="2"/>
        <v>27.043223940552682</v>
      </c>
      <c r="Q9">
        <f t="shared" si="2"/>
        <v>39.335352326731538</v>
      </c>
      <c r="R9">
        <f t="shared" si="2"/>
        <v>56.931791527966503</v>
      </c>
      <c r="S9">
        <f t="shared" si="2"/>
        <v>82.11395606300168</v>
      </c>
      <c r="T9">
        <f t="shared" si="2"/>
        <v>118.14428551968926</v>
      </c>
      <c r="U9">
        <f t="shared" si="2"/>
        <v>169.6880858394874</v>
      </c>
      <c r="V9">
        <f t="shared" si="2"/>
        <v>243.41676236943562</v>
      </c>
      <c r="W9">
        <f t="shared" si="2"/>
        <v>348.87044314207759</v>
      </c>
      <c r="X9">
        <f t="shared" si="2"/>
        <v>499.69153018181623</v>
      </c>
      <c r="Y9">
        <f t="shared" si="2"/>
        <v>715.38867788954872</v>
      </c>
      <c r="Z9">
        <f t="shared" si="2"/>
        <v>1023.8592821497397</v>
      </c>
      <c r="AA9">
        <f t="shared" si="2"/>
        <v>1464.9966397710903</v>
      </c>
      <c r="AB9">
        <f t="shared" si="2"/>
        <v>2095.8481865047775</v>
      </c>
      <c r="AC9">
        <f t="shared" si="2"/>
        <v>2997.9917774291607</v>
      </c>
      <c r="AD9">
        <f t="shared" si="2"/>
        <v>4288.0837679190954</v>
      </c>
    </row>
    <row r="11" spans="1:30" x14ac:dyDescent="0.25">
      <c r="A11" t="s">
        <v>650</v>
      </c>
      <c r="B11">
        <f>B12/B13</f>
        <v>1</v>
      </c>
      <c r="C11">
        <f t="shared" ref="C11:T11" si="3">C12/C13</f>
        <v>0.88461538461538447</v>
      </c>
      <c r="D11">
        <f t="shared" si="3"/>
        <v>0.78254437869822469</v>
      </c>
      <c r="E11">
        <f t="shared" si="3"/>
        <v>0.69225079654073696</v>
      </c>
      <c r="F11">
        <f t="shared" si="3"/>
        <v>0.61237570463219038</v>
      </c>
      <c r="G11">
        <f t="shared" si="3"/>
        <v>0.54171696948232217</v>
      </c>
      <c r="H11">
        <f t="shared" si="3"/>
        <v>0.47921116531128499</v>
      </c>
      <c r="I11">
        <f t="shared" si="3"/>
        <v>0.42391756931382896</v>
      </c>
      <c r="J11">
        <f t="shared" si="3"/>
        <v>0.37500400362377173</v>
      </c>
      <c r="K11">
        <f t="shared" si="3"/>
        <v>0.33173431089795186</v>
      </c>
      <c r="L11">
        <f t="shared" si="3"/>
        <v>0.29345727502511126</v>
      </c>
      <c r="M11">
        <f t="shared" si="3"/>
        <v>0.25959682021452146</v>
      </c>
      <c r="N11">
        <f t="shared" si="3"/>
        <v>0.22964334095899974</v>
      </c>
      <c r="O11">
        <f t="shared" si="3"/>
        <v>0.20314603238680742</v>
      </c>
      <c r="P11">
        <f t="shared" si="3"/>
        <v>0.179706105572945</v>
      </c>
      <c r="Q11">
        <f t="shared" si="3"/>
        <v>0.15897078569914364</v>
      </c>
      <c r="R11">
        <f t="shared" si="3"/>
        <v>0.14062800273385781</v>
      </c>
      <c r="S11">
        <f t="shared" si="3"/>
        <v>0.12440169472610496</v>
      </c>
      <c r="T11">
        <f t="shared" si="3"/>
        <v>0.11004765302693899</v>
      </c>
    </row>
    <row r="12" spans="1:30" x14ac:dyDescent="0.25">
      <c r="A12" t="s">
        <v>651</v>
      </c>
      <c r="B12">
        <v>1</v>
      </c>
      <c r="C12">
        <f>B12*(1+$D$14)</f>
        <v>1.1499999999999999</v>
      </c>
      <c r="D12">
        <f t="shared" ref="D12:T12" si="4">C12*(1+$D$14)</f>
        <v>1.3224999999999998</v>
      </c>
      <c r="E12">
        <f t="shared" si="4"/>
        <v>1.5208749999999995</v>
      </c>
      <c r="F12">
        <f t="shared" si="4"/>
        <v>1.7490062499999994</v>
      </c>
      <c r="G12">
        <f t="shared" si="4"/>
        <v>2.0113571874999994</v>
      </c>
      <c r="H12">
        <f t="shared" si="4"/>
        <v>2.3130607656249991</v>
      </c>
      <c r="I12">
        <f t="shared" si="4"/>
        <v>2.6600198804687487</v>
      </c>
      <c r="J12">
        <f t="shared" si="4"/>
        <v>3.0590228625390607</v>
      </c>
      <c r="K12">
        <f t="shared" si="4"/>
        <v>3.5178762919199196</v>
      </c>
      <c r="L12">
        <f t="shared" si="4"/>
        <v>4.0455577357079076</v>
      </c>
      <c r="M12">
        <f t="shared" si="4"/>
        <v>4.6523913960640932</v>
      </c>
      <c r="N12">
        <f t="shared" si="4"/>
        <v>5.3502501054737071</v>
      </c>
      <c r="O12">
        <f t="shared" si="4"/>
        <v>6.1527876212947623</v>
      </c>
      <c r="P12">
        <f t="shared" si="4"/>
        <v>7.0757057644889763</v>
      </c>
      <c r="Q12">
        <f t="shared" si="4"/>
        <v>8.1370616291623215</v>
      </c>
      <c r="R12">
        <f t="shared" si="4"/>
        <v>9.3576208735366695</v>
      </c>
      <c r="S12">
        <f t="shared" si="4"/>
        <v>10.761264004567169</v>
      </c>
      <c r="T12">
        <f t="shared" si="4"/>
        <v>12.375453605252243</v>
      </c>
    </row>
    <row r="13" spans="1:30" x14ac:dyDescent="0.25">
      <c r="A13" t="s">
        <v>652</v>
      </c>
      <c r="B13">
        <v>1</v>
      </c>
      <c r="C13">
        <f>B13*(1+$B$14)</f>
        <v>1.3</v>
      </c>
      <c r="D13">
        <f>C13*(1+$B$14)</f>
        <v>1.6900000000000002</v>
      </c>
      <c r="E13">
        <f t="shared" ref="E13:T13" si="5">D13*(1+$B$14)</f>
        <v>2.1970000000000005</v>
      </c>
      <c r="F13">
        <f t="shared" si="5"/>
        <v>2.856100000000001</v>
      </c>
      <c r="G13">
        <f t="shared" si="5"/>
        <v>3.7129300000000014</v>
      </c>
      <c r="H13">
        <f t="shared" si="5"/>
        <v>4.8268090000000017</v>
      </c>
      <c r="I13">
        <f t="shared" si="5"/>
        <v>6.2748517000000028</v>
      </c>
      <c r="J13">
        <f t="shared" si="5"/>
        <v>8.1573072100000044</v>
      </c>
      <c r="K13">
        <f t="shared" si="5"/>
        <v>10.604499373000007</v>
      </c>
      <c r="L13">
        <f t="shared" si="5"/>
        <v>13.785849184900009</v>
      </c>
      <c r="M13">
        <f t="shared" si="5"/>
        <v>17.921603940370012</v>
      </c>
      <c r="N13">
        <f t="shared" si="5"/>
        <v>23.298085122481016</v>
      </c>
      <c r="O13">
        <f t="shared" si="5"/>
        <v>30.287510659225322</v>
      </c>
      <c r="P13">
        <f t="shared" si="5"/>
        <v>39.373763856992923</v>
      </c>
      <c r="Q13">
        <f t="shared" si="5"/>
        <v>51.185893014090802</v>
      </c>
      <c r="R13">
        <f t="shared" si="5"/>
        <v>66.541660918318044</v>
      </c>
      <c r="S13">
        <f t="shared" si="5"/>
        <v>86.504159193813464</v>
      </c>
      <c r="T13">
        <f t="shared" si="5"/>
        <v>112.45540695195751</v>
      </c>
    </row>
    <row r="14" spans="1:30" x14ac:dyDescent="0.25">
      <c r="A14" t="s">
        <v>653</v>
      </c>
      <c r="B14">
        <v>0.3</v>
      </c>
      <c r="C14" t="s">
        <v>654</v>
      </c>
      <c r="D14">
        <v>0.15</v>
      </c>
    </row>
  </sheetData>
  <phoneticPr fontId="1" type="noConversion"/>
  <conditionalFormatting sqref="A7:AD7">
    <cfRule type="expression" dxfId="0" priority="1">
      <formula>A$7&gt;A$1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电力设备</vt:lpstr>
      <vt:lpstr>利基分析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2024-07-09T14:27:36Z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