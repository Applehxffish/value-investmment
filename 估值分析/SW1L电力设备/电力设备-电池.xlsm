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力设备\"/>
    </mc:Choice>
  </mc:AlternateContent>
  <bookViews>
    <workbookView xWindow="-120" yWindow="-120" windowWidth="29040" windowHeight="15720"/>
  </bookViews>
  <sheets>
    <sheet name="电力设备" sheetId="7" r:id="rId1"/>
    <sheet name="利基分析" sheetId="15" r:id="rId2"/>
    <sheet name="估值-增速与年化收益" sheetId="14" r:id="rId3"/>
  </sheets>
  <functionGroups builtInGroupCount="18"/>
  <definedNames>
    <definedName name="_xlnm._FilterDatabase" localSheetId="0" hidden="1">电力设备!$BU$1:$BU$102</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 i="14" l="1"/>
  <c r="D13" i="14" s="1"/>
  <c r="E13" i="14" s="1"/>
  <c r="F13" i="14" s="1"/>
  <c r="G13" i="14" s="1"/>
  <c r="H13" i="14" s="1"/>
  <c r="I13" i="14" s="1"/>
  <c r="J13" i="14" s="1"/>
  <c r="K13" i="14" s="1"/>
  <c r="L13" i="14" s="1"/>
  <c r="M13" i="14" s="1"/>
  <c r="N13" i="14" s="1"/>
  <c r="O13" i="14" s="1"/>
  <c r="P13" i="14" s="1"/>
  <c r="Q13" i="14" s="1"/>
  <c r="R13" i="14" s="1"/>
  <c r="S13" i="14" s="1"/>
  <c r="T13" i="14" s="1"/>
  <c r="C12" i="14"/>
  <c r="C11" i="14" s="1"/>
  <c r="B11"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4" i="7"/>
  <c r="C8" i="7"/>
  <c r="C59" i="7"/>
  <c r="C41" i="7"/>
  <c r="C77" i="7"/>
  <c r="A9" i="14" l="1"/>
  <c r="C5" i="14"/>
  <c r="D12" i="14"/>
  <c r="B7" i="14"/>
  <c r="B9" i="14" s="1"/>
  <c r="C7" i="14"/>
  <c r="C9" i="14" s="1"/>
  <c r="AD3" i="15"/>
  <c r="AC3" i="15"/>
  <c r="AB3" i="15"/>
  <c r="AA3" i="15"/>
  <c r="Z3" i="15"/>
  <c r="Y3" i="15"/>
  <c r="X3" i="15"/>
  <c r="W3" i="15"/>
  <c r="V3" i="15"/>
  <c r="U3" i="15"/>
  <c r="T3" i="15"/>
  <c r="S3" i="15"/>
  <c r="M3" i="15"/>
  <c r="L3" i="15"/>
  <c r="K3" i="15"/>
  <c r="J3" i="15"/>
  <c r="I3" i="15"/>
  <c r="H3" i="15"/>
  <c r="B3" i="15"/>
  <c r="C3" i="15"/>
  <c r="D3" i="15"/>
  <c r="E3" i="15"/>
  <c r="F3" i="15"/>
  <c r="G3" i="15"/>
  <c r="Z2" i="15"/>
  <c r="AD2" i="15"/>
  <c r="AC2" i="15"/>
  <c r="AB2" i="15"/>
  <c r="AA2" i="15"/>
  <c r="Y2" i="15"/>
  <c r="I2" i="15"/>
  <c r="T2" i="15"/>
  <c r="C2" i="15"/>
  <c r="X2" i="15"/>
  <c r="W2" i="15"/>
  <c r="V2" i="15"/>
  <c r="U2" i="15"/>
  <c r="S2" i="15"/>
  <c r="M2" i="15"/>
  <c r="L2" i="15"/>
  <c r="K2" i="15"/>
  <c r="J2" i="15"/>
  <c r="H2" i="15"/>
  <c r="G2" i="15"/>
  <c r="F2" i="15"/>
  <c r="E2" i="15"/>
  <c r="D2" i="15"/>
  <c r="B2" i="15"/>
  <c r="C89" i="7"/>
  <c r="C76" i="7"/>
  <c r="C49" i="7"/>
  <c r="C72" i="7"/>
  <c r="C58" i="7"/>
  <c r="C52" i="7"/>
  <c r="C36" i="7"/>
  <c r="C71" i="7"/>
  <c r="C56" i="7"/>
  <c r="C87" i="7"/>
  <c r="C53" i="7"/>
  <c r="C48" i="7"/>
  <c r="C5" i="7"/>
  <c r="C57" i="7"/>
  <c r="C90" i="7"/>
  <c r="D11" i="14" l="1"/>
  <c r="E12" i="14"/>
  <c r="D5" i="14"/>
  <c r="AE3" i="15"/>
  <c r="AF3" i="15" s="1"/>
  <c r="N3" i="15"/>
  <c r="O3" i="15" s="1"/>
  <c r="AE2" i="15"/>
  <c r="E5" i="14" l="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F12" i="14"/>
  <c r="E11" i="14"/>
  <c r="D7" i="14"/>
  <c r="D9" i="14" s="1"/>
  <c r="AG3" i="15"/>
  <c r="P3" i="15"/>
  <c r="AG2" i="15"/>
  <c r="AF2" i="15"/>
  <c r="N2" i="15"/>
  <c r="C94" i="7"/>
  <c r="C88" i="7"/>
  <c r="C69" i="7"/>
  <c r="C64" i="7"/>
  <c r="C62" i="7"/>
  <c r="C50" i="7"/>
  <c r="C43" i="7"/>
  <c r="C40" i="7"/>
  <c r="C39" i="7"/>
  <c r="C37" i="7"/>
  <c r="C35" i="7"/>
  <c r="C29" i="7"/>
  <c r="C25" i="7"/>
  <c r="C17" i="7"/>
  <c r="C93" i="7"/>
  <c r="C86" i="7"/>
  <c r="C80" i="7"/>
  <c r="C66" i="7"/>
  <c r="C47" i="7"/>
  <c r="C31" i="7"/>
  <c r="C11" i="7"/>
  <c r="C9" i="7"/>
  <c r="C28" i="7"/>
  <c r="C96" i="7"/>
  <c r="C92" i="7"/>
  <c r="C83" i="7"/>
  <c r="C79" i="7"/>
  <c r="C74" i="7"/>
  <c r="C67" i="7"/>
  <c r="C60" i="7"/>
  <c r="C55" i="7"/>
  <c r="C51" i="7"/>
  <c r="C46" i="7"/>
  <c r="C42" i="7"/>
  <c r="C38" i="7"/>
  <c r="C33" i="7"/>
  <c r="C27" i="7"/>
  <c r="C16" i="7"/>
  <c r="C13" i="7"/>
  <c r="C12" i="7"/>
  <c r="C7" i="7"/>
  <c r="C2" i="7"/>
  <c r="C6" i="7"/>
  <c r="C70" i="7"/>
  <c r="C19" i="7"/>
  <c r="C3" i="7"/>
  <c r="C95" i="7"/>
  <c r="C91" i="7"/>
  <c r="C84" i="7"/>
  <c r="C78" i="7"/>
  <c r="C73" i="7"/>
  <c r="C63" i="7"/>
  <c r="C61" i="7"/>
  <c r="C54" i="7"/>
  <c r="C45" i="7"/>
  <c r="C32" i="7"/>
  <c r="C30" i="7"/>
  <c r="C24" i="7"/>
  <c r="C21" i="7"/>
  <c r="C18" i="7"/>
  <c r="C15" i="7"/>
  <c r="C10" i="7"/>
  <c r="C81" i="7"/>
  <c r="C75" i="7"/>
  <c r="C68" i="7"/>
  <c r="C34" i="7"/>
  <c r="C23" i="7"/>
  <c r="F7" i="14" l="1"/>
  <c r="F9" i="14" s="1"/>
  <c r="AA7" i="14"/>
  <c r="AA9" i="14" s="1"/>
  <c r="F11" i="14"/>
  <c r="G12" i="14"/>
  <c r="T7" i="14"/>
  <c r="T9" i="14" s="1"/>
  <c r="R7" i="14"/>
  <c r="R9" i="14" s="1"/>
  <c r="Z7" i="14"/>
  <c r="Z9" i="14" s="1"/>
  <c r="S7" i="14"/>
  <c r="S9" i="14" s="1"/>
  <c r="G7" i="14"/>
  <c r="G9" i="14" s="1"/>
  <c r="H7" i="14"/>
  <c r="H9" i="14" s="1"/>
  <c r="Q7" i="14"/>
  <c r="Q9" i="14" s="1"/>
  <c r="L7" i="14"/>
  <c r="L9" i="14" s="1"/>
  <c r="O7" i="14"/>
  <c r="O9" i="14" s="1"/>
  <c r="J7" i="14"/>
  <c r="J9" i="14" s="1"/>
  <c r="X7" i="14"/>
  <c r="X9" i="14" s="1"/>
  <c r="M7" i="14"/>
  <c r="M9" i="14" s="1"/>
  <c r="U7" i="14"/>
  <c r="U9" i="14" s="1"/>
  <c r="V7" i="14"/>
  <c r="V9" i="14" s="1"/>
  <c r="Y7" i="14"/>
  <c r="Y9" i="14" s="1"/>
  <c r="AC7" i="14"/>
  <c r="AC9" i="14" s="1"/>
  <c r="AD7" i="14"/>
  <c r="AD9" i="14" s="1"/>
  <c r="K7" i="14"/>
  <c r="K9" i="14" s="1"/>
  <c r="E7" i="14"/>
  <c r="E9" i="14" s="1"/>
  <c r="I7" i="14"/>
  <c r="I9" i="14" s="1"/>
  <c r="W7" i="14"/>
  <c r="W9" i="14" s="1"/>
  <c r="P7" i="14"/>
  <c r="P9" i="14" s="1"/>
  <c r="AB7" i="14"/>
  <c r="AB9" i="14" s="1"/>
  <c r="N7" i="14"/>
  <c r="N9" i="14" s="1"/>
  <c r="O2" i="15"/>
  <c r="P2" i="15"/>
  <c r="H12" i="14" l="1"/>
  <c r="G11" i="14"/>
  <c r="H11" i="14" l="1"/>
  <c r="I12" i="14"/>
  <c r="J12" i="14" l="1"/>
  <c r="I11" i="14"/>
  <c r="J11" i="14" l="1"/>
  <c r="K12" i="14"/>
  <c r="K11" i="14" l="1"/>
  <c r="L12" i="14"/>
  <c r="L11" i="14" l="1"/>
  <c r="M12" i="14"/>
  <c r="N12" i="14" l="1"/>
  <c r="M11" i="14"/>
  <c r="O12" i="14" l="1"/>
  <c r="N11" i="14"/>
  <c r="P12" i="14" l="1"/>
  <c r="O11" i="14"/>
  <c r="P11" i="14" l="1"/>
  <c r="Q12" i="14"/>
  <c r="R12" i="14" l="1"/>
  <c r="Q11" i="14"/>
  <c r="R11" i="14" l="1"/>
  <c r="S12" i="14"/>
  <c r="S11" i="14" l="1"/>
  <c r="T12" i="14"/>
  <c r="T11" i="14" s="1"/>
</calcChain>
</file>

<file path=xl/sharedStrings.xml><?xml version="1.0" encoding="utf-8"?>
<sst xmlns="http://schemas.openxmlformats.org/spreadsheetml/2006/main" count="5421" uniqueCount="3641">
  <si>
    <t>现价</t>
  </si>
  <si>
    <t>市净率</t>
  </si>
  <si>
    <t>科力远</t>
  </si>
  <si>
    <t>欣旺达</t>
  </si>
  <si>
    <t>德赛电池</t>
  </si>
  <si>
    <t>--</t>
  </si>
  <si>
    <t>预期多</t>
    <phoneticPr fontId="1" type="noConversion"/>
  </si>
  <si>
    <t>预期空</t>
    <phoneticPr fontId="1" type="noConversion"/>
  </si>
  <si>
    <t>已知和基本信息</t>
    <phoneticPr fontId="1" type="noConversion"/>
  </si>
  <si>
    <t>总市值</t>
  </si>
  <si>
    <t>TTM市盈率</t>
  </si>
  <si>
    <t>所属行业</t>
  </si>
  <si>
    <t>负债合计</t>
  </si>
  <si>
    <t>所有者权益合计</t>
  </si>
  <si>
    <t>主营业务收入</t>
  </si>
  <si>
    <t>净利润增长率</t>
  </si>
  <si>
    <t>总股本</t>
  </si>
  <si>
    <t>财务费用</t>
  </si>
  <si>
    <t>投资收益</t>
  </si>
  <si>
    <t>应收账款</t>
  </si>
  <si>
    <t>2.78亿</t>
  </si>
  <si>
    <t>3.33亿</t>
  </si>
  <si>
    <t>SZ000049</t>
  </si>
  <si>
    <t>184.43亿</t>
  </si>
  <si>
    <t>5.02亿</t>
  </si>
  <si>
    <t>3.53亿</t>
  </si>
  <si>
    <t>5.16亿</t>
  </si>
  <si>
    <t>0亿</t>
  </si>
  <si>
    <t>12.43亿</t>
  </si>
  <si>
    <t>1.23亿</t>
  </si>
  <si>
    <t>3.03亿</t>
  </si>
  <si>
    <t>1.53亿</t>
  </si>
  <si>
    <t>11.09亿</t>
  </si>
  <si>
    <t>2.37亿</t>
  </si>
  <si>
    <t>6.99亿</t>
  </si>
  <si>
    <t>1.18亿</t>
  </si>
  <si>
    <t>10.52亿</t>
  </si>
  <si>
    <t>1.38亿</t>
  </si>
  <si>
    <t>1.66亿</t>
  </si>
  <si>
    <t>1.95亿</t>
  </si>
  <si>
    <t>1.49亿</t>
  </si>
  <si>
    <t>6.10亿</t>
  </si>
  <si>
    <t>3.30亿</t>
  </si>
  <si>
    <t>2.22亿</t>
  </si>
  <si>
    <t>SZ300207</t>
  </si>
  <si>
    <t>252.41亿</t>
  </si>
  <si>
    <t>7.51亿</t>
  </si>
  <si>
    <t>1.74亿</t>
  </si>
  <si>
    <t>17.50亿</t>
  </si>
  <si>
    <t>1.03亿</t>
  </si>
  <si>
    <t>3.51亿</t>
  </si>
  <si>
    <t>5.36亿</t>
  </si>
  <si>
    <t>1.81亿</t>
  </si>
  <si>
    <t>1.29亿</t>
  </si>
  <si>
    <t>7.55亿</t>
  </si>
  <si>
    <t>14.46亿</t>
  </si>
  <si>
    <t>1.71亿</t>
  </si>
  <si>
    <t>4.29亿</t>
  </si>
  <si>
    <t>5.00亿</t>
  </si>
  <si>
    <t>1.21亿</t>
  </si>
  <si>
    <t>1.44亿</t>
  </si>
  <si>
    <t>8.04亿</t>
  </si>
  <si>
    <t>1.31亿</t>
  </si>
  <si>
    <t>13.13亿</t>
  </si>
  <si>
    <t>1.12亿</t>
  </si>
  <si>
    <t>SH600478</t>
  </si>
  <si>
    <t>20.80亿</t>
  </si>
  <si>
    <t>-3.58亿</t>
  </si>
  <si>
    <t>1.33亿</t>
  </si>
  <si>
    <t>4.21亿</t>
  </si>
  <si>
    <t>1.27亿</t>
  </si>
  <si>
    <t>4.65亿</t>
  </si>
  <si>
    <t>1.04亿</t>
  </si>
  <si>
    <t>1.52亿</t>
  </si>
  <si>
    <t>4.64亿</t>
  </si>
  <si>
    <t>2.68亿</t>
  </si>
  <si>
    <t>6.88亿</t>
  </si>
  <si>
    <t>1.28亿</t>
  </si>
  <si>
    <t>4.57亿</t>
  </si>
  <si>
    <t>2.29亿</t>
  </si>
  <si>
    <t>1.80亿</t>
  </si>
  <si>
    <t>1.59亿</t>
  </si>
  <si>
    <t>1.22亿</t>
  </si>
  <si>
    <t>25.69亿</t>
  </si>
  <si>
    <t>3.93亿</t>
  </si>
  <si>
    <t>2.49亿</t>
  </si>
  <si>
    <t>2.52亿</t>
  </si>
  <si>
    <t>1.72亿</t>
  </si>
  <si>
    <t>1.93亿</t>
  </si>
  <si>
    <t>4.15亿</t>
  </si>
  <si>
    <t>3.68亿</t>
  </si>
  <si>
    <t>1.41亿</t>
  </si>
  <si>
    <t>2.60亿</t>
  </si>
  <si>
    <t>1.10亿</t>
  </si>
  <si>
    <t>1.00亿</t>
  </si>
  <si>
    <t>2.02亿</t>
  </si>
  <si>
    <t>4.00亿</t>
  </si>
  <si>
    <t>1.24亿</t>
  </si>
  <si>
    <t>2.53亿</t>
  </si>
  <si>
    <t>1.85亿</t>
  </si>
  <si>
    <t>4.66亿</t>
  </si>
  <si>
    <t>3.66亿</t>
  </si>
  <si>
    <t>1.40亿</t>
  </si>
  <si>
    <t>2.69亿</t>
  </si>
  <si>
    <t>1.14亿</t>
  </si>
  <si>
    <t>1.08亿</t>
  </si>
  <si>
    <t>2.88亿</t>
  </si>
  <si>
    <t>2.84亿</t>
  </si>
  <si>
    <t>4.60亿</t>
  </si>
  <si>
    <t>1.54亿</t>
  </si>
  <si>
    <t>1.06亿</t>
  </si>
  <si>
    <t>5.21亿</t>
  </si>
  <si>
    <t>2.31亿</t>
  </si>
  <si>
    <t>3.96亿</t>
  </si>
  <si>
    <t>4.26亿</t>
  </si>
  <si>
    <t>1.77亿</t>
  </si>
  <si>
    <t>1.46亿</t>
  </si>
  <si>
    <t>1.64亿</t>
  </si>
  <si>
    <t>1.30亿</t>
  </si>
  <si>
    <t>1.35亿</t>
  </si>
  <si>
    <t>5.54亿</t>
  </si>
  <si>
    <t>3.22亿</t>
  </si>
  <si>
    <t>2.18亿</t>
  </si>
  <si>
    <t>2.71亿</t>
  </si>
  <si>
    <t>1.69亿</t>
  </si>
  <si>
    <t>1.16亿</t>
  </si>
  <si>
    <t>3.23亿</t>
  </si>
  <si>
    <t>2.91亿</t>
  </si>
  <si>
    <t>1.20亿</t>
  </si>
  <si>
    <t>2.40亿</t>
  </si>
  <si>
    <t>8.89亿</t>
  </si>
  <si>
    <t>1.26亿</t>
  </si>
  <si>
    <t>4.73亿</t>
  </si>
  <si>
    <t>8.01亿</t>
  </si>
  <si>
    <t>5.87亿</t>
  </si>
  <si>
    <t>2.86亿</t>
  </si>
  <si>
    <t>1.73亿</t>
  </si>
  <si>
    <t>3.81亿</t>
  </si>
  <si>
    <t>3.88亿</t>
  </si>
  <si>
    <t>1.05亿</t>
  </si>
  <si>
    <t>2.58亿</t>
  </si>
  <si>
    <t>1.88亿</t>
  </si>
  <si>
    <t>1.01亿</t>
  </si>
  <si>
    <t>1.60亿</t>
  </si>
  <si>
    <t>3.56亿</t>
  </si>
  <si>
    <t>1.15亿</t>
  </si>
  <si>
    <t>6.62亿</t>
  </si>
  <si>
    <t>6.02亿</t>
  </si>
  <si>
    <t>3.47亿</t>
  </si>
  <si>
    <t>3.07亿</t>
  </si>
  <si>
    <t>1.57亿</t>
  </si>
  <si>
    <t>7.94亿</t>
  </si>
  <si>
    <t>1.36亿</t>
  </si>
  <si>
    <t>2.70亿</t>
  </si>
  <si>
    <t>2.79亿</t>
  </si>
  <si>
    <t>2.30亿</t>
  </si>
  <si>
    <t>4.58亿</t>
  </si>
  <si>
    <t>1.62亿</t>
  </si>
  <si>
    <t>2.35亿</t>
  </si>
  <si>
    <t>2.44亿</t>
  </si>
  <si>
    <t>1.84亿</t>
  </si>
  <si>
    <t>1.02亿</t>
  </si>
  <si>
    <t>5.95亿</t>
  </si>
  <si>
    <t>2.10亿</t>
  </si>
  <si>
    <t>3.14亿</t>
  </si>
  <si>
    <t>4.23亿</t>
  </si>
  <si>
    <t>1.65亿</t>
  </si>
  <si>
    <t>6.44亿</t>
  </si>
  <si>
    <t>4.30亿</t>
  </si>
  <si>
    <t>1.07亿</t>
  </si>
  <si>
    <t>5.67亿</t>
  </si>
  <si>
    <t>2.48亿</t>
  </si>
  <si>
    <t>1.51亿</t>
  </si>
  <si>
    <t>5.84亿</t>
  </si>
  <si>
    <t>1.42亿</t>
  </si>
  <si>
    <t>9.93亿</t>
  </si>
  <si>
    <t>2.97亿</t>
  </si>
  <si>
    <t>2.36亿</t>
  </si>
  <si>
    <t>1.37亿</t>
  </si>
  <si>
    <t>2.95亿</t>
  </si>
  <si>
    <t>3.65亿</t>
  </si>
  <si>
    <t>2.00亿</t>
  </si>
  <si>
    <t>9.51亿</t>
  </si>
  <si>
    <t>2.43亿</t>
  </si>
  <si>
    <t>4.80亿</t>
  </si>
  <si>
    <t>6.07亿</t>
  </si>
  <si>
    <t>4.01亿</t>
  </si>
  <si>
    <t>2.61亿</t>
  </si>
  <si>
    <t>1.61亿</t>
  </si>
  <si>
    <t>2.12亿</t>
  </si>
  <si>
    <t>13.07亿</t>
  </si>
  <si>
    <t>3.25亿</t>
  </si>
  <si>
    <t>2.26亿</t>
  </si>
  <si>
    <t>1.58亿</t>
  </si>
  <si>
    <t>2.24亿</t>
  </si>
  <si>
    <t>1.70亿</t>
  </si>
  <si>
    <t>3.15亿</t>
  </si>
  <si>
    <t>5.60亿</t>
  </si>
  <si>
    <t>3.38亿</t>
  </si>
  <si>
    <t>7.44亿</t>
  </si>
  <si>
    <t>1.50亿</t>
  </si>
  <si>
    <t>8.55亿</t>
  </si>
  <si>
    <t>5.42亿</t>
  </si>
  <si>
    <t>2.28亿</t>
  </si>
  <si>
    <t>1.45亿</t>
  </si>
  <si>
    <t>3.82亿</t>
  </si>
  <si>
    <t>9.02亿</t>
  </si>
  <si>
    <t>1.75亿</t>
  </si>
  <si>
    <t>2.39亿</t>
  </si>
  <si>
    <t>7.14亿</t>
  </si>
  <si>
    <t>2.45亿</t>
  </si>
  <si>
    <t>1.09亿</t>
  </si>
  <si>
    <t>7.74亿</t>
  </si>
  <si>
    <t>2.23亿</t>
  </si>
  <si>
    <t>6.37亿</t>
  </si>
  <si>
    <t>2.27亿</t>
  </si>
  <si>
    <t>1.43亿</t>
  </si>
  <si>
    <t>2.72亿</t>
  </si>
  <si>
    <t>1.91亿</t>
  </si>
  <si>
    <t>2.19亿</t>
  </si>
  <si>
    <t>9.56亿</t>
  </si>
  <si>
    <t>3.16亿</t>
  </si>
  <si>
    <t>1.98亿</t>
  </si>
  <si>
    <t>5.72亿</t>
  </si>
  <si>
    <t>4.75亿</t>
  </si>
  <si>
    <t>4.24亿</t>
  </si>
  <si>
    <t>3.10亿</t>
  </si>
  <si>
    <t>流动资产</t>
  </si>
  <si>
    <t>营业收入[20191231]</t>
  </si>
  <si>
    <t>营业收入[20181231]</t>
  </si>
  <si>
    <t>营业收入[20171231]</t>
  </si>
  <si>
    <t>净利润[20191231]</t>
  </si>
  <si>
    <t>净利润[20181231]</t>
  </si>
  <si>
    <t>净利润[20171231]</t>
  </si>
  <si>
    <t>2.96亿</t>
  </si>
  <si>
    <t>2.34亿</t>
  </si>
  <si>
    <t>6.19亿</t>
  </si>
  <si>
    <t>29.61亿</t>
  </si>
  <si>
    <t>193.98亿</t>
  </si>
  <si>
    <t>6.70亿</t>
  </si>
  <si>
    <t>6.72亿</t>
  </si>
  <si>
    <t>4.31亿</t>
  </si>
  <si>
    <t>-2.46亿</t>
  </si>
  <si>
    <t>172.49亿</t>
  </si>
  <si>
    <t>3.01亿</t>
  </si>
  <si>
    <t>1.87亿</t>
  </si>
  <si>
    <t>2.06亿</t>
  </si>
  <si>
    <t>1.68亿</t>
  </si>
  <si>
    <t>4.44亿</t>
  </si>
  <si>
    <t>12.95亿</t>
  </si>
  <si>
    <t>4.05亿</t>
  </si>
  <si>
    <t>3.19亿</t>
  </si>
  <si>
    <t>4.04亿</t>
  </si>
  <si>
    <t>1.83亿</t>
  </si>
  <si>
    <t>3.11亿</t>
  </si>
  <si>
    <t>12.31亿</t>
  </si>
  <si>
    <t>14.39亿</t>
  </si>
  <si>
    <t>3.18亿</t>
  </si>
  <si>
    <t>6.01亿</t>
  </si>
  <si>
    <t>2.76亿</t>
  </si>
  <si>
    <t>1.89亿</t>
  </si>
  <si>
    <t>4.17亿</t>
  </si>
  <si>
    <t>7.26亿</t>
  </si>
  <si>
    <t>1.17亿</t>
  </si>
  <si>
    <t>30.41亿</t>
  </si>
  <si>
    <t>7.42亿</t>
  </si>
  <si>
    <t>6.68亿</t>
  </si>
  <si>
    <t>4.83亿</t>
  </si>
  <si>
    <t>1.78亿</t>
  </si>
  <si>
    <t>6.63亿</t>
  </si>
  <si>
    <t>10.79亿</t>
  </si>
  <si>
    <t>14.97亿</t>
  </si>
  <si>
    <t>3.85亿</t>
  </si>
  <si>
    <t>1.47亿</t>
  </si>
  <si>
    <t>2.51亿</t>
  </si>
  <si>
    <t>6.95亿</t>
  </si>
  <si>
    <t>5.44亿</t>
  </si>
  <si>
    <t>1.63亿</t>
  </si>
  <si>
    <t>5.82亿</t>
  </si>
  <si>
    <t>8.17亿</t>
  </si>
  <si>
    <t>5.58亿</t>
  </si>
  <si>
    <t>12.80亿</t>
  </si>
  <si>
    <t>4.76亿</t>
  </si>
  <si>
    <t>5.47亿</t>
  </si>
  <si>
    <t>3.91亿</t>
  </si>
  <si>
    <t>5.71亿</t>
  </si>
  <si>
    <t>2.07亿</t>
  </si>
  <si>
    <t>-1.75亿</t>
  </si>
  <si>
    <t>2.25亿</t>
  </si>
  <si>
    <t>7.02亿</t>
  </si>
  <si>
    <t>8.91亿</t>
  </si>
  <si>
    <t>16.52亿</t>
  </si>
  <si>
    <t>9.22亿</t>
  </si>
  <si>
    <t>2.03亿</t>
  </si>
  <si>
    <t>6.52亿</t>
  </si>
  <si>
    <t>4.10亿</t>
  </si>
  <si>
    <t>9.34亿</t>
  </si>
  <si>
    <t>6.66亿</t>
  </si>
  <si>
    <t>4.43亿</t>
  </si>
  <si>
    <t>2.93亿</t>
  </si>
  <si>
    <t>5.96亿</t>
  </si>
  <si>
    <t>2.67亿</t>
  </si>
  <si>
    <t>2.98亿</t>
  </si>
  <si>
    <t>8.31亿</t>
  </si>
  <si>
    <t>8.15亿</t>
  </si>
  <si>
    <t>18.36亿</t>
  </si>
  <si>
    <t>2.66亿</t>
  </si>
  <si>
    <t>8.50亿</t>
  </si>
  <si>
    <t>1.32亿</t>
  </si>
  <si>
    <t>9.96亿</t>
  </si>
  <si>
    <t>7.53亿</t>
  </si>
  <si>
    <t>1.96亿</t>
  </si>
  <si>
    <t>6.39亿</t>
  </si>
  <si>
    <t>2.13亿</t>
  </si>
  <si>
    <t>8.96亿</t>
  </si>
  <si>
    <t>3.44亿</t>
  </si>
  <si>
    <t>5.32亿</t>
  </si>
  <si>
    <t>6.69亿</t>
  </si>
  <si>
    <t>11.21亿</t>
  </si>
  <si>
    <t>2.41亿</t>
  </si>
  <si>
    <t>1.76亿</t>
  </si>
  <si>
    <t>6.42亿</t>
  </si>
  <si>
    <t>8.43亿</t>
  </si>
  <si>
    <t>4.03亿</t>
  </si>
  <si>
    <t>11.40亿</t>
  </si>
  <si>
    <t>4.35亿</t>
  </si>
  <si>
    <t>3.24亿</t>
  </si>
  <si>
    <t>1.99亿</t>
  </si>
  <si>
    <t>3.04亿</t>
  </si>
  <si>
    <t>4.45亿</t>
  </si>
  <si>
    <t>3.39亿</t>
  </si>
  <si>
    <t>5.01亿</t>
  </si>
  <si>
    <t>3.06亿</t>
  </si>
  <si>
    <t>3.40亿</t>
  </si>
  <si>
    <t>4.72亿</t>
  </si>
  <si>
    <t>4.06亿</t>
  </si>
  <si>
    <t>3.29亿</t>
  </si>
  <si>
    <t>11.53亿</t>
  </si>
  <si>
    <t>10.12亿</t>
  </si>
  <si>
    <t>2.20亿</t>
  </si>
  <si>
    <t>5.49亿</t>
  </si>
  <si>
    <t>3.57亿</t>
  </si>
  <si>
    <t>10.91亿</t>
  </si>
  <si>
    <t>1.13亿</t>
  </si>
  <si>
    <t>6.00亿</t>
  </si>
  <si>
    <t>5.06亿</t>
  </si>
  <si>
    <t>9.57亿</t>
  </si>
  <si>
    <t>6.84亿</t>
  </si>
  <si>
    <t>4.50亿</t>
  </si>
  <si>
    <t>2.01亿</t>
  </si>
  <si>
    <t>9.72亿</t>
  </si>
  <si>
    <t>13.00亿</t>
  </si>
  <si>
    <t>2.21亿</t>
  </si>
  <si>
    <t>296.92亿</t>
  </si>
  <si>
    <t>8.02亿</t>
  </si>
  <si>
    <t>22.76亿</t>
  </si>
  <si>
    <t>5.41亿</t>
  </si>
  <si>
    <t>203.38亿</t>
  </si>
  <si>
    <t>7.01亿</t>
  </si>
  <si>
    <t>2.42亿</t>
  </si>
  <si>
    <t>4.38亿</t>
  </si>
  <si>
    <t>5.80亿</t>
  </si>
  <si>
    <t>2.09亿</t>
  </si>
  <si>
    <t>4.87亿</t>
  </si>
  <si>
    <t>3.83亿</t>
  </si>
  <si>
    <t>6.08亿</t>
  </si>
  <si>
    <t>1.48亿</t>
  </si>
  <si>
    <t>7.66亿</t>
  </si>
  <si>
    <t>-1.48亿</t>
  </si>
  <si>
    <t>2.38亿</t>
  </si>
  <si>
    <t>8.62亿</t>
  </si>
  <si>
    <t>5.50亿</t>
  </si>
  <si>
    <t>5.22亿</t>
  </si>
  <si>
    <t>10.36亿</t>
  </si>
  <si>
    <t>3.36亿</t>
  </si>
  <si>
    <t>2.74亿</t>
  </si>
  <si>
    <t>1.82亿</t>
  </si>
  <si>
    <t>10.26亿</t>
  </si>
  <si>
    <t>9.09亿</t>
  </si>
  <si>
    <t>3.59亿</t>
  </si>
  <si>
    <t>2.57亿</t>
  </si>
  <si>
    <t>2.46亿</t>
  </si>
  <si>
    <t>5.53亿</t>
  </si>
  <si>
    <t>6.51亿</t>
  </si>
  <si>
    <t>3.08亿</t>
  </si>
  <si>
    <t>5.63亿</t>
  </si>
  <si>
    <t>6.71亿</t>
  </si>
  <si>
    <t>7.35亿</t>
  </si>
  <si>
    <t>8.32亿</t>
  </si>
  <si>
    <t>5.75亿</t>
  </si>
  <si>
    <t>2.14亿</t>
  </si>
  <si>
    <t>2.47亿</t>
  </si>
  <si>
    <t>2.99亿</t>
  </si>
  <si>
    <t>5.05亿</t>
  </si>
  <si>
    <t>1.34亿</t>
  </si>
  <si>
    <t>1.39亿</t>
  </si>
  <si>
    <t>18.16亿</t>
  </si>
  <si>
    <t>5.56亿</t>
  </si>
  <si>
    <t>20.83亿</t>
  </si>
  <si>
    <t>11.02亿</t>
  </si>
  <si>
    <t>2.33亿</t>
  </si>
  <si>
    <t>4.91亿</t>
  </si>
  <si>
    <t>7.68亿</t>
  </si>
  <si>
    <t>1.11亿</t>
  </si>
  <si>
    <t>25.46亿</t>
  </si>
  <si>
    <t>5546.94万</t>
  </si>
  <si>
    <t>17.42亿</t>
  </si>
  <si>
    <t>18.93亿</t>
  </si>
  <si>
    <t>2172.07万</t>
  </si>
  <si>
    <t>6.50亿</t>
  </si>
  <si>
    <t>5.26亿</t>
  </si>
  <si>
    <t>29.32亿</t>
  </si>
  <si>
    <t>11.98亿</t>
  </si>
  <si>
    <t>16.70亿</t>
  </si>
  <si>
    <t>3.77亿</t>
  </si>
  <si>
    <t>1.90亿</t>
  </si>
  <si>
    <t>3.55亿</t>
  </si>
  <si>
    <t>12.21亿</t>
  </si>
  <si>
    <t>-1.01亿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</si>
  <si>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</si>
  <si>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</si>
  <si>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</si>
  <si>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</si>
  <si>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</si>
  <si>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</si>
  <si>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</si>
  <si>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</si>
  <si>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</si>
  <si>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</si>
  <si>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</si>
  <si>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</si>
  <si>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</si>
  <si>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</si>
  <si>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</si>
  <si>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3.99亿</t>
  </si>
  <si>
    <t>4.33亿</t>
  </si>
  <si>
    <t>3.72亿</t>
  </si>
  <si>
    <t>1.25亿</t>
  </si>
  <si>
    <t>4.16亿</t>
  </si>
  <si>
    <t>2.56亿</t>
  </si>
  <si>
    <t>1.92亿</t>
  </si>
  <si>
    <t>3.41亿</t>
  </si>
  <si>
    <t>1.97亿</t>
  </si>
  <si>
    <t>3.84亿</t>
  </si>
  <si>
    <t>销售毛利率%[20201231]</t>
  </si>
  <si>
    <t>销售净利率%[20201231]</t>
  </si>
  <si>
    <t>5.57亿</t>
  </si>
  <si>
    <t>1.86亿</t>
  </si>
  <si>
    <t>2.54亿</t>
  </si>
  <si>
    <t>9.60亿</t>
  </si>
  <si>
    <t>5.10亿</t>
  </si>
  <si>
    <t>3.02亿</t>
  </si>
  <si>
    <t>2.80亿</t>
  </si>
  <si>
    <t>3.35亿</t>
  </si>
  <si>
    <t>6.46亿</t>
  </si>
  <si>
    <t>3.49亿</t>
  </si>
  <si>
    <t>9.74亿</t>
  </si>
  <si>
    <t>4.86亿</t>
  </si>
  <si>
    <t>4.69亿</t>
  </si>
  <si>
    <t>11.97亿</t>
  </si>
  <si>
    <t>6.56亿</t>
  </si>
  <si>
    <t>2.90亿</t>
  </si>
  <si>
    <t>3.69亿</t>
  </si>
  <si>
    <t>14.48亿</t>
  </si>
  <si>
    <t>8.03亿</t>
  </si>
  <si>
    <t>4.79亿</t>
  </si>
  <si>
    <t>6.03亿</t>
  </si>
  <si>
    <t>5.18亿</t>
  </si>
  <si>
    <t>14.76亿</t>
  </si>
  <si>
    <t>2.87亿</t>
  </si>
  <si>
    <t>10.92亿</t>
  </si>
  <si>
    <t>5.33亿</t>
  </si>
  <si>
    <t>5.37亿</t>
  </si>
  <si>
    <t>3.20亿</t>
  </si>
  <si>
    <t>5.31亿</t>
  </si>
  <si>
    <t>7.03亿</t>
  </si>
  <si>
    <t>8.11亿</t>
  </si>
  <si>
    <t>7.43亿</t>
  </si>
  <si>
    <t>4.13亿</t>
  </si>
  <si>
    <t>2.04亿</t>
  </si>
  <si>
    <t>9.29亿</t>
  </si>
  <si>
    <t>4.39亿</t>
  </si>
  <si>
    <t>9.42亿</t>
  </si>
  <si>
    <t>2.15亿</t>
  </si>
  <si>
    <t>8.61亿</t>
  </si>
  <si>
    <t>15.81亿</t>
  </si>
  <si>
    <t>3.73亿</t>
  </si>
  <si>
    <t>13.61亿</t>
  </si>
  <si>
    <t>14.93亿</t>
  </si>
  <si>
    <t>17.61亿</t>
  </si>
  <si>
    <t>2.50亿</t>
  </si>
  <si>
    <t>6.41亿</t>
  </si>
  <si>
    <t>3.50亿</t>
  </si>
  <si>
    <t>8.92亿</t>
  </si>
  <si>
    <t>14.30亿</t>
  </si>
  <si>
    <t>5.43亿</t>
  </si>
  <si>
    <t>5.81亿</t>
  </si>
  <si>
    <t>4.59亿</t>
  </si>
  <si>
    <t>2.16亿</t>
  </si>
  <si>
    <t>1.79亿</t>
  </si>
  <si>
    <t>3.43亿</t>
  </si>
  <si>
    <t>2.65亿</t>
  </si>
  <si>
    <t>7.04亿</t>
  </si>
  <si>
    <t>3.78亿</t>
  </si>
  <si>
    <t>16.77亿</t>
  </si>
  <si>
    <t>7.56亿</t>
  </si>
  <si>
    <t>3.60亿</t>
  </si>
  <si>
    <t>2.05亿</t>
  </si>
  <si>
    <t>5.94亿</t>
  </si>
  <si>
    <t>4.67亿</t>
  </si>
  <si>
    <t>20.11亿</t>
  </si>
  <si>
    <t>8.08亿</t>
  </si>
  <si>
    <t>3.94亿</t>
  </si>
  <si>
    <t>4.12亿</t>
  </si>
  <si>
    <t>2.83亿</t>
  </si>
  <si>
    <t>16.45亿</t>
  </si>
  <si>
    <t>22.49亿</t>
  </si>
  <si>
    <t>8.25亿</t>
  </si>
  <si>
    <t>-1.25亿</t>
  </si>
  <si>
    <t>7.31亿</t>
  </si>
  <si>
    <t>3.67亿</t>
  </si>
  <si>
    <t>10.54亿</t>
  </si>
  <si>
    <t>2.85亿</t>
  </si>
  <si>
    <t>6.21亿</t>
  </si>
  <si>
    <t>7.19亿</t>
  </si>
  <si>
    <t>4.20亿</t>
  </si>
  <si>
    <t>5.24亿</t>
  </si>
  <si>
    <t>5.28亿</t>
  </si>
  <si>
    <t>1.67亿</t>
  </si>
  <si>
    <t>5.62亿</t>
  </si>
  <si>
    <t>14.31亿</t>
  </si>
  <si>
    <t>35.72亿</t>
  </si>
  <si>
    <t>8.47亿</t>
  </si>
  <si>
    <t>6.29亿</t>
  </si>
  <si>
    <t>8.85亿</t>
  </si>
  <si>
    <t>13.96亿</t>
  </si>
  <si>
    <t>18.91亿</t>
  </si>
  <si>
    <t>6.65亿</t>
  </si>
  <si>
    <t>3.58亿</t>
  </si>
  <si>
    <t>16.98亿</t>
  </si>
  <si>
    <t>4.56亿</t>
  </si>
  <si>
    <t>3.28亿</t>
  </si>
  <si>
    <t>5.48亿</t>
  </si>
  <si>
    <t>13.80亿</t>
  </si>
  <si>
    <t>3.86亿</t>
  </si>
  <si>
    <t>5.73亿</t>
  </si>
  <si>
    <t>11.20亿</t>
  </si>
  <si>
    <t>5.97亿</t>
  </si>
  <si>
    <t>22.84亿</t>
  </si>
  <si>
    <t>2.59亿</t>
  </si>
  <si>
    <t>9.21亿</t>
  </si>
  <si>
    <t>6.60亿</t>
  </si>
  <si>
    <t>6.54亿</t>
  </si>
  <si>
    <t>9.91亿</t>
  </si>
  <si>
    <t>8.00亿</t>
  </si>
  <si>
    <t>3.75亿</t>
  </si>
  <si>
    <t>6.36亿</t>
  </si>
  <si>
    <t>5.52亿</t>
  </si>
  <si>
    <t>-1.70亿</t>
  </si>
  <si>
    <t>5.40亿</t>
  </si>
  <si>
    <t>7.30亿</t>
  </si>
  <si>
    <t>7.00亿</t>
  </si>
  <si>
    <t>3.97亿</t>
  </si>
  <si>
    <t>15.02亿</t>
  </si>
  <si>
    <t>6.32亿</t>
  </si>
  <si>
    <t>4.96亿</t>
  </si>
  <si>
    <t>7.72亿</t>
  </si>
  <si>
    <t>7.80亿</t>
  </si>
  <si>
    <t>23.69亿</t>
  </si>
  <si>
    <t>9.45亿</t>
  </si>
  <si>
    <t>9.67亿</t>
  </si>
  <si>
    <t>12.10亿</t>
  </si>
  <si>
    <t>3.13亿</t>
  </si>
  <si>
    <t>6.40亿</t>
  </si>
  <si>
    <t>4.70亿</t>
  </si>
  <si>
    <t>16.07亿</t>
  </si>
  <si>
    <t>7.77亿</t>
  </si>
  <si>
    <t>10.57亿</t>
  </si>
  <si>
    <t>3.64亿</t>
  </si>
  <si>
    <t>6.43亿</t>
  </si>
  <si>
    <t>10.61亿</t>
  </si>
  <si>
    <t>4.53亿</t>
  </si>
  <si>
    <t>5.03亿</t>
  </si>
  <si>
    <t>19.37亿</t>
  </si>
  <si>
    <t>11.15亿</t>
  </si>
  <si>
    <t>13.18亿</t>
  </si>
  <si>
    <t>10.14亿</t>
  </si>
  <si>
    <t>11.55亿</t>
  </si>
  <si>
    <t>8.19亿</t>
  </si>
  <si>
    <t>10.37亿</t>
  </si>
  <si>
    <t>6.15亿</t>
  </si>
  <si>
    <t>20.24亿</t>
  </si>
  <si>
    <t>11.16亿</t>
  </si>
  <si>
    <t>8.80亿</t>
  </si>
  <si>
    <t>14.92亿</t>
  </si>
  <si>
    <t>22.13亿</t>
  </si>
  <si>
    <t>18.94亿</t>
  </si>
  <si>
    <t>7.41亿</t>
  </si>
  <si>
    <t>9.53亿</t>
  </si>
  <si>
    <t>3.52亿</t>
  </si>
  <si>
    <t>27.55亿</t>
  </si>
  <si>
    <t>19.52亿</t>
  </si>
  <si>
    <t>11.32亿</t>
  </si>
  <si>
    <t>4.36亿</t>
  </si>
  <si>
    <t>SZ300490</t>
  </si>
  <si>
    <t>华自科技</t>
  </si>
  <si>
    <t>11.62亿</t>
  </si>
  <si>
    <t>3006.07万</t>
  </si>
  <si>
    <t>15.85亿</t>
  </si>
  <si>
    <t>8793.64万</t>
  </si>
  <si>
    <t>17.53亿</t>
  </si>
  <si>
    <t>5.07亿</t>
  </si>
  <si>
    <t>20.00亿</t>
  </si>
  <si>
    <t>5.83亿</t>
  </si>
  <si>
    <t>7.54亿</t>
  </si>
  <si>
    <t>6.38亿</t>
  </si>
  <si>
    <t>10.46亿</t>
  </si>
  <si>
    <t>39.97亿</t>
  </si>
  <si>
    <t>13.68亿</t>
  </si>
  <si>
    <t>21.83亿</t>
  </si>
  <si>
    <t>15.97亿</t>
  </si>
  <si>
    <t>19.85亿</t>
  </si>
  <si>
    <t>20.39亿</t>
  </si>
  <si>
    <t>9.43亿</t>
  </si>
  <si>
    <t>18.98亿</t>
  </si>
  <si>
    <t>SZ300477</t>
  </si>
  <si>
    <t>合纵科技</t>
  </si>
  <si>
    <t>-7.76亿</t>
  </si>
  <si>
    <t>20.08亿</t>
  </si>
  <si>
    <t>6386.95万</t>
  </si>
  <si>
    <t>5104.35万</t>
  </si>
  <si>
    <t>9.04亿</t>
  </si>
  <si>
    <t>1157.48万</t>
  </si>
  <si>
    <t>6.82亿</t>
  </si>
  <si>
    <t>7.83亿</t>
  </si>
  <si>
    <t>12.17亿</t>
  </si>
  <si>
    <t>15.03亿</t>
  </si>
  <si>
    <t>40.95亿</t>
  </si>
  <si>
    <t>22.80亿</t>
  </si>
  <si>
    <t>7.13亿</t>
  </si>
  <si>
    <t>27.66亿</t>
  </si>
  <si>
    <t>35.50亿</t>
  </si>
  <si>
    <t>11.18亿</t>
  </si>
  <si>
    <t>9.23亿</t>
  </si>
  <si>
    <t>33.18亿</t>
  </si>
  <si>
    <t>11.93亿</t>
  </si>
  <si>
    <t>20.94亿</t>
  </si>
  <si>
    <t>12.56亿</t>
  </si>
  <si>
    <t>6.73亿</t>
  </si>
  <si>
    <t>10.69亿</t>
  </si>
  <si>
    <t>26.01亿</t>
  </si>
  <si>
    <t>14.94亿</t>
  </si>
  <si>
    <t>-3.31亿</t>
  </si>
  <si>
    <t>20.34亿</t>
  </si>
  <si>
    <t>36.42亿</t>
  </si>
  <si>
    <t>50.52亿</t>
  </si>
  <si>
    <t>3.71亿</t>
  </si>
  <si>
    <t>29.55亿</t>
  </si>
  <si>
    <t>13.20亿</t>
  </si>
  <si>
    <t>45.98亿</t>
  </si>
  <si>
    <t>4.46亿</t>
  </si>
  <si>
    <t>15.15亿</t>
  </si>
  <si>
    <t>10.72亿</t>
  </si>
  <si>
    <t>18.03亿</t>
  </si>
  <si>
    <t>8.66亿</t>
  </si>
  <si>
    <t>11.84亿</t>
  </si>
  <si>
    <t>18.61亿</t>
  </si>
  <si>
    <t>19.54亿</t>
  </si>
  <si>
    <t>5.14亿</t>
  </si>
  <si>
    <t>31.10亿</t>
  </si>
  <si>
    <t>5.23亿</t>
  </si>
  <si>
    <t>21.94亿</t>
  </si>
  <si>
    <t>25.27亿</t>
  </si>
  <si>
    <t>15.82亿</t>
  </si>
  <si>
    <t>9.00亿</t>
  </si>
  <si>
    <t>15.89亿</t>
  </si>
  <si>
    <t>-1.05亿</t>
  </si>
  <si>
    <t>9.46亿</t>
  </si>
  <si>
    <t>12.29亿</t>
  </si>
  <si>
    <t>7.15亿</t>
  </si>
  <si>
    <t>15.90亿</t>
  </si>
  <si>
    <t>7.38亿</t>
  </si>
  <si>
    <t>17.45亿</t>
  </si>
  <si>
    <t>30.68亿</t>
  </si>
  <si>
    <t>12.69亿</t>
  </si>
  <si>
    <t>23.85亿</t>
  </si>
  <si>
    <t>SZ000009</t>
  </si>
  <si>
    <t>中国宝安</t>
  </si>
  <si>
    <t>119.49亿</t>
  </si>
  <si>
    <t>117.16亿</t>
  </si>
  <si>
    <t>64.12亿</t>
  </si>
  <si>
    <t>SZ002074</t>
  </si>
  <si>
    <t>国轩高科</t>
  </si>
  <si>
    <t>67.24亿</t>
  </si>
  <si>
    <t>49.59亿</t>
  </si>
  <si>
    <t>51.27亿</t>
  </si>
  <si>
    <t>5125.38万</t>
  </si>
  <si>
    <t>16.46亿</t>
  </si>
  <si>
    <t>SZ002245</t>
  </si>
  <si>
    <t>蔚蓝锂芯</t>
  </si>
  <si>
    <t>24.28亿</t>
  </si>
  <si>
    <t>34.81亿</t>
  </si>
  <si>
    <t>42.55亿</t>
  </si>
  <si>
    <t>SZ002340</t>
  </si>
  <si>
    <t>格林美</t>
  </si>
  <si>
    <t>124.66亿</t>
  </si>
  <si>
    <t>143.54亿</t>
  </si>
  <si>
    <t>138.78亿</t>
  </si>
  <si>
    <t>SZ002580</t>
  </si>
  <si>
    <t>圣阳股份</t>
  </si>
  <si>
    <t>2864.61万</t>
  </si>
  <si>
    <t>18.57亿</t>
  </si>
  <si>
    <t>2359.08万</t>
  </si>
  <si>
    <t>1615.94万</t>
  </si>
  <si>
    <t>SZ002709</t>
  </si>
  <si>
    <t>天赐材料</t>
  </si>
  <si>
    <t>41.19亿</t>
  </si>
  <si>
    <t>1631.97万</t>
  </si>
  <si>
    <t>SZ002733</t>
  </si>
  <si>
    <t>雄韬股份</t>
  </si>
  <si>
    <t>25.47亿</t>
  </si>
  <si>
    <t>7626.41万</t>
  </si>
  <si>
    <t>29.56亿</t>
  </si>
  <si>
    <t>9422.44万</t>
  </si>
  <si>
    <t>SZ002759</t>
  </si>
  <si>
    <t>天际股份</t>
  </si>
  <si>
    <t>-1077.99万</t>
  </si>
  <si>
    <t>3246.55万</t>
  </si>
  <si>
    <t>8380.13万</t>
  </si>
  <si>
    <t>SZ002805</t>
  </si>
  <si>
    <t>丰元股份</t>
  </si>
  <si>
    <t>-2920.30万</t>
  </si>
  <si>
    <t>1132.77万</t>
  </si>
  <si>
    <t>1630.89万</t>
  </si>
  <si>
    <t>SZ002812</t>
  </si>
  <si>
    <t>恩捷股份</t>
  </si>
  <si>
    <t>42.83亿</t>
  </si>
  <si>
    <t>31.60亿</t>
  </si>
  <si>
    <t>24.57亿</t>
  </si>
  <si>
    <t>SZ002850</t>
  </si>
  <si>
    <t>科达利</t>
  </si>
  <si>
    <t>22.30亿</t>
  </si>
  <si>
    <t>8228.72万</t>
  </si>
  <si>
    <t>SZ300014</t>
  </si>
  <si>
    <t>亿纬锂能</t>
  </si>
  <si>
    <t>81.62亿</t>
  </si>
  <si>
    <t>43.51亿</t>
  </si>
  <si>
    <t>29.82亿</t>
  </si>
  <si>
    <t>15.22亿</t>
  </si>
  <si>
    <t>SZ300035</t>
  </si>
  <si>
    <t>中科电气</t>
  </si>
  <si>
    <t>SZ300037</t>
  </si>
  <si>
    <t>新宙邦</t>
  </si>
  <si>
    <t>23.25亿</t>
  </si>
  <si>
    <t>21.65亿</t>
  </si>
  <si>
    <t>SZ300068</t>
  </si>
  <si>
    <t>南都电源</t>
  </si>
  <si>
    <t>90.08亿</t>
  </si>
  <si>
    <t>80.63亿</t>
  </si>
  <si>
    <t>SZ300073</t>
  </si>
  <si>
    <t>当升科技</t>
  </si>
  <si>
    <t>32.81亿</t>
  </si>
  <si>
    <t>SZ300116</t>
  </si>
  <si>
    <t>SZ300173</t>
  </si>
  <si>
    <t>福能东方</t>
  </si>
  <si>
    <t>SZ300340</t>
  </si>
  <si>
    <t>科恒股份</t>
  </si>
  <si>
    <t>18.40亿</t>
  </si>
  <si>
    <t>22.02亿</t>
  </si>
  <si>
    <t>SZ300409</t>
  </si>
  <si>
    <t>道氏技术</t>
  </si>
  <si>
    <t>29.86亿</t>
  </si>
  <si>
    <t>35.44亿</t>
  </si>
  <si>
    <t>SZ300438</t>
  </si>
  <si>
    <t>鹏辉能源</t>
  </si>
  <si>
    <t>33.08亿</t>
  </si>
  <si>
    <t>SZ300450</t>
  </si>
  <si>
    <t>先导智能</t>
  </si>
  <si>
    <t>46.84亿</t>
  </si>
  <si>
    <t>38.90亿</t>
  </si>
  <si>
    <t>SZ300457</t>
  </si>
  <si>
    <t>赢合科技</t>
  </si>
  <si>
    <t>20.87亿</t>
  </si>
  <si>
    <t>SZ300568</t>
  </si>
  <si>
    <t>星源材质</t>
  </si>
  <si>
    <t>SZ300619</t>
  </si>
  <si>
    <t>金银河</t>
  </si>
  <si>
    <t>1274.09万</t>
  </si>
  <si>
    <t>4151.09万</t>
  </si>
  <si>
    <t>4636.48万</t>
  </si>
  <si>
    <t>SZ300648</t>
  </si>
  <si>
    <t>星云股份</t>
  </si>
  <si>
    <t>5699.64万</t>
  </si>
  <si>
    <t>354.84万</t>
  </si>
  <si>
    <t>2051.55万</t>
  </si>
  <si>
    <t>SZ300750</t>
  </si>
  <si>
    <t>宁德时代</t>
  </si>
  <si>
    <t>503.19亿</t>
  </si>
  <si>
    <t>55.83亿</t>
  </si>
  <si>
    <t>457.88亿</t>
  </si>
  <si>
    <t>296.11亿</t>
  </si>
  <si>
    <t>45.60亿</t>
  </si>
  <si>
    <t>33.87亿</t>
  </si>
  <si>
    <t>SZ300769</t>
  </si>
  <si>
    <t>德方纳米</t>
  </si>
  <si>
    <t>-2840.16万</t>
  </si>
  <si>
    <t>9811.62万</t>
  </si>
  <si>
    <t>SZ300890</t>
  </si>
  <si>
    <t>翔丰华</t>
  </si>
  <si>
    <t>4545.31万</t>
  </si>
  <si>
    <t>6168.89万</t>
  </si>
  <si>
    <t>6155.32万</t>
  </si>
  <si>
    <t>SZ300919</t>
  </si>
  <si>
    <t>中伟股份</t>
  </si>
  <si>
    <t>74.40亿</t>
  </si>
  <si>
    <t>53.11亿</t>
  </si>
  <si>
    <t>6313.39万</t>
  </si>
  <si>
    <t>SH600152</t>
  </si>
  <si>
    <t>维科技术</t>
  </si>
  <si>
    <t>16.03亿</t>
  </si>
  <si>
    <t>SH600241</t>
  </si>
  <si>
    <t>-2.78亿</t>
  </si>
  <si>
    <t>SH600847</t>
  </si>
  <si>
    <t>万里股份</t>
  </si>
  <si>
    <t>402.28万</t>
  </si>
  <si>
    <t>890.71万</t>
  </si>
  <si>
    <t>-1.56亿</t>
  </si>
  <si>
    <t>SH600884</t>
  </si>
  <si>
    <t>82.16亿</t>
  </si>
  <si>
    <t>86.80亿</t>
  </si>
  <si>
    <t>88.53亿</t>
  </si>
  <si>
    <t>SH601311</t>
  </si>
  <si>
    <t>骆驼股份</t>
  </si>
  <si>
    <t>96.40亿</t>
  </si>
  <si>
    <t>90.23亿</t>
  </si>
  <si>
    <t>92.39亿</t>
  </si>
  <si>
    <t>SH603026</t>
  </si>
  <si>
    <t>44.75亿</t>
  </si>
  <si>
    <t>46.43亿</t>
  </si>
  <si>
    <t>53.31亿</t>
  </si>
  <si>
    <t>SH603659</t>
  </si>
  <si>
    <t>璞泰来</t>
  </si>
  <si>
    <t>52.81亿</t>
  </si>
  <si>
    <t>47.99亿</t>
  </si>
  <si>
    <t>33.11亿</t>
  </si>
  <si>
    <t>SH605378</t>
  </si>
  <si>
    <t>10.99亿</t>
  </si>
  <si>
    <t>SH688005</t>
  </si>
  <si>
    <t>容百科技</t>
  </si>
  <si>
    <t>37.95亿</t>
  </si>
  <si>
    <t>41.90亿</t>
  </si>
  <si>
    <t>8741.66万</t>
  </si>
  <si>
    <t>SH688006</t>
  </si>
  <si>
    <t>杭可科技</t>
  </si>
  <si>
    <t>SH688063</t>
  </si>
  <si>
    <t>派能科技</t>
  </si>
  <si>
    <t>8.20亿</t>
  </si>
  <si>
    <t>4545.93万</t>
  </si>
  <si>
    <t>SH688116</t>
  </si>
  <si>
    <t>天奈科技</t>
  </si>
  <si>
    <t>6758.49万</t>
  </si>
  <si>
    <t>SH688148</t>
  </si>
  <si>
    <t>芳源股份</t>
  </si>
  <si>
    <t>11.72亿</t>
  </si>
  <si>
    <t>5932.75万</t>
  </si>
  <si>
    <t>7453.33万</t>
  </si>
  <si>
    <t>2494.62万</t>
  </si>
  <si>
    <t>SH688155</t>
  </si>
  <si>
    <t>先惠技术</t>
  </si>
  <si>
    <t>6073.53万</t>
  </si>
  <si>
    <t>7192.66万</t>
  </si>
  <si>
    <t>2811.66万</t>
  </si>
  <si>
    <t>SH688339</t>
  </si>
  <si>
    <t>亿华通-U</t>
  </si>
  <si>
    <t>-2252.36万</t>
  </si>
  <si>
    <t>6391.65万</t>
  </si>
  <si>
    <t>2311.61万</t>
  </si>
  <si>
    <t>SH688345</t>
  </si>
  <si>
    <t>博力威</t>
  </si>
  <si>
    <t>7.25亿</t>
  </si>
  <si>
    <t>7040.36万</t>
  </si>
  <si>
    <t>6322.19万</t>
  </si>
  <si>
    <t>SH688499</t>
  </si>
  <si>
    <t>利元亨</t>
  </si>
  <si>
    <t>9308.65万</t>
  </si>
  <si>
    <t>SH688567</t>
  </si>
  <si>
    <t>孚能科技</t>
  </si>
  <si>
    <t>24.50亿</t>
  </si>
  <si>
    <t>-7821.48万</t>
  </si>
  <si>
    <t>SH688707</t>
  </si>
  <si>
    <t>26.55亿</t>
  </si>
  <si>
    <t>3376.36万</t>
  </si>
  <si>
    <t>6776.09万</t>
  </si>
  <si>
    <t>SH688733</t>
  </si>
  <si>
    <t>壹石通</t>
  </si>
  <si>
    <t>4508.94万</t>
  </si>
  <si>
    <t>4429.47万</t>
  </si>
  <si>
    <t>2080.02万</t>
  </si>
  <si>
    <t>SH688772</t>
  </si>
  <si>
    <t>珠海冠宇</t>
  </si>
  <si>
    <t>69.64亿</t>
  </si>
  <si>
    <t>47.47亿</t>
  </si>
  <si>
    <t>29.35亿</t>
  </si>
  <si>
    <t>SH688778</t>
  </si>
  <si>
    <t>厦钨新能</t>
  </si>
  <si>
    <t>79.90亿</t>
  </si>
  <si>
    <t>69.78亿</t>
  </si>
  <si>
    <t>70.26亿</t>
  </si>
  <si>
    <t>8010.61万</t>
  </si>
  <si>
    <t>SH688779</t>
  </si>
  <si>
    <t>长远锂科</t>
  </si>
  <si>
    <t>26.39亿</t>
  </si>
  <si>
    <t>16.86亿</t>
  </si>
  <si>
    <t>SH688819</t>
  </si>
  <si>
    <t>天能股份</t>
  </si>
  <si>
    <t>351.00亿</t>
  </si>
  <si>
    <t>427.44亿</t>
  </si>
  <si>
    <t>358.63亿</t>
  </si>
  <si>
    <t>-6.43亿</t>
  </si>
  <si>
    <t>35.01亿</t>
  </si>
  <si>
    <t>10.51亿</t>
  </si>
  <si>
    <t>37.58亿</t>
  </si>
  <si>
    <t>102.60亿</t>
  </si>
  <si>
    <t>-2.81亿</t>
  </si>
  <si>
    <t>31.83亿</t>
  </si>
  <si>
    <t>-1.71亿</t>
  </si>
  <si>
    <t>-7.45亿</t>
  </si>
  <si>
    <t>33.15亿</t>
  </si>
  <si>
    <t>6051.64万</t>
  </si>
  <si>
    <t>5320.33万</t>
  </si>
  <si>
    <t>58.58亿</t>
  </si>
  <si>
    <t>20.63亿</t>
  </si>
  <si>
    <t>19.36亿</t>
  </si>
  <si>
    <t>-2.09亿</t>
  </si>
  <si>
    <t>-39.25亿</t>
  </si>
  <si>
    <t>-8.34亿</t>
  </si>
  <si>
    <t>3043.31万</t>
  </si>
  <si>
    <t>5331.09万</t>
  </si>
  <si>
    <t>2400.10万</t>
  </si>
  <si>
    <t>代码</t>
  </si>
  <si>
    <t>9.11亿</t>
  </si>
  <si>
    <t>和宁德新能源签署了将近3亿的合同，预付款到账；和宁德时代签署1.5亿合同，也收到预付款，出货中</t>
    <phoneticPr fontId="1" type="noConversion"/>
  </si>
  <si>
    <t>涨幅%</t>
  </si>
  <si>
    <t>流通股本</t>
  </si>
  <si>
    <t>投入资本回报率roic%[20201231]</t>
  </si>
  <si>
    <t>净资产收益率%[20201231]</t>
  </si>
  <si>
    <t>亏损</t>
  </si>
  <si>
    <t>扭亏</t>
  </si>
  <si>
    <t>17.66亿</t>
  </si>
  <si>
    <t>24.83亿</t>
  </si>
  <si>
    <t>21.60亿</t>
  </si>
  <si>
    <t>16.01亿</t>
  </si>
  <si>
    <t>13.69亿</t>
  </si>
  <si>
    <t>-1.33亿</t>
  </si>
  <si>
    <t>7.36亿</t>
  </si>
  <si>
    <t>7.45亿</t>
  </si>
  <si>
    <t>26.91亿</t>
  </si>
  <si>
    <t>7.95亿</t>
  </si>
  <si>
    <t>SZ301222</t>
  </si>
  <si>
    <t>浙江恒威</t>
  </si>
  <si>
    <t>9584.11万</t>
  </si>
  <si>
    <t>6484.57万</t>
  </si>
  <si>
    <t>5939.15万</t>
  </si>
  <si>
    <t>4.78亿</t>
  </si>
  <si>
    <t>SH603031</t>
  </si>
  <si>
    <t>-659.14万</t>
  </si>
  <si>
    <t>1527.83万</t>
  </si>
  <si>
    <t>585.82万</t>
  </si>
  <si>
    <t>16.89亿</t>
  </si>
  <si>
    <t>-3.13亿</t>
  </si>
  <si>
    <t>14.60亿</t>
  </si>
  <si>
    <t>15.17亿</t>
  </si>
  <si>
    <t>振华新材</t>
  </si>
  <si>
    <t>电池</t>
  </si>
  <si>
    <t>净利润[20201231]</t>
  </si>
  <si>
    <t>194.71亿</t>
  </si>
  <si>
    <t>18.15亿</t>
  </si>
  <si>
    <t>103.56亿</t>
  </si>
  <si>
    <t>3.12亿</t>
  </si>
  <si>
    <t>29.06亿</t>
  </si>
  <si>
    <t>10.17亿</t>
  </si>
  <si>
    <t>66.80亿</t>
  </si>
  <si>
    <t>22.08亿</t>
  </si>
  <si>
    <t>193.01亿</t>
  </si>
  <si>
    <t>17.08亿</t>
  </si>
  <si>
    <t>18.19亿</t>
  </si>
  <si>
    <t>21.50亿</t>
  </si>
  <si>
    <t>11.35亿</t>
  </si>
  <si>
    <t>27.18亿</t>
  </si>
  <si>
    <t>23.57亿</t>
  </si>
  <si>
    <t>20.91亿</t>
  </si>
  <si>
    <t>3395.14万</t>
  </si>
  <si>
    <t>110.91亿</t>
  </si>
  <si>
    <t>-4.22亿</t>
  </si>
  <si>
    <t>5.27亿</t>
  </si>
  <si>
    <t>22.53亿</t>
  </si>
  <si>
    <t>5309.02万</t>
  </si>
  <si>
    <t>79.82亿</t>
  </si>
  <si>
    <t>24.47亿</t>
  </si>
  <si>
    <t>44.68亿</t>
  </si>
  <si>
    <t>-1.79亿</t>
  </si>
  <si>
    <t>12.54亿</t>
  </si>
  <si>
    <t>7.40亿</t>
  </si>
  <si>
    <t>169.00亿</t>
  </si>
  <si>
    <t>69.51亿</t>
  </si>
  <si>
    <t>10.02亿</t>
  </si>
  <si>
    <t>118.48亿</t>
  </si>
  <si>
    <t>-13.70亿</t>
  </si>
  <si>
    <t>82.58亿</t>
  </si>
  <si>
    <t>52.02亿</t>
  </si>
  <si>
    <t>9.26亿</t>
  </si>
  <si>
    <t>11.64亿</t>
  </si>
  <si>
    <t>-3.23亿</t>
  </si>
  <si>
    <t>413.34万</t>
  </si>
  <si>
    <t>9.39亿</t>
  </si>
  <si>
    <t>373.59亿</t>
  </si>
  <si>
    <t>9.16亿</t>
  </si>
  <si>
    <t>33.31亿</t>
  </si>
  <si>
    <t>1398.43万</t>
  </si>
  <si>
    <t>65.69亿</t>
  </si>
  <si>
    <t>4.89亿</t>
  </si>
  <si>
    <t>56.93亿</t>
  </si>
  <si>
    <t>11.71亿</t>
  </si>
  <si>
    <t>100.37亿</t>
  </si>
  <si>
    <t>24.31亿</t>
  </si>
  <si>
    <t>11.50亿</t>
  </si>
  <si>
    <t>3003.60万</t>
  </si>
  <si>
    <t>7604.56万</t>
  </si>
  <si>
    <t>1303.56亿</t>
  </si>
  <si>
    <t>159.31亿</t>
  </si>
  <si>
    <t>9983.94万</t>
  </si>
  <si>
    <t>200.72亿</t>
  </si>
  <si>
    <t>-1.62亿</t>
  </si>
  <si>
    <t>8967.46万</t>
  </si>
  <si>
    <t>30.59亿</t>
  </si>
  <si>
    <t>4218.17万</t>
  </si>
  <si>
    <t>-966.82万</t>
  </si>
  <si>
    <t>206.99亿</t>
  </si>
  <si>
    <t>33.40亿</t>
  </si>
  <si>
    <t>124.03亿</t>
  </si>
  <si>
    <t>70.56亿</t>
  </si>
  <si>
    <t>11.78亿</t>
  </si>
  <si>
    <t>-5128.26万</t>
  </si>
  <si>
    <t>SH603032</t>
  </si>
  <si>
    <t>7072.10万</t>
  </si>
  <si>
    <t>5143.40万</t>
  </si>
  <si>
    <t>9901.11万</t>
  </si>
  <si>
    <t>-861.72万</t>
  </si>
  <si>
    <t>714.50万</t>
  </si>
  <si>
    <t>89.96亿</t>
  </si>
  <si>
    <t>17.49亿</t>
  </si>
  <si>
    <t>27.14亿</t>
  </si>
  <si>
    <t>21.97亿</t>
  </si>
  <si>
    <t>11.87亿</t>
  </si>
  <si>
    <t>7584.00万</t>
  </si>
  <si>
    <t>102.59亿</t>
  </si>
  <si>
    <t>20.70亿</t>
  </si>
  <si>
    <t>6672.18万</t>
  </si>
  <si>
    <t>7006.35万</t>
  </si>
  <si>
    <t>22.17亿</t>
  </si>
  <si>
    <t>23.31亿</t>
  </si>
  <si>
    <t>12.89亿</t>
  </si>
  <si>
    <t>35.00亿</t>
  </si>
  <si>
    <t>-9.53亿</t>
  </si>
  <si>
    <t>33.03亿</t>
  </si>
  <si>
    <t>55.15亿</t>
  </si>
  <si>
    <t>103.40亿</t>
  </si>
  <si>
    <t>68.41亿</t>
  </si>
  <si>
    <t>387.16亿</t>
  </si>
  <si>
    <t xml:space="preserve">    名称</t>
  </si>
  <si>
    <t>净利润?</t>
  </si>
  <si>
    <t>投入资本回报率roic%[20211231]</t>
  </si>
  <si>
    <t>净资产收益率%[20211231]</t>
  </si>
  <si>
    <t/>
  </si>
  <si>
    <t>3.98亿</t>
  </si>
  <si>
    <t>9.59亿</t>
  </si>
  <si>
    <t>开始亏损</t>
  </si>
  <si>
    <t>10.47亿</t>
  </si>
  <si>
    <t>11.68亿</t>
  </si>
  <si>
    <t>7.93亿</t>
  </si>
  <si>
    <t>12.02亿</t>
  </si>
  <si>
    <t>10.80亿</t>
  </si>
  <si>
    <t>8.59亿</t>
  </si>
  <si>
    <t>52.03亿</t>
  </si>
  <si>
    <t>利基</t>
    <phoneticPr fontId="1" type="noConversion"/>
  </si>
  <si>
    <t>营收[~-18%]</t>
  </si>
  <si>
    <t>营收[-18%~0]</t>
  </si>
  <si>
    <t>营收[0~10%]</t>
  </si>
  <si>
    <t>营收[10%~30%]</t>
  </si>
  <si>
    <t>营收[30%~80%]</t>
  </si>
  <si>
    <t>营收[80%~]</t>
  </si>
  <si>
    <t>利润[~-18%]</t>
  </si>
  <si>
    <t>利润[-18%~0]</t>
  </si>
  <si>
    <t>利润[0~10%]</t>
  </si>
  <si>
    <t>利润[10%~30%]</t>
  </si>
  <si>
    <t>利润[30%~80%]</t>
  </si>
  <si>
    <t>利润[80%~]</t>
  </si>
  <si>
    <t>Total</t>
    <phoneticPr fontId="1" type="noConversion"/>
  </si>
  <si>
    <t>营收top</t>
    <phoneticPr fontId="1" type="noConversion"/>
  </si>
  <si>
    <t>利润top</t>
    <phoneticPr fontId="1" type="noConversion"/>
  </si>
  <si>
    <t>Total</t>
  </si>
  <si>
    <t>营收top</t>
  </si>
  <si>
    <t>利润top</t>
  </si>
  <si>
    <t>光伏</t>
    <phoneticPr fontId="1" type="noConversion"/>
  </si>
  <si>
    <t>风能</t>
    <phoneticPr fontId="1" type="noConversion"/>
  </si>
  <si>
    <t>1.2019年年底到2021年10月从5.5元暴涨到最高85元；随后下跌到目前的40元；</t>
    <phoneticPr fontId="1" type="noConversion"/>
  </si>
  <si>
    <t>1.（一周涨，一周跌，再一周涨）3周250亿左右；它800亿市值不到，50%的10大股东持有（但只有实控人占36%，其他份额都不大），全流通；2.知名私募最近调研多；3.总体来看,新能源汽车仍处于高速发展阶段,今年上半年公司锂电池材料业务仍然会维持较高的同比增速。4.问：对未来两年电解液价格的展望？公司的核心竞争力在哪里？答：随着上游原材料价格的波动，电解液的价格也会随着有所波动，关键是在于企业如何控制好自己的成本及核心材料技术的研发进度，保证在众多竞争者中脱颖而出。未来两年，公司电解液核心添加剂的产能将不断提升，随着核心材料的自供比例逐渐提升至90%以上，公司的成本将会控制在较低的水平，我们希望在价格出现较大波动时，仍然能够控制在1万元左右的单吨净利润水平。5.问：公司目前磷酸铁业务盈利情况？对未来磷酸铁的规划和市场判断？答：磷酸铁和磷酸铁锂一季度贡献净利润约1亿元。公司磷酸铁新增产能10万吨将于三季度投产，从目前行业情况来看，行业新增量不多，明年供需紧张状态也不会大幅缓解。</t>
    <phoneticPr fontId="1" type="noConversion"/>
  </si>
  <si>
    <t>1.公司业绩增长的原因，一方面系受益于新能源汽车行业发展态势持续向好，公司电池化学品业务市场需求旺盛，产销量同比大幅增加，带动公司盈利能力提升；另一方面公司有机氟化学品业务及半导体业务的含氟新产品销售规模扩大，促进公司经营业绩提升；</t>
    <phoneticPr fontId="1" type="noConversion"/>
  </si>
  <si>
    <t>1.2021 年负极材料销量超过 10 万吨，根据鑫椤锂电数据，人造石墨出货量排名全球第一。；</t>
    <phoneticPr fontId="1" type="noConversion"/>
  </si>
  <si>
    <t>1.2021年公司电解液业务实现销量17,477吨，同比下降12.20%，销量下滑主要系添加剂VC等供应紧张，公司电解液产量受到限制，未能充分释放产能；</t>
    <phoneticPr fontId="1" type="noConversion"/>
  </si>
  <si>
    <r>
      <t>1.　　问：公司在未来的行业竞争中，有哪些优势？答：公司所处的动力电池板块长期发展机遇良好，未来市场空间巨大。1.公司拥有多年的电池技术积累，在动力电池化学体系方面拥有行业领先的优势，在电池上游材料以及原材料端布局，这种“技术+资源”的双轮驱动提升公司产品竞争力。2.公司的材料制造和电池制造规模日益扩大，加上多年创新平台和人才队伍的建设，公司拥有较强的产业复制与扩张能力；3.公司产品力不断提升的基础上，公司持续扩展海内外优质客户，与众多海内外客户深度绑定，为客户结构持续优化和市场份额不断提升奠定了良好的基础，公司坚持国际化布局，打造全球技术中心和产业基地，力争在2025年成为</t>
    </r>
    <r>
      <rPr>
        <sz val="9"/>
        <color rgb="FFFF0000"/>
        <rFont val="宋体"/>
        <family val="3"/>
        <charset val="134"/>
        <scheme val="minor"/>
      </rPr>
      <t>全球前三的动力电池企业</t>
    </r>
    <r>
      <rPr>
        <sz val="9"/>
        <color theme="1"/>
        <rFont val="宋体"/>
        <family val="3"/>
        <charset val="134"/>
        <scheme val="minor"/>
      </rPr>
      <t>。</t>
    </r>
    <phoneticPr fontId="1" type="noConversion"/>
  </si>
  <si>
    <t>7.60亿</t>
  </si>
  <si>
    <t>9.36亿</t>
  </si>
  <si>
    <t>SZ301238</t>
  </si>
  <si>
    <t>瑞泰新材</t>
  </si>
  <si>
    <t>16.57亿</t>
  </si>
  <si>
    <t>8965.20万</t>
  </si>
  <si>
    <t>4.88亿</t>
  </si>
  <si>
    <t>17.71亿</t>
  </si>
  <si>
    <t>安孚科技</t>
  </si>
  <si>
    <t>17.36亿</t>
  </si>
  <si>
    <t>9.52亿</t>
  </si>
  <si>
    <t>7.97亿</t>
  </si>
  <si>
    <t>6.28亿</t>
  </si>
  <si>
    <t>SH688353</t>
  </si>
  <si>
    <t>华盛锂电</t>
  </si>
  <si>
    <t>7803.02万</t>
  </si>
  <si>
    <t>7593.09万</t>
  </si>
  <si>
    <t>6032.15万</t>
  </si>
  <si>
    <t>5.76亿</t>
  </si>
  <si>
    <t>细分行业</t>
  </si>
  <si>
    <t>49.54亿</t>
  </si>
  <si>
    <t>10.20亿</t>
  </si>
  <si>
    <t>SZ001283</t>
  </si>
  <si>
    <t>豪鹏科技</t>
  </si>
  <si>
    <t>26.24亿</t>
  </si>
  <si>
    <t>20.71亿</t>
  </si>
  <si>
    <t>19.15亿</t>
  </si>
  <si>
    <t>7994.83万</t>
  </si>
  <si>
    <t>5.70亿</t>
  </si>
  <si>
    <t>4.92亿</t>
  </si>
  <si>
    <t>7.99亿</t>
  </si>
  <si>
    <t>SZ002125</t>
  </si>
  <si>
    <t>湘潭电化</t>
  </si>
  <si>
    <t>18.72亿</t>
  </si>
  <si>
    <t>12.34亿</t>
  </si>
  <si>
    <t>2529.85万</t>
  </si>
  <si>
    <t>6799.17万</t>
  </si>
  <si>
    <t>7073.68万</t>
  </si>
  <si>
    <t>10.32亿</t>
  </si>
  <si>
    <t>SZ002324</t>
  </si>
  <si>
    <t>普利特</t>
  </si>
  <si>
    <t>48.71亿</t>
  </si>
  <si>
    <t>2374.82万</t>
  </si>
  <si>
    <t>44.48亿</t>
  </si>
  <si>
    <t>36.00亿</t>
  </si>
  <si>
    <t>36.66亿</t>
  </si>
  <si>
    <t>7231.94万</t>
  </si>
  <si>
    <t>7.50亿</t>
  </si>
  <si>
    <t>21.55亿</t>
  </si>
  <si>
    <t>16.56亿</t>
  </si>
  <si>
    <t>10.70亿</t>
  </si>
  <si>
    <t>10.19亿</t>
  </si>
  <si>
    <t>5.30亿</t>
  </si>
  <si>
    <t>3.70亿</t>
  </si>
  <si>
    <t>SZ300410</t>
  </si>
  <si>
    <t>正业科技</t>
  </si>
  <si>
    <t>14.29亿</t>
  </si>
  <si>
    <t>-9.25亿</t>
  </si>
  <si>
    <t>1692.03万</t>
  </si>
  <si>
    <t>14.54亿</t>
  </si>
  <si>
    <t>11.70亿</t>
  </si>
  <si>
    <t>8.42亿</t>
  </si>
  <si>
    <t>SZ300953</t>
  </si>
  <si>
    <t>震裕科技</t>
  </si>
  <si>
    <t>30.34亿</t>
  </si>
  <si>
    <t>7745.85万</t>
  </si>
  <si>
    <t>5516.68万</t>
  </si>
  <si>
    <t>SZ301121</t>
  </si>
  <si>
    <t>紫建电子</t>
  </si>
  <si>
    <t>6.18亿</t>
  </si>
  <si>
    <t>6376.54万</t>
  </si>
  <si>
    <t>4032.07万</t>
  </si>
  <si>
    <t>SZ301150</t>
  </si>
  <si>
    <t>中一科技</t>
  </si>
  <si>
    <t>4074.10万</t>
  </si>
  <si>
    <t>6588.48万</t>
  </si>
  <si>
    <t>SZ301152</t>
  </si>
  <si>
    <t>16.63亿</t>
  </si>
  <si>
    <t>8485.00万</t>
  </si>
  <si>
    <t>5711.91万</t>
  </si>
  <si>
    <t>7140.33万</t>
  </si>
  <si>
    <t>4079.60万</t>
  </si>
  <si>
    <t>SZ301349</t>
  </si>
  <si>
    <t>8611.60万</t>
  </si>
  <si>
    <t>7262.96万</t>
  </si>
  <si>
    <t>3626.25万</t>
  </si>
  <si>
    <t>SH600110</t>
  </si>
  <si>
    <t>诺德股份</t>
  </si>
  <si>
    <t>23.21亿</t>
  </si>
  <si>
    <t>-1.22亿</t>
  </si>
  <si>
    <t>34.54亿</t>
  </si>
  <si>
    <t>SH688388</t>
  </si>
  <si>
    <t>嘉元科技</t>
  </si>
  <si>
    <t>28.04亿</t>
  </si>
  <si>
    <t>总体来看中国燃料电池汽车产业已经从政府主导的技术探索、示范运营阶段发展至商业化初期阶段；公司是中国领先的燃料电池系统制造商,拥有设计、研发、制造燃料电池系统包括核心零部件燃料电池电堆的能力,公司的产品主要面向商用应用(如客车和货车)
市值107亿，利润-1.62亿，pe亏损，pb4.35；毛利43.53%，净利-11.39%；2021营收增10%，利润增-619%；2022Q1营收增8557%,利润增-50.7%；过往5年营收增38.5%，利润增3052%；
2021：
氢燃料电池行业 5.72亿 99.93% 利润占比99.87% 43.63%
其他业务 38.98万 0.07% 利润占比0.13% 81.53%
按照产品分：
发动机系统 5.00亿 87.35% 利润占比90.42% 45.19%
技术开发及服务 3347.10万 5.85% 利润占比7.46% 55.66%
零部件 2611.13万 4.56% 利润占比1.37% 13.15%
其他 1243.90万 2.17% 利润占比0.63% 12.58%
其他业务 38.98万 0.07% 利润占比0.13% 81.53%</t>
    <phoneticPr fontId="1" type="noConversion"/>
  </si>
  <si>
    <t>1.目前燃料电池汽车行业市场由于商业化初期阶段尚未形成规模效应，综合成本较高，行业的发展对政策依赖度仍较高，同时从应用场景看，中国燃料电池汽车应用场景已由前期单一的公交领域商业化示范应用向公交、环卫、城市物流配送、冷链运输、渣土运输等多场景示范应用转变。2.尚未盈利，有持续加大亏损的风险；</t>
    <phoneticPr fontId="1" type="noConversion"/>
  </si>
  <si>
    <t>4.68亿</t>
  </si>
  <si>
    <t>9.49亿</t>
  </si>
  <si>
    <t>3.74亿</t>
  </si>
  <si>
    <t>8.75亿</t>
  </si>
  <si>
    <t>2.92亿</t>
  </si>
  <si>
    <t>12.72亿</t>
  </si>
  <si>
    <t>-1.20亿</t>
  </si>
  <si>
    <t>5.79亿</t>
  </si>
  <si>
    <t>19.53亿</t>
  </si>
  <si>
    <t>SZ301327</t>
  </si>
  <si>
    <t>23.15亿</t>
  </si>
  <si>
    <t>3645.16万</t>
  </si>
  <si>
    <t>459.93万</t>
  </si>
  <si>
    <t>8.64亿</t>
  </si>
  <si>
    <t>9.94亿</t>
  </si>
  <si>
    <t>SH688184</t>
  </si>
  <si>
    <t>4098.38万</t>
  </si>
  <si>
    <t>2026.80万</t>
  </si>
  <si>
    <t>3606.14万</t>
  </si>
  <si>
    <t>1.问：公司定增进度及发行时间安排？答：公司定增项目正常推进中，具体可关注公司已披露的相关公告。发行方面，本次定增尚需经上交所审核通过，并获得中国证监会同意注册的决定后再择机发行。</t>
    <phoneticPr fontId="1" type="noConversion"/>
  </si>
  <si>
    <t>1. 公司生产的模具精度已达到0.002mm；2.2018、2019年连续两年被宁德时代评为十大优秀供应商之一</t>
    <phoneticPr fontId="1" type="noConversion"/>
  </si>
  <si>
    <t>产品业务延伸至新能源汽车市场中驱动电机以及新能源汽车动力锂电池结构件的制造领域；精密级进冲压模具领域为核心，以精密结构件中电机铁芯及动力锂电池精密结构件产品为两翼，形成“一体两翼”的发展战略
精密结构件 8.19亿 68.67%（毛利20.53%，增速93.39%）模具 2.65亿 22.25%（毛利51.43%，增速2.15%）其他业务 1.08亿 9.07%（毛利0.46%，增速63.63%）</t>
    <phoneticPr fontId="1" type="noConversion"/>
  </si>
  <si>
    <t>天力锂能</t>
  </si>
  <si>
    <t>SH688275</t>
  </si>
  <si>
    <t>22.29亿</t>
  </si>
  <si>
    <t>-4461.16万</t>
  </si>
  <si>
    <t>-7338.57万</t>
  </si>
  <si>
    <t>273.01万</t>
  </si>
  <si>
    <t>公司主要从事锂离子电池正极材料、负极材料和电解液、LCD偏光片的研发、生产和销售。主要产品包括钴酸锂、镍钴锰三元材料、锰酸锂、镍钴铝三元材料、三元正极材料前驱体、人造石墨、天然石墨、硅基负极、复合石墨、电解液等。
市值544亿，利润33.4亿；pe16,pb2.73;毛利22%，净利8%；2021营收增152%，利润增232%；2022Q1营收增21%，利润增21%；过往5年营收增41%，利润增478%；
2021：
偏光片 99.44亿 48.04% 47.20% 24.59%
负极材料 41.40亿 20.00% 22.87% 28.62%
正极材料 36.15亿 17.47% 12.48% 17.88%
电解液 13.70亿 6.62% 12.57% 47.55%
其他 12.95亿 6.25% 2.27% 9.08%
其他业务收入 3.36亿 1.62% 2.61% 40.27%</t>
    <phoneticPr fontId="1" type="noConversion"/>
  </si>
  <si>
    <r>
      <t xml:space="preserve">1.截至 2021 年底，全国发布 </t>
    </r>
    <r>
      <rPr>
        <b/>
        <sz val="9"/>
        <color theme="1"/>
        <rFont val="宋体"/>
        <family val="3"/>
        <charset val="134"/>
        <scheme val="minor"/>
      </rPr>
      <t>499</t>
    </r>
    <r>
      <rPr>
        <sz val="9"/>
        <color theme="1"/>
        <rFont val="宋体"/>
        <family val="2"/>
        <charset val="134"/>
        <scheme val="minor"/>
      </rPr>
      <t xml:space="preserve"> 款辆燃料电池汽车整车公告（不含底盘公告），其中搭载公司燃料电池系统的整车公告 </t>
    </r>
    <r>
      <rPr>
        <b/>
        <sz val="9"/>
        <color theme="1"/>
        <rFont val="宋体"/>
        <family val="3"/>
        <charset val="134"/>
        <scheme val="minor"/>
      </rPr>
      <t xml:space="preserve">81 </t>
    </r>
    <r>
      <rPr>
        <sz val="9"/>
        <color theme="1"/>
        <rFont val="宋体"/>
        <family val="2"/>
        <charset val="134"/>
        <scheme val="minor"/>
      </rPr>
      <t xml:space="preserve">款，位居行业前列。
</t>
    </r>
    <phoneticPr fontId="1" type="noConversion"/>
  </si>
  <si>
    <r>
      <t>1.问：近期疫情对公司生产和出货的影响？答：截至目前疫情对公司日常生产经营的影响较小且整体可控，公司仍处于</t>
    </r>
    <r>
      <rPr>
        <b/>
        <sz val="9"/>
        <color rgb="FFFF0000"/>
        <rFont val="宋体"/>
        <family val="3"/>
        <charset val="134"/>
        <scheme val="minor"/>
      </rPr>
      <t>满产状态</t>
    </r>
    <r>
      <rPr>
        <sz val="9"/>
        <color theme="1"/>
        <rFont val="宋体"/>
        <family val="2"/>
        <charset val="134"/>
        <scheme val="minor"/>
      </rPr>
      <t>，产品正常交付。公司将密切关注疫情变化，积极做好各项疫情防控措施，最大限度保证正常生产经营；</t>
    </r>
    <phoneticPr fontId="1" type="noConversion"/>
  </si>
  <si>
    <t>公司主要从事锂离子电池用4.5～12μm各类高性能电解铜箔及PCB用电解铜箔的研究、生产和销售；主要产品为超薄锂电铜箔和极薄锂电铜箔，主要用于锂离子电池的负极集流体，是锂离子电池行业重要基础材料；同时公司生产少量PCB用标准铜箔产品。
市值212亿，利润5.5亿，pe30~38，pb5.9；毛利30%，净利19%；2021营收增133%，利润增196%；2022Q1营收增81%，利润增57%；过往5年营收增56%，利润增76%；
2021：
锂电铜箔 25.19亿 89.83% 90.42% 30.23%
标准铜箔 2.85亿 10.15% 9.54% 28.23%
其他业务 41.76万 0.01% 0.03% 66.47%</t>
    <phoneticPr fontId="1" type="noConversion"/>
  </si>
  <si>
    <r>
      <t>公司是国内个人护理品材料的主要生产企业之一,主营业务为精细化工新材料的研发、生产和销售,属于精细化工行业,主要产品为锂离子电池材料、日化材料及特种化学品。公司生产的锂离子电池材料</t>
    </r>
    <r>
      <rPr>
        <b/>
        <sz val="9"/>
        <color theme="1"/>
        <rFont val="宋体"/>
        <family val="3"/>
        <charset val="134"/>
        <scheme val="minor"/>
      </rPr>
      <t>主要为锂离子电池电解液和正极材料磷酸铁锂</t>
    </r>
    <r>
      <rPr>
        <sz val="9"/>
        <color theme="1"/>
        <rFont val="宋体"/>
        <family val="3"/>
        <charset val="134"/>
        <scheme val="minor"/>
      </rPr>
      <t>，均为锂离子电池关键原材料。同时，围绕主要产品，公司还配套布局电解液和磷酸铁锂关键原料的生产能力，包括六氟磷酸锂、新型电解质、添加剂、磷酸铁以及锂辉石精矿等。
毛利32%，净利11%；2021营收增169%，利润增314%；2022Q1营收增230%，利润增422%；过往5年营收增53%，利润增682%；
2021：
锂离子电池材料 97.33亿 87.76% 90.38% 36.03%
日化材料及特种化学品 11.02亿 9.94% 9.54% 33.58%
其他 1.77亿 1.59% 0.21% 4.63%</t>
    </r>
    <phoneticPr fontId="1" type="noConversion"/>
  </si>
  <si>
    <t>公司主要业务是消费电池(包括锂原电池、小型锂离子电池)和动力电池(包括新能源汽车电池及其电池系统、储能电池)的研发、生产和销售。其主要产品为锂原电池、锂离子电池。
2021H1:
锂离子电池 57.06亿 86.98% 利润占比78.89% 22.95%
锂原电池 8.54亿 13.02% 利润占比21.11% 41.01%
国内外占比对半开；</t>
    <phoneticPr fontId="1" type="noConversion"/>
  </si>
  <si>
    <t>公司的主营业务是新型电子化学品及功能材料的研发、生产、销售和服务。主要产品包括电池化学品、有机氟化学品、电容化学品、半导体化学品四大系列。具体包括锂离子电池电解液、电解液添加剂、新型锂盐、碳酸酯溶剂、超级电容器化学品和一次锂电化学品。
市值353亿，利润13.07亿，pe17~27,pb4.88;毛利36%，净利17%；2021营收增135%，利润增152%；2022Q1营收增138%，利润增228%；过往5年营收增41%，利润增47%；
2021：
电池化学品 52.70亿 75.81% 67.57% 31.63%
电容化学品 7.12亿 10.24% 11.12% 38.54%
有机氟化学品 6.93亿 9.97% 17.96% 63.93%
半导体化学品 2.14亿 3.08% 2.49% 28.69%
其他 6272.44万 0.90% 0.86% 33.63%</t>
    <phoneticPr fontId="1" type="noConversion"/>
  </si>
  <si>
    <t>2021Q1营收利润大幅增加原因是并购了东莞超业精密设备公司。此公司和宁德新能源和宁德时代有业务往来。
公司的子公司超业精密主要为锂电池自动化生产设备制造（覆盖冲片，叠片，焊接，包装，注液，除气）；子公司大宇精雕主要是玻璃精雕，异形研磨，钻攻机。</t>
    <phoneticPr fontId="1" type="noConversion"/>
  </si>
  <si>
    <t>信德新材</t>
  </si>
  <si>
    <t>11.57亿</t>
  </si>
  <si>
    <t>8.29亿</t>
  </si>
  <si>
    <t>华宝新能</t>
  </si>
  <si>
    <t>帕瓦股份</t>
  </si>
  <si>
    <t>SH688392</t>
  </si>
  <si>
    <t>6925.16万</t>
  </si>
  <si>
    <t>8928.87万</t>
  </si>
  <si>
    <t>961.85万</t>
  </si>
  <si>
    <t>2370.54万</t>
  </si>
  <si>
    <t>-1.87亿</t>
  </si>
  <si>
    <t>8.36亿</t>
  </si>
  <si>
    <t>12.73亿</t>
  </si>
  <si>
    <t>6.49亿</t>
  </si>
  <si>
    <t>11.00亿</t>
  </si>
  <si>
    <t>8.60亿</t>
  </si>
  <si>
    <t>7.63亿</t>
  </si>
  <si>
    <t>-2.69亿</t>
  </si>
  <si>
    <t>9.05亿</t>
  </si>
  <si>
    <t>23.28亿</t>
  </si>
  <si>
    <t>20.20亿</t>
  </si>
  <si>
    <t>-1.67亿</t>
  </si>
  <si>
    <t>11.10亿</t>
  </si>
  <si>
    <t>7.92亿</t>
  </si>
  <si>
    <t>-2.39亿</t>
  </si>
  <si>
    <t>19.34亿</t>
  </si>
  <si>
    <t>-29.83亿</t>
  </si>
  <si>
    <t>32.03亿</t>
  </si>
  <si>
    <t>万润新能</t>
  </si>
  <si>
    <t>骄成超声</t>
  </si>
  <si>
    <t>23.01亿</t>
  </si>
  <si>
    <t>SZ001301</t>
  </si>
  <si>
    <t>尚太科技</t>
  </si>
  <si>
    <t>23.36亿</t>
  </si>
  <si>
    <t>8843.29万</t>
  </si>
  <si>
    <t>德新科技</t>
  </si>
  <si>
    <t>10派1元(含税)</t>
  </si>
  <si>
    <t>不分配不转增</t>
  </si>
  <si>
    <t>10派0.6元(含税)</t>
  </si>
  <si>
    <t>10派0.8元(含税)</t>
  </si>
  <si>
    <t>10派2元(含税)</t>
  </si>
  <si>
    <t>10派0.25元(含税)</t>
  </si>
  <si>
    <t>10派0.5元(含税)</t>
  </si>
  <si>
    <t>10派1.4元(含税)</t>
  </si>
  <si>
    <t>10.28亿</t>
  </si>
  <si>
    <t>10派3元(含税)</t>
  </si>
  <si>
    <t>10派1.2元(含税)</t>
  </si>
  <si>
    <t>10派2.2元(含税)</t>
  </si>
  <si>
    <t>10派1.5元(含税)</t>
  </si>
  <si>
    <t>10派0.4元(含税)</t>
  </si>
  <si>
    <t>10派5元(含税)</t>
  </si>
  <si>
    <t>10派4.5元(含税)</t>
  </si>
  <si>
    <t>10派6元(含税)</t>
  </si>
  <si>
    <t>6.11亿</t>
  </si>
  <si>
    <t>10派0.45元(含税)</t>
  </si>
  <si>
    <t>10转4股</t>
  </si>
  <si>
    <t>1-0</t>
  </si>
  <si>
    <t>-1-0</t>
  </si>
  <si>
    <t>1-1</t>
  </si>
  <si>
    <t>-1-1</t>
  </si>
  <si>
    <t>SZ301358</t>
  </si>
  <si>
    <t>湖南裕能</t>
  </si>
  <si>
    <t>3916.65万</t>
  </si>
  <si>
    <t>3-0</t>
  </si>
  <si>
    <t>2-0</t>
  </si>
  <si>
    <t>-2-0</t>
  </si>
  <si>
    <t>2-1</t>
  </si>
  <si>
    <t>-2-1</t>
  </si>
  <si>
    <t>3-1</t>
  </si>
  <si>
    <r>
      <t>1.问：公司目前产品情况？答：公司产品实现了Wh级到MWh级无缝覆盖，并可</t>
    </r>
    <r>
      <rPr>
        <sz val="9"/>
        <color rgb="FFFF0000"/>
        <rFont val="宋体"/>
        <family val="3"/>
        <charset val="134"/>
        <scheme val="minor"/>
      </rPr>
      <t>通过集装箱系统扩展至百MWh</t>
    </r>
    <r>
      <rPr>
        <sz val="9"/>
        <color theme="1"/>
        <rFont val="宋体"/>
        <family val="2"/>
        <charset val="134"/>
        <scheme val="minor"/>
      </rPr>
      <t>，能够覆盖从家庭到工商业再到电网、大型新能源发电站等各种场景，为用户提供全场景解决方案。主要产品通过国际IEC、欧盟CE、欧洲VDE、美国UL、澳洲CEC、日本JIS、联合国UN38.3等全球最主要的安全标准。2.问：公司能够在户用储能市场取得全球第二市占率的原因？与许多重量级玩家一起在储能领域竞争，公司长期的竞争力和壁垒？答：派能专注于储能市场，</t>
    </r>
    <r>
      <rPr>
        <sz val="9"/>
        <color rgb="FFFF0000"/>
        <rFont val="宋体"/>
        <family val="3"/>
        <charset val="134"/>
        <scheme val="minor"/>
      </rPr>
      <t>从电芯到BMS的整个系统都是自己做的</t>
    </r>
    <r>
      <rPr>
        <sz val="9"/>
        <color theme="1"/>
        <rFont val="宋体"/>
        <family val="2"/>
        <charset val="134"/>
        <scheme val="minor"/>
      </rPr>
      <t>，公司对产品的理解、在海外的品牌影响力等各方面构成了派能的优势。产品的打造需要多年的积累，公司能力也在持续进步，公司每年研发投入都有非常大幅的增长。</t>
    </r>
    <r>
      <rPr>
        <sz val="9"/>
        <color rgb="FFFF0000"/>
        <rFont val="宋体"/>
        <family val="3"/>
        <charset val="134"/>
        <scheme val="minor"/>
      </rPr>
      <t>公司是一个做产品的公司，核心能力是把产品做好、服务好客户</t>
    </r>
    <r>
      <rPr>
        <sz val="9"/>
        <color theme="1"/>
        <rFont val="宋体"/>
        <family val="2"/>
        <charset val="134"/>
        <scheme val="minor"/>
      </rPr>
      <t>。不管是什么公司，最终需要靠客户的体验评判。公司同时也具有一定的客户影响力、品牌影响力，基本上代表了中国储能企业的高水平。</t>
    </r>
    <r>
      <rPr>
        <sz val="9"/>
        <color theme="1"/>
        <rFont val="宋体"/>
        <family val="3"/>
        <charset val="134"/>
        <scheme val="minor"/>
      </rPr>
      <t>3.2022 年年底，公司推出大容量长寿命</t>
    </r>
    <r>
      <rPr>
        <sz val="9"/>
        <color rgb="FFFF0000"/>
        <rFont val="宋体"/>
        <family val="3"/>
        <charset val="134"/>
        <scheme val="minor"/>
      </rPr>
      <t>铝壳储能电池</t>
    </r>
    <r>
      <rPr>
        <sz val="9"/>
        <color theme="1"/>
        <rFont val="宋体"/>
        <family val="3"/>
        <charset val="134"/>
        <scheme val="minor"/>
      </rPr>
      <t>、</t>
    </r>
    <r>
      <rPr>
        <b/>
        <sz val="9"/>
        <color rgb="FFFF0000"/>
        <rFont val="宋体"/>
        <family val="3"/>
        <charset val="134"/>
        <scheme val="minor"/>
      </rPr>
      <t>钠离子电池</t>
    </r>
    <r>
      <rPr>
        <sz val="9"/>
        <color theme="1"/>
        <rFont val="宋体"/>
        <family val="3"/>
        <charset val="134"/>
        <scheme val="minor"/>
      </rPr>
      <t>及高能量密度储能系统并成功实现商用</t>
    </r>
    <phoneticPr fontId="1" type="noConversion"/>
  </si>
  <si>
    <t>175.53亿</t>
  </si>
  <si>
    <t>105.94亿</t>
  </si>
  <si>
    <t>217.49亿</t>
  </si>
  <si>
    <t>14.04亿</t>
  </si>
  <si>
    <t>29.24亿</t>
  </si>
  <si>
    <t>41.81亿</t>
  </si>
  <si>
    <t>10.98亿</t>
  </si>
  <si>
    <t>SZ000982</t>
  </si>
  <si>
    <t>中银绒业</t>
  </si>
  <si>
    <t>1027.72万</t>
  </si>
  <si>
    <t>4087.43万</t>
  </si>
  <si>
    <t>3301.55万</t>
  </si>
  <si>
    <t>-27.32亿</t>
  </si>
  <si>
    <t>35.06亿</t>
  </si>
  <si>
    <t>10.06亿</t>
  </si>
  <si>
    <t>47.82亿</t>
  </si>
  <si>
    <t>230.52亿</t>
  </si>
  <si>
    <t>21.00亿</t>
  </si>
  <si>
    <t>15.44亿</t>
  </si>
  <si>
    <t>-2.23亿</t>
  </si>
  <si>
    <t>62.85亿</t>
  </si>
  <si>
    <t>42.34亿</t>
  </si>
  <si>
    <t>67.58亿</t>
  </si>
  <si>
    <t>83.54亿</t>
  </si>
  <si>
    <t>3.00亿</t>
  </si>
  <si>
    <t>27.96亿</t>
  </si>
  <si>
    <t>8.63亿</t>
  </si>
  <si>
    <t>223.17亿</t>
  </si>
  <si>
    <t>57.14亿</t>
  </si>
  <si>
    <t>14.98亿</t>
  </si>
  <si>
    <t>40.78亿</t>
  </si>
  <si>
    <t>32.75亿</t>
  </si>
  <si>
    <t>10派2.7元(含税)</t>
  </si>
  <si>
    <t>10转4股派1元(含税)</t>
  </si>
  <si>
    <t>125.91亿</t>
  </si>
  <si>
    <t>40.00亿</t>
  </si>
  <si>
    <t>86.54亿</t>
  </si>
  <si>
    <t>11.83亿</t>
  </si>
  <si>
    <t>10.22亿</t>
  </si>
  <si>
    <t>363.04亿</t>
  </si>
  <si>
    <t>35.09亿</t>
  </si>
  <si>
    <t>52.57亿</t>
  </si>
  <si>
    <t>96.61亿</t>
  </si>
  <si>
    <t>17.58亿</t>
  </si>
  <si>
    <t>17.13亿</t>
  </si>
  <si>
    <t>117.49亿</t>
  </si>
  <si>
    <t>212.64亿</t>
  </si>
  <si>
    <t>22.59亿</t>
  </si>
  <si>
    <t>4.49亿</t>
  </si>
  <si>
    <t>-1.88亿</t>
  </si>
  <si>
    <t>14.11亿</t>
  </si>
  <si>
    <t>-3.05亿</t>
  </si>
  <si>
    <t>521.62亿</t>
  </si>
  <si>
    <t>21.11亿</t>
  </si>
  <si>
    <t>8.83亿</t>
  </si>
  <si>
    <t>39.62亿</t>
  </si>
  <si>
    <t>-4.60亿</t>
  </si>
  <si>
    <t>47.42亿</t>
  </si>
  <si>
    <t>19.14亿</t>
  </si>
  <si>
    <t>68.62亿</t>
  </si>
  <si>
    <t>8618.94万</t>
  </si>
  <si>
    <t>10.16亿</t>
  </si>
  <si>
    <t>90.67亿</t>
  </si>
  <si>
    <t>139.32亿</t>
  </si>
  <si>
    <t>23.18亿</t>
  </si>
  <si>
    <t>90.20亿</t>
  </si>
  <si>
    <t>29.62亿</t>
  </si>
  <si>
    <t>7.22亿</t>
  </si>
  <si>
    <t>SZ300530</t>
  </si>
  <si>
    <t>-2.37亿</t>
  </si>
  <si>
    <t>-5037.59万</t>
  </si>
  <si>
    <t>2949.15万</t>
  </si>
  <si>
    <t>5517.31万</t>
  </si>
  <si>
    <t>28.80亿</t>
  </si>
  <si>
    <t>23.30亿</t>
  </si>
  <si>
    <t>3285.94亿</t>
  </si>
  <si>
    <t>307.29亿</t>
  </si>
  <si>
    <t>225.57亿</t>
  </si>
  <si>
    <t>23.80亿</t>
  </si>
  <si>
    <t>6.79亿</t>
  </si>
  <si>
    <t>26.53亿</t>
  </si>
  <si>
    <t>14.08亿</t>
  </si>
  <si>
    <t>303.44亿</t>
  </si>
  <si>
    <t>57.52亿</t>
  </si>
  <si>
    <t>1100.00万</t>
  </si>
  <si>
    <t>10派7元(含税)</t>
  </si>
  <si>
    <t>13.53亿</t>
  </si>
  <si>
    <t>28.95亿</t>
  </si>
  <si>
    <t>26.68亿</t>
  </si>
  <si>
    <t>-9.27亿</t>
  </si>
  <si>
    <t>61.35亿</t>
  </si>
  <si>
    <t>427.90亿</t>
  </si>
  <si>
    <t>30.07亿</t>
  </si>
  <si>
    <t>70.68亿</t>
  </si>
  <si>
    <t>5525.50万</t>
  </si>
  <si>
    <t>1171.04万</t>
  </si>
  <si>
    <t>-1.35亿</t>
  </si>
  <si>
    <t>5123.62万</t>
  </si>
  <si>
    <t>37.86亿</t>
  </si>
  <si>
    <t>34.46亿</t>
  </si>
  <si>
    <t>-3268.32万</t>
  </si>
  <si>
    <t>36.26亿</t>
  </si>
  <si>
    <t>217.02亿</t>
  </si>
  <si>
    <t>134.25亿</t>
  </si>
  <si>
    <t>83.16亿</t>
  </si>
  <si>
    <t>33.83亿</t>
  </si>
  <si>
    <t>8160.87万</t>
  </si>
  <si>
    <t>14.89亿</t>
  </si>
  <si>
    <t>-1.38亿</t>
  </si>
  <si>
    <t>9.97亿</t>
  </si>
  <si>
    <t>12.96亿</t>
  </si>
  <si>
    <t>154.64亿</t>
  </si>
  <si>
    <t>31.04亿</t>
  </si>
  <si>
    <t>29.60亿</t>
  </si>
  <si>
    <t>SH603906</t>
  </si>
  <si>
    <t>龙蟠科技</t>
  </si>
  <si>
    <t>140.72亿</t>
  </si>
  <si>
    <t>40.54亿</t>
  </si>
  <si>
    <t>8183.28万</t>
  </si>
  <si>
    <t>9866.54万</t>
  </si>
  <si>
    <t>301.23亿</t>
  </si>
  <si>
    <t>60.13亿</t>
  </si>
  <si>
    <t>18.42亿</t>
  </si>
  <si>
    <t>18.05亿</t>
  </si>
  <si>
    <t>-9443.13万</t>
  </si>
  <si>
    <t>8355.54万</t>
  </si>
  <si>
    <t>123.51亿</t>
  </si>
  <si>
    <t>46.41亿</t>
  </si>
  <si>
    <t>42.04亿</t>
  </si>
  <si>
    <t>35.71亿</t>
  </si>
  <si>
    <t>115.88亿</t>
  </si>
  <si>
    <t>139.36亿</t>
  </si>
  <si>
    <t>109.74亿</t>
  </si>
  <si>
    <t>287.51亿</t>
  </si>
  <si>
    <t>159.24亿</t>
  </si>
  <si>
    <t>179.75亿</t>
  </si>
  <si>
    <t>418.82亿</t>
  </si>
  <si>
    <t>19.08亿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</si>
  <si>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</si>
  <si>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</si>
  <si>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</si>
  <si>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</si>
  <si>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</si>
  <si>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</si>
  <si>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</si>
  <si>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</si>
  <si>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</si>
  <si>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</si>
  <si>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</si>
  <si>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</si>
  <si>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</si>
  <si>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</si>
  <si>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</si>
  <si>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</si>
  <si>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</si>
  <si>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</si>
  <si>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</si>
  <si>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</si>
  <si>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</si>
  <si>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</si>
  <si>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</si>
  <si>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</si>
  <si>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</si>
  <si>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</si>
  <si>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</si>
  <si>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</si>
  <si>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</si>
  <si>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</si>
  <si>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</si>
  <si>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</si>
  <si>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</si>
  <si>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</si>
  <si>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</si>
  <si>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</si>
  <si>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</si>
  <si>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</si>
  <si>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</si>
  <si>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</si>
  <si>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</si>
  <si>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</si>
  <si>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</si>
  <si>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</si>
  <si>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</si>
  <si>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</si>
  <si>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</si>
  <si>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</si>
  <si>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</si>
  <si>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</si>
  <si>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</si>
  <si>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</si>
  <si>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</si>
  <si>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</si>
  <si>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</si>
  <si>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</si>
  <si>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</si>
  <si>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</si>
  <si>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</si>
  <si>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</si>
  <si>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</si>
  <si>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</si>
  <si>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</si>
  <si>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</si>
  <si>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</si>
  <si>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</si>
  <si>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</si>
  <si>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</si>
  <si>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</si>
  <si>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</si>
  <si>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</si>
  <si>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</si>
  <si>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</si>
  <si>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</si>
  <si>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</si>
  <si>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</si>
  <si>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</si>
  <si>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</si>
  <si>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</si>
  <si>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</si>
  <si>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</si>
  <si>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</si>
  <si>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</si>
  <si>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</si>
  <si>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</si>
  <si>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</si>
  <si>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</si>
  <si>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</si>
  <si>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</si>
  <si>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13.89亿</t>
  </si>
  <si>
    <t>9.87亿</t>
  </si>
  <si>
    <t>6.87亿</t>
  </si>
  <si>
    <t>2.08亿</t>
  </si>
  <si>
    <t>293.92亿</t>
  </si>
  <si>
    <t>17.38亿</t>
  </si>
  <si>
    <t>7.58亿</t>
  </si>
  <si>
    <t>51.06亿</t>
  </si>
  <si>
    <t>10.41亿</t>
  </si>
  <si>
    <t>21.57亿</t>
  </si>
  <si>
    <t>5.25亿</t>
  </si>
  <si>
    <t>11.28亿</t>
  </si>
  <si>
    <t>32.64亿</t>
  </si>
  <si>
    <t>8.57亿</t>
  </si>
  <si>
    <t>16.80亿</t>
  </si>
  <si>
    <t>-1.03亿</t>
  </si>
  <si>
    <t>7.23亿</t>
  </si>
  <si>
    <t>15.08亿</t>
  </si>
  <si>
    <t>47.09亿</t>
  </si>
  <si>
    <t>12.37亿</t>
  </si>
  <si>
    <t>15.87亿</t>
  </si>
  <si>
    <t>-1.10亿</t>
  </si>
  <si>
    <t>SH603959</t>
  </si>
  <si>
    <t>32.20亿</t>
  </si>
  <si>
    <t>858.85万</t>
  </si>
  <si>
    <t>2932.50万</t>
  </si>
  <si>
    <t>2364.62万</t>
  </si>
  <si>
    <t>-6.26亿</t>
  </si>
  <si>
    <t>23.26亿</t>
  </si>
  <si>
    <t>4-0</t>
  </si>
  <si>
    <t>SZ301325</t>
  </si>
  <si>
    <t>曼恩斯特</t>
  </si>
  <si>
    <t>3289.80万</t>
  </si>
  <si>
    <t>9516.76万</t>
  </si>
  <si>
    <t>6024.71万</t>
  </si>
  <si>
    <t>5907.46万</t>
  </si>
  <si>
    <t>989.16万</t>
  </si>
  <si>
    <t>-3-0</t>
  </si>
  <si>
    <t>4-1</t>
  </si>
  <si>
    <t>SZ301210</t>
  </si>
  <si>
    <t>金杨股份</t>
  </si>
  <si>
    <t>SZ301217</t>
  </si>
  <si>
    <t>铜冠铜箔</t>
  </si>
  <si>
    <t>38.75亿</t>
  </si>
  <si>
    <t>40.82亿</t>
  </si>
  <si>
    <t>24.60亿</t>
  </si>
  <si>
    <t>24.00亿</t>
  </si>
  <si>
    <t>24.11亿</t>
  </si>
  <si>
    <t>7171.31万</t>
  </si>
  <si>
    <t>9690.49万</t>
  </si>
  <si>
    <t>SZ301292</t>
  </si>
  <si>
    <t>海科新源</t>
  </si>
  <si>
    <t>30.29亿</t>
  </si>
  <si>
    <t>10.68亿</t>
  </si>
  <si>
    <t>3.95亿</t>
  </si>
  <si>
    <t>SH688638</t>
  </si>
  <si>
    <t>誉辰智能</t>
  </si>
  <si>
    <t>-3-1</t>
  </si>
  <si>
    <t>19.67亿</t>
  </si>
  <si>
    <t>13.66亿</t>
  </si>
  <si>
    <t>-1.77亿</t>
  </si>
  <si>
    <t>10.76亿</t>
  </si>
  <si>
    <t>10.11亿</t>
  </si>
  <si>
    <t>-3.90亿</t>
  </si>
  <si>
    <t>12.38亿</t>
  </si>
  <si>
    <t>-1.24亿</t>
  </si>
  <si>
    <t>2510.60万</t>
  </si>
  <si>
    <t>61.29亿</t>
  </si>
  <si>
    <t>10.66亿</t>
  </si>
  <si>
    <t>51.23亿</t>
  </si>
  <si>
    <t>63.81亿</t>
  </si>
  <si>
    <t>12.30亿</t>
  </si>
  <si>
    <t>15.51亿</t>
  </si>
  <si>
    <t>16.72亿</t>
  </si>
  <si>
    <t>15.52亿</t>
  </si>
  <si>
    <t>23.77亿</t>
  </si>
  <si>
    <t>9.32亿</t>
  </si>
  <si>
    <t>79.87亿</t>
  </si>
  <si>
    <t>5.04亿</t>
  </si>
  <si>
    <t>10.84亿</t>
  </si>
  <si>
    <t>13.99亿</t>
  </si>
  <si>
    <t>32.07亿</t>
  </si>
  <si>
    <t>16.47亿</t>
  </si>
  <si>
    <t>56.35亿</t>
  </si>
  <si>
    <t>14.27亿</t>
  </si>
  <si>
    <t>4.97亿</t>
  </si>
  <si>
    <t>10.49亿</t>
  </si>
  <si>
    <t>13.45亿</t>
  </si>
  <si>
    <t>32.34亿</t>
  </si>
  <si>
    <t>-4.29亿</t>
  </si>
  <si>
    <t>22.25亿</t>
  </si>
  <si>
    <t>领湃科技</t>
  </si>
  <si>
    <t>5.91亿</t>
  </si>
  <si>
    <t>-7.17亿</t>
  </si>
  <si>
    <t>7.61亿</t>
  </si>
  <si>
    <t>5.88亿</t>
  </si>
  <si>
    <t>14.36亿</t>
  </si>
  <si>
    <t>300.00万</t>
  </si>
  <si>
    <t>14.07亿</t>
  </si>
  <si>
    <t>13.02亿</t>
  </si>
  <si>
    <t>6843.15万</t>
  </si>
  <si>
    <t>-2671.60万</t>
  </si>
  <si>
    <t>4062.09万</t>
  </si>
  <si>
    <t>11.33亿</t>
  </si>
  <si>
    <t>30.72亿</t>
  </si>
  <si>
    <t>16.60亿</t>
  </si>
  <si>
    <t>5942.29万</t>
  </si>
  <si>
    <t>20.02亿</t>
  </si>
  <si>
    <t>100.00万</t>
  </si>
  <si>
    <t>SZ301487</t>
  </si>
  <si>
    <t>盟固利</t>
  </si>
  <si>
    <t>9232.86万</t>
  </si>
  <si>
    <t>12.08亿</t>
  </si>
  <si>
    <t>28.27亿</t>
  </si>
  <si>
    <t>7995.46万</t>
  </si>
  <si>
    <t>-793.75万</t>
  </si>
  <si>
    <t>8241.42万</t>
  </si>
  <si>
    <t>SZ301511</t>
  </si>
  <si>
    <t>德福科技</t>
  </si>
  <si>
    <t>39.86亿</t>
  </si>
  <si>
    <t>1829.16万</t>
  </si>
  <si>
    <t>1935.56万</t>
  </si>
  <si>
    <t>5942.09万</t>
  </si>
  <si>
    <t>时代万恒</t>
  </si>
  <si>
    <t>6.94亿</t>
  </si>
  <si>
    <t>7.82亿</t>
  </si>
  <si>
    <t>65.31亿</t>
  </si>
  <si>
    <t>24.48亿</t>
  </si>
  <si>
    <t>7.64亿</t>
  </si>
  <si>
    <t>6.48亿</t>
  </si>
  <si>
    <t>-1.40亿</t>
  </si>
  <si>
    <t>12.68亿</t>
  </si>
  <si>
    <t>5.00万</t>
  </si>
  <si>
    <t>24.49亿</t>
  </si>
  <si>
    <t>19.22亿</t>
  </si>
  <si>
    <t>SH688573</t>
  </si>
  <si>
    <t>信宇人</t>
  </si>
  <si>
    <t>6045.31万</t>
  </si>
  <si>
    <t>1422.79万</t>
  </si>
  <si>
    <t>-2560.93万</t>
  </si>
  <si>
    <t>5423.10万</t>
  </si>
  <si>
    <t>3668.98万</t>
  </si>
  <si>
    <t>1361.75万</t>
  </si>
  <si>
    <t>9.07亿</t>
  </si>
  <si>
    <t>10.56亿</t>
  </si>
  <si>
    <t>10.62亿</t>
  </si>
  <si>
    <t>27.41亿</t>
  </si>
  <si>
    <t>72.66亿</t>
  </si>
  <si>
    <t>7.34亿</t>
  </si>
  <si>
    <t>6.59亿</t>
  </si>
  <si>
    <t>19.07亿</t>
  </si>
  <si>
    <t>28.91亿</t>
  </si>
  <si>
    <t>19.47亿</t>
  </si>
  <si>
    <t>49.94亿</t>
  </si>
  <si>
    <t>16.34亿</t>
  </si>
  <si>
    <t>-2.31亿</t>
  </si>
  <si>
    <t>34.15亿</t>
  </si>
  <si>
    <t>14.53亿</t>
  </si>
  <si>
    <t>-1.74亿</t>
  </si>
  <si>
    <t>-4.55亿</t>
  </si>
  <si>
    <t>-1.18亿</t>
  </si>
  <si>
    <t>28.79亿</t>
  </si>
  <si>
    <t>27.84亿</t>
  </si>
  <si>
    <t>22.18亿</t>
  </si>
  <si>
    <t>12.01亿</t>
  </si>
  <si>
    <t>-2.04亿</t>
  </si>
  <si>
    <t>10.40亿</t>
  </si>
  <si>
    <t>17.30亿</t>
  </si>
  <si>
    <t>12.67亿</t>
  </si>
  <si>
    <t>12.14亿</t>
  </si>
  <si>
    <t>6.75亿</t>
  </si>
  <si>
    <t>-1.02亿</t>
  </si>
  <si>
    <t>7.65亿</t>
  </si>
  <si>
    <t>20.93亿</t>
  </si>
  <si>
    <t>18.92亿</t>
  </si>
  <si>
    <t>18.88亿</t>
  </si>
  <si>
    <t>14.22亿</t>
  </si>
  <si>
    <t>12.82亿</t>
  </si>
  <si>
    <t>7.08亿</t>
  </si>
  <si>
    <t>27.77亿</t>
  </si>
  <si>
    <t>1284.13万</t>
  </si>
  <si>
    <t>14.56亿</t>
  </si>
  <si>
    <t>-2.21亿</t>
  </si>
  <si>
    <t>31.61亿</t>
  </si>
  <si>
    <t>-2.43亿</t>
  </si>
  <si>
    <t>11.46亿</t>
  </si>
  <si>
    <t>9.62亿</t>
  </si>
  <si>
    <t>24.63亿</t>
  </si>
  <si>
    <t>4.34亿</t>
  </si>
  <si>
    <t>11.86亿</t>
  </si>
  <si>
    <t>41.87亿</t>
  </si>
  <si>
    <t>46.42亿</t>
  </si>
  <si>
    <t>40.56亿</t>
  </si>
  <si>
    <t>14.74亿</t>
  </si>
  <si>
    <t>21.02亿</t>
  </si>
  <si>
    <t>-2.18亿</t>
  </si>
  <si>
    <t>37.65亿</t>
  </si>
  <si>
    <t>-1.93亿</t>
  </si>
  <si>
    <t>23.60亿</t>
  </si>
  <si>
    <t>37.53亿</t>
  </si>
  <si>
    <t>14.25亿</t>
  </si>
  <si>
    <t>-4-1</t>
  </si>
  <si>
    <t>&lt;-折合年化收益</t>
    <phoneticPr fontId="1" type="noConversion"/>
  </si>
  <si>
    <t>&lt;-增速</t>
    <phoneticPr fontId="1" type="noConversion"/>
  </si>
  <si>
    <t>&lt;-估值</t>
    <phoneticPr fontId="1" type="noConversion"/>
  </si>
  <si>
    <t>未来</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</si>
  <si>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</si>
  <si>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</si>
  <si>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</si>
  <si>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</si>
  <si>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</si>
  <si>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-6-1</t>
  </si>
  <si>
    <t>SZ301587</t>
  </si>
  <si>
    <t>中瑞股份</t>
  </si>
  <si>
    <t>SZ000695</t>
  </si>
  <si>
    <t>滨海能源</t>
  </si>
  <si>
    <t>5.35亿</t>
  </si>
  <si>
    <t>-5695.64万</t>
  </si>
  <si>
    <t>-1651.62万</t>
  </si>
  <si>
    <t>1332.95万</t>
  </si>
  <si>
    <t>3651.43万</t>
  </si>
  <si>
    <r>
      <t>0。碳纳米管具有良好的力学（强度和韧性，比钢硬100倍，密度只有1/6），电学（导电仅次于超导），热学（最好的导热材料），化学稳定性(耐酸耐碱性)1.1.目前国内从事碳纳米管及相关产品业务的公司主要有</t>
    </r>
    <r>
      <rPr>
        <sz val="9"/>
        <color rgb="FFFF0000"/>
        <rFont val="宋体"/>
        <family val="3"/>
        <charset val="134"/>
        <scheme val="minor"/>
      </rPr>
      <t>三顺纳米</t>
    </r>
    <r>
      <rPr>
        <sz val="9"/>
        <color theme="1"/>
        <rFont val="宋体"/>
        <family val="2"/>
        <charset val="134"/>
        <scheme val="minor"/>
      </rPr>
      <t>、</t>
    </r>
    <r>
      <rPr>
        <sz val="9"/>
        <color rgb="FFFF0000"/>
        <rFont val="宋体"/>
        <family val="3"/>
        <charset val="134"/>
        <scheme val="minor"/>
      </rPr>
      <t>青岛昊鑫</t>
    </r>
    <r>
      <rPr>
        <sz val="9"/>
        <color theme="1"/>
        <rFont val="宋体"/>
        <family val="2"/>
        <charset val="134"/>
        <scheme val="minor"/>
      </rPr>
      <t>、集越纳米、</t>
    </r>
    <r>
      <rPr>
        <sz val="9"/>
        <color rgb="FFFF0000"/>
        <rFont val="宋体"/>
        <family val="3"/>
        <charset val="134"/>
        <scheme val="minor"/>
      </rPr>
      <t>德方纳米</t>
    </r>
    <r>
      <rPr>
        <sz val="9"/>
        <color theme="1"/>
        <rFont val="宋体"/>
        <family val="2"/>
        <charset val="134"/>
        <scheme val="minor"/>
      </rPr>
      <t>、无锡东恒、金百纳、纳米港等公司。其中德方纳米为创业板上市公司、青岛昊鑫为上市公司道氏技术子公司、三顺纳米于 2017年12月19日向证监会报送招股说明书并进行了预披露，其他同行业公司数据暂未公布。</t>
    </r>
    <phoneticPr fontId="1" type="noConversion"/>
  </si>
  <si>
    <t>1.公司是中国最大的碳纳米管生产企业之一，在碳纳米管及其相关复合材料领域处于行业领先水平。2.硅基负极的导电性能比天然石墨和人造石墨等石墨类负极材料要差，因此需要添加高性能导电剂来提升其导电性能。3.800V 高压平台使用碳纳米管提升电池导电性能，利于电池快充快放。</t>
    <phoneticPr fontId="1" type="noConversion"/>
  </si>
  <si>
    <t>5-0</t>
  </si>
  <si>
    <t>-7-1</t>
  </si>
  <si>
    <t>28.13亿</t>
  </si>
  <si>
    <t>24.66亿</t>
  </si>
  <si>
    <t>24.56亿</t>
  </si>
  <si>
    <t>11.51亿</t>
  </si>
  <si>
    <t>290.77亿</t>
  </si>
  <si>
    <t>50.00亿</t>
  </si>
  <si>
    <t>306.97亿</t>
  </si>
  <si>
    <t>11.82亿</t>
  </si>
  <si>
    <t>-98962411亿</t>
  </si>
  <si>
    <t>104817591亿</t>
  </si>
  <si>
    <t>4494286400亿</t>
  </si>
  <si>
    <t>30337636000亿</t>
  </si>
  <si>
    <t>319.99亿</t>
  </si>
  <si>
    <t>82.28亿</t>
  </si>
  <si>
    <t>101.23亿</t>
  </si>
  <si>
    <t>202.85亿</t>
  </si>
  <si>
    <t>6112996亿</t>
  </si>
  <si>
    <t>32997532亿</t>
  </si>
  <si>
    <t>3661435900亿</t>
  </si>
  <si>
    <t>10731700600亿</t>
  </si>
  <si>
    <t>42.88亿</t>
  </si>
  <si>
    <t>7355.42万</t>
  </si>
  <si>
    <t>-1810.90万</t>
  </si>
  <si>
    <t>-894485亿</t>
  </si>
  <si>
    <t>142451470亿</t>
  </si>
  <si>
    <t>410128940亿</t>
  </si>
  <si>
    <t>1101.58万</t>
  </si>
  <si>
    <t>9574.04万</t>
  </si>
  <si>
    <t>-2364.40万</t>
  </si>
  <si>
    <t>-1.17亿</t>
  </si>
  <si>
    <t>11.91亿</t>
  </si>
  <si>
    <t>15.43亿</t>
  </si>
  <si>
    <t>4892.26万</t>
  </si>
  <si>
    <t>372083亿</t>
  </si>
  <si>
    <t>-9289236亿</t>
  </si>
  <si>
    <t>80081154亿</t>
  </si>
  <si>
    <t>932196400亿</t>
  </si>
  <si>
    <t>745.94万</t>
  </si>
  <si>
    <t>34.70亿</t>
  </si>
  <si>
    <t>-3.89亿</t>
  </si>
  <si>
    <t>59.92亿</t>
  </si>
  <si>
    <t>25.62亿</t>
  </si>
  <si>
    <t>45.41亿</t>
  </si>
  <si>
    <t>5029.78万</t>
  </si>
  <si>
    <t>385926亿</t>
  </si>
  <si>
    <t>-1954105亿</t>
  </si>
  <si>
    <t>1262174100亿</t>
  </si>
  <si>
    <t>4115278000亿</t>
  </si>
  <si>
    <t>146.46万</t>
  </si>
  <si>
    <t>10派4.8元(含税)</t>
  </si>
  <si>
    <t>43.91亿</t>
  </si>
  <si>
    <t>5211351亿</t>
  </si>
  <si>
    <t>143149690亿</t>
  </si>
  <si>
    <t>1417882600亿</t>
  </si>
  <si>
    <t>4839474800亿</t>
  </si>
  <si>
    <t>10派8元(含税)</t>
  </si>
  <si>
    <t>42.33亿</t>
  </si>
  <si>
    <t>672.97亿</t>
  </si>
  <si>
    <t>75.08亿</t>
  </si>
  <si>
    <t>316.05亿</t>
  </si>
  <si>
    <t>9543553亿</t>
  </si>
  <si>
    <t>10603410亿</t>
  </si>
  <si>
    <t>15875236000亿</t>
  </si>
  <si>
    <t>44543434000亿</t>
  </si>
  <si>
    <t>71.77亿</t>
  </si>
  <si>
    <t>7560.95万</t>
  </si>
  <si>
    <t>29.33亿</t>
  </si>
  <si>
    <t>10.44亿</t>
  </si>
  <si>
    <t>21.79亿</t>
  </si>
  <si>
    <t>21.63亿</t>
  </si>
  <si>
    <t>10094231亿</t>
  </si>
  <si>
    <t>48281817亿</t>
  </si>
  <si>
    <t>315817720亿</t>
  </si>
  <si>
    <t>1535264800亿</t>
  </si>
  <si>
    <t>348.00万</t>
  </si>
  <si>
    <t>-2.54亿</t>
  </si>
  <si>
    <t>4044.47万</t>
  </si>
  <si>
    <t>10派1.68元(含税)</t>
  </si>
  <si>
    <t>554.86万</t>
  </si>
  <si>
    <t>12.35亿</t>
  </si>
  <si>
    <t>-2.36亿</t>
  </si>
  <si>
    <t>42.27亿</t>
  </si>
  <si>
    <t>52.22亿</t>
  </si>
  <si>
    <t>14531813亿</t>
  </si>
  <si>
    <t>48451267亿</t>
  </si>
  <si>
    <t>1264715320亿</t>
  </si>
  <si>
    <t>5270418600亿</t>
  </si>
  <si>
    <t>-1254.96万</t>
  </si>
  <si>
    <t>10派0.15元(含税)</t>
  </si>
  <si>
    <t>33.63亿</t>
  </si>
  <si>
    <t>9.37亿</t>
  </si>
  <si>
    <t>22.38亿</t>
  </si>
  <si>
    <t>87.09亿</t>
  </si>
  <si>
    <t>3196950亿</t>
  </si>
  <si>
    <t>78934514亿</t>
  </si>
  <si>
    <t>3326566100亿</t>
  </si>
  <si>
    <t>7796110100亿</t>
  </si>
  <si>
    <t>-11.16亿</t>
  </si>
  <si>
    <t>18.25亿</t>
  </si>
  <si>
    <t>309.29亿</t>
  </si>
  <si>
    <t>305.29亿</t>
  </si>
  <si>
    <t>-3292951亿</t>
  </si>
  <si>
    <t>378679540亿</t>
  </si>
  <si>
    <t>7382929900亿</t>
  </si>
  <si>
    <t>24837265000亿</t>
  </si>
  <si>
    <t>9.65亿</t>
  </si>
  <si>
    <t>29.20亿</t>
  </si>
  <si>
    <t>19.12亿</t>
  </si>
  <si>
    <t>8.09亿</t>
  </si>
  <si>
    <t>19.82亿</t>
  </si>
  <si>
    <t>5.45亿</t>
  </si>
  <si>
    <t>5000000亿</t>
  </si>
  <si>
    <t>43709144亿</t>
  </si>
  <si>
    <t>876093590亿</t>
  </si>
  <si>
    <t>2159776300亿</t>
  </si>
  <si>
    <t>4557.25万</t>
  </si>
  <si>
    <t>10派0.57元(含税)</t>
  </si>
  <si>
    <t>32.01亿</t>
  </si>
  <si>
    <t>41.35亿</t>
  </si>
  <si>
    <t>-2.05亿</t>
  </si>
  <si>
    <t>103.97亿</t>
  </si>
  <si>
    <t>154.05亿</t>
  </si>
  <si>
    <t>11439588亿</t>
  </si>
  <si>
    <t>100665882亿</t>
  </si>
  <si>
    <t>22.90亿</t>
  </si>
  <si>
    <t>3631718200亿</t>
  </si>
  <si>
    <t>9925468300亿</t>
  </si>
  <si>
    <t>43.14亿</t>
  </si>
  <si>
    <t>-2223733亿</t>
  </si>
  <si>
    <t>16701909亿</t>
  </si>
  <si>
    <t>983523400亿</t>
  </si>
  <si>
    <t>3209129200亿</t>
  </si>
  <si>
    <t>3506.66万</t>
  </si>
  <si>
    <t>26.00亿</t>
  </si>
  <si>
    <t>21.93亿</t>
  </si>
  <si>
    <t>3664.09万</t>
  </si>
  <si>
    <t>-75458亿</t>
  </si>
  <si>
    <t>-95552142亿</t>
  </si>
  <si>
    <t>383518160亿</t>
  </si>
  <si>
    <t>2876427100亿</t>
  </si>
  <si>
    <t>1001.57万</t>
  </si>
  <si>
    <t>-297059亿</t>
  </si>
  <si>
    <t>-41518840亿</t>
  </si>
  <si>
    <t>804350830亿</t>
  </si>
  <si>
    <t>1975465600亿</t>
  </si>
  <si>
    <t>185.19亿</t>
  </si>
  <si>
    <t>120.42亿</t>
  </si>
  <si>
    <t>75.35亿</t>
  </si>
  <si>
    <t>5584546亿</t>
  </si>
  <si>
    <t>149108730亿</t>
  </si>
  <si>
    <t>5842396300亿</t>
  </si>
  <si>
    <t>15499735000亿</t>
  </si>
  <si>
    <t>25.68亿</t>
  </si>
  <si>
    <t>67.11亿</t>
  </si>
  <si>
    <t>105.11亿</t>
  </si>
  <si>
    <t>25.09亿</t>
  </si>
  <si>
    <t>-12806419亿</t>
  </si>
  <si>
    <t>295249060亿</t>
  </si>
  <si>
    <t>2443001500亿</t>
  </si>
  <si>
    <t>9048147000亿</t>
  </si>
  <si>
    <t>10派15元(含税)</t>
  </si>
  <si>
    <t>8.16亿</t>
  </si>
  <si>
    <t>12.76亿</t>
  </si>
  <si>
    <t>39.32亿</t>
  </si>
  <si>
    <t>7.11亿</t>
  </si>
  <si>
    <t>9.64亿</t>
  </si>
  <si>
    <t>12.27亿</t>
  </si>
  <si>
    <t>30.88亿</t>
  </si>
  <si>
    <t>57.48亿</t>
  </si>
  <si>
    <t>563.50亿</t>
  </si>
  <si>
    <t>93.17亿</t>
  </si>
  <si>
    <t>487.84亿</t>
  </si>
  <si>
    <t>40.50亿</t>
  </si>
  <si>
    <t>145742570亿</t>
  </si>
  <si>
    <t>701283490亿</t>
  </si>
  <si>
    <t>12086041700亿</t>
  </si>
  <si>
    <t>38355098000亿</t>
  </si>
  <si>
    <t>111.86亿</t>
  </si>
  <si>
    <t>49.08亿</t>
  </si>
  <si>
    <t>4170.62万</t>
  </si>
  <si>
    <t>6021101亿</t>
  </si>
  <si>
    <t>32622166亿</t>
  </si>
  <si>
    <t>1747805200亿</t>
  </si>
  <si>
    <t>5716601500亿</t>
  </si>
  <si>
    <t>79.92亿</t>
  </si>
  <si>
    <t>74.84亿</t>
  </si>
  <si>
    <t>2004267亿</t>
  </si>
  <si>
    <t>183680980亿</t>
  </si>
  <si>
    <t>38.46亿</t>
  </si>
  <si>
    <t>1872238000亿</t>
  </si>
  <si>
    <t>8481694000亿</t>
  </si>
  <si>
    <t>24.95亿</t>
  </si>
  <si>
    <t>7.75亿</t>
  </si>
  <si>
    <t>129.06亿</t>
  </si>
  <si>
    <t>29.83亿</t>
  </si>
  <si>
    <t>146.66亿</t>
  </si>
  <si>
    <t>3597.60万</t>
  </si>
  <si>
    <t>33955367亿</t>
  </si>
  <si>
    <t>34183733亿</t>
  </si>
  <si>
    <t>3971124900亿</t>
  </si>
  <si>
    <t>12478355000亿</t>
  </si>
  <si>
    <t>41.97亿</t>
  </si>
  <si>
    <t>10派0.65元(含税)</t>
  </si>
  <si>
    <t>151.27亿</t>
  </si>
  <si>
    <t>19.24亿</t>
  </si>
  <si>
    <t>3225732亿</t>
  </si>
  <si>
    <t>104224406亿</t>
  </si>
  <si>
    <t>2356225100亿</t>
  </si>
  <si>
    <t>11674145900亿</t>
  </si>
  <si>
    <t>46.92亿</t>
  </si>
  <si>
    <t>10派7.52元(含税)</t>
  </si>
  <si>
    <t>9.30亿</t>
  </si>
  <si>
    <t>9.38亿</t>
  </si>
  <si>
    <t>-3.62亿</t>
  </si>
  <si>
    <t>*ST保力</t>
  </si>
  <si>
    <t>2572.55万</t>
  </si>
  <si>
    <t>6463390亿</t>
  </si>
  <si>
    <t>-29280609亿</t>
  </si>
  <si>
    <t>30173759亿</t>
  </si>
  <si>
    <t>224200290亿</t>
  </si>
  <si>
    <t>3637.80万</t>
  </si>
  <si>
    <t>-910.59万</t>
  </si>
  <si>
    <t>33.46亿</t>
  </si>
  <si>
    <t>7013.90万</t>
  </si>
  <si>
    <t>37322579亿</t>
  </si>
  <si>
    <t>4267051亿</t>
  </si>
  <si>
    <t>480020250亿</t>
  </si>
  <si>
    <t>3210604400亿</t>
  </si>
  <si>
    <t>691.79万</t>
  </si>
  <si>
    <t>11.19亿</t>
  </si>
  <si>
    <t>468.17亿</t>
  </si>
  <si>
    <t>109.75亿</t>
  </si>
  <si>
    <t>478.62亿</t>
  </si>
  <si>
    <t>-4588449亿</t>
  </si>
  <si>
    <t>279028420亿</t>
  </si>
  <si>
    <t>11464024900亿</t>
  </si>
  <si>
    <t>40745466000亿</t>
  </si>
  <si>
    <t>104.78亿</t>
  </si>
  <si>
    <t>-1.65亿</t>
  </si>
  <si>
    <t>37.76亿</t>
  </si>
  <si>
    <t>8.44万</t>
  </si>
  <si>
    <t>-5.19亿</t>
  </si>
  <si>
    <t>28.21亿</t>
  </si>
  <si>
    <t>16428194亿</t>
  </si>
  <si>
    <t>-11561075亿</t>
  </si>
  <si>
    <t>847680830亿</t>
  </si>
  <si>
    <t>2779765800亿</t>
  </si>
  <si>
    <t>-2209.85万</t>
  </si>
  <si>
    <t>13.93亿</t>
  </si>
  <si>
    <t>11.26亿</t>
  </si>
  <si>
    <t>77.69亿</t>
  </si>
  <si>
    <t>72.96亿</t>
  </si>
  <si>
    <t>-2789.40万</t>
  </si>
  <si>
    <t>162075亿</t>
  </si>
  <si>
    <t>9756695亿</t>
  </si>
  <si>
    <t>1590601200亿</t>
  </si>
  <si>
    <t>8674717200亿</t>
  </si>
  <si>
    <t>-3647.35万</t>
  </si>
  <si>
    <t>-223255亿</t>
  </si>
  <si>
    <t>-14150292亿</t>
  </si>
  <si>
    <t>486129840亿</t>
  </si>
  <si>
    <t>1311011750亿</t>
  </si>
  <si>
    <t>-3101.40万</t>
  </si>
  <si>
    <t>100.52亿</t>
  </si>
  <si>
    <t>69.32亿</t>
  </si>
  <si>
    <t>4310.20万</t>
  </si>
  <si>
    <t>-486547亿</t>
  </si>
  <si>
    <t>4312520亿</t>
  </si>
  <si>
    <t>1906157200亿</t>
  </si>
  <si>
    <t>8460046000亿</t>
  </si>
  <si>
    <t>234.46亿</t>
  </si>
  <si>
    <t>166.28亿</t>
  </si>
  <si>
    <t>17.75亿</t>
  </si>
  <si>
    <t>-4377440亿</t>
  </si>
  <si>
    <t>551097250亿</t>
  </si>
  <si>
    <t>11683505200亿</t>
  </si>
  <si>
    <t>32364707000亿</t>
  </si>
  <si>
    <t>32.74亿</t>
  </si>
  <si>
    <t>10派3.43元(含税)</t>
  </si>
  <si>
    <t>110.42亿</t>
  </si>
  <si>
    <t>18.66亿</t>
  </si>
  <si>
    <t>97.50亿</t>
  </si>
  <si>
    <t>95600亿</t>
  </si>
  <si>
    <t>157242100亿</t>
  </si>
  <si>
    <t>5700911300亿</t>
  </si>
  <si>
    <t>13700195000亿</t>
  </si>
  <si>
    <t>10派1.75元(含税)</t>
  </si>
  <si>
    <t>73.78亿</t>
  </si>
  <si>
    <t>7510亿</t>
  </si>
  <si>
    <t>-60450840亿</t>
  </si>
  <si>
    <t>1267937200亿</t>
  </si>
  <si>
    <t>3771696600亿</t>
  </si>
  <si>
    <t>719.28万</t>
  </si>
  <si>
    <t>-1420.80万</t>
  </si>
  <si>
    <t>-1.80亿</t>
  </si>
  <si>
    <t>735933亿</t>
  </si>
  <si>
    <t>811843亿</t>
  </si>
  <si>
    <t>1549169700亿</t>
  </si>
  <si>
    <t>4066040400亿</t>
  </si>
  <si>
    <t>-3196.50万</t>
  </si>
  <si>
    <t>8.84亿</t>
  </si>
  <si>
    <t>3953.34万</t>
  </si>
  <si>
    <t>-2374816亿</t>
  </si>
  <si>
    <t>-31640733亿</t>
  </si>
  <si>
    <t>75359395亿</t>
  </si>
  <si>
    <t>752687530亿</t>
  </si>
  <si>
    <t>3559.64万</t>
  </si>
  <si>
    <t>-4476.83万</t>
  </si>
  <si>
    <t>30.13亿</t>
  </si>
  <si>
    <t>3199037亿</t>
  </si>
  <si>
    <t>96929311亿</t>
  </si>
  <si>
    <t>1474337900亿</t>
  </si>
  <si>
    <t>7858964200亿</t>
  </si>
  <si>
    <t>17.47亿</t>
  </si>
  <si>
    <t>-3.78亿</t>
  </si>
  <si>
    <t>28.87亿</t>
  </si>
  <si>
    <t>22.52亿</t>
  </si>
  <si>
    <t>9371.40万</t>
  </si>
  <si>
    <t>-319575亿</t>
  </si>
  <si>
    <t>-15958846亿</t>
  </si>
  <si>
    <t>973259610亿</t>
  </si>
  <si>
    <t>2975611400亿</t>
  </si>
  <si>
    <t>6657.37万</t>
  </si>
  <si>
    <t>2128.76万</t>
  </si>
  <si>
    <t>10转3股派2.73元(含税)</t>
  </si>
  <si>
    <t>-3219641亿</t>
  </si>
  <si>
    <t>-33920471亿</t>
  </si>
  <si>
    <t>567400240亿</t>
  </si>
  <si>
    <t>1413750600亿</t>
  </si>
  <si>
    <t>6618.15万</t>
  </si>
  <si>
    <t>905.23万</t>
  </si>
  <si>
    <t>-3337.39万</t>
  </si>
  <si>
    <t>14.23亿</t>
  </si>
  <si>
    <t>4972.85亿</t>
  </si>
  <si>
    <t>797.71亿</t>
  </si>
  <si>
    <t>4009.17亿</t>
  </si>
  <si>
    <t>441.21亿</t>
  </si>
  <si>
    <t>817635400亿</t>
  </si>
  <si>
    <t>9247438700亿</t>
  </si>
  <si>
    <t>51186897000亿</t>
  </si>
  <si>
    <t>459955990000亿</t>
  </si>
  <si>
    <t>890.38亿</t>
  </si>
  <si>
    <t>98.22亿</t>
  </si>
  <si>
    <t>10派20.11元(含税)</t>
  </si>
  <si>
    <t>120.18亿</t>
  </si>
  <si>
    <t>169.73亿</t>
  </si>
  <si>
    <t>-16.36亿</t>
  </si>
  <si>
    <t>67020亿</t>
  </si>
  <si>
    <t>-192016630亿</t>
  </si>
  <si>
    <t>1689653000亿</t>
  </si>
  <si>
    <t>7931014500亿</t>
  </si>
  <si>
    <t>49.45亿</t>
  </si>
  <si>
    <t>37.52亿</t>
  </si>
  <si>
    <t>37.98亿</t>
  </si>
  <si>
    <t>11.92亿</t>
  </si>
  <si>
    <t>10派3.4元(含税)</t>
  </si>
  <si>
    <t>8290.52万</t>
  </si>
  <si>
    <t>1751155亿</t>
  </si>
  <si>
    <t>11650611亿</t>
  </si>
  <si>
    <t>491480420亿</t>
  </si>
  <si>
    <t>2174914700亿</t>
  </si>
  <si>
    <t>342.63亿</t>
  </si>
  <si>
    <t>92.92亿</t>
  </si>
  <si>
    <t>342.73亿</t>
  </si>
  <si>
    <t>-3483794亿</t>
  </si>
  <si>
    <t>339942640亿</t>
  </si>
  <si>
    <t>4705706400亿</t>
  </si>
  <si>
    <t>30551453000亿</t>
  </si>
  <si>
    <t>35.21亿</t>
  </si>
  <si>
    <t>25.19亿</t>
  </si>
  <si>
    <t>10转4股派11.6元(含税)</t>
  </si>
  <si>
    <t>-3.50亿</t>
  </si>
  <si>
    <t>27.37亿</t>
  </si>
  <si>
    <t>82.90亿</t>
  </si>
  <si>
    <t>14.43亿</t>
  </si>
  <si>
    <t>60.19亿</t>
  </si>
  <si>
    <t>4276.88万</t>
  </si>
  <si>
    <t>1462294亿</t>
  </si>
  <si>
    <t>38144642亿</t>
  </si>
  <si>
    <t>1950534800亿</t>
  </si>
  <si>
    <t>6232160500亿</t>
  </si>
  <si>
    <t>6.25亿</t>
  </si>
  <si>
    <t>10.87亿</t>
  </si>
  <si>
    <t>2362.79万</t>
  </si>
  <si>
    <t>51810亿</t>
  </si>
  <si>
    <t>8788553亿</t>
  </si>
  <si>
    <t>250137770亿</t>
  </si>
  <si>
    <t>1393723500亿</t>
  </si>
  <si>
    <t>4281.39万</t>
  </si>
  <si>
    <t>5310.05万</t>
  </si>
  <si>
    <t>1939216亿</t>
  </si>
  <si>
    <t>-60530313亿</t>
  </si>
  <si>
    <t>945020220亿</t>
  </si>
  <si>
    <t>4165528800亿</t>
  </si>
  <si>
    <t>24.43亿</t>
  </si>
  <si>
    <t>-5.03亿</t>
  </si>
  <si>
    <t>27.98亿</t>
  </si>
  <si>
    <t>-31278亿</t>
  </si>
  <si>
    <t>-54150656亿</t>
  </si>
  <si>
    <t>691480020亿</t>
  </si>
  <si>
    <t>1924496800亿</t>
  </si>
  <si>
    <t>39.15万</t>
  </si>
  <si>
    <t>6119.53万</t>
  </si>
  <si>
    <t>-69749亿</t>
  </si>
  <si>
    <t>10743458亿</t>
  </si>
  <si>
    <t>282920520亿</t>
  </si>
  <si>
    <t>1092605840亿</t>
  </si>
  <si>
    <t>37.85亿</t>
  </si>
  <si>
    <t>1720.02万</t>
  </si>
  <si>
    <t>3999454亿</t>
  </si>
  <si>
    <t>-32459883亿</t>
  </si>
  <si>
    <t>760353450亿</t>
  </si>
  <si>
    <t>3957863800亿</t>
  </si>
  <si>
    <t>6825.37万</t>
  </si>
  <si>
    <t>-68792亿</t>
  </si>
  <si>
    <t>35487526亿</t>
  </si>
  <si>
    <t>9.81亿</t>
  </si>
  <si>
    <t>91566300亿</t>
  </si>
  <si>
    <t>1248834140亿</t>
  </si>
  <si>
    <t>1571.80万</t>
  </si>
  <si>
    <t>16.44亿</t>
  </si>
  <si>
    <t>34.57亿</t>
  </si>
  <si>
    <t>37.18亿</t>
  </si>
  <si>
    <t>-4513446亿</t>
  </si>
  <si>
    <t>41296054亿</t>
  </si>
  <si>
    <t>1179769900亿</t>
  </si>
  <si>
    <t>7888298600亿</t>
  </si>
  <si>
    <t>49.48亿</t>
  </si>
  <si>
    <t>36.95亿</t>
  </si>
  <si>
    <t>3162.27万</t>
  </si>
  <si>
    <t>118575亿</t>
  </si>
  <si>
    <t>-63757104亿</t>
  </si>
  <si>
    <t>914746710亿</t>
  </si>
  <si>
    <t>3223883900亿</t>
  </si>
  <si>
    <t>2901245亿</t>
  </si>
  <si>
    <t>43133066亿</t>
  </si>
  <si>
    <t>568484170亿</t>
  </si>
  <si>
    <t>3269007100亿</t>
  </si>
  <si>
    <t>10转2股派5元(含税)</t>
  </si>
  <si>
    <t>23.14亿</t>
  </si>
  <si>
    <t>18429616亿</t>
  </si>
  <si>
    <t>13293195亿</t>
  </si>
  <si>
    <t>102396168亿</t>
  </si>
  <si>
    <t>6477594000亿</t>
  </si>
  <si>
    <t>4129.55万</t>
  </si>
  <si>
    <t>3006304亿</t>
  </si>
  <si>
    <t>-19655453亿</t>
  </si>
  <si>
    <t>129993383亿</t>
  </si>
  <si>
    <t>2255264400亿</t>
  </si>
  <si>
    <t>154.79亿</t>
  </si>
  <si>
    <t>45.20亿</t>
  </si>
  <si>
    <t>413.58亿</t>
  </si>
  <si>
    <t>-5066601亿</t>
  </si>
  <si>
    <t>151889470亿</t>
  </si>
  <si>
    <t>4166015000亿</t>
  </si>
  <si>
    <t>13524726000亿</t>
  </si>
  <si>
    <t>10派4.18元(含税)</t>
  </si>
  <si>
    <t>3906.17万</t>
  </si>
  <si>
    <t>4843.17万</t>
  </si>
  <si>
    <t>823.22万</t>
  </si>
  <si>
    <t>6000.67万</t>
  </si>
  <si>
    <t>7221877亿</t>
  </si>
  <si>
    <t>1020284300亿</t>
  </si>
  <si>
    <t>2393582000亿</t>
  </si>
  <si>
    <t>91.35亿</t>
  </si>
  <si>
    <t>276240亿</t>
  </si>
  <si>
    <t>-103945358亿</t>
  </si>
  <si>
    <t>1428941900亿</t>
  </si>
  <si>
    <t>8339995800亿</t>
  </si>
  <si>
    <t>10转4股派0.55元(含税)</t>
  </si>
  <si>
    <t>-79145亿</t>
  </si>
  <si>
    <t>28648219亿</t>
  </si>
  <si>
    <t>129661669亿</t>
  </si>
  <si>
    <t>1258414790亿</t>
  </si>
  <si>
    <t>6566.19万</t>
  </si>
  <si>
    <t>320.10万</t>
  </si>
  <si>
    <t>6862.50万</t>
  </si>
  <si>
    <t>75.98亿</t>
  </si>
  <si>
    <t>45.72亿</t>
  </si>
  <si>
    <t>2731.35万</t>
  </si>
  <si>
    <t>1172106亿</t>
  </si>
  <si>
    <t>-101893609亿</t>
  </si>
  <si>
    <t>1364657100亿</t>
  </si>
  <si>
    <t>6273169000亿</t>
  </si>
  <si>
    <t>13.52亿</t>
  </si>
  <si>
    <t>508694亿</t>
  </si>
  <si>
    <t>3526423亿</t>
  </si>
  <si>
    <t>239709390亿</t>
  </si>
  <si>
    <t>1508758600亿</t>
  </si>
  <si>
    <t>-2.14亿</t>
  </si>
  <si>
    <t>7832.55万</t>
  </si>
  <si>
    <t>6062.46万</t>
  </si>
  <si>
    <t>632848亿</t>
  </si>
  <si>
    <t>3804370亿</t>
  </si>
  <si>
    <t>113440192亿</t>
  </si>
  <si>
    <t>826906950亿</t>
  </si>
  <si>
    <t>25.04亿</t>
  </si>
  <si>
    <t>-3.94亿</t>
  </si>
  <si>
    <t>17.04亿</t>
  </si>
  <si>
    <t>56.34亿</t>
  </si>
  <si>
    <t>37.11亿</t>
  </si>
  <si>
    <t>-6814.53万</t>
  </si>
  <si>
    <t>18001591亿</t>
  </si>
  <si>
    <t>29078100亿</t>
  </si>
  <si>
    <t>483258750亿</t>
  </si>
  <si>
    <t>2855446700亿</t>
  </si>
  <si>
    <t>89.35亿</t>
  </si>
  <si>
    <t>-7.18亿</t>
  </si>
  <si>
    <t>5622.05万</t>
  </si>
  <si>
    <t>-2517.65万</t>
  </si>
  <si>
    <t>-6355888亿</t>
  </si>
  <si>
    <t>92395155亿</t>
  </si>
  <si>
    <t>526900120亿</t>
  </si>
  <si>
    <t>2.04万</t>
  </si>
  <si>
    <t>248.82亿</t>
  </si>
  <si>
    <t>190.70亿</t>
  </si>
  <si>
    <t>35833748亿</t>
  </si>
  <si>
    <t>-73353880亿</t>
  </si>
  <si>
    <t>4335683600亿</t>
  </si>
  <si>
    <t>18848148000亿</t>
  </si>
  <si>
    <t>48.02亿</t>
  </si>
  <si>
    <t>129.30亿</t>
  </si>
  <si>
    <t>17.51亿</t>
  </si>
  <si>
    <t>140.79亿</t>
  </si>
  <si>
    <t>7829725亿</t>
  </si>
  <si>
    <t>167825690亿</t>
  </si>
  <si>
    <t>1772271100亿</t>
  </si>
  <si>
    <t>7718045600亿</t>
  </si>
  <si>
    <t>46.75亿</t>
  </si>
  <si>
    <t>23.05亿</t>
  </si>
  <si>
    <t>1872.60万</t>
  </si>
  <si>
    <t>-1585471亿</t>
  </si>
  <si>
    <t>23613884亿</t>
  </si>
  <si>
    <t>742578800亿</t>
  </si>
  <si>
    <t>3059408200亿</t>
  </si>
  <si>
    <t>27.16亿</t>
  </si>
  <si>
    <t>43.18亿</t>
  </si>
  <si>
    <t>1432504亿</t>
  </si>
  <si>
    <t>63776945亿</t>
  </si>
  <si>
    <t>295129080亿</t>
  </si>
  <si>
    <t>1653903500亿</t>
  </si>
  <si>
    <t>10转4.5股派4.5元(含税)</t>
  </si>
  <si>
    <t>5296.20万</t>
  </si>
  <si>
    <t>758628亿</t>
  </si>
  <si>
    <t>-14416650亿</t>
  </si>
  <si>
    <t>150273190亿</t>
  </si>
  <si>
    <t>591100200亿</t>
  </si>
  <si>
    <t>26.28亿</t>
  </si>
  <si>
    <t>38.42亿</t>
  </si>
  <si>
    <t>30.48亿</t>
  </si>
  <si>
    <t>249.45亿</t>
  </si>
  <si>
    <t>153.40亿</t>
  </si>
  <si>
    <t>3273472亿</t>
  </si>
  <si>
    <t>418751270亿</t>
  </si>
  <si>
    <t>3632027700亿</t>
  </si>
  <si>
    <t>25559027000亿</t>
  </si>
  <si>
    <t>11.25亿</t>
  </si>
  <si>
    <t>130.46亿</t>
  </si>
  <si>
    <t>87.29亿</t>
  </si>
  <si>
    <t>-12.33亿</t>
  </si>
  <si>
    <t>-6772856亿</t>
  </si>
  <si>
    <t>-114344911亿</t>
  </si>
  <si>
    <t>1373380800亿</t>
  </si>
  <si>
    <t>8357472700亿</t>
  </si>
  <si>
    <t>20.69亿</t>
  </si>
  <si>
    <t>ST百利</t>
  </si>
  <si>
    <t>-2295350亿</t>
  </si>
  <si>
    <t>-84149353亿</t>
  </si>
  <si>
    <t>3283802600亿</t>
  </si>
  <si>
    <t>2393378亿</t>
  </si>
  <si>
    <t>21469879亿</t>
  </si>
  <si>
    <t>195835840亿</t>
  </si>
  <si>
    <t>1097714990亿</t>
  </si>
  <si>
    <t>10转4股派7.50元(含税)</t>
  </si>
  <si>
    <t>143.69亿</t>
  </si>
  <si>
    <t>36.92亿</t>
  </si>
  <si>
    <t>226.57亿</t>
  </si>
  <si>
    <t>-8189319亿</t>
  </si>
  <si>
    <t>-38330260亿</t>
  </si>
  <si>
    <t>3690527800亿</t>
  </si>
  <si>
    <t>14781211000亿</t>
  </si>
  <si>
    <t>10派3.03元(含税)</t>
  </si>
  <si>
    <t>-385688亿</t>
  </si>
  <si>
    <t>169611460亿</t>
  </si>
  <si>
    <t>2109499600亿</t>
  </si>
  <si>
    <t>8521787800亿</t>
  </si>
  <si>
    <t>25.77亿</t>
  </si>
  <si>
    <t>32.99亿</t>
  </si>
  <si>
    <t>5845675亿</t>
  </si>
  <si>
    <t>-8428634亿</t>
  </si>
  <si>
    <t>1115045420亿</t>
  </si>
  <si>
    <t>8468028000亿</t>
  </si>
  <si>
    <t>10转4股派10.4元(含税)</t>
  </si>
  <si>
    <t>359549亿</t>
  </si>
  <si>
    <t>51651730亿</t>
  </si>
  <si>
    <t>381045910亿</t>
  </si>
  <si>
    <t>2672968800亿</t>
  </si>
  <si>
    <t>-1157396亿</t>
  </si>
  <si>
    <t>-14440930亿</t>
  </si>
  <si>
    <t>228626630亿</t>
  </si>
  <si>
    <t>1790576100亿</t>
  </si>
  <si>
    <t>516.24万</t>
  </si>
  <si>
    <t>3995.46万</t>
  </si>
  <si>
    <t>-484808亿</t>
  </si>
  <si>
    <t>39595241亿</t>
  </si>
  <si>
    <t>636962440亿</t>
  </si>
  <si>
    <t>3055987100亿</t>
  </si>
  <si>
    <t>10转4股派3元(含税)</t>
  </si>
  <si>
    <t>-9737.00万</t>
  </si>
  <si>
    <t>2270638亿</t>
  </si>
  <si>
    <t>-41545413亿</t>
  </si>
  <si>
    <t>347677630亿</t>
  </si>
  <si>
    <t>1809055400亿</t>
  </si>
  <si>
    <t>128.40亿</t>
  </si>
  <si>
    <t>121.74亿</t>
  </si>
  <si>
    <t>-15.04亿</t>
  </si>
  <si>
    <t>-8566754亿</t>
  </si>
  <si>
    <t>-136179720亿</t>
  </si>
  <si>
    <t>1033993150亿</t>
  </si>
  <si>
    <t>8033105100亿</t>
  </si>
  <si>
    <t>15.39亿</t>
  </si>
  <si>
    <t>1314.40万</t>
  </si>
  <si>
    <t>-8659738亿</t>
  </si>
  <si>
    <t>-97053104亿</t>
  </si>
  <si>
    <t>1590693500亿</t>
  </si>
  <si>
    <t>3379855400亿</t>
  </si>
  <si>
    <t>22.35亿</t>
  </si>
  <si>
    <t>-3378.02万</t>
  </si>
  <si>
    <t>-342629亿</t>
  </si>
  <si>
    <t>-18332579亿</t>
  </si>
  <si>
    <t>519905920亿</t>
  </si>
  <si>
    <t>1474604300亿</t>
  </si>
  <si>
    <t>13.29亿</t>
  </si>
  <si>
    <t>-2391.18万</t>
  </si>
  <si>
    <t>-23149098亿</t>
  </si>
  <si>
    <t>114369620亿</t>
  </si>
  <si>
    <t>2470623600亿</t>
  </si>
  <si>
    <t>54.97亿</t>
  </si>
  <si>
    <t>49.69亿</t>
  </si>
  <si>
    <t>1903.05万</t>
  </si>
  <si>
    <t>-3619890亿</t>
  </si>
  <si>
    <t>-51382069亿</t>
  </si>
  <si>
    <t>567440070亿</t>
  </si>
  <si>
    <t>5011511700亿</t>
  </si>
  <si>
    <t>13.96万</t>
  </si>
  <si>
    <t>6654.44万</t>
  </si>
  <si>
    <t>847097亿</t>
  </si>
  <si>
    <t>-2042261亿</t>
  </si>
  <si>
    <t>223403480亿</t>
  </si>
  <si>
    <t>1960589000亿</t>
  </si>
  <si>
    <t>58.27亿</t>
  </si>
  <si>
    <t>6-1</t>
  </si>
  <si>
    <t>214.80亿</t>
  </si>
  <si>
    <t>15.34亿</t>
  </si>
  <si>
    <t>15.91亿</t>
  </si>
  <si>
    <t>75.25亿</t>
  </si>
  <si>
    <t>291391亿</t>
  </si>
  <si>
    <t>-170436320亿</t>
  </si>
  <si>
    <t>1867274800亿</t>
  </si>
  <si>
    <t>7098655800亿</t>
  </si>
  <si>
    <t>6.78亿</t>
  </si>
  <si>
    <t>197.60亿</t>
  </si>
  <si>
    <t>164.36亿</t>
  </si>
  <si>
    <t>-18.68亿</t>
  </si>
  <si>
    <t>-37791539亿</t>
  </si>
  <si>
    <t>-183866470亿</t>
  </si>
  <si>
    <t>4119715400亿</t>
  </si>
  <si>
    <t>18099762000亿</t>
  </si>
  <si>
    <t>5283.85万</t>
  </si>
  <si>
    <t>5835.41万</t>
  </si>
  <si>
    <t>-28962406亿</t>
  </si>
  <si>
    <t>441712980亿</t>
  </si>
  <si>
    <t>1515696900亿</t>
  </si>
  <si>
    <t>6672.83万</t>
  </si>
  <si>
    <t>-1.19亿</t>
  </si>
  <si>
    <t>5613.77万</t>
  </si>
  <si>
    <t>1880044亿</t>
  </si>
  <si>
    <t>-20082673亿</t>
  </si>
  <si>
    <t>319675090亿</t>
  </si>
  <si>
    <t>1716427900亿</t>
  </si>
  <si>
    <t>7561.21万</t>
  </si>
  <si>
    <t>10转4股派1.4元(含税)</t>
  </si>
  <si>
    <t>10.88亿</t>
  </si>
  <si>
    <t>57.44亿</t>
  </si>
  <si>
    <t>68.76亿</t>
  </si>
  <si>
    <t>-1046416亿</t>
  </si>
  <si>
    <t>-138421800亿</t>
  </si>
  <si>
    <t>818546670亿</t>
  </si>
  <si>
    <t>6391058500亿</t>
  </si>
  <si>
    <t>2452.37万</t>
  </si>
  <si>
    <t>2214751亿</t>
  </si>
  <si>
    <t>-24537475亿</t>
  </si>
  <si>
    <t>164754520亿</t>
  </si>
  <si>
    <t>1397262600亿</t>
  </si>
  <si>
    <t>142.76亿</t>
  </si>
  <si>
    <t>25.49亿</t>
  </si>
  <si>
    <t>114.46亿</t>
  </si>
  <si>
    <t>-731933亿</t>
  </si>
  <si>
    <t>-16309604亿</t>
  </si>
  <si>
    <t>2442956100亿</t>
  </si>
  <si>
    <t>9739584800亿</t>
  </si>
  <si>
    <t>9094.67万</t>
  </si>
  <si>
    <t>173.11亿</t>
  </si>
  <si>
    <t>4870126亿</t>
  </si>
  <si>
    <t>102633652亿</t>
  </si>
  <si>
    <t>2893769400亿</t>
  </si>
  <si>
    <t>8595404800亿</t>
  </si>
  <si>
    <t>66.06亿</t>
  </si>
  <si>
    <t>107.29亿</t>
  </si>
  <si>
    <t>-9334086亿</t>
  </si>
  <si>
    <t>1552308600亿</t>
  </si>
  <si>
    <t>8190860100亿</t>
  </si>
  <si>
    <t>92.94万</t>
  </si>
  <si>
    <t>202.13亿</t>
  </si>
  <si>
    <t>93.28亿</t>
  </si>
  <si>
    <t>477.48亿</t>
  </si>
  <si>
    <t>452.50亿</t>
  </si>
  <si>
    <t>12525628亿</t>
  </si>
  <si>
    <t>149187420亿</t>
  </si>
  <si>
    <t>1863844900亿</t>
  </si>
  <si>
    <t>29670084000亿</t>
  </si>
  <si>
    <t>-14-0</t>
  </si>
  <si>
    <t>账面净赚</t>
  </si>
  <si>
    <t>36.31亿</t>
  </si>
  <si>
    <t>7.84亿</t>
  </si>
  <si>
    <t>5.39亿</t>
  </si>
  <si>
    <t>29-1</t>
  </si>
  <si>
    <t>12.91亿</t>
  </si>
  <si>
    <t>10.23亿</t>
  </si>
  <si>
    <t>7.06亿</t>
  </si>
  <si>
    <t>903.43万</t>
  </si>
  <si>
    <t>45.81亿</t>
  </si>
  <si>
    <t>36.73亿</t>
  </si>
  <si>
    <t>136.85万</t>
  </si>
  <si>
    <t>104.38亿</t>
  </si>
  <si>
    <t>37.48亿</t>
  </si>
  <si>
    <t>16.30亿</t>
  </si>
  <si>
    <t>60.98亿</t>
  </si>
  <si>
    <t>199.13万</t>
  </si>
  <si>
    <t>151.61亿</t>
  </si>
  <si>
    <t>114.73亿</t>
  </si>
  <si>
    <t>-23.80亿</t>
  </si>
  <si>
    <t>23.92亿</t>
  </si>
  <si>
    <t>电池化学品</t>
  </si>
  <si>
    <t>5225.26万</t>
  </si>
  <si>
    <t>1932.34万</t>
  </si>
  <si>
    <t>65.12亿</t>
  </si>
  <si>
    <t>2698.66万</t>
  </si>
  <si>
    <t>8164.97万</t>
  </si>
  <si>
    <t>75.30万</t>
  </si>
  <si>
    <t>8086.90万</t>
  </si>
  <si>
    <t>5360.02万</t>
  </si>
  <si>
    <t>37.54亿</t>
  </si>
  <si>
    <t>62.59亿</t>
  </si>
  <si>
    <t>29.94亿</t>
  </si>
  <si>
    <t>-3.42亿</t>
  </si>
  <si>
    <t>锂电池</t>
  </si>
  <si>
    <t>77.24万</t>
  </si>
  <si>
    <t>9962.52万</t>
  </si>
  <si>
    <t>39.57万</t>
  </si>
  <si>
    <t>557.93万</t>
  </si>
  <si>
    <t>3.62万</t>
  </si>
  <si>
    <t>3493.09万</t>
  </si>
  <si>
    <t>2527.32万</t>
  </si>
  <si>
    <t>2437.59万</t>
  </si>
  <si>
    <t>7577.71万</t>
  </si>
  <si>
    <t>375.87万</t>
  </si>
  <si>
    <t>3553.93万</t>
  </si>
  <si>
    <t>11.04亿</t>
  </si>
  <si>
    <t>6031.62万</t>
  </si>
  <si>
    <t>4177.49万</t>
  </si>
  <si>
    <t>219.67万</t>
  </si>
  <si>
    <t>1260.58万</t>
  </si>
  <si>
    <t>1.26万</t>
  </si>
  <si>
    <t>934.25万</t>
  </si>
  <si>
    <t>2489.99万</t>
  </si>
  <si>
    <t>6659.31万</t>
  </si>
  <si>
    <t>7619.35万</t>
  </si>
  <si>
    <t>-1878.31万</t>
  </si>
  <si>
    <t>-1083.85万</t>
  </si>
  <si>
    <t>918.32万</t>
  </si>
  <si>
    <t>112.29万</t>
  </si>
  <si>
    <t>25.22亿</t>
  </si>
  <si>
    <t>2525.24万</t>
  </si>
  <si>
    <t>7649.71万</t>
  </si>
  <si>
    <t>158.15万</t>
  </si>
  <si>
    <t>36.07亿</t>
  </si>
  <si>
    <t>-5590.90万</t>
  </si>
  <si>
    <t>-3921.77万</t>
  </si>
  <si>
    <t>469.42万</t>
  </si>
  <si>
    <t>3244.68万</t>
  </si>
  <si>
    <t>171.19万</t>
  </si>
  <si>
    <t>58.16亿</t>
  </si>
  <si>
    <t>253.13万</t>
  </si>
  <si>
    <t>1637.44万</t>
  </si>
  <si>
    <t>5.10万</t>
  </si>
  <si>
    <t>9762.97万</t>
  </si>
  <si>
    <t>368.82万</t>
  </si>
  <si>
    <t>4075.19万</t>
  </si>
  <si>
    <t>-2.64亿</t>
  </si>
  <si>
    <t>933.39万</t>
  </si>
  <si>
    <t>9447.70万</t>
  </si>
  <si>
    <t>1144.58万</t>
  </si>
  <si>
    <t>256.86亿</t>
  </si>
  <si>
    <t>73.61亿</t>
  </si>
  <si>
    <t>61.67亿</t>
  </si>
  <si>
    <t>258.73万</t>
  </si>
  <si>
    <t>142.08亿</t>
  </si>
  <si>
    <t>177.72亿</t>
  </si>
  <si>
    <t>169.72亿</t>
  </si>
  <si>
    <t>64.79亿</t>
  </si>
  <si>
    <t>151.25亿</t>
  </si>
  <si>
    <t>471.84亿</t>
  </si>
  <si>
    <t>204.90亿</t>
  </si>
  <si>
    <t>7215.30万</t>
  </si>
  <si>
    <t>-17.38亿</t>
  </si>
  <si>
    <t>6945.18万</t>
  </si>
  <si>
    <t>6.86亿</t>
  </si>
  <si>
    <t>723.36万</t>
  </si>
  <si>
    <t>28.86亿</t>
  </si>
  <si>
    <t>297.52万</t>
  </si>
  <si>
    <t>3137.58万</t>
  </si>
  <si>
    <t>16.09万</t>
  </si>
  <si>
    <t>728.91万</t>
  </si>
  <si>
    <t>233.73万</t>
  </si>
  <si>
    <t>-4935.62万</t>
  </si>
  <si>
    <t>4630.29万</t>
  </si>
  <si>
    <t>1298.46万</t>
  </si>
  <si>
    <t>68.10亿</t>
  </si>
  <si>
    <t>12.25亿</t>
  </si>
  <si>
    <t>1100.72万</t>
  </si>
  <si>
    <t>3231.29万</t>
  </si>
  <si>
    <t>87.98万</t>
  </si>
  <si>
    <t>4331.87万</t>
  </si>
  <si>
    <t>13.91亿</t>
  </si>
  <si>
    <t>6587.13万</t>
  </si>
  <si>
    <t>679.35万</t>
  </si>
  <si>
    <t>47.18亿</t>
  </si>
  <si>
    <t>18.64亿</t>
  </si>
  <si>
    <t>16.61亿</t>
  </si>
  <si>
    <t>3273.49万</t>
  </si>
  <si>
    <t>5280.52万</t>
  </si>
  <si>
    <t>4.32万</t>
  </si>
  <si>
    <t>12.62亿</t>
  </si>
  <si>
    <t>60.22亿</t>
  </si>
  <si>
    <t>6369.44万</t>
  </si>
  <si>
    <t>2775.33万</t>
  </si>
  <si>
    <t>4756.47万</t>
  </si>
  <si>
    <t>221.79亿</t>
  </si>
  <si>
    <t>78.46亿</t>
  </si>
  <si>
    <t>72.44亿</t>
  </si>
  <si>
    <t>2410.46万</t>
  </si>
  <si>
    <t>302.90万</t>
  </si>
  <si>
    <t>53.73亿</t>
  </si>
  <si>
    <t>65.47亿</t>
  </si>
  <si>
    <t>253.58亿</t>
  </si>
  <si>
    <t>77.67亿</t>
  </si>
  <si>
    <t>-26.60亿</t>
  </si>
  <si>
    <t>332.52万</t>
  </si>
  <si>
    <t>1594.74万</t>
  </si>
  <si>
    <t>1833.72万</t>
  </si>
  <si>
    <t>4285.47万</t>
  </si>
  <si>
    <t>1910.00万</t>
  </si>
  <si>
    <t>653.29万</t>
  </si>
  <si>
    <t>-9756.98万</t>
  </si>
  <si>
    <t>-1323.61万</t>
  </si>
  <si>
    <t>其他电池</t>
  </si>
  <si>
    <t>2127.67万</t>
  </si>
  <si>
    <t>1805.79万</t>
  </si>
  <si>
    <t>137.03亿</t>
  </si>
  <si>
    <t>23.72亿</t>
  </si>
  <si>
    <t>106.95万</t>
  </si>
  <si>
    <t>1531.16万</t>
  </si>
  <si>
    <t>8.79亿</t>
  </si>
  <si>
    <t>2198.84万</t>
  </si>
  <si>
    <t>-4.85亿</t>
  </si>
  <si>
    <t>8774.83万</t>
  </si>
  <si>
    <t>112.36万</t>
  </si>
  <si>
    <t>2143.42万</t>
  </si>
  <si>
    <t>4066.95万</t>
  </si>
  <si>
    <t>104.61万</t>
  </si>
  <si>
    <t>331.69万</t>
  </si>
  <si>
    <t>7027.98万</t>
  </si>
  <si>
    <t>-4171.81万</t>
  </si>
  <si>
    <t>-9208.34万</t>
  </si>
  <si>
    <t>10派1.500395元(含税)</t>
  </si>
  <si>
    <t>724.54万</t>
  </si>
  <si>
    <t>7655.65万</t>
  </si>
  <si>
    <t>295.09万</t>
  </si>
  <si>
    <t>50.62亿</t>
  </si>
  <si>
    <t>1020.08万</t>
  </si>
  <si>
    <t>3946.00万</t>
  </si>
  <si>
    <t>2.92万</t>
  </si>
  <si>
    <t>-3.73亿</t>
  </si>
  <si>
    <t>-4.56亿</t>
  </si>
  <si>
    <t>1756.98万</t>
  </si>
  <si>
    <t>-4-0</t>
  </si>
  <si>
    <t>284.41万</t>
  </si>
  <si>
    <t>98.17万</t>
  </si>
  <si>
    <t>2859.26万</t>
  </si>
  <si>
    <t>5.66亿</t>
  </si>
  <si>
    <t>688.83万</t>
  </si>
  <si>
    <t>11.07亿</t>
  </si>
  <si>
    <t>-3748.69万</t>
  </si>
  <si>
    <t>-2.30亿</t>
  </si>
  <si>
    <t>2128.05万</t>
  </si>
  <si>
    <t>670.04万</t>
  </si>
  <si>
    <t>288.95亿</t>
  </si>
  <si>
    <t>1808.17万</t>
  </si>
  <si>
    <t>251.17万</t>
  </si>
  <si>
    <t>39.06亿</t>
  </si>
  <si>
    <t>65.29亿</t>
  </si>
  <si>
    <t>70.12亿</t>
  </si>
  <si>
    <t>110.43亿</t>
  </si>
  <si>
    <t>48.26亿</t>
  </si>
  <si>
    <t>-6.25亿</t>
  </si>
  <si>
    <t>10派15.426097元(含税)</t>
  </si>
  <si>
    <t>4316.79万</t>
  </si>
  <si>
    <t>154.94万</t>
  </si>
  <si>
    <t>108.09亿</t>
  </si>
  <si>
    <t>21.92亿</t>
  </si>
  <si>
    <t>1002.34万</t>
  </si>
  <si>
    <t>6933.62万</t>
  </si>
  <si>
    <t>115.84万</t>
  </si>
  <si>
    <t>290.60万</t>
  </si>
  <si>
    <t>5100.00万</t>
  </si>
  <si>
    <t>1319.50万</t>
  </si>
  <si>
    <t>7881.80万</t>
  </si>
  <si>
    <t>1123.60万</t>
  </si>
  <si>
    <t>390.67亿</t>
  </si>
  <si>
    <t>76.74亿</t>
  </si>
  <si>
    <t>36.62万</t>
  </si>
  <si>
    <t>91.08亿</t>
  </si>
  <si>
    <t>23.41亿</t>
  </si>
  <si>
    <t>134.89亿</t>
  </si>
  <si>
    <t>50.50亿</t>
  </si>
  <si>
    <t>238.22亿</t>
  </si>
  <si>
    <t>367.82亿</t>
  </si>
  <si>
    <t>160.20亿</t>
  </si>
  <si>
    <t>-17.51亿</t>
  </si>
  <si>
    <t>-18.15亿</t>
  </si>
  <si>
    <t>8541.74万</t>
  </si>
  <si>
    <t>411.67万</t>
  </si>
  <si>
    <t>50.74亿</t>
  </si>
  <si>
    <t>1856.62万</t>
  </si>
  <si>
    <t>3755.81万</t>
  </si>
  <si>
    <t>12.99万</t>
  </si>
  <si>
    <t>7.67亿</t>
  </si>
  <si>
    <t>35.05亿</t>
  </si>
  <si>
    <t>9.90亿</t>
  </si>
  <si>
    <t>-2.42亿</t>
  </si>
  <si>
    <t>8623.27万</t>
  </si>
  <si>
    <t>2671.33万</t>
  </si>
  <si>
    <t>557.84万</t>
  </si>
  <si>
    <t>99.00亿</t>
  </si>
  <si>
    <t>11.03亿</t>
  </si>
  <si>
    <t>2787.97万</t>
  </si>
  <si>
    <t>9164.54万</t>
  </si>
  <si>
    <t>55.19万</t>
  </si>
  <si>
    <t>21.08亿</t>
  </si>
  <si>
    <t>4.95万</t>
  </si>
  <si>
    <t>44.38亿</t>
  </si>
  <si>
    <t>-4.02亿</t>
  </si>
  <si>
    <t>-8.97亿</t>
  </si>
  <si>
    <t>7067.74万</t>
  </si>
  <si>
    <t>2889.36万</t>
  </si>
  <si>
    <t>901.98万</t>
  </si>
  <si>
    <t>53.75亿</t>
  </si>
  <si>
    <t>30.51亿</t>
  </si>
  <si>
    <t>26.90亿</t>
  </si>
  <si>
    <t>5131.24万</t>
  </si>
  <si>
    <t>16.88万</t>
  </si>
  <si>
    <t>10.94亿</t>
  </si>
  <si>
    <t>41.60亿</t>
  </si>
  <si>
    <t>25.18亿</t>
  </si>
  <si>
    <t>111.54亿</t>
  </si>
  <si>
    <t>23.12亿</t>
  </si>
  <si>
    <t>-7.53亿</t>
  </si>
  <si>
    <t>5567.08万</t>
  </si>
  <si>
    <t>773.76万</t>
  </si>
  <si>
    <t>134.79亿</t>
  </si>
  <si>
    <t>14.05亿</t>
  </si>
  <si>
    <t>828.47万</t>
  </si>
  <si>
    <t>4100.91万</t>
  </si>
  <si>
    <t>62.76万</t>
  </si>
  <si>
    <t>53.05亿</t>
  </si>
  <si>
    <t>394.91万</t>
  </si>
  <si>
    <t>5923.74万</t>
  </si>
  <si>
    <t>68.69万</t>
  </si>
  <si>
    <t>-3.54亿</t>
  </si>
  <si>
    <t>3907.06万</t>
  </si>
  <si>
    <t>5411.25万</t>
  </si>
  <si>
    <t>4103.94万</t>
  </si>
  <si>
    <t>165.16万</t>
  </si>
  <si>
    <t>956.02万</t>
  </si>
  <si>
    <t>5.83万</t>
  </si>
  <si>
    <t>4390.20万</t>
  </si>
  <si>
    <t>223.82万</t>
  </si>
  <si>
    <t>5242.81万</t>
  </si>
  <si>
    <t>4589.56万</t>
  </si>
  <si>
    <t>-1917.12万</t>
  </si>
  <si>
    <t>-2215.97万</t>
  </si>
  <si>
    <t>1082.41万</t>
  </si>
  <si>
    <t>1539.59万</t>
  </si>
  <si>
    <t>2023.35万</t>
  </si>
  <si>
    <t>29.91万</t>
  </si>
  <si>
    <t>4317.21万</t>
  </si>
  <si>
    <t>6527.75万</t>
  </si>
  <si>
    <t>6820.48万</t>
  </si>
  <si>
    <t>-5880.31万</t>
  </si>
  <si>
    <t>1385.36万</t>
  </si>
  <si>
    <t>1227.84万</t>
  </si>
  <si>
    <t>锂电专用设备</t>
  </si>
  <si>
    <t>6404.21万</t>
  </si>
  <si>
    <t>1783.30万</t>
  </si>
  <si>
    <t>323.32亿</t>
  </si>
  <si>
    <t>108.00亿</t>
  </si>
  <si>
    <t>91.62亿</t>
  </si>
  <si>
    <t>1148.50万</t>
  </si>
  <si>
    <t>170.81亿</t>
  </si>
  <si>
    <t>110.20亿</t>
  </si>
  <si>
    <t>84.05亿</t>
  </si>
  <si>
    <t>47.80亿</t>
  </si>
  <si>
    <t>145.02亿</t>
  </si>
  <si>
    <t>329.08亿</t>
  </si>
  <si>
    <t>63.88亿</t>
  </si>
  <si>
    <t>-23.96亿</t>
  </si>
  <si>
    <t>-4792.09万</t>
  </si>
  <si>
    <t>434.44万</t>
  </si>
  <si>
    <t>697.38万</t>
  </si>
  <si>
    <t>2533.74万</t>
  </si>
  <si>
    <t>29.23万</t>
  </si>
  <si>
    <t>3065.15万</t>
  </si>
  <si>
    <t>-640.11万</t>
  </si>
  <si>
    <t>-3502.90万</t>
  </si>
  <si>
    <t>3742.34万</t>
  </si>
  <si>
    <t>507.65万</t>
  </si>
  <si>
    <t>70.58亿</t>
  </si>
  <si>
    <t>1915.60万</t>
  </si>
  <si>
    <t>9898.34万</t>
  </si>
  <si>
    <t>38.10万</t>
  </si>
  <si>
    <t>39.16亿</t>
  </si>
  <si>
    <t>20.79亿</t>
  </si>
  <si>
    <t>11.31亿</t>
  </si>
  <si>
    <t>10派2.001123元(含税)</t>
  </si>
  <si>
    <t>3138.83万</t>
  </si>
  <si>
    <t>803.16万</t>
  </si>
  <si>
    <t>2611.06万</t>
  </si>
  <si>
    <t>2195.25万</t>
  </si>
  <si>
    <t>164.74万</t>
  </si>
  <si>
    <t>9507.87万</t>
  </si>
  <si>
    <t>5952.38万</t>
  </si>
  <si>
    <t>9346.11万</t>
  </si>
  <si>
    <t>-5906.53万</t>
  </si>
  <si>
    <t>-1877.96万</t>
  </si>
  <si>
    <t>6186.10万</t>
  </si>
  <si>
    <t>5966.65万</t>
  </si>
  <si>
    <t>568.32万</t>
  </si>
  <si>
    <t>55.99亿</t>
  </si>
  <si>
    <t>3721.95万</t>
  </si>
  <si>
    <t>6819.52万</t>
  </si>
  <si>
    <t>122.72万</t>
  </si>
  <si>
    <t>16.05亿</t>
  </si>
  <si>
    <t>32.28亿</t>
  </si>
  <si>
    <t>75.57亿</t>
  </si>
  <si>
    <t>15.42亿</t>
  </si>
  <si>
    <t>-9050.23万</t>
  </si>
  <si>
    <t>-3.08亿</t>
  </si>
  <si>
    <t>-4077.00万</t>
  </si>
  <si>
    <t>3954.19万</t>
  </si>
  <si>
    <t>1430.94万</t>
  </si>
  <si>
    <t>124.06亿</t>
  </si>
  <si>
    <t>27.89亿</t>
  </si>
  <si>
    <t>1569.02万</t>
  </si>
  <si>
    <t>975.14万</t>
  </si>
  <si>
    <t>2823.35万</t>
  </si>
  <si>
    <t>50.23亿</t>
  </si>
  <si>
    <t>38.48亿</t>
  </si>
  <si>
    <t>242.68亿</t>
  </si>
  <si>
    <t>-7.10亿</t>
  </si>
  <si>
    <t>-463.70万</t>
  </si>
  <si>
    <t>7814.61万</t>
  </si>
  <si>
    <t>1344.33万</t>
  </si>
  <si>
    <t>67.92亿</t>
  </si>
  <si>
    <t>3875.34万</t>
  </si>
  <si>
    <t>6231.92万</t>
  </si>
  <si>
    <t>60.56万</t>
  </si>
  <si>
    <t>23.84亿</t>
  </si>
  <si>
    <t>3151.65万</t>
  </si>
  <si>
    <t>64.30亿</t>
  </si>
  <si>
    <t>97.20亿</t>
  </si>
  <si>
    <t>-3.67亿</t>
  </si>
  <si>
    <t>632.19万</t>
  </si>
  <si>
    <t>693.87万</t>
  </si>
  <si>
    <t>8689.69万</t>
  </si>
  <si>
    <t>2892.99万</t>
  </si>
  <si>
    <t>1875.36万</t>
  </si>
  <si>
    <t>6229.98万</t>
  </si>
  <si>
    <t>39.54万</t>
  </si>
  <si>
    <t>16.68亿</t>
  </si>
  <si>
    <t>12.98亿</t>
  </si>
  <si>
    <t>15.00万</t>
  </si>
  <si>
    <t>-7257.89万</t>
  </si>
  <si>
    <t>-2417.24万</t>
  </si>
  <si>
    <t>459.88万</t>
  </si>
  <si>
    <t>28.29亿</t>
  </si>
  <si>
    <t>3753.29万</t>
  </si>
  <si>
    <t>5078.37万</t>
  </si>
  <si>
    <t>122.25万</t>
  </si>
  <si>
    <t>68.05万</t>
  </si>
  <si>
    <t>-2968.10万</t>
  </si>
  <si>
    <t>2901.86万</t>
  </si>
  <si>
    <t>205.46万</t>
  </si>
  <si>
    <t>6867.24万</t>
  </si>
  <si>
    <t>3829.25万</t>
  </si>
  <si>
    <t>215.21万</t>
  </si>
  <si>
    <t>1585.47万</t>
  </si>
  <si>
    <t>542.16万</t>
  </si>
  <si>
    <t>7011.60万</t>
  </si>
  <si>
    <t>1778.74万</t>
  </si>
  <si>
    <t>6853.97万</t>
  </si>
  <si>
    <t>-3523.18万</t>
  </si>
  <si>
    <t>5386.44万</t>
  </si>
  <si>
    <t>1369.18万</t>
  </si>
  <si>
    <t>9136.56万</t>
  </si>
  <si>
    <t>1572.70万</t>
  </si>
  <si>
    <t>100.94亿</t>
  </si>
  <si>
    <t>687.54万</t>
  </si>
  <si>
    <t>6969.30万</t>
  </si>
  <si>
    <t>7.67万</t>
  </si>
  <si>
    <t>47.86亿</t>
  </si>
  <si>
    <t>19.78亿</t>
  </si>
  <si>
    <t>-13.04亿</t>
  </si>
  <si>
    <t>8799.81万</t>
  </si>
  <si>
    <t>221.08万</t>
  </si>
  <si>
    <t>1343.65万</t>
  </si>
  <si>
    <t>3017.03万</t>
  </si>
  <si>
    <t>8.95亿</t>
  </si>
  <si>
    <t>240.99万</t>
  </si>
  <si>
    <t>9941.22万</t>
  </si>
  <si>
    <t>25.23亿</t>
  </si>
  <si>
    <t>-3761.59万</t>
  </si>
  <si>
    <t>2722.46万</t>
  </si>
  <si>
    <t>1982.16万</t>
  </si>
  <si>
    <t>3541.02万</t>
  </si>
  <si>
    <t>107.15万</t>
  </si>
  <si>
    <t>3008.26万</t>
  </si>
  <si>
    <t>1639.54万</t>
  </si>
  <si>
    <t>80.29万</t>
  </si>
  <si>
    <t>2371.75万</t>
  </si>
  <si>
    <t>256.00万</t>
  </si>
  <si>
    <t>-2750.60万</t>
  </si>
  <si>
    <t>-514.92万</t>
  </si>
  <si>
    <t>1464.20万</t>
  </si>
  <si>
    <t>617.81万</t>
  </si>
  <si>
    <t>9319.20万</t>
  </si>
  <si>
    <t>1352.47万</t>
  </si>
  <si>
    <t>2304.68亿</t>
  </si>
  <si>
    <t>696.16亿</t>
  </si>
  <si>
    <t>586.99亿</t>
  </si>
  <si>
    <t>23.03亿</t>
  </si>
  <si>
    <t>2666.30万</t>
  </si>
  <si>
    <t>2885.72亿</t>
  </si>
  <si>
    <t>262.16亿</t>
  </si>
  <si>
    <t>165.35亿</t>
  </si>
  <si>
    <t>726.32亿</t>
  </si>
  <si>
    <t>1125.07亿</t>
  </si>
  <si>
    <t>2789.62亿</t>
  </si>
  <si>
    <t>884.45亿</t>
  </si>
  <si>
    <t>283.58亿</t>
  </si>
  <si>
    <t>-79.08亿</t>
  </si>
  <si>
    <t>55.04亿</t>
  </si>
  <si>
    <t>8297.60万</t>
  </si>
  <si>
    <t>593.09万</t>
  </si>
  <si>
    <t>84.20亿</t>
  </si>
  <si>
    <t>796.49万</t>
  </si>
  <si>
    <t>7158.62万</t>
  </si>
  <si>
    <t>54.83万</t>
  </si>
  <si>
    <t>23.71亿</t>
  </si>
  <si>
    <t>29.69亿</t>
  </si>
  <si>
    <t>73.00亿</t>
  </si>
  <si>
    <t>24.39亿</t>
  </si>
  <si>
    <t>-4.09亿</t>
  </si>
  <si>
    <t>3510.38万</t>
  </si>
  <si>
    <t>245.62万</t>
  </si>
  <si>
    <t>4103.80万</t>
  </si>
  <si>
    <t>1571.15万</t>
  </si>
  <si>
    <t>1465.63万</t>
  </si>
  <si>
    <t>28.62万</t>
  </si>
  <si>
    <t>-943.54万</t>
  </si>
  <si>
    <t>-7037.05万</t>
  </si>
  <si>
    <t>46.58万</t>
  </si>
  <si>
    <t>10派3.239617元(含税)</t>
  </si>
  <si>
    <t>1521.11万</t>
  </si>
  <si>
    <t>356.61万</t>
  </si>
  <si>
    <t>289.39亿</t>
  </si>
  <si>
    <t>4205.37万</t>
  </si>
  <si>
    <t>87.57亿</t>
  </si>
  <si>
    <t>80.36亿</t>
  </si>
  <si>
    <t>2539.63万</t>
  </si>
  <si>
    <t>342.55万</t>
  </si>
  <si>
    <t>123.15亿</t>
  </si>
  <si>
    <t>110.62亿</t>
  </si>
  <si>
    <t>29.63亿</t>
  </si>
  <si>
    <t>51.88亿</t>
  </si>
  <si>
    <t>156.81亿</t>
  </si>
  <si>
    <t>156.78亿</t>
  </si>
  <si>
    <t>-14.93亿</t>
  </si>
  <si>
    <t>17.85亿</t>
  </si>
  <si>
    <t>6563.03万</t>
  </si>
  <si>
    <t>-308.83万</t>
  </si>
  <si>
    <t>1542.62万</t>
  </si>
  <si>
    <t>86.96万</t>
  </si>
  <si>
    <t>25.93亿</t>
  </si>
  <si>
    <t>4016.43万</t>
  </si>
  <si>
    <t>14.16亿</t>
  </si>
  <si>
    <t>838.05万</t>
  </si>
  <si>
    <t>5247.34万</t>
  </si>
  <si>
    <t>16.16万</t>
  </si>
  <si>
    <t>14.06亿</t>
  </si>
  <si>
    <t>15.66亿</t>
  </si>
  <si>
    <t>17.88亿</t>
  </si>
  <si>
    <t>55.03亿</t>
  </si>
  <si>
    <t>-2.00亿</t>
  </si>
  <si>
    <t>544.09万</t>
  </si>
  <si>
    <t>10派0.439996元(含税)</t>
  </si>
  <si>
    <t>406.78万</t>
  </si>
  <si>
    <t>2696.31万</t>
  </si>
  <si>
    <t>91.55万</t>
  </si>
  <si>
    <t>1047.65万</t>
  </si>
  <si>
    <t>1169.94万</t>
  </si>
  <si>
    <t>2.66万</t>
  </si>
  <si>
    <t>2814.15万</t>
  </si>
  <si>
    <t>3922.47万</t>
  </si>
  <si>
    <t>-6639.40万</t>
  </si>
  <si>
    <t>-588.90万</t>
  </si>
  <si>
    <t>6683.93万</t>
  </si>
  <si>
    <t>1587.84万</t>
  </si>
  <si>
    <t>621.77万</t>
  </si>
  <si>
    <t>8231.52万</t>
  </si>
  <si>
    <t>597.87万</t>
  </si>
  <si>
    <t>9850.07万</t>
  </si>
  <si>
    <t>262.87万</t>
  </si>
  <si>
    <t>1802.09万</t>
  </si>
  <si>
    <t>2.00万</t>
  </si>
  <si>
    <t>1852.64万</t>
  </si>
  <si>
    <t>18.90亿</t>
  </si>
  <si>
    <t>-3.93亿</t>
  </si>
  <si>
    <t>567.74万</t>
  </si>
  <si>
    <t>2695.26万</t>
  </si>
  <si>
    <t>8498.19万</t>
  </si>
  <si>
    <t>232.53万</t>
  </si>
  <si>
    <t>140.29万</t>
  </si>
  <si>
    <t>2244.55万</t>
  </si>
  <si>
    <t>264.18万</t>
  </si>
  <si>
    <t>3844.17万</t>
  </si>
  <si>
    <t>8719.21万</t>
  </si>
  <si>
    <t>11.05亿</t>
  </si>
  <si>
    <t>-6768.62万</t>
  </si>
  <si>
    <t>1220.58万</t>
  </si>
  <si>
    <t>1599.21万</t>
  </si>
  <si>
    <t>8090.78万</t>
  </si>
  <si>
    <t>52.36万</t>
  </si>
  <si>
    <t>19.49亿</t>
  </si>
  <si>
    <t>204.03万</t>
  </si>
  <si>
    <t>928.12万</t>
  </si>
  <si>
    <t>1.60万</t>
  </si>
  <si>
    <t>4035.02万</t>
  </si>
  <si>
    <t>9985.01万</t>
  </si>
  <si>
    <t>2899.79万</t>
  </si>
  <si>
    <t>7328.63万</t>
  </si>
  <si>
    <t>-2142.37万</t>
  </si>
  <si>
    <t>-2464.23万</t>
  </si>
  <si>
    <t>-1222.71万</t>
  </si>
  <si>
    <t>3992.29万</t>
  </si>
  <si>
    <t>257.41万</t>
  </si>
  <si>
    <t>1965.44万</t>
  </si>
  <si>
    <t>4545.88万</t>
  </si>
  <si>
    <t>55.53亿</t>
  </si>
  <si>
    <t>3286.90万</t>
  </si>
  <si>
    <t>139.81万</t>
  </si>
  <si>
    <t>394.48万</t>
  </si>
  <si>
    <t>-3.48亿</t>
  </si>
  <si>
    <t>2906.68万</t>
  </si>
  <si>
    <t>-218.83万</t>
  </si>
  <si>
    <t>098607000</t>
  </si>
  <si>
    <t>0197214000</t>
  </si>
  <si>
    <t>0328690000</t>
  </si>
  <si>
    <t>0657380000</t>
  </si>
  <si>
    <t>104.24万</t>
  </si>
  <si>
    <t>148.56万</t>
  </si>
  <si>
    <t>330.94万</t>
  </si>
  <si>
    <t>684.89万</t>
  </si>
  <si>
    <t>4664.06万</t>
  </si>
  <si>
    <t>3959.30万</t>
  </si>
  <si>
    <t>5786.63万</t>
  </si>
  <si>
    <t>-1359.02万</t>
  </si>
  <si>
    <t>-2659.40万</t>
  </si>
  <si>
    <t>-385.13万</t>
  </si>
  <si>
    <t>5079.77万</t>
  </si>
  <si>
    <t>652.53万</t>
  </si>
  <si>
    <t>4556.07万</t>
  </si>
  <si>
    <t>298.70万</t>
  </si>
  <si>
    <t>525.90万</t>
  </si>
  <si>
    <t>2521.11万</t>
  </si>
  <si>
    <t>43.85万</t>
  </si>
  <si>
    <t>56.13亿</t>
  </si>
  <si>
    <t>-6024.82万</t>
  </si>
  <si>
    <t>1817.52万</t>
  </si>
  <si>
    <t>122.11万</t>
  </si>
  <si>
    <t>7823.81万</t>
  </si>
  <si>
    <t>411.37万</t>
  </si>
  <si>
    <t>3181.19万</t>
  </si>
  <si>
    <t>136.87万</t>
  </si>
  <si>
    <t>13.65亿</t>
  </si>
  <si>
    <t>10.71亿</t>
  </si>
  <si>
    <t>29.14亿</t>
  </si>
  <si>
    <t>7.18亿</t>
  </si>
  <si>
    <t>-1.59亿</t>
  </si>
  <si>
    <t>2472.06万</t>
  </si>
  <si>
    <t>620.48万</t>
  </si>
  <si>
    <t>4180.85万</t>
  </si>
  <si>
    <t>88.64万</t>
  </si>
  <si>
    <t>30.12亿</t>
  </si>
  <si>
    <t>-5580.34万</t>
  </si>
  <si>
    <t>8181.56万</t>
  </si>
  <si>
    <t>2067.46万</t>
  </si>
  <si>
    <t>1758.74万</t>
  </si>
  <si>
    <t>8694.16万</t>
  </si>
  <si>
    <t>3769.93万</t>
  </si>
  <si>
    <t>487.72万</t>
  </si>
  <si>
    <t>-9848.18万</t>
  </si>
  <si>
    <t>-4770.12万</t>
  </si>
  <si>
    <t>-1188.06万</t>
  </si>
  <si>
    <t>525.92万</t>
  </si>
  <si>
    <t>5684.51万</t>
  </si>
  <si>
    <t>34.74万</t>
  </si>
  <si>
    <t>60.30亿</t>
  </si>
  <si>
    <t>4047.69万</t>
  </si>
  <si>
    <t>370.58万</t>
  </si>
  <si>
    <t>1601.29万</t>
  </si>
  <si>
    <t>-2.08亿</t>
  </si>
  <si>
    <t>4754.17万</t>
  </si>
  <si>
    <t>199.50万</t>
  </si>
  <si>
    <t>1472.69万</t>
  </si>
  <si>
    <t>29.72万</t>
  </si>
  <si>
    <t>27.44亿</t>
  </si>
  <si>
    <t>7862.39万</t>
  </si>
  <si>
    <t>77.65万</t>
  </si>
  <si>
    <t>2140.27万</t>
  </si>
  <si>
    <t>1.11万</t>
  </si>
  <si>
    <t>3715.81万</t>
  </si>
  <si>
    <t>3094.07万</t>
  </si>
  <si>
    <t>318.54万</t>
  </si>
  <si>
    <t>2768.58万</t>
  </si>
  <si>
    <t>-6481.10万</t>
  </si>
  <si>
    <t>8385.71万</t>
  </si>
  <si>
    <t>1532.58万</t>
  </si>
  <si>
    <t>225.59万</t>
  </si>
  <si>
    <t>2181.75万</t>
  </si>
  <si>
    <t>16-1</t>
  </si>
  <si>
    <t>581.24万</t>
  </si>
  <si>
    <t>114.79亿</t>
  </si>
  <si>
    <t>43.62亿</t>
  </si>
  <si>
    <t>991.98万</t>
  </si>
  <si>
    <t>7301.07万</t>
  </si>
  <si>
    <t>33.90万</t>
  </si>
  <si>
    <t>29.89亿</t>
  </si>
  <si>
    <t>47.34亿</t>
  </si>
  <si>
    <t>108.74亿</t>
  </si>
  <si>
    <t>35.33亿</t>
  </si>
  <si>
    <t>-9702.72万</t>
  </si>
  <si>
    <t>4156.10万</t>
  </si>
  <si>
    <t>298.57万</t>
  </si>
  <si>
    <t>19.95亿</t>
  </si>
  <si>
    <t>247.46万</t>
  </si>
  <si>
    <t>1902.65万</t>
  </si>
  <si>
    <t>64.65万</t>
  </si>
  <si>
    <t>7430.38万</t>
  </si>
  <si>
    <t>1135.58万</t>
  </si>
  <si>
    <t>25.95万</t>
  </si>
  <si>
    <t>8449.51万</t>
  </si>
  <si>
    <t>-2321.90万</t>
  </si>
  <si>
    <t>-1709.98万</t>
  </si>
  <si>
    <t>-5980.90万</t>
  </si>
  <si>
    <t>1519.08万</t>
  </si>
  <si>
    <t>1317.47万</t>
  </si>
  <si>
    <t>9111.31万</t>
  </si>
  <si>
    <t>0114000000</t>
  </si>
  <si>
    <t>0342000000</t>
  </si>
  <si>
    <t>0684000000</t>
  </si>
  <si>
    <t>01140000000</t>
  </si>
  <si>
    <t>02280000000</t>
  </si>
  <si>
    <t>762.75万</t>
  </si>
  <si>
    <t>8095.65万</t>
  </si>
  <si>
    <t>452.98万</t>
  </si>
  <si>
    <t>3177.97万</t>
  </si>
  <si>
    <t>29.24万</t>
  </si>
  <si>
    <t>37.99亿</t>
  </si>
  <si>
    <t>9.78亿</t>
  </si>
  <si>
    <t>81.71亿</t>
  </si>
  <si>
    <t>-2899.72万</t>
  </si>
  <si>
    <t>3192.37万</t>
  </si>
  <si>
    <t>-1199.80万</t>
  </si>
  <si>
    <t>5478.74万</t>
  </si>
  <si>
    <t>440.79万</t>
  </si>
  <si>
    <t>19.75亿</t>
  </si>
  <si>
    <t>7591.71万</t>
  </si>
  <si>
    <t>178.71万</t>
  </si>
  <si>
    <t>1021.72万</t>
  </si>
  <si>
    <t>8016.64万</t>
  </si>
  <si>
    <t>601.51万</t>
  </si>
  <si>
    <t>-1733.23万</t>
  </si>
  <si>
    <t>-2286.35万</t>
  </si>
  <si>
    <t>1814.62万</t>
  </si>
  <si>
    <t>1479.09万</t>
  </si>
  <si>
    <t>n/a</t>
  </si>
  <si>
    <t>29-0</t>
  </si>
  <si>
    <t>74.94亿</t>
  </si>
  <si>
    <t>334.97亿</t>
  </si>
  <si>
    <t>87.72万</t>
  </si>
  <si>
    <t>28.77亿</t>
  </si>
  <si>
    <t>90.02万</t>
  </si>
  <si>
    <t>-5973.87万</t>
  </si>
  <si>
    <t>92.31亿</t>
  </si>
  <si>
    <t>680.87万</t>
  </si>
  <si>
    <t>17.94亿</t>
  </si>
  <si>
    <t>7636.78亿</t>
  </si>
  <si>
    <t>131.04亿</t>
  </si>
  <si>
    <t>233.32万</t>
  </si>
  <si>
    <t>3.59万</t>
  </si>
  <si>
    <t>5910.08万</t>
  </si>
  <si>
    <t>-1203.47万</t>
  </si>
  <si>
    <t>-1005.01万</t>
  </si>
  <si>
    <t>1674.65亿</t>
  </si>
  <si>
    <t>2875.18万</t>
  </si>
  <si>
    <t>163.28万</t>
  </si>
  <si>
    <t>1.42万</t>
  </si>
  <si>
    <t>93.58万</t>
  </si>
  <si>
    <t>7594.21万</t>
  </si>
  <si>
    <t>3170.15万</t>
  </si>
  <si>
    <t>4.74万</t>
  </si>
  <si>
    <t>2655.61万</t>
  </si>
  <si>
    <t>-4130.69万</t>
  </si>
  <si>
    <t>-1387.16万</t>
  </si>
  <si>
    <t>6361.76万</t>
  </si>
  <si>
    <t>-1570.69万</t>
  </si>
  <si>
    <t>1165.34万</t>
  </si>
  <si>
    <t>8262.36万</t>
  </si>
  <si>
    <t>916.14万</t>
  </si>
  <si>
    <t>31.76亿</t>
  </si>
  <si>
    <t>542.54万</t>
  </si>
  <si>
    <t>5764.83万</t>
  </si>
  <si>
    <t>464.28万</t>
  </si>
  <si>
    <t>38.12亿</t>
  </si>
  <si>
    <t>12.28亿</t>
  </si>
  <si>
    <t>4390.67万</t>
  </si>
  <si>
    <t>4570.57万</t>
  </si>
  <si>
    <t>340.62万</t>
  </si>
  <si>
    <t>70.52亿</t>
  </si>
  <si>
    <t>301.05万</t>
  </si>
  <si>
    <t>414.62万</t>
  </si>
  <si>
    <t>-70.23万</t>
  </si>
  <si>
    <t>3155.83万</t>
  </si>
  <si>
    <t>52.00万</t>
  </si>
  <si>
    <t>1793.93万</t>
  </si>
  <si>
    <t>5682.90万</t>
  </si>
  <si>
    <t>-3318.35万</t>
  </si>
  <si>
    <t>-79.76万</t>
  </si>
  <si>
    <t>2391.20万</t>
  </si>
  <si>
    <t>杉杉股份</t>
  </si>
  <si>
    <t>1113.20万</t>
  </si>
  <si>
    <t>236.70亿</t>
  </si>
  <si>
    <t>32.19亿</t>
  </si>
  <si>
    <t>5061.60万</t>
  </si>
  <si>
    <t>193.53万</t>
  </si>
  <si>
    <t>56.15亿</t>
  </si>
  <si>
    <t>66.56亿</t>
  </si>
  <si>
    <t>74.19亿</t>
  </si>
  <si>
    <t>82.71万</t>
  </si>
  <si>
    <t>150.77亿</t>
  </si>
  <si>
    <t>84.57亿</t>
  </si>
  <si>
    <t>-9.08亿</t>
  </si>
  <si>
    <t>13.58亿</t>
  </si>
  <si>
    <t>9420.06万</t>
  </si>
  <si>
    <t>683.62万</t>
  </si>
  <si>
    <t>95.75亿</t>
  </si>
  <si>
    <t>9137.89亿</t>
  </si>
  <si>
    <t>856.65亿</t>
  </si>
  <si>
    <t>33.74亿</t>
  </si>
  <si>
    <t>28.57亿</t>
  </si>
  <si>
    <t>76.80万</t>
  </si>
  <si>
    <t>16.59亿</t>
  </si>
  <si>
    <t>16.40亿</t>
  </si>
  <si>
    <t>40.16亿</t>
  </si>
  <si>
    <t>6868.94万</t>
  </si>
  <si>
    <t>2537.78亿</t>
  </si>
  <si>
    <t>383.52亿</t>
  </si>
  <si>
    <t>3541.10万</t>
  </si>
  <si>
    <t>石大胜华</t>
  </si>
  <si>
    <t>117.04万</t>
  </si>
  <si>
    <t>43.98亿</t>
  </si>
  <si>
    <t>1065.02万</t>
  </si>
  <si>
    <t>3298.41万</t>
  </si>
  <si>
    <t>458.55万</t>
  </si>
  <si>
    <t>17.35亿</t>
  </si>
  <si>
    <t>-2.58亿</t>
  </si>
  <si>
    <t>-1.49亿</t>
  </si>
  <si>
    <t>808.53万</t>
  </si>
  <si>
    <t>6825.63万</t>
  </si>
  <si>
    <t>0530000000</t>
  </si>
  <si>
    <t>01590000000</t>
  </si>
  <si>
    <t>03180000000</t>
  </si>
  <si>
    <t>05300000000</t>
  </si>
  <si>
    <t>010600000000</t>
  </si>
  <si>
    <t>196.85万</t>
  </si>
  <si>
    <t>38.07亿</t>
  </si>
  <si>
    <t>5337.05万</t>
  </si>
  <si>
    <t>93.20万</t>
  </si>
  <si>
    <t>1195.86万</t>
  </si>
  <si>
    <t>5990.85万</t>
  </si>
  <si>
    <t>1125.86万</t>
  </si>
  <si>
    <t>9119.79万</t>
  </si>
  <si>
    <t>309.82万</t>
  </si>
  <si>
    <t>38.95亿</t>
  </si>
  <si>
    <t>6828.39万</t>
  </si>
  <si>
    <t>4201.80万</t>
  </si>
  <si>
    <t>365.15万</t>
  </si>
  <si>
    <t>1269.37万</t>
  </si>
  <si>
    <t>9514.18万</t>
  </si>
  <si>
    <t>843.19万</t>
  </si>
  <si>
    <t>3093.98万</t>
  </si>
  <si>
    <t>124.42万</t>
  </si>
  <si>
    <t>1191.23万</t>
  </si>
  <si>
    <t>-8347.10万</t>
  </si>
  <si>
    <t>-985.85万</t>
  </si>
  <si>
    <t>3979.66万</t>
  </si>
  <si>
    <t>1610.87万</t>
  </si>
  <si>
    <t>1575.99万</t>
  </si>
  <si>
    <t>192.60亿</t>
  </si>
  <si>
    <t>24.92亿</t>
  </si>
  <si>
    <t>4687.95万</t>
  </si>
  <si>
    <t>64.53万</t>
  </si>
  <si>
    <t>65.89亿</t>
  </si>
  <si>
    <t>61.36亿</t>
  </si>
  <si>
    <t>20.78亿</t>
  </si>
  <si>
    <t>34.94亿</t>
  </si>
  <si>
    <t>174.85亿</t>
  </si>
  <si>
    <t>45.02亿</t>
  </si>
  <si>
    <t>-13.60亿</t>
  </si>
  <si>
    <t>-6.23亿</t>
  </si>
  <si>
    <t>-6850.94万</t>
  </si>
  <si>
    <t>8545.46万</t>
  </si>
  <si>
    <t>366.73万</t>
  </si>
  <si>
    <t>17.07亿</t>
  </si>
  <si>
    <t>4380.78万</t>
  </si>
  <si>
    <t>9363.74万</t>
  </si>
  <si>
    <t>289.60万</t>
  </si>
  <si>
    <t>495.13万</t>
  </si>
  <si>
    <t>47.55亿</t>
  </si>
  <si>
    <t>22.56亿</t>
  </si>
  <si>
    <t>93.83亿</t>
  </si>
  <si>
    <t>25.56亿</t>
  </si>
  <si>
    <t>9682.87万</t>
  </si>
  <si>
    <t>-10.83亿</t>
  </si>
  <si>
    <t>2887.72万</t>
  </si>
  <si>
    <t>2081.92万</t>
  </si>
  <si>
    <t>1015.29万</t>
  </si>
  <si>
    <t>9246.80万</t>
  </si>
  <si>
    <t>861.64万</t>
  </si>
  <si>
    <t>3259.63万</t>
  </si>
  <si>
    <t>5.55万</t>
  </si>
  <si>
    <t>-2142.11万</t>
  </si>
  <si>
    <t>-296.20万</t>
  </si>
  <si>
    <t>3412.01万</t>
  </si>
  <si>
    <t>1296.08万</t>
  </si>
  <si>
    <t>5347.77万</t>
  </si>
  <si>
    <t>野马电池</t>
  </si>
  <si>
    <t>126.13万</t>
  </si>
  <si>
    <t>5757.59万</t>
  </si>
  <si>
    <t>460.94万</t>
  </si>
  <si>
    <t>1053.23万</t>
  </si>
  <si>
    <t>268.14万</t>
  </si>
  <si>
    <t>2089.00万</t>
  </si>
  <si>
    <t>-1154.42万</t>
  </si>
  <si>
    <t>-3295.66万</t>
  </si>
  <si>
    <t>-2.31万</t>
  </si>
  <si>
    <t>2391.66万</t>
  </si>
  <si>
    <t>880.20万</t>
  </si>
  <si>
    <t>8246.64万</t>
  </si>
  <si>
    <t>452.31万</t>
  </si>
  <si>
    <t>100.89亿</t>
  </si>
  <si>
    <t>37.24亿</t>
  </si>
  <si>
    <t>978.37万</t>
  </si>
  <si>
    <t>9692.03万</t>
  </si>
  <si>
    <t>16.06万</t>
  </si>
  <si>
    <t>48.09亿</t>
  </si>
  <si>
    <t>18.47亿</t>
  </si>
  <si>
    <t>32.60亿</t>
  </si>
  <si>
    <t>83.35亿</t>
  </si>
  <si>
    <t>57.10亿</t>
  </si>
  <si>
    <t>-10.01亿</t>
  </si>
  <si>
    <t>2692.66万</t>
  </si>
  <si>
    <t>145.96万</t>
  </si>
  <si>
    <t>52.90亿</t>
  </si>
  <si>
    <t>2006.78万</t>
  </si>
  <si>
    <t>3112.86万</t>
  </si>
  <si>
    <t>577.94万</t>
  </si>
  <si>
    <t>8461.17万</t>
  </si>
  <si>
    <t>1213.50万</t>
  </si>
  <si>
    <t>9.15亿</t>
  </si>
  <si>
    <t>24.56万</t>
  </si>
  <si>
    <t>3551.14万</t>
  </si>
  <si>
    <t>-463.77万</t>
  </si>
  <si>
    <t>1365.47万</t>
  </si>
  <si>
    <t>1039.68万</t>
  </si>
  <si>
    <t>7536.88万</t>
  </si>
  <si>
    <t>222.65万</t>
  </si>
  <si>
    <t>94.99亿</t>
  </si>
  <si>
    <t>21.14亿</t>
  </si>
  <si>
    <t>1879.38万</t>
  </si>
  <si>
    <t>1965.16万</t>
  </si>
  <si>
    <t>6.30万</t>
  </si>
  <si>
    <t>48.90亿</t>
  </si>
  <si>
    <t>363.51万</t>
  </si>
  <si>
    <t>8.81亿</t>
  </si>
  <si>
    <t>500.42万</t>
  </si>
  <si>
    <t>14.47亿</t>
  </si>
  <si>
    <t>-4336.76万</t>
  </si>
  <si>
    <t>5744.14万</t>
  </si>
  <si>
    <t>1376.46万</t>
  </si>
  <si>
    <t>7835.02万</t>
  </si>
  <si>
    <t>591.48万</t>
  </si>
  <si>
    <t>28.31亿</t>
  </si>
  <si>
    <t>7033.71万</t>
  </si>
  <si>
    <t>288.19万</t>
  </si>
  <si>
    <t>1754.02万</t>
  </si>
  <si>
    <t>3248.44万</t>
  </si>
  <si>
    <t>10.03亿</t>
  </si>
  <si>
    <t>6806.25万</t>
  </si>
  <si>
    <t>8151.66万</t>
  </si>
  <si>
    <t>1403.29万</t>
  </si>
  <si>
    <t>3533.37万</t>
  </si>
  <si>
    <t>367.67万</t>
  </si>
  <si>
    <t>7704.58万</t>
  </si>
  <si>
    <t>102.91万</t>
  </si>
  <si>
    <t>1512.56万</t>
  </si>
  <si>
    <t>2439.53万</t>
  </si>
  <si>
    <t>4920.41万</t>
  </si>
  <si>
    <t>9280.94万</t>
  </si>
  <si>
    <t>1.13万</t>
  </si>
  <si>
    <t>7.28亿</t>
  </si>
  <si>
    <t>-3055.73万</t>
  </si>
  <si>
    <t>7043.84万</t>
  </si>
  <si>
    <t>2352.01万</t>
  </si>
  <si>
    <t>2422.72万</t>
  </si>
  <si>
    <t>47.28万</t>
  </si>
  <si>
    <t>2696.95万</t>
  </si>
  <si>
    <t>794.49万</t>
  </si>
  <si>
    <t>3161.32万</t>
  </si>
  <si>
    <t>22.22万</t>
  </si>
  <si>
    <t>5646.39万</t>
  </si>
  <si>
    <t>4526.29万</t>
  </si>
  <si>
    <t>24.29亿</t>
  </si>
  <si>
    <t>-2732.83万</t>
  </si>
  <si>
    <t>5574.68万</t>
  </si>
  <si>
    <t>368.06万</t>
  </si>
  <si>
    <t>539.36万</t>
  </si>
  <si>
    <t>1492.43万</t>
  </si>
  <si>
    <t>21.35万</t>
  </si>
  <si>
    <t>-14.83亿</t>
  </si>
  <si>
    <t>1084.84万</t>
  </si>
  <si>
    <t>5078.18万</t>
  </si>
  <si>
    <t>1490.87万</t>
  </si>
  <si>
    <t>13.79万</t>
  </si>
  <si>
    <t>-1.12亿</t>
  </si>
  <si>
    <t>-3.07亿</t>
  </si>
  <si>
    <t>148.35万</t>
  </si>
  <si>
    <t>1160.68万</t>
  </si>
  <si>
    <t>67.85万</t>
  </si>
  <si>
    <t>64.16亿</t>
  </si>
  <si>
    <t>13.82亿</t>
  </si>
  <si>
    <t>11.65亿</t>
  </si>
  <si>
    <t>1083.88万</t>
  </si>
  <si>
    <t>6858.59万</t>
  </si>
  <si>
    <t>138.72万</t>
  </si>
  <si>
    <t>1541.79万</t>
  </si>
  <si>
    <t>35.87亿</t>
  </si>
  <si>
    <t>36.65亿</t>
  </si>
  <si>
    <t>1838.10万</t>
  </si>
  <si>
    <t>347.33万</t>
  </si>
  <si>
    <t>2146.95万</t>
  </si>
  <si>
    <t>101.21万</t>
  </si>
  <si>
    <t>-3.83亿</t>
  </si>
  <si>
    <t>2163.76万</t>
  </si>
  <si>
    <t>1615.17万</t>
  </si>
  <si>
    <t>5471.96万</t>
  </si>
  <si>
    <t>5764.72万</t>
  </si>
  <si>
    <t>2452.32万</t>
  </si>
  <si>
    <t>3594.27万</t>
  </si>
  <si>
    <t>-7989.03万</t>
  </si>
  <si>
    <t>-2296.74万</t>
  </si>
  <si>
    <t>9211.00万</t>
  </si>
  <si>
    <t>5513.22万</t>
  </si>
  <si>
    <t>-9027.40万</t>
  </si>
  <si>
    <t>513.07万</t>
  </si>
  <si>
    <t>3587.30万</t>
  </si>
  <si>
    <t>25.06万</t>
  </si>
  <si>
    <t>162.32亿</t>
  </si>
  <si>
    <t>1591.89万</t>
  </si>
  <si>
    <t>2333.45万</t>
  </si>
  <si>
    <t>21.91万</t>
  </si>
  <si>
    <t>3985.42万</t>
  </si>
  <si>
    <t>5409.82万</t>
  </si>
  <si>
    <t>-3762.72万</t>
  </si>
  <si>
    <t>43.74亿</t>
  </si>
  <si>
    <t>155.12万</t>
  </si>
  <si>
    <t>1309.97万</t>
  </si>
  <si>
    <t>28.19万</t>
  </si>
  <si>
    <t>1466.35万</t>
  </si>
  <si>
    <t>133.27万</t>
  </si>
  <si>
    <t>2046.49万</t>
  </si>
  <si>
    <t>5173.64万</t>
  </si>
  <si>
    <t>344.33万</t>
  </si>
  <si>
    <t>-3407.29万</t>
  </si>
  <si>
    <t>-15.91亿</t>
  </si>
  <si>
    <t>-273.36万</t>
  </si>
  <si>
    <t>1004.15万</t>
  </si>
  <si>
    <t>193.35万</t>
  </si>
  <si>
    <t>1471.73万</t>
  </si>
  <si>
    <t>487.46万</t>
  </si>
  <si>
    <t>72.18亿</t>
  </si>
  <si>
    <t>373.81万</t>
  </si>
  <si>
    <t>3620.22万</t>
  </si>
  <si>
    <t>13.31万</t>
  </si>
  <si>
    <t>25.94亿</t>
  </si>
  <si>
    <t>-8809.77万</t>
  </si>
  <si>
    <t>8810.82万</t>
  </si>
  <si>
    <t>3735.30万</t>
  </si>
  <si>
    <t>77.67万</t>
  </si>
  <si>
    <t>4005.72万</t>
  </si>
  <si>
    <t>5352.94万</t>
  </si>
  <si>
    <t>2079.37万</t>
  </si>
  <si>
    <t>1478.60万</t>
  </si>
  <si>
    <t>5061.58万</t>
  </si>
  <si>
    <t>275.14万</t>
  </si>
  <si>
    <t>1650.74万</t>
  </si>
  <si>
    <t>3932.99万</t>
  </si>
  <si>
    <t>-6783.71万</t>
  </si>
  <si>
    <t>-2.61亿</t>
  </si>
  <si>
    <t>-5688.78万</t>
  </si>
  <si>
    <t>9074.47万</t>
  </si>
  <si>
    <t>781.99万</t>
  </si>
  <si>
    <t>479.28万</t>
  </si>
  <si>
    <t>1777.20万</t>
  </si>
  <si>
    <t>156.39万</t>
  </si>
  <si>
    <t>22.45亿</t>
  </si>
  <si>
    <t>5011.48万</t>
  </si>
  <si>
    <t>268.07万</t>
  </si>
  <si>
    <t>16.42亿</t>
  </si>
  <si>
    <t>-5188.92万</t>
  </si>
  <si>
    <t>9513.98万</t>
  </si>
  <si>
    <t>-432.95万</t>
  </si>
  <si>
    <t>767.42万</t>
  </si>
  <si>
    <t>5797.41万</t>
  </si>
  <si>
    <t>491.17万</t>
  </si>
  <si>
    <t>101.55亿</t>
  </si>
  <si>
    <t>25.16亿</t>
  </si>
  <si>
    <t>31.07亿</t>
  </si>
  <si>
    <t>42.25万</t>
  </si>
  <si>
    <t>96.55亿</t>
  </si>
  <si>
    <t>73.40亿</t>
  </si>
  <si>
    <t>147.29亿</t>
  </si>
  <si>
    <t>-6.68亿</t>
  </si>
  <si>
    <t>511.61万</t>
  </si>
  <si>
    <t>2881.65万</t>
  </si>
  <si>
    <t>59.07万</t>
  </si>
  <si>
    <t>20.53亿</t>
  </si>
  <si>
    <t>8785.94万</t>
  </si>
  <si>
    <t>4568.68万</t>
  </si>
  <si>
    <t>1125.40万</t>
  </si>
  <si>
    <t>896.07万</t>
  </si>
  <si>
    <t>10.47万</t>
  </si>
  <si>
    <t>1922.04万</t>
  </si>
  <si>
    <t>7004.04万</t>
  </si>
  <si>
    <t>9138.63万</t>
  </si>
  <si>
    <t>-4562.57万</t>
  </si>
  <si>
    <t>-891.94万</t>
  </si>
  <si>
    <t>8123.84万</t>
  </si>
  <si>
    <t>497.88万</t>
  </si>
  <si>
    <t>4588.06万</t>
  </si>
  <si>
    <t>14.48万</t>
  </si>
  <si>
    <t>19.38亿</t>
  </si>
  <si>
    <t>613.60万</t>
  </si>
  <si>
    <t>1192.93万</t>
  </si>
  <si>
    <t>2.13万</t>
  </si>
  <si>
    <t>1925.52万</t>
  </si>
  <si>
    <t>5806.26万</t>
  </si>
  <si>
    <t>3835.76万</t>
  </si>
  <si>
    <t>8119.83万</t>
  </si>
  <si>
    <t>122.43万</t>
  </si>
  <si>
    <t>893.62万</t>
  </si>
  <si>
    <t>285.09万</t>
  </si>
  <si>
    <t>48.35亿</t>
  </si>
  <si>
    <t>153.76万</t>
  </si>
  <si>
    <t>1790.78万</t>
  </si>
  <si>
    <t>4.02万</t>
  </si>
  <si>
    <t>10.77亿</t>
  </si>
  <si>
    <t>-13.18亿</t>
  </si>
  <si>
    <t>-5249.97万</t>
  </si>
  <si>
    <t>7496.43万</t>
  </si>
  <si>
    <t>1419.07万</t>
  </si>
  <si>
    <t>113.29万</t>
  </si>
  <si>
    <t>4231.86万</t>
  </si>
  <si>
    <t>9674.11万</t>
  </si>
  <si>
    <t>442.81万</t>
  </si>
  <si>
    <t>1960.58万</t>
  </si>
  <si>
    <t>3843.76万</t>
  </si>
  <si>
    <t>7443.92万</t>
  </si>
  <si>
    <t>-3428.12万</t>
  </si>
  <si>
    <t>-4.36亿</t>
  </si>
  <si>
    <t>618.55万</t>
  </si>
  <si>
    <t>798.47万</t>
  </si>
  <si>
    <t>7797.65万</t>
  </si>
  <si>
    <t>1614.53万</t>
  </si>
  <si>
    <t>71.85亿</t>
  </si>
  <si>
    <t>9035.50万</t>
  </si>
  <si>
    <t>19.20亿</t>
  </si>
  <si>
    <t>1252.48万</t>
  </si>
  <si>
    <t>77.35万</t>
  </si>
  <si>
    <t>42.40亿</t>
  </si>
  <si>
    <t>1992.89万</t>
  </si>
  <si>
    <t>21.78亿</t>
  </si>
  <si>
    <t>16.78亿</t>
  </si>
  <si>
    <t>39.33亿</t>
  </si>
  <si>
    <t>95.48亿</t>
  </si>
  <si>
    <t>-10.28亿</t>
  </si>
  <si>
    <t>2044.51万</t>
  </si>
  <si>
    <t>8670.16万</t>
  </si>
  <si>
    <t>110.43万</t>
  </si>
  <si>
    <t>89.20亿</t>
  </si>
  <si>
    <t>32.08亿</t>
  </si>
  <si>
    <t>755.06万</t>
  </si>
  <si>
    <t>3968.14万</t>
  </si>
  <si>
    <t>13.72万</t>
  </si>
  <si>
    <t>45.57亿</t>
  </si>
  <si>
    <t>664.40万</t>
  </si>
  <si>
    <t>4730.82万</t>
  </si>
  <si>
    <t>918.83万</t>
  </si>
  <si>
    <t>75.53亿</t>
  </si>
  <si>
    <t>7987.97万</t>
  </si>
  <si>
    <t>335.51万</t>
  </si>
  <si>
    <t>2024.01万</t>
  </si>
  <si>
    <t>120.03万</t>
  </si>
  <si>
    <t>-15.53亿</t>
  </si>
  <si>
    <t>7916.68万</t>
  </si>
  <si>
    <t>1638.63万</t>
  </si>
  <si>
    <t>5087.23万</t>
  </si>
  <si>
    <t>155.80万</t>
  </si>
  <si>
    <t>161.47亿</t>
  </si>
  <si>
    <t>48.23亿</t>
  </si>
  <si>
    <t>91.38亿</t>
  </si>
  <si>
    <t>78.49亿</t>
  </si>
  <si>
    <t>1800.30万</t>
  </si>
  <si>
    <t>180.05亿</t>
  </si>
  <si>
    <t>65.72亿</t>
  </si>
  <si>
    <t>70.10亿</t>
  </si>
  <si>
    <t>229.81亿</t>
  </si>
  <si>
    <t>27.32亿</t>
  </si>
  <si>
    <t>20.50亿</t>
  </si>
  <si>
    <t>-9.12亿</t>
  </si>
  <si>
    <t>28.96亿</t>
  </si>
  <si>
    <t>102.09亿</t>
  </si>
  <si>
    <t>10派6.5003元(含税)</t>
  </si>
  <si>
    <t>692.86万</t>
  </si>
  <si>
    <t>4956.08万</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</si>
</sst>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宋体"/>
      <family val="2"/>
      <charset val="134"/>
      <scheme val="minor"/>
    </font>
    <font>
      <sz val="9"/>
      <name val="宋体"/>
      <family val="2"/>
      <charset val="134"/>
      <scheme val="minor"/>
    </font>
    <font>
      <sz val="11"/>
      <color indexed="8"/>
      <name val="Calibri"/>
      <family val="2"/>
    </font>
    <font>
      <b/>
      <sz val="11"/>
      <color theme="1"/>
      <name val="宋体"/>
      <family val="3"/>
      <charset val="134"/>
      <scheme val="minor"/>
    </font>
    <font>
      <sz val="9"/>
      <color theme="1"/>
      <name val="宋体"/>
      <family val="3"/>
      <charset val="134"/>
      <scheme val="minor"/>
    </font>
    <font>
      <sz val="9"/>
      <color theme="1"/>
      <name val="宋体"/>
      <family val="2"/>
      <charset val="134"/>
      <scheme val="minor"/>
    </font>
    <font>
      <b/>
      <sz val="9"/>
      <color rgb="FFFF0000"/>
      <name val="宋体"/>
      <family val="3"/>
      <charset val="134"/>
      <scheme val="minor"/>
    </font>
    <font>
      <b/>
      <sz val="9"/>
      <color theme="1"/>
      <name val="宋体"/>
      <family val="3"/>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7">
    <xf numFmtId="0" fontId="0" fillId="0" borderId="0" xfId="0">
      <alignment vertical="center"/>
    </xf>
    <xf numFmtId="0" fontId="0" fillId="2" borderId="0" xfId="0" applyFill="1">
      <alignment vertical="center"/>
    </xf>
    <xf numFmtId="0" fontId="3" fillId="0" borderId="0" xfId="0" applyFont="1">
      <alignment vertical="center"/>
    </xf>
    <xf numFmtId="0" fontId="0" fillId="0" borderId="0" xfId="0" applyAlignment="1">
      <alignment vertical="center" wrapText="1"/>
    </xf>
    <xf numFmtId="0" fontId="0" fillId="0" borderId="1" xfId="0" applyBorder="1" applyAlignment="1">
      <alignment vertical="center" wrapText="1"/>
    </xf>
    <xf numFmtId="0" fontId="0" fillId="3" borderId="1" xfId="0"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4" fillId="0" borderId="0" xfId="0" applyFont="1" applyAlignment="1">
      <alignment vertical="center" wrapText="1"/>
    </xf>
    <xf numFmtId="0" fontId="5"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14" fontId="0" fillId="0" borderId="0" xfId="0" applyNumberFormat="1">
      <alignment vertical="center"/>
    </xf>
    <xf numFmtId="0" fontId="0" fillId="0" borderId="0" xfId="0" applyFill="1">
      <alignment vertical="center"/>
    </xf>
    <xf numFmtId="0" fontId="10" fillId="0"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412750</xdr:colOff>
          <xdr:row>0</xdr:row>
          <xdr:rowOff>50800</xdr:rowOff>
        </xdr:from>
        <xdr:to>
          <xdr:col>147</xdr:col>
          <xdr:colOff>1593850</xdr:colOff>
          <xdr:row>1</xdr:row>
          <xdr:rowOff>12700</xdr:rowOff>
        </xdr:to>
        <xdr:sp macro="" textlink="">
          <xdr:nvSpPr>
            <xdr:cNvPr id="1025" name="Button 1" descr="更新基本面按钮&#10;"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02"/>
  <sheetViews>
    <sheetView tabSelected="1" zoomScale="85" zoomScaleNormal="85" workbookViewId="0">
      <pane xSplit="5" ySplit="1" topLeftCell="F2" activePane="bottomRight" state="frozen"/>
      <selection pane="topRight" activeCell="F1" sqref="F1"/>
      <selection pane="bottomLeft" activeCell="A2" sqref="A2"/>
      <selection pane="bottomRight" activeCell="C3" sqref="C3:C4"/>
    </sheetView>
  </sheetViews>
  <sheetFormatPr defaultRowHeight="14" x14ac:dyDescent="0.25"/>
  <cols>
    <col min="1" max="1" width="41.81640625" customWidth="1"/>
    <col min="2" max="2" width="38.36328125" customWidth="1"/>
    <col min="3" max="3" width="47.36328125" customWidth="1"/>
    <col min="4" max="4" width="12.08984375" style="3" customWidth="1"/>
    <col min="9" max="9" width="10.90625" customWidth="1"/>
    <col min="148" max="148" width="24.90625" customWidth="1"/>
  </cols>
  <sheetData>
    <row r="1" spans="1:146" s="2" customFormat="1" ht="50.25" customHeight="1" x14ac:dyDescent="0.25">
      <c r="A1" s="4" t="s">
        <v>6</v>
      </c>
      <c r="B1" s="5" t="s">
        <v>7</v>
      </c>
      <c r="C1" s="4" t="s">
        <v>8</v>
      </c>
      <c r="D1" t="s">
        <v>939</v>
      </c>
      <c r="E1" t="s">
        <v>1069</v>
      </c>
      <c r="F1" t="s">
        <v>0</v>
      </c>
      <c r="G1" t="s">
        <v>942</v>
      </c>
      <c r="H1" t="s">
        <v>1451</v>
      </c>
      <c r="I1" t="s">
        <v>9</v>
      </c>
      <c r="J1" t="s">
        <v>10</v>
      </c>
      <c r="K1" t="s">
        <v>1</v>
      </c>
      <c r="L1" t="s">
        <v>11</v>
      </c>
      <c r="M1" t="s">
        <v>12</v>
      </c>
      <c r="N1" t="s">
        <v>13</v>
      </c>
      <c r="O1" t="s">
        <v>14</v>
      </c>
      <c r="P1" t="s">
        <v>1452</v>
      </c>
      <c r="Q1" t="s">
        <v>1453</v>
      </c>
      <c r="R1" t="s">
        <v>1070</v>
      </c>
      <c r="S1" t="s">
        <v>15</v>
      </c>
      <c r="T1" t="s">
        <v>1454</v>
      </c>
      <c r="U1" t="s">
        <v>943</v>
      </c>
      <c r="V1" t="s">
        <v>16</v>
      </c>
      <c r="W1" t="s">
        <v>1455</v>
      </c>
      <c r="X1" t="s">
        <v>1456</v>
      </c>
      <c r="Y1" t="s">
        <v>1457</v>
      </c>
      <c r="Z1" t="s">
        <v>1458</v>
      </c>
      <c r="AA1" t="s">
        <v>1459</v>
      </c>
      <c r="AB1" t="s">
        <v>1460</v>
      </c>
      <c r="AC1" t="s">
        <v>1461</v>
      </c>
      <c r="AD1" t="s">
        <v>1462</v>
      </c>
      <c r="AE1" t="s">
        <v>17</v>
      </c>
      <c r="AF1" t="s">
        <v>18</v>
      </c>
      <c r="AG1" t="s">
        <v>1463</v>
      </c>
      <c r="AH1" t="s">
        <v>1464</v>
      </c>
      <c r="AI1" t="s">
        <v>1465</v>
      </c>
      <c r="AJ1" t="s">
        <v>19</v>
      </c>
      <c r="AK1" t="s">
        <v>1466</v>
      </c>
      <c r="AL1" t="s">
        <v>227</v>
      </c>
      <c r="AM1" t="s">
        <v>1467</v>
      </c>
      <c r="AN1" t="s">
        <v>1468</v>
      </c>
      <c r="AO1" t="s">
        <v>1469</v>
      </c>
      <c r="AP1" t="s">
        <v>1470</v>
      </c>
      <c r="AQ1" t="s">
        <v>1471</v>
      </c>
      <c r="AR1" t="s">
        <v>1472</v>
      </c>
      <c r="AS1" t="s">
        <v>1473</v>
      </c>
      <c r="AT1" t="s">
        <v>1474</v>
      </c>
      <c r="AU1" t="s">
        <v>1475</v>
      </c>
      <c r="AV1" t="s">
        <v>1476</v>
      </c>
      <c r="AW1" t="s">
        <v>1477</v>
      </c>
      <c r="AX1" t="s">
        <v>1478</v>
      </c>
      <c r="AY1" t="s">
        <v>1479</v>
      </c>
      <c r="AZ1" t="s">
        <v>228</v>
      </c>
      <c r="BA1" t="s">
        <v>229</v>
      </c>
      <c r="BB1" t="s">
        <v>230</v>
      </c>
      <c r="BC1" t="s">
        <v>1480</v>
      </c>
      <c r="BD1" t="s">
        <v>974</v>
      </c>
      <c r="BE1" t="s">
        <v>231</v>
      </c>
      <c r="BF1" t="s">
        <v>232</v>
      </c>
      <c r="BG1" t="s">
        <v>233</v>
      </c>
      <c r="BH1" t="s">
        <v>1481</v>
      </c>
      <c r="BI1" t="s">
        <v>1482</v>
      </c>
      <c r="BJ1" t="s">
        <v>1483</v>
      </c>
      <c r="BK1" t="s">
        <v>1484</v>
      </c>
      <c r="BL1" t="s">
        <v>1485</v>
      </c>
      <c r="BM1" t="s">
        <v>1486</v>
      </c>
      <c r="BN1" t="s">
        <v>1487</v>
      </c>
      <c r="BO1" t="s">
        <v>1071</v>
      </c>
      <c r="BP1" t="s">
        <v>944</v>
      </c>
      <c r="BQ1" t="s">
        <v>1488</v>
      </c>
      <c r="BR1" t="s">
        <v>1072</v>
      </c>
      <c r="BS1" t="s">
        <v>945</v>
      </c>
      <c r="BT1" t="s">
        <v>1489</v>
      </c>
      <c r="BU1" t="s">
        <v>1130</v>
      </c>
      <c r="BV1" t="s">
        <v>1490</v>
      </c>
      <c r="BW1" t="s">
        <v>1491</v>
      </c>
      <c r="BX1" t="s">
        <v>444</v>
      </c>
      <c r="BY1" t="s">
        <v>1492</v>
      </c>
      <c r="BZ1" t="s">
        <v>1493</v>
      </c>
      <c r="CA1" t="s">
        <v>445</v>
      </c>
      <c r="CB1" t="s">
        <v>1494</v>
      </c>
      <c r="CC1" t="s">
        <v>1495</v>
      </c>
      <c r="CD1" t="s">
        <v>1496</v>
      </c>
      <c r="CE1" t="s">
        <v>1497</v>
      </c>
      <c r="CF1" t="s">
        <v>419</v>
      </c>
      <c r="CG1" t="s">
        <v>420</v>
      </c>
      <c r="CH1" t="s">
        <v>421</v>
      </c>
      <c r="CI1" t="s">
        <v>422</v>
      </c>
      <c r="CJ1" t="s">
        <v>423</v>
      </c>
      <c r="CK1" t="s">
        <v>424</v>
      </c>
      <c r="CL1" t="s">
        <v>425</v>
      </c>
      <c r="CM1" t="s">
        <v>426</v>
      </c>
      <c r="CN1" t="s">
        <v>427</v>
      </c>
      <c r="CO1" t="s">
        <v>428</v>
      </c>
      <c r="CP1" t="s">
        <v>429</v>
      </c>
      <c r="CQ1" t="s">
        <v>430</v>
      </c>
      <c r="CR1" t="s">
        <v>1498</v>
      </c>
      <c r="CS1" t="s">
        <v>1499</v>
      </c>
      <c r="CT1" t="s">
        <v>1500</v>
      </c>
      <c r="CU1" t="s">
        <v>1501</v>
      </c>
      <c r="CV1" t="s">
        <v>1502</v>
      </c>
      <c r="CW1" t="s">
        <v>1503</v>
      </c>
      <c r="CX1">
        <v>1</v>
      </c>
      <c r="CY1" t="s">
        <v>1504</v>
      </c>
      <c r="CZ1" t="s">
        <v>1505</v>
      </c>
      <c r="DA1">
        <v>3</v>
      </c>
      <c r="DB1" t="s">
        <v>1506</v>
      </c>
      <c r="DC1" t="s">
        <v>1507</v>
      </c>
      <c r="DD1">
        <v>6</v>
      </c>
      <c r="DE1" t="s">
        <v>1508</v>
      </c>
      <c r="DF1" t="s">
        <v>1509</v>
      </c>
      <c r="DG1">
        <v>10</v>
      </c>
      <c r="DH1" t="s">
        <v>1510</v>
      </c>
      <c r="DI1" t="s">
        <v>1511</v>
      </c>
      <c r="DJ1">
        <v>20</v>
      </c>
      <c r="DK1" t="s">
        <v>1512</v>
      </c>
      <c r="DL1" t="s">
        <v>431</v>
      </c>
      <c r="DM1" t="s">
        <v>432</v>
      </c>
      <c r="DN1" s="1" t="s">
        <v>433</v>
      </c>
      <c r="DO1" t="s">
        <v>1513</v>
      </c>
      <c r="DP1" t="s">
        <v>1514</v>
      </c>
      <c r="DQ1" s="12" t="s">
        <v>1515</v>
      </c>
      <c r="DR1" t="s">
        <v>1516</v>
      </c>
      <c r="DS1" t="s">
        <v>1517</v>
      </c>
      <c r="DT1" t="s">
        <v>1518</v>
      </c>
      <c r="DU1" t="s">
        <v>1519</v>
      </c>
      <c r="DV1" t="s">
        <v>1520</v>
      </c>
      <c r="DW1" t="s">
        <v>1521</v>
      </c>
      <c r="DX1" t="s">
        <v>1522</v>
      </c>
      <c r="DY1" t="s">
        <v>1523</v>
      </c>
      <c r="DZ1" t="s">
        <v>1524</v>
      </c>
      <c r="EA1" t="s">
        <v>1525</v>
      </c>
      <c r="EB1" t="s">
        <v>1526</v>
      </c>
      <c r="EC1" t="s">
        <v>1527</v>
      </c>
      <c r="ED1" t="s">
        <v>1528</v>
      </c>
      <c r="EE1" t="s">
        <v>1529</v>
      </c>
      <c r="EF1" t="s">
        <v>1530</v>
      </c>
      <c r="EG1" t="s">
        <v>1531</v>
      </c>
      <c r="EH1" t="s">
        <v>1532</v>
      </c>
      <c r="EI1" t="s">
        <v>1533</v>
      </c>
      <c r="EJ1"/>
      <c r="EK1" s="14" t="s">
        <v>1534</v>
      </c>
      <c r="EL1" t="s">
        <v>1535</v>
      </c>
      <c r="EM1" t="s">
        <v>1536</v>
      </c>
      <c r="EN1" t="s">
        <v>1537</v>
      </c>
      <c r="EO1" t="s">
        <v>1538</v>
      </c>
      <c r="EP1" t="s">
        <v>1539</v>
      </c>
    </row>
    <row r="2" spans="1:146" ht="96" x14ac:dyDescent="0.25">
      <c r="A2" s="8"/>
      <c r="B2" s="8"/>
      <c r="C2" s="8" t="str">
        <f>""&amp;CHAR(10)&amp;Basic_Fundamental_Information_Constructure(F2)&amp;CHAR(10)&amp;Basic_Fundamental_Information_Concatenate("")</f>
        <v xml:space="preserve">
市值216.39605亿, 利润7.56亿; PE36.81; 平均PE31.47; 平均PEG1.17, PB2.15; ROIC7%; ROE11.5133%; 股利率.5364%; 毛利23.16%; 净利7.7367%; 上一年度营收增-4.07%, 利润增-34.66%; 当季营收增-39.23%, 利润增-70.39%; 过往5年营收增26.91%, 利润增38.82%
Income profile:
</v>
      </c>
      <c r="D2" t="s">
        <v>686</v>
      </c>
      <c r="E2" t="s">
        <v>687</v>
      </c>
      <c r="F2">
        <v>8.39</v>
      </c>
      <c r="G2">
        <v>1.82</v>
      </c>
      <c r="H2" t="s">
        <v>2495</v>
      </c>
      <c r="I2">
        <v>21639605000</v>
      </c>
      <c r="J2">
        <v>36.81</v>
      </c>
      <c r="K2">
        <v>2.15</v>
      </c>
      <c r="L2" t="s">
        <v>973</v>
      </c>
      <c r="M2" t="s">
        <v>1769</v>
      </c>
      <c r="N2" t="s">
        <v>2417</v>
      </c>
      <c r="O2" t="s">
        <v>1770</v>
      </c>
      <c r="P2">
        <v>-39.24</v>
      </c>
      <c r="Q2" t="s">
        <v>1771</v>
      </c>
      <c r="R2">
        <v>70773245</v>
      </c>
      <c r="S2" s="6">
        <v>-0.70430000000000004</v>
      </c>
      <c r="T2" t="s">
        <v>505</v>
      </c>
      <c r="U2">
        <v>2551430300</v>
      </c>
      <c r="V2">
        <v>2579214000</v>
      </c>
      <c r="W2">
        <v>2.4300000000000002</v>
      </c>
      <c r="X2">
        <v>0.1</v>
      </c>
      <c r="Y2">
        <v>5.52</v>
      </c>
      <c r="Z2" t="s">
        <v>2496</v>
      </c>
      <c r="AA2" t="s">
        <v>2497</v>
      </c>
      <c r="AB2" t="s">
        <v>158</v>
      </c>
      <c r="AC2" t="s">
        <v>164</v>
      </c>
      <c r="AD2" t="s">
        <v>5</v>
      </c>
      <c r="AE2">
        <v>78784979</v>
      </c>
      <c r="AF2" t="s">
        <v>1773</v>
      </c>
      <c r="AG2" t="s">
        <v>2498</v>
      </c>
      <c r="AH2" t="s">
        <v>1774</v>
      </c>
      <c r="AI2" t="s">
        <v>2499</v>
      </c>
      <c r="AJ2" t="s">
        <v>1775</v>
      </c>
      <c r="AK2" t="s">
        <v>461</v>
      </c>
      <c r="AL2" t="s">
        <v>1776</v>
      </c>
      <c r="AM2" t="s">
        <v>5</v>
      </c>
      <c r="AN2" t="s">
        <v>2500</v>
      </c>
      <c r="AO2" t="s">
        <v>1615</v>
      </c>
      <c r="AP2" t="s">
        <v>2501</v>
      </c>
      <c r="AQ2" t="s">
        <v>2502</v>
      </c>
      <c r="AR2" t="s">
        <v>2503</v>
      </c>
      <c r="AS2" t="s">
        <v>2504</v>
      </c>
      <c r="AT2" t="s">
        <v>2505</v>
      </c>
      <c r="AU2" t="s">
        <v>569</v>
      </c>
      <c r="AV2" t="s">
        <v>2506</v>
      </c>
      <c r="AW2" t="s">
        <v>2507</v>
      </c>
      <c r="AX2" t="s">
        <v>1777</v>
      </c>
      <c r="AY2" t="s">
        <v>1313</v>
      </c>
      <c r="AZ2" t="s">
        <v>1314</v>
      </c>
      <c r="BA2" t="s">
        <v>688</v>
      </c>
      <c r="BB2" t="s">
        <v>689</v>
      </c>
      <c r="BC2" t="s">
        <v>1244</v>
      </c>
      <c r="BD2" t="s">
        <v>373</v>
      </c>
      <c r="BE2" t="s">
        <v>146</v>
      </c>
      <c r="BF2" t="s">
        <v>244</v>
      </c>
      <c r="BG2" t="s">
        <v>390</v>
      </c>
      <c r="BH2" t="s">
        <v>1771</v>
      </c>
      <c r="BI2" t="s">
        <v>1778</v>
      </c>
      <c r="BJ2" t="s">
        <v>1777</v>
      </c>
      <c r="BK2" t="s">
        <v>505</v>
      </c>
      <c r="BL2" t="s">
        <v>208</v>
      </c>
      <c r="BM2" t="s">
        <v>1244</v>
      </c>
      <c r="BN2">
        <v>4.5599999999999996</v>
      </c>
      <c r="BO2">
        <v>8.6300000000000008</v>
      </c>
      <c r="BP2">
        <v>7.81</v>
      </c>
      <c r="BQ2">
        <v>7.15</v>
      </c>
      <c r="BR2">
        <v>13.49</v>
      </c>
      <c r="BS2">
        <v>13.9</v>
      </c>
      <c r="BT2" t="s">
        <v>1297</v>
      </c>
      <c r="BU2" t="s">
        <v>2508</v>
      </c>
      <c r="BV2">
        <v>20.8</v>
      </c>
      <c r="BW2">
        <v>19.940000000000001</v>
      </c>
      <c r="BX2">
        <v>28.74</v>
      </c>
      <c r="BY2">
        <v>5.48</v>
      </c>
      <c r="BZ2">
        <v>7.71</v>
      </c>
      <c r="CA2">
        <v>10.02</v>
      </c>
      <c r="CB2">
        <v>-2.44</v>
      </c>
      <c r="CC2">
        <v>-17.260000000000002</v>
      </c>
      <c r="CD2" t="s">
        <v>2509</v>
      </c>
      <c r="CE2" t="s">
        <v>414</v>
      </c>
      <c r="CF2" s="10">
        <v>-0.39231891103548855</v>
      </c>
      <c r="CG2" s="11">
        <v>-0.70387763598326358</v>
      </c>
      <c r="CH2" s="10">
        <v>-4.0688760578632355E-2</v>
      </c>
      <c r="CI2" s="10">
        <v>0.82299321889877319</v>
      </c>
      <c r="CJ2" s="10">
        <v>0.65688133239746094</v>
      </c>
      <c r="CK2" s="10">
        <v>-0.11339859664440155</v>
      </c>
      <c r="CL2" s="10">
        <v>1.9887328147888184E-2</v>
      </c>
      <c r="CM2" s="11">
        <v>-0.3465859591960907</v>
      </c>
      <c r="CN2" s="11">
        <v>0.11679530143737793</v>
      </c>
      <c r="CO2" s="11">
        <v>0.56495469808578491</v>
      </c>
      <c r="CP2" s="11">
        <v>1.1993355751037598</v>
      </c>
      <c r="CQ2" s="11">
        <v>0.40654206275939941</v>
      </c>
      <c r="CR2">
        <v>31.468160445952499</v>
      </c>
      <c r="CS2">
        <v>1.1692337161148398</v>
      </c>
      <c r="CT2">
        <v>0.53635280095351612</v>
      </c>
      <c r="CU2" s="10">
        <v>0.26913490444421767</v>
      </c>
      <c r="CV2" s="11">
        <v>0.38820833563804624</v>
      </c>
      <c r="CW2">
        <v>0.06</v>
      </c>
      <c r="CX2">
        <v>32.300052003258244</v>
      </c>
      <c r="CY2">
        <v>905156592.22625339</v>
      </c>
      <c r="CZ2">
        <v>0.26913490444421767</v>
      </c>
      <c r="DA2">
        <v>9.099012747284732</v>
      </c>
      <c r="DB2">
        <v>3213162330.0258145</v>
      </c>
      <c r="DC2">
        <v>0.25567815922200676</v>
      </c>
      <c r="DD2">
        <v>3.6287816431827919</v>
      </c>
      <c r="DE2">
        <v>8056865326.9411583</v>
      </c>
      <c r="DF2">
        <v>0.23683871591091155</v>
      </c>
      <c r="DG2">
        <v>1.689793171724804</v>
      </c>
      <c r="DH2">
        <v>17301883738.917965</v>
      </c>
      <c r="DI2">
        <v>0.21530792355537415</v>
      </c>
      <c r="DJ2">
        <v>0.4725278489883476</v>
      </c>
      <c r="DK2">
        <v>61872765938.756271</v>
      </c>
      <c r="DL2">
        <v>0.18839443311095236</v>
      </c>
      <c r="DM2">
        <v>756000000</v>
      </c>
      <c r="DN2">
        <v>0.26913490444421767</v>
      </c>
      <c r="DO2">
        <v>29236605000</v>
      </c>
      <c r="DP2">
        <v>15176635999.999998</v>
      </c>
      <c r="DQ2">
        <v>7</v>
      </c>
      <c r="DR2">
        <v>-0.66145381547970628</v>
      </c>
      <c r="DS2">
        <v>-1.0920859716213098</v>
      </c>
      <c r="DT2" s="12">
        <v>0.12666666666666671</v>
      </c>
      <c r="DU2">
        <v>-0.14000000000000004</v>
      </c>
      <c r="DV2">
        <v>-1.3333333333333336E-2</v>
      </c>
      <c r="DW2">
        <v>-3.0142500000000001</v>
      </c>
      <c r="DX2">
        <v>0.33860106100795734</v>
      </c>
      <c r="DY2">
        <v>-3.0019750651193635</v>
      </c>
      <c r="DZ2">
        <v>1743</v>
      </c>
      <c r="EA2">
        <v>-3.0013013785238547</v>
      </c>
      <c r="EB2">
        <v>3</v>
      </c>
      <c r="EC2">
        <v>2.0259117700198587E-2</v>
      </c>
      <c r="ED2">
        <v>0.14616856142995502</v>
      </c>
      <c r="EE2" s="13">
        <v>5.4999999999999997E-3</v>
      </c>
      <c r="EF2">
        <v>1.0310000000000001E-2</v>
      </c>
      <c r="EG2">
        <v>20.138601061007957</v>
      </c>
      <c r="EH2">
        <v>-1</v>
      </c>
      <c r="EI2">
        <v>0</v>
      </c>
      <c r="EJ2">
        <v>0</v>
      </c>
      <c r="EK2" s="14">
        <v>45470</v>
      </c>
      <c r="EL2">
        <v>-3.08</v>
      </c>
      <c r="EM2">
        <v>-1.93</v>
      </c>
      <c r="EN2">
        <v>0.69</v>
      </c>
      <c r="EO2">
        <v>1.61</v>
      </c>
      <c r="EP2">
        <v>-1.58</v>
      </c>
    </row>
    <row r="3" spans="1:146" ht="96" x14ac:dyDescent="0.25">
      <c r="A3" s="8"/>
      <c r="B3" s="8"/>
      <c r="C3" s="8" t="str">
        <f>""&amp;CHAR(10)&amp;Basic_Fundamental_Information_Constructure(F3)&amp;CHAR(10)&amp;Basic_Fundamental_Information_Concatenate("")</f>
        <v xml:space="preserve">
市值95.774995亿, 利润5.62亿; PE18; 平均PE15.14; 平均PEG4.34, PB1.5; ROIC12.4433%; ROE19.1633%; 股利率1.8072%; 毛利9.45%; 净利3.5067%; 上一年度营收增-6.73%, 利润增-35.1%; 当季营收增-4.5%, 利润增-40.38%; 过往5年营收增3.49%, 利润增10.22%
Income profile:
</v>
      </c>
      <c r="D3" t="s">
        <v>22</v>
      </c>
      <c r="E3" t="s">
        <v>4</v>
      </c>
      <c r="F3">
        <v>24.9</v>
      </c>
      <c r="G3">
        <v>-2.35</v>
      </c>
      <c r="H3" t="s">
        <v>2510</v>
      </c>
      <c r="I3">
        <v>9577499500</v>
      </c>
      <c r="J3">
        <v>18</v>
      </c>
      <c r="K3">
        <v>1.5</v>
      </c>
      <c r="L3" t="s">
        <v>973</v>
      </c>
      <c r="M3" t="s">
        <v>1779</v>
      </c>
      <c r="N3" t="s">
        <v>2511</v>
      </c>
      <c r="O3" t="s">
        <v>637</v>
      </c>
      <c r="P3">
        <v>-4.5199999999999996</v>
      </c>
      <c r="Q3" t="s">
        <v>1780</v>
      </c>
      <c r="R3">
        <v>43856530</v>
      </c>
      <c r="S3" s="6">
        <v>-0.40379999999999999</v>
      </c>
      <c r="T3" t="s">
        <v>529</v>
      </c>
      <c r="U3">
        <v>384497160</v>
      </c>
      <c r="V3">
        <v>384638530</v>
      </c>
      <c r="W3">
        <v>2.46</v>
      </c>
      <c r="X3">
        <v>0.25</v>
      </c>
      <c r="Y3">
        <v>0.8</v>
      </c>
      <c r="Z3" t="s">
        <v>1732</v>
      </c>
      <c r="AA3" t="s">
        <v>1739</v>
      </c>
      <c r="AB3" t="s">
        <v>2512</v>
      </c>
      <c r="AC3" t="s">
        <v>2513</v>
      </c>
      <c r="AD3" t="s">
        <v>5</v>
      </c>
      <c r="AE3">
        <v>6539561</v>
      </c>
      <c r="AF3" t="s">
        <v>1781</v>
      </c>
      <c r="AG3" t="s">
        <v>2514</v>
      </c>
      <c r="AH3" t="s">
        <v>1782</v>
      </c>
      <c r="AI3" t="s">
        <v>1441</v>
      </c>
      <c r="AJ3" t="s">
        <v>1783</v>
      </c>
      <c r="AK3" t="s">
        <v>2515</v>
      </c>
      <c r="AL3" t="s">
        <v>1784</v>
      </c>
      <c r="AM3" t="s">
        <v>5</v>
      </c>
      <c r="AN3" t="s">
        <v>2516</v>
      </c>
      <c r="AO3" t="s">
        <v>1712</v>
      </c>
      <c r="AP3" t="s">
        <v>347</v>
      </c>
      <c r="AQ3" t="s">
        <v>2517</v>
      </c>
      <c r="AR3" t="s">
        <v>5</v>
      </c>
      <c r="AS3" t="s">
        <v>2518</v>
      </c>
      <c r="AT3" t="s">
        <v>2519</v>
      </c>
      <c r="AU3" t="s">
        <v>505</v>
      </c>
      <c r="AV3" t="s">
        <v>2520</v>
      </c>
      <c r="AW3" t="s">
        <v>109</v>
      </c>
      <c r="AX3" t="s">
        <v>1315</v>
      </c>
      <c r="AY3" t="s">
        <v>975</v>
      </c>
      <c r="AZ3" t="s">
        <v>238</v>
      </c>
      <c r="BA3" t="s">
        <v>23</v>
      </c>
      <c r="BB3" t="s">
        <v>243</v>
      </c>
      <c r="BC3" t="s">
        <v>664</v>
      </c>
      <c r="BD3" t="s">
        <v>151</v>
      </c>
      <c r="BE3" t="s">
        <v>239</v>
      </c>
      <c r="BF3" t="s">
        <v>24</v>
      </c>
      <c r="BG3" t="s">
        <v>186</v>
      </c>
      <c r="BH3" t="s">
        <v>1780</v>
      </c>
      <c r="BI3" t="s">
        <v>1785</v>
      </c>
      <c r="BJ3" t="s">
        <v>1315</v>
      </c>
      <c r="BK3" t="s">
        <v>529</v>
      </c>
      <c r="BL3" t="s">
        <v>1786</v>
      </c>
      <c r="BM3" t="s">
        <v>664</v>
      </c>
      <c r="BN3">
        <v>4.66</v>
      </c>
      <c r="BO3">
        <v>14.45</v>
      </c>
      <c r="BP3">
        <v>18.22</v>
      </c>
      <c r="BQ3">
        <v>8.67</v>
      </c>
      <c r="BR3">
        <v>23.3</v>
      </c>
      <c r="BS3">
        <v>25.52</v>
      </c>
      <c r="BT3" t="s">
        <v>1294</v>
      </c>
      <c r="BU3" t="s">
        <v>2521</v>
      </c>
      <c r="BV3">
        <v>9.1300000000000008</v>
      </c>
      <c r="BW3">
        <v>9.85</v>
      </c>
      <c r="BX3">
        <v>9.3699999999999992</v>
      </c>
      <c r="BY3">
        <v>2.52</v>
      </c>
      <c r="BZ3">
        <v>3.92</v>
      </c>
      <c r="CA3">
        <v>4.08</v>
      </c>
      <c r="CB3">
        <v>6.18</v>
      </c>
      <c r="CC3">
        <v>18.010000000000002</v>
      </c>
      <c r="CD3" t="s">
        <v>152</v>
      </c>
      <c r="CE3" t="s">
        <v>1211</v>
      </c>
      <c r="CF3" s="10">
        <v>-4.500932835820895E-2</v>
      </c>
      <c r="CG3" s="11">
        <v>-0.40375219905865334</v>
      </c>
      <c r="CH3" s="10">
        <v>-6.7313462495803833E-2</v>
      </c>
      <c r="CI3" s="10">
        <v>0.11699453741312027</v>
      </c>
      <c r="CJ3" s="10">
        <v>3.7632184103131294E-3</v>
      </c>
      <c r="CK3" s="10">
        <v>5.1781211048364639E-2</v>
      </c>
      <c r="CL3" s="10">
        <v>6.9221429526805878E-2</v>
      </c>
      <c r="CM3" s="11">
        <v>-0.35103926062583923</v>
      </c>
      <c r="CN3" s="11">
        <v>9.068010002374649E-2</v>
      </c>
      <c r="CO3" s="11">
        <v>0.18507462739944458</v>
      </c>
      <c r="CP3" s="11">
        <v>0.33466136455535889</v>
      </c>
      <c r="CQ3" s="11">
        <v>0.25187033414840698</v>
      </c>
      <c r="CR3">
        <v>15.142291699604742</v>
      </c>
      <c r="CS3">
        <v>4.3400853660293803</v>
      </c>
      <c r="CT3">
        <v>1.8072289156626506</v>
      </c>
      <c r="CU3" s="10">
        <v>3.4889386780560014E-2</v>
      </c>
      <c r="CV3" s="11">
        <v>0.10224943310022354</v>
      </c>
      <c r="CW3">
        <v>0.06</v>
      </c>
      <c r="CX3">
        <v>24.036487508959162</v>
      </c>
      <c r="CY3">
        <v>548686637.14214599</v>
      </c>
      <c r="CZ3">
        <v>3.4889386780560014E-2</v>
      </c>
      <c r="DA3">
        <v>8.232499947614528</v>
      </c>
      <c r="DB3">
        <v>1602004200.9015179</v>
      </c>
      <c r="DC3">
        <v>3.3144917441532008E-2</v>
      </c>
      <c r="DD3">
        <v>4.3093725261844682</v>
      </c>
      <c r="DE3">
        <v>3060422235.4564319</v>
      </c>
      <c r="DF3">
        <v>3.0702660366892811E-2</v>
      </c>
      <c r="DG3">
        <v>2.7681737452307287</v>
      </c>
      <c r="DH3">
        <v>4764332268.7827644</v>
      </c>
      <c r="DI3">
        <v>2.7911509424448012E-2</v>
      </c>
      <c r="DJ3">
        <v>1.6471265762268024</v>
      </c>
      <c r="DK3">
        <v>8006973896.4517803</v>
      </c>
      <c r="DL3">
        <v>2.4422570746392008E-2</v>
      </c>
      <c r="DM3">
        <v>562000000</v>
      </c>
      <c r="DN3">
        <v>3.4889386780560014E-2</v>
      </c>
      <c r="DO3">
        <v>13188499500</v>
      </c>
      <c r="DP3">
        <v>4472700600</v>
      </c>
      <c r="DQ3">
        <v>35</v>
      </c>
      <c r="DR3">
        <v>-7.9898715138768964E-2</v>
      </c>
      <c r="DS3">
        <v>-0.50600163215887684</v>
      </c>
      <c r="DT3" s="12">
        <v>-0.44</v>
      </c>
      <c r="DU3">
        <v>-3.6666666666666736E-2</v>
      </c>
      <c r="DV3">
        <v>-0.47666666666666674</v>
      </c>
      <c r="DW3">
        <v>9.3431426985008326</v>
      </c>
      <c r="DX3">
        <v>0.62575342465753525</v>
      </c>
      <c r="DY3">
        <v>9.1598198869729899</v>
      </c>
      <c r="DZ3">
        <v>2846</v>
      </c>
      <c r="EA3">
        <v>9.0708086544240416</v>
      </c>
      <c r="EB3">
        <v>9</v>
      </c>
      <c r="EC3">
        <v>0.35357872233964704</v>
      </c>
      <c r="ED3">
        <v>0.75915431561159508</v>
      </c>
      <c r="EE3" s="13">
        <v>-3.0518999999999998</v>
      </c>
      <c r="EF3">
        <v>-3.0575999999999999</v>
      </c>
      <c r="EG3">
        <v>16.465753424657535</v>
      </c>
      <c r="EH3" t="s">
        <v>1577</v>
      </c>
      <c r="EI3">
        <v>1</v>
      </c>
      <c r="EJ3">
        <v>0</v>
      </c>
      <c r="EK3" s="14">
        <v>45470</v>
      </c>
      <c r="EL3">
        <v>1.2</v>
      </c>
      <c r="EM3">
        <v>-6.82</v>
      </c>
      <c r="EN3">
        <v>-1.18</v>
      </c>
      <c r="EO3">
        <v>5.32</v>
      </c>
      <c r="EP3">
        <v>0.56999999999999995</v>
      </c>
    </row>
    <row r="4" spans="1:146" ht="96" x14ac:dyDescent="0.25">
      <c r="C4" s="8" t="str">
        <f>""&amp;CHAR(10)&amp;Basic_Fundamental_Information_Constructure(F4)&amp;CHAR(10)&amp;Basic_Fundamental_Information_Concatenate("")</f>
        <v xml:space="preserve">
市值17.771803亿, 利润-1810.90万; PE360.1; 平均PE-74.18; 平均PEG-3.99, PB9.71; ROIC0%; ROE-21.13%; 股利率0%; 毛利-2.24%; 净利-25.2667%; 上一年度营收增-17.11%, 利润增82.25%; 当季营收增16.98%, 利润增97.46%; 过往5年营收增-18.61%, 利润增-105.82%
Income profile:
</v>
      </c>
      <c r="D4" t="s">
        <v>1754</v>
      </c>
      <c r="E4" t="s">
        <v>1755</v>
      </c>
      <c r="F4">
        <v>8</v>
      </c>
      <c r="G4">
        <v>1.91</v>
      </c>
      <c r="H4" t="s">
        <v>2522</v>
      </c>
      <c r="I4">
        <v>1777180300</v>
      </c>
      <c r="J4">
        <v>360.1</v>
      </c>
      <c r="K4">
        <v>9.7100000000000009</v>
      </c>
      <c r="L4" t="s">
        <v>973</v>
      </c>
      <c r="M4" t="s">
        <v>466</v>
      </c>
      <c r="N4" t="s">
        <v>400</v>
      </c>
      <c r="O4" t="s">
        <v>64</v>
      </c>
      <c r="P4" s="6">
        <v>17.489999999999998</v>
      </c>
      <c r="Q4" t="s">
        <v>315</v>
      </c>
      <c r="R4">
        <v>-599496</v>
      </c>
      <c r="S4">
        <v>0.97460000000000002</v>
      </c>
      <c r="T4" t="s">
        <v>1787</v>
      </c>
      <c r="U4">
        <v>221721340</v>
      </c>
      <c r="V4">
        <v>222147540</v>
      </c>
      <c r="W4">
        <v>4.7699999999999996</v>
      </c>
      <c r="X4">
        <v>0.12</v>
      </c>
      <c r="Y4">
        <v>-2.17</v>
      </c>
      <c r="Z4" t="s">
        <v>343</v>
      </c>
      <c r="AA4" t="s">
        <v>2523</v>
      </c>
      <c r="AB4" t="s">
        <v>2524</v>
      </c>
      <c r="AC4" t="s">
        <v>2525</v>
      </c>
      <c r="AD4" t="s">
        <v>5</v>
      </c>
      <c r="AE4">
        <v>3636140</v>
      </c>
      <c r="AF4" t="s">
        <v>27</v>
      </c>
      <c r="AG4" t="s">
        <v>2526</v>
      </c>
      <c r="AH4" t="s">
        <v>1788</v>
      </c>
      <c r="AI4" t="s">
        <v>2527</v>
      </c>
      <c r="AJ4" t="s">
        <v>1789</v>
      </c>
      <c r="AK4" t="s">
        <v>2528</v>
      </c>
      <c r="AL4" t="s">
        <v>1790</v>
      </c>
      <c r="AM4" t="s">
        <v>5</v>
      </c>
      <c r="AN4" t="s">
        <v>29</v>
      </c>
      <c r="AO4" t="s">
        <v>1791</v>
      </c>
      <c r="AP4" t="s">
        <v>2529</v>
      </c>
      <c r="AQ4" t="s">
        <v>384</v>
      </c>
      <c r="AR4" t="s">
        <v>5</v>
      </c>
      <c r="AS4" t="s">
        <v>239</v>
      </c>
      <c r="AT4" t="s">
        <v>5</v>
      </c>
      <c r="AU4" t="s">
        <v>142</v>
      </c>
      <c r="AV4" t="s">
        <v>1735</v>
      </c>
      <c r="AW4" t="s">
        <v>2530</v>
      </c>
      <c r="AX4" t="s">
        <v>89</v>
      </c>
      <c r="AY4" t="s">
        <v>1140</v>
      </c>
      <c r="AZ4" t="s">
        <v>1756</v>
      </c>
      <c r="BA4" t="s">
        <v>1214</v>
      </c>
      <c r="BB4" t="s">
        <v>616</v>
      </c>
      <c r="BC4" t="s">
        <v>1711</v>
      </c>
      <c r="BD4" t="s">
        <v>1757</v>
      </c>
      <c r="BE4" t="s">
        <v>1758</v>
      </c>
      <c r="BF4" t="s">
        <v>1759</v>
      </c>
      <c r="BG4" t="s">
        <v>1760</v>
      </c>
      <c r="BH4" t="s">
        <v>315</v>
      </c>
      <c r="BI4" t="s">
        <v>1792</v>
      </c>
      <c r="BJ4" t="s">
        <v>89</v>
      </c>
      <c r="BK4" t="s">
        <v>1787</v>
      </c>
      <c r="BL4" t="s">
        <v>1793</v>
      </c>
      <c r="BM4" t="s">
        <v>1711</v>
      </c>
      <c r="BN4" t="s">
        <v>5</v>
      </c>
      <c r="BO4" t="s">
        <v>5</v>
      </c>
      <c r="BP4" t="s">
        <v>5</v>
      </c>
      <c r="BQ4">
        <v>-5.26</v>
      </c>
      <c r="BR4">
        <v>-40.99</v>
      </c>
      <c r="BS4">
        <v>-17.14</v>
      </c>
      <c r="BT4" t="s">
        <v>1280</v>
      </c>
      <c r="BU4" t="s">
        <v>2508</v>
      </c>
      <c r="BV4">
        <v>3.25</v>
      </c>
      <c r="BW4">
        <v>-6.75</v>
      </c>
      <c r="BX4">
        <v>-3.22</v>
      </c>
      <c r="BY4">
        <v>-10.88</v>
      </c>
      <c r="BZ4">
        <v>-45.13</v>
      </c>
      <c r="CA4">
        <v>-19.79</v>
      </c>
      <c r="CB4">
        <v>-1.6</v>
      </c>
      <c r="CC4" s="10">
        <v>-6.32</v>
      </c>
      <c r="CD4" s="11" t="s">
        <v>2531</v>
      </c>
      <c r="CE4" s="10" t="s">
        <v>2532</v>
      </c>
      <c r="CF4" s="10">
        <v>0.16983008218056325</v>
      </c>
      <c r="CG4" s="10">
        <v>0.97464489934021314</v>
      </c>
      <c r="CH4" s="10">
        <v>-0.17108434438705444</v>
      </c>
      <c r="CI4" s="10">
        <v>-0.1565040647983551</v>
      </c>
      <c r="CJ4" s="11">
        <v>-8.037383109331131E-2</v>
      </c>
      <c r="CK4" s="11">
        <v>-7.5993090867996216E-2</v>
      </c>
      <c r="CL4" s="11">
        <v>-0.4464627206325531</v>
      </c>
      <c r="CM4" s="11">
        <v>0.82246077060699463</v>
      </c>
      <c r="CN4" s="11">
        <v>-0.79084354639053345</v>
      </c>
      <c r="CO4">
        <v>-2.4485173225402832</v>
      </c>
      <c r="CP4">
        <v>-2.2390711307525635</v>
      </c>
      <c r="CQ4">
        <v>-0.63495123386383057</v>
      </c>
      <c r="CR4" s="10">
        <v>-74.184256333407077</v>
      </c>
      <c r="CS4" s="11">
        <v>-3.9866088255457854</v>
      </c>
      <c r="CT4">
        <v>0</v>
      </c>
      <c r="CU4">
        <v>-0.18608361035585402</v>
      </c>
      <c r="CV4">
        <v>-1.0581844925880433</v>
      </c>
      <c r="CW4">
        <v>0.06</v>
      </c>
      <c r="CX4" t="e">
        <v>#VALUE!</v>
      </c>
      <c r="CY4" t="s">
        <v>946</v>
      </c>
      <c r="CZ4">
        <v>-0.18608361035585402</v>
      </c>
      <c r="DA4" t="e">
        <v>#VALUE!</v>
      </c>
      <c r="DB4" t="s">
        <v>947</v>
      </c>
      <c r="DC4">
        <v>-0.1767794298380613</v>
      </c>
      <c r="DD4" t="e">
        <v>#VALUE!</v>
      </c>
      <c r="DE4" t="s">
        <v>947</v>
      </c>
      <c r="DF4">
        <v>-0.16375357711315155</v>
      </c>
      <c r="DG4" t="e">
        <v>#VALUE!</v>
      </c>
      <c r="DH4" t="s">
        <v>947</v>
      </c>
      <c r="DI4">
        <v>-0.14886688828468322</v>
      </c>
      <c r="DJ4" t="e">
        <v>#VALUE!</v>
      </c>
      <c r="DK4" t="s">
        <v>947</v>
      </c>
      <c r="DL4">
        <v>-0.13025852724909781</v>
      </c>
      <c r="DM4">
        <v>-18109000</v>
      </c>
      <c r="DN4">
        <v>-0.18608361035585402</v>
      </c>
      <c r="DO4">
        <v>2147180300</v>
      </c>
      <c r="DP4">
        <v>-259871060</v>
      </c>
      <c r="DQ4" s="12">
        <v>224</v>
      </c>
      <c r="DR4">
        <v>0.35591369253641725</v>
      </c>
      <c r="DS4">
        <v>2.0328293919282565</v>
      </c>
      <c r="DT4">
        <v>-0.85666666666666658</v>
      </c>
      <c r="DU4">
        <v>-2.3516666666666666</v>
      </c>
      <c r="DV4">
        <v>-3.208333333333333</v>
      </c>
      <c r="DW4">
        <v>-2.0632000000000001</v>
      </c>
      <c r="DX4">
        <v>0.35576179046858059</v>
      </c>
      <c r="DY4">
        <v>-2.0066841451576143</v>
      </c>
      <c r="DZ4">
        <v>4966</v>
      </c>
      <c r="EA4">
        <v>-2.0001883594721521</v>
      </c>
      <c r="EB4" s="13">
        <v>2</v>
      </c>
      <c r="EC4" s="13">
        <v>1.6919836249368325E-2</v>
      </c>
      <c r="ED4">
        <v>0.15998061468517724</v>
      </c>
      <c r="EE4">
        <v>-1.0216000000000001</v>
      </c>
      <c r="EF4">
        <v>-1.0165999999999999</v>
      </c>
      <c r="EG4">
        <v>25.105761790468581</v>
      </c>
      <c r="EH4" s="14" t="s">
        <v>1300</v>
      </c>
      <c r="EI4">
        <v>0</v>
      </c>
      <c r="EJ4">
        <v>0</v>
      </c>
      <c r="EK4">
        <v>45470</v>
      </c>
      <c r="EL4">
        <v>2.0299999999999998</v>
      </c>
      <c r="EM4">
        <v>-1.99</v>
      </c>
      <c r="EN4">
        <v>0.13</v>
      </c>
      <c r="EO4">
        <v>1.9</v>
      </c>
      <c r="EP4">
        <v>-0.5</v>
      </c>
    </row>
    <row r="5" spans="1:146" ht="96" x14ac:dyDescent="0.25">
      <c r="C5" s="8" t="str">
        <f>""&amp;CHAR(10)&amp;Basic_Fundamental_Information_Constructure(F5)&amp;CHAR(10)&amp;Basic_Fundamental_Information_Concatenate("")</f>
        <v xml:space="preserve">
市值7.6713787亿, 利润-1.35亿; PE; 平均PE-.8; 平均PEG-.05, PB.717; ROIC1.4433%; ROE1.7167%; 股利率0%; 毛利15.3333%; 净利-5.93%; 上一年度营收增-20.38%, 利润增-1413.59%; 当季营收增-67.81%, 利润增-242.51%; 过往5年营收增16.97%, 利润增-271%
Income profile:
</v>
      </c>
      <c r="D5" t="s">
        <v>1320</v>
      </c>
      <c r="E5" t="s">
        <v>1321</v>
      </c>
      <c r="F5" t="s">
        <v>5</v>
      </c>
      <c r="G5" t="s">
        <v>5</v>
      </c>
      <c r="H5" t="s">
        <v>5</v>
      </c>
      <c r="I5">
        <v>767137870</v>
      </c>
      <c r="K5">
        <v>0.71699999999999997</v>
      </c>
      <c r="L5" t="s">
        <v>973</v>
      </c>
      <c r="M5" t="s">
        <v>333</v>
      </c>
      <c r="N5" t="s">
        <v>2533</v>
      </c>
      <c r="O5" t="s">
        <v>1797</v>
      </c>
      <c r="P5" s="6">
        <v>-67.91</v>
      </c>
      <c r="Q5" t="s">
        <v>58</v>
      </c>
      <c r="R5">
        <v>-10630343</v>
      </c>
      <c r="S5">
        <v>-2.4249999999999998</v>
      </c>
      <c r="T5" t="s">
        <v>1409</v>
      </c>
      <c r="U5">
        <v>4261877100</v>
      </c>
      <c r="V5">
        <v>4261877100</v>
      </c>
      <c r="W5">
        <v>1.3</v>
      </c>
      <c r="X5">
        <v>0.03</v>
      </c>
      <c r="Y5">
        <v>-29.66</v>
      </c>
      <c r="Z5" t="s">
        <v>2534</v>
      </c>
      <c r="AA5" t="s">
        <v>2535</v>
      </c>
      <c r="AB5" t="s">
        <v>2536</v>
      </c>
      <c r="AC5" t="s">
        <v>2537</v>
      </c>
      <c r="AD5" t="s">
        <v>5</v>
      </c>
      <c r="AE5">
        <v>781423</v>
      </c>
      <c r="AF5" t="s">
        <v>1798</v>
      </c>
      <c r="AG5" t="s">
        <v>2538</v>
      </c>
      <c r="AH5" t="s">
        <v>1799</v>
      </c>
      <c r="AI5" t="s">
        <v>452</v>
      </c>
      <c r="AJ5" t="s">
        <v>1800</v>
      </c>
      <c r="AK5" t="s">
        <v>2539</v>
      </c>
      <c r="AL5" t="s">
        <v>1801</v>
      </c>
      <c r="AM5" t="s">
        <v>5</v>
      </c>
      <c r="AN5" t="s">
        <v>2540</v>
      </c>
      <c r="AO5" t="s">
        <v>2541</v>
      </c>
      <c r="AP5" t="s">
        <v>5</v>
      </c>
      <c r="AQ5" t="s">
        <v>2542</v>
      </c>
      <c r="AR5" t="s">
        <v>5</v>
      </c>
      <c r="AS5" t="s">
        <v>196</v>
      </c>
      <c r="AT5" t="s">
        <v>5</v>
      </c>
      <c r="AU5" t="s">
        <v>2543</v>
      </c>
      <c r="AV5" t="s">
        <v>2544</v>
      </c>
      <c r="AW5" t="s">
        <v>2545</v>
      </c>
      <c r="AX5" t="s">
        <v>1123</v>
      </c>
      <c r="AY5" t="s">
        <v>435</v>
      </c>
      <c r="AZ5" t="s">
        <v>174</v>
      </c>
      <c r="BA5" t="s">
        <v>679</v>
      </c>
      <c r="BB5" t="s">
        <v>1263</v>
      </c>
      <c r="BC5" t="s">
        <v>1322</v>
      </c>
      <c r="BD5" t="s">
        <v>1323</v>
      </c>
      <c r="BE5" t="s">
        <v>1324</v>
      </c>
      <c r="BF5" t="s">
        <v>1325</v>
      </c>
      <c r="BG5" t="s">
        <v>1269</v>
      </c>
      <c r="BH5" t="s">
        <v>58</v>
      </c>
      <c r="BI5" t="s">
        <v>73</v>
      </c>
      <c r="BJ5" t="s">
        <v>1123</v>
      </c>
      <c r="BK5" t="s">
        <v>1409</v>
      </c>
      <c r="BL5" t="s">
        <v>1802</v>
      </c>
      <c r="BM5" t="s">
        <v>1322</v>
      </c>
      <c r="BN5">
        <v>0.53</v>
      </c>
      <c r="BO5">
        <v>0.45</v>
      </c>
      <c r="BP5">
        <v>3.35</v>
      </c>
      <c r="BQ5">
        <v>0.6</v>
      </c>
      <c r="BR5">
        <v>0.86</v>
      </c>
      <c r="BS5">
        <v>3.69</v>
      </c>
      <c r="BT5" t="s">
        <v>1280</v>
      </c>
      <c r="BU5" t="s">
        <v>2508</v>
      </c>
      <c r="BV5">
        <v>14.91</v>
      </c>
      <c r="BW5">
        <v>12.61</v>
      </c>
      <c r="BX5">
        <v>18.48</v>
      </c>
      <c r="BY5">
        <v>-28.31</v>
      </c>
      <c r="BZ5">
        <v>1</v>
      </c>
      <c r="CA5">
        <v>9.52</v>
      </c>
      <c r="CB5">
        <v>0</v>
      </c>
      <c r="CC5" s="10">
        <v>-82</v>
      </c>
      <c r="CD5" s="11" t="s">
        <v>5</v>
      </c>
      <c r="CE5" s="10" t="s">
        <v>655</v>
      </c>
      <c r="CF5" s="10">
        <v>-0.67814078947368417</v>
      </c>
      <c r="CG5" s="10">
        <v>-2.425093573209641</v>
      </c>
      <c r="CH5" s="10">
        <v>-0.20382165908813477</v>
      </c>
      <c r="CI5" s="10">
        <v>0.45034641027450562</v>
      </c>
      <c r="CJ5" s="11">
        <v>2.0492956638336182</v>
      </c>
      <c r="CK5" s="11">
        <v>-0.80139857530593872</v>
      </c>
      <c r="CL5" s="11">
        <v>-0.64603954553604126</v>
      </c>
      <c r="CM5" s="11">
        <v>-14.135873794555664</v>
      </c>
      <c r="CN5" s="11">
        <v>-0.74856573343276978</v>
      </c>
      <c r="CO5">
        <v>0.23803365230560303</v>
      </c>
      <c r="CP5">
        <v>1.0120847225189209</v>
      </c>
      <c r="CQ5">
        <v>8.4143497049808502E-2</v>
      </c>
      <c r="CR5" s="10">
        <v>-0.79829353711770701</v>
      </c>
      <c r="CS5" s="11">
        <v>-4.704798429882176E-2</v>
      </c>
      <c r="CT5">
        <v>0</v>
      </c>
      <c r="CU5">
        <v>0.16967645883560181</v>
      </c>
      <c r="CV5">
        <v>-2.7100355312228204</v>
      </c>
      <c r="CW5">
        <v>0.06</v>
      </c>
      <c r="CX5" t="e">
        <v>#VALUE!</v>
      </c>
      <c r="CY5" t="s">
        <v>946</v>
      </c>
      <c r="CZ5">
        <v>0.16967645883560181</v>
      </c>
      <c r="DA5" t="e">
        <v>#VALUE!</v>
      </c>
      <c r="DB5" t="s">
        <v>947</v>
      </c>
      <c r="DC5">
        <v>0.16119263589382171</v>
      </c>
      <c r="DD5" t="e">
        <v>#VALUE!</v>
      </c>
      <c r="DE5" t="s">
        <v>947</v>
      </c>
      <c r="DF5">
        <v>0.1493152837753296</v>
      </c>
      <c r="DG5" t="e">
        <v>#VALUE!</v>
      </c>
      <c r="DH5" t="s">
        <v>947</v>
      </c>
      <c r="DI5">
        <v>0.13574116706848147</v>
      </c>
      <c r="DJ5" t="e">
        <v>#VALUE!</v>
      </c>
      <c r="DK5" t="s">
        <v>947</v>
      </c>
      <c r="DL5">
        <v>0.11877352118492127</v>
      </c>
      <c r="DM5">
        <v>-135000000</v>
      </c>
      <c r="DN5">
        <v>0.16967645883560181</v>
      </c>
      <c r="DO5">
        <v>3137870</v>
      </c>
      <c r="DP5">
        <v>617196400</v>
      </c>
      <c r="DQ5" s="12">
        <v>416</v>
      </c>
      <c r="DR5">
        <v>-0.84781724830928595</v>
      </c>
      <c r="DS5">
        <v>0.28494195801317934</v>
      </c>
      <c r="DT5">
        <v>-0.49166666666666664</v>
      </c>
      <c r="DU5">
        <v>-1.9983333333333333</v>
      </c>
      <c r="DV5">
        <v>-2.4899999999999998</v>
      </c>
      <c r="DW5">
        <v>-3.7464285714285714</v>
      </c>
      <c r="DX5" t="e">
        <v>#VALUE!</v>
      </c>
      <c r="DY5">
        <v>-3</v>
      </c>
      <c r="DZ5">
        <v>4676</v>
      </c>
      <c r="EA5">
        <v>-3</v>
      </c>
      <c r="EB5" s="13">
        <v>3</v>
      </c>
      <c r="EC5" s="13">
        <v>0</v>
      </c>
      <c r="ED5">
        <v>1.1853931686580075</v>
      </c>
      <c r="EE5">
        <v>-7.0606099999999996</v>
      </c>
      <c r="EF5">
        <v>-7.0606099999999996</v>
      </c>
      <c r="EG5" t="e">
        <v>#VALUE!</v>
      </c>
      <c r="EH5" s="14" t="s">
        <v>1764</v>
      </c>
      <c r="EI5">
        <v>0</v>
      </c>
      <c r="EJ5">
        <v>0</v>
      </c>
      <c r="EK5">
        <v>45470</v>
      </c>
      <c r="EL5">
        <v>-5.26</v>
      </c>
      <c r="EM5">
        <v>0</v>
      </c>
      <c r="EN5">
        <v>0</v>
      </c>
      <c r="EO5">
        <v>0</v>
      </c>
      <c r="EP5">
        <v>0</v>
      </c>
    </row>
    <row r="6" spans="1:146" ht="96" x14ac:dyDescent="0.25">
      <c r="C6" s="8" t="str">
        <f>""&amp;CHAR(10)&amp;Basic_Fundamental_Information_Constructure(F6)&amp;CHAR(10)&amp;Basic_Fundamental_Information_Concatenate("")</f>
        <v xml:space="preserve">
市值35.347486亿, 利润5029.78万; PE67.97; 平均PE24.63; 平均PEG1.28, PB1.56; ROIC9.6833%; ROE12.5133%; 股利率1.116%; 毛利20.3933%; 净利4.4333%; 上一年度营收增29.52%, 利润增-68.37%; 当季营收增34.32%, 利润增116.37%; 过往5年营收增19.3%, 利润增9.16%
Income profile:
</v>
      </c>
      <c r="D6" t="s">
        <v>1133</v>
      </c>
      <c r="E6" t="s">
        <v>1134</v>
      </c>
      <c r="F6">
        <v>43.01</v>
      </c>
      <c r="G6">
        <v>0.73</v>
      </c>
      <c r="H6" t="s">
        <v>2546</v>
      </c>
      <c r="I6">
        <v>3534748600</v>
      </c>
      <c r="J6">
        <v>67.97</v>
      </c>
      <c r="K6">
        <v>1.56</v>
      </c>
      <c r="L6" t="s">
        <v>973</v>
      </c>
      <c r="M6" t="s">
        <v>1805</v>
      </c>
      <c r="N6" t="s">
        <v>2547</v>
      </c>
      <c r="O6" t="s">
        <v>1221</v>
      </c>
      <c r="P6" s="6">
        <v>34.19</v>
      </c>
      <c r="Q6" t="s">
        <v>1807</v>
      </c>
      <c r="R6">
        <v>3168923</v>
      </c>
      <c r="S6">
        <v>1.1639999999999999</v>
      </c>
      <c r="T6" t="s">
        <v>1808</v>
      </c>
      <c r="U6">
        <v>57749571</v>
      </c>
      <c r="V6">
        <v>82184344</v>
      </c>
      <c r="W6">
        <v>3.25</v>
      </c>
      <c r="X6">
        <v>0.12</v>
      </c>
      <c r="Y6">
        <v>0.32</v>
      </c>
      <c r="Z6" t="s">
        <v>1327</v>
      </c>
      <c r="AA6" t="s">
        <v>61</v>
      </c>
      <c r="AB6" t="s">
        <v>2548</v>
      </c>
      <c r="AC6" t="s">
        <v>2549</v>
      </c>
      <c r="AD6" t="s">
        <v>5</v>
      </c>
      <c r="AE6">
        <v>10272254</v>
      </c>
      <c r="AF6" t="s">
        <v>1809</v>
      </c>
      <c r="AG6" t="s">
        <v>2550</v>
      </c>
      <c r="AH6" t="s">
        <v>1810</v>
      </c>
      <c r="AI6" t="s">
        <v>1612</v>
      </c>
      <c r="AJ6" t="s">
        <v>1811</v>
      </c>
      <c r="AK6" t="s">
        <v>116</v>
      </c>
      <c r="AL6" t="s">
        <v>1812</v>
      </c>
      <c r="AM6" t="s">
        <v>5</v>
      </c>
      <c r="AN6" t="s">
        <v>1688</v>
      </c>
      <c r="AO6" t="s">
        <v>442</v>
      </c>
      <c r="AP6" t="s">
        <v>468</v>
      </c>
      <c r="AQ6" t="s">
        <v>1636</v>
      </c>
      <c r="AR6" t="s">
        <v>5</v>
      </c>
      <c r="AS6" t="s">
        <v>2551</v>
      </c>
      <c r="AT6" t="s">
        <v>1619</v>
      </c>
      <c r="AU6" t="s">
        <v>2552</v>
      </c>
      <c r="AV6" t="s">
        <v>1978</v>
      </c>
      <c r="AW6" t="s">
        <v>2553</v>
      </c>
      <c r="AX6" t="s">
        <v>1326</v>
      </c>
      <c r="AY6" t="s">
        <v>644</v>
      </c>
      <c r="AZ6" t="s">
        <v>1135</v>
      </c>
      <c r="BA6" t="s">
        <v>1136</v>
      </c>
      <c r="BB6" t="s">
        <v>1137</v>
      </c>
      <c r="BC6" t="s">
        <v>81</v>
      </c>
      <c r="BD6" t="s">
        <v>448</v>
      </c>
      <c r="BE6" t="s">
        <v>528</v>
      </c>
      <c r="BF6" t="s">
        <v>172</v>
      </c>
      <c r="BG6" t="s">
        <v>1138</v>
      </c>
      <c r="BH6" t="s">
        <v>1807</v>
      </c>
      <c r="BI6" t="s">
        <v>1002</v>
      </c>
      <c r="BJ6" t="s">
        <v>1326</v>
      </c>
      <c r="BK6" t="s">
        <v>1808</v>
      </c>
      <c r="BL6" t="s">
        <v>1813</v>
      </c>
      <c r="BM6" t="s">
        <v>81</v>
      </c>
      <c r="BN6">
        <v>1.78</v>
      </c>
      <c r="BO6">
        <v>7.92</v>
      </c>
      <c r="BP6">
        <v>19.350000000000001</v>
      </c>
      <c r="BQ6">
        <v>2.48</v>
      </c>
      <c r="BR6">
        <v>10.3</v>
      </c>
      <c r="BS6">
        <v>24.76</v>
      </c>
      <c r="BT6" t="s">
        <v>1814</v>
      </c>
      <c r="BU6" t="s">
        <v>2521</v>
      </c>
      <c r="BV6">
        <v>19.239999999999998</v>
      </c>
      <c r="BW6">
        <v>21.08</v>
      </c>
      <c r="BX6">
        <v>20.86</v>
      </c>
      <c r="BY6">
        <v>1.1100000000000001</v>
      </c>
      <c r="BZ6">
        <v>4.54</v>
      </c>
      <c r="CA6">
        <v>7.65</v>
      </c>
      <c r="CB6">
        <v>0.73</v>
      </c>
      <c r="CC6">
        <v>-4.6100000000000003</v>
      </c>
      <c r="CD6" t="s">
        <v>2554</v>
      </c>
      <c r="CE6" t="s">
        <v>2555</v>
      </c>
      <c r="CF6" s="10">
        <v>0.34324324324324323</v>
      </c>
      <c r="CG6" s="11">
        <v>1.1636781373753926</v>
      </c>
      <c r="CH6" s="10">
        <v>0.29520830512046814</v>
      </c>
      <c r="CI6" s="10">
        <v>5.666055902838707E-2</v>
      </c>
      <c r="CJ6" s="10">
        <v>0.26448175311088562</v>
      </c>
      <c r="CK6" s="10">
        <v>0.26702073216438293</v>
      </c>
      <c r="CL6" s="10">
        <v>8.1462211906909943E-2</v>
      </c>
      <c r="CM6" s="11">
        <v>-0.68366163969039917</v>
      </c>
      <c r="CN6" s="11">
        <v>-0.37401574850082397</v>
      </c>
      <c r="CO6" s="11">
        <v>0.5209580659866333</v>
      </c>
      <c r="CP6" s="11">
        <v>0.10596026480197906</v>
      </c>
      <c r="CQ6" s="11">
        <v>0.88872051239013672</v>
      </c>
      <c r="CR6">
        <v>24.625355749071026</v>
      </c>
      <c r="CS6">
        <v>1.2761452718901682</v>
      </c>
      <c r="CT6">
        <v>1.116019530341781</v>
      </c>
      <c r="CU6" s="10">
        <v>0.19296671226620674</v>
      </c>
      <c r="CV6" s="11">
        <v>9.1592290997505182E-2</v>
      </c>
      <c r="CW6">
        <v>0.06</v>
      </c>
      <c r="CX6">
        <v>123.74313174301102</v>
      </c>
      <c r="CY6">
        <v>56607170.84926717</v>
      </c>
      <c r="CZ6">
        <v>0.19296671226620674</v>
      </c>
      <c r="DA6">
        <v>37.100453693133339</v>
      </c>
      <c r="DB6">
        <v>188804931.01076174</v>
      </c>
      <c r="DC6">
        <v>0.18331837665289638</v>
      </c>
      <c r="DD6">
        <v>16.207745412722261</v>
      </c>
      <c r="DE6">
        <v>432185255.97654229</v>
      </c>
      <c r="DF6">
        <v>0.16981070679426194</v>
      </c>
      <c r="DG6">
        <v>8.456071162395185</v>
      </c>
      <c r="DH6">
        <v>828369164.05702317</v>
      </c>
      <c r="DI6">
        <v>0.1543733698129654</v>
      </c>
      <c r="DJ6">
        <v>3.1438624138274349</v>
      </c>
      <c r="DK6">
        <v>2228070977.022243</v>
      </c>
      <c r="DL6">
        <v>0.13507669858634472</v>
      </c>
      <c r="DM6">
        <v>50297800</v>
      </c>
      <c r="DN6">
        <v>0.19296671226620674</v>
      </c>
      <c r="DO6">
        <v>7004748600</v>
      </c>
      <c r="DP6">
        <v>508278000</v>
      </c>
      <c r="DQ6" s="12">
        <v>470</v>
      </c>
      <c r="DR6">
        <v>0.1502765309770365</v>
      </c>
      <c r="DS6">
        <v>1.0720858463778875</v>
      </c>
      <c r="DT6">
        <v>-2.3333333333333355E-2</v>
      </c>
      <c r="DU6">
        <v>-0.15</v>
      </c>
      <c r="DV6">
        <v>-0.17333333333333334</v>
      </c>
      <c r="DW6">
        <v>-1.0461</v>
      </c>
      <c r="DX6">
        <v>0.45467374286524403</v>
      </c>
      <c r="DY6">
        <v>-1.0066694595460877</v>
      </c>
      <c r="DZ6">
        <v>2128</v>
      </c>
      <c r="EA6">
        <v>-1.00389204077621</v>
      </c>
      <c r="EB6" s="13">
        <v>1</v>
      </c>
      <c r="EC6">
        <v>5.7117934773562223E-2</v>
      </c>
      <c r="ED6">
        <v>0.3948051224938901</v>
      </c>
      <c r="EE6">
        <v>-1.0121100000000001</v>
      </c>
      <c r="EF6">
        <v>-1.0035000000000001</v>
      </c>
      <c r="EG6">
        <v>31.144673742865244</v>
      </c>
      <c r="EH6" s="14" t="s">
        <v>1300</v>
      </c>
      <c r="EI6">
        <v>0</v>
      </c>
      <c r="EJ6">
        <v>0</v>
      </c>
      <c r="EK6">
        <v>45470</v>
      </c>
      <c r="EL6">
        <v>1.21</v>
      </c>
      <c r="EM6">
        <v>-1.97</v>
      </c>
      <c r="EN6">
        <v>-0.99</v>
      </c>
      <c r="EO6">
        <v>3.03</v>
      </c>
      <c r="EP6">
        <v>1.56</v>
      </c>
    </row>
    <row r="7" spans="1:146" ht="96" x14ac:dyDescent="0.25">
      <c r="C7" s="8" t="str">
        <f>""&amp;CHAR(10)&amp;Basic_Fundamental_Information_Constructure(F7)&amp;CHAR(10)&amp;Basic_Fundamental_Information_Concatenate("")</f>
        <v xml:space="preserve">
市值113.802578亿, 利润7.23亿; PE17.75; 平均PE23.45; 平均PEG.31, PB1.96; ROIC22.06%; ROE31.9833%; 股利率1.8328%; 毛利35.53%; 净利22.23%; 上一年度营收增-8.18%, 利润增-43.91%; 当季营收增-9.56%, 利润增-35.34%; 过往5年营收增76.07%, 利润增79.66%
Income profile:
</v>
      </c>
      <c r="D7" t="s">
        <v>1274</v>
      </c>
      <c r="E7" t="s">
        <v>1275</v>
      </c>
      <c r="F7">
        <v>43.65</v>
      </c>
      <c r="G7">
        <v>1.44</v>
      </c>
      <c r="H7" t="s">
        <v>2556</v>
      </c>
      <c r="I7">
        <v>11380257800</v>
      </c>
      <c r="J7">
        <v>17.75</v>
      </c>
      <c r="K7">
        <v>1.96</v>
      </c>
      <c r="L7" t="s">
        <v>973</v>
      </c>
      <c r="M7" t="s">
        <v>610</v>
      </c>
      <c r="N7" t="s">
        <v>2557</v>
      </c>
      <c r="O7" t="s">
        <v>484</v>
      </c>
      <c r="P7">
        <v>-9.58</v>
      </c>
      <c r="Q7" t="s">
        <v>1815</v>
      </c>
      <c r="R7">
        <v>148720550</v>
      </c>
      <c r="S7">
        <v>-0.35470000000000002</v>
      </c>
      <c r="T7" t="s">
        <v>1556</v>
      </c>
      <c r="U7">
        <v>159413600</v>
      </c>
      <c r="V7">
        <v>260716100</v>
      </c>
      <c r="W7">
        <v>1.31</v>
      </c>
      <c r="X7">
        <v>0.11</v>
      </c>
      <c r="Y7">
        <v>17.27</v>
      </c>
      <c r="Z7" t="s">
        <v>34</v>
      </c>
      <c r="AA7" t="s">
        <v>564</v>
      </c>
      <c r="AB7" t="s">
        <v>2558</v>
      </c>
      <c r="AC7" t="s">
        <v>2559</v>
      </c>
      <c r="AD7" t="s">
        <v>5</v>
      </c>
      <c r="AE7">
        <v>12346772</v>
      </c>
      <c r="AF7" t="s">
        <v>1816</v>
      </c>
      <c r="AG7" t="s">
        <v>2560</v>
      </c>
      <c r="AH7" t="s">
        <v>1817</v>
      </c>
      <c r="AI7" t="s">
        <v>2561</v>
      </c>
      <c r="AJ7" t="s">
        <v>1818</v>
      </c>
      <c r="AK7" t="s">
        <v>2562</v>
      </c>
      <c r="AL7" t="s">
        <v>1819</v>
      </c>
      <c r="AM7" t="s">
        <v>5</v>
      </c>
      <c r="AN7" t="s">
        <v>2563</v>
      </c>
      <c r="AO7" t="s">
        <v>1122</v>
      </c>
      <c r="AP7" t="s">
        <v>5</v>
      </c>
      <c r="AQ7" t="s">
        <v>479</v>
      </c>
      <c r="AR7" t="s">
        <v>5</v>
      </c>
      <c r="AS7" t="s">
        <v>684</v>
      </c>
      <c r="AT7" t="s">
        <v>581</v>
      </c>
      <c r="AU7" t="s">
        <v>2564</v>
      </c>
      <c r="AV7" t="s">
        <v>104</v>
      </c>
      <c r="AW7" t="s">
        <v>343</v>
      </c>
      <c r="AX7" t="s">
        <v>1328</v>
      </c>
      <c r="AY7" t="s">
        <v>1276</v>
      </c>
      <c r="AZ7" t="s">
        <v>633</v>
      </c>
      <c r="BA7" t="s">
        <v>283</v>
      </c>
      <c r="BB7" t="s">
        <v>458</v>
      </c>
      <c r="BC7" t="s">
        <v>1061</v>
      </c>
      <c r="BD7" t="s">
        <v>495</v>
      </c>
      <c r="BE7" t="s">
        <v>31</v>
      </c>
      <c r="BF7" t="s">
        <v>1277</v>
      </c>
      <c r="BG7" t="s">
        <v>145</v>
      </c>
      <c r="BH7" t="s">
        <v>1815</v>
      </c>
      <c r="BI7" t="s">
        <v>1121</v>
      </c>
      <c r="BJ7" t="s">
        <v>1328</v>
      </c>
      <c r="BK7" t="s">
        <v>1556</v>
      </c>
      <c r="BL7" t="s">
        <v>155</v>
      </c>
      <c r="BM7" t="s">
        <v>1061</v>
      </c>
      <c r="BN7">
        <v>8.26</v>
      </c>
      <c r="BO7">
        <v>27.99</v>
      </c>
      <c r="BP7">
        <v>29.93</v>
      </c>
      <c r="BQ7">
        <v>10.59</v>
      </c>
      <c r="BR7">
        <v>51.82</v>
      </c>
      <c r="BS7">
        <v>33.54</v>
      </c>
      <c r="BT7" t="s">
        <v>1820</v>
      </c>
      <c r="BU7" t="s">
        <v>2508</v>
      </c>
      <c r="BV7">
        <v>27.74</v>
      </c>
      <c r="BW7">
        <v>41.65</v>
      </c>
      <c r="BX7">
        <v>37.200000000000003</v>
      </c>
      <c r="BY7">
        <v>16.46</v>
      </c>
      <c r="BZ7">
        <v>26.97</v>
      </c>
      <c r="CA7">
        <v>23.26</v>
      </c>
      <c r="CB7">
        <v>0.99</v>
      </c>
      <c r="CC7">
        <v>0.67</v>
      </c>
      <c r="CD7" t="s">
        <v>2565</v>
      </c>
      <c r="CE7" t="s">
        <v>2566</v>
      </c>
      <c r="CF7" s="10">
        <v>-9.5588235294117641E-2</v>
      </c>
      <c r="CG7" s="11">
        <v>-0.35338891304347819</v>
      </c>
      <c r="CH7" s="10">
        <v>-8.1764966249465942E-2</v>
      </c>
      <c r="CI7" s="10">
        <v>1.0470890998840332</v>
      </c>
      <c r="CJ7" s="10">
        <v>2.4252200126647949</v>
      </c>
      <c r="CK7" s="10">
        <v>0.2468007355928421</v>
      </c>
      <c r="CL7" s="10">
        <v>0.16631129384040833</v>
      </c>
      <c r="CM7" s="11">
        <v>-0.43910005688667297</v>
      </c>
      <c r="CN7" s="11">
        <v>1.3738489151000977</v>
      </c>
      <c r="CO7" s="11">
        <v>2.5490195751190186</v>
      </c>
      <c r="CP7" s="11">
        <v>0.73012524843215942</v>
      </c>
      <c r="CQ7" s="11">
        <v>-0.23101823031902313</v>
      </c>
      <c r="CR7">
        <v>23.452900734892431</v>
      </c>
      <c r="CS7">
        <v>0.30829417343925974</v>
      </c>
      <c r="CT7">
        <v>1.8327605956471937</v>
      </c>
      <c r="CU7" s="10">
        <v>0.76073123514652252</v>
      </c>
      <c r="CV7" s="11">
        <v>0.79657509028911588</v>
      </c>
      <c r="CW7">
        <v>0.06</v>
      </c>
      <c r="CX7">
        <v>6.0928832391423446</v>
      </c>
      <c r="CY7">
        <v>1200951587.7461658</v>
      </c>
      <c r="CZ7">
        <v>0.76073123514652252</v>
      </c>
      <c r="DA7">
        <v>1.1824786617008378</v>
      </c>
      <c r="DB7">
        <v>6188067520.3686981</v>
      </c>
      <c r="DC7">
        <v>0.72269467338919635</v>
      </c>
      <c r="DD7">
        <v>0.2590650316423922</v>
      </c>
      <c r="DE7">
        <v>28244868686.487125</v>
      </c>
      <c r="DF7">
        <v>0.66944348692893985</v>
      </c>
      <c r="DG7">
        <v>5.412349918667328E-2</v>
      </c>
      <c r="DH7">
        <v>135195578814.34454</v>
      </c>
      <c r="DI7">
        <v>0.60858498811721806</v>
      </c>
      <c r="DJ7">
        <v>1.9612465853911408E-3</v>
      </c>
      <c r="DK7">
        <v>3730921881269.0425</v>
      </c>
      <c r="DL7">
        <v>0.53251186460256572</v>
      </c>
      <c r="DM7">
        <v>723000000</v>
      </c>
      <c r="DN7">
        <v>0.76073123514652252</v>
      </c>
      <c r="DO7">
        <v>7317257800</v>
      </c>
      <c r="DP7">
        <v>3570474800</v>
      </c>
      <c r="DQ7" s="12">
        <v>479</v>
      </c>
      <c r="DR7">
        <v>-0.85631947044064016</v>
      </c>
      <c r="DS7">
        <v>-1.149964003332594</v>
      </c>
      <c r="DT7">
        <v>0.50666666666666671</v>
      </c>
      <c r="DU7">
        <v>0.46</v>
      </c>
      <c r="DV7">
        <v>0.96666666666666679</v>
      </c>
      <c r="DW7">
        <v>6.7000000000000002E-3</v>
      </c>
      <c r="DX7">
        <v>0.31879547403071595</v>
      </c>
      <c r="DY7">
        <v>6.6192967600580039E-4</v>
      </c>
      <c r="DZ7">
        <v>222</v>
      </c>
      <c r="EA7">
        <v>6.3317265289948186E-4</v>
      </c>
      <c r="EB7" s="13">
        <v>0</v>
      </c>
      <c r="EC7">
        <v>3.5801011138169067E-2</v>
      </c>
      <c r="ED7">
        <v>0.36237501251361154</v>
      </c>
      <c r="EE7">
        <v>2.0365099999999998</v>
      </c>
      <c r="EF7">
        <v>2.0502099999999999</v>
      </c>
      <c r="EG7">
        <v>22.098795474030716</v>
      </c>
      <c r="EH7" s="14" t="s">
        <v>1309</v>
      </c>
      <c r="EI7">
        <v>0</v>
      </c>
      <c r="EJ7">
        <v>1</v>
      </c>
      <c r="EK7">
        <v>45470</v>
      </c>
      <c r="EL7">
        <v>-0.51</v>
      </c>
      <c r="EM7">
        <v>-2.29</v>
      </c>
      <c r="EN7">
        <v>-1.1299999999999999</v>
      </c>
      <c r="EO7">
        <v>5.0199999999999996</v>
      </c>
      <c r="EP7">
        <v>-1.37</v>
      </c>
    </row>
    <row r="8" spans="1:146" ht="144" x14ac:dyDescent="0.25">
      <c r="A8" s="8" t="s">
        <v>1110</v>
      </c>
      <c r="B8" s="8"/>
      <c r="C8" s="8" t="str">
        <f>"公司主营业务为动力锂电池和输配电设备两大业务板块。主要产品为动力锂电池产品、输配电产品等。公司系国内最早从事新能源汽车动力锂离子电池自主研发、生产和销售的企业之一；"&amp;CHAR(10)&amp;Basic_Fundamental_Information_Constructure(F8)&amp;CHAR(10)&amp;Basic_Fundamental_Information_Concatenate("动力电池系统 230.51亿 72.93% 34.66亿 64.81% 15.04%
储能电池系统 69.32亿 21.93% 12.68亿 23.71% 18.29%
输配电产品 8.16亿 2.58% 1.64亿 3.07% 20.11%")</f>
        <v>公司主营业务为动力锂电池和输配电设备两大业务板块。主要产品为动力锂电池产品、输配电产品等。公司系国内最早从事新能源汽车动力锂离子电池自主研发、生产和销售的企业之一；
市值328.38828亿, 利润9.39亿; PE35.23; 平均PE92.32; 平均PEG1.88, PB1.34; ROIC2.0133%; ROE1.2467%; 股利率.5453%; 毛利17.7733%; 净利1.8%; 上一年度营收增37.1%, 利润增200.96%; 当季营收增4.61%, 利润增-8.56%; 过往5年营收增49.21%, 利润增95.27%
Income profile:
动力电池系统 230.51亿 72.93% 34.66亿 64.81% 15.04%
储能电池系统 69.32亿 21.93% 12.68亿 23.71% 18.29%
输配电产品 8.16亿 2.58% 1.64亿 3.07% 20.11%</v>
      </c>
      <c r="D8" t="s">
        <v>691</v>
      </c>
      <c r="E8" t="s">
        <v>692</v>
      </c>
      <c r="F8">
        <v>18.34</v>
      </c>
      <c r="G8">
        <v>0.16</v>
      </c>
      <c r="H8" t="s">
        <v>2567</v>
      </c>
      <c r="I8">
        <v>32838828000</v>
      </c>
      <c r="J8">
        <v>35.229999999999997</v>
      </c>
      <c r="K8">
        <v>1.34</v>
      </c>
      <c r="L8" t="s">
        <v>973</v>
      </c>
      <c r="M8" t="s">
        <v>1822</v>
      </c>
      <c r="N8" t="s">
        <v>2568</v>
      </c>
      <c r="O8" t="s">
        <v>1823</v>
      </c>
      <c r="P8">
        <v>4.6100000000000003</v>
      </c>
      <c r="Q8" t="s">
        <v>1824</v>
      </c>
      <c r="R8">
        <v>69137965</v>
      </c>
      <c r="S8" s="6">
        <v>-8.5599999999999996E-2</v>
      </c>
      <c r="T8" t="s">
        <v>1014</v>
      </c>
      <c r="U8">
        <v>1328525120</v>
      </c>
      <c r="V8">
        <v>1790557700</v>
      </c>
      <c r="W8">
        <v>3.8</v>
      </c>
      <c r="X8">
        <v>0.08</v>
      </c>
      <c r="Y8">
        <v>0.48</v>
      </c>
      <c r="Z8" t="s">
        <v>2569</v>
      </c>
      <c r="AA8" t="s">
        <v>2570</v>
      </c>
      <c r="AB8" t="s">
        <v>38</v>
      </c>
      <c r="AC8" t="s">
        <v>326</v>
      </c>
      <c r="AD8" t="s">
        <v>5</v>
      </c>
      <c r="AE8">
        <v>227714020</v>
      </c>
      <c r="AF8" t="s">
        <v>1825</v>
      </c>
      <c r="AG8" t="s">
        <v>2571</v>
      </c>
      <c r="AH8" t="s">
        <v>1826</v>
      </c>
      <c r="AI8" t="s">
        <v>2572</v>
      </c>
      <c r="AJ8" t="s">
        <v>1827</v>
      </c>
      <c r="AK8" t="s">
        <v>188</v>
      </c>
      <c r="AL8" t="s">
        <v>1828</v>
      </c>
      <c r="AM8" t="s">
        <v>5</v>
      </c>
      <c r="AN8" t="s">
        <v>2573</v>
      </c>
      <c r="AO8" t="s">
        <v>2574</v>
      </c>
      <c r="AP8" t="s">
        <v>2575</v>
      </c>
      <c r="AQ8" t="s">
        <v>2576</v>
      </c>
      <c r="AR8" t="s">
        <v>5</v>
      </c>
      <c r="AS8" t="s">
        <v>2577</v>
      </c>
      <c r="AT8" t="s">
        <v>2578</v>
      </c>
      <c r="AU8" t="s">
        <v>2579</v>
      </c>
      <c r="AV8" t="s">
        <v>2580</v>
      </c>
      <c r="AW8" t="s">
        <v>741</v>
      </c>
      <c r="AX8" t="s">
        <v>1329</v>
      </c>
      <c r="AY8" t="s">
        <v>977</v>
      </c>
      <c r="AZ8" t="s">
        <v>693</v>
      </c>
      <c r="BA8" t="s">
        <v>694</v>
      </c>
      <c r="BB8" t="s">
        <v>695</v>
      </c>
      <c r="BC8" t="s">
        <v>978</v>
      </c>
      <c r="BD8" t="s">
        <v>161</v>
      </c>
      <c r="BE8" t="s">
        <v>200</v>
      </c>
      <c r="BF8" t="s">
        <v>696</v>
      </c>
      <c r="BG8" t="s">
        <v>361</v>
      </c>
      <c r="BH8" t="s">
        <v>1824</v>
      </c>
      <c r="BI8" t="s">
        <v>1829</v>
      </c>
      <c r="BJ8" t="s">
        <v>1329</v>
      </c>
      <c r="BK8" t="s">
        <v>1014</v>
      </c>
      <c r="BL8" t="s">
        <v>1830</v>
      </c>
      <c r="BM8" t="s">
        <v>978</v>
      </c>
      <c r="BN8">
        <v>1.01</v>
      </c>
      <c r="BO8">
        <v>2.65</v>
      </c>
      <c r="BP8">
        <v>2.38</v>
      </c>
      <c r="BQ8">
        <v>1.22</v>
      </c>
      <c r="BR8">
        <v>1.66</v>
      </c>
      <c r="BS8">
        <v>0.86</v>
      </c>
      <c r="BT8" t="s">
        <v>1279</v>
      </c>
      <c r="BU8" t="s">
        <v>2521</v>
      </c>
      <c r="BV8">
        <v>16.920000000000002</v>
      </c>
      <c r="BW8">
        <v>17.79</v>
      </c>
      <c r="BX8">
        <v>18.61</v>
      </c>
      <c r="BY8">
        <v>3.07</v>
      </c>
      <c r="BZ8">
        <v>1.59</v>
      </c>
      <c r="CA8">
        <v>0.74</v>
      </c>
      <c r="CB8">
        <v>-4.2300000000000004</v>
      </c>
      <c r="CC8">
        <v>-12.92</v>
      </c>
      <c r="CD8" t="s">
        <v>2581</v>
      </c>
      <c r="CE8" t="s">
        <v>2582</v>
      </c>
      <c r="CF8" s="10">
        <v>4.611954855789327E-2</v>
      </c>
      <c r="CG8" s="11">
        <v>-8.559155926173298E-2</v>
      </c>
      <c r="CH8" s="10">
        <v>0.3710307776927948</v>
      </c>
      <c r="CI8" s="10">
        <v>1.2259559631347656</v>
      </c>
      <c r="CJ8" s="10">
        <v>0.54015469551086426</v>
      </c>
      <c r="CK8" s="10">
        <v>0.35591846704483032</v>
      </c>
      <c r="CL8" s="10">
        <v>-3.2767698168754578E-2</v>
      </c>
      <c r="CM8" s="11">
        <v>2.009615421295166</v>
      </c>
      <c r="CN8" s="11">
        <v>2.0588235855102539</v>
      </c>
      <c r="CO8" s="11">
        <v>-0.31999999284744263</v>
      </c>
      <c r="CP8" s="11">
        <v>1.9266122579574585</v>
      </c>
      <c r="CQ8" s="11">
        <v>-0.91163140535354614</v>
      </c>
      <c r="CR8">
        <v>92.319370826468713</v>
      </c>
      <c r="CS8">
        <v>1.8761871177496954</v>
      </c>
      <c r="CT8">
        <v>0.54525627044711011</v>
      </c>
      <c r="CU8" s="10">
        <v>0.49205844104290009</v>
      </c>
      <c r="CV8" s="11">
        <v>0.95268397331237797</v>
      </c>
      <c r="CW8">
        <v>0.06</v>
      </c>
      <c r="CX8">
        <v>56.327196707543571</v>
      </c>
      <c r="CY8">
        <v>1321738562.39555</v>
      </c>
      <c r="CZ8">
        <v>0.49205844104290009</v>
      </c>
      <c r="DA8">
        <v>13.316077921376509</v>
      </c>
      <c r="DB8">
        <v>5590972690.2757549</v>
      </c>
      <c r="DC8">
        <v>0.46745551899075505</v>
      </c>
      <c r="DD8">
        <v>4.0429863371845602</v>
      </c>
      <c r="DE8">
        <v>18414563342.760414</v>
      </c>
      <c r="DF8">
        <v>0.43301142811775206</v>
      </c>
      <c r="DG8">
        <v>1.3150927243563368</v>
      </c>
      <c r="DH8">
        <v>56611846922.382568</v>
      </c>
      <c r="DI8">
        <v>0.3936467528343201</v>
      </c>
      <c r="DJ8">
        <v>0.14577708859720515</v>
      </c>
      <c r="DK8">
        <v>510710076023.75293</v>
      </c>
      <c r="DL8">
        <v>0.34444090873003003</v>
      </c>
      <c r="DM8">
        <v>939000000</v>
      </c>
      <c r="DN8">
        <v>0.49205844104290009</v>
      </c>
      <c r="DO8">
        <v>74449828000</v>
      </c>
      <c r="DP8">
        <v>-2640566000</v>
      </c>
      <c r="DQ8">
        <v>590</v>
      </c>
      <c r="DR8">
        <v>-0.44593889248500684</v>
      </c>
      <c r="DS8">
        <v>-1.0382755325741109</v>
      </c>
      <c r="DT8" s="12">
        <v>0.27666666666666662</v>
      </c>
      <c r="DU8">
        <v>0.7533333333333333</v>
      </c>
      <c r="DV8">
        <v>1.0299999999999998</v>
      </c>
      <c r="DW8">
        <v>-8.3273993808049536</v>
      </c>
      <c r="DX8">
        <v>0.29124169096209812</v>
      </c>
      <c r="DY8">
        <v>-8.0331464669326369</v>
      </c>
      <c r="DZ8">
        <v>194</v>
      </c>
      <c r="EA8">
        <v>-8.0318880687751157</v>
      </c>
      <c r="EB8">
        <v>8</v>
      </c>
      <c r="EC8">
        <v>3.8787803375451124E-2</v>
      </c>
      <c r="ED8">
        <v>0.3831208567029144</v>
      </c>
      <c r="EE8" s="13">
        <v>-2.0215000000000001</v>
      </c>
      <c r="EF8">
        <v>-2.0014099999999999</v>
      </c>
      <c r="EG8">
        <v>19.101241690962098</v>
      </c>
      <c r="EH8" t="s">
        <v>1310</v>
      </c>
      <c r="EI8">
        <v>0</v>
      </c>
      <c r="EJ8">
        <v>1</v>
      </c>
      <c r="EK8" s="14">
        <v>45470</v>
      </c>
      <c r="EL8">
        <v>0.2</v>
      </c>
      <c r="EM8">
        <v>-1.68</v>
      </c>
      <c r="EN8">
        <v>-1.6</v>
      </c>
      <c r="EO8">
        <v>2.99</v>
      </c>
      <c r="EP8">
        <v>-2.29</v>
      </c>
    </row>
    <row r="9" spans="1:146" ht="96" x14ac:dyDescent="0.25">
      <c r="A9" s="8"/>
      <c r="B9" s="8"/>
      <c r="C9" s="8" t="str">
        <f>""&amp;CHAR(10)&amp;Basic_Fundamental_Information_Constructure(F9)&amp;CHAR(10)&amp;Basic_Fundamental_Information_Concatenate("")</f>
        <v xml:space="preserve">
市值59.737815亿, 利润3.52亿; PE16.57; 平均PE31.22; 平均PEG1.93, PB2.11; ROIC9.0933%; ROE13.34%; 股利率1.7703%; 毛利22.5767%; 净利16.18%; 上一年度营收增3%, 利润增-10.66%; 当季营收增-22.41%, 利润增20.07%; 过往5年营收增16.2%, 利润增165.8%
Income profile:
</v>
      </c>
      <c r="D9" t="s">
        <v>1142</v>
      </c>
      <c r="E9" t="s">
        <v>1143</v>
      </c>
      <c r="F9">
        <v>9.49</v>
      </c>
      <c r="G9">
        <v>1.17</v>
      </c>
      <c r="H9" t="s">
        <v>2583</v>
      </c>
      <c r="I9">
        <v>5973781500</v>
      </c>
      <c r="J9">
        <v>16.57</v>
      </c>
      <c r="K9">
        <v>2.11</v>
      </c>
      <c r="L9" t="s">
        <v>973</v>
      </c>
      <c r="M9" t="s">
        <v>1833</v>
      </c>
      <c r="N9" t="s">
        <v>2584</v>
      </c>
      <c r="O9" t="s">
        <v>506</v>
      </c>
      <c r="P9">
        <v>-22.51</v>
      </c>
      <c r="Q9" t="s">
        <v>1834</v>
      </c>
      <c r="R9">
        <v>48562557</v>
      </c>
      <c r="S9" s="6">
        <v>0.20069999999999999</v>
      </c>
      <c r="T9" t="s">
        <v>599</v>
      </c>
      <c r="U9">
        <v>629481710</v>
      </c>
      <c r="V9">
        <v>629481710</v>
      </c>
      <c r="W9">
        <v>1.69</v>
      </c>
      <c r="X9">
        <v>7.0000000000000007E-2</v>
      </c>
      <c r="Y9">
        <v>13.34</v>
      </c>
      <c r="Z9" t="s">
        <v>257</v>
      </c>
      <c r="AA9" t="s">
        <v>448</v>
      </c>
      <c r="AB9" t="s">
        <v>2585</v>
      </c>
      <c r="AC9" t="s">
        <v>2586</v>
      </c>
      <c r="AD9" t="s">
        <v>5</v>
      </c>
      <c r="AE9">
        <v>9143568</v>
      </c>
      <c r="AF9" t="s">
        <v>1835</v>
      </c>
      <c r="AG9" t="s">
        <v>2587</v>
      </c>
      <c r="AH9" t="s">
        <v>1836</v>
      </c>
      <c r="AI9" t="s">
        <v>572</v>
      </c>
      <c r="AJ9" t="s">
        <v>1837</v>
      </c>
      <c r="AK9" t="s">
        <v>2588</v>
      </c>
      <c r="AL9" t="s">
        <v>1838</v>
      </c>
      <c r="AM9" t="s">
        <v>5</v>
      </c>
      <c r="AN9" t="s">
        <v>204</v>
      </c>
      <c r="AO9" t="s">
        <v>544</v>
      </c>
      <c r="AP9" t="s">
        <v>1839</v>
      </c>
      <c r="AQ9" t="s">
        <v>179</v>
      </c>
      <c r="AR9" t="s">
        <v>5</v>
      </c>
      <c r="AS9" t="s">
        <v>1684</v>
      </c>
      <c r="AT9" t="s">
        <v>511</v>
      </c>
      <c r="AU9" t="s">
        <v>2589</v>
      </c>
      <c r="AV9" t="s">
        <v>2590</v>
      </c>
      <c r="AW9" t="s">
        <v>1794</v>
      </c>
      <c r="AX9" t="s">
        <v>1330</v>
      </c>
      <c r="AY9" t="s">
        <v>1144</v>
      </c>
      <c r="AZ9" t="s">
        <v>1145</v>
      </c>
      <c r="BA9" t="s">
        <v>571</v>
      </c>
      <c r="BB9" t="s">
        <v>270</v>
      </c>
      <c r="BC9" t="s">
        <v>512</v>
      </c>
      <c r="BD9" t="s">
        <v>369</v>
      </c>
      <c r="BE9" t="s">
        <v>1146</v>
      </c>
      <c r="BF9" t="s">
        <v>1147</v>
      </c>
      <c r="BG9" t="s">
        <v>1148</v>
      </c>
      <c r="BH9" t="s">
        <v>1834</v>
      </c>
      <c r="BI9" t="s">
        <v>74</v>
      </c>
      <c r="BJ9" t="s">
        <v>1330</v>
      </c>
      <c r="BK9" t="s">
        <v>599</v>
      </c>
      <c r="BL9" t="s">
        <v>1841</v>
      </c>
      <c r="BM9" t="s">
        <v>512</v>
      </c>
      <c r="BN9">
        <v>6.15</v>
      </c>
      <c r="BO9">
        <v>11.99</v>
      </c>
      <c r="BP9">
        <v>9.14</v>
      </c>
      <c r="BQ9">
        <v>9.26</v>
      </c>
      <c r="BR9">
        <v>18.11</v>
      </c>
      <c r="BS9">
        <v>12.65</v>
      </c>
      <c r="BT9" t="s">
        <v>1842</v>
      </c>
      <c r="BU9" t="s">
        <v>2508</v>
      </c>
      <c r="BV9">
        <v>21.56</v>
      </c>
      <c r="BW9">
        <v>26.48</v>
      </c>
      <c r="BX9">
        <v>19.690000000000001</v>
      </c>
      <c r="BY9">
        <v>15.73</v>
      </c>
      <c r="BZ9">
        <v>19.21</v>
      </c>
      <c r="CA9">
        <v>13.6</v>
      </c>
      <c r="CB9">
        <v>-2.4700000000000002</v>
      </c>
      <c r="CC9">
        <v>-15.96</v>
      </c>
      <c r="CD9" t="s">
        <v>2591</v>
      </c>
      <c r="CE9" t="s">
        <v>523</v>
      </c>
      <c r="CF9" s="10">
        <v>-0.22413793103448265</v>
      </c>
      <c r="CG9" s="11">
        <v>0.20071497625152368</v>
      </c>
      <c r="CH9" s="10">
        <v>3.0000030994415283E-2</v>
      </c>
      <c r="CI9" s="10">
        <v>0.12179487198591232</v>
      </c>
      <c r="CJ9" s="10">
        <v>0.51701784133911133</v>
      </c>
      <c r="CK9" s="10">
        <v>1.9834710285067558E-2</v>
      </c>
      <c r="CL9" s="10">
        <v>0.12140864878892899</v>
      </c>
      <c r="CM9" s="11">
        <v>-0.10659898817539215</v>
      </c>
      <c r="CN9" s="11">
        <v>0.65546220541000366</v>
      </c>
      <c r="CO9" s="11">
        <v>8.4076728820800781</v>
      </c>
      <c r="CP9" s="11">
        <v>-0.6279178261756897</v>
      </c>
      <c r="CQ9" s="11">
        <v>-3.8807295262813568E-2</v>
      </c>
      <c r="CR9">
        <v>31.22112023497705</v>
      </c>
      <c r="CS9">
        <v>1.9270961668079236</v>
      </c>
      <c r="CT9">
        <v>1.7702845100105373</v>
      </c>
      <c r="CU9" s="10">
        <v>0.16201122067868709</v>
      </c>
      <c r="CV9" s="11">
        <v>1.6579621955752373</v>
      </c>
      <c r="CW9">
        <v>0.06</v>
      </c>
      <c r="CX9">
        <v>13.64891664342913</v>
      </c>
      <c r="CY9">
        <v>385875424.22537524</v>
      </c>
      <c r="CZ9">
        <v>0.16201122067868709</v>
      </c>
      <c r="DA9">
        <v>4.1986164351891206</v>
      </c>
      <c r="DB9">
        <v>1254408822.8346977</v>
      </c>
      <c r="DC9">
        <v>0.15391065964475273</v>
      </c>
      <c r="DD9">
        <v>1.9022813996692904</v>
      </c>
      <c r="DE9">
        <v>2768665824.5807505</v>
      </c>
      <c r="DF9">
        <v>0.14256987419724465</v>
      </c>
      <c r="DG9">
        <v>1.0371884469507719</v>
      </c>
      <c r="DH9">
        <v>5077940769.089551</v>
      </c>
      <c r="DI9">
        <v>0.12960897654294967</v>
      </c>
      <c r="DJ9">
        <v>0.42904863021709</v>
      </c>
      <c r="DK9">
        <v>12275488439.00309</v>
      </c>
      <c r="DL9">
        <v>0.11340785447508095</v>
      </c>
      <c r="DM9">
        <v>352000000</v>
      </c>
      <c r="DN9">
        <v>0.16201122067868709</v>
      </c>
      <c r="DO9">
        <v>5266781500</v>
      </c>
      <c r="DP9">
        <v>479264800</v>
      </c>
      <c r="DQ9">
        <v>637</v>
      </c>
      <c r="DR9">
        <v>-0.38614915171316977</v>
      </c>
      <c r="DS9">
        <v>-1.4572472193237136</v>
      </c>
      <c r="DT9" s="12">
        <v>-0.3066666666666667</v>
      </c>
      <c r="DU9">
        <v>0.71666666666666679</v>
      </c>
      <c r="DV9">
        <v>0.41000000000000009</v>
      </c>
      <c r="DW9">
        <v>-2.1596000000000002</v>
      </c>
      <c r="DX9">
        <v>0.25456183574879204</v>
      </c>
      <c r="DY9">
        <v>-2.0119000689855073</v>
      </c>
      <c r="DZ9">
        <v>857</v>
      </c>
      <c r="EA9">
        <v>-2.0099043039912647</v>
      </c>
      <c r="EB9">
        <v>2</v>
      </c>
      <c r="EC9">
        <v>7.3557180875040831E-2</v>
      </c>
      <c r="ED9">
        <v>0.98652588333344904</v>
      </c>
      <c r="EE9" s="13">
        <v>3.0173000000000001</v>
      </c>
      <c r="EF9">
        <v>3.00881</v>
      </c>
      <c r="EG9">
        <v>18.074561835748792</v>
      </c>
      <c r="EH9" t="s">
        <v>1311</v>
      </c>
      <c r="EI9">
        <v>0</v>
      </c>
      <c r="EJ9">
        <v>1</v>
      </c>
      <c r="EK9" s="14">
        <v>45470</v>
      </c>
      <c r="EL9">
        <v>-1.18</v>
      </c>
      <c r="EM9">
        <v>-3.2</v>
      </c>
      <c r="EN9">
        <v>0.31</v>
      </c>
      <c r="EO9">
        <v>2.67</v>
      </c>
      <c r="EP9">
        <v>-2.61</v>
      </c>
    </row>
    <row r="10" spans="1:146" ht="96" x14ac:dyDescent="0.25">
      <c r="A10" s="8"/>
      <c r="B10" s="8"/>
      <c r="C10" s="8" t="str">
        <f>""&amp;CHAR(10)&amp;Basic_Fundamental_Information_Constructure(F10)&amp;CHAR(10)&amp;Basic_Fundamental_Information_Concatenate("")</f>
        <v xml:space="preserve">
市值85.481853亿, 利润1.41亿; PE38.16; 平均PE28.32; 平均PEG3.69, PB1.31; ROIC6.6067%; ROE10.1%; 股利率.2022%; 毛利16.3533%; 净利6.9733%; 上一年度营收增-16.91%, 利润增-62.7%; 当季营收增46.71%, 利润增663.09%; 过往5年营收增7.68%, 利润增24.51%
Income profile:
</v>
      </c>
      <c r="D10" t="s">
        <v>698</v>
      </c>
      <c r="E10" t="s">
        <v>699</v>
      </c>
      <c r="F10">
        <v>7.42</v>
      </c>
      <c r="G10">
        <v>-0.93</v>
      </c>
      <c r="H10" t="s">
        <v>2592</v>
      </c>
      <c r="I10">
        <v>8548185300</v>
      </c>
      <c r="J10">
        <v>38.159999999999997</v>
      </c>
      <c r="K10">
        <v>1.31</v>
      </c>
      <c r="L10" t="s">
        <v>973</v>
      </c>
      <c r="M10" t="s">
        <v>1846</v>
      </c>
      <c r="N10" t="s">
        <v>2593</v>
      </c>
      <c r="O10" t="s">
        <v>1167</v>
      </c>
      <c r="P10">
        <v>46.77</v>
      </c>
      <c r="Q10" t="s">
        <v>1847</v>
      </c>
      <c r="R10">
        <v>70665124</v>
      </c>
      <c r="S10" s="6">
        <v>6.6310000000000002</v>
      </c>
      <c r="T10" t="s">
        <v>91</v>
      </c>
      <c r="U10">
        <v>1083774500</v>
      </c>
      <c r="V10">
        <v>1152046540</v>
      </c>
      <c r="W10">
        <v>1.55</v>
      </c>
      <c r="X10">
        <v>0.13</v>
      </c>
      <c r="Y10">
        <v>5.81</v>
      </c>
      <c r="Z10" t="s">
        <v>618</v>
      </c>
      <c r="AA10" t="s">
        <v>2594</v>
      </c>
      <c r="AB10" t="s">
        <v>2595</v>
      </c>
      <c r="AC10" t="s">
        <v>2596</v>
      </c>
      <c r="AD10" t="s">
        <v>5</v>
      </c>
      <c r="AE10">
        <v>8376059</v>
      </c>
      <c r="AF10" t="s">
        <v>1848</v>
      </c>
      <c r="AG10" t="s">
        <v>2597</v>
      </c>
      <c r="AH10" t="s">
        <v>1849</v>
      </c>
      <c r="AI10" t="s">
        <v>1665</v>
      </c>
      <c r="AJ10" t="s">
        <v>1850</v>
      </c>
      <c r="AK10" t="s">
        <v>2598</v>
      </c>
      <c r="AL10" t="s">
        <v>1851</v>
      </c>
      <c r="AM10" t="s">
        <v>5</v>
      </c>
      <c r="AN10" t="s">
        <v>2599</v>
      </c>
      <c r="AO10" t="s">
        <v>1709</v>
      </c>
      <c r="AP10" t="s">
        <v>346</v>
      </c>
      <c r="AQ10" t="s">
        <v>2146</v>
      </c>
      <c r="AR10" t="s">
        <v>5</v>
      </c>
      <c r="AS10" t="s">
        <v>1882</v>
      </c>
      <c r="AT10" t="s">
        <v>221</v>
      </c>
      <c r="AU10" t="s">
        <v>348</v>
      </c>
      <c r="AV10" t="s">
        <v>2254</v>
      </c>
      <c r="AW10" t="s">
        <v>1421</v>
      </c>
      <c r="AX10" t="s">
        <v>1333</v>
      </c>
      <c r="AY10" t="s">
        <v>981</v>
      </c>
      <c r="AZ10" t="s">
        <v>1334</v>
      </c>
      <c r="BA10" t="s">
        <v>701</v>
      </c>
      <c r="BB10" t="s">
        <v>702</v>
      </c>
      <c r="BC10" t="s">
        <v>503</v>
      </c>
      <c r="BD10" t="s">
        <v>239</v>
      </c>
      <c r="BE10" t="s">
        <v>20</v>
      </c>
      <c r="BF10" t="s">
        <v>35</v>
      </c>
      <c r="BG10" t="s">
        <v>192</v>
      </c>
      <c r="BH10" t="s">
        <v>1847</v>
      </c>
      <c r="BI10" t="s">
        <v>456</v>
      </c>
      <c r="BJ10" t="s">
        <v>1333</v>
      </c>
      <c r="BK10" t="s">
        <v>91</v>
      </c>
      <c r="BL10" t="s">
        <v>1852</v>
      </c>
      <c r="BM10" t="s">
        <v>503</v>
      </c>
      <c r="BN10">
        <v>1.89</v>
      </c>
      <c r="BO10">
        <v>5.72</v>
      </c>
      <c r="BP10">
        <v>12.21</v>
      </c>
      <c r="BQ10">
        <v>1.61</v>
      </c>
      <c r="BR10">
        <v>7.65</v>
      </c>
      <c r="BS10">
        <v>21.04</v>
      </c>
      <c r="BT10" t="s">
        <v>1853</v>
      </c>
      <c r="BU10" t="s">
        <v>2521</v>
      </c>
      <c r="BV10">
        <v>12.8</v>
      </c>
      <c r="BW10">
        <v>15.84</v>
      </c>
      <c r="BX10">
        <v>20.420000000000002</v>
      </c>
      <c r="BY10">
        <v>3.83</v>
      </c>
      <c r="BZ10">
        <v>6.47</v>
      </c>
      <c r="CA10">
        <v>10.62</v>
      </c>
      <c r="CB10">
        <v>-4.26</v>
      </c>
      <c r="CC10">
        <v>-7.42</v>
      </c>
      <c r="CD10" t="s">
        <v>2600</v>
      </c>
      <c r="CE10" t="s">
        <v>565</v>
      </c>
      <c r="CF10" s="10">
        <v>0.4671457905544148</v>
      </c>
      <c r="CG10" s="11">
        <v>6.6308666411678461</v>
      </c>
      <c r="CH10" s="10">
        <v>-0.16913285851478577</v>
      </c>
      <c r="CI10" s="10">
        <v>-5.913170799612999E-2</v>
      </c>
      <c r="CJ10" s="10">
        <v>0.57770425081253052</v>
      </c>
      <c r="CK10" s="10">
        <v>0.21631720662117004</v>
      </c>
      <c r="CL10" s="10">
        <v>-0.18190367519855499</v>
      </c>
      <c r="CM10" s="11">
        <v>-0.6269841194152832</v>
      </c>
      <c r="CN10" s="11">
        <v>-0.43582090735435486</v>
      </c>
      <c r="CO10" s="11">
        <v>1.4100719690322876</v>
      </c>
      <c r="CP10" s="11">
        <v>1.3559322357177734</v>
      </c>
      <c r="CQ10" s="11">
        <v>-0.47787609696388245</v>
      </c>
      <c r="CR10">
        <v>28.320878961899506</v>
      </c>
      <c r="CS10">
        <v>3.689024580459157</v>
      </c>
      <c r="CT10">
        <v>0.20215633423180593</v>
      </c>
      <c r="CU10" s="10">
        <v>7.6770643144845968E-2</v>
      </c>
      <c r="CV10" s="11">
        <v>0.24506461620330811</v>
      </c>
      <c r="CW10">
        <v>0.06</v>
      </c>
      <c r="CX10">
        <v>41.647360774838724</v>
      </c>
      <c r="CY10">
        <v>143230811.96549365</v>
      </c>
      <c r="CZ10">
        <v>7.6770643144845968E-2</v>
      </c>
      <c r="DA10">
        <v>13.763520334992824</v>
      </c>
      <c r="DB10">
        <v>433405491.8227511</v>
      </c>
      <c r="DC10">
        <v>7.293211098760366E-2</v>
      </c>
      <c r="DD10">
        <v>6.87735936583654</v>
      </c>
      <c r="DE10">
        <v>867365653.39775801</v>
      </c>
      <c r="DF10">
        <v>6.7558165967464459E-2</v>
      </c>
      <c r="DG10">
        <v>4.1996371376636743</v>
      </c>
      <c r="DH10">
        <v>1420404931.2980714</v>
      </c>
      <c r="DI10">
        <v>6.1416514515876777E-2</v>
      </c>
      <c r="DJ10">
        <v>2.2497490351268179</v>
      </c>
      <c r="DK10">
        <v>2651489213.6241074</v>
      </c>
      <c r="DL10">
        <v>5.3739450201392175E-2</v>
      </c>
      <c r="DM10">
        <v>141000000</v>
      </c>
      <c r="DN10">
        <v>7.6770643144845968E-2</v>
      </c>
      <c r="DO10">
        <v>5965185300.000001</v>
      </c>
      <c r="DP10">
        <v>2069418600</v>
      </c>
      <c r="DQ10">
        <v>754</v>
      </c>
      <c r="DR10">
        <v>0.3903751474095688</v>
      </c>
      <c r="DS10">
        <v>6.385802024964538</v>
      </c>
      <c r="DT10" s="12">
        <v>-0.45666666666666672</v>
      </c>
      <c r="DU10">
        <v>0.13666666666666669</v>
      </c>
      <c r="DV10">
        <v>-0.32000000000000006</v>
      </c>
      <c r="DW10">
        <v>-8.5741239892183287</v>
      </c>
      <c r="DX10">
        <v>0.37280504032258022</v>
      </c>
      <c r="DY10">
        <v>-8.0762465595383013</v>
      </c>
      <c r="DZ10">
        <v>2497</v>
      </c>
      <c r="EA10">
        <v>-8.0389887006014842</v>
      </c>
      <c r="EB10">
        <v>8</v>
      </c>
      <c r="EC10">
        <v>5.7177637979798974E-2</v>
      </c>
      <c r="ED10">
        <v>0.43053816211279106</v>
      </c>
      <c r="EE10" s="13">
        <v>-2.0297000000000001</v>
      </c>
      <c r="EF10">
        <v>-2.0089999999999999</v>
      </c>
      <c r="EG10">
        <v>24.13280504032258</v>
      </c>
      <c r="EH10" t="s">
        <v>1308</v>
      </c>
      <c r="EI10">
        <v>0</v>
      </c>
      <c r="EJ10">
        <v>0</v>
      </c>
      <c r="EK10" s="14">
        <v>45470</v>
      </c>
      <c r="EL10">
        <v>-1.3</v>
      </c>
      <c r="EM10">
        <v>-4.07</v>
      </c>
      <c r="EN10">
        <v>0</v>
      </c>
      <c r="EO10">
        <v>5.89</v>
      </c>
      <c r="EP10">
        <v>-2.0699999999999998</v>
      </c>
    </row>
    <row r="11" spans="1:146" ht="96" x14ac:dyDescent="0.25">
      <c r="A11" s="8"/>
      <c r="B11" s="8"/>
      <c r="C11" s="8" t="str">
        <f>""&amp;CHAR(10)&amp;Basic_Fundamental_Information_Constructure(F11)&amp;CHAR(10)&amp;Basic_Fundamental_Information_Concatenate("")</f>
        <v xml:space="preserve">
市值90.905541亿, 利润4.68亿; PE20.51; 平均PE41.1; 平均PEG2.08, PB2.09; ROIC4.3533%; ROE6.8367%; 股利率.6127%; 毛利13.84%; 净利3.02%; 上一年度营收增28.87%, 利润增131.68%; 当季营收增2.04%, 利润增-24.56%; 过往5年营收增19.77%, 利润增211.29%
Income profile:
</v>
      </c>
      <c r="D11" t="s">
        <v>1150</v>
      </c>
      <c r="E11" t="s">
        <v>1151</v>
      </c>
      <c r="F11">
        <v>8.16</v>
      </c>
      <c r="G11">
        <v>0.99</v>
      </c>
      <c r="H11" t="s">
        <v>2601</v>
      </c>
      <c r="I11">
        <v>9090554100</v>
      </c>
      <c r="J11">
        <v>20.51</v>
      </c>
      <c r="K11">
        <v>2.09</v>
      </c>
      <c r="L11" t="s">
        <v>973</v>
      </c>
      <c r="M11" t="s">
        <v>1687</v>
      </c>
      <c r="N11" t="s">
        <v>2602</v>
      </c>
      <c r="O11" t="s">
        <v>1692</v>
      </c>
      <c r="P11">
        <v>2.04</v>
      </c>
      <c r="Q11" t="s">
        <v>1857</v>
      </c>
      <c r="R11">
        <v>78452590</v>
      </c>
      <c r="S11" s="6">
        <v>-0.24249999999999999</v>
      </c>
      <c r="T11" t="s">
        <v>1207</v>
      </c>
      <c r="U11">
        <v>775229390</v>
      </c>
      <c r="V11">
        <v>1114038490</v>
      </c>
      <c r="W11">
        <v>2.5499999999999998</v>
      </c>
      <c r="X11">
        <v>0.16</v>
      </c>
      <c r="Y11">
        <v>3.83</v>
      </c>
      <c r="Z11" t="s">
        <v>2603</v>
      </c>
      <c r="AA11" t="s">
        <v>2604</v>
      </c>
      <c r="AB11" t="s">
        <v>2605</v>
      </c>
      <c r="AC11" t="s">
        <v>2606</v>
      </c>
      <c r="AD11" t="s">
        <v>5</v>
      </c>
      <c r="AE11">
        <v>19114470</v>
      </c>
      <c r="AF11" t="s">
        <v>1858</v>
      </c>
      <c r="AG11" t="s">
        <v>2607</v>
      </c>
      <c r="AH11" t="s">
        <v>1859</v>
      </c>
      <c r="AI11" t="s">
        <v>2608</v>
      </c>
      <c r="AJ11" t="s">
        <v>1860</v>
      </c>
      <c r="AK11" t="s">
        <v>241</v>
      </c>
      <c r="AL11" t="s">
        <v>1861</v>
      </c>
      <c r="AM11" t="s">
        <v>5</v>
      </c>
      <c r="AN11" t="s">
        <v>365</v>
      </c>
      <c r="AO11" t="s">
        <v>2137</v>
      </c>
      <c r="AP11" t="s">
        <v>209</v>
      </c>
      <c r="AQ11" t="s">
        <v>539</v>
      </c>
      <c r="AR11" t="s">
        <v>5</v>
      </c>
      <c r="AS11" t="s">
        <v>2609</v>
      </c>
      <c r="AT11" t="s">
        <v>920</v>
      </c>
      <c r="AU11" t="s">
        <v>2610</v>
      </c>
      <c r="AV11" t="s">
        <v>1382</v>
      </c>
      <c r="AW11" t="s">
        <v>39</v>
      </c>
      <c r="AX11" t="s">
        <v>1335</v>
      </c>
      <c r="AY11" t="s">
        <v>1152</v>
      </c>
      <c r="AZ11" t="s">
        <v>1154</v>
      </c>
      <c r="BA11" t="s">
        <v>1155</v>
      </c>
      <c r="BB11" t="s">
        <v>1156</v>
      </c>
      <c r="BC11" t="s">
        <v>95</v>
      </c>
      <c r="BD11" t="s">
        <v>1153</v>
      </c>
      <c r="BE11" t="s">
        <v>113</v>
      </c>
      <c r="BF11" t="s">
        <v>166</v>
      </c>
      <c r="BG11" t="s">
        <v>1157</v>
      </c>
      <c r="BH11" t="s">
        <v>1857</v>
      </c>
      <c r="BI11" t="s">
        <v>1450</v>
      </c>
      <c r="BJ11" t="s">
        <v>1335</v>
      </c>
      <c r="BK11" t="s">
        <v>1207</v>
      </c>
      <c r="BL11" t="s">
        <v>72</v>
      </c>
      <c r="BM11" t="s">
        <v>95</v>
      </c>
      <c r="BN11">
        <v>6.53</v>
      </c>
      <c r="BO11">
        <v>5.4</v>
      </c>
      <c r="BP11">
        <v>1.1299999999999999</v>
      </c>
      <c r="BQ11">
        <v>12.17</v>
      </c>
      <c r="BR11">
        <v>7.44</v>
      </c>
      <c r="BS11">
        <v>0.9</v>
      </c>
      <c r="BT11" t="s">
        <v>1285</v>
      </c>
      <c r="BU11" t="s">
        <v>2521</v>
      </c>
      <c r="BV11">
        <v>16.5</v>
      </c>
      <c r="BW11">
        <v>14.18</v>
      </c>
      <c r="BX11">
        <v>10.84</v>
      </c>
      <c r="BY11">
        <v>5.43</v>
      </c>
      <c r="BZ11">
        <v>3.2</v>
      </c>
      <c r="CA11">
        <v>0.43</v>
      </c>
      <c r="CB11">
        <v>-4.5599999999999996</v>
      </c>
      <c r="CC11">
        <v>-16.73</v>
      </c>
      <c r="CD11" t="s">
        <v>2611</v>
      </c>
      <c r="CE11" t="s">
        <v>222</v>
      </c>
      <c r="CF11" s="10">
        <v>2.0440251572327171E-2</v>
      </c>
      <c r="CG11" s="11">
        <v>-0.24564817307692308</v>
      </c>
      <c r="CH11" s="10">
        <v>0.28869488835334778</v>
      </c>
      <c r="CI11" s="10">
        <v>0.38739478588104248</v>
      </c>
      <c r="CJ11" s="10">
        <v>9.5098935067653656E-2</v>
      </c>
      <c r="CK11" s="10">
        <v>0.23555555939674377</v>
      </c>
      <c r="CL11" s="10">
        <v>-1.8003238365054131E-2</v>
      </c>
      <c r="CM11" s="11">
        <v>1.3168317079544067</v>
      </c>
      <c r="CN11" s="11">
        <v>7.5059080123901367</v>
      </c>
      <c r="CO11" s="11">
        <v>-0.9400297999382019</v>
      </c>
      <c r="CP11" s="11">
        <v>1.3999999761581421</v>
      </c>
      <c r="CQ11" s="11">
        <v>1.2815455198287964</v>
      </c>
      <c r="CR11">
        <v>41.100637676633802</v>
      </c>
      <c r="CS11">
        <v>2.0784331069798507</v>
      </c>
      <c r="CT11">
        <v>0.61274509803921573</v>
      </c>
      <c r="CU11" s="10">
        <v>0.19774818606674671</v>
      </c>
      <c r="CV11" s="11">
        <v>2.112851083278656</v>
      </c>
      <c r="CW11">
        <v>0.06</v>
      </c>
      <c r="CX11">
        <v>22.008655883636763</v>
      </c>
      <c r="CY11">
        <v>528817123.65965796</v>
      </c>
      <c r="CZ11">
        <v>0.19774818606674671</v>
      </c>
      <c r="DA11">
        <v>6.572597238407301</v>
      </c>
      <c r="DB11">
        <v>1770769404.8236406</v>
      </c>
      <c r="DC11">
        <v>0.18786077676340937</v>
      </c>
      <c r="DD11">
        <v>2.855097619847816</v>
      </c>
      <c r="DE11">
        <v>4076411965.423573</v>
      </c>
      <c r="DF11">
        <v>0.17401840373873712</v>
      </c>
      <c r="DG11">
        <v>1.479308179478688</v>
      </c>
      <c r="DH11">
        <v>7867565569.8067303</v>
      </c>
      <c r="DI11">
        <v>0.15819854885339737</v>
      </c>
      <c r="DJ11">
        <v>0.54071337496150773</v>
      </c>
      <c r="DK11">
        <v>21524442780.48148</v>
      </c>
      <c r="DL11">
        <v>0.13842373024672269</v>
      </c>
      <c r="DM11">
        <v>468000000</v>
      </c>
      <c r="DN11">
        <v>0.19774818606674671</v>
      </c>
      <c r="DO11">
        <v>11638554100</v>
      </c>
      <c r="DP11">
        <v>1774110100</v>
      </c>
      <c r="DQ11">
        <v>831</v>
      </c>
      <c r="DR11">
        <v>-0.17730793449441953</v>
      </c>
      <c r="DS11">
        <v>-2.3584992563555791</v>
      </c>
      <c r="DT11" s="12">
        <v>-6.6666666666666714E-3</v>
      </c>
      <c r="DU11">
        <v>0.66333333333333333</v>
      </c>
      <c r="DV11">
        <v>0.65666666666666662</v>
      </c>
      <c r="DW11">
        <v>-8.272564255827854</v>
      </c>
      <c r="DX11">
        <v>0.46016818181818281</v>
      </c>
      <c r="DY11">
        <v>-8.038204836168017</v>
      </c>
      <c r="DZ11">
        <v>513</v>
      </c>
      <c r="EA11">
        <v>-8.0343693995820686</v>
      </c>
      <c r="EB11">
        <v>8</v>
      </c>
      <c r="EC11">
        <v>2.4912334940958816E-2</v>
      </c>
      <c r="ED11">
        <v>0.177731740669032</v>
      </c>
      <c r="EE11" s="13">
        <v>4.0210000000000003E-2</v>
      </c>
      <c r="EF11">
        <v>7.5310000000000002E-2</v>
      </c>
      <c r="EG11">
        <v>32.140168181818183</v>
      </c>
      <c r="EH11">
        <v>-1</v>
      </c>
      <c r="EI11">
        <v>0</v>
      </c>
      <c r="EJ11">
        <v>1</v>
      </c>
      <c r="EK11" s="14">
        <v>45470</v>
      </c>
      <c r="EL11">
        <v>-2</v>
      </c>
      <c r="EM11">
        <v>-2.72</v>
      </c>
      <c r="EN11">
        <v>0.23</v>
      </c>
      <c r="EO11">
        <v>3.39</v>
      </c>
      <c r="EP11">
        <v>-3.51</v>
      </c>
    </row>
    <row r="12" spans="1:146" ht="96" x14ac:dyDescent="0.25">
      <c r="A12" s="8"/>
      <c r="B12" s="8"/>
      <c r="C12" s="8" t="str">
        <f>""&amp;CHAR(10)&amp;Basic_Fundamental_Information_Constructure(F12)&amp;CHAR(10)&amp;Basic_Fundamental_Information_Concatenate("")</f>
        <v xml:space="preserve">
市值317.11382亿, 利润9.34亿; PE26.03; 平均PE37.82; 平均PEG1.87, PB1.65; ROIC4.7933%; ROE5.9367%; 股利率1.2945%; 毛利14.6667%; 净利4.44%; 上一年度营收增3.87%, 利润增-27.93%; 当季营收增36.3%, 利润增165.17%; 过往5年营收增20.25%, 利润增18.57%
Income profile:
</v>
      </c>
      <c r="D12" t="s">
        <v>703</v>
      </c>
      <c r="E12" t="s">
        <v>704</v>
      </c>
      <c r="F12">
        <v>6.18</v>
      </c>
      <c r="G12">
        <v>0.98</v>
      </c>
      <c r="H12" t="s">
        <v>2612</v>
      </c>
      <c r="I12">
        <v>31711382000</v>
      </c>
      <c r="J12">
        <v>26.03</v>
      </c>
      <c r="K12">
        <v>1.65</v>
      </c>
      <c r="L12" t="s">
        <v>973</v>
      </c>
      <c r="M12" t="s">
        <v>1864</v>
      </c>
      <c r="N12" t="s">
        <v>2613</v>
      </c>
      <c r="O12" t="s">
        <v>1336</v>
      </c>
      <c r="P12">
        <v>36.31</v>
      </c>
      <c r="Q12" t="s">
        <v>1865</v>
      </c>
      <c r="R12">
        <v>456098180</v>
      </c>
      <c r="S12" s="6">
        <v>1.645</v>
      </c>
      <c r="T12" t="s">
        <v>296</v>
      </c>
      <c r="U12">
        <v>5087014600</v>
      </c>
      <c r="V12">
        <v>5131291600</v>
      </c>
      <c r="W12">
        <v>2.5499999999999998</v>
      </c>
      <c r="X12">
        <v>0.15</v>
      </c>
      <c r="Y12">
        <v>5.6</v>
      </c>
      <c r="Z12" t="s">
        <v>2614</v>
      </c>
      <c r="AA12" t="s">
        <v>2615</v>
      </c>
      <c r="AB12" t="s">
        <v>2616</v>
      </c>
      <c r="AC12" t="s">
        <v>390</v>
      </c>
      <c r="AD12" t="s">
        <v>5</v>
      </c>
      <c r="AE12">
        <v>137631110</v>
      </c>
      <c r="AF12" t="s">
        <v>1866</v>
      </c>
      <c r="AG12" t="s">
        <v>2617</v>
      </c>
      <c r="AH12" t="s">
        <v>1867</v>
      </c>
      <c r="AI12" t="s">
        <v>2192</v>
      </c>
      <c r="AJ12" t="s">
        <v>1868</v>
      </c>
      <c r="AK12" t="s">
        <v>317</v>
      </c>
      <c r="AL12" t="s">
        <v>1869</v>
      </c>
      <c r="AM12" t="s">
        <v>5</v>
      </c>
      <c r="AN12" t="s">
        <v>2618</v>
      </c>
      <c r="AO12" t="s">
        <v>2619</v>
      </c>
      <c r="AP12" t="s">
        <v>2293</v>
      </c>
      <c r="AQ12" t="s">
        <v>1287</v>
      </c>
      <c r="AR12" t="s">
        <v>5</v>
      </c>
      <c r="AS12" t="s">
        <v>2620</v>
      </c>
      <c r="AT12" t="s">
        <v>2621</v>
      </c>
      <c r="AU12" t="s">
        <v>144</v>
      </c>
      <c r="AV12" t="s">
        <v>2622</v>
      </c>
      <c r="AW12" t="s">
        <v>406</v>
      </c>
      <c r="AX12" t="s">
        <v>1544</v>
      </c>
      <c r="AY12" t="s">
        <v>983</v>
      </c>
      <c r="AZ12" t="s">
        <v>705</v>
      </c>
      <c r="BA12" t="s">
        <v>706</v>
      </c>
      <c r="BB12" t="s">
        <v>707</v>
      </c>
      <c r="BC12" t="s">
        <v>1423</v>
      </c>
      <c r="BD12" t="s">
        <v>643</v>
      </c>
      <c r="BE12" t="s">
        <v>478</v>
      </c>
      <c r="BF12" t="s">
        <v>387</v>
      </c>
      <c r="BG12" t="s">
        <v>560</v>
      </c>
      <c r="BH12" t="s">
        <v>1865</v>
      </c>
      <c r="BI12" t="s">
        <v>1607</v>
      </c>
      <c r="BJ12" t="s">
        <v>1544</v>
      </c>
      <c r="BK12" t="s">
        <v>296</v>
      </c>
      <c r="BL12" t="s">
        <v>87</v>
      </c>
      <c r="BM12" t="s">
        <v>1423</v>
      </c>
      <c r="BN12">
        <v>2.72</v>
      </c>
      <c r="BO12">
        <v>5.94</v>
      </c>
      <c r="BP12">
        <v>5.72</v>
      </c>
      <c r="BQ12">
        <v>2.91</v>
      </c>
      <c r="BR12">
        <v>8.18</v>
      </c>
      <c r="BS12">
        <v>6.72</v>
      </c>
      <c r="BT12" t="s">
        <v>1282</v>
      </c>
      <c r="BU12" t="s">
        <v>2508</v>
      </c>
      <c r="BV12">
        <v>12.24</v>
      </c>
      <c r="BW12">
        <v>14.54</v>
      </c>
      <c r="BX12">
        <v>17.22</v>
      </c>
      <c r="BY12">
        <v>3.81</v>
      </c>
      <c r="BZ12">
        <v>4.53</v>
      </c>
      <c r="CA12">
        <v>4.9800000000000004</v>
      </c>
      <c r="CB12">
        <v>-1.75</v>
      </c>
      <c r="CC12">
        <v>-4.78</v>
      </c>
      <c r="CD12" t="s">
        <v>319</v>
      </c>
      <c r="CE12" t="s">
        <v>667</v>
      </c>
      <c r="CF12" s="10">
        <v>0.36302822646434996</v>
      </c>
      <c r="CG12" s="11">
        <v>1.6517336046511628</v>
      </c>
      <c r="CH12" s="10">
        <v>3.868401050567627E-2</v>
      </c>
      <c r="CI12" s="10">
        <v>0.52282267808914185</v>
      </c>
      <c r="CJ12" s="10">
        <v>0.54829132556915283</v>
      </c>
      <c r="CK12" s="10">
        <v>-0.13153128325939178</v>
      </c>
      <c r="CL12" s="10">
        <v>3.4298907965421677E-2</v>
      </c>
      <c r="CM12" s="11">
        <v>-0.27932098507881165</v>
      </c>
      <c r="CN12" s="11">
        <v>0.40411701798439026</v>
      </c>
      <c r="CO12" s="11">
        <v>1.2348668575286865</v>
      </c>
      <c r="CP12" s="11">
        <v>-0.43809524178504944</v>
      </c>
      <c r="CQ12" s="11">
        <v>6.8493150174617767E-3</v>
      </c>
      <c r="CR12">
        <v>37.81917948717949</v>
      </c>
      <c r="CS12">
        <v>1.8674927350578869</v>
      </c>
      <c r="CT12">
        <v>1.2944983818770228</v>
      </c>
      <c r="CU12" s="10">
        <v>0.20251312777400016</v>
      </c>
      <c r="CV12" s="11">
        <v>0.18568339273333551</v>
      </c>
      <c r="CW12">
        <v>0.06</v>
      </c>
      <c r="CX12">
        <v>38.186501802795746</v>
      </c>
      <c r="CY12">
        <v>1059572888.0574681</v>
      </c>
      <c r="CZ12">
        <v>0.20251312777400016</v>
      </c>
      <c r="DA12">
        <v>11.359173431662743</v>
      </c>
      <c r="DB12">
        <v>3562000549.0203443</v>
      </c>
      <c r="DC12">
        <v>0.19238747138530013</v>
      </c>
      <c r="DD12">
        <v>4.9065473105710602</v>
      </c>
      <c r="DE12">
        <v>8246406166.8837366</v>
      </c>
      <c r="DF12">
        <v>0.17821155244112014</v>
      </c>
      <c r="DG12">
        <v>2.5246577275638873</v>
      </c>
      <c r="DH12">
        <v>16026482147.757238</v>
      </c>
      <c r="DI12">
        <v>0.16201050221920013</v>
      </c>
      <c r="DJ12">
        <v>0.90717997868388922</v>
      </c>
      <c r="DK12">
        <v>44601273121.900482</v>
      </c>
      <c r="DL12">
        <v>0.1417591894418001</v>
      </c>
      <c r="DM12">
        <v>934000000</v>
      </c>
      <c r="DN12">
        <v>0.20251312777400016</v>
      </c>
      <c r="DO12">
        <v>40461382000</v>
      </c>
      <c r="DP12">
        <v>-520735000</v>
      </c>
      <c r="DQ12">
        <v>847</v>
      </c>
      <c r="DR12">
        <v>0.1605150986903498</v>
      </c>
      <c r="DS12">
        <v>1.4660502119178274</v>
      </c>
      <c r="DT12" s="12">
        <v>-0.15666666666666665</v>
      </c>
      <c r="DU12">
        <v>0.35333333333333333</v>
      </c>
      <c r="DV12">
        <v>0.19666666666666668</v>
      </c>
      <c r="DW12">
        <v>-1.0478000000000001</v>
      </c>
      <c r="DX12">
        <v>0.36333674513817882</v>
      </c>
      <c r="DY12">
        <v>-1.005895496417605</v>
      </c>
      <c r="DZ12">
        <v>1266</v>
      </c>
      <c r="EA12">
        <v>-1.0044348900644371</v>
      </c>
      <c r="EB12">
        <v>1</v>
      </c>
      <c r="EC12">
        <v>4.6966732508439003E-2</v>
      </c>
      <c r="ED12">
        <v>0.38080081046261333</v>
      </c>
      <c r="EE12" s="13">
        <v>2.0794100000000002</v>
      </c>
      <c r="EF12">
        <v>2.1084100000000001</v>
      </c>
      <c r="EG12">
        <v>24.123336745138179</v>
      </c>
      <c r="EH12" t="s">
        <v>1309</v>
      </c>
      <c r="EI12">
        <v>0</v>
      </c>
      <c r="EJ12">
        <v>1</v>
      </c>
      <c r="EK12" s="14">
        <v>45470</v>
      </c>
      <c r="EL12">
        <v>-0.15</v>
      </c>
      <c r="EM12">
        <v>-1.38</v>
      </c>
      <c r="EN12">
        <v>-1.56</v>
      </c>
      <c r="EO12">
        <v>3.8</v>
      </c>
      <c r="EP12">
        <v>-2.9</v>
      </c>
    </row>
    <row r="13" spans="1:146" ht="96" x14ac:dyDescent="0.25">
      <c r="A13" s="8"/>
      <c r="B13" s="8"/>
      <c r="C13" s="8" t="str">
        <f>""&amp;CHAR(10)&amp;Basic_Fundamental_Information_Constructure(F13)&amp;CHAR(10)&amp;Basic_Fundamental_Information_Concatenate("")</f>
        <v xml:space="preserve">
市值27.23214亿, 利润1.74亿; PE15.15; 平均PE39.63; 平均PEG4.04, PB1.31; ROIC5.0667%; ROE6.06%; 股利率.95%; 毛利16.4833%; 净利4.16%; 上一年度营收增.61%, 利润增27.94%; 当季营收增1.53%, 利润增13.58%; 过往5年营收增9.81%, 利润增82.89%
Income profile:
</v>
      </c>
      <c r="D13" t="s">
        <v>708</v>
      </c>
      <c r="E13" t="s">
        <v>709</v>
      </c>
      <c r="F13">
        <v>6</v>
      </c>
      <c r="G13">
        <v>0.84</v>
      </c>
      <c r="H13" t="s">
        <v>2623</v>
      </c>
      <c r="I13">
        <v>2723214000</v>
      </c>
      <c r="J13">
        <v>15.15</v>
      </c>
      <c r="K13">
        <v>1.31</v>
      </c>
      <c r="L13" t="s">
        <v>973</v>
      </c>
      <c r="M13" t="s">
        <v>1351</v>
      </c>
      <c r="N13" t="s">
        <v>1703</v>
      </c>
      <c r="O13" t="s">
        <v>300</v>
      </c>
      <c r="P13">
        <v>1.6</v>
      </c>
      <c r="Q13" t="s">
        <v>1765</v>
      </c>
      <c r="R13">
        <v>51759374</v>
      </c>
      <c r="S13" s="6">
        <v>0.1358</v>
      </c>
      <c r="T13" t="s">
        <v>47</v>
      </c>
      <c r="U13">
        <v>452179650</v>
      </c>
      <c r="V13">
        <v>453868990</v>
      </c>
      <c r="W13">
        <v>1.5</v>
      </c>
      <c r="X13">
        <v>0.18</v>
      </c>
      <c r="Y13">
        <v>8.24</v>
      </c>
      <c r="Z13" t="s">
        <v>557</v>
      </c>
      <c r="AA13" t="s">
        <v>282</v>
      </c>
      <c r="AB13" t="s">
        <v>2624</v>
      </c>
      <c r="AC13" t="s">
        <v>2625</v>
      </c>
      <c r="AD13" t="s">
        <v>5</v>
      </c>
      <c r="AE13">
        <v>634879</v>
      </c>
      <c r="AF13" t="s">
        <v>1876</v>
      </c>
      <c r="AG13" t="s">
        <v>2005</v>
      </c>
      <c r="AH13" t="s">
        <v>1877</v>
      </c>
      <c r="AI13" t="s">
        <v>2490</v>
      </c>
      <c r="AJ13" t="s">
        <v>1878</v>
      </c>
      <c r="AK13" t="s">
        <v>2626</v>
      </c>
      <c r="AL13" t="s">
        <v>1879</v>
      </c>
      <c r="AM13" t="s">
        <v>5</v>
      </c>
      <c r="AN13" t="s">
        <v>574</v>
      </c>
      <c r="AO13" t="s">
        <v>2627</v>
      </c>
      <c r="AP13" t="s">
        <v>222</v>
      </c>
      <c r="AQ13" t="s">
        <v>379</v>
      </c>
      <c r="AR13" t="s">
        <v>2628</v>
      </c>
      <c r="AS13" t="s">
        <v>633</v>
      </c>
      <c r="AT13" t="s">
        <v>1209</v>
      </c>
      <c r="AU13" t="s">
        <v>2629</v>
      </c>
      <c r="AV13" t="s">
        <v>2630</v>
      </c>
      <c r="AW13" t="s">
        <v>124</v>
      </c>
      <c r="AX13" t="s">
        <v>1338</v>
      </c>
      <c r="AY13" t="s">
        <v>990</v>
      </c>
      <c r="AZ13" t="s">
        <v>489</v>
      </c>
      <c r="BA13" t="s">
        <v>711</v>
      </c>
      <c r="BB13" t="s">
        <v>305</v>
      </c>
      <c r="BC13" t="s">
        <v>152</v>
      </c>
      <c r="BD13" t="s">
        <v>991</v>
      </c>
      <c r="BE13" t="s">
        <v>710</v>
      </c>
      <c r="BF13" t="s">
        <v>712</v>
      </c>
      <c r="BG13" t="s">
        <v>713</v>
      </c>
      <c r="BH13" t="s">
        <v>1765</v>
      </c>
      <c r="BI13" t="s">
        <v>134</v>
      </c>
      <c r="BJ13" t="s">
        <v>1338</v>
      </c>
      <c r="BK13" t="s">
        <v>47</v>
      </c>
      <c r="BL13" t="s">
        <v>1880</v>
      </c>
      <c r="BM13" t="s">
        <v>152</v>
      </c>
      <c r="BN13">
        <v>6.87</v>
      </c>
      <c r="BO13">
        <v>6.55</v>
      </c>
      <c r="BP13">
        <v>1.78</v>
      </c>
      <c r="BQ13">
        <v>8.64</v>
      </c>
      <c r="BR13">
        <v>7.57</v>
      </c>
      <c r="BS13">
        <v>1.97</v>
      </c>
      <c r="BT13" t="s">
        <v>1881</v>
      </c>
      <c r="BU13" t="s">
        <v>2631</v>
      </c>
      <c r="BV13">
        <v>19.25</v>
      </c>
      <c r="BW13">
        <v>15.88</v>
      </c>
      <c r="BX13">
        <v>14.32</v>
      </c>
      <c r="BY13">
        <v>6.01</v>
      </c>
      <c r="BZ13">
        <v>4.83</v>
      </c>
      <c r="CA13">
        <v>1.64</v>
      </c>
      <c r="CB13">
        <v>-2.44</v>
      </c>
      <c r="CC13">
        <v>-14.2</v>
      </c>
      <c r="CD13" t="s">
        <v>2632</v>
      </c>
      <c r="CE13" t="s">
        <v>218</v>
      </c>
      <c r="CF13" s="10">
        <v>1.5332197614991482E-2</v>
      </c>
      <c r="CG13" s="11">
        <v>0.1357589335673926</v>
      </c>
      <c r="CH13" s="10">
        <v>6.0800914652645588E-3</v>
      </c>
      <c r="CI13" s="10">
        <v>0.33715921640396118</v>
      </c>
      <c r="CJ13" s="10">
        <v>0.18739360570907593</v>
      </c>
      <c r="CK13" s="10">
        <v>-5.1696285605430603E-2</v>
      </c>
      <c r="CL13" s="10">
        <v>1.1437873356044292E-2</v>
      </c>
      <c r="CM13" s="11">
        <v>0.27941176295280457</v>
      </c>
      <c r="CN13" s="11">
        <v>3.0057258605957031</v>
      </c>
      <c r="CO13" s="11">
        <v>0.18520148098468781</v>
      </c>
      <c r="CP13" s="11">
        <v>0.21429117023944855</v>
      </c>
      <c r="CQ13" s="11">
        <v>0.45988094806671143</v>
      </c>
      <c r="CR13">
        <v>39.62501549056779</v>
      </c>
      <c r="CS13">
        <v>4.0402809876108936</v>
      </c>
      <c r="CT13">
        <v>0.95</v>
      </c>
      <c r="CU13" s="10">
        <v>9.8074900265783069E-2</v>
      </c>
      <c r="CV13" s="11">
        <v>0.82890224456787109</v>
      </c>
      <c r="CW13">
        <v>0.06</v>
      </c>
      <c r="CX13">
        <v>8.4727530599346661</v>
      </c>
      <c r="CY13">
        <v>180250030.79834554</v>
      </c>
      <c r="CZ13">
        <v>9.8074900265783069E-2</v>
      </c>
      <c r="DA13">
        <v>2.7499661877163857</v>
      </c>
      <c r="DB13">
        <v>555357373.78219259</v>
      </c>
      <c r="DC13">
        <v>9.3171155252493906E-2</v>
      </c>
      <c r="DD13">
        <v>1.3413956581212847</v>
      </c>
      <c r="DE13">
        <v>1138526124.4538143</v>
      </c>
      <c r="DF13">
        <v>8.6305912233889101E-2</v>
      </c>
      <c r="DG13">
        <v>0.79721778860197035</v>
      </c>
      <c r="DH13">
        <v>1915679782.6578572</v>
      </c>
      <c r="DI13">
        <v>7.8459920212626461E-2</v>
      </c>
      <c r="DJ13">
        <v>0.40250580905154587</v>
      </c>
      <c r="DK13">
        <v>3794265736.4341822</v>
      </c>
      <c r="DL13">
        <v>6.865243018604815E-2</v>
      </c>
      <c r="DM13">
        <v>174000000</v>
      </c>
      <c r="DN13">
        <v>9.8074900265783069E-2</v>
      </c>
      <c r="DO13">
        <v>1527214000</v>
      </c>
      <c r="DP13">
        <v>1477776300</v>
      </c>
      <c r="DQ13">
        <v>1073</v>
      </c>
      <c r="DR13">
        <v>-8.2742702650791589E-2</v>
      </c>
      <c r="DS13">
        <v>-0.69314331100047855</v>
      </c>
      <c r="DT13" s="12">
        <v>-0.15666666666666665</v>
      </c>
      <c r="DU13">
        <v>0.88333333333333319</v>
      </c>
      <c r="DV13">
        <v>0.72666666666666657</v>
      </c>
      <c r="DW13">
        <v>-2.1419999999999999</v>
      </c>
      <c r="DX13">
        <v>0.29139633507853474</v>
      </c>
      <c r="DY13">
        <v>-2.0158182795811519</v>
      </c>
      <c r="DZ13">
        <v>432</v>
      </c>
      <c r="EA13">
        <v>-2.0144810003680291</v>
      </c>
      <c r="EB13">
        <v>2</v>
      </c>
      <c r="EC13">
        <v>4.6878505623395864E-2</v>
      </c>
      <c r="ED13">
        <v>0.42082628293243829</v>
      </c>
      <c r="EE13" s="13">
        <v>-1.1162000000000001</v>
      </c>
      <c r="EF13">
        <v>-1.0999000000000001</v>
      </c>
      <c r="EG13">
        <v>18.111396335078535</v>
      </c>
      <c r="EH13" t="s">
        <v>1300</v>
      </c>
      <c r="EI13">
        <v>0</v>
      </c>
      <c r="EJ13">
        <v>1</v>
      </c>
      <c r="EK13" s="14">
        <v>45470</v>
      </c>
      <c r="EL13">
        <v>-1.29</v>
      </c>
      <c r="EM13">
        <v>-4.2300000000000004</v>
      </c>
      <c r="EN13">
        <v>1.53</v>
      </c>
      <c r="EO13">
        <v>3.02</v>
      </c>
      <c r="EP13">
        <v>-1.63</v>
      </c>
    </row>
    <row r="14" spans="1:146" ht="216" x14ac:dyDescent="0.25">
      <c r="A14" s="8" t="s">
        <v>1106</v>
      </c>
      <c r="B14" s="8" t="s">
        <v>1105</v>
      </c>
      <c r="C14" s="8" t="s">
        <v>1239</v>
      </c>
      <c r="D14" t="s">
        <v>714</v>
      </c>
      <c r="E14" t="s">
        <v>715</v>
      </c>
      <c r="F14">
        <v>16.5</v>
      </c>
      <c r="G14">
        <v>-1.61</v>
      </c>
      <c r="H14" t="s">
        <v>2633</v>
      </c>
      <c r="I14">
        <v>31660592000</v>
      </c>
      <c r="J14">
        <v>24.16</v>
      </c>
      <c r="K14">
        <v>2.39</v>
      </c>
      <c r="L14" t="s">
        <v>973</v>
      </c>
      <c r="M14" t="s">
        <v>1885</v>
      </c>
      <c r="N14" t="s">
        <v>2634</v>
      </c>
      <c r="O14" t="s">
        <v>1727</v>
      </c>
      <c r="P14">
        <v>-42.91</v>
      </c>
      <c r="Q14" t="s">
        <v>1886</v>
      </c>
      <c r="R14">
        <v>114391150</v>
      </c>
      <c r="S14" s="6">
        <v>-0.83540000000000003</v>
      </c>
      <c r="T14" t="s">
        <v>536</v>
      </c>
      <c r="U14">
        <v>1385015700</v>
      </c>
      <c r="V14">
        <v>1918823700</v>
      </c>
      <c r="W14">
        <v>1.75</v>
      </c>
      <c r="X14">
        <v>0.1</v>
      </c>
      <c r="Y14">
        <v>4.6100000000000003</v>
      </c>
      <c r="Z14" t="s">
        <v>2635</v>
      </c>
      <c r="AA14" t="s">
        <v>1874</v>
      </c>
      <c r="AB14" t="s">
        <v>632</v>
      </c>
      <c r="AC14" t="s">
        <v>160</v>
      </c>
      <c r="AD14" t="s">
        <v>5</v>
      </c>
      <c r="AE14">
        <v>43494408</v>
      </c>
      <c r="AF14" t="s">
        <v>1887</v>
      </c>
      <c r="AG14" t="s">
        <v>2636</v>
      </c>
      <c r="AH14" t="s">
        <v>1888</v>
      </c>
      <c r="AI14" t="s">
        <v>1889</v>
      </c>
      <c r="AJ14" t="s">
        <v>1890</v>
      </c>
      <c r="AK14" t="s">
        <v>5</v>
      </c>
      <c r="AL14" t="s">
        <v>1891</v>
      </c>
      <c r="AM14" t="s">
        <v>5</v>
      </c>
      <c r="AN14" t="s">
        <v>1856</v>
      </c>
      <c r="AO14" t="s">
        <v>636</v>
      </c>
      <c r="AP14" t="s">
        <v>2637</v>
      </c>
      <c r="AQ14" t="s">
        <v>1701</v>
      </c>
      <c r="AR14" t="s">
        <v>5</v>
      </c>
      <c r="AS14" t="s">
        <v>1933</v>
      </c>
      <c r="AT14" t="s">
        <v>2638</v>
      </c>
      <c r="AU14" t="s">
        <v>2639</v>
      </c>
      <c r="AV14" t="s">
        <v>2640</v>
      </c>
      <c r="AW14" t="s">
        <v>540</v>
      </c>
      <c r="AX14" t="s">
        <v>1340</v>
      </c>
      <c r="AY14" t="s">
        <v>992</v>
      </c>
      <c r="AZ14" t="s">
        <v>716</v>
      </c>
      <c r="BA14" t="s">
        <v>600</v>
      </c>
      <c r="BB14" t="s">
        <v>66</v>
      </c>
      <c r="BC14" t="s">
        <v>1341</v>
      </c>
      <c r="BD14" t="s">
        <v>982</v>
      </c>
      <c r="BE14" t="s">
        <v>471</v>
      </c>
      <c r="BF14" t="s">
        <v>717</v>
      </c>
      <c r="BG14" t="s">
        <v>540</v>
      </c>
      <c r="BH14" t="s">
        <v>1886</v>
      </c>
      <c r="BI14" t="s">
        <v>1892</v>
      </c>
      <c r="BJ14" t="s">
        <v>1340</v>
      </c>
      <c r="BK14" t="s">
        <v>536</v>
      </c>
      <c r="BL14" t="s">
        <v>275</v>
      </c>
      <c r="BM14" t="s">
        <v>1341</v>
      </c>
      <c r="BN14">
        <v>9.59</v>
      </c>
      <c r="BO14">
        <v>45.14</v>
      </c>
      <c r="BP14">
        <v>36.65</v>
      </c>
      <c r="BQ14">
        <v>13.49</v>
      </c>
      <c r="BR14">
        <v>59.42</v>
      </c>
      <c r="BS14">
        <v>40.92</v>
      </c>
      <c r="BT14" t="s">
        <v>1288</v>
      </c>
      <c r="BU14" t="s">
        <v>2508</v>
      </c>
      <c r="BV14">
        <v>25.92</v>
      </c>
      <c r="BW14">
        <v>37.97</v>
      </c>
      <c r="BX14">
        <v>34.979999999999997</v>
      </c>
      <c r="BY14">
        <v>11.96</v>
      </c>
      <c r="BZ14">
        <v>26.19</v>
      </c>
      <c r="CA14">
        <v>20.8</v>
      </c>
      <c r="CB14">
        <v>-6.04</v>
      </c>
      <c r="CC14">
        <v>-18.07</v>
      </c>
      <c r="CD14" t="s">
        <v>2641</v>
      </c>
      <c r="CE14" t="s">
        <v>1718</v>
      </c>
      <c r="CF14" s="10">
        <v>-0.4290681502086231</v>
      </c>
      <c r="CG14" s="11">
        <v>-0.83540841726618709</v>
      </c>
      <c r="CH14" s="10">
        <v>-0.30971908569335938</v>
      </c>
      <c r="CI14" s="10">
        <v>1.0121719837188721</v>
      </c>
      <c r="CJ14" s="10">
        <v>1.6926438808441162</v>
      </c>
      <c r="CK14" s="10">
        <v>0.49509981274604797</v>
      </c>
      <c r="CL14" s="10">
        <v>0.32451924681663513</v>
      </c>
      <c r="CM14" s="11">
        <v>-0.66905844211578369</v>
      </c>
      <c r="CN14" s="11">
        <v>1.5878622531890869</v>
      </c>
      <c r="CO14" s="11">
        <v>3.1425893306732178</v>
      </c>
      <c r="CP14" s="11">
        <v>31.659914016723633</v>
      </c>
      <c r="CQ14" s="11">
        <v>-0.96421116590499878</v>
      </c>
      <c r="CR14">
        <v>17.559432265622544</v>
      </c>
      <c r="CS14">
        <v>0.27311017751083055</v>
      </c>
      <c r="CT14">
        <v>1.8181818181818181</v>
      </c>
      <c r="CU14" s="10">
        <v>0.64294316768646242</v>
      </c>
      <c r="CV14" s="11">
        <v>6.9514191985130314</v>
      </c>
      <c r="CW14">
        <v>0.06</v>
      </c>
      <c r="CX14">
        <v>9.6742030451709624</v>
      </c>
      <c r="CY14">
        <v>2930948613.2972641</v>
      </c>
      <c r="CZ14">
        <v>0.64294316768646242</v>
      </c>
      <c r="DA14">
        <v>2.0433960191286089</v>
      </c>
      <c r="DB14">
        <v>13876209865.619493</v>
      </c>
      <c r="DC14">
        <v>0.61079600930213929</v>
      </c>
      <c r="DD14">
        <v>0.51589100652536368</v>
      </c>
      <c r="DE14">
        <v>54962369262.791077</v>
      </c>
      <c r="DF14">
        <v>0.56578998756408694</v>
      </c>
      <c r="DG14">
        <v>0.13071361237435508</v>
      </c>
      <c r="DH14">
        <v>216921493369.75201</v>
      </c>
      <c r="DI14">
        <v>0.51435453414916998</v>
      </c>
      <c r="DJ14">
        <v>7.6718359779613795E-3</v>
      </c>
      <c r="DK14">
        <v>3695933031083.207</v>
      </c>
      <c r="DL14">
        <v>0.45006021738052365</v>
      </c>
      <c r="DM14">
        <v>1891000000</v>
      </c>
      <c r="DN14">
        <v>0.64294316768646242</v>
      </c>
      <c r="DO14">
        <v>28354592000</v>
      </c>
      <c r="DP14">
        <v>4177468300</v>
      </c>
      <c r="DQ14">
        <v>1195</v>
      </c>
      <c r="DR14">
        <v>-1.0720113178950856</v>
      </c>
      <c r="DS14">
        <v>-7.7868276157792184</v>
      </c>
      <c r="DT14" s="12">
        <v>0.17666666666666667</v>
      </c>
      <c r="DU14">
        <v>0.16966666666666677</v>
      </c>
      <c r="DV14">
        <v>0.34633333333333344</v>
      </c>
      <c r="DW14">
        <v>-9.3342556723851686</v>
      </c>
      <c r="DX14">
        <v>0.37393828248587724</v>
      </c>
      <c r="DY14">
        <v>-9.0414270739465792</v>
      </c>
      <c r="DZ14">
        <v>963</v>
      </c>
      <c r="EA14">
        <v>-9.0336199756666264</v>
      </c>
      <c r="EB14">
        <v>9</v>
      </c>
      <c r="EC14">
        <v>4.5730256510798775E-2</v>
      </c>
      <c r="ED14">
        <v>0.36897605548649415</v>
      </c>
      <c r="EE14" s="13">
        <v>6.4710000000000004E-2</v>
      </c>
      <c r="EF14">
        <v>0.10010999999999999</v>
      </c>
      <c r="EG14">
        <v>25.123938282485877</v>
      </c>
      <c r="EH14">
        <v>-1</v>
      </c>
      <c r="EI14">
        <v>0</v>
      </c>
      <c r="EJ14">
        <v>1</v>
      </c>
      <c r="EK14" s="14">
        <v>45470</v>
      </c>
      <c r="EL14">
        <v>-2.02</v>
      </c>
      <c r="EM14">
        <v>-1.19</v>
      </c>
      <c r="EN14">
        <v>-2.63</v>
      </c>
      <c r="EO14">
        <v>3.43</v>
      </c>
      <c r="EP14">
        <v>-3.54</v>
      </c>
    </row>
    <row r="15" spans="1:146" ht="96" x14ac:dyDescent="0.25">
      <c r="A15" s="8"/>
      <c r="B15" s="8"/>
      <c r="C15" s="8" t="str">
        <f>""&amp;CHAR(10)&amp;Basic_Fundamental_Information_Constructure(F15)&amp;CHAR(10)&amp;Basic_Fundamental_Information_Concatenate("")</f>
        <v xml:space="preserve">
市值40.380987亿, 利润1.39亿; PE33.15; 平均PE111.4; 平均PEG20.21, PB1.5; ROIC5.19%; ROE-1.02%; 股利率1.4276%; 毛利14.8967%; 净利-2.3233%; 上一年度营收增-11.72%, 利润增-12.58%; 当季营收增-25.86%, 利润增-48.38%; 过往5年营收增5.51%, 利润增-100.43%
Income profile:
</v>
      </c>
      <c r="D15" t="s">
        <v>718</v>
      </c>
      <c r="E15" t="s">
        <v>719</v>
      </c>
      <c r="F15">
        <v>10.51</v>
      </c>
      <c r="G15">
        <v>0.38</v>
      </c>
      <c r="H15" t="s">
        <v>2642</v>
      </c>
      <c r="I15">
        <v>4038098700</v>
      </c>
      <c r="J15">
        <v>33.15</v>
      </c>
      <c r="K15">
        <v>1.5</v>
      </c>
      <c r="L15" t="s">
        <v>973</v>
      </c>
      <c r="M15" t="s">
        <v>516</v>
      </c>
      <c r="N15" t="s">
        <v>1702</v>
      </c>
      <c r="O15" t="s">
        <v>386</v>
      </c>
      <c r="P15">
        <v>-25.92</v>
      </c>
      <c r="Q15" t="s">
        <v>1155</v>
      </c>
      <c r="R15">
        <v>18102264</v>
      </c>
      <c r="S15" s="6">
        <v>-0.48380000000000001</v>
      </c>
      <c r="T15" t="s">
        <v>395</v>
      </c>
      <c r="U15">
        <v>365765180</v>
      </c>
      <c r="V15">
        <v>384214910</v>
      </c>
      <c r="W15">
        <v>1.78</v>
      </c>
      <c r="X15">
        <v>0.13</v>
      </c>
      <c r="Y15">
        <v>2.66</v>
      </c>
      <c r="Z15" t="s">
        <v>167</v>
      </c>
      <c r="AA15" t="s">
        <v>276</v>
      </c>
      <c r="AB15" t="s">
        <v>2643</v>
      </c>
      <c r="AC15" t="s">
        <v>2644</v>
      </c>
      <c r="AD15" t="s">
        <v>5</v>
      </c>
      <c r="AE15">
        <v>1739204</v>
      </c>
      <c r="AF15" t="s">
        <v>1893</v>
      </c>
      <c r="AG15" t="s">
        <v>2645</v>
      </c>
      <c r="AH15" t="s">
        <v>1894</v>
      </c>
      <c r="AI15" t="s">
        <v>647</v>
      </c>
      <c r="AJ15" t="s">
        <v>1895</v>
      </c>
      <c r="AK15" t="s">
        <v>2646</v>
      </c>
      <c r="AL15" t="s">
        <v>1896</v>
      </c>
      <c r="AM15" t="s">
        <v>5</v>
      </c>
      <c r="AN15" t="s">
        <v>394</v>
      </c>
      <c r="AO15" t="s">
        <v>393</v>
      </c>
      <c r="AP15" t="s">
        <v>221</v>
      </c>
      <c r="AQ15" t="s">
        <v>474</v>
      </c>
      <c r="AR15" t="s">
        <v>5</v>
      </c>
      <c r="AS15" t="s">
        <v>2287</v>
      </c>
      <c r="AT15" t="s">
        <v>143</v>
      </c>
      <c r="AU15" t="s">
        <v>2647</v>
      </c>
      <c r="AV15" t="s">
        <v>2648</v>
      </c>
      <c r="AW15" t="s">
        <v>2649</v>
      </c>
      <c r="AX15" t="s">
        <v>1343</v>
      </c>
      <c r="AY15" t="s">
        <v>669</v>
      </c>
      <c r="AZ15" t="s">
        <v>720</v>
      </c>
      <c r="BA15" t="s">
        <v>411</v>
      </c>
      <c r="BB15" t="s">
        <v>722</v>
      </c>
      <c r="BC15" t="s">
        <v>81</v>
      </c>
      <c r="BD15" t="s">
        <v>993</v>
      </c>
      <c r="BE15" t="s">
        <v>721</v>
      </c>
      <c r="BF15" t="s">
        <v>56</v>
      </c>
      <c r="BG15" t="s">
        <v>723</v>
      </c>
      <c r="BH15" t="s">
        <v>1155</v>
      </c>
      <c r="BI15" t="s">
        <v>1261</v>
      </c>
      <c r="BJ15" t="s">
        <v>1343</v>
      </c>
      <c r="BK15" t="s">
        <v>395</v>
      </c>
      <c r="BL15" t="s">
        <v>1897</v>
      </c>
      <c r="BM15" t="s">
        <v>81</v>
      </c>
      <c r="BN15">
        <v>4.68</v>
      </c>
      <c r="BO15">
        <v>5.7</v>
      </c>
      <c r="BP15" t="s">
        <v>5</v>
      </c>
      <c r="BQ15">
        <v>6.45</v>
      </c>
      <c r="BR15">
        <v>6.2</v>
      </c>
      <c r="BS15">
        <v>-15.71</v>
      </c>
      <c r="BT15" t="s">
        <v>2650</v>
      </c>
      <c r="BU15" t="s">
        <v>2631</v>
      </c>
      <c r="BV15">
        <v>18.010000000000002</v>
      </c>
      <c r="BW15">
        <v>15.09</v>
      </c>
      <c r="BX15">
        <v>11.59</v>
      </c>
      <c r="BY15">
        <v>3.78</v>
      </c>
      <c r="BZ15">
        <v>3.53</v>
      </c>
      <c r="CA15">
        <v>-14.28</v>
      </c>
      <c r="CB15">
        <v>-2.41</v>
      </c>
      <c r="CC15">
        <v>-11.16</v>
      </c>
      <c r="CD15" t="s">
        <v>2651</v>
      </c>
      <c r="CE15" t="s">
        <v>2652</v>
      </c>
      <c r="CF15" s="10">
        <v>-0.2585635359116023</v>
      </c>
      <c r="CG15" s="11">
        <v>-0.48377476002806091</v>
      </c>
      <c r="CH15" s="10">
        <v>-0.11721435189247131</v>
      </c>
      <c r="CI15" s="10">
        <v>0.31125399470329285</v>
      </c>
      <c r="CJ15" s="10">
        <v>0.2210443913936615</v>
      </c>
      <c r="CK15" s="10">
        <v>-0.13130965828895569</v>
      </c>
      <c r="CL15" s="10">
        <v>-8.1190802156925201E-3</v>
      </c>
      <c r="CM15" s="11">
        <v>-0.12578617036342621</v>
      </c>
      <c r="CN15" s="11">
        <v>1.3767772912979126</v>
      </c>
      <c r="CO15" s="11">
        <v>-6.5334033966064453</v>
      </c>
      <c r="CP15" s="11">
        <v>-0.55401110649108887</v>
      </c>
      <c r="CQ15" s="11">
        <v>0.81481653451919556</v>
      </c>
      <c r="CR15">
        <v>111.40171641259192</v>
      </c>
      <c r="CS15">
        <v>20.206707099489016</v>
      </c>
      <c r="CT15">
        <v>1.4275880114176973</v>
      </c>
      <c r="CU15" s="10">
        <v>5.5131059139966965E-2</v>
      </c>
      <c r="CV15" s="11">
        <v>-1.0043213695287705</v>
      </c>
      <c r="CW15">
        <v>0.06</v>
      </c>
      <c r="CX15">
        <v>25.318445158736782</v>
      </c>
      <c r="CY15">
        <v>138361525.67967489</v>
      </c>
      <c r="CZ15">
        <v>5.5131059139966965E-2</v>
      </c>
      <c r="DA15">
        <v>8.5227522850921638</v>
      </c>
      <c r="DB15">
        <v>411029041.18515253</v>
      </c>
      <c r="DC15">
        <v>5.2374506182968614E-2</v>
      </c>
      <c r="DD15">
        <v>4.3628466118590712</v>
      </c>
      <c r="DE15">
        <v>802938771.78214157</v>
      </c>
      <c r="DF15">
        <v>4.8515332043170926E-2</v>
      </c>
      <c r="DG15">
        <v>2.7360141323411713</v>
      </c>
      <c r="DH15">
        <v>1280365718.3606887</v>
      </c>
      <c r="DI15">
        <v>4.4104847311973575E-2</v>
      </c>
      <c r="DJ15">
        <v>1.5504100372545364</v>
      </c>
      <c r="DK15">
        <v>2259465957.9238029</v>
      </c>
      <c r="DL15">
        <v>3.8591741397976873E-2</v>
      </c>
      <c r="DM15">
        <v>139000000</v>
      </c>
      <c r="DN15">
        <v>5.5131059139966965E-2</v>
      </c>
      <c r="DO15">
        <v>3503098700</v>
      </c>
      <c r="DP15">
        <v>1458129199.9999998</v>
      </c>
      <c r="DQ15">
        <v>1216</v>
      </c>
      <c r="DR15">
        <v>-0.31369459505156927</v>
      </c>
      <c r="DS15">
        <v>0.52054660950070963</v>
      </c>
      <c r="DT15" s="12">
        <v>-0.15666666666666665</v>
      </c>
      <c r="DU15">
        <v>-0.7400000000000001</v>
      </c>
      <c r="DV15">
        <v>-0.89666666666666672</v>
      </c>
      <c r="DW15">
        <v>-2.1116000000000001</v>
      </c>
      <c r="DX15">
        <v>0.27464121764402477</v>
      </c>
      <c r="DY15">
        <v>-2.0105619598890732</v>
      </c>
      <c r="DZ15">
        <v>3451</v>
      </c>
      <c r="EA15">
        <v>-2.0034290198543978</v>
      </c>
      <c r="EB15">
        <v>2</v>
      </c>
      <c r="EC15">
        <v>1.8857675252634001E-2</v>
      </c>
      <c r="ED15">
        <v>0.19925437042513525</v>
      </c>
      <c r="EE15" s="13">
        <v>0.1376</v>
      </c>
      <c r="EF15">
        <v>0.10519999999999999</v>
      </c>
      <c r="EG15">
        <v>18.094641217644025</v>
      </c>
      <c r="EH15" t="s">
        <v>1073</v>
      </c>
      <c r="EI15">
        <v>0</v>
      </c>
      <c r="EJ15">
        <v>0</v>
      </c>
      <c r="EK15" s="14">
        <v>45470</v>
      </c>
      <c r="EL15">
        <v>-0.18</v>
      </c>
      <c r="EM15">
        <v>-2.84</v>
      </c>
      <c r="EN15">
        <v>0.38</v>
      </c>
      <c r="EO15">
        <v>4.5199999999999996</v>
      </c>
      <c r="EP15">
        <v>-3.24</v>
      </c>
    </row>
    <row r="16" spans="1:146" ht="96" x14ac:dyDescent="0.25">
      <c r="A16" s="8"/>
      <c r="B16" s="8"/>
      <c r="C16" s="8" t="str">
        <f>""&amp;CHAR(10)&amp;Basic_Fundamental_Information_Constructure(F16)&amp;CHAR(10)&amp;Basic_Fundamental_Information_Concatenate("")</f>
        <v xml:space="preserve">
市值33.793188亿, 利润3664.09万; PE; 平均PE14.35; 平均PEG.36, PB.75; ROIC11.61%; ROE13.3033%; 股利率1.4837%; 毛利32.6567%; 净利16.7%; 上一年度营收增-33.04%, 利润增-93.03%; 当季营收增.23%, 利润增-1055.76%; 过往5年营收增40.29%, 利润增1338.82%
Income profile:
</v>
      </c>
      <c r="D16" t="s">
        <v>724</v>
      </c>
      <c r="E16" t="s">
        <v>725</v>
      </c>
      <c r="F16">
        <v>6.74</v>
      </c>
      <c r="G16">
        <v>0.3</v>
      </c>
      <c r="H16" t="s">
        <v>2653</v>
      </c>
      <c r="I16">
        <v>3379318800</v>
      </c>
      <c r="K16">
        <v>0.75</v>
      </c>
      <c r="L16" t="s">
        <v>973</v>
      </c>
      <c r="M16" t="s">
        <v>1898</v>
      </c>
      <c r="N16" t="s">
        <v>2654</v>
      </c>
      <c r="O16" t="s">
        <v>329</v>
      </c>
      <c r="P16">
        <v>0.28000000000000003</v>
      </c>
      <c r="Q16" t="s">
        <v>1899</v>
      </c>
      <c r="R16">
        <v>-95726545</v>
      </c>
      <c r="S16" s="6">
        <v>-10.56</v>
      </c>
      <c r="T16" t="s">
        <v>1900</v>
      </c>
      <c r="U16">
        <v>501072090</v>
      </c>
      <c r="V16">
        <v>501382610</v>
      </c>
      <c r="W16">
        <v>1.45</v>
      </c>
      <c r="X16">
        <v>0.06</v>
      </c>
      <c r="Y16">
        <v>-31.34</v>
      </c>
      <c r="Z16" t="s">
        <v>197</v>
      </c>
      <c r="AA16" t="s">
        <v>457</v>
      </c>
      <c r="AB16" t="s">
        <v>2655</v>
      </c>
      <c r="AC16" t="s">
        <v>2656</v>
      </c>
      <c r="AD16" t="s">
        <v>5</v>
      </c>
      <c r="AE16">
        <v>-2377228</v>
      </c>
      <c r="AF16" t="s">
        <v>1901</v>
      </c>
      <c r="AG16" t="s">
        <v>2657</v>
      </c>
      <c r="AH16" t="s">
        <v>1902</v>
      </c>
      <c r="AI16" t="s">
        <v>1772</v>
      </c>
      <c r="AJ16" t="s">
        <v>1903</v>
      </c>
      <c r="AK16" t="s">
        <v>115</v>
      </c>
      <c r="AL16" t="s">
        <v>1904</v>
      </c>
      <c r="AM16" t="s">
        <v>5</v>
      </c>
      <c r="AN16" t="s">
        <v>1665</v>
      </c>
      <c r="AO16" t="s">
        <v>323</v>
      </c>
      <c r="AP16" t="s">
        <v>322</v>
      </c>
      <c r="AQ16" t="s">
        <v>50</v>
      </c>
      <c r="AR16" t="s">
        <v>5</v>
      </c>
      <c r="AS16" t="s">
        <v>1690</v>
      </c>
      <c r="AT16" t="s">
        <v>155</v>
      </c>
      <c r="AU16" t="s">
        <v>2658</v>
      </c>
      <c r="AV16" t="s">
        <v>2659</v>
      </c>
      <c r="AW16" t="s">
        <v>299</v>
      </c>
      <c r="AX16" t="s">
        <v>1344</v>
      </c>
      <c r="AY16" t="s">
        <v>995</v>
      </c>
      <c r="AZ16" t="s">
        <v>477</v>
      </c>
      <c r="BA16" t="s">
        <v>212</v>
      </c>
      <c r="BB16" t="s">
        <v>484</v>
      </c>
      <c r="BC16" t="s">
        <v>410</v>
      </c>
      <c r="BD16" t="s">
        <v>955</v>
      </c>
      <c r="BE16" t="s">
        <v>726</v>
      </c>
      <c r="BF16" t="s">
        <v>727</v>
      </c>
      <c r="BG16" t="s">
        <v>728</v>
      </c>
      <c r="BH16" t="s">
        <v>1899</v>
      </c>
      <c r="BI16" t="s">
        <v>248</v>
      </c>
      <c r="BJ16" t="s">
        <v>1344</v>
      </c>
      <c r="BK16" t="s">
        <v>1900</v>
      </c>
      <c r="BL16" t="s">
        <v>1905</v>
      </c>
      <c r="BM16" t="s">
        <v>410</v>
      </c>
      <c r="BN16">
        <v>0.73</v>
      </c>
      <c r="BO16">
        <v>12.17</v>
      </c>
      <c r="BP16">
        <v>21.93</v>
      </c>
      <c r="BQ16">
        <v>0.68</v>
      </c>
      <c r="BR16">
        <v>14.73</v>
      </c>
      <c r="BS16">
        <v>24.5</v>
      </c>
      <c r="BT16" t="s">
        <v>1279</v>
      </c>
      <c r="BU16" t="s">
        <v>2508</v>
      </c>
      <c r="BV16">
        <v>12.56</v>
      </c>
      <c r="BW16">
        <v>32.26</v>
      </c>
      <c r="BX16">
        <v>53.15</v>
      </c>
      <c r="BY16">
        <v>1.69</v>
      </c>
      <c r="BZ16">
        <v>15.35</v>
      </c>
      <c r="CA16">
        <v>33.06</v>
      </c>
      <c r="CB16">
        <v>-2.0299999999999998</v>
      </c>
      <c r="CC16">
        <v>-25.77</v>
      </c>
      <c r="CD16" t="s">
        <v>2660</v>
      </c>
      <c r="CE16" t="s">
        <v>200</v>
      </c>
      <c r="CF16" s="10">
        <v>2.2522522522521178E-3</v>
      </c>
      <c r="CG16" s="11">
        <v>-10.557648991083997</v>
      </c>
      <c r="CH16" s="10">
        <v>-0.33038172125816345</v>
      </c>
      <c r="CI16" s="10">
        <v>0.45361748337745667</v>
      </c>
      <c r="CJ16" s="10">
        <v>2.0323014259338379</v>
      </c>
      <c r="CK16" s="10">
        <v>-4.0051680058240891E-2</v>
      </c>
      <c r="CL16" s="10">
        <v>-0.10104529559612274</v>
      </c>
      <c r="CM16" s="11">
        <v>-0.93034052848815918</v>
      </c>
      <c r="CN16" s="11">
        <v>-0.29395973682403564</v>
      </c>
      <c r="CO16" s="11">
        <v>70.110099792480469</v>
      </c>
      <c r="CP16" s="11">
        <v>-1.3320417404174805</v>
      </c>
      <c r="CQ16" s="11">
        <v>-0.61258953809738159</v>
      </c>
      <c r="CR16">
        <v>14.348251304659069</v>
      </c>
      <c r="CS16">
        <v>0.35613495045289456</v>
      </c>
      <c r="CT16">
        <v>1.4836795252225519</v>
      </c>
      <c r="CU16" s="10">
        <v>0.40288804247975352</v>
      </c>
      <c r="CV16" s="11">
        <v>13.388233649730683</v>
      </c>
      <c r="CW16">
        <v>0.06</v>
      </c>
      <c r="CX16">
        <v>18.916335733220023</v>
      </c>
      <c r="CY16">
        <v>48493472.146883383</v>
      </c>
      <c r="CZ16">
        <v>0.40288804247975352</v>
      </c>
      <c r="DA16">
        <v>4.7906370011525601</v>
      </c>
      <c r="DB16">
        <v>191481592.06788284</v>
      </c>
      <c r="DC16">
        <v>0.3827436403557658</v>
      </c>
      <c r="DD16">
        <v>1.6229532521513139</v>
      </c>
      <c r="DE16">
        <v>565215787.19784033</v>
      </c>
      <c r="DF16">
        <v>0.35454147738218311</v>
      </c>
      <c r="DG16">
        <v>0.61117411534279198</v>
      </c>
      <c r="DH16">
        <v>1500912386.4571707</v>
      </c>
      <c r="DI16">
        <v>0.32231043398380282</v>
      </c>
      <c r="DJ16">
        <v>9.886818881560297E-2</v>
      </c>
      <c r="DK16">
        <v>9278199701.9372177</v>
      </c>
      <c r="DL16">
        <v>0.28202162973582745</v>
      </c>
      <c r="DM16">
        <v>36640900</v>
      </c>
      <c r="DN16">
        <v>0.40288804247975352</v>
      </c>
      <c r="DO16">
        <v>917318800</v>
      </c>
      <c r="DP16">
        <v>969427100</v>
      </c>
      <c r="DQ16">
        <v>1238</v>
      </c>
      <c r="DR16">
        <v>-0.4006357902275014</v>
      </c>
      <c r="DS16">
        <v>-23.945882640814681</v>
      </c>
      <c r="DT16" s="12">
        <v>-5.8333333333333272E-2</v>
      </c>
      <c r="DU16">
        <v>-1.8800000000000001</v>
      </c>
      <c r="DV16">
        <v>-1.9383333333333335</v>
      </c>
      <c r="DW16">
        <v>-3.1104940476190475</v>
      </c>
      <c r="DX16">
        <v>0.31713200000000158</v>
      </c>
      <c r="DY16">
        <v>-3.0129423887857141</v>
      </c>
      <c r="DZ16">
        <v>4344</v>
      </c>
      <c r="EA16">
        <v>-3.0019400919393067</v>
      </c>
      <c r="EB16">
        <v>3</v>
      </c>
      <c r="EC16">
        <v>3.5042699227242846E-2</v>
      </c>
      <c r="ED16">
        <v>0.29917272160675856</v>
      </c>
      <c r="EE16" s="13">
        <v>-4.0495000000000001</v>
      </c>
      <c r="EF16">
        <v>-4.0202999999999998</v>
      </c>
      <c r="EG16">
        <v>20.117132000000002</v>
      </c>
      <c r="EH16" t="s">
        <v>2661</v>
      </c>
      <c r="EI16">
        <v>0</v>
      </c>
      <c r="EJ16">
        <v>0</v>
      </c>
      <c r="EK16" s="14">
        <v>45470</v>
      </c>
      <c r="EL16">
        <v>-1.51</v>
      </c>
      <c r="EM16">
        <v>-3.77</v>
      </c>
      <c r="EN16">
        <v>-1.74</v>
      </c>
      <c r="EO16">
        <v>6.35</v>
      </c>
      <c r="EP16">
        <v>-2.92</v>
      </c>
    </row>
    <row r="17" spans="1:146" ht="96" x14ac:dyDescent="0.25">
      <c r="A17" s="8"/>
      <c r="B17" s="8"/>
      <c r="C17" s="8" t="str">
        <f>""&amp;CHAR(10)&amp;Basic_Fundamental_Information_Constructure(F17)&amp;CHAR(10)&amp;Basic_Fundamental_Information_Concatenate("")</f>
        <v xml:space="preserve">
市值27.978245亿, 利润-3.89亿; PE; 平均PE-90.02; 平均PEG-1.28, PB1.38; ROIC5.715%; ROE3.6367%; 股利率0%; 毛利11.1667%; 净利-.09%; 上一年度营收增59.97%, 利润增-357.62%; 当季营收增-79.75%, 利润增70.59%; 过往5年营收增70.37%, 利润增-55.95%
Income profile:
</v>
      </c>
      <c r="D17" t="s">
        <v>729</v>
      </c>
      <c r="E17" t="s">
        <v>730</v>
      </c>
      <c r="F17">
        <v>9.99</v>
      </c>
      <c r="G17">
        <v>0.5</v>
      </c>
      <c r="H17" t="s">
        <v>2662</v>
      </c>
      <c r="I17">
        <v>2797824500</v>
      </c>
      <c r="K17">
        <v>1.38</v>
      </c>
      <c r="L17" t="s">
        <v>973</v>
      </c>
      <c r="M17" t="s">
        <v>1723</v>
      </c>
      <c r="N17" t="s">
        <v>1051</v>
      </c>
      <c r="O17" t="s">
        <v>207</v>
      </c>
      <c r="P17">
        <v>-79.72</v>
      </c>
      <c r="Q17" t="s">
        <v>1719</v>
      </c>
      <c r="R17">
        <v>-39119239</v>
      </c>
      <c r="S17" s="6">
        <v>0.70679999999999998</v>
      </c>
      <c r="T17" t="s">
        <v>1804</v>
      </c>
      <c r="U17">
        <v>278815320</v>
      </c>
      <c r="V17">
        <v>280062510</v>
      </c>
      <c r="W17">
        <v>1.89</v>
      </c>
      <c r="X17">
        <v>0.03</v>
      </c>
      <c r="Y17">
        <v>-30.04</v>
      </c>
      <c r="Z17" t="s">
        <v>391</v>
      </c>
      <c r="AA17" t="s">
        <v>222</v>
      </c>
      <c r="AB17" t="s">
        <v>2663</v>
      </c>
      <c r="AC17" t="s">
        <v>2664</v>
      </c>
      <c r="AD17" t="s">
        <v>5</v>
      </c>
      <c r="AE17">
        <v>13622658</v>
      </c>
      <c r="AF17" t="s">
        <v>1906</v>
      </c>
      <c r="AG17">
        <v>4088.16</v>
      </c>
      <c r="AH17" t="s">
        <v>1907</v>
      </c>
      <c r="AI17" t="s">
        <v>2665</v>
      </c>
      <c r="AJ17" t="s">
        <v>1908</v>
      </c>
      <c r="AK17" t="s">
        <v>2666</v>
      </c>
      <c r="AL17" t="s">
        <v>1909</v>
      </c>
      <c r="AM17" t="s">
        <v>5</v>
      </c>
      <c r="AN17" t="s">
        <v>2667</v>
      </c>
      <c r="AO17" t="s">
        <v>173</v>
      </c>
      <c r="AP17" t="s">
        <v>112</v>
      </c>
      <c r="AQ17" t="s">
        <v>452</v>
      </c>
      <c r="AR17" t="s">
        <v>5</v>
      </c>
      <c r="AS17" t="s">
        <v>1716</v>
      </c>
      <c r="AT17" t="s">
        <v>1870</v>
      </c>
      <c r="AU17" t="s">
        <v>160</v>
      </c>
      <c r="AV17" t="s">
        <v>2668</v>
      </c>
      <c r="AW17" t="s">
        <v>2669</v>
      </c>
      <c r="AX17" t="s">
        <v>1120</v>
      </c>
      <c r="AY17" t="s">
        <v>464</v>
      </c>
      <c r="AZ17" t="s">
        <v>341</v>
      </c>
      <c r="BA17" t="s">
        <v>156</v>
      </c>
      <c r="BB17" t="s">
        <v>501</v>
      </c>
      <c r="BC17" t="s">
        <v>172</v>
      </c>
      <c r="BD17" t="s">
        <v>996</v>
      </c>
      <c r="BE17" t="s">
        <v>731</v>
      </c>
      <c r="BF17" t="s">
        <v>732</v>
      </c>
      <c r="BG17" t="s">
        <v>733</v>
      </c>
      <c r="BH17" t="s">
        <v>1719</v>
      </c>
      <c r="BI17" t="s">
        <v>1220</v>
      </c>
      <c r="BJ17" t="s">
        <v>1120</v>
      </c>
      <c r="BK17" t="s">
        <v>1804</v>
      </c>
      <c r="BL17" t="s">
        <v>953</v>
      </c>
      <c r="BM17" t="s">
        <v>172</v>
      </c>
      <c r="BN17" t="s">
        <v>5</v>
      </c>
      <c r="BO17">
        <v>6.02</v>
      </c>
      <c r="BP17">
        <v>5.41</v>
      </c>
      <c r="BQ17">
        <v>-6.29</v>
      </c>
      <c r="BR17">
        <v>10.52</v>
      </c>
      <c r="BS17">
        <v>6.68</v>
      </c>
      <c r="BT17" t="s">
        <v>1280</v>
      </c>
      <c r="BU17" t="s">
        <v>2508</v>
      </c>
      <c r="BV17">
        <v>-0.03</v>
      </c>
      <c r="BW17">
        <v>18.27</v>
      </c>
      <c r="BX17">
        <v>15.26</v>
      </c>
      <c r="BY17">
        <v>-15.57</v>
      </c>
      <c r="BZ17">
        <v>8.69</v>
      </c>
      <c r="CA17">
        <v>6.61</v>
      </c>
      <c r="CB17">
        <v>-4.58</v>
      </c>
      <c r="CC17">
        <v>-23.15</v>
      </c>
      <c r="CD17" t="s">
        <v>2670</v>
      </c>
      <c r="CE17" t="s">
        <v>99</v>
      </c>
      <c r="CF17" s="10">
        <v>-0.79745370370370372</v>
      </c>
      <c r="CG17" s="11">
        <v>0.70587038345864661</v>
      </c>
      <c r="CH17" s="10">
        <v>0.59965431690216064</v>
      </c>
      <c r="CI17" s="10">
        <v>1.1618928909301758</v>
      </c>
      <c r="CJ17" s="10">
        <v>1.2492997646331787</v>
      </c>
      <c r="CK17" s="10">
        <v>-0.22052401304244995</v>
      </c>
      <c r="CL17" s="10">
        <v>0.72830188274383545</v>
      </c>
      <c r="CM17" s="11">
        <v>-3.5761590003967285</v>
      </c>
      <c r="CN17" s="11">
        <v>1.8442161083221436</v>
      </c>
      <c r="CO17" s="11">
        <v>2.8179707527160645</v>
      </c>
      <c r="CP17" s="11">
        <v>-3.5780167579650879</v>
      </c>
      <c r="CQ17" s="11">
        <v>-0.30542832612991333</v>
      </c>
      <c r="CR17">
        <v>-90.021927731260078</v>
      </c>
      <c r="CS17">
        <v>-1.2792203171597745</v>
      </c>
      <c r="CT17">
        <v>0</v>
      </c>
      <c r="CU17" s="10">
        <v>0.70372496843338017</v>
      </c>
      <c r="CV17" s="11">
        <v>-0.55948344469070432</v>
      </c>
      <c r="CW17">
        <v>0.06</v>
      </c>
      <c r="CX17" t="e">
        <v>#VALUE!</v>
      </c>
      <c r="CY17" t="s">
        <v>946</v>
      </c>
      <c r="CZ17">
        <v>0.70372496843338017</v>
      </c>
      <c r="DA17" t="e">
        <v>#VALUE!</v>
      </c>
      <c r="DB17" t="s">
        <v>947</v>
      </c>
      <c r="DC17">
        <v>0.66853872001171111</v>
      </c>
      <c r="DD17" t="e">
        <v>#VALUE!</v>
      </c>
      <c r="DE17" t="s">
        <v>947</v>
      </c>
      <c r="DF17">
        <v>0.6192779722213746</v>
      </c>
      <c r="DG17" t="e">
        <v>#VALUE!</v>
      </c>
      <c r="DH17" t="s">
        <v>947</v>
      </c>
      <c r="DI17">
        <v>0.56297997474670414</v>
      </c>
      <c r="DJ17" t="e">
        <v>#VALUE!</v>
      </c>
      <c r="DK17" t="s">
        <v>947</v>
      </c>
      <c r="DL17">
        <v>0.49260747790336606</v>
      </c>
      <c r="DM17">
        <v>-389000000</v>
      </c>
      <c r="DN17">
        <v>0.70372496843338017</v>
      </c>
      <c r="DO17">
        <v>3244824500</v>
      </c>
      <c r="DP17">
        <v>553465600</v>
      </c>
      <c r="DQ17">
        <v>1277</v>
      </c>
      <c r="DR17">
        <v>-1.5011786721370839</v>
      </c>
      <c r="DS17">
        <v>1.265353828149351</v>
      </c>
      <c r="DT17" s="12">
        <v>0.37666666666666671</v>
      </c>
      <c r="DU17">
        <v>-1.5858333333333334</v>
      </c>
      <c r="DV17">
        <v>-1.2091666666666667</v>
      </c>
      <c r="DW17">
        <v>-8.1978401727861776</v>
      </c>
      <c r="DX17">
        <v>0.26502972972972894</v>
      </c>
      <c r="DY17">
        <v>-8.0227575016052768</v>
      </c>
      <c r="DZ17">
        <v>3771</v>
      </c>
      <c r="EA17">
        <v>-8.0059632670546907</v>
      </c>
      <c r="EB17">
        <v>8</v>
      </c>
      <c r="EC17">
        <v>7.5984822102751273E-2</v>
      </c>
      <c r="ED17">
        <v>0.66056681417302154</v>
      </c>
      <c r="EE17" s="13">
        <v>-3.0764999999999998</v>
      </c>
      <c r="EF17">
        <v>-3.0432999999999999</v>
      </c>
      <c r="EG17">
        <v>15.115029729729729</v>
      </c>
      <c r="EH17" t="s">
        <v>1577</v>
      </c>
      <c r="EI17">
        <v>0</v>
      </c>
      <c r="EJ17">
        <v>0</v>
      </c>
      <c r="EK17" s="14">
        <v>45470</v>
      </c>
      <c r="EL17">
        <v>-0.93</v>
      </c>
      <c r="EM17">
        <v>-5.37</v>
      </c>
      <c r="EN17">
        <v>2.39</v>
      </c>
      <c r="EO17">
        <v>2.63</v>
      </c>
      <c r="EP17">
        <v>-3.32</v>
      </c>
    </row>
    <row r="18" spans="1:146" ht="96" x14ac:dyDescent="0.25">
      <c r="A18" s="8"/>
      <c r="B18" s="8"/>
      <c r="C18" s="8" t="str">
        <f>""&amp;CHAR(10)&amp;Basic_Fundamental_Information_Constructure(F18)&amp;CHAR(10)&amp;Basic_Fundamental_Information_Concatenate("")</f>
        <v xml:space="preserve">
市值302.32218亿, 利润25.27亿; PE14.85; 平均PE15.47; 平均PEG.38, PB1.12; ROIC12.6033%; ROE19.4933%; 股利率4.989%; 毛利45.04%; 净利30.5433%; 上一年度营收增-4.36%, 利润增-36.82%; 当季营收增-9.35%, 利润增-52.52%; 过往5年营收增40.78%, 利润增49.86%
Income profile:
</v>
      </c>
      <c r="D18" t="s">
        <v>734</v>
      </c>
      <c r="E18" t="s">
        <v>735</v>
      </c>
      <c r="F18">
        <v>30.92</v>
      </c>
      <c r="G18">
        <v>0.36</v>
      </c>
      <c r="H18" t="s">
        <v>2671</v>
      </c>
      <c r="I18">
        <v>30232218000</v>
      </c>
      <c r="J18">
        <v>14.85</v>
      </c>
      <c r="K18">
        <v>1.1200000000000001</v>
      </c>
      <c r="L18" t="s">
        <v>973</v>
      </c>
      <c r="M18" t="s">
        <v>1910</v>
      </c>
      <c r="N18" t="s">
        <v>2672</v>
      </c>
      <c r="O18" t="s">
        <v>1262</v>
      </c>
      <c r="P18">
        <v>-9.3800000000000008</v>
      </c>
      <c r="Q18" t="s">
        <v>1911</v>
      </c>
      <c r="R18">
        <v>308141200</v>
      </c>
      <c r="S18" s="6">
        <v>-0.75639999999999996</v>
      </c>
      <c r="T18" t="s">
        <v>672</v>
      </c>
      <c r="U18">
        <v>825136960</v>
      </c>
      <c r="V18">
        <v>977756090</v>
      </c>
      <c r="W18">
        <v>1.63</v>
      </c>
      <c r="X18">
        <v>0.05</v>
      </c>
      <c r="Y18">
        <v>6.75</v>
      </c>
      <c r="Z18" t="s">
        <v>1360</v>
      </c>
      <c r="AA18" t="s">
        <v>1715</v>
      </c>
      <c r="AB18" t="s">
        <v>2673</v>
      </c>
      <c r="AC18" t="s">
        <v>308</v>
      </c>
      <c r="AD18" t="s">
        <v>5</v>
      </c>
      <c r="AE18">
        <v>45760328</v>
      </c>
      <c r="AF18" t="s">
        <v>1913</v>
      </c>
      <c r="AG18" t="s">
        <v>2674</v>
      </c>
      <c r="AH18" t="s">
        <v>1914</v>
      </c>
      <c r="AI18" t="s">
        <v>2675</v>
      </c>
      <c r="AJ18" t="s">
        <v>1915</v>
      </c>
      <c r="AK18" t="s">
        <v>85</v>
      </c>
      <c r="AL18" t="s">
        <v>1916</v>
      </c>
      <c r="AM18" t="s">
        <v>5</v>
      </c>
      <c r="AN18" t="s">
        <v>2676</v>
      </c>
      <c r="AO18" t="s">
        <v>2677</v>
      </c>
      <c r="AP18" t="s">
        <v>532</v>
      </c>
      <c r="AQ18" t="s">
        <v>463</v>
      </c>
      <c r="AR18" t="s">
        <v>5</v>
      </c>
      <c r="AS18" t="s">
        <v>2678</v>
      </c>
      <c r="AT18" t="s">
        <v>2679</v>
      </c>
      <c r="AU18" t="s">
        <v>540</v>
      </c>
      <c r="AV18" t="s">
        <v>2680</v>
      </c>
      <c r="AW18" t="s">
        <v>372</v>
      </c>
      <c r="AX18" t="s">
        <v>1347</v>
      </c>
      <c r="AY18" t="s">
        <v>997</v>
      </c>
      <c r="AZ18" t="s">
        <v>736</v>
      </c>
      <c r="BA18" t="s">
        <v>737</v>
      </c>
      <c r="BB18" t="s">
        <v>738</v>
      </c>
      <c r="BC18" t="s">
        <v>1348</v>
      </c>
      <c r="BD18" t="s">
        <v>988</v>
      </c>
      <c r="BE18" t="s">
        <v>592</v>
      </c>
      <c r="BF18" t="s">
        <v>307</v>
      </c>
      <c r="BG18" t="s">
        <v>467</v>
      </c>
      <c r="BH18" t="s">
        <v>1911</v>
      </c>
      <c r="BI18" t="s">
        <v>1917</v>
      </c>
      <c r="BJ18" t="s">
        <v>1347</v>
      </c>
      <c r="BK18" t="s">
        <v>672</v>
      </c>
      <c r="BL18" t="s">
        <v>1256</v>
      </c>
      <c r="BM18" t="s">
        <v>1348</v>
      </c>
      <c r="BN18">
        <v>6.48</v>
      </c>
      <c r="BO18">
        <v>15.84</v>
      </c>
      <c r="BP18">
        <v>15.49</v>
      </c>
      <c r="BQ18">
        <v>11.24</v>
      </c>
      <c r="BR18">
        <v>25.39</v>
      </c>
      <c r="BS18">
        <v>21.85</v>
      </c>
      <c r="BT18" t="s">
        <v>2681</v>
      </c>
      <c r="BU18" t="s">
        <v>2508</v>
      </c>
      <c r="BV18">
        <v>37.43</v>
      </c>
      <c r="BW18">
        <v>47.83</v>
      </c>
      <c r="BX18">
        <v>49.86</v>
      </c>
      <c r="BY18">
        <v>22.01</v>
      </c>
      <c r="BZ18">
        <v>33.450000000000003</v>
      </c>
      <c r="CA18">
        <v>36.17</v>
      </c>
      <c r="CB18">
        <v>-2.31</v>
      </c>
      <c r="CC18">
        <v>-19.28</v>
      </c>
      <c r="CD18" t="s">
        <v>2682</v>
      </c>
      <c r="CE18" t="s">
        <v>336</v>
      </c>
      <c r="CF18" s="10">
        <v>-9.3457943925233641E-2</v>
      </c>
      <c r="CG18" s="11">
        <v>-0.52520616332819725</v>
      </c>
      <c r="CH18" s="10">
        <v>-4.3602507561445236E-2</v>
      </c>
      <c r="CI18" s="10">
        <v>0.57742410898208618</v>
      </c>
      <c r="CJ18" s="10">
        <v>0.8636469841003418</v>
      </c>
      <c r="CK18" s="10">
        <v>0.35537976026535034</v>
      </c>
      <c r="CL18" s="10">
        <v>0.28612130880355835</v>
      </c>
      <c r="CM18" s="11">
        <v>-0.36824998259544373</v>
      </c>
      <c r="CN18" s="11">
        <v>0.47167026996612549</v>
      </c>
      <c r="CO18" s="11">
        <v>1.4354839324951172</v>
      </c>
      <c r="CP18" s="11">
        <v>0.31294116377830505</v>
      </c>
      <c r="CQ18" s="11">
        <v>0.64092665910720825</v>
      </c>
      <c r="CR18">
        <v>15.465368573620941</v>
      </c>
      <c r="CS18">
        <v>0.37924469691854168</v>
      </c>
      <c r="CT18">
        <v>4.989035252263907</v>
      </c>
      <c r="CU18" s="10">
        <v>0.40779393091797828</v>
      </c>
      <c r="CV18" s="11">
        <v>0.49855440855026245</v>
      </c>
      <c r="CW18">
        <v>0.06</v>
      </c>
      <c r="CX18">
        <v>5.9164073375907504</v>
      </c>
      <c r="CY18">
        <v>3356127607.0091801</v>
      </c>
      <c r="CZ18">
        <v>0.40779393091797828</v>
      </c>
      <c r="DA18">
        <v>1.4926231432251691</v>
      </c>
      <c r="DB18">
        <v>13302901063.892052</v>
      </c>
      <c r="DC18">
        <v>0.38740423437207933</v>
      </c>
      <c r="DD18">
        <v>0.50262836267571098</v>
      </c>
      <c r="DE18">
        <v>39504770272.605896</v>
      </c>
      <c r="DF18">
        <v>0.3588586592078209</v>
      </c>
      <c r="DG18">
        <v>0.18777414748461799</v>
      </c>
      <c r="DH18">
        <v>105745217145.11618</v>
      </c>
      <c r="DI18">
        <v>0.32623514473438264</v>
      </c>
      <c r="DJ18">
        <v>2.9754095377878848E-2</v>
      </c>
      <c r="DK18">
        <v>667344032739.85669</v>
      </c>
      <c r="DL18">
        <v>0.2854557516425848</v>
      </c>
      <c r="DM18">
        <v>2527000000</v>
      </c>
      <c r="DN18">
        <v>0.40779393091797828</v>
      </c>
      <c r="DO18">
        <v>19856218000</v>
      </c>
      <c r="DP18">
        <v>4456735000</v>
      </c>
      <c r="DQ18">
        <v>1284</v>
      </c>
      <c r="DR18">
        <v>-0.50125187484321188</v>
      </c>
      <c r="DS18">
        <v>-1.0237605718784597</v>
      </c>
      <c r="DT18" s="12">
        <v>0.19333333333333327</v>
      </c>
      <c r="DU18">
        <v>0.34666666666666673</v>
      </c>
      <c r="DV18">
        <v>0.54</v>
      </c>
      <c r="DW18">
        <v>-3.0370952380952381</v>
      </c>
      <c r="DX18">
        <v>0.3112094224924003</v>
      </c>
      <c r="DY18">
        <v>-3.0048672447676945</v>
      </c>
      <c r="DZ18">
        <v>1007</v>
      </c>
      <c r="EA18">
        <v>-3.003908083225411</v>
      </c>
      <c r="EB18">
        <v>3</v>
      </c>
      <c r="EC18">
        <v>4.414996791275419E-2</v>
      </c>
      <c r="ED18">
        <v>0.33648473618814279</v>
      </c>
      <c r="EE18" s="13">
        <v>-6.0374100000000004</v>
      </c>
      <c r="EF18">
        <v>-6.0745100000000001</v>
      </c>
      <c r="EG18">
        <v>18.1312094224924</v>
      </c>
      <c r="EH18" t="s">
        <v>1751</v>
      </c>
      <c r="EI18">
        <v>0</v>
      </c>
      <c r="EJ18">
        <v>1</v>
      </c>
      <c r="EK18" s="14">
        <v>45470</v>
      </c>
      <c r="EL18">
        <v>-1</v>
      </c>
      <c r="EM18">
        <v>-4.5999999999999996</v>
      </c>
      <c r="EN18">
        <v>-1</v>
      </c>
      <c r="EO18">
        <v>2.17</v>
      </c>
      <c r="EP18">
        <v>-3.71</v>
      </c>
    </row>
    <row r="19" spans="1:146" ht="96" x14ac:dyDescent="0.25">
      <c r="A19" s="8"/>
      <c r="B19" s="8"/>
      <c r="C19" s="8" t="str">
        <f>""&amp;CHAR(10)&amp;Basic_Fundamental_Information_Constructure(F19)&amp;CHAR(10)&amp;Basic_Fundamental_Information_Concatenate("")</f>
        <v xml:space="preserve">
市值204.52683亿, 利润12.01亿; PE16.13; 平均PE39.07; 平均PEG.81, PB1.93; ROIC10.86%; ROE13.9833%; 股利率1.9852%; 毛利24.5633%; 净利11.45%; 上一年度营收增21.46%, 利润增33.44%; 当季营收增7.87%, 利润增27.51%; 过往5年营收增48.15%, 利润增93.17%
Income profile:
</v>
      </c>
      <c r="D19" t="s">
        <v>739</v>
      </c>
      <c r="E19" t="s">
        <v>740</v>
      </c>
      <c r="F19">
        <v>75.56</v>
      </c>
      <c r="G19">
        <v>-1.96</v>
      </c>
      <c r="H19" t="s">
        <v>2683</v>
      </c>
      <c r="I19">
        <v>20452683000</v>
      </c>
      <c r="J19">
        <v>16.13</v>
      </c>
      <c r="K19">
        <v>1.93</v>
      </c>
      <c r="L19" t="s">
        <v>973</v>
      </c>
      <c r="M19" t="s">
        <v>1918</v>
      </c>
      <c r="N19" t="s">
        <v>2684</v>
      </c>
      <c r="O19" t="s">
        <v>1920</v>
      </c>
      <c r="P19">
        <v>7.84</v>
      </c>
      <c r="Q19" t="s">
        <v>1919</v>
      </c>
      <c r="R19">
        <v>308582800</v>
      </c>
      <c r="S19" s="6">
        <v>0.27760000000000001</v>
      </c>
      <c r="T19" t="s">
        <v>1704</v>
      </c>
      <c r="U19">
        <v>192894510</v>
      </c>
      <c r="V19">
        <v>270681350</v>
      </c>
      <c r="W19">
        <v>1.58</v>
      </c>
      <c r="X19">
        <v>0.15</v>
      </c>
      <c r="Y19">
        <v>12.3</v>
      </c>
      <c r="Z19" t="s">
        <v>2685</v>
      </c>
      <c r="AA19" t="s">
        <v>601</v>
      </c>
      <c r="AB19" t="s">
        <v>2686</v>
      </c>
      <c r="AC19" t="s">
        <v>2687</v>
      </c>
      <c r="AD19" t="s">
        <v>5</v>
      </c>
      <c r="AE19">
        <v>15088022</v>
      </c>
      <c r="AF19" t="s">
        <v>1921</v>
      </c>
      <c r="AG19" t="s">
        <v>2688</v>
      </c>
      <c r="AH19" t="s">
        <v>1922</v>
      </c>
      <c r="AI19" t="s">
        <v>2419</v>
      </c>
      <c r="AJ19" t="s">
        <v>1923</v>
      </c>
      <c r="AK19" t="s">
        <v>2689</v>
      </c>
      <c r="AL19" t="s">
        <v>1924</v>
      </c>
      <c r="AM19" t="s">
        <v>5</v>
      </c>
      <c r="AN19" t="s">
        <v>879</v>
      </c>
      <c r="AO19" t="s">
        <v>218</v>
      </c>
      <c r="AP19" t="s">
        <v>646</v>
      </c>
      <c r="AQ19" t="s">
        <v>1614</v>
      </c>
      <c r="AR19" t="s">
        <v>5</v>
      </c>
      <c r="AS19" t="s">
        <v>1154</v>
      </c>
      <c r="AT19" t="s">
        <v>2690</v>
      </c>
      <c r="AU19" t="s">
        <v>215</v>
      </c>
      <c r="AV19" t="s">
        <v>821</v>
      </c>
      <c r="AW19" t="s">
        <v>1840</v>
      </c>
      <c r="AX19" t="s">
        <v>1349</v>
      </c>
      <c r="AY19" t="s">
        <v>999</v>
      </c>
      <c r="AZ19" t="s">
        <v>621</v>
      </c>
      <c r="BA19" t="s">
        <v>741</v>
      </c>
      <c r="BB19" t="s">
        <v>612</v>
      </c>
      <c r="BC19" t="s">
        <v>674</v>
      </c>
      <c r="BD19" t="s">
        <v>202</v>
      </c>
      <c r="BE19" t="s">
        <v>499</v>
      </c>
      <c r="BF19" t="s">
        <v>33</v>
      </c>
      <c r="BG19" t="s">
        <v>742</v>
      </c>
      <c r="BH19" t="s">
        <v>1919</v>
      </c>
      <c r="BI19" t="s">
        <v>1568</v>
      </c>
      <c r="BJ19" t="s">
        <v>1349</v>
      </c>
      <c r="BK19" t="s">
        <v>1704</v>
      </c>
      <c r="BL19" t="s">
        <v>359</v>
      </c>
      <c r="BM19" t="s">
        <v>674</v>
      </c>
      <c r="BN19">
        <v>7.67</v>
      </c>
      <c r="BO19">
        <v>13.39</v>
      </c>
      <c r="BP19">
        <v>11.52</v>
      </c>
      <c r="BQ19">
        <v>11.48</v>
      </c>
      <c r="BR19">
        <v>17.61</v>
      </c>
      <c r="BS19">
        <v>12.86</v>
      </c>
      <c r="BT19" t="s">
        <v>1925</v>
      </c>
      <c r="BU19" t="s">
        <v>2521</v>
      </c>
      <c r="BV19">
        <v>23.58</v>
      </c>
      <c r="BW19">
        <v>23.86</v>
      </c>
      <c r="BX19">
        <v>26.25</v>
      </c>
      <c r="BY19">
        <v>11.59</v>
      </c>
      <c r="BZ19">
        <v>10.55</v>
      </c>
      <c r="CA19">
        <v>12.21</v>
      </c>
      <c r="CB19">
        <v>-1.07</v>
      </c>
      <c r="CC19">
        <v>-21.03</v>
      </c>
      <c r="CD19" t="s">
        <v>2691</v>
      </c>
      <c r="CE19" t="s">
        <v>2692</v>
      </c>
      <c r="CF19" s="10">
        <v>7.8675838349097166E-2</v>
      </c>
      <c r="CG19" s="11">
        <v>0.27513553719008266</v>
      </c>
      <c r="CH19" s="10">
        <v>0.21458278596401215</v>
      </c>
      <c r="CI19" s="10">
        <v>0.93688464164733887</v>
      </c>
      <c r="CJ19" s="10">
        <v>1.2508814334869385</v>
      </c>
      <c r="CK19" s="10">
        <v>-0.10986549407243729</v>
      </c>
      <c r="CL19" s="10">
        <v>0.11500006169080734</v>
      </c>
      <c r="CM19" s="11">
        <v>0.33444437384605408</v>
      </c>
      <c r="CN19" s="11">
        <v>0.66051661968231201</v>
      </c>
      <c r="CO19" s="11">
        <v>2.02793288230896</v>
      </c>
      <c r="CP19" s="11">
        <v>-0.24472573399543762</v>
      </c>
      <c r="CQ19" s="11">
        <v>1.8801562786102295</v>
      </c>
      <c r="CR19">
        <v>39.065545487213008</v>
      </c>
      <c r="CS19">
        <v>0.81133570892401541</v>
      </c>
      <c r="CT19">
        <v>1.985177342509264</v>
      </c>
      <c r="CU19" s="10">
        <v>0.48149668574333193</v>
      </c>
      <c r="CV19" s="11">
        <v>0.93166488409042358</v>
      </c>
      <c r="CW19">
        <v>0.06</v>
      </c>
      <c r="CX19">
        <v>9.74326027797742</v>
      </c>
      <c r="CY19">
        <v>1678563697.7148504</v>
      </c>
      <c r="CZ19">
        <v>0.48149668574333193</v>
      </c>
      <c r="DA19">
        <v>2.3220158888780946</v>
      </c>
      <c r="DB19">
        <v>7043312269.4530439</v>
      </c>
      <c r="DC19">
        <v>0.45742185145616532</v>
      </c>
      <c r="DD19">
        <v>0.71421199165223892</v>
      </c>
      <c r="DE19">
        <v>22898919636.123043</v>
      </c>
      <c r="DF19">
        <v>0.42371708345413212</v>
      </c>
      <c r="DG19">
        <v>0.23640670010183079</v>
      </c>
      <c r="DH19">
        <v>69180285469.723648</v>
      </c>
      <c r="DI19">
        <v>0.38519734859466559</v>
      </c>
      <c r="DJ19">
        <v>2.7408441209152166E-2</v>
      </c>
      <c r="DK19">
        <v>596702412778.54504</v>
      </c>
      <c r="DL19">
        <v>0.33704768002033231</v>
      </c>
      <c r="DM19">
        <v>1201000000</v>
      </c>
      <c r="DN19">
        <v>0.48149668574333193</v>
      </c>
      <c r="DO19">
        <v>16354683000</v>
      </c>
      <c r="DP19">
        <v>4600147000</v>
      </c>
      <c r="DQ19">
        <v>1319</v>
      </c>
      <c r="DR19">
        <v>-0.40282084739423474</v>
      </c>
      <c r="DS19">
        <v>-0.65652934690034093</v>
      </c>
      <c r="DT19" s="12">
        <v>0.29333333333333339</v>
      </c>
      <c r="DU19">
        <v>1.5563333333333336</v>
      </c>
      <c r="DV19">
        <v>1.849666666666667</v>
      </c>
      <c r="DW19">
        <v>-3.0568869047619049</v>
      </c>
      <c r="DX19">
        <v>0.2974109974878828</v>
      </c>
      <c r="DY19">
        <v>-3.0095234934701889</v>
      </c>
      <c r="DZ19">
        <v>20</v>
      </c>
      <c r="EA19">
        <v>-3.0094862195231431</v>
      </c>
      <c r="EB19">
        <v>3</v>
      </c>
      <c r="EC19">
        <v>4.8747355515996946E-2</v>
      </c>
      <c r="ED19">
        <v>0.29118371103143975</v>
      </c>
      <c r="EE19" s="13">
        <v>1.03871</v>
      </c>
      <c r="EF19">
        <v>1.0517099999999999</v>
      </c>
      <c r="EG19">
        <v>13.167410997487883</v>
      </c>
      <c r="EH19" t="s">
        <v>1301</v>
      </c>
      <c r="EI19">
        <v>0</v>
      </c>
      <c r="EJ19">
        <v>1</v>
      </c>
      <c r="EK19" s="14">
        <v>45470</v>
      </c>
      <c r="EL19">
        <v>-2.74</v>
      </c>
      <c r="EM19">
        <v>-0.59</v>
      </c>
      <c r="EN19">
        <v>-3.53</v>
      </c>
      <c r="EO19">
        <v>-0.62</v>
      </c>
      <c r="EP19">
        <v>-1.3</v>
      </c>
    </row>
    <row r="20" spans="1:146" ht="84" x14ac:dyDescent="0.25">
      <c r="A20" s="9"/>
      <c r="B20" s="9"/>
      <c r="C20" s="9" t="s">
        <v>1240</v>
      </c>
      <c r="D20" t="s">
        <v>743</v>
      </c>
      <c r="E20" t="s">
        <v>744</v>
      </c>
      <c r="F20">
        <v>37.450000000000003</v>
      </c>
      <c r="G20">
        <v>-0.93</v>
      </c>
      <c r="H20" t="s">
        <v>2693</v>
      </c>
      <c r="I20">
        <v>76612270000</v>
      </c>
      <c r="J20">
        <v>19.27</v>
      </c>
      <c r="K20">
        <v>2.14</v>
      </c>
      <c r="L20" t="s">
        <v>973</v>
      </c>
      <c r="M20" t="s">
        <v>1934</v>
      </c>
      <c r="N20" t="s">
        <v>2694</v>
      </c>
      <c r="O20" t="s">
        <v>1935</v>
      </c>
      <c r="P20">
        <v>-16.7</v>
      </c>
      <c r="Q20" t="s">
        <v>1936</v>
      </c>
      <c r="R20">
        <v>1065713850</v>
      </c>
      <c r="S20" s="6">
        <v>-6.4899999999999999E-2</v>
      </c>
      <c r="T20" t="s">
        <v>1937</v>
      </c>
      <c r="U20">
        <v>1861566300</v>
      </c>
      <c r="V20">
        <v>2045721500</v>
      </c>
      <c r="W20">
        <v>2.46</v>
      </c>
      <c r="X20">
        <v>0.1</v>
      </c>
      <c r="Y20">
        <v>11.33</v>
      </c>
      <c r="Z20" t="s">
        <v>2271</v>
      </c>
      <c r="AA20" t="s">
        <v>2695</v>
      </c>
      <c r="AB20" t="s">
        <v>247</v>
      </c>
      <c r="AC20" t="s">
        <v>159</v>
      </c>
      <c r="AD20" t="s">
        <v>5</v>
      </c>
      <c r="AE20">
        <v>77996764</v>
      </c>
      <c r="AF20" t="s">
        <v>1938</v>
      </c>
      <c r="AG20" t="s">
        <v>2696</v>
      </c>
      <c r="AH20" t="s">
        <v>1939</v>
      </c>
      <c r="AI20" t="s">
        <v>2697</v>
      </c>
      <c r="AJ20" t="s">
        <v>1940</v>
      </c>
      <c r="AK20" t="s">
        <v>2698</v>
      </c>
      <c r="AL20" t="s">
        <v>1941</v>
      </c>
      <c r="AM20" t="s">
        <v>5</v>
      </c>
      <c r="AN20" t="s">
        <v>2699</v>
      </c>
      <c r="AO20" t="s">
        <v>1643</v>
      </c>
      <c r="AP20" t="s">
        <v>2700</v>
      </c>
      <c r="AQ20" t="s">
        <v>2701</v>
      </c>
      <c r="AR20" t="s">
        <v>5</v>
      </c>
      <c r="AS20" t="s">
        <v>2702</v>
      </c>
      <c r="AT20" t="s">
        <v>2703</v>
      </c>
      <c r="AU20" t="s">
        <v>2704</v>
      </c>
      <c r="AV20" t="s">
        <v>2705</v>
      </c>
      <c r="AW20" t="s">
        <v>398</v>
      </c>
      <c r="AX20" t="s">
        <v>1352</v>
      </c>
      <c r="AY20" t="s">
        <v>1003</v>
      </c>
      <c r="AZ20" t="s">
        <v>745</v>
      </c>
      <c r="BA20" t="s">
        <v>690</v>
      </c>
      <c r="BB20" t="s">
        <v>746</v>
      </c>
      <c r="BC20" t="s">
        <v>1353</v>
      </c>
      <c r="BD20" t="s">
        <v>979</v>
      </c>
      <c r="BE20" t="s">
        <v>291</v>
      </c>
      <c r="BF20" t="s">
        <v>748</v>
      </c>
      <c r="BG20" t="s">
        <v>285</v>
      </c>
      <c r="BH20" t="s">
        <v>1936</v>
      </c>
      <c r="BI20" t="s">
        <v>1942</v>
      </c>
      <c r="BJ20" t="s">
        <v>1352</v>
      </c>
      <c r="BK20" t="s">
        <v>1937</v>
      </c>
      <c r="BL20" t="s">
        <v>324</v>
      </c>
      <c r="BM20" t="s">
        <v>1353</v>
      </c>
      <c r="BN20">
        <v>6.98</v>
      </c>
      <c r="BO20">
        <v>9.4700000000000006</v>
      </c>
      <c r="BP20">
        <v>13.26</v>
      </c>
      <c r="BQ20">
        <v>10.63</v>
      </c>
      <c r="BR20">
        <v>17.46</v>
      </c>
      <c r="BS20">
        <v>18.11</v>
      </c>
      <c r="BT20" t="s">
        <v>1293</v>
      </c>
      <c r="BU20" t="s">
        <v>2521</v>
      </c>
      <c r="BV20">
        <v>17.04</v>
      </c>
      <c r="BW20">
        <v>16.43</v>
      </c>
      <c r="BX20">
        <v>21.57</v>
      </c>
      <c r="BY20">
        <v>9.27</v>
      </c>
      <c r="BZ20">
        <v>10.11</v>
      </c>
      <c r="CA20">
        <v>18.64</v>
      </c>
      <c r="CB20">
        <v>-6.19</v>
      </c>
      <c r="CC20">
        <v>-1.6</v>
      </c>
      <c r="CD20" t="s">
        <v>2706</v>
      </c>
      <c r="CE20" t="s">
        <v>597</v>
      </c>
      <c r="CF20" s="10">
        <v>-0.16708385481852314</v>
      </c>
      <c r="CG20" s="11">
        <v>-6.5163289473684216E-2</v>
      </c>
      <c r="CH20" s="10">
        <v>0.34376376867294312</v>
      </c>
      <c r="CI20" s="10">
        <v>1.1481657028198242</v>
      </c>
      <c r="CJ20" s="10">
        <v>1.0705709457397461</v>
      </c>
      <c r="CK20" s="10">
        <v>0.27292570471763611</v>
      </c>
      <c r="CL20" s="10">
        <v>0.47368425130844116</v>
      </c>
      <c r="CM20" s="11">
        <v>0.15417496860027313</v>
      </c>
      <c r="CN20" s="11">
        <v>0.20750175416469574</v>
      </c>
      <c r="CO20" s="11">
        <v>0.75907981395721436</v>
      </c>
      <c r="CP20" s="11">
        <v>8.5413925349712372E-2</v>
      </c>
      <c r="CQ20" s="11">
        <v>1.6654990911483765</v>
      </c>
      <c r="CR20">
        <v>32.348600985221672</v>
      </c>
      <c r="CS20">
        <v>0.48878093107192028</v>
      </c>
      <c r="CT20">
        <v>1.3351134846461947</v>
      </c>
      <c r="CU20" s="10">
        <v>0.66182207465171816</v>
      </c>
      <c r="CV20" s="11">
        <v>0.57433391064405437</v>
      </c>
      <c r="CW20">
        <v>0.06</v>
      </c>
      <c r="CX20">
        <v>14.788020147185767</v>
      </c>
      <c r="CY20">
        <v>6349414530.5089226</v>
      </c>
      <c r="CZ20">
        <v>0.66182207465171816</v>
      </c>
      <c r="DA20">
        <v>3.0808579375992857</v>
      </c>
      <c r="DB20">
        <v>30476987872.140102</v>
      </c>
      <c r="DC20">
        <v>0.62873097091913221</v>
      </c>
      <c r="DD20">
        <v>0.76021327135111283</v>
      </c>
      <c r="DE20">
        <v>123511748003.45395</v>
      </c>
      <c r="DF20">
        <v>0.582403425693512</v>
      </c>
      <c r="DG20">
        <v>0.18671527827706536</v>
      </c>
      <c r="DH20">
        <v>502879415473.80786</v>
      </c>
      <c r="DI20">
        <v>0.5294576597213746</v>
      </c>
      <c r="DJ20">
        <v>1.0133236345312779E-2</v>
      </c>
      <c r="DK20">
        <v>9266069279380.0391</v>
      </c>
      <c r="DL20">
        <v>0.4632754522562027</v>
      </c>
      <c r="DM20">
        <v>4050000000</v>
      </c>
      <c r="DN20">
        <v>0.66182207465171816</v>
      </c>
      <c r="DO20">
        <v>93895270000</v>
      </c>
      <c r="DP20">
        <v>1573098000</v>
      </c>
      <c r="DQ20">
        <v>1512</v>
      </c>
      <c r="DR20">
        <v>-0.82890592947024133</v>
      </c>
      <c r="DS20">
        <v>-0.63949720011773858</v>
      </c>
      <c r="DT20" s="12">
        <v>0.51</v>
      </c>
      <c r="DU20">
        <v>0.78333333333333321</v>
      </c>
      <c r="DV20">
        <v>1.2933333333333332</v>
      </c>
      <c r="DW20">
        <v>-5.2584814216478186</v>
      </c>
      <c r="DX20">
        <v>0.2652731443994597</v>
      </c>
      <c r="DY20">
        <v>-5.0297959662421867</v>
      </c>
      <c r="DZ20">
        <v>93</v>
      </c>
      <c r="EA20">
        <v>-5.0292536913184049</v>
      </c>
      <c r="EB20">
        <v>5</v>
      </c>
      <c r="EC20">
        <v>4.1754168394867043E-2</v>
      </c>
      <c r="ED20">
        <v>0.3622193930112188</v>
      </c>
      <c r="EE20" s="13">
        <v>4.5909999999999999E-2</v>
      </c>
      <c r="EF20">
        <v>4.6610000000000006E-2</v>
      </c>
      <c r="EG20">
        <v>15.11527314439946</v>
      </c>
      <c r="EH20">
        <v>-1</v>
      </c>
      <c r="EI20">
        <v>0</v>
      </c>
      <c r="EJ20">
        <v>1</v>
      </c>
      <c r="EK20" s="14">
        <v>45470</v>
      </c>
      <c r="EL20">
        <v>-1.33</v>
      </c>
      <c r="EM20">
        <v>1.06</v>
      </c>
      <c r="EN20">
        <v>-2.5</v>
      </c>
      <c r="EO20">
        <v>0.56000000000000005</v>
      </c>
      <c r="EP20">
        <v>-7.0000000000000007E-2</v>
      </c>
    </row>
    <row r="21" spans="1:146" ht="96" x14ac:dyDescent="0.25">
      <c r="A21" s="9"/>
      <c r="B21" s="9"/>
      <c r="C21" s="9" t="str">
        <f>""&amp;CHAR(10)&amp;Basic_Fundamental_Information_Constructure(F21)&amp;CHAR(10)&amp;Basic_Fundamental_Information_Concatenate("")</f>
        <v xml:space="preserve">
市值60.179456亿, 利润4170.62万; PE29.97; 平均PE29.7; 平均PEG.47, PB1.34; ROIC9.875%; ROE8.2567%; 股利率1.8029%; 毛利21.19%; 净利7.89%; 上一年度营收增-6.64%, 利润增-88.54%; 当季营收增2.4%, 利润增117.61%; 过往5年营收增62.63%, 利润增11.7%
Income profile:
</v>
      </c>
      <c r="D21" t="s">
        <v>749</v>
      </c>
      <c r="E21" t="s">
        <v>750</v>
      </c>
      <c r="F21">
        <v>8.32</v>
      </c>
      <c r="G21">
        <v>0.97</v>
      </c>
      <c r="H21" t="s">
        <v>2707</v>
      </c>
      <c r="I21">
        <v>6017945600</v>
      </c>
      <c r="J21">
        <v>29.97</v>
      </c>
      <c r="K21">
        <v>1.34</v>
      </c>
      <c r="L21" t="s">
        <v>973</v>
      </c>
      <c r="M21" t="s">
        <v>1609</v>
      </c>
      <c r="N21" t="s">
        <v>2708</v>
      </c>
      <c r="O21" t="s">
        <v>1608</v>
      </c>
      <c r="P21">
        <v>2.38</v>
      </c>
      <c r="Q21" t="s">
        <v>1943</v>
      </c>
      <c r="R21">
        <v>23767522</v>
      </c>
      <c r="S21" s="6">
        <v>1.1759999999999999</v>
      </c>
      <c r="T21" t="s">
        <v>1944</v>
      </c>
      <c r="U21">
        <v>621245220</v>
      </c>
      <c r="V21">
        <v>723310770</v>
      </c>
      <c r="W21">
        <v>2.11</v>
      </c>
      <c r="X21">
        <v>0.1</v>
      </c>
      <c r="Y21">
        <v>3.84</v>
      </c>
      <c r="Z21" t="s">
        <v>980</v>
      </c>
      <c r="AA21" t="s">
        <v>593</v>
      </c>
      <c r="AB21" t="s">
        <v>2709</v>
      </c>
      <c r="AC21" t="s">
        <v>2710</v>
      </c>
      <c r="AD21" t="s">
        <v>5</v>
      </c>
      <c r="AE21">
        <v>36270155</v>
      </c>
      <c r="AF21" t="s">
        <v>1945</v>
      </c>
      <c r="AG21" t="s">
        <v>2711</v>
      </c>
      <c r="AH21" t="s">
        <v>1946</v>
      </c>
      <c r="AI21" t="s">
        <v>2712</v>
      </c>
      <c r="AJ21" t="s">
        <v>1947</v>
      </c>
      <c r="AK21" t="s">
        <v>53</v>
      </c>
      <c r="AL21" t="s">
        <v>1948</v>
      </c>
      <c r="AM21" t="s">
        <v>5</v>
      </c>
      <c r="AN21" t="s">
        <v>186</v>
      </c>
      <c r="AO21" t="s">
        <v>577</v>
      </c>
      <c r="AP21" t="s">
        <v>226</v>
      </c>
      <c r="AQ21" t="s">
        <v>1717</v>
      </c>
      <c r="AR21" t="s">
        <v>5</v>
      </c>
      <c r="AS21" t="s">
        <v>2713</v>
      </c>
      <c r="AT21" t="s">
        <v>2714</v>
      </c>
      <c r="AU21" t="s">
        <v>2715</v>
      </c>
      <c r="AV21" t="s">
        <v>2716</v>
      </c>
      <c r="AW21" t="s">
        <v>603</v>
      </c>
      <c r="AX21" t="s">
        <v>1354</v>
      </c>
      <c r="AY21" t="s">
        <v>671</v>
      </c>
      <c r="AZ21" t="s">
        <v>456</v>
      </c>
      <c r="BA21" t="s">
        <v>480</v>
      </c>
      <c r="BB21" t="s">
        <v>236</v>
      </c>
      <c r="BC21" t="s">
        <v>578</v>
      </c>
      <c r="BD21" t="s">
        <v>180</v>
      </c>
      <c r="BE21" t="s">
        <v>117</v>
      </c>
      <c r="BF21" t="s">
        <v>172</v>
      </c>
      <c r="BG21" t="s">
        <v>118</v>
      </c>
      <c r="BH21" t="s">
        <v>1943</v>
      </c>
      <c r="BI21" t="s">
        <v>1548</v>
      </c>
      <c r="BJ21" t="s">
        <v>1354</v>
      </c>
      <c r="BK21" t="s">
        <v>1944</v>
      </c>
      <c r="BL21" t="s">
        <v>1409</v>
      </c>
      <c r="BM21" t="s">
        <v>578</v>
      </c>
      <c r="BN21" t="s">
        <v>5</v>
      </c>
      <c r="BO21">
        <v>7.94</v>
      </c>
      <c r="BP21">
        <v>11.81</v>
      </c>
      <c r="BQ21">
        <v>-0.02</v>
      </c>
      <c r="BR21">
        <v>8.66</v>
      </c>
      <c r="BS21">
        <v>16.13</v>
      </c>
      <c r="BT21" t="s">
        <v>1291</v>
      </c>
      <c r="BU21" t="s">
        <v>2508</v>
      </c>
      <c r="BV21">
        <v>15.46</v>
      </c>
      <c r="BW21">
        <v>19.5</v>
      </c>
      <c r="BX21">
        <v>28.61</v>
      </c>
      <c r="BY21">
        <v>0.21</v>
      </c>
      <c r="BZ21">
        <v>6.81</v>
      </c>
      <c r="CA21">
        <v>16.649999999999999</v>
      </c>
      <c r="CB21">
        <v>-2.23</v>
      </c>
      <c r="CC21">
        <v>-12.14</v>
      </c>
      <c r="CD21" t="s">
        <v>2717</v>
      </c>
      <c r="CE21" t="s">
        <v>259</v>
      </c>
      <c r="CF21" s="10">
        <v>2.4015369836695485E-2</v>
      </c>
      <c r="CG21" s="11">
        <v>1.1760557185185185</v>
      </c>
      <c r="CH21" s="10">
        <v>-6.6387616097927094E-2</v>
      </c>
      <c r="CI21" s="10">
        <v>1.3960803747177124</v>
      </c>
      <c r="CJ21" s="10">
        <v>1.2525665760040283</v>
      </c>
      <c r="CK21" s="10">
        <v>4.8439182341098785E-2</v>
      </c>
      <c r="CL21" s="10">
        <v>0.50080776214599609</v>
      </c>
      <c r="CM21" s="11">
        <v>-0.88542252779006958</v>
      </c>
      <c r="CN21" s="11">
        <v>-2.7397261001169682E-3</v>
      </c>
      <c r="CO21" s="11">
        <v>1.2256097793579102</v>
      </c>
      <c r="CP21" s="11">
        <v>8.6092717945575714E-2</v>
      </c>
      <c r="CQ21" s="11">
        <v>0.16153846681118011</v>
      </c>
      <c r="CR21">
        <v>29.700986636409358</v>
      </c>
      <c r="CS21">
        <v>0.47422843815663707</v>
      </c>
      <c r="CT21">
        <v>1.8028846153846154</v>
      </c>
      <c r="CU21" s="10">
        <v>0.62630125582218166</v>
      </c>
      <c r="CV21" s="11">
        <v>0.11701574204489588</v>
      </c>
      <c r="CW21">
        <v>0.06</v>
      </c>
      <c r="CX21">
        <v>94.814410056985338</v>
      </c>
      <c r="CY21">
        <v>63987590.033557616</v>
      </c>
      <c r="CZ21">
        <v>0.62630125582218166</v>
      </c>
      <c r="DA21">
        <v>20.272431969431484</v>
      </c>
      <c r="DB21">
        <v>299270734.22410601</v>
      </c>
      <c r="DC21">
        <v>0.59498619303107259</v>
      </c>
      <c r="DD21">
        <v>5.2226875953437508</v>
      </c>
      <c r="DE21">
        <v>1161652020.9650183</v>
      </c>
      <c r="DF21">
        <v>0.55114510512351989</v>
      </c>
      <c r="DG21">
        <v>1.3601728336640135</v>
      </c>
      <c r="DH21">
        <v>4460422565.3124914</v>
      </c>
      <c r="DI21">
        <v>0.50104100465774537</v>
      </c>
      <c r="DJ21">
        <v>8.5561454386060096E-2</v>
      </c>
      <c r="DK21">
        <v>70907462285.826263</v>
      </c>
      <c r="DL21">
        <v>0.43841087907552712</v>
      </c>
      <c r="DM21">
        <v>41706200</v>
      </c>
      <c r="DN21">
        <v>0.62630125582218166</v>
      </c>
      <c r="DO21">
        <v>6066945600</v>
      </c>
      <c r="DP21">
        <v>2211601500.0000005</v>
      </c>
      <c r="DQ21">
        <v>1531</v>
      </c>
      <c r="DR21">
        <v>-0.60228588598548616</v>
      </c>
      <c r="DS21">
        <v>1.0590399764736227</v>
      </c>
      <c r="DT21" s="12">
        <v>0.22666666666666666</v>
      </c>
      <c r="DU21">
        <v>3.3333333333333361E-2</v>
      </c>
      <c r="DV21">
        <v>0.26</v>
      </c>
      <c r="DW21">
        <v>-2.1214</v>
      </c>
      <c r="DX21">
        <v>0.27678731884057967</v>
      </c>
      <c r="DY21">
        <v>-2.0117499805072465</v>
      </c>
      <c r="DZ21">
        <v>1127</v>
      </c>
      <c r="EA21">
        <v>-2.0091585464501689</v>
      </c>
      <c r="EB21">
        <v>2</v>
      </c>
      <c r="EC21">
        <v>3.6931981532640525E-2</v>
      </c>
      <c r="ED21">
        <v>0.38157872307085927</v>
      </c>
      <c r="EE21" s="13">
        <v>1.9910000000000001E-2</v>
      </c>
      <c r="EF21">
        <v>4.7010000000000003E-2</v>
      </c>
      <c r="EG21">
        <v>18.09678731884058</v>
      </c>
      <c r="EH21">
        <v>-1</v>
      </c>
      <c r="EI21">
        <v>0</v>
      </c>
      <c r="EJ21">
        <v>1</v>
      </c>
      <c r="EK21" s="14">
        <v>45470</v>
      </c>
      <c r="EL21">
        <v>-1.59</v>
      </c>
      <c r="EM21">
        <v>-3</v>
      </c>
      <c r="EN21">
        <v>-0.12</v>
      </c>
      <c r="EO21">
        <v>5.24</v>
      </c>
      <c r="EP21">
        <v>-2.71</v>
      </c>
    </row>
    <row r="22" spans="1:146" ht="168" x14ac:dyDescent="0.25">
      <c r="A22" s="9" t="s">
        <v>1107</v>
      </c>
      <c r="B22" s="9"/>
      <c r="C22" s="9" t="s">
        <v>1241</v>
      </c>
      <c r="D22" t="s">
        <v>751</v>
      </c>
      <c r="E22" t="s">
        <v>752</v>
      </c>
      <c r="F22">
        <v>27.85</v>
      </c>
      <c r="G22">
        <v>-0.89</v>
      </c>
      <c r="H22" t="s">
        <v>2718</v>
      </c>
      <c r="I22">
        <v>20995626000</v>
      </c>
      <c r="J22">
        <v>22.56</v>
      </c>
      <c r="K22">
        <v>2.29</v>
      </c>
      <c r="L22" t="s">
        <v>973</v>
      </c>
      <c r="M22" t="s">
        <v>1949</v>
      </c>
      <c r="N22" t="s">
        <v>2719</v>
      </c>
      <c r="O22" t="s">
        <v>661</v>
      </c>
      <c r="P22">
        <v>-8</v>
      </c>
      <c r="Q22" t="s">
        <v>1950</v>
      </c>
      <c r="R22">
        <v>165018630</v>
      </c>
      <c r="S22" s="6">
        <v>-0.32800000000000001</v>
      </c>
      <c r="T22" t="s">
        <v>1602</v>
      </c>
      <c r="U22">
        <v>542458480</v>
      </c>
      <c r="V22">
        <v>753882430</v>
      </c>
      <c r="W22">
        <v>1.72</v>
      </c>
      <c r="X22">
        <v>0.09</v>
      </c>
      <c r="Y22">
        <v>10.76</v>
      </c>
      <c r="Z22" t="s">
        <v>2397</v>
      </c>
      <c r="AA22" t="s">
        <v>2720</v>
      </c>
      <c r="AB22" t="s">
        <v>2721</v>
      </c>
      <c r="AC22" t="s">
        <v>2722</v>
      </c>
      <c r="AD22" t="s">
        <v>5</v>
      </c>
      <c r="AE22">
        <v>420519</v>
      </c>
      <c r="AF22" t="s">
        <v>1951</v>
      </c>
      <c r="AG22" t="s">
        <v>2723</v>
      </c>
      <c r="AH22" t="s">
        <v>1952</v>
      </c>
      <c r="AI22" t="s">
        <v>2312</v>
      </c>
      <c r="AJ22" t="s">
        <v>1954</v>
      </c>
      <c r="AK22" t="s">
        <v>453</v>
      </c>
      <c r="AL22" t="s">
        <v>1955</v>
      </c>
      <c r="AM22" t="s">
        <v>5</v>
      </c>
      <c r="AN22" t="s">
        <v>987</v>
      </c>
      <c r="AO22" t="s">
        <v>446</v>
      </c>
      <c r="AP22" t="s">
        <v>2724</v>
      </c>
      <c r="AQ22" t="s">
        <v>303</v>
      </c>
      <c r="AR22" t="s">
        <v>2725</v>
      </c>
      <c r="AS22" t="s">
        <v>2726</v>
      </c>
      <c r="AT22" t="s">
        <v>670</v>
      </c>
      <c r="AU22" t="s">
        <v>2727</v>
      </c>
      <c r="AV22" t="s">
        <v>2728</v>
      </c>
      <c r="AW22" t="s">
        <v>2729</v>
      </c>
      <c r="AX22" t="s">
        <v>1355</v>
      </c>
      <c r="AY22" t="s">
        <v>1004</v>
      </c>
      <c r="AZ22" t="s">
        <v>237</v>
      </c>
      <c r="BA22" t="s">
        <v>753</v>
      </c>
      <c r="BB22" t="s">
        <v>754</v>
      </c>
      <c r="BC22" t="s">
        <v>1356</v>
      </c>
      <c r="BD22" t="s">
        <v>190</v>
      </c>
      <c r="BE22" t="s">
        <v>467</v>
      </c>
      <c r="BF22" t="s">
        <v>191</v>
      </c>
      <c r="BG22" t="s">
        <v>473</v>
      </c>
      <c r="BH22" t="s">
        <v>1950</v>
      </c>
      <c r="BI22" t="s">
        <v>1622</v>
      </c>
      <c r="BJ22" t="s">
        <v>1355</v>
      </c>
      <c r="BK22" t="s">
        <v>1602</v>
      </c>
      <c r="BL22" t="s">
        <v>381</v>
      </c>
      <c r="BM22" t="s">
        <v>1356</v>
      </c>
      <c r="BN22">
        <v>6.75</v>
      </c>
      <c r="BO22">
        <v>19.05</v>
      </c>
      <c r="BP22">
        <v>20.18</v>
      </c>
      <c r="BQ22">
        <v>9.3000000000000007</v>
      </c>
      <c r="BR22">
        <v>23.54</v>
      </c>
      <c r="BS22">
        <v>22.43</v>
      </c>
      <c r="BT22" t="s">
        <v>1295</v>
      </c>
      <c r="BU22" t="s">
        <v>2508</v>
      </c>
      <c r="BV22">
        <v>28.94</v>
      </c>
      <c r="BW22">
        <v>32.04</v>
      </c>
      <c r="BX22">
        <v>35.49</v>
      </c>
      <c r="BY22">
        <v>13.5</v>
      </c>
      <c r="BZ22">
        <v>18.87</v>
      </c>
      <c r="CA22">
        <v>19.63</v>
      </c>
      <c r="CB22">
        <v>-2.4900000000000002</v>
      </c>
      <c r="CC22">
        <v>-10.62</v>
      </c>
      <c r="CD22" t="s">
        <v>2730</v>
      </c>
      <c r="CE22" t="s">
        <v>507</v>
      </c>
      <c r="CF22" s="10">
        <v>-8.0145719489981782E-2</v>
      </c>
      <c r="CG22" s="11">
        <v>-0.32919256097560978</v>
      </c>
      <c r="CH22" s="10">
        <v>-0.22533893585205078</v>
      </c>
      <c r="CI22" s="10">
        <v>0.38987189531326294</v>
      </c>
      <c r="CJ22" s="10">
        <v>1.3475178480148315</v>
      </c>
      <c r="CK22" s="10">
        <v>0.27354839444160461</v>
      </c>
      <c r="CL22" s="10">
        <v>7.3903001844882965E-2</v>
      </c>
      <c r="CM22" s="11">
        <v>-0.42491468787193298</v>
      </c>
      <c r="CN22" s="11">
        <v>0.34506496787071228</v>
      </c>
      <c r="CO22" s="11">
        <v>1.5231661796569824</v>
      </c>
      <c r="CP22" s="11">
        <v>0.59384614229202271</v>
      </c>
      <c r="CQ22" s="11">
        <v>1.5625E-2</v>
      </c>
      <c r="CR22">
        <v>24.045381943118915</v>
      </c>
      <c r="CS22">
        <v>0.64655427389290809</v>
      </c>
      <c r="CT22">
        <v>2.1543985637342908</v>
      </c>
      <c r="CU22" s="10">
        <v>0.37190044075250628</v>
      </c>
      <c r="CV22" s="11">
        <v>0.4105575203895569</v>
      </c>
      <c r="CW22">
        <v>0.06</v>
      </c>
      <c r="CX22">
        <v>14.587606205456172</v>
      </c>
      <c r="CY22">
        <v>1308482401.5101733</v>
      </c>
      <c r="CZ22">
        <v>0.37190044075250628</v>
      </c>
      <c r="DA22">
        <v>3.7853286749568427</v>
      </c>
      <c r="DB22">
        <v>5042528044.2041464</v>
      </c>
      <c r="DC22">
        <v>0.35330541871488097</v>
      </c>
      <c r="DD22">
        <v>1.3320565325287601</v>
      </c>
      <c r="DE22">
        <v>14329441381.713943</v>
      </c>
      <c r="DF22">
        <v>0.32727238786220553</v>
      </c>
      <c r="DG22">
        <v>0.52745952611725078</v>
      </c>
      <c r="DH22">
        <v>36187849597.69017</v>
      </c>
      <c r="DI22">
        <v>0.29752035260200504</v>
      </c>
      <c r="DJ22">
        <v>9.7169971892097889E-2</v>
      </c>
      <c r="DK22">
        <v>196435438112.46338</v>
      </c>
      <c r="DL22">
        <v>0.26033030852675437</v>
      </c>
      <c r="DM22">
        <v>1011000000</v>
      </c>
      <c r="DN22">
        <v>0.37190044075250628</v>
      </c>
      <c r="DO22">
        <v>19087626000</v>
      </c>
      <c r="DP22">
        <v>4043694000</v>
      </c>
      <c r="DQ22">
        <v>1533</v>
      </c>
      <c r="DR22">
        <v>-0.45204616024248806</v>
      </c>
      <c r="DS22">
        <v>-0.73975008136516673</v>
      </c>
      <c r="DT22" s="12">
        <v>-7.3333333333333403E-2</v>
      </c>
      <c r="DU22">
        <v>0.14666666666666661</v>
      </c>
      <c r="DV22">
        <v>7.3333333333333209E-2</v>
      </c>
      <c r="DW22">
        <v>-2.1061999999999999</v>
      </c>
      <c r="DX22">
        <v>0.37094439024390224</v>
      </c>
      <c r="DY22">
        <v>-2.0149682942439022</v>
      </c>
      <c r="DZ22">
        <v>1548</v>
      </c>
      <c r="EA22">
        <v>-2.010433867729311</v>
      </c>
      <c r="EB22">
        <v>2</v>
      </c>
      <c r="EC22">
        <v>3.8326400576811429E-2</v>
      </c>
      <c r="ED22">
        <v>0.2719256900575332</v>
      </c>
      <c r="EE22" s="13">
        <v>1.9499999999999997E-2</v>
      </c>
      <c r="EF22">
        <v>3.4999999999999996E-3</v>
      </c>
      <c r="EG22">
        <v>23.140944390243902</v>
      </c>
      <c r="EH22" t="s">
        <v>1073</v>
      </c>
      <c r="EI22">
        <v>0</v>
      </c>
      <c r="EJ22">
        <v>0</v>
      </c>
      <c r="EK22" s="14">
        <v>45470</v>
      </c>
      <c r="EL22">
        <v>0.4</v>
      </c>
      <c r="EM22">
        <v>-2.67</v>
      </c>
      <c r="EN22">
        <v>-2.33</v>
      </c>
      <c r="EO22">
        <v>2.94</v>
      </c>
      <c r="EP22">
        <v>-1.6</v>
      </c>
    </row>
    <row r="23" spans="1:146" ht="96" x14ac:dyDescent="0.25">
      <c r="A23" s="9"/>
      <c r="B23" s="9"/>
      <c r="C23" s="9" t="str">
        <f>""&amp;CHAR(10)&amp;Basic_Fundamental_Information_Constructure(F23)&amp;CHAR(10)&amp;Basic_Fundamental_Information_Concatenate("")</f>
        <v xml:space="preserve">
市值72.089454亿, 利润3597.60万; PE413.7; 平均PE-64.46; 平均PEG-4.95, PB1.31; ROIC5.19%; ROE-3.5233%; 股利率.7869%; 毛利7.51%; 净利-3.89%; 上一年度营收增24.83%, 利润增-89.2%; 当季营收增-28.93%, 利润增-18.23%; 过往5年营收增13.02%, 利润增-95.22%
Income profile:
</v>
      </c>
      <c r="D23" t="s">
        <v>755</v>
      </c>
      <c r="E23" t="s">
        <v>756</v>
      </c>
      <c r="F23">
        <v>8.26</v>
      </c>
      <c r="G23">
        <v>0.24</v>
      </c>
      <c r="H23" t="s">
        <v>2731</v>
      </c>
      <c r="I23">
        <v>7208945400</v>
      </c>
      <c r="J23">
        <v>413.7</v>
      </c>
      <c r="K23">
        <v>1.31</v>
      </c>
      <c r="L23" t="s">
        <v>973</v>
      </c>
      <c r="M23" t="s">
        <v>1958</v>
      </c>
      <c r="N23" t="s">
        <v>2732</v>
      </c>
      <c r="O23" t="s">
        <v>1959</v>
      </c>
      <c r="P23">
        <v>-28.93</v>
      </c>
      <c r="Q23" t="s">
        <v>1960</v>
      </c>
      <c r="R23">
        <v>82585785</v>
      </c>
      <c r="S23" s="7">
        <v>-0.18340000000000001</v>
      </c>
      <c r="T23" t="s">
        <v>1961</v>
      </c>
      <c r="U23">
        <v>830434940</v>
      </c>
      <c r="V23">
        <v>872753690</v>
      </c>
      <c r="W23">
        <v>3.76</v>
      </c>
      <c r="X23">
        <v>0.16</v>
      </c>
      <c r="Y23">
        <v>2.5499999999999998</v>
      </c>
      <c r="Z23" t="s">
        <v>2733</v>
      </c>
      <c r="AA23" t="s">
        <v>2734</v>
      </c>
      <c r="AB23" t="s">
        <v>2735</v>
      </c>
      <c r="AC23" t="s">
        <v>105</v>
      </c>
      <c r="AD23" t="s">
        <v>5</v>
      </c>
      <c r="AE23">
        <v>75781274</v>
      </c>
      <c r="AF23" t="s">
        <v>1962</v>
      </c>
      <c r="AG23" t="s">
        <v>2736</v>
      </c>
      <c r="AH23" t="s">
        <v>1963</v>
      </c>
      <c r="AI23" t="s">
        <v>305</v>
      </c>
      <c r="AJ23" t="s">
        <v>1964</v>
      </c>
      <c r="AK23" t="s">
        <v>343</v>
      </c>
      <c r="AL23" t="s">
        <v>1965</v>
      </c>
      <c r="AM23" t="s">
        <v>5</v>
      </c>
      <c r="AN23" t="s">
        <v>2737</v>
      </c>
      <c r="AO23" t="s">
        <v>2738</v>
      </c>
      <c r="AP23" t="s">
        <v>982</v>
      </c>
      <c r="AQ23" t="s">
        <v>2739</v>
      </c>
      <c r="AR23" t="s">
        <v>5</v>
      </c>
      <c r="AS23" t="s">
        <v>2740</v>
      </c>
      <c r="AT23" t="s">
        <v>2741</v>
      </c>
      <c r="AU23" t="s">
        <v>1735</v>
      </c>
      <c r="AV23" t="s">
        <v>2742</v>
      </c>
      <c r="AW23" t="s">
        <v>577</v>
      </c>
      <c r="AX23" t="s">
        <v>1358</v>
      </c>
      <c r="AY23" t="s">
        <v>1006</v>
      </c>
      <c r="AZ23" t="s">
        <v>922</v>
      </c>
      <c r="BA23" t="s">
        <v>757</v>
      </c>
      <c r="BB23" t="s">
        <v>758</v>
      </c>
      <c r="BC23" t="s">
        <v>21</v>
      </c>
      <c r="BD23" t="s">
        <v>1007</v>
      </c>
      <c r="BE23" t="s">
        <v>923</v>
      </c>
      <c r="BF23" t="s">
        <v>462</v>
      </c>
      <c r="BG23" t="s">
        <v>359</v>
      </c>
      <c r="BH23" t="s">
        <v>1960</v>
      </c>
      <c r="BI23" t="s">
        <v>1966</v>
      </c>
      <c r="BJ23" t="s">
        <v>1358</v>
      </c>
      <c r="BK23" t="s">
        <v>1961</v>
      </c>
      <c r="BL23" t="s">
        <v>142</v>
      </c>
      <c r="BM23" t="s">
        <v>21</v>
      </c>
      <c r="BN23">
        <v>5.49</v>
      </c>
      <c r="BO23">
        <v>4.8899999999999997</v>
      </c>
      <c r="BP23" t="s">
        <v>5</v>
      </c>
      <c r="BQ23">
        <v>8.51</v>
      </c>
      <c r="BR23">
        <v>6.71</v>
      </c>
      <c r="BS23">
        <v>-25.79</v>
      </c>
      <c r="BT23" t="s">
        <v>1967</v>
      </c>
      <c r="BU23" t="s">
        <v>2521</v>
      </c>
      <c r="BV23">
        <v>9.11</v>
      </c>
      <c r="BW23">
        <v>9.18</v>
      </c>
      <c r="BX23">
        <v>4.24</v>
      </c>
      <c r="BY23">
        <v>-0.16</v>
      </c>
      <c r="BZ23">
        <v>2.34</v>
      </c>
      <c r="CA23">
        <v>-13.85</v>
      </c>
      <c r="CB23">
        <v>-0.24</v>
      </c>
      <c r="CC23">
        <v>-19.02</v>
      </c>
      <c r="CD23" t="s">
        <v>2743</v>
      </c>
      <c r="CE23" t="s">
        <v>963</v>
      </c>
      <c r="CF23" s="10">
        <v>-0.28925422921134142</v>
      </c>
      <c r="CG23" s="11">
        <v>-0.18231896039603959</v>
      </c>
      <c r="CH23" s="10">
        <v>0.24827645719051361</v>
      </c>
      <c r="CI23" s="10">
        <v>-8.3557814359664917E-3</v>
      </c>
      <c r="CJ23" s="10">
        <v>0.15477581322193146</v>
      </c>
      <c r="CK23" s="10">
        <v>0.13898754119873047</v>
      </c>
      <c r="CL23" s="10">
        <v>0.117202028632164</v>
      </c>
      <c r="CM23" s="11">
        <v>-0.89196395874023438</v>
      </c>
      <c r="CN23" s="11">
        <v>1.2430657148361206</v>
      </c>
      <c r="CO23" s="11">
        <v>-3.8754446506500244</v>
      </c>
      <c r="CP23" s="11">
        <v>-1.7615176439285278</v>
      </c>
      <c r="CQ23" s="11">
        <v>0.52479338645935059</v>
      </c>
      <c r="CR23">
        <v>-64.459203247573853</v>
      </c>
      <c r="CS23">
        <v>-4.951650321538863</v>
      </c>
      <c r="CT23">
        <v>0.78692493946731235</v>
      </c>
      <c r="CU23" s="10">
        <v>0.13017721176147462</v>
      </c>
      <c r="CV23" s="11">
        <v>-0.95221343040466311</v>
      </c>
      <c r="CW23">
        <v>0.06</v>
      </c>
      <c r="CX23">
        <v>384.27516642129984</v>
      </c>
      <c r="CY23">
        <v>38357788.085217744</v>
      </c>
      <c r="CZ23">
        <v>0.13017721176147462</v>
      </c>
      <c r="DA23">
        <v>121.39611156566713</v>
      </c>
      <c r="DB23">
        <v>121420243.28371245</v>
      </c>
      <c r="DC23">
        <v>0.12366835117340089</v>
      </c>
      <c r="DD23">
        <v>57.075761909910234</v>
      </c>
      <c r="DE23">
        <v>258252275.69043908</v>
      </c>
      <c r="DF23">
        <v>0.11455594635009766</v>
      </c>
      <c r="DG23">
        <v>32.512528535921696</v>
      </c>
      <c r="DH23">
        <v>453362013.46857619</v>
      </c>
      <c r="DI23">
        <v>0.1041417694091797</v>
      </c>
      <c r="DJ23">
        <v>14.909265609743839</v>
      </c>
      <c r="DK23">
        <v>988643289.73835027</v>
      </c>
      <c r="DL23">
        <v>9.1124048233032232E-2</v>
      </c>
      <c r="DM23">
        <v>35976000</v>
      </c>
      <c r="DN23">
        <v>0.13017721176147462</v>
      </c>
      <c r="DO23">
        <v>14739945400</v>
      </c>
      <c r="DP23">
        <v>1324355000</v>
      </c>
      <c r="DQ23">
        <v>1561</v>
      </c>
      <c r="DR23">
        <v>-0.41943144097281604</v>
      </c>
      <c r="DS23">
        <v>0.76989447000862354</v>
      </c>
      <c r="DT23" s="12">
        <v>-0.14000000000000001</v>
      </c>
      <c r="DU23">
        <v>-1.2666666666666668</v>
      </c>
      <c r="DV23">
        <v>-1.4066666666666667</v>
      </c>
      <c r="DW23">
        <v>-3.034154761904762</v>
      </c>
      <c r="DX23">
        <v>0.30646610878661079</v>
      </c>
      <c r="DY23">
        <v>-3.003977872215581</v>
      </c>
      <c r="DZ23">
        <v>3954</v>
      </c>
      <c r="EA23">
        <v>-3.0008998865520962</v>
      </c>
      <c r="EB23">
        <v>3</v>
      </c>
      <c r="EC23">
        <v>6.3787527498165034E-2</v>
      </c>
      <c r="ED23">
        <v>0.54769175481801746</v>
      </c>
      <c r="EE23" s="13">
        <v>-3.02311</v>
      </c>
      <c r="EF23">
        <v>-3.0421100000000001</v>
      </c>
      <c r="EG23">
        <v>19.116466108786611</v>
      </c>
      <c r="EH23" t="s">
        <v>1597</v>
      </c>
      <c r="EI23">
        <v>0</v>
      </c>
      <c r="EJ23">
        <v>0</v>
      </c>
      <c r="EK23" s="14">
        <v>45470</v>
      </c>
      <c r="EL23">
        <v>-2.5099999999999998</v>
      </c>
      <c r="EM23">
        <v>-3.98</v>
      </c>
      <c r="EN23">
        <v>-0.24</v>
      </c>
      <c r="EO23">
        <v>2.93</v>
      </c>
      <c r="EP23">
        <v>-1.9</v>
      </c>
    </row>
    <row r="24" spans="1:146" ht="96" x14ac:dyDescent="0.25">
      <c r="A24" s="9"/>
      <c r="B24" s="9"/>
      <c r="C24" s="9" t="str">
        <f>""&amp;CHAR(10)&amp;Basic_Fundamental_Information_Constructure(F24)&amp;CHAR(10)&amp;Basic_Fundamental_Information_Concatenate("")</f>
        <v xml:space="preserve">
市值163.6504亿, 利润19.24亿; PE10.2; 平均PE17.03; 平均PEG.29, PB1.24; ROIC15.7133%; ROE19.0433%; 股利率2.3275%; 毛利17.9%; 净利12.17%; 上一年度营收增-28.86%, 利润增-14.83%; 当季营收增-67.67%, 利润增-74.39%; 过往5年营收增59.41%, 利润增78.74%
Income profile:
</v>
      </c>
      <c r="D24" t="s">
        <v>759</v>
      </c>
      <c r="E24" t="s">
        <v>760</v>
      </c>
      <c r="F24">
        <v>32.31</v>
      </c>
      <c r="G24">
        <v>-0.8</v>
      </c>
      <c r="H24" t="s">
        <v>2744</v>
      </c>
      <c r="I24">
        <v>16365040000</v>
      </c>
      <c r="J24">
        <v>10.199999999999999</v>
      </c>
      <c r="K24">
        <v>1.24</v>
      </c>
      <c r="L24" t="s">
        <v>973</v>
      </c>
      <c r="M24" t="s">
        <v>1883</v>
      </c>
      <c r="N24" t="s">
        <v>2745</v>
      </c>
      <c r="O24" t="s">
        <v>971</v>
      </c>
      <c r="P24">
        <v>-67.67</v>
      </c>
      <c r="Q24" t="s">
        <v>1968</v>
      </c>
      <c r="R24">
        <v>110386383</v>
      </c>
      <c r="S24" s="6">
        <v>-0.74360000000000004</v>
      </c>
      <c r="T24" t="s">
        <v>1969</v>
      </c>
      <c r="U24">
        <v>505363790</v>
      </c>
      <c r="V24">
        <v>506500770</v>
      </c>
      <c r="W24">
        <v>1.23</v>
      </c>
      <c r="X24">
        <v>0.09</v>
      </c>
      <c r="Y24">
        <v>7.01</v>
      </c>
      <c r="Z24" t="s">
        <v>2746</v>
      </c>
      <c r="AA24" t="s">
        <v>2492</v>
      </c>
      <c r="AB24" t="s">
        <v>2747</v>
      </c>
      <c r="AC24" t="s">
        <v>2748</v>
      </c>
      <c r="AD24" t="s">
        <v>5</v>
      </c>
      <c r="AE24">
        <v>-33082793</v>
      </c>
      <c r="AF24" t="s">
        <v>1970</v>
      </c>
      <c r="AG24" t="s">
        <v>2749</v>
      </c>
      <c r="AH24" t="s">
        <v>1971</v>
      </c>
      <c r="AI24" t="s">
        <v>2750</v>
      </c>
      <c r="AJ24" t="s">
        <v>1972</v>
      </c>
      <c r="AK24" t="s">
        <v>2751</v>
      </c>
      <c r="AL24" t="s">
        <v>1973</v>
      </c>
      <c r="AM24" t="s">
        <v>5</v>
      </c>
      <c r="AN24" t="s">
        <v>450</v>
      </c>
      <c r="AO24" t="s">
        <v>2752</v>
      </c>
      <c r="AP24" t="s">
        <v>1075</v>
      </c>
      <c r="AQ24" t="s">
        <v>1708</v>
      </c>
      <c r="AR24" t="s">
        <v>2753</v>
      </c>
      <c r="AS24" t="s">
        <v>1806</v>
      </c>
      <c r="AT24" t="s">
        <v>5</v>
      </c>
      <c r="AU24" t="s">
        <v>368</v>
      </c>
      <c r="AV24" t="s">
        <v>2754</v>
      </c>
      <c r="AW24" t="s">
        <v>145</v>
      </c>
      <c r="AX24" t="s">
        <v>1359</v>
      </c>
      <c r="AY24" t="s">
        <v>1008</v>
      </c>
      <c r="AZ24" t="s">
        <v>924</v>
      </c>
      <c r="BA24" t="s">
        <v>548</v>
      </c>
      <c r="BB24" t="s">
        <v>761</v>
      </c>
      <c r="BC24" t="s">
        <v>1360</v>
      </c>
      <c r="BD24" t="s">
        <v>342</v>
      </c>
      <c r="BE24" t="s">
        <v>272</v>
      </c>
      <c r="BF24" t="s">
        <v>933</v>
      </c>
      <c r="BG24" t="s">
        <v>221</v>
      </c>
      <c r="BH24" t="s">
        <v>1968</v>
      </c>
      <c r="BI24" t="s">
        <v>1974</v>
      </c>
      <c r="BJ24" t="s">
        <v>1359</v>
      </c>
      <c r="BK24" t="s">
        <v>1969</v>
      </c>
      <c r="BL24" t="s">
        <v>241</v>
      </c>
      <c r="BM24" t="s">
        <v>1360</v>
      </c>
      <c r="BN24">
        <v>10.44</v>
      </c>
      <c r="BO24">
        <v>20.8</v>
      </c>
      <c r="BP24">
        <v>15.9</v>
      </c>
      <c r="BQ24">
        <v>12.3</v>
      </c>
      <c r="BR24">
        <v>21.61</v>
      </c>
      <c r="BS24">
        <v>23.22</v>
      </c>
      <c r="BT24" t="s">
        <v>1975</v>
      </c>
      <c r="BU24" t="s">
        <v>2508</v>
      </c>
      <c r="BV24">
        <v>18.059999999999999</v>
      </c>
      <c r="BW24">
        <v>17.399999999999999</v>
      </c>
      <c r="BX24">
        <v>18.239999999999998</v>
      </c>
      <c r="BY24">
        <v>12.68</v>
      </c>
      <c r="BZ24">
        <v>10.62</v>
      </c>
      <c r="CA24">
        <v>13.21</v>
      </c>
      <c r="CB24">
        <v>-5.83</v>
      </c>
      <c r="CC24">
        <v>-19.579999999999998</v>
      </c>
      <c r="CD24" t="s">
        <v>2755</v>
      </c>
      <c r="CE24" t="s">
        <v>272</v>
      </c>
      <c r="CF24" s="10">
        <v>-0.67668371696504692</v>
      </c>
      <c r="CG24" s="11">
        <v>-0.74388310208816699</v>
      </c>
      <c r="CH24" s="10">
        <v>-0.2886098325252533</v>
      </c>
      <c r="CI24" s="10">
        <v>1.5749574899673462</v>
      </c>
      <c r="CJ24" s="10">
        <v>1.5944076776504517</v>
      </c>
      <c r="CK24" s="10">
        <v>0.3936077356338501</v>
      </c>
      <c r="CL24" s="10">
        <v>-0.30387076735496521</v>
      </c>
      <c r="CM24" s="11">
        <v>-0.14829573035240173</v>
      </c>
      <c r="CN24" s="11">
        <v>1.0705773830413818</v>
      </c>
      <c r="CO24" s="11">
        <v>1.8337663412094116</v>
      </c>
      <c r="CP24" s="11">
        <v>2.8421051502227783</v>
      </c>
      <c r="CQ24" s="11">
        <v>-1.6613924503326416</v>
      </c>
      <c r="CR24">
        <v>17.029177939646203</v>
      </c>
      <c r="CS24">
        <v>0.28663898439188923</v>
      </c>
      <c r="CT24">
        <v>2.3274528009904052</v>
      </c>
      <c r="CU24" s="10">
        <v>0.59409846067428584</v>
      </c>
      <c r="CV24" s="11">
        <v>0.78735213875770571</v>
      </c>
      <c r="CW24">
        <v>0.06</v>
      </c>
      <c r="CX24">
        <v>2.4265380313486791</v>
      </c>
      <c r="CY24">
        <v>2893439092.7710619</v>
      </c>
      <c r="CZ24">
        <v>0.59409846067428584</v>
      </c>
      <c r="DA24">
        <v>0.53129290259548889</v>
      </c>
      <c r="DB24">
        <v>13215008078.784025</v>
      </c>
      <c r="DC24">
        <v>0.56439353764057154</v>
      </c>
      <c r="DD24">
        <v>0.14235198171688687</v>
      </c>
      <c r="DE24">
        <v>49321687800.339989</v>
      </c>
      <c r="DF24">
        <v>0.52280664539337152</v>
      </c>
      <c r="DG24">
        <v>3.9102535512175025E-2</v>
      </c>
      <c r="DH24">
        <v>179554596857.63647</v>
      </c>
      <c r="DI24">
        <v>0.47527876853942869</v>
      </c>
      <c r="DJ24">
        <v>2.8148191097669612E-3</v>
      </c>
      <c r="DK24">
        <v>2494313036186.9937</v>
      </c>
      <c r="DL24">
        <v>0.41586892247200008</v>
      </c>
      <c r="DM24">
        <v>1923999999.9999998</v>
      </c>
      <c r="DN24">
        <v>0.59409846067428584</v>
      </c>
      <c r="DO24">
        <v>7021040000</v>
      </c>
      <c r="DP24">
        <v>9112145900</v>
      </c>
      <c r="DQ24">
        <v>1566</v>
      </c>
      <c r="DR24">
        <v>-1.2707821776393327</v>
      </c>
      <c r="DS24">
        <v>-1.5312352408458727</v>
      </c>
      <c r="DT24" s="12">
        <v>-2.3333333333333355E-2</v>
      </c>
      <c r="DU24">
        <v>0.15633333333333344</v>
      </c>
      <c r="DV24">
        <v>0.13300000000000009</v>
      </c>
      <c r="DW24">
        <v>-8.2977528089887649</v>
      </c>
      <c r="DX24">
        <v>0.34148207792207841</v>
      </c>
      <c r="DY24">
        <v>-8.0302165737633153</v>
      </c>
      <c r="DZ24">
        <v>1401</v>
      </c>
      <c r="EA24">
        <v>-8.0219321471796743</v>
      </c>
      <c r="EB24">
        <v>8</v>
      </c>
      <c r="EC24">
        <v>7.7138283521266907E-2</v>
      </c>
      <c r="ED24">
        <v>0.7601173044613535</v>
      </c>
      <c r="EE24" s="13">
        <v>1.06871</v>
      </c>
      <c r="EF24">
        <v>1.0901099999999999</v>
      </c>
      <c r="EG24">
        <v>24.101482077922078</v>
      </c>
      <c r="EH24" t="s">
        <v>1301</v>
      </c>
      <c r="EI24">
        <v>0</v>
      </c>
      <c r="EJ24">
        <v>1</v>
      </c>
      <c r="EK24" s="14">
        <v>45470</v>
      </c>
      <c r="EL24">
        <v>0.2</v>
      </c>
      <c r="EM24">
        <v>-3.4</v>
      </c>
      <c r="EN24">
        <v>-1.44</v>
      </c>
      <c r="EO24">
        <v>2.67</v>
      </c>
      <c r="EP24">
        <v>-2.14</v>
      </c>
    </row>
    <row r="25" spans="1:146" ht="96" x14ac:dyDescent="0.25">
      <c r="A25" s="9"/>
      <c r="B25" s="9"/>
      <c r="C25" s="9" t="str">
        <f>""&amp;CHAR(10)&amp;Basic_Fundamental_Information_Constructure(F25)&amp;CHAR(10)&amp;Basic_Fundamental_Information_Concatenate("")</f>
        <v xml:space="preserve">
市值4.8681505亿, 利润-1.88亿; PE; 平均PE-.68; 平均PEG-.02, PB2.75; ROIC0%; ROE-43.82%; 股利率0%; 毛利-15.2367%; 净利-107.0267%; 上一年度营收增-28.8%, 利润增-.53%; 当季营收增-29.28%, 利润增-169.13%; 过往5年营收增-31.3%, 利润增-13.87%
Income profile:
</v>
      </c>
      <c r="D25" t="s">
        <v>762</v>
      </c>
      <c r="E25" t="s">
        <v>1979</v>
      </c>
      <c r="F25" t="s">
        <v>5</v>
      </c>
      <c r="G25" t="s">
        <v>5</v>
      </c>
      <c r="H25" t="s">
        <v>5</v>
      </c>
      <c r="I25">
        <v>486815050</v>
      </c>
      <c r="K25">
        <v>2.75</v>
      </c>
      <c r="L25" t="s">
        <v>973</v>
      </c>
      <c r="M25" t="s">
        <v>234</v>
      </c>
      <c r="N25" t="s">
        <v>80</v>
      </c>
      <c r="O25" t="s">
        <v>1980</v>
      </c>
      <c r="P25">
        <v>-29.28</v>
      </c>
      <c r="Q25" t="s">
        <v>152</v>
      </c>
      <c r="R25">
        <v>-24506262</v>
      </c>
      <c r="S25" s="6">
        <v>-1.6910000000000001</v>
      </c>
      <c r="T25" t="s">
        <v>1362</v>
      </c>
      <c r="U25">
        <v>4103847100</v>
      </c>
      <c r="V25">
        <v>4425591400</v>
      </c>
      <c r="W25">
        <v>2.6</v>
      </c>
      <c r="X25">
        <v>0.05</v>
      </c>
      <c r="Y25">
        <v>-97.57</v>
      </c>
      <c r="Z25" t="s">
        <v>2756</v>
      </c>
      <c r="AA25" t="s">
        <v>2757</v>
      </c>
      <c r="AB25" t="s">
        <v>2758</v>
      </c>
      <c r="AC25" t="s">
        <v>2759</v>
      </c>
      <c r="AD25" t="s">
        <v>5</v>
      </c>
      <c r="AE25">
        <v>-177903</v>
      </c>
      <c r="AF25" t="s">
        <v>1981</v>
      </c>
      <c r="AG25" t="s">
        <v>2760</v>
      </c>
      <c r="AH25" t="s">
        <v>1982</v>
      </c>
      <c r="AI25" t="s">
        <v>2761</v>
      </c>
      <c r="AJ25" t="s">
        <v>1983</v>
      </c>
      <c r="AK25" t="s">
        <v>2762</v>
      </c>
      <c r="AL25" t="s">
        <v>1984</v>
      </c>
      <c r="AM25" t="s">
        <v>5</v>
      </c>
      <c r="AN25" t="s">
        <v>2763</v>
      </c>
      <c r="AO25" t="s">
        <v>5</v>
      </c>
      <c r="AP25" t="s">
        <v>5</v>
      </c>
      <c r="AQ25" t="s">
        <v>2764</v>
      </c>
      <c r="AR25" t="s">
        <v>5</v>
      </c>
      <c r="AS25" t="s">
        <v>103</v>
      </c>
      <c r="AT25" t="s">
        <v>5</v>
      </c>
      <c r="AU25" t="s">
        <v>2765</v>
      </c>
      <c r="AV25" t="s">
        <v>2766</v>
      </c>
      <c r="AW25" t="s">
        <v>1397</v>
      </c>
      <c r="AX25" t="s">
        <v>218</v>
      </c>
      <c r="AY25" t="s">
        <v>117</v>
      </c>
      <c r="AZ25" t="s">
        <v>91</v>
      </c>
      <c r="BA25" t="s">
        <v>276</v>
      </c>
      <c r="BB25" t="s">
        <v>617</v>
      </c>
      <c r="BC25" t="s">
        <v>1253</v>
      </c>
      <c r="BD25" t="s">
        <v>953</v>
      </c>
      <c r="BE25" t="s">
        <v>925</v>
      </c>
      <c r="BF25" t="s">
        <v>179</v>
      </c>
      <c r="BG25" t="s">
        <v>934</v>
      </c>
      <c r="BH25" t="s">
        <v>152</v>
      </c>
      <c r="BI25" t="s">
        <v>1985</v>
      </c>
      <c r="BJ25" t="s">
        <v>218</v>
      </c>
      <c r="BK25" t="s">
        <v>1362</v>
      </c>
      <c r="BL25" t="s">
        <v>1986</v>
      </c>
      <c r="BM25" t="s">
        <v>1253</v>
      </c>
      <c r="BN25" t="s">
        <v>5</v>
      </c>
      <c r="BO25" t="s">
        <v>5</v>
      </c>
      <c r="BP25" t="s">
        <v>5</v>
      </c>
      <c r="BQ25">
        <v>-31.89</v>
      </c>
      <c r="BR25">
        <v>-59.26</v>
      </c>
      <c r="BS25">
        <v>-40.31</v>
      </c>
      <c r="BT25" t="s">
        <v>1280</v>
      </c>
      <c r="BU25" t="s">
        <v>2521</v>
      </c>
      <c r="BV25">
        <v>-21.51</v>
      </c>
      <c r="BW25">
        <v>-7.5</v>
      </c>
      <c r="BX25">
        <v>-16.7</v>
      </c>
      <c r="BY25">
        <v>-139.22999999999999</v>
      </c>
      <c r="BZ25">
        <v>-98.61</v>
      </c>
      <c r="CA25">
        <v>-83.24</v>
      </c>
      <c r="CB25">
        <v>0</v>
      </c>
      <c r="CC25">
        <v>0</v>
      </c>
      <c r="CD25" t="s">
        <v>5</v>
      </c>
      <c r="CE25" t="s">
        <v>5</v>
      </c>
      <c r="CF25" s="10">
        <v>-0.29282808290725165</v>
      </c>
      <c r="CG25" s="11">
        <v>-1.6912509471880868</v>
      </c>
      <c r="CH25" s="10">
        <v>-0.28795811533927917</v>
      </c>
      <c r="CI25" s="10">
        <v>0.16463415324687958</v>
      </c>
      <c r="CJ25" s="10">
        <v>0.1631205677986145</v>
      </c>
      <c r="CK25" s="10">
        <v>-0.74080884456634521</v>
      </c>
      <c r="CL25" s="10">
        <v>-0.86389791965484619</v>
      </c>
      <c r="CM25" s="11">
        <v>-5.3475936874747276E-3</v>
      </c>
      <c r="CN25" s="11">
        <v>-0.40601503849029541</v>
      </c>
      <c r="CO25" s="11">
        <v>0.2222222238779068</v>
      </c>
      <c r="CP25" s="11">
        <v>-1.5796610116958618</v>
      </c>
      <c r="CQ25" s="11">
        <v>1.0751593112945557</v>
      </c>
      <c r="CR25">
        <v>-0.67785804130888838</v>
      </c>
      <c r="CS25">
        <v>-2.1658049748751792E-2</v>
      </c>
      <c r="CT25">
        <v>0</v>
      </c>
      <c r="CU25" s="10">
        <v>-0.31298203170299532</v>
      </c>
      <c r="CV25" s="11">
        <v>-0.13872842174023389</v>
      </c>
      <c r="CW25">
        <v>0.06</v>
      </c>
      <c r="CX25" t="e">
        <v>#VALUE!</v>
      </c>
      <c r="CY25" t="s">
        <v>946</v>
      </c>
      <c r="CZ25">
        <v>-0.31298203170299532</v>
      </c>
      <c r="DA25" t="e">
        <v>#VALUE!</v>
      </c>
      <c r="DB25" t="s">
        <v>947</v>
      </c>
      <c r="DC25">
        <v>-0.29733293011784556</v>
      </c>
      <c r="DD25" t="e">
        <v>#VALUE!</v>
      </c>
      <c r="DE25" t="s">
        <v>947</v>
      </c>
      <c r="DF25">
        <v>-0.27542418789863587</v>
      </c>
      <c r="DG25" t="e">
        <v>#VALUE!</v>
      </c>
      <c r="DH25" t="s">
        <v>947</v>
      </c>
      <c r="DI25">
        <v>-0.25038562536239628</v>
      </c>
      <c r="DJ25" t="e">
        <v>#VALUE!</v>
      </c>
      <c r="DK25" t="s">
        <v>947</v>
      </c>
      <c r="DL25">
        <v>-0.2190874221920967</v>
      </c>
      <c r="DM25">
        <v>-188000000</v>
      </c>
      <c r="DN25">
        <v>-0.31298203170299532</v>
      </c>
      <c r="DO25">
        <v>602815050</v>
      </c>
      <c r="DP25">
        <v>-44799710</v>
      </c>
      <c r="DQ25">
        <v>1606</v>
      </c>
      <c r="DR25">
        <v>2.015394879574367E-2</v>
      </c>
      <c r="DS25">
        <v>-1.552522525447853</v>
      </c>
      <c r="DT25" s="12">
        <v>-0.75666666666666649</v>
      </c>
      <c r="DU25">
        <v>-2.6150000000000002</v>
      </c>
      <c r="DV25">
        <v>-3.3716666666666666</v>
      </c>
      <c r="DW25">
        <v>0</v>
      </c>
      <c r="DX25" t="e">
        <v>#VALUE!</v>
      </c>
      <c r="DY25" t="e">
        <v>#VALUE!</v>
      </c>
      <c r="DZ25">
        <v>5002</v>
      </c>
      <c r="EA25" t="e">
        <v>#VALUE!</v>
      </c>
      <c r="EB25" t="e">
        <v>#VALUE!</v>
      </c>
      <c r="EC25">
        <v>0</v>
      </c>
      <c r="ED25">
        <v>0</v>
      </c>
      <c r="EE25" s="13">
        <v>-14.028700000000001</v>
      </c>
      <c r="EF25">
        <v>-14.028700000000001</v>
      </c>
      <c r="EG25" t="e">
        <v>#VALUE!</v>
      </c>
      <c r="EH25" t="s">
        <v>2486</v>
      </c>
      <c r="EI25" t="e">
        <v>#VALUE!</v>
      </c>
      <c r="EJ25">
        <v>0</v>
      </c>
      <c r="EK25" s="14">
        <v>45470</v>
      </c>
      <c r="EL25">
        <v>0</v>
      </c>
      <c r="EM25">
        <v>0</v>
      </c>
      <c r="EN25">
        <v>0</v>
      </c>
      <c r="EO25">
        <v>0</v>
      </c>
      <c r="EP25">
        <v>0</v>
      </c>
    </row>
    <row r="26" spans="1:146" ht="60" x14ac:dyDescent="0.25">
      <c r="A26" s="9" t="s">
        <v>941</v>
      </c>
      <c r="B26" s="9"/>
      <c r="C26" s="9" t="s">
        <v>1242</v>
      </c>
      <c r="D26" t="s">
        <v>763</v>
      </c>
      <c r="E26" t="s">
        <v>764</v>
      </c>
      <c r="F26">
        <v>3.65</v>
      </c>
      <c r="G26">
        <v>2.2400000000000002</v>
      </c>
      <c r="H26" t="s">
        <v>2767</v>
      </c>
      <c r="I26">
        <v>2681748800</v>
      </c>
      <c r="J26">
        <v>24.86</v>
      </c>
      <c r="K26">
        <v>2.83</v>
      </c>
      <c r="L26" t="s">
        <v>973</v>
      </c>
      <c r="M26" t="s">
        <v>1987</v>
      </c>
      <c r="N26" t="s">
        <v>1685</v>
      </c>
      <c r="O26" t="s">
        <v>327</v>
      </c>
      <c r="P26">
        <v>-30.18</v>
      </c>
      <c r="Q26" t="s">
        <v>1342</v>
      </c>
      <c r="R26">
        <v>44636879</v>
      </c>
      <c r="S26" s="6">
        <v>5.452</v>
      </c>
      <c r="T26" t="s">
        <v>1988</v>
      </c>
      <c r="U26">
        <v>734393800</v>
      </c>
      <c r="V26">
        <v>734725700</v>
      </c>
      <c r="W26">
        <v>4</v>
      </c>
      <c r="X26">
        <v>0.05</v>
      </c>
      <c r="Y26">
        <v>22.74</v>
      </c>
      <c r="Z26" t="s">
        <v>141</v>
      </c>
      <c r="AA26" t="s">
        <v>118</v>
      </c>
      <c r="AB26" t="s">
        <v>2768</v>
      </c>
      <c r="AC26" t="s">
        <v>2769</v>
      </c>
      <c r="AD26" t="s">
        <v>5</v>
      </c>
      <c r="AE26">
        <v>8064197</v>
      </c>
      <c r="AF26" t="s">
        <v>1989</v>
      </c>
      <c r="AG26" t="s">
        <v>2770</v>
      </c>
      <c r="AH26" t="s">
        <v>1990</v>
      </c>
      <c r="AI26" t="s">
        <v>1337</v>
      </c>
      <c r="AJ26" t="s">
        <v>1991</v>
      </c>
      <c r="AK26" t="s">
        <v>2771</v>
      </c>
      <c r="AL26" t="s">
        <v>1992</v>
      </c>
      <c r="AM26" t="s">
        <v>5</v>
      </c>
      <c r="AN26" t="s">
        <v>49</v>
      </c>
      <c r="AO26" t="s">
        <v>224</v>
      </c>
      <c r="AP26" t="s">
        <v>2772</v>
      </c>
      <c r="AQ26" t="s">
        <v>167</v>
      </c>
      <c r="AR26" t="s">
        <v>5</v>
      </c>
      <c r="AS26" t="s">
        <v>1317</v>
      </c>
      <c r="AT26" t="s">
        <v>2773</v>
      </c>
      <c r="AU26" t="s">
        <v>2774</v>
      </c>
      <c r="AV26" t="s">
        <v>2775</v>
      </c>
      <c r="AW26" t="s">
        <v>2776</v>
      </c>
      <c r="AX26" t="s">
        <v>1363</v>
      </c>
      <c r="AY26" t="s">
        <v>1011</v>
      </c>
      <c r="AZ26" t="s">
        <v>590</v>
      </c>
      <c r="BA26" t="s">
        <v>98</v>
      </c>
      <c r="BB26" t="s">
        <v>50</v>
      </c>
      <c r="BC26" t="s">
        <v>1364</v>
      </c>
      <c r="BD26" t="s">
        <v>1012</v>
      </c>
      <c r="BE26" t="s">
        <v>1013</v>
      </c>
      <c r="BF26" t="s">
        <v>368</v>
      </c>
      <c r="BG26" t="s">
        <v>935</v>
      </c>
      <c r="BH26" t="s">
        <v>1342</v>
      </c>
      <c r="BI26" t="s">
        <v>522</v>
      </c>
      <c r="BJ26" t="s">
        <v>1363</v>
      </c>
      <c r="BK26" t="s">
        <v>1988</v>
      </c>
      <c r="BL26" t="s">
        <v>1993</v>
      </c>
      <c r="BM26" t="s">
        <v>1364</v>
      </c>
      <c r="BN26">
        <v>4.93</v>
      </c>
      <c r="BO26" t="s">
        <v>5</v>
      </c>
      <c r="BP26" t="s">
        <v>5</v>
      </c>
      <c r="BQ26">
        <v>4.49</v>
      </c>
      <c r="BR26">
        <v>-30.45</v>
      </c>
      <c r="BS26">
        <v>-23.9</v>
      </c>
      <c r="BT26" t="s">
        <v>1280</v>
      </c>
      <c r="BU26" t="s">
        <v>2777</v>
      </c>
      <c r="BV26">
        <v>26.71</v>
      </c>
      <c r="BW26">
        <v>23.3</v>
      </c>
      <c r="BX26">
        <v>24.55</v>
      </c>
      <c r="BY26">
        <v>5.08</v>
      </c>
      <c r="BZ26">
        <v>-22.34</v>
      </c>
      <c r="CA26">
        <v>-27.87</v>
      </c>
      <c r="CB26">
        <v>-3.18</v>
      </c>
      <c r="CC26">
        <v>-13.71</v>
      </c>
      <c r="CD26" t="s">
        <v>2778</v>
      </c>
      <c r="CE26" t="s">
        <v>323</v>
      </c>
      <c r="CF26" s="10">
        <v>-0.30175438596491228</v>
      </c>
      <c r="CG26" s="11">
        <v>5.4523741308778675</v>
      </c>
      <c r="CH26" s="10">
        <v>6.1658348888158798E-2</v>
      </c>
      <c r="CI26" s="10">
        <v>0.2121993750333786</v>
      </c>
      <c r="CJ26" s="10">
        <v>0.89268290996551514</v>
      </c>
      <c r="CK26" s="10">
        <v>1.4308300018310547</v>
      </c>
      <c r="CL26" s="10">
        <v>-0.27920228242874146</v>
      </c>
      <c r="CM26" s="11">
        <v>1.229964017868042</v>
      </c>
      <c r="CN26" s="11">
        <v>5.5727552622556686E-2</v>
      </c>
      <c r="CO26" s="11">
        <v>-79.143905639648438</v>
      </c>
      <c r="CP26" s="11">
        <v>1.0279284715652466</v>
      </c>
      <c r="CQ26" s="11">
        <v>0.82254195213317871</v>
      </c>
      <c r="CR26">
        <v>-10.477439358386214</v>
      </c>
      <c r="CS26">
        <v>-0.22598529877088624</v>
      </c>
      <c r="CT26">
        <v>0</v>
      </c>
      <c r="CU26" s="10">
        <v>0.46363367065787314</v>
      </c>
      <c r="CV26" s="11">
        <v>-15.201548729091883</v>
      </c>
      <c r="CW26">
        <v>0.06</v>
      </c>
      <c r="CX26">
        <v>51.274171315813838</v>
      </c>
      <c r="CY26">
        <v>96846983.043653354</v>
      </c>
      <c r="CZ26">
        <v>0.46363367065787314</v>
      </c>
      <c r="DA26">
        <v>12.388169861255015</v>
      </c>
      <c r="DB26">
        <v>400846037.43857062</v>
      </c>
      <c r="DC26">
        <v>0.44045198712497946</v>
      </c>
      <c r="DD26">
        <v>3.8949668742764585</v>
      </c>
      <c r="DE26">
        <v>1274914257.3702769</v>
      </c>
      <c r="DF26">
        <v>0.40799763017892837</v>
      </c>
      <c r="DG26">
        <v>1.3278014494272561</v>
      </c>
      <c r="DH26">
        <v>3739827819.9967046</v>
      </c>
      <c r="DI26">
        <v>0.37090693652629853</v>
      </c>
      <c r="DJ26">
        <v>0.1660808889571006</v>
      </c>
      <c r="DK26">
        <v>29899579844.389404</v>
      </c>
      <c r="DL26">
        <v>0.32454356946051116</v>
      </c>
      <c r="DM26">
        <v>70139000</v>
      </c>
      <c r="DN26">
        <v>0.46363367065787314</v>
      </c>
      <c r="DO26">
        <v>4965748800</v>
      </c>
      <c r="DP26">
        <v>286604400</v>
      </c>
      <c r="DQ26">
        <v>1662</v>
      </c>
      <c r="DR26">
        <v>-0.76538805662278542</v>
      </c>
      <c r="DS26">
        <v>20.65392285996975</v>
      </c>
      <c r="DT26" s="12">
        <v>0.10999999999999995</v>
      </c>
      <c r="DU26">
        <v>-0.31</v>
      </c>
      <c r="DV26">
        <v>-0.20000000000000007</v>
      </c>
      <c r="DW26">
        <v>-8.2319474835886215</v>
      </c>
      <c r="DX26">
        <v>0.35891339950372086</v>
      </c>
      <c r="DY26">
        <v>-8.0368595631234019</v>
      </c>
      <c r="DZ26">
        <v>2201</v>
      </c>
      <c r="EA26">
        <v>-8.0209832620598771</v>
      </c>
      <c r="EB26">
        <v>8</v>
      </c>
      <c r="EC26">
        <v>8.7164638449424056E-2</v>
      </c>
      <c r="ED26">
        <v>0.54850401993560316</v>
      </c>
      <c r="EE26" s="13">
        <v>-3.0643099999999999</v>
      </c>
      <c r="EF26">
        <v>-3.0752099999999998</v>
      </c>
      <c r="EG26">
        <v>20.158913399503721</v>
      </c>
      <c r="EH26" t="s">
        <v>1597</v>
      </c>
      <c r="EI26">
        <v>0</v>
      </c>
      <c r="EJ26">
        <v>0</v>
      </c>
      <c r="EK26" s="14">
        <v>45470</v>
      </c>
      <c r="EL26">
        <v>-1.36</v>
      </c>
      <c r="EM26">
        <v>-5.22</v>
      </c>
      <c r="EN26">
        <v>4.0599999999999996</v>
      </c>
      <c r="EO26">
        <v>2.5099999999999998</v>
      </c>
      <c r="EP26">
        <v>-1.0900000000000001</v>
      </c>
    </row>
    <row r="27" spans="1:146" ht="96" x14ac:dyDescent="0.25">
      <c r="A27" s="9"/>
      <c r="B27" s="9"/>
      <c r="C27" s="9" t="str">
        <f>""&amp;CHAR(10)&amp;Basic_Fundamental_Information_Constructure(F27)&amp;CHAR(10)&amp;Basic_Fundamental_Information_Concatenate("")</f>
        <v xml:space="preserve">
市值257.91709亿, 利润10.76亿; PE16.54; 平均PE29.12; 平均PEG1.47, PB1.11; ROIC3.6367%; ROE7.2733%; 股利率.8664%; 毛利14.3767%; 净利1.4767%; 上一年度营收增-8.24%, 利润增.75%; 当季营收增4.74%, 利润增293.13%; 过往5年营收增19.79%, 利润增9.1%
Income profile:
</v>
      </c>
      <c r="D27" t="s">
        <v>44</v>
      </c>
      <c r="E27" t="s">
        <v>3</v>
      </c>
      <c r="F27">
        <v>13.85</v>
      </c>
      <c r="G27">
        <v>-0.28999999999999998</v>
      </c>
      <c r="H27" t="s">
        <v>2779</v>
      </c>
      <c r="I27">
        <v>25791709000</v>
      </c>
      <c r="J27">
        <v>16.54</v>
      </c>
      <c r="K27">
        <v>1.1100000000000001</v>
      </c>
      <c r="L27" t="s">
        <v>973</v>
      </c>
      <c r="M27" t="s">
        <v>1995</v>
      </c>
      <c r="N27" t="s">
        <v>2780</v>
      </c>
      <c r="O27" t="s">
        <v>1996</v>
      </c>
      <c r="P27">
        <v>4.74</v>
      </c>
      <c r="Q27" t="s">
        <v>1997</v>
      </c>
      <c r="R27">
        <v>318662280</v>
      </c>
      <c r="S27" s="6">
        <v>2.9340000000000002</v>
      </c>
      <c r="T27" t="s">
        <v>1601</v>
      </c>
      <c r="U27">
        <v>1728096800</v>
      </c>
      <c r="V27">
        <v>1862217300</v>
      </c>
      <c r="W27">
        <v>2.4500000000000002</v>
      </c>
      <c r="X27">
        <v>0.14000000000000001</v>
      </c>
      <c r="Y27">
        <v>0.2</v>
      </c>
      <c r="Z27" t="s">
        <v>2781</v>
      </c>
      <c r="AA27" t="s">
        <v>2782</v>
      </c>
      <c r="AB27" t="s">
        <v>253</v>
      </c>
      <c r="AC27" t="s">
        <v>460</v>
      </c>
      <c r="AD27" t="s">
        <v>5</v>
      </c>
      <c r="AE27">
        <v>56475545</v>
      </c>
      <c r="AF27" t="s">
        <v>1998</v>
      </c>
      <c r="AG27" t="s">
        <v>2783</v>
      </c>
      <c r="AH27" t="s">
        <v>1999</v>
      </c>
      <c r="AI27" t="s">
        <v>2784</v>
      </c>
      <c r="AJ27" t="s">
        <v>2000</v>
      </c>
      <c r="AK27" t="s">
        <v>542</v>
      </c>
      <c r="AL27" t="s">
        <v>2001</v>
      </c>
      <c r="AM27" t="s">
        <v>5</v>
      </c>
      <c r="AN27" t="s">
        <v>2785</v>
      </c>
      <c r="AO27" t="s">
        <v>2786</v>
      </c>
      <c r="AP27" t="s">
        <v>2787</v>
      </c>
      <c r="AQ27" t="s">
        <v>2788</v>
      </c>
      <c r="AR27" t="s">
        <v>5</v>
      </c>
      <c r="AS27" t="s">
        <v>2789</v>
      </c>
      <c r="AT27" t="s">
        <v>2790</v>
      </c>
      <c r="AU27" t="s">
        <v>2494</v>
      </c>
      <c r="AV27" t="s">
        <v>2791</v>
      </c>
      <c r="AW27" t="s">
        <v>2792</v>
      </c>
      <c r="AX27" t="s">
        <v>1365</v>
      </c>
      <c r="AY27" t="s">
        <v>1015</v>
      </c>
      <c r="AZ27" t="s">
        <v>353</v>
      </c>
      <c r="BA27" t="s">
        <v>45</v>
      </c>
      <c r="BB27" t="s">
        <v>357</v>
      </c>
      <c r="BC27" t="s">
        <v>1593</v>
      </c>
      <c r="BD27" t="s">
        <v>1016</v>
      </c>
      <c r="BE27" t="s">
        <v>354</v>
      </c>
      <c r="BF27" t="s">
        <v>46</v>
      </c>
      <c r="BG27" t="s">
        <v>358</v>
      </c>
      <c r="BH27" t="s">
        <v>1997</v>
      </c>
      <c r="BI27" t="s">
        <v>2002</v>
      </c>
      <c r="BJ27" t="s">
        <v>1365</v>
      </c>
      <c r="BK27" t="s">
        <v>1601</v>
      </c>
      <c r="BL27" t="s">
        <v>2003</v>
      </c>
      <c r="BM27" t="s">
        <v>1593</v>
      </c>
      <c r="BN27">
        <v>0.78</v>
      </c>
      <c r="BO27">
        <v>4.4400000000000004</v>
      </c>
      <c r="BP27">
        <v>5.69</v>
      </c>
      <c r="BQ27">
        <v>3.81</v>
      </c>
      <c r="BR27">
        <v>6.96</v>
      </c>
      <c r="BS27">
        <v>11.05</v>
      </c>
      <c r="BT27" t="s">
        <v>1289</v>
      </c>
      <c r="BU27" t="s">
        <v>2521</v>
      </c>
      <c r="BV27">
        <v>14.6</v>
      </c>
      <c r="BW27">
        <v>13.84</v>
      </c>
      <c r="BX27">
        <v>14.69</v>
      </c>
      <c r="BY27">
        <v>0.69</v>
      </c>
      <c r="BZ27">
        <v>1.45</v>
      </c>
      <c r="CA27">
        <v>2.29</v>
      </c>
      <c r="CB27">
        <v>-8.6999999999999993</v>
      </c>
      <c r="CC27">
        <v>-5.85</v>
      </c>
      <c r="CD27" t="s">
        <v>60</v>
      </c>
      <c r="CE27" t="s">
        <v>593</v>
      </c>
      <c r="CF27" s="10">
        <v>4.7432716167207484E-2</v>
      </c>
      <c r="CG27" s="11">
        <v>2.9312865454545456</v>
      </c>
      <c r="CH27" s="10">
        <v>-8.2435436546802521E-2</v>
      </c>
      <c r="CI27" s="10">
        <v>0.39623641967773438</v>
      </c>
      <c r="CJ27" s="10">
        <v>0.25821775197982788</v>
      </c>
      <c r="CK27" s="10">
        <v>0.17634008824825287</v>
      </c>
      <c r="CL27" s="10">
        <v>0.24107582867145538</v>
      </c>
      <c r="CM27" s="11">
        <v>7.4906367808580399E-3</v>
      </c>
      <c r="CN27" s="11">
        <v>0.16593886911869049</v>
      </c>
      <c r="CO27" s="11">
        <v>0.14214463531970978</v>
      </c>
      <c r="CP27" s="11">
        <v>6.7909456789493561E-2</v>
      </c>
      <c r="CQ27" s="11">
        <v>7.1326673030853271E-2</v>
      </c>
      <c r="CR27">
        <v>29.121237109522017</v>
      </c>
      <c r="CS27">
        <v>1.4716099264241898</v>
      </c>
      <c r="CT27">
        <v>0.86642599277978338</v>
      </c>
      <c r="CU27" s="10">
        <v>0.19788693040609359</v>
      </c>
      <c r="CV27" s="11">
        <v>9.0962054207921028E-2</v>
      </c>
      <c r="CW27">
        <v>0.06</v>
      </c>
      <c r="CX27">
        <v>33.123158640311061</v>
      </c>
      <c r="CY27">
        <v>1215968242.5631664</v>
      </c>
      <c r="CZ27">
        <v>0.19788693040609359</v>
      </c>
      <c r="DA27">
        <v>9.8906656749395712</v>
      </c>
      <c r="DB27">
        <v>4072193957.7890019</v>
      </c>
      <c r="DC27">
        <v>0.18799258388578891</v>
      </c>
      <c r="DD27">
        <v>4.2957405323632889</v>
      </c>
      <c r="DE27">
        <v>9375964096.6587639</v>
      </c>
      <c r="DF27">
        <v>0.17414049875736237</v>
      </c>
      <c r="DG27">
        <v>2.2252983469387617</v>
      </c>
      <c r="DH27">
        <v>18099464755.099815</v>
      </c>
      <c r="DI27">
        <v>0.15830954432487487</v>
      </c>
      <c r="DJ27">
        <v>0.81298308600591895</v>
      </c>
      <c r="DK27">
        <v>49541878168.553635</v>
      </c>
      <c r="DL27">
        <v>0.1385208512842655</v>
      </c>
      <c r="DM27">
        <v>1076000000</v>
      </c>
      <c r="DN27">
        <v>0.19788693040609359</v>
      </c>
      <c r="DO27">
        <v>40276709000</v>
      </c>
      <c r="DP27">
        <v>7837466000</v>
      </c>
      <c r="DQ27">
        <v>1693</v>
      </c>
      <c r="DR27">
        <v>-0.15045421423888611</v>
      </c>
      <c r="DS27">
        <v>2.8403244912466246</v>
      </c>
      <c r="DT27" s="12">
        <v>5.9999999999999908E-2</v>
      </c>
      <c r="DU27">
        <v>0.15</v>
      </c>
      <c r="DV27">
        <v>0.20999999999999991</v>
      </c>
      <c r="DW27">
        <v>-5.6724137931034484</v>
      </c>
      <c r="DX27">
        <v>0.30363636363636404</v>
      </c>
      <c r="DY27">
        <v>-5.1100313479623827</v>
      </c>
      <c r="DZ27">
        <v>1248</v>
      </c>
      <c r="EA27">
        <v>-5.0831587212975968</v>
      </c>
      <c r="EB27">
        <v>5</v>
      </c>
      <c r="EC27">
        <v>7.7327173364784008E-2</v>
      </c>
      <c r="ED27">
        <v>0.47255494834034684</v>
      </c>
      <c r="EE27" s="13">
        <v>-1.03321</v>
      </c>
      <c r="EF27">
        <v>-1.05311</v>
      </c>
      <c r="EG27">
        <v>14.163636363636364</v>
      </c>
      <c r="EH27" t="s">
        <v>1302</v>
      </c>
      <c r="EI27">
        <v>0</v>
      </c>
      <c r="EJ27">
        <v>1</v>
      </c>
      <c r="EK27" s="14">
        <v>45470</v>
      </c>
      <c r="EL27">
        <v>0.39</v>
      </c>
      <c r="EM27">
        <v>-2.2799999999999998</v>
      </c>
      <c r="EN27">
        <v>-1.2</v>
      </c>
      <c r="EO27">
        <v>1.55</v>
      </c>
      <c r="EP27">
        <v>-1.99</v>
      </c>
    </row>
    <row r="28" spans="1:146" ht="96" x14ac:dyDescent="0.25">
      <c r="A28" s="9"/>
      <c r="B28" s="9"/>
      <c r="C28" s="9" t="str">
        <f>""&amp;CHAR(10)&amp;Basic_Fundamental_Information_Constructure(F28)&amp;CHAR(10)&amp;Basic_Fundamental_Information_Concatenate("")</f>
        <v xml:space="preserve">
市值18.866167亿, 利润-5.19亿; PE; 平均PE-6.96; 平均PEG-.49, PB7.57; ROIC12.19%; ROE-49.28%; 股利率0%; 毛利8.9067%; 净利-9.4467%; 上一年度营收增-23.55%, 利润增-12.83%; 当季营收增-45.68%, 利润增38.93%; 过往5年营收增14.16%, 利润增-1178.25%
Income profile:
</v>
      </c>
      <c r="D28" t="s">
        <v>765</v>
      </c>
      <c r="E28" t="s">
        <v>766</v>
      </c>
      <c r="F28">
        <v>6.82</v>
      </c>
      <c r="G28">
        <v>2.25</v>
      </c>
      <c r="H28" t="s">
        <v>2793</v>
      </c>
      <c r="I28">
        <v>1886616700</v>
      </c>
      <c r="K28">
        <v>7.57</v>
      </c>
      <c r="L28" t="s">
        <v>973</v>
      </c>
      <c r="M28" t="s">
        <v>654</v>
      </c>
      <c r="N28" t="s">
        <v>490</v>
      </c>
      <c r="O28" t="s">
        <v>1728</v>
      </c>
      <c r="P28">
        <v>-45.64</v>
      </c>
      <c r="Q28" t="s">
        <v>1592</v>
      </c>
      <c r="R28">
        <v>-13494795</v>
      </c>
      <c r="S28" s="6">
        <v>0.38929999999999998</v>
      </c>
      <c r="T28" t="s">
        <v>2006</v>
      </c>
      <c r="U28">
        <v>187306720</v>
      </c>
      <c r="V28">
        <v>276630020</v>
      </c>
      <c r="W28">
        <v>14.22</v>
      </c>
      <c r="X28">
        <v>0.12</v>
      </c>
      <c r="Y28">
        <v>-3.14</v>
      </c>
      <c r="Z28" t="s">
        <v>458</v>
      </c>
      <c r="AA28" t="s">
        <v>113</v>
      </c>
      <c r="AB28" t="s">
        <v>2794</v>
      </c>
      <c r="AC28" t="s">
        <v>2795</v>
      </c>
      <c r="AD28" t="s">
        <v>5</v>
      </c>
      <c r="AE28">
        <v>16045999</v>
      </c>
      <c r="AF28" t="s">
        <v>2008</v>
      </c>
      <c r="AG28" t="s">
        <v>2796</v>
      </c>
      <c r="AH28" t="s">
        <v>2009</v>
      </c>
      <c r="AI28" t="s">
        <v>69</v>
      </c>
      <c r="AJ28" t="s">
        <v>2010</v>
      </c>
      <c r="AK28" t="s">
        <v>5</v>
      </c>
      <c r="AL28" t="s">
        <v>2011</v>
      </c>
      <c r="AM28" t="s">
        <v>5</v>
      </c>
      <c r="AN28" t="s">
        <v>2797</v>
      </c>
      <c r="AO28" t="s">
        <v>183</v>
      </c>
      <c r="AP28" t="s">
        <v>205</v>
      </c>
      <c r="AQ28" t="s">
        <v>1319</v>
      </c>
      <c r="AR28" t="s">
        <v>5</v>
      </c>
      <c r="AS28" t="s">
        <v>1831</v>
      </c>
      <c r="AT28" t="s">
        <v>343</v>
      </c>
      <c r="AU28" t="s">
        <v>2136</v>
      </c>
      <c r="AV28" t="s">
        <v>2798</v>
      </c>
      <c r="AW28" t="s">
        <v>2799</v>
      </c>
      <c r="AX28" t="s">
        <v>1368</v>
      </c>
      <c r="AY28" t="s">
        <v>1017</v>
      </c>
      <c r="AZ28" t="s">
        <v>697</v>
      </c>
      <c r="BA28" t="s">
        <v>767</v>
      </c>
      <c r="BB28" t="s">
        <v>768</v>
      </c>
      <c r="BC28" t="s">
        <v>1369</v>
      </c>
      <c r="BD28" t="s">
        <v>1018</v>
      </c>
      <c r="BE28" t="s">
        <v>926</v>
      </c>
      <c r="BF28" t="s">
        <v>936</v>
      </c>
      <c r="BG28" t="s">
        <v>937</v>
      </c>
      <c r="BH28" t="s">
        <v>1592</v>
      </c>
      <c r="BI28" t="s">
        <v>1141</v>
      </c>
      <c r="BJ28" t="s">
        <v>1368</v>
      </c>
      <c r="BK28" t="s">
        <v>2006</v>
      </c>
      <c r="BL28" t="s">
        <v>2012</v>
      </c>
      <c r="BM28" t="s">
        <v>1369</v>
      </c>
      <c r="BN28" t="s">
        <v>5</v>
      </c>
      <c r="BO28" t="s">
        <v>5</v>
      </c>
      <c r="BP28">
        <v>12.19</v>
      </c>
      <c r="BQ28">
        <v>-51.49</v>
      </c>
      <c r="BR28">
        <v>-98.34</v>
      </c>
      <c r="BS28">
        <v>1.99</v>
      </c>
      <c r="BT28" t="s">
        <v>1280</v>
      </c>
      <c r="BU28" t="s">
        <v>2508</v>
      </c>
      <c r="BV28">
        <v>6.85</v>
      </c>
      <c r="BW28">
        <v>6.13</v>
      </c>
      <c r="BX28">
        <v>13.74</v>
      </c>
      <c r="BY28">
        <v>-17.16</v>
      </c>
      <c r="BZ28">
        <v>-11.61</v>
      </c>
      <c r="CA28">
        <v>0.43</v>
      </c>
      <c r="CB28">
        <v>-1.1599999999999999</v>
      </c>
      <c r="CC28">
        <v>-14.75</v>
      </c>
      <c r="CD28" t="s">
        <v>2800</v>
      </c>
      <c r="CE28" t="s">
        <v>273</v>
      </c>
      <c r="CF28" s="10">
        <v>-0.45682102628285359</v>
      </c>
      <c r="CG28" s="11">
        <v>0.38933434395999728</v>
      </c>
      <c r="CH28" s="10">
        <v>-0.23548711836338043</v>
      </c>
      <c r="CI28" s="10">
        <v>0.1894325464963913</v>
      </c>
      <c r="CJ28" s="10">
        <v>1.0236937999725342</v>
      </c>
      <c r="CK28" s="10">
        <v>-0.10543478280305862</v>
      </c>
      <c r="CL28" s="10">
        <v>-0.16439595818519592</v>
      </c>
      <c r="CM28" s="11">
        <v>-0.12826086580753326</v>
      </c>
      <c r="CN28" s="11">
        <v>-33.894031524658203</v>
      </c>
      <c r="CO28" s="11">
        <v>1.0187709331512451</v>
      </c>
      <c r="CP28" s="11">
        <v>-25.479925155639648</v>
      </c>
      <c r="CQ28" s="11">
        <v>-0.42913925647735596</v>
      </c>
      <c r="CR28">
        <v>-6.9605221562915967</v>
      </c>
      <c r="CS28">
        <v>-0.49169530197637867</v>
      </c>
      <c r="CT28">
        <v>0</v>
      </c>
      <c r="CU28" s="10">
        <v>0.14156169742345809</v>
      </c>
      <c r="CV28" s="11">
        <v>-11.782517173886299</v>
      </c>
      <c r="CW28">
        <v>0.06</v>
      </c>
      <c r="CX28" t="e">
        <v>#VALUE!</v>
      </c>
      <c r="CY28" t="s">
        <v>946</v>
      </c>
      <c r="CZ28">
        <v>0.14156169742345809</v>
      </c>
      <c r="DA28" t="e">
        <v>#VALUE!</v>
      </c>
      <c r="DB28" t="s">
        <v>947</v>
      </c>
      <c r="DC28">
        <v>0.13448361255228516</v>
      </c>
      <c r="DD28" t="e">
        <v>#VALUE!</v>
      </c>
      <c r="DE28" t="s">
        <v>947</v>
      </c>
      <c r="DF28">
        <v>0.12457429373264312</v>
      </c>
      <c r="DG28" t="e">
        <v>#VALUE!</v>
      </c>
      <c r="DH28" t="s">
        <v>947</v>
      </c>
      <c r="DI28">
        <v>0.11324935793876648</v>
      </c>
      <c r="DJ28" t="e">
        <v>#VALUE!</v>
      </c>
      <c r="DK28" t="s">
        <v>947</v>
      </c>
      <c r="DL28">
        <v>9.9093188196420656E-2</v>
      </c>
      <c r="DM28">
        <v>-519000000.00000006</v>
      </c>
      <c r="DN28">
        <v>0.14156169742345809</v>
      </c>
      <c r="DO28">
        <v>5278616700</v>
      </c>
      <c r="DP28">
        <v>-153234200</v>
      </c>
      <c r="DQ28">
        <v>1818</v>
      </c>
      <c r="DR28">
        <v>-0.59838272370631174</v>
      </c>
      <c r="DS28">
        <v>12.171851517846298</v>
      </c>
      <c r="DT28" s="12">
        <v>-0.29000000000000004</v>
      </c>
      <c r="DU28">
        <v>-1.6349999999999998</v>
      </c>
      <c r="DV28">
        <v>-1.9249999999999998</v>
      </c>
      <c r="DW28">
        <v>-2.1475</v>
      </c>
      <c r="DX28">
        <v>0.38458095238095169</v>
      </c>
      <c r="DY28">
        <v>-2.0375506904761904</v>
      </c>
      <c r="DZ28">
        <v>4340</v>
      </c>
      <c r="EA28">
        <v>-2.0056583232224399</v>
      </c>
      <c r="EB28">
        <v>2</v>
      </c>
      <c r="EC28">
        <v>0.13528322052682495</v>
      </c>
      <c r="ED28">
        <v>0.5313956887253235</v>
      </c>
      <c r="EE28" s="13">
        <v>-3.0318000000000001</v>
      </c>
      <c r="EF28">
        <v>-3.0901999999999998</v>
      </c>
      <c r="EG28">
        <v>13.254580952380952</v>
      </c>
      <c r="EH28" t="s">
        <v>1577</v>
      </c>
      <c r="EI28">
        <v>0</v>
      </c>
      <c r="EJ28">
        <v>0</v>
      </c>
      <c r="EK28" s="14">
        <v>45470</v>
      </c>
      <c r="EL28">
        <v>-1.1599999999999999</v>
      </c>
      <c r="EM28">
        <v>-4.1100000000000003</v>
      </c>
      <c r="EN28">
        <v>0</v>
      </c>
      <c r="EO28">
        <v>4.9000000000000004</v>
      </c>
      <c r="EP28">
        <v>5.84</v>
      </c>
    </row>
    <row r="29" spans="1:146" ht="96" x14ac:dyDescent="0.25">
      <c r="A29" s="9"/>
      <c r="B29" s="9"/>
      <c r="C29" s="9" t="str">
        <f>""&amp;CHAR(10)&amp;Basic_Fundamental_Information_Constructure(F29)&amp;CHAR(10)&amp;Basic_Fundamental_Information_Concatenate("")</f>
        <v xml:space="preserve">
市值49.965682亿, 利润-2789.40万; PE218.8; 平均PE32.42; 平均PEG1.56, PB.899; ROIC7.385%; ROE5.3133%; 股利率2.3296%; 毛利18.5533%; 净利3.1133%; 上一年度营收增6.32%, 利润增-132.36%; 当季营收增25.99%, 利润增139.08%; 过往5年营收增20.84%, 利润增134.94%
Income profile:
</v>
      </c>
      <c r="D29" t="s">
        <v>769</v>
      </c>
      <c r="E29" t="s">
        <v>770</v>
      </c>
      <c r="F29">
        <v>8.59</v>
      </c>
      <c r="G29">
        <v>0.35</v>
      </c>
      <c r="H29" t="s">
        <v>2801</v>
      </c>
      <c r="I29">
        <v>4996568200</v>
      </c>
      <c r="J29">
        <v>218.8</v>
      </c>
      <c r="K29">
        <v>0.89900000000000002</v>
      </c>
      <c r="L29" t="s">
        <v>973</v>
      </c>
      <c r="M29" t="s">
        <v>2015</v>
      </c>
      <c r="N29" t="s">
        <v>2802</v>
      </c>
      <c r="O29" t="s">
        <v>1647</v>
      </c>
      <c r="P29">
        <v>25.94</v>
      </c>
      <c r="Q29" t="s">
        <v>2016</v>
      </c>
      <c r="R29">
        <v>14252079</v>
      </c>
      <c r="S29" s="6">
        <v>1.391</v>
      </c>
      <c r="T29" t="s">
        <v>2017</v>
      </c>
      <c r="U29">
        <v>487018250</v>
      </c>
      <c r="V29">
        <v>581672670</v>
      </c>
      <c r="W29">
        <v>2.11</v>
      </c>
      <c r="X29">
        <v>0.13</v>
      </c>
      <c r="Y29">
        <v>1.19</v>
      </c>
      <c r="Z29" t="s">
        <v>1215</v>
      </c>
      <c r="AA29" t="s">
        <v>984</v>
      </c>
      <c r="AB29" t="s">
        <v>2803</v>
      </c>
      <c r="AC29" t="s">
        <v>2804</v>
      </c>
      <c r="AD29" t="s">
        <v>5</v>
      </c>
      <c r="AE29">
        <v>20501635</v>
      </c>
      <c r="AF29" t="s">
        <v>2018</v>
      </c>
      <c r="AG29" t="s">
        <v>2805</v>
      </c>
      <c r="AH29" t="s">
        <v>2019</v>
      </c>
      <c r="AI29" t="s">
        <v>2806</v>
      </c>
      <c r="AJ29" t="s">
        <v>2020</v>
      </c>
      <c r="AK29" t="s">
        <v>193</v>
      </c>
      <c r="AL29" t="s">
        <v>2021</v>
      </c>
      <c r="AM29" t="s">
        <v>5</v>
      </c>
      <c r="AN29" t="s">
        <v>649</v>
      </c>
      <c r="AO29" t="s">
        <v>2807</v>
      </c>
      <c r="AP29" t="s">
        <v>165</v>
      </c>
      <c r="AQ29" t="s">
        <v>1930</v>
      </c>
      <c r="AR29" t="s">
        <v>5</v>
      </c>
      <c r="AS29" t="s">
        <v>1821</v>
      </c>
      <c r="AT29" t="s">
        <v>2808</v>
      </c>
      <c r="AU29" t="s">
        <v>541</v>
      </c>
      <c r="AV29" t="s">
        <v>1332</v>
      </c>
      <c r="AW29" t="s">
        <v>2079</v>
      </c>
      <c r="AX29" t="s">
        <v>1372</v>
      </c>
      <c r="AY29" t="s">
        <v>1019</v>
      </c>
      <c r="AZ29" t="s">
        <v>927</v>
      </c>
      <c r="BA29" t="s">
        <v>771</v>
      </c>
      <c r="BB29" t="s">
        <v>772</v>
      </c>
      <c r="BC29" t="s">
        <v>1373</v>
      </c>
      <c r="BD29" t="s">
        <v>529</v>
      </c>
      <c r="BE29" t="s">
        <v>928</v>
      </c>
      <c r="BF29" t="s">
        <v>938</v>
      </c>
      <c r="BG29" t="s">
        <v>339</v>
      </c>
      <c r="BH29" t="s">
        <v>2016</v>
      </c>
      <c r="BI29" t="s">
        <v>675</v>
      </c>
      <c r="BJ29" t="s">
        <v>1372</v>
      </c>
      <c r="BK29" t="s">
        <v>2017</v>
      </c>
      <c r="BL29" t="s">
        <v>2022</v>
      </c>
      <c r="BM29" t="s">
        <v>1373</v>
      </c>
      <c r="BN29" t="s">
        <v>5</v>
      </c>
      <c r="BO29">
        <v>2.5</v>
      </c>
      <c r="BP29">
        <v>12.27</v>
      </c>
      <c r="BQ29">
        <v>-0.45</v>
      </c>
      <c r="BR29">
        <v>1.87</v>
      </c>
      <c r="BS29">
        <v>14.52</v>
      </c>
      <c r="BT29" t="s">
        <v>2809</v>
      </c>
      <c r="BU29" t="s">
        <v>2508</v>
      </c>
      <c r="BV29">
        <v>15.97</v>
      </c>
      <c r="BW29">
        <v>16.350000000000001</v>
      </c>
      <c r="BX29">
        <v>23.34</v>
      </c>
      <c r="BY29">
        <v>-0.38</v>
      </c>
      <c r="BZ29">
        <v>1.08</v>
      </c>
      <c r="CA29">
        <v>8.64</v>
      </c>
      <c r="CB29">
        <v>0.35</v>
      </c>
      <c r="CC29">
        <v>-15.45</v>
      </c>
      <c r="CD29" t="s">
        <v>2810</v>
      </c>
      <c r="CE29" t="s">
        <v>208</v>
      </c>
      <c r="CF29" s="10">
        <v>0.25991189427312777</v>
      </c>
      <c r="CG29" s="11">
        <v>1.3907516141856415</v>
      </c>
      <c r="CH29" s="10">
        <v>6.3246846199035645E-2</v>
      </c>
      <c r="CI29" s="10">
        <v>4.4603470712900162E-2</v>
      </c>
      <c r="CJ29" s="10">
        <v>0.98159873485565186</v>
      </c>
      <c r="CK29" s="10">
        <v>0.11018091440200806</v>
      </c>
      <c r="CL29" s="10">
        <v>-0.15744924545288086</v>
      </c>
      <c r="CM29" s="11">
        <v>-1.3236360549926758</v>
      </c>
      <c r="CN29" s="11">
        <v>-0.84663808345794678</v>
      </c>
      <c r="CO29" s="11">
        <v>8.286738395690918</v>
      </c>
      <c r="CP29" s="11">
        <v>1.521411657333374</v>
      </c>
      <c r="CQ29" s="11">
        <v>-0.89090460538864136</v>
      </c>
      <c r="CR29">
        <v>32.416732553874688</v>
      </c>
      <c r="CS29">
        <v>1.5552356664006162</v>
      </c>
      <c r="CT29">
        <v>2.329596041909197</v>
      </c>
      <c r="CU29" s="10">
        <v>0.20843614414334297</v>
      </c>
      <c r="CV29" s="11">
        <v>1.3493942618370056</v>
      </c>
      <c r="CW29">
        <v>0.06</v>
      </c>
      <c r="CX29" t="e">
        <v>#VALUE!</v>
      </c>
      <c r="CY29" t="s">
        <v>947</v>
      </c>
      <c r="CZ29">
        <v>0.20843614414334297</v>
      </c>
      <c r="DA29" t="e">
        <v>#VALUE!</v>
      </c>
      <c r="DB29" t="s">
        <v>947</v>
      </c>
      <c r="DC29">
        <v>0.19801433693617582</v>
      </c>
      <c r="DD29" t="e">
        <v>#VALUE!</v>
      </c>
      <c r="DE29" t="s">
        <v>947</v>
      </c>
      <c r="DF29">
        <v>0.18342380684614182</v>
      </c>
      <c r="DG29" t="e">
        <v>#VALUE!</v>
      </c>
      <c r="DH29" t="s">
        <v>947</v>
      </c>
      <c r="DI29">
        <v>0.1667489153146744</v>
      </c>
      <c r="DJ29" t="e">
        <v>#VALUE!</v>
      </c>
      <c r="DK29" t="s">
        <v>947</v>
      </c>
      <c r="DL29">
        <v>0.14590530090034007</v>
      </c>
      <c r="DM29">
        <v>-27894000</v>
      </c>
      <c r="DN29">
        <v>0.20843614414334297</v>
      </c>
      <c r="DO29">
        <v>5707568200</v>
      </c>
      <c r="DP29">
        <v>4441717200</v>
      </c>
      <c r="DQ29">
        <v>1881</v>
      </c>
      <c r="DR29">
        <v>5.1475750129784809E-2</v>
      </c>
      <c r="DS29">
        <v>4.1357352348635912E-2</v>
      </c>
      <c r="DT29" s="12">
        <v>-0.27333333333333337</v>
      </c>
      <c r="DU29">
        <v>-0.28166666666666668</v>
      </c>
      <c r="DV29">
        <v>-0.55500000000000005</v>
      </c>
      <c r="DW29">
        <v>-2.1545000000000001</v>
      </c>
      <c r="DX29">
        <v>0.32133179916318128</v>
      </c>
      <c r="DY29">
        <v>-2.0202907629707112</v>
      </c>
      <c r="DZ29">
        <v>2959</v>
      </c>
      <c r="EA29">
        <v>-2.0085411802641877</v>
      </c>
      <c r="EB29">
        <v>2</v>
      </c>
      <c r="EC29">
        <v>5.3962136471015561E-2</v>
      </c>
      <c r="ED29">
        <v>0.41088401144925718</v>
      </c>
      <c r="EE29" s="13">
        <v>3.0653000000000001</v>
      </c>
      <c r="EF29">
        <v>3.0390999999999999</v>
      </c>
      <c r="EG29">
        <v>19.131331799163181</v>
      </c>
      <c r="EH29" t="s">
        <v>1306</v>
      </c>
      <c r="EI29">
        <v>0</v>
      </c>
      <c r="EJ29">
        <v>0</v>
      </c>
      <c r="EK29" s="14">
        <v>45470</v>
      </c>
      <c r="EL29">
        <v>-1.82</v>
      </c>
      <c r="EM29">
        <v>-3.36</v>
      </c>
      <c r="EN29">
        <v>0.48</v>
      </c>
      <c r="EO29">
        <v>4.7699999999999996</v>
      </c>
      <c r="EP29">
        <v>-2.62</v>
      </c>
    </row>
    <row r="30" spans="1:146" ht="96" x14ac:dyDescent="0.25">
      <c r="A30" s="9"/>
      <c r="B30" s="9"/>
      <c r="C30" s="9" t="str">
        <f>""&amp;CHAR(10)&amp;Basic_Fundamental_Information_Constructure(F30)&amp;CHAR(10)&amp;Basic_Fundamental_Information_Concatenate("")</f>
        <v xml:space="preserve">
市值18.062048亿, 利润-2.21亿; PE; 平均PE-7.67; 平均PEG-.83, PB4.22; ROIC14.01%; ROE-2.3367%; 股利率0%; 毛利28.9733%; 净利-10.8833%; 上一年度营收增-23.51%, 利润增-118.81%; 当季营收增23.53%, 利润增63.63%; 过往5年营收增-9.21%, 利润增-1131.12%
Income profile:
</v>
      </c>
      <c r="D30" t="s">
        <v>1165</v>
      </c>
      <c r="E30" t="s">
        <v>1166</v>
      </c>
      <c r="F30">
        <v>4.92</v>
      </c>
      <c r="G30">
        <v>1.65</v>
      </c>
      <c r="H30" t="s">
        <v>2811</v>
      </c>
      <c r="I30">
        <v>1806204800</v>
      </c>
      <c r="K30">
        <v>4.22</v>
      </c>
      <c r="L30" t="s">
        <v>973</v>
      </c>
      <c r="M30" t="s">
        <v>1557</v>
      </c>
      <c r="N30" t="s">
        <v>57</v>
      </c>
      <c r="O30" t="s">
        <v>260</v>
      </c>
      <c r="P30">
        <v>24.07</v>
      </c>
      <c r="Q30" t="s">
        <v>1546</v>
      </c>
      <c r="R30">
        <v>-11280898</v>
      </c>
      <c r="S30" s="6">
        <v>0.63629999999999998</v>
      </c>
      <c r="T30" t="s">
        <v>1722</v>
      </c>
      <c r="U30">
        <v>366917330</v>
      </c>
      <c r="V30">
        <v>367114800</v>
      </c>
      <c r="W30">
        <v>4.5599999999999996</v>
      </c>
      <c r="X30">
        <v>0.1</v>
      </c>
      <c r="Y30">
        <v>-8.5299999999999994</v>
      </c>
      <c r="Z30" t="s">
        <v>189</v>
      </c>
      <c r="AA30" t="s">
        <v>37</v>
      </c>
      <c r="AB30" t="s">
        <v>2812</v>
      </c>
      <c r="AC30" t="s">
        <v>2813</v>
      </c>
      <c r="AD30" t="s">
        <v>5</v>
      </c>
      <c r="AE30">
        <v>7434670</v>
      </c>
      <c r="AF30" t="s">
        <v>2023</v>
      </c>
      <c r="AG30" t="s">
        <v>2814</v>
      </c>
      <c r="AH30" t="s">
        <v>2024</v>
      </c>
      <c r="AI30" t="s">
        <v>119</v>
      </c>
      <c r="AJ30" t="s">
        <v>2025</v>
      </c>
      <c r="AK30" t="s">
        <v>2815</v>
      </c>
      <c r="AL30" t="s">
        <v>2026</v>
      </c>
      <c r="AM30" t="s">
        <v>5</v>
      </c>
      <c r="AN30" t="s">
        <v>216</v>
      </c>
      <c r="AO30" t="s">
        <v>138</v>
      </c>
      <c r="AP30" t="s">
        <v>2816</v>
      </c>
      <c r="AQ30" t="s">
        <v>1164</v>
      </c>
      <c r="AR30" t="s">
        <v>5</v>
      </c>
      <c r="AS30" t="s">
        <v>1927</v>
      </c>
      <c r="AT30" t="s">
        <v>2817</v>
      </c>
      <c r="AU30" t="s">
        <v>2818</v>
      </c>
      <c r="AV30" t="s">
        <v>2819</v>
      </c>
      <c r="AW30" t="s">
        <v>2820</v>
      </c>
      <c r="AX30" t="s">
        <v>553</v>
      </c>
      <c r="AY30" t="s">
        <v>970</v>
      </c>
      <c r="AZ30" t="s">
        <v>459</v>
      </c>
      <c r="BA30" t="s">
        <v>616</v>
      </c>
      <c r="BB30" t="s">
        <v>1167</v>
      </c>
      <c r="BC30" t="s">
        <v>418</v>
      </c>
      <c r="BD30" t="s">
        <v>118</v>
      </c>
      <c r="BE30" t="s">
        <v>969</v>
      </c>
      <c r="BF30" t="s">
        <v>1168</v>
      </c>
      <c r="BG30" t="s">
        <v>1169</v>
      </c>
      <c r="BH30" t="s">
        <v>1546</v>
      </c>
      <c r="BI30" t="s">
        <v>31</v>
      </c>
      <c r="BJ30" t="s">
        <v>553</v>
      </c>
      <c r="BK30" t="s">
        <v>1722</v>
      </c>
      <c r="BL30" t="s">
        <v>2027</v>
      </c>
      <c r="BM30" t="s">
        <v>418</v>
      </c>
      <c r="BN30" t="s">
        <v>5</v>
      </c>
      <c r="BO30" t="s">
        <v>5</v>
      </c>
      <c r="BP30">
        <v>14.01</v>
      </c>
      <c r="BQ30">
        <v>-11.4</v>
      </c>
      <c r="BR30">
        <v>-14.67</v>
      </c>
      <c r="BS30">
        <v>19.059999999999999</v>
      </c>
      <c r="BT30" t="s">
        <v>1280</v>
      </c>
      <c r="BU30" t="s">
        <v>2777</v>
      </c>
      <c r="BV30">
        <v>24.28</v>
      </c>
      <c r="BW30">
        <v>30.41</v>
      </c>
      <c r="BX30">
        <v>32.229999999999997</v>
      </c>
      <c r="BY30">
        <v>-31.07</v>
      </c>
      <c r="BZ30">
        <v>-10.3</v>
      </c>
      <c r="CA30">
        <v>8.7200000000000006</v>
      </c>
      <c r="CB30">
        <v>-3.91</v>
      </c>
      <c r="CC30">
        <v>-31.76</v>
      </c>
      <c r="CD30" t="s">
        <v>2821</v>
      </c>
      <c r="CE30" t="s">
        <v>502</v>
      </c>
      <c r="CF30" s="10">
        <v>0.23529411764705882</v>
      </c>
      <c r="CG30" s="11">
        <v>0.63626433223705425</v>
      </c>
      <c r="CH30" s="10">
        <v>-0.23511604964733124</v>
      </c>
      <c r="CI30" s="10">
        <v>-0.32123288512229919</v>
      </c>
      <c r="CJ30" s="10">
        <v>0.21971602737903595</v>
      </c>
      <c r="CK30" s="10">
        <v>0.14435940980911255</v>
      </c>
      <c r="CL30" s="10">
        <v>-0.26801955699920654</v>
      </c>
      <c r="CM30" s="11">
        <v>-1.1881188154220581</v>
      </c>
      <c r="CN30" s="11">
        <v>-1.7769230604171753</v>
      </c>
      <c r="CO30" s="11">
        <v>1.4153354167938232</v>
      </c>
      <c r="CP30" s="11">
        <v>0.66162163019180298</v>
      </c>
      <c r="CQ30" s="11">
        <v>-55.668064117431641</v>
      </c>
      <c r="CR30">
        <v>-7.669226866679919</v>
      </c>
      <c r="CS30">
        <v>-0.83308088079520637</v>
      </c>
      <c r="CT30">
        <v>0</v>
      </c>
      <c r="CU30" s="10">
        <v>-9.2058610916137693E-2</v>
      </c>
      <c r="CV30" s="11">
        <v>-11.31122978925705</v>
      </c>
      <c r="CW30">
        <v>0.06</v>
      </c>
      <c r="CX30" t="e">
        <v>#VALUE!</v>
      </c>
      <c r="CY30" t="s">
        <v>946</v>
      </c>
      <c r="CZ30">
        <v>-9.2058610916137693E-2</v>
      </c>
      <c r="DA30" t="e">
        <v>#VALUE!</v>
      </c>
      <c r="DB30" t="s">
        <v>947</v>
      </c>
      <c r="DC30">
        <v>-8.7455680370330802E-2</v>
      </c>
      <c r="DD30" t="e">
        <v>#VALUE!</v>
      </c>
      <c r="DE30" t="s">
        <v>947</v>
      </c>
      <c r="DF30">
        <v>-8.1011577606201174E-2</v>
      </c>
      <c r="DG30" t="e">
        <v>#VALUE!</v>
      </c>
      <c r="DH30" t="s">
        <v>947</v>
      </c>
      <c r="DI30">
        <v>-7.3646888732910157E-2</v>
      </c>
      <c r="DJ30" t="e">
        <v>#VALUE!</v>
      </c>
      <c r="DK30" t="s">
        <v>947</v>
      </c>
      <c r="DL30">
        <v>-6.4441027641296375E-2</v>
      </c>
      <c r="DM30">
        <v>-221000000</v>
      </c>
      <c r="DN30">
        <v>-9.2058610916137693E-2</v>
      </c>
      <c r="DO30">
        <v>2885204800</v>
      </c>
      <c r="DP30">
        <v>35011750</v>
      </c>
      <c r="DQ30">
        <v>1882</v>
      </c>
      <c r="DR30">
        <v>0.32735272856319653</v>
      </c>
      <c r="DS30">
        <v>11.947494121494104</v>
      </c>
      <c r="DT30" s="12">
        <v>-0.72333333333333327</v>
      </c>
      <c r="DU30">
        <v>-2.2383333333333333</v>
      </c>
      <c r="DV30">
        <v>-2.9616666666666664</v>
      </c>
      <c r="DW30">
        <v>-8.123110831234257</v>
      </c>
      <c r="DX30">
        <v>0.23475355113636417</v>
      </c>
      <c r="DY30">
        <v>-8.0104340801304534</v>
      </c>
      <c r="DZ30">
        <v>4896</v>
      </c>
      <c r="EA30">
        <v>-8.0004369653909819</v>
      </c>
      <c r="EB30">
        <v>8</v>
      </c>
      <c r="EC30">
        <v>0.16252817919626231</v>
      </c>
      <c r="ED30">
        <v>1.9176562753667246</v>
      </c>
      <c r="EE30" s="13">
        <v>-4.0371100000000002</v>
      </c>
      <c r="EF30">
        <v>-4.0469099999999996</v>
      </c>
      <c r="EG30">
        <v>15.084753551136364</v>
      </c>
      <c r="EH30" t="s">
        <v>1741</v>
      </c>
      <c r="EI30">
        <v>0</v>
      </c>
      <c r="EJ30">
        <v>0</v>
      </c>
      <c r="EK30" s="14">
        <v>45470</v>
      </c>
      <c r="EL30">
        <v>0</v>
      </c>
      <c r="EM30">
        <v>-4.18</v>
      </c>
      <c r="EN30">
        <v>0</v>
      </c>
      <c r="EO30">
        <v>6.03</v>
      </c>
      <c r="EP30">
        <v>-0.98</v>
      </c>
    </row>
    <row r="31" spans="1:146" ht="96" x14ac:dyDescent="0.25">
      <c r="C31" s="9" t="str">
        <f>""&amp;CHAR(10)&amp;Basic_Fundamental_Information_Constructure(F31)&amp;CHAR(10)&amp;Basic_Fundamental_Information_Concatenate("")</f>
        <v xml:space="preserve">
市值90.920781亿, 利润4310.20万; PE; 平均PE40.73; 平均PEG1.56, PB1.69; ROIC7.9733%; ROE10.5067%; 股利率.3322%; 毛利17.1367%; 净利3.7767%; 上一年度营收增-23.55%, 利润增-93.14%; 当季营收增-35.99%, 利润增-91.01%; 过往5年营收增26.18%, 利润增57.81%
Income profile:
</v>
      </c>
      <c r="D31" t="s">
        <v>773</v>
      </c>
      <c r="E31" t="s">
        <v>774</v>
      </c>
      <c r="F31">
        <v>18.059999999999999</v>
      </c>
      <c r="G31">
        <v>-0.5</v>
      </c>
      <c r="H31" t="s">
        <v>2822</v>
      </c>
      <c r="I31">
        <v>9092078100</v>
      </c>
      <c r="K31">
        <v>1.69</v>
      </c>
      <c r="L31" t="s">
        <v>973</v>
      </c>
      <c r="M31" t="s">
        <v>2028</v>
      </c>
      <c r="N31" t="s">
        <v>2823</v>
      </c>
      <c r="O31" t="s">
        <v>620</v>
      </c>
      <c r="P31">
        <v>-36</v>
      </c>
      <c r="Q31" t="s">
        <v>2029</v>
      </c>
      <c r="R31">
        <v>16356922</v>
      </c>
      <c r="S31" s="6">
        <v>-0.91039999999999999</v>
      </c>
      <c r="T31" t="s">
        <v>2030</v>
      </c>
      <c r="U31">
        <v>403708850</v>
      </c>
      <c r="V31">
        <v>503437320</v>
      </c>
      <c r="W31">
        <v>2.84</v>
      </c>
      <c r="X31">
        <v>0.1</v>
      </c>
      <c r="Y31">
        <v>0.6</v>
      </c>
      <c r="Z31" t="s">
        <v>575</v>
      </c>
      <c r="AA31" t="s">
        <v>1394</v>
      </c>
      <c r="AB31" t="s">
        <v>2824</v>
      </c>
      <c r="AC31" t="s">
        <v>2825</v>
      </c>
      <c r="AD31" t="s">
        <v>5</v>
      </c>
      <c r="AE31">
        <v>10871039</v>
      </c>
      <c r="AF31" t="s">
        <v>2031</v>
      </c>
      <c r="AG31" t="s">
        <v>2826</v>
      </c>
      <c r="AH31" t="s">
        <v>2032</v>
      </c>
      <c r="AI31" t="s">
        <v>1674</v>
      </c>
      <c r="AJ31" t="s">
        <v>2033</v>
      </c>
      <c r="AK31" t="s">
        <v>496</v>
      </c>
      <c r="AL31" t="s">
        <v>2034</v>
      </c>
      <c r="AM31" t="s">
        <v>5</v>
      </c>
      <c r="AN31" t="s">
        <v>1123</v>
      </c>
      <c r="AO31" t="s">
        <v>309</v>
      </c>
      <c r="AP31" t="s">
        <v>2827</v>
      </c>
      <c r="AQ31" t="s">
        <v>2828</v>
      </c>
      <c r="AR31" t="s">
        <v>5</v>
      </c>
      <c r="AS31" t="s">
        <v>2829</v>
      </c>
      <c r="AT31" t="s">
        <v>2830</v>
      </c>
      <c r="AU31" t="s">
        <v>2831</v>
      </c>
      <c r="AV31" t="s">
        <v>2832</v>
      </c>
      <c r="AW31" t="s">
        <v>2833</v>
      </c>
      <c r="AX31" t="s">
        <v>1375</v>
      </c>
      <c r="AY31" t="s">
        <v>1021</v>
      </c>
      <c r="AZ31" t="s">
        <v>654</v>
      </c>
      <c r="BA31" t="s">
        <v>775</v>
      </c>
      <c r="BB31" t="s">
        <v>83</v>
      </c>
      <c r="BC31" t="s">
        <v>1123</v>
      </c>
      <c r="BD31" t="s">
        <v>376</v>
      </c>
      <c r="BE31" t="s">
        <v>929</v>
      </c>
      <c r="BF31" t="s">
        <v>247</v>
      </c>
      <c r="BG31" t="s">
        <v>501</v>
      </c>
      <c r="BH31" t="s">
        <v>2029</v>
      </c>
      <c r="BI31" t="s">
        <v>1956</v>
      </c>
      <c r="BJ31" t="s">
        <v>1375</v>
      </c>
      <c r="BK31" t="s">
        <v>2030</v>
      </c>
      <c r="BL31" t="s">
        <v>376</v>
      </c>
      <c r="BM31" t="s">
        <v>1123</v>
      </c>
      <c r="BN31">
        <v>4.32</v>
      </c>
      <c r="BO31">
        <v>13.93</v>
      </c>
      <c r="BP31">
        <v>5.67</v>
      </c>
      <c r="BQ31">
        <v>5.7</v>
      </c>
      <c r="BR31">
        <v>18.8</v>
      </c>
      <c r="BS31">
        <v>7.02</v>
      </c>
      <c r="BT31" t="s">
        <v>1281</v>
      </c>
      <c r="BU31" t="s">
        <v>2521</v>
      </c>
      <c r="BV31">
        <v>16.510000000000002</v>
      </c>
      <c r="BW31">
        <v>18.690000000000001</v>
      </c>
      <c r="BX31">
        <v>16.21</v>
      </c>
      <c r="BY31">
        <v>0.96</v>
      </c>
      <c r="BZ31">
        <v>7.16</v>
      </c>
      <c r="CA31">
        <v>3.21</v>
      </c>
      <c r="CB31">
        <v>-1.53</v>
      </c>
      <c r="CC31">
        <v>-21.95</v>
      </c>
      <c r="CD31" t="s">
        <v>2834</v>
      </c>
      <c r="CE31" t="s">
        <v>254</v>
      </c>
      <c r="CF31" s="10">
        <v>-0.3599198396793587</v>
      </c>
      <c r="CG31" s="11">
        <v>-0.91012680219780218</v>
      </c>
      <c r="CH31" s="10">
        <v>-0.23546929657459259</v>
      </c>
      <c r="CI31" s="10">
        <v>0.59265756607055664</v>
      </c>
      <c r="CJ31" s="10">
        <v>0.56315219402313232</v>
      </c>
      <c r="CK31" s="10">
        <v>0.10096731036901474</v>
      </c>
      <c r="CL31" s="10">
        <v>0.28766059875488281</v>
      </c>
      <c r="CM31" s="11">
        <v>-0.9313662052154541</v>
      </c>
      <c r="CN31" s="11">
        <v>2.4505493640899658</v>
      </c>
      <c r="CO31" s="11">
        <v>2.4208405017852783</v>
      </c>
      <c r="CP31" s="11">
        <v>-0.68331372737884521</v>
      </c>
      <c r="CQ31" s="11">
        <v>-0.36603772640228271</v>
      </c>
      <c r="CR31">
        <v>40.731914224486381</v>
      </c>
      <c r="CS31">
        <v>1.5558784717709728</v>
      </c>
      <c r="CT31">
        <v>0.33222591362126247</v>
      </c>
      <c r="CU31" s="10">
        <v>0.26179367452859881</v>
      </c>
      <c r="CV31" s="11">
        <v>0.57813444137573244</v>
      </c>
      <c r="CW31">
        <v>0.06</v>
      </c>
      <c r="CX31">
        <v>263.99859177813397</v>
      </c>
      <c r="CY31">
        <v>51307387.697671384</v>
      </c>
      <c r="CZ31">
        <v>0.26179367452859881</v>
      </c>
      <c r="DA31">
        <v>74.813220957214298</v>
      </c>
      <c r="DB31">
        <v>181051930.75093549</v>
      </c>
      <c r="DC31">
        <v>0.24870399080216885</v>
      </c>
      <c r="DD31">
        <v>30.101779150434716</v>
      </c>
      <c r="DE31">
        <v>449975997.50858539</v>
      </c>
      <c r="DF31">
        <v>0.23037843358516696</v>
      </c>
      <c r="DG31">
        <v>14.175771251440485</v>
      </c>
      <c r="DH31">
        <v>955509076.70181286</v>
      </c>
      <c r="DI31">
        <v>0.20943493962287907</v>
      </c>
      <c r="DJ31">
        <v>4.0790551243444888</v>
      </c>
      <c r="DK31">
        <v>3320641101.210104</v>
      </c>
      <c r="DL31">
        <v>0.18325557217001914</v>
      </c>
      <c r="DM31">
        <v>43102000</v>
      </c>
      <c r="DN31">
        <v>0.26179367452859881</v>
      </c>
      <c r="DO31">
        <v>13545078100</v>
      </c>
      <c r="DP31">
        <v>903046000.00000095</v>
      </c>
      <c r="DQ31">
        <v>1909</v>
      </c>
      <c r="DR31">
        <v>-0.62171351420795751</v>
      </c>
      <c r="DS31">
        <v>-1.4882612435735347</v>
      </c>
      <c r="DT31" s="12">
        <v>-0.22333333333333338</v>
      </c>
      <c r="DU31">
        <v>-0.42666666666666675</v>
      </c>
      <c r="DV31">
        <v>-0.65000000000000013</v>
      </c>
      <c r="DW31">
        <v>-3.0672916666666667</v>
      </c>
      <c r="DX31">
        <v>0.28714437299035456</v>
      </c>
      <c r="DY31">
        <v>-3.008555756765809</v>
      </c>
      <c r="DZ31">
        <v>3118</v>
      </c>
      <c r="EA31">
        <v>-3.003335238253912</v>
      </c>
      <c r="EB31">
        <v>3</v>
      </c>
      <c r="EC31">
        <v>7.8543839380044375E-2</v>
      </c>
      <c r="ED31">
        <v>0.61775316935184699</v>
      </c>
      <c r="EE31" s="13">
        <v>6.1000000000000333E-4</v>
      </c>
      <c r="EF31">
        <v>3.5810000000000008E-2</v>
      </c>
      <c r="EG31">
        <v>16.127144372990355</v>
      </c>
      <c r="EH31">
        <v>-1</v>
      </c>
      <c r="EI31">
        <v>0</v>
      </c>
      <c r="EJ31">
        <v>0</v>
      </c>
      <c r="EK31" s="14">
        <v>45470</v>
      </c>
      <c r="EL31">
        <v>-0.77</v>
      </c>
      <c r="EM31">
        <v>-2.99</v>
      </c>
      <c r="EN31">
        <v>-2.0699999999999998</v>
      </c>
      <c r="EO31">
        <v>3.36</v>
      </c>
      <c r="EP31">
        <v>-3.52</v>
      </c>
    </row>
    <row r="32" spans="1:146" ht="96" x14ac:dyDescent="0.25">
      <c r="A32" s="9"/>
      <c r="B32" s="9"/>
      <c r="C32" s="9" t="str">
        <f>""&amp;CHAR(10)&amp;Basic_Fundamental_Information_Constructure(F32)&amp;CHAR(10)&amp;Basic_Fundamental_Information_Concatenate("")</f>
        <v xml:space="preserve">
市值247.76699亿, 利润17.75亿; PE13.95; 平均PE18.69; 平均PEG.53, PB1.99; ROIC20.34%; ROE21.07%; 股利率2.1681%; 毛利35.8%; 净利14.3567%; 上一年度营收增19.35%, 利润增-23.43%; 当季营收增1.13%, 利润增.27%; 过往5年营收增34.99%, 利润增26.54%
Income profile:
</v>
      </c>
      <c r="D32" t="s">
        <v>776</v>
      </c>
      <c r="E32" t="s">
        <v>777</v>
      </c>
      <c r="F32">
        <v>15.82</v>
      </c>
      <c r="G32">
        <v>0.89</v>
      </c>
      <c r="H32" t="s">
        <v>2835</v>
      </c>
      <c r="I32">
        <v>24776699000</v>
      </c>
      <c r="J32">
        <v>13.95</v>
      </c>
      <c r="K32">
        <v>1.99</v>
      </c>
      <c r="L32" t="s">
        <v>973</v>
      </c>
      <c r="M32" t="s">
        <v>2035</v>
      </c>
      <c r="N32" t="s">
        <v>2836</v>
      </c>
      <c r="O32" t="s">
        <v>844</v>
      </c>
      <c r="P32">
        <v>1.1399999999999999</v>
      </c>
      <c r="Q32" t="s">
        <v>2036</v>
      </c>
      <c r="R32">
        <v>564502410</v>
      </c>
      <c r="S32" s="6">
        <v>2.0799999999999998E-3</v>
      </c>
      <c r="T32" t="s">
        <v>2037</v>
      </c>
      <c r="U32">
        <v>1447499400</v>
      </c>
      <c r="V32">
        <v>1566163000</v>
      </c>
      <c r="W32">
        <v>2.99</v>
      </c>
      <c r="X32">
        <v>0.09</v>
      </c>
      <c r="Y32">
        <v>16.600000000000001</v>
      </c>
      <c r="Z32" t="s">
        <v>2837</v>
      </c>
      <c r="AA32" t="s">
        <v>1713</v>
      </c>
      <c r="AB32" t="s">
        <v>2838</v>
      </c>
      <c r="AC32" t="s">
        <v>332</v>
      </c>
      <c r="AD32" t="s">
        <v>5</v>
      </c>
      <c r="AE32">
        <v>-45610392</v>
      </c>
      <c r="AF32" t="s">
        <v>2038</v>
      </c>
      <c r="AG32" t="s">
        <v>2839</v>
      </c>
      <c r="AH32" t="s">
        <v>2039</v>
      </c>
      <c r="AI32" t="s">
        <v>747</v>
      </c>
      <c r="AJ32" t="s">
        <v>2040</v>
      </c>
      <c r="AK32" t="s">
        <v>475</v>
      </c>
      <c r="AL32" t="s">
        <v>2041</v>
      </c>
      <c r="AM32" t="s">
        <v>5</v>
      </c>
      <c r="AN32" t="s">
        <v>321</v>
      </c>
      <c r="AO32" t="s">
        <v>2840</v>
      </c>
      <c r="AP32" t="s">
        <v>2841</v>
      </c>
      <c r="AQ32" t="s">
        <v>2842</v>
      </c>
      <c r="AR32" t="s">
        <v>5</v>
      </c>
      <c r="AS32" t="s">
        <v>2843</v>
      </c>
      <c r="AT32" t="s">
        <v>5</v>
      </c>
      <c r="AU32" t="s">
        <v>2844</v>
      </c>
      <c r="AV32" t="s">
        <v>2845</v>
      </c>
      <c r="AW32" t="s">
        <v>5</v>
      </c>
      <c r="AX32" t="s">
        <v>1376</v>
      </c>
      <c r="AY32" t="s">
        <v>1023</v>
      </c>
      <c r="AZ32" t="s">
        <v>930</v>
      </c>
      <c r="BA32" t="s">
        <v>778</v>
      </c>
      <c r="BB32" t="s">
        <v>779</v>
      </c>
      <c r="BC32" t="s">
        <v>1377</v>
      </c>
      <c r="BD32" t="s">
        <v>608</v>
      </c>
      <c r="BE32" t="s">
        <v>402</v>
      </c>
      <c r="BF32" t="s">
        <v>367</v>
      </c>
      <c r="BG32" t="s">
        <v>265</v>
      </c>
      <c r="BH32" t="s">
        <v>2036</v>
      </c>
      <c r="BI32" t="s">
        <v>2042</v>
      </c>
      <c r="BJ32" t="s">
        <v>1376</v>
      </c>
      <c r="BK32" t="s">
        <v>2037</v>
      </c>
      <c r="BL32" t="s">
        <v>385</v>
      </c>
      <c r="BM32" t="s">
        <v>1377</v>
      </c>
      <c r="BN32">
        <v>18.96</v>
      </c>
      <c r="BO32">
        <v>21.85</v>
      </c>
      <c r="BP32">
        <v>20.21</v>
      </c>
      <c r="BQ32">
        <v>19.63</v>
      </c>
      <c r="BR32">
        <v>22.55</v>
      </c>
      <c r="BS32">
        <v>21.03</v>
      </c>
      <c r="BT32" t="s">
        <v>2043</v>
      </c>
      <c r="BU32" t="s">
        <v>2777</v>
      </c>
      <c r="BV32">
        <v>35.6</v>
      </c>
      <c r="BW32">
        <v>37.75</v>
      </c>
      <c r="BX32">
        <v>34.049999999999997</v>
      </c>
      <c r="BY32">
        <v>10.65</v>
      </c>
      <c r="BZ32">
        <v>16.63</v>
      </c>
      <c r="CA32">
        <v>15.79</v>
      </c>
      <c r="CB32">
        <v>-2.87</v>
      </c>
      <c r="CC32">
        <v>-21.86</v>
      </c>
      <c r="CD32" t="s">
        <v>2846</v>
      </c>
      <c r="CE32" t="s">
        <v>527</v>
      </c>
      <c r="CF32" s="10">
        <v>1.1301160659743433E-2</v>
      </c>
      <c r="CG32" s="11">
        <v>2.6685790408525756E-3</v>
      </c>
      <c r="CH32" s="10">
        <v>0.19351130723953247</v>
      </c>
      <c r="CI32" s="10">
        <v>0.3880641758441925</v>
      </c>
      <c r="CJ32" s="10">
        <v>0.71338349580764771</v>
      </c>
      <c r="CK32" s="10">
        <v>0.2506403923034668</v>
      </c>
      <c r="CL32" s="10">
        <v>0.20411321520805359</v>
      </c>
      <c r="CM32" s="11">
        <v>-0.23425367474555969</v>
      </c>
      <c r="CN32" s="11">
        <v>0.46246069669723511</v>
      </c>
      <c r="CO32" s="11">
        <v>1.0638020038604736</v>
      </c>
      <c r="CP32" s="11">
        <v>2.6109660975635052E-3</v>
      </c>
      <c r="CQ32" s="11">
        <v>3.2345011830329895E-2</v>
      </c>
      <c r="CR32">
        <v>18.689991702288157</v>
      </c>
      <c r="CS32">
        <v>0.53408747949603408</v>
      </c>
      <c r="CT32">
        <v>2.168141592920354</v>
      </c>
      <c r="CU32" s="10">
        <v>0.34994251728057862</v>
      </c>
      <c r="CV32" s="11">
        <v>0.26539300074800848</v>
      </c>
      <c r="CW32">
        <v>0.06</v>
      </c>
      <c r="CX32">
        <v>15.844472647049182</v>
      </c>
      <c r="CY32">
        <v>2260516951.1066294</v>
      </c>
      <c r="CZ32">
        <v>0.34994251728057862</v>
      </c>
      <c r="DA32">
        <v>4.1834711027401017</v>
      </c>
      <c r="DB32">
        <v>8561478762.5856133</v>
      </c>
      <c r="DC32">
        <v>0.33244539141654966</v>
      </c>
      <c r="DD32">
        <v>1.5122667703954533</v>
      </c>
      <c r="DE32">
        <v>23684114272.136021</v>
      </c>
      <c r="DF32">
        <v>0.30794941520690922</v>
      </c>
      <c r="DG32">
        <v>0.62031658090408337</v>
      </c>
      <c r="DH32">
        <v>57739386794.721466</v>
      </c>
      <c r="DI32">
        <v>0.27995401382446289</v>
      </c>
      <c r="DJ32">
        <v>0.12519546178418856</v>
      </c>
      <c r="DK32">
        <v>286086240583.86945</v>
      </c>
      <c r="DL32">
        <v>0.24495976209640502</v>
      </c>
      <c r="DM32">
        <v>1775000000</v>
      </c>
      <c r="DN32">
        <v>0.34994251728057862</v>
      </c>
      <c r="DO32">
        <v>35816699000</v>
      </c>
      <c r="DP32">
        <v>8096707000</v>
      </c>
      <c r="DQ32">
        <v>1921</v>
      </c>
      <c r="DR32">
        <v>-0.33864135662083517</v>
      </c>
      <c r="DS32">
        <v>-0.26272442170715593</v>
      </c>
      <c r="DT32" s="12">
        <v>0.35999999999999993</v>
      </c>
      <c r="DU32">
        <v>0.25</v>
      </c>
      <c r="DV32">
        <v>0.60999999999999988</v>
      </c>
      <c r="DW32">
        <v>-8.1312900274473918</v>
      </c>
      <c r="DX32">
        <v>0.36800396969696902</v>
      </c>
      <c r="DY32">
        <v>-8.0194314452438373</v>
      </c>
      <c r="DZ32">
        <v>570</v>
      </c>
      <c r="EA32">
        <v>-8.0172639454808259</v>
      </c>
      <c r="EB32">
        <v>8</v>
      </c>
      <c r="EC32">
        <v>4.9896530565464767E-2</v>
      </c>
      <c r="ED32">
        <v>0.33712966019501162</v>
      </c>
      <c r="EE32" s="13">
        <v>-3.0859100000000002</v>
      </c>
      <c r="EF32">
        <v>-3.1232099999999998</v>
      </c>
      <c r="EG32">
        <v>22.148003969696969</v>
      </c>
      <c r="EH32" t="s">
        <v>1597</v>
      </c>
      <c r="EI32">
        <v>0</v>
      </c>
      <c r="EJ32">
        <v>1</v>
      </c>
      <c r="EK32" s="14">
        <v>45470</v>
      </c>
      <c r="EL32">
        <v>-1.4</v>
      </c>
      <c r="EM32">
        <v>-3.81</v>
      </c>
      <c r="EN32">
        <v>-3.17</v>
      </c>
      <c r="EO32">
        <v>1.81</v>
      </c>
      <c r="EP32">
        <v>-3.73</v>
      </c>
    </row>
    <row r="33" spans="1:146" ht="96" x14ac:dyDescent="0.25">
      <c r="A33" s="9"/>
      <c r="B33" s="9"/>
      <c r="C33" s="9" t="str">
        <f>""&amp;CHAR(10)&amp;Basic_Fundamental_Information_Constructure(F33)&amp;CHAR(10)&amp;Basic_Fundamental_Information_Concatenate("")</f>
        <v xml:space="preserve">
市值101.782599亿, 利润5.54亿; PE16.7; 平均PE30.04; 平均PEG.68, PB1.61; ROIC8.8467%; ROE7.6167%; 股利率1.1168%; 毛利23.9867%; 净利7.27%; 上一年度营收增8.09%, 利润增13.76%; 当季营收增7.36%, 利润增53.91%; 过往5年营收增44.49%, 利润增19.94%
Income profile:
</v>
      </c>
      <c r="D33" t="s">
        <v>780</v>
      </c>
      <c r="E33" t="s">
        <v>781</v>
      </c>
      <c r="F33">
        <v>15.67</v>
      </c>
      <c r="G33">
        <v>-1.01</v>
      </c>
      <c r="H33" t="s">
        <v>2847</v>
      </c>
      <c r="I33">
        <v>10178259900</v>
      </c>
      <c r="J33">
        <v>16.7</v>
      </c>
      <c r="K33">
        <v>1.61</v>
      </c>
      <c r="L33" t="s">
        <v>973</v>
      </c>
      <c r="M33" t="s">
        <v>2044</v>
      </c>
      <c r="N33" t="s">
        <v>2848</v>
      </c>
      <c r="O33" t="s">
        <v>2045</v>
      </c>
      <c r="P33">
        <v>7.37</v>
      </c>
      <c r="Q33" t="s">
        <v>2046</v>
      </c>
      <c r="R33">
        <v>158525390</v>
      </c>
      <c r="S33" s="6">
        <v>0.53869999999999996</v>
      </c>
      <c r="T33" t="s">
        <v>120</v>
      </c>
      <c r="U33">
        <v>636717220</v>
      </c>
      <c r="V33">
        <v>649537960</v>
      </c>
      <c r="W33">
        <v>2.4500000000000002</v>
      </c>
      <c r="X33">
        <v>0.11</v>
      </c>
      <c r="Y33">
        <v>15.45</v>
      </c>
      <c r="Z33" t="s">
        <v>661</v>
      </c>
      <c r="AA33" t="s">
        <v>585</v>
      </c>
      <c r="AB33" t="s">
        <v>2849</v>
      </c>
      <c r="AC33" t="s">
        <v>2850</v>
      </c>
      <c r="AD33" t="s">
        <v>5</v>
      </c>
      <c r="AE33">
        <v>-14265324</v>
      </c>
      <c r="AF33" t="s">
        <v>2047</v>
      </c>
      <c r="AG33" t="s">
        <v>2851</v>
      </c>
      <c r="AH33" t="s">
        <v>2048</v>
      </c>
      <c r="AI33" t="s">
        <v>2852</v>
      </c>
      <c r="AJ33" t="s">
        <v>2049</v>
      </c>
      <c r="AK33" t="s">
        <v>38</v>
      </c>
      <c r="AL33" t="s">
        <v>2050</v>
      </c>
      <c r="AM33" t="s">
        <v>5</v>
      </c>
      <c r="AN33">
        <v>0</v>
      </c>
      <c r="AO33" t="s">
        <v>2853</v>
      </c>
      <c r="AP33" t="s">
        <v>519</v>
      </c>
      <c r="AQ33" t="s">
        <v>2854</v>
      </c>
      <c r="AR33" t="s">
        <v>5</v>
      </c>
      <c r="AS33" t="s">
        <v>2855</v>
      </c>
      <c r="AT33" t="s">
        <v>5</v>
      </c>
      <c r="AU33" t="s">
        <v>2856</v>
      </c>
      <c r="AV33" t="s">
        <v>2857</v>
      </c>
      <c r="AW33" t="s">
        <v>2858</v>
      </c>
      <c r="AX33" t="s">
        <v>1378</v>
      </c>
      <c r="AY33" t="s">
        <v>1009</v>
      </c>
      <c r="AZ33" t="s">
        <v>685</v>
      </c>
      <c r="BA33" t="s">
        <v>413</v>
      </c>
      <c r="BB33" t="s">
        <v>782</v>
      </c>
      <c r="BC33" t="s">
        <v>363</v>
      </c>
      <c r="BD33" t="s">
        <v>254</v>
      </c>
      <c r="BE33" t="s">
        <v>218</v>
      </c>
      <c r="BF33" t="s">
        <v>166</v>
      </c>
      <c r="BG33" t="s">
        <v>191</v>
      </c>
      <c r="BH33" t="s">
        <v>2046</v>
      </c>
      <c r="BI33" t="s">
        <v>1545</v>
      </c>
      <c r="BJ33" t="s">
        <v>1378</v>
      </c>
      <c r="BK33" t="s">
        <v>120</v>
      </c>
      <c r="BL33" t="s">
        <v>49</v>
      </c>
      <c r="BM33" t="s">
        <v>363</v>
      </c>
      <c r="BN33">
        <v>13.73</v>
      </c>
      <c r="BO33">
        <v>8.65</v>
      </c>
      <c r="BP33">
        <v>4.16</v>
      </c>
      <c r="BQ33">
        <v>8.57</v>
      </c>
      <c r="BR33">
        <v>8.5</v>
      </c>
      <c r="BS33">
        <v>5.78</v>
      </c>
      <c r="BT33" t="s">
        <v>2051</v>
      </c>
      <c r="BU33" t="s">
        <v>2777</v>
      </c>
      <c r="BV33">
        <v>29.76</v>
      </c>
      <c r="BW33">
        <v>20.309999999999999</v>
      </c>
      <c r="BX33">
        <v>21.89</v>
      </c>
      <c r="BY33">
        <v>10.45</v>
      </c>
      <c r="BZ33">
        <v>5.67</v>
      </c>
      <c r="CA33">
        <v>5.69</v>
      </c>
      <c r="CB33">
        <v>-11.24</v>
      </c>
      <c r="CC33">
        <v>-5.0599999999999996</v>
      </c>
      <c r="CD33" t="s">
        <v>2859</v>
      </c>
      <c r="CE33" t="s">
        <v>209</v>
      </c>
      <c r="CF33" s="10">
        <v>7.3647871116225547E-2</v>
      </c>
      <c r="CG33" s="11">
        <v>0.53908145631067961</v>
      </c>
      <c r="CH33" s="10">
        <v>8.0931194126605988E-2</v>
      </c>
      <c r="CI33" s="10">
        <v>0.73394858837127686</v>
      </c>
      <c r="CJ33" s="10">
        <v>1.1811320781707764</v>
      </c>
      <c r="CK33" s="10">
        <v>0.42814368009567261</v>
      </c>
      <c r="CL33" s="10">
        <v>-0.19980835914611816</v>
      </c>
      <c r="CM33" s="11">
        <v>0.13757699728012085</v>
      </c>
      <c r="CN33" s="11">
        <v>0.56591641902923584</v>
      </c>
      <c r="CO33" s="11">
        <v>0.62827223539352417</v>
      </c>
      <c r="CP33" s="11">
        <v>0.15757575631141663</v>
      </c>
      <c r="CQ33" s="11">
        <v>-0.49230769276618958</v>
      </c>
      <c r="CR33">
        <v>30.039133989178556</v>
      </c>
      <c r="CS33">
        <v>0.67523483378446958</v>
      </c>
      <c r="CT33">
        <v>1.1167836630504149</v>
      </c>
      <c r="CU33" s="10">
        <v>0.44486943632364273</v>
      </c>
      <c r="CV33" s="11">
        <v>0.19940674304962158</v>
      </c>
      <c r="CW33">
        <v>0.06</v>
      </c>
      <c r="CX33">
        <v>19.106513824147427</v>
      </c>
      <c r="CY33">
        <v>755148743.13518679</v>
      </c>
      <c r="CZ33">
        <v>0.44486943632364273</v>
      </c>
      <c r="DA33">
        <v>4.6834896228982901</v>
      </c>
      <c r="DB33">
        <v>3080664432.2340446</v>
      </c>
      <c r="DC33">
        <v>0.42262596450746059</v>
      </c>
      <c r="DD33">
        <v>1.506894950876807</v>
      </c>
      <c r="DE33">
        <v>9574827954.4003544</v>
      </c>
      <c r="DF33">
        <v>0.39148510396480563</v>
      </c>
      <c r="DG33">
        <v>0.5298095373893007</v>
      </c>
      <c r="DH33">
        <v>27232918401.388092</v>
      </c>
      <c r="DI33">
        <v>0.35589554905891418</v>
      </c>
      <c r="DJ33">
        <v>7.1763036222539281E-2</v>
      </c>
      <c r="DK33">
        <v>201054200873.79724</v>
      </c>
      <c r="DL33">
        <v>0.31140860542654991</v>
      </c>
      <c r="DM33">
        <v>554000000</v>
      </c>
      <c r="DN33">
        <v>0.44486943632364273</v>
      </c>
      <c r="DO33">
        <v>14428259900</v>
      </c>
      <c r="DP33">
        <v>3980195000</v>
      </c>
      <c r="DQ33">
        <v>1928</v>
      </c>
      <c r="DR33">
        <v>-0.37122156520741717</v>
      </c>
      <c r="DS33">
        <v>0.33967471326105803</v>
      </c>
      <c r="DT33" s="12">
        <v>0.14333333333333331</v>
      </c>
      <c r="DU33">
        <v>0.43333333333333335</v>
      </c>
      <c r="DV33">
        <v>0.57666666666666666</v>
      </c>
      <c r="DW33">
        <v>-5.4501779359430609</v>
      </c>
      <c r="DX33">
        <v>0.30170433613445297</v>
      </c>
      <c r="DY33">
        <v>-5.054788606836329</v>
      </c>
      <c r="DZ33">
        <v>612</v>
      </c>
      <c r="EA33">
        <v>-5.048226840225011</v>
      </c>
      <c r="EB33">
        <v>5</v>
      </c>
      <c r="EC33">
        <v>0.13378263527508077</v>
      </c>
      <c r="ED33">
        <v>1.0992429141477735</v>
      </c>
      <c r="EE33" s="13">
        <v>1.0235099999999999</v>
      </c>
      <c r="EF33">
        <v>1.0622100000000001</v>
      </c>
      <c r="EG33">
        <v>18.121704336134453</v>
      </c>
      <c r="EH33" t="s">
        <v>1301</v>
      </c>
      <c r="EI33">
        <v>0</v>
      </c>
      <c r="EJ33">
        <v>1</v>
      </c>
      <c r="EK33" s="14">
        <v>45470</v>
      </c>
      <c r="EL33">
        <v>-1.74</v>
      </c>
      <c r="EM33">
        <v>-3.28</v>
      </c>
      <c r="EN33">
        <v>0.33</v>
      </c>
      <c r="EO33">
        <v>1.66</v>
      </c>
      <c r="EP33">
        <v>-3.87</v>
      </c>
    </row>
    <row r="34" spans="1:146" ht="96" x14ac:dyDescent="0.25">
      <c r="A34" s="9"/>
      <c r="B34" s="9"/>
      <c r="C34" s="9" t="str">
        <f>""&amp;CHAR(10)&amp;Basic_Fundamental_Information_Constructure(F34)&amp;CHAR(10)&amp;Basic_Fundamental_Information_Concatenate("")</f>
        <v xml:space="preserve">
市值26.157256亿, 利润-6.43亿; PE; 平均PE-13.18; 平均PEG-.92, PB1.47; ROIC3.85%; ROE-.5167%; 股利率0%; 毛利18.62%; 净利-7.62%; 上一年度营收增-.24%, 利润增-9039.49%; 当季营收增40.12%, 利润增-314.33%; 过往5年营收增14.31%, 利润增-2061.78%
Income profile:
</v>
      </c>
      <c r="D34" t="s">
        <v>625</v>
      </c>
      <c r="E34" t="s">
        <v>626</v>
      </c>
      <c r="F34">
        <v>2.44</v>
      </c>
      <c r="G34">
        <v>1.67</v>
      </c>
      <c r="H34" t="s">
        <v>2860</v>
      </c>
      <c r="I34">
        <v>2615725600</v>
      </c>
      <c r="K34">
        <v>1.47</v>
      </c>
      <c r="L34" t="s">
        <v>973</v>
      </c>
      <c r="M34" t="s">
        <v>2052</v>
      </c>
      <c r="N34" t="s">
        <v>619</v>
      </c>
      <c r="O34" t="s">
        <v>289</v>
      </c>
      <c r="P34">
        <v>40.020000000000003</v>
      </c>
      <c r="Q34" t="s">
        <v>657</v>
      </c>
      <c r="R34">
        <v>-58867321</v>
      </c>
      <c r="S34" s="6">
        <v>-3.1429999999999998</v>
      </c>
      <c r="T34" t="s">
        <v>918</v>
      </c>
      <c r="U34">
        <v>935478110</v>
      </c>
      <c r="V34">
        <v>1072018690</v>
      </c>
      <c r="W34">
        <v>4.17</v>
      </c>
      <c r="X34">
        <v>7.0000000000000007E-2</v>
      </c>
      <c r="Y34">
        <v>-11.49</v>
      </c>
      <c r="Z34" t="s">
        <v>1873</v>
      </c>
      <c r="AA34" t="s">
        <v>579</v>
      </c>
      <c r="AB34" t="s">
        <v>2861</v>
      </c>
      <c r="AC34" t="s">
        <v>2862</v>
      </c>
      <c r="AD34" t="s">
        <v>5</v>
      </c>
      <c r="AE34">
        <v>50489117</v>
      </c>
      <c r="AF34" t="s">
        <v>2053</v>
      </c>
      <c r="AG34" t="s">
        <v>2863</v>
      </c>
      <c r="AH34" t="s">
        <v>2054</v>
      </c>
      <c r="AI34" t="s">
        <v>1689</v>
      </c>
      <c r="AJ34" t="s">
        <v>2055</v>
      </c>
      <c r="AK34" t="s">
        <v>203</v>
      </c>
      <c r="AL34" t="s">
        <v>2056</v>
      </c>
      <c r="AM34" t="s">
        <v>5</v>
      </c>
      <c r="AN34" t="s">
        <v>124</v>
      </c>
      <c r="AO34" t="s">
        <v>2864</v>
      </c>
      <c r="AP34" t="s">
        <v>1259</v>
      </c>
      <c r="AQ34" t="s">
        <v>2865</v>
      </c>
      <c r="AR34" t="s">
        <v>2866</v>
      </c>
      <c r="AS34" t="s">
        <v>1370</v>
      </c>
      <c r="AT34" t="s">
        <v>1118</v>
      </c>
      <c r="AU34" t="s">
        <v>2867</v>
      </c>
      <c r="AV34" t="s">
        <v>1603</v>
      </c>
      <c r="AW34" t="s">
        <v>2868</v>
      </c>
      <c r="AX34" t="s">
        <v>1379</v>
      </c>
      <c r="AY34" t="s">
        <v>1024</v>
      </c>
      <c r="AZ34" t="s">
        <v>351</v>
      </c>
      <c r="BA34" t="s">
        <v>596</v>
      </c>
      <c r="BB34" t="s">
        <v>628</v>
      </c>
      <c r="BC34" t="s">
        <v>2057</v>
      </c>
      <c r="BD34" t="s">
        <v>110</v>
      </c>
      <c r="BE34" t="s">
        <v>627</v>
      </c>
      <c r="BF34" t="s">
        <v>629</v>
      </c>
      <c r="BG34" t="s">
        <v>630</v>
      </c>
      <c r="BH34" t="s">
        <v>657</v>
      </c>
      <c r="BI34" t="s">
        <v>331</v>
      </c>
      <c r="BJ34" t="s">
        <v>1379</v>
      </c>
      <c r="BK34" t="s">
        <v>918</v>
      </c>
      <c r="BL34" t="s">
        <v>2058</v>
      </c>
      <c r="BM34" t="s">
        <v>2057</v>
      </c>
      <c r="BN34" t="s">
        <v>5</v>
      </c>
      <c r="BO34">
        <v>2.15</v>
      </c>
      <c r="BP34">
        <v>5.55</v>
      </c>
      <c r="BQ34">
        <v>-7.78</v>
      </c>
      <c r="BR34">
        <v>0.31</v>
      </c>
      <c r="BS34">
        <v>5.92</v>
      </c>
      <c r="BT34" t="s">
        <v>1280</v>
      </c>
      <c r="BU34" t="s">
        <v>2508</v>
      </c>
      <c r="BV34">
        <v>10.88</v>
      </c>
      <c r="BW34">
        <v>23.66</v>
      </c>
      <c r="BX34">
        <v>21.32</v>
      </c>
      <c r="BY34">
        <v>-28.36</v>
      </c>
      <c r="BZ34">
        <v>1.1200000000000001</v>
      </c>
      <c r="CA34">
        <v>4.38</v>
      </c>
      <c r="CB34">
        <v>3.39</v>
      </c>
      <c r="CC34">
        <v>-21.54</v>
      </c>
      <c r="CD34" t="s">
        <v>204</v>
      </c>
      <c r="CE34" t="s">
        <v>373</v>
      </c>
      <c r="CF34" s="10">
        <v>0.40119760479041916</v>
      </c>
      <c r="CG34" s="11">
        <v>-3.1432517595720721</v>
      </c>
      <c r="CH34" s="10">
        <v>-2.3632033262401819E-3</v>
      </c>
      <c r="CI34" s="10">
        <v>0.21842855215072632</v>
      </c>
      <c r="CJ34" s="10">
        <v>0.87000006437301636</v>
      </c>
      <c r="CK34" s="10">
        <v>-0.31362196803092957</v>
      </c>
      <c r="CL34" s="10">
        <v>-5.6772910058498383E-2</v>
      </c>
      <c r="CM34" s="11">
        <v>-90.394943237304688</v>
      </c>
      <c r="CN34" s="11">
        <v>-0.93214339017868042</v>
      </c>
      <c r="CO34" s="11">
        <v>1.1365979909896851</v>
      </c>
      <c r="CP34" s="11">
        <v>-13.149774551391602</v>
      </c>
      <c r="CQ34" s="11">
        <v>0.25127586722373962</v>
      </c>
      <c r="CR34">
        <v>-13.178629638132422</v>
      </c>
      <c r="CS34">
        <v>-0.92071903142849776</v>
      </c>
      <c r="CT34">
        <v>0</v>
      </c>
      <c r="CU34" s="10">
        <v>0.14313410702161491</v>
      </c>
      <c r="CV34" s="11">
        <v>-20.617797464132309</v>
      </c>
      <c r="CW34">
        <v>0.06</v>
      </c>
      <c r="CX34" t="e">
        <v>#VALUE!</v>
      </c>
      <c r="CY34" t="s">
        <v>946</v>
      </c>
      <c r="CZ34">
        <v>0.14313410702161491</v>
      </c>
      <c r="DA34" t="e">
        <v>#VALUE!</v>
      </c>
      <c r="DB34" t="s">
        <v>947</v>
      </c>
      <c r="DC34">
        <v>0.13597740167053415</v>
      </c>
      <c r="DD34" t="e">
        <v>#VALUE!</v>
      </c>
      <c r="DE34" t="s">
        <v>947</v>
      </c>
      <c r="DF34">
        <v>0.12595801417902114</v>
      </c>
      <c r="DG34" t="e">
        <v>#VALUE!</v>
      </c>
      <c r="DH34" t="s">
        <v>947</v>
      </c>
      <c r="DI34">
        <v>0.11450728561729194</v>
      </c>
      <c r="DJ34" t="e">
        <v>#VALUE!</v>
      </c>
      <c r="DK34" t="s">
        <v>947</v>
      </c>
      <c r="DL34">
        <v>0.10019387491513043</v>
      </c>
      <c r="DM34">
        <v>-643000000</v>
      </c>
      <c r="DN34">
        <v>0.14313410702161491</v>
      </c>
      <c r="DO34">
        <v>7810725600</v>
      </c>
      <c r="DP34">
        <v>-970303400</v>
      </c>
      <c r="DQ34">
        <v>1948</v>
      </c>
      <c r="DR34">
        <v>0.25806349776880422</v>
      </c>
      <c r="DS34">
        <v>17.474545704560235</v>
      </c>
      <c r="DT34" s="12">
        <v>-0.13999999999999999</v>
      </c>
      <c r="DU34">
        <v>-2.2316666666666669</v>
      </c>
      <c r="DV34">
        <v>-2.371666666666667</v>
      </c>
      <c r="DW34">
        <v>6.1359807460890492</v>
      </c>
      <c r="DX34">
        <v>0.37996138996138895</v>
      </c>
      <c r="DY34">
        <v>6.0190320542306104</v>
      </c>
      <c r="DZ34">
        <v>4615</v>
      </c>
      <c r="EA34">
        <v>6.0018436138638265</v>
      </c>
      <c r="EB34">
        <v>6</v>
      </c>
      <c r="EC34">
        <v>0.13525883583242379</v>
      </c>
      <c r="ED34">
        <v>0.96640106153373129</v>
      </c>
      <c r="EE34" s="13">
        <v>-2.0642999999999998</v>
      </c>
      <c r="EF34">
        <v>-2.0196000000000001</v>
      </c>
      <c r="EG34">
        <v>24.139961389961389</v>
      </c>
      <c r="EH34" t="s">
        <v>1308</v>
      </c>
      <c r="EI34">
        <v>0</v>
      </c>
      <c r="EJ34">
        <v>0</v>
      </c>
      <c r="EK34" s="14">
        <v>45470</v>
      </c>
      <c r="EL34">
        <v>1.1599999999999999</v>
      </c>
      <c r="EM34">
        <v>-6.49</v>
      </c>
      <c r="EN34">
        <v>-2.04</v>
      </c>
      <c r="EO34">
        <v>2.5</v>
      </c>
      <c r="EP34">
        <v>-4.47</v>
      </c>
    </row>
    <row r="35" spans="1:146" ht="96" x14ac:dyDescent="0.25">
      <c r="A35" s="9"/>
      <c r="B35" s="9"/>
      <c r="C35" s="9" t="str">
        <f>""&amp;CHAR(10)&amp;Basic_Fundamental_Information_Constructure(F35)&amp;CHAR(10)&amp;Basic_Fundamental_Information_Concatenate("")</f>
        <v xml:space="preserve">
市值28.2103亿, 利润-1.80亿; PE; 平均PE-46.39; 平均PEG-2.49, PB1.02; ROIC2.235%; ROE-5.23%; 股利率0%; 毛利22.0933%; 净利-10.91%; 上一年度营收增41.01%, 利润增58.04%; 当季营收增95.44%, 利润增110.59%; 过往5年营收增18.6%, 利润增-369.19%
Income profile:
</v>
      </c>
      <c r="D35" t="s">
        <v>604</v>
      </c>
      <c r="E35" t="s">
        <v>605</v>
      </c>
      <c r="F35">
        <v>7.12</v>
      </c>
      <c r="G35">
        <v>1.42</v>
      </c>
      <c r="H35" t="s">
        <v>2869</v>
      </c>
      <c r="I35">
        <v>2821030000</v>
      </c>
      <c r="K35">
        <v>1.02</v>
      </c>
      <c r="L35" t="s">
        <v>973</v>
      </c>
      <c r="M35" t="s">
        <v>1730</v>
      </c>
      <c r="N35" t="s">
        <v>2870</v>
      </c>
      <c r="O35" t="s">
        <v>566</v>
      </c>
      <c r="P35">
        <v>95.39</v>
      </c>
      <c r="Q35" t="s">
        <v>568</v>
      </c>
      <c r="R35">
        <v>3385412</v>
      </c>
      <c r="S35" s="6">
        <v>1.1060000000000001</v>
      </c>
      <c r="T35" t="s">
        <v>2059</v>
      </c>
      <c r="U35">
        <v>391089810</v>
      </c>
      <c r="V35">
        <v>396212070</v>
      </c>
      <c r="W35">
        <v>2.33</v>
      </c>
      <c r="X35">
        <v>0.11</v>
      </c>
      <c r="Y35">
        <v>-0.85</v>
      </c>
      <c r="Z35" t="s">
        <v>1266</v>
      </c>
      <c r="AA35" t="s">
        <v>294</v>
      </c>
      <c r="AB35" t="s">
        <v>2871</v>
      </c>
      <c r="AC35" t="s">
        <v>2872</v>
      </c>
      <c r="AD35" t="s">
        <v>5</v>
      </c>
      <c r="AE35">
        <v>8536457</v>
      </c>
      <c r="AF35" t="s">
        <v>2060</v>
      </c>
      <c r="AG35" t="s">
        <v>2873</v>
      </c>
      <c r="AH35" t="s">
        <v>2061</v>
      </c>
      <c r="AI35" t="s">
        <v>648</v>
      </c>
      <c r="AJ35" t="s">
        <v>2062</v>
      </c>
      <c r="AK35" t="s">
        <v>150</v>
      </c>
      <c r="AL35" t="s">
        <v>2063</v>
      </c>
      <c r="AM35" t="s">
        <v>5</v>
      </c>
      <c r="AN35" t="s">
        <v>341</v>
      </c>
      <c r="AO35" t="s">
        <v>1957</v>
      </c>
      <c r="AP35" t="s">
        <v>86</v>
      </c>
      <c r="AQ35" t="s">
        <v>1729</v>
      </c>
      <c r="AR35" t="s">
        <v>2874</v>
      </c>
      <c r="AS35" t="s">
        <v>1854</v>
      </c>
      <c r="AT35" t="s">
        <v>177</v>
      </c>
      <c r="AU35" t="s">
        <v>1600</v>
      </c>
      <c r="AV35" t="s">
        <v>2875</v>
      </c>
      <c r="AW35" t="s">
        <v>159</v>
      </c>
      <c r="AX35" t="s">
        <v>1554</v>
      </c>
      <c r="AY35" t="s">
        <v>1630</v>
      </c>
      <c r="AZ35" t="s">
        <v>606</v>
      </c>
      <c r="BA35" t="s">
        <v>256</v>
      </c>
      <c r="BB35" t="s">
        <v>543</v>
      </c>
      <c r="BC35" t="s">
        <v>1629</v>
      </c>
      <c r="BD35" t="s">
        <v>1606</v>
      </c>
      <c r="BE35" t="s">
        <v>607</v>
      </c>
      <c r="BF35" t="s">
        <v>609</v>
      </c>
      <c r="BG35" t="s">
        <v>142</v>
      </c>
      <c r="BH35" t="s">
        <v>568</v>
      </c>
      <c r="BI35" t="s">
        <v>1594</v>
      </c>
      <c r="BJ35" t="s">
        <v>1554</v>
      </c>
      <c r="BK35" t="s">
        <v>2059</v>
      </c>
      <c r="BL35" t="s">
        <v>2064</v>
      </c>
      <c r="BM35" t="s">
        <v>1629</v>
      </c>
      <c r="BN35">
        <v>1.45</v>
      </c>
      <c r="BO35" t="s">
        <v>5</v>
      </c>
      <c r="BP35">
        <v>3.02</v>
      </c>
      <c r="BQ35">
        <v>0.9</v>
      </c>
      <c r="BR35">
        <v>-18.78</v>
      </c>
      <c r="BS35">
        <v>2.19</v>
      </c>
      <c r="BT35" t="s">
        <v>1280</v>
      </c>
      <c r="BU35" t="s">
        <v>2777</v>
      </c>
      <c r="BV35">
        <v>19.399999999999999</v>
      </c>
      <c r="BW35">
        <v>21.93</v>
      </c>
      <c r="BX35">
        <v>24.95</v>
      </c>
      <c r="BY35">
        <v>-8.34</v>
      </c>
      <c r="BZ35">
        <v>-26.5</v>
      </c>
      <c r="CA35">
        <v>2.11</v>
      </c>
      <c r="CB35">
        <v>-0.56000000000000005</v>
      </c>
      <c r="CC35">
        <v>-15.04</v>
      </c>
      <c r="CD35" t="s">
        <v>2876</v>
      </c>
      <c r="CE35" t="s">
        <v>461</v>
      </c>
      <c r="CF35" s="10">
        <v>0.95443037974683542</v>
      </c>
      <c r="CG35" s="11">
        <v>1.1059099640231502</v>
      </c>
      <c r="CH35" s="10">
        <v>0.41011899709701538</v>
      </c>
      <c r="CI35" s="10">
        <v>-0.24494379758834839</v>
      </c>
      <c r="CJ35" s="10">
        <v>0.91480201482772827</v>
      </c>
      <c r="CK35" s="10">
        <v>-0.19249482452869415</v>
      </c>
      <c r="CL35" s="10">
        <v>4.2753670364618301E-2</v>
      </c>
      <c r="CM35" s="11">
        <v>0.58041960000991821</v>
      </c>
      <c r="CN35" s="11">
        <v>-18.087547302246094</v>
      </c>
      <c r="CO35" s="11">
        <v>-0.16482317447662354</v>
      </c>
      <c r="CP35" s="11">
        <v>-0.65815407037734985</v>
      </c>
      <c r="CQ35" s="11">
        <v>-0.12934257090091705</v>
      </c>
      <c r="CR35">
        <v>-46.386198402891338</v>
      </c>
      <c r="CS35">
        <v>-2.4932487778585273</v>
      </c>
      <c r="CT35">
        <v>0</v>
      </c>
      <c r="CU35" s="10">
        <v>0.18604721203446389</v>
      </c>
      <c r="CV35" s="11">
        <v>-3.6918895035982131</v>
      </c>
      <c r="CW35">
        <v>0.06</v>
      </c>
      <c r="CX35" t="e">
        <v>#VALUE!</v>
      </c>
      <c r="CY35" t="s">
        <v>947</v>
      </c>
      <c r="CZ35">
        <v>0.18604721203446389</v>
      </c>
      <c r="DA35" t="e">
        <v>#VALUE!</v>
      </c>
      <c r="DB35" t="s">
        <v>947</v>
      </c>
      <c r="DC35">
        <v>0.17674485143274068</v>
      </c>
      <c r="DD35" t="e">
        <v>#VALUE!</v>
      </c>
      <c r="DE35" t="s">
        <v>947</v>
      </c>
      <c r="DF35">
        <v>0.16372154659032823</v>
      </c>
      <c r="DG35" t="e">
        <v>#VALUE!</v>
      </c>
      <c r="DH35" t="s">
        <v>947</v>
      </c>
      <c r="DI35">
        <v>0.14883776962757111</v>
      </c>
      <c r="DJ35" t="e">
        <v>#VALUE!</v>
      </c>
      <c r="DK35" t="s">
        <v>947</v>
      </c>
      <c r="DL35">
        <v>0.13023304842412473</v>
      </c>
      <c r="DM35">
        <v>-180000000</v>
      </c>
      <c r="DN35">
        <v>0.18604721203446389</v>
      </c>
      <c r="DO35">
        <v>4179030000</v>
      </c>
      <c r="DP35">
        <v>703040399.99999952</v>
      </c>
      <c r="DQ35">
        <v>1961</v>
      </c>
      <c r="DR35">
        <v>0.76838316771237158</v>
      </c>
      <c r="DS35">
        <v>4.7977994676213633</v>
      </c>
      <c r="DT35" s="12">
        <v>-0.27333333333333337</v>
      </c>
      <c r="DU35">
        <v>-0.89333333333333342</v>
      </c>
      <c r="DV35">
        <v>-1.1666666666666667</v>
      </c>
      <c r="DW35">
        <v>-2.1503999999999999</v>
      </c>
      <c r="DX35">
        <v>0.28006413793103518</v>
      </c>
      <c r="DY35">
        <v>-2.0150496463448277</v>
      </c>
      <c r="DZ35">
        <v>3728</v>
      </c>
      <c r="EA35">
        <v>-2.0040701783265269</v>
      </c>
      <c r="EB35">
        <v>2</v>
      </c>
      <c r="EC35">
        <v>7.3240070652062672E-2</v>
      </c>
      <c r="ED35">
        <v>0.73193126095325667</v>
      </c>
      <c r="EE35" s="13">
        <v>-1.0728</v>
      </c>
      <c r="EF35">
        <v>-1.0519000000000001</v>
      </c>
      <c r="EG35">
        <v>18.100064137931035</v>
      </c>
      <c r="EH35" t="s">
        <v>1300</v>
      </c>
      <c r="EI35">
        <v>0</v>
      </c>
      <c r="EJ35">
        <v>0</v>
      </c>
      <c r="EK35" s="14">
        <v>45470</v>
      </c>
      <c r="EL35">
        <v>-1.87</v>
      </c>
      <c r="EM35">
        <v>-5.03</v>
      </c>
      <c r="EN35">
        <v>-0.72</v>
      </c>
      <c r="EO35">
        <v>3.31</v>
      </c>
      <c r="EP35">
        <v>-2.09</v>
      </c>
    </row>
    <row r="36" spans="1:146" ht="96" x14ac:dyDescent="0.25">
      <c r="C36" s="9" t="str">
        <f>""&amp;CHAR(10)&amp;Basic_Fundamental_Information_Constructure(F36)&amp;CHAR(10)&amp;Basic_Fundamental_Information_Concatenate("")</f>
        <v xml:space="preserve">
市值27.976485亿, 利润-2.09亿; PE; 平均PE-31.28; 平均PEG-.99, PB15.97; ROIC0%; ROE-80.0533%; 股利率0%; 毛利7.1133%; 净利-82.53%; 上一年度营收增-60.33%, 利润增11.81%; 当季营收增11.06%, 利润增30.39%; 过往5年营收增31.48%, 利润增-108.66%
Income profile:
</v>
      </c>
      <c r="D36" t="s">
        <v>1381</v>
      </c>
      <c r="E36" t="s">
        <v>1631</v>
      </c>
      <c r="F36">
        <v>16.27</v>
      </c>
      <c r="G36">
        <v>-2.87</v>
      </c>
      <c r="H36" t="s">
        <v>2877</v>
      </c>
      <c r="I36">
        <v>2797648500</v>
      </c>
      <c r="K36">
        <v>15.97</v>
      </c>
      <c r="L36" t="s">
        <v>973</v>
      </c>
      <c r="M36" t="s">
        <v>1740</v>
      </c>
      <c r="N36" t="s">
        <v>122</v>
      </c>
      <c r="O36" t="s">
        <v>2066</v>
      </c>
      <c r="P36" s="6">
        <v>11.06</v>
      </c>
      <c r="Q36" t="s">
        <v>415</v>
      </c>
      <c r="R36">
        <v>-31161413</v>
      </c>
      <c r="S36">
        <v>0.3039</v>
      </c>
      <c r="T36" t="s">
        <v>933</v>
      </c>
      <c r="U36">
        <v>158262880</v>
      </c>
      <c r="V36">
        <v>171951350</v>
      </c>
      <c r="W36">
        <v>8.31</v>
      </c>
      <c r="X36">
        <v>0.02</v>
      </c>
      <c r="Y36">
        <v>-79.69</v>
      </c>
      <c r="Z36" t="s">
        <v>2878</v>
      </c>
      <c r="AA36" t="s">
        <v>2879</v>
      </c>
      <c r="AB36" t="s">
        <v>2880</v>
      </c>
      <c r="AC36" t="s">
        <v>2881</v>
      </c>
      <c r="AD36" t="s">
        <v>5</v>
      </c>
      <c r="AE36">
        <v>6464218</v>
      </c>
      <c r="AF36" t="s">
        <v>2067</v>
      </c>
      <c r="AG36" t="s">
        <v>2760</v>
      </c>
      <c r="AH36" t="s">
        <v>2068</v>
      </c>
      <c r="AI36" t="s">
        <v>360</v>
      </c>
      <c r="AJ36" t="s">
        <v>2069</v>
      </c>
      <c r="AK36" t="s">
        <v>2882</v>
      </c>
      <c r="AL36" t="s">
        <v>2070</v>
      </c>
      <c r="AM36" t="s">
        <v>5</v>
      </c>
      <c r="AN36" t="s">
        <v>79</v>
      </c>
      <c r="AO36" t="s">
        <v>2883</v>
      </c>
      <c r="AP36" t="s">
        <v>2884</v>
      </c>
      <c r="AQ36" t="s">
        <v>2885</v>
      </c>
      <c r="AR36" t="s">
        <v>5</v>
      </c>
      <c r="AS36" t="s">
        <v>1930</v>
      </c>
      <c r="AT36" t="s">
        <v>1074</v>
      </c>
      <c r="AU36" t="s">
        <v>2886</v>
      </c>
      <c r="AV36" t="s">
        <v>2887</v>
      </c>
      <c r="AW36" t="s">
        <v>29</v>
      </c>
      <c r="AX36" t="s">
        <v>465</v>
      </c>
      <c r="AY36" t="s">
        <v>116</v>
      </c>
      <c r="AZ36" t="s">
        <v>64</v>
      </c>
      <c r="BA36" t="s">
        <v>136</v>
      </c>
      <c r="BB36" t="s">
        <v>253</v>
      </c>
      <c r="BC36" t="s">
        <v>1382</v>
      </c>
      <c r="BD36" t="s">
        <v>518</v>
      </c>
      <c r="BE36" t="s">
        <v>1383</v>
      </c>
      <c r="BF36" t="s">
        <v>1384</v>
      </c>
      <c r="BG36" t="s">
        <v>1385</v>
      </c>
      <c r="BH36" t="s">
        <v>415</v>
      </c>
      <c r="BI36" t="s">
        <v>2071</v>
      </c>
      <c r="BJ36" t="s">
        <v>465</v>
      </c>
      <c r="BK36" t="s">
        <v>933</v>
      </c>
      <c r="BL36" t="s">
        <v>2072</v>
      </c>
      <c r="BM36" t="s">
        <v>1382</v>
      </c>
      <c r="BN36" t="s">
        <v>5</v>
      </c>
      <c r="BO36" t="s">
        <v>5</v>
      </c>
      <c r="BP36" t="s">
        <v>5</v>
      </c>
      <c r="BQ36">
        <v>-48.38</v>
      </c>
      <c r="BR36">
        <v>-141.38</v>
      </c>
      <c r="BS36">
        <v>-50.4</v>
      </c>
      <c r="BT36" t="s">
        <v>1280</v>
      </c>
      <c r="BU36" t="s">
        <v>2521</v>
      </c>
      <c r="BV36">
        <v>1.62</v>
      </c>
      <c r="BW36">
        <v>-5.29</v>
      </c>
      <c r="BX36">
        <v>25.01</v>
      </c>
      <c r="BY36">
        <v>-111</v>
      </c>
      <c r="BZ36">
        <v>-50.37</v>
      </c>
      <c r="CA36">
        <v>-86.22</v>
      </c>
      <c r="CB36">
        <v>-0.12</v>
      </c>
      <c r="CC36" s="10">
        <v>-19.420000000000002</v>
      </c>
      <c r="CD36" s="11" t="s">
        <v>2888</v>
      </c>
      <c r="CE36" s="10" t="s">
        <v>2889</v>
      </c>
      <c r="CF36" s="10">
        <v>0.11060107201851872</v>
      </c>
      <c r="CG36" s="10">
        <v>0.3039402210939437</v>
      </c>
      <c r="CH36" s="10">
        <v>-0.6033402681350708</v>
      </c>
      <c r="CI36" s="10">
        <v>2.2808218002319336</v>
      </c>
      <c r="CJ36" s="11">
        <v>0.3035714328289032</v>
      </c>
      <c r="CK36" s="11">
        <v>-0.35260117053985596</v>
      </c>
      <c r="CL36" s="11">
        <v>-5.4644808173179626E-2</v>
      </c>
      <c r="CM36" s="11">
        <v>0.11814346164464951</v>
      </c>
      <c r="CN36" s="11">
        <v>-0.89600002765655518</v>
      </c>
      <c r="CO36">
        <v>-1.4813451766967773</v>
      </c>
      <c r="CP36">
        <v>-2.7081499099731445</v>
      </c>
      <c r="CQ36">
        <v>-0.46547320485115051</v>
      </c>
      <c r="CR36" s="10">
        <v>-31.27545665612034</v>
      </c>
      <c r="CS36" s="11">
        <v>-0.99362427953706067</v>
      </c>
      <c r="CT36">
        <v>0</v>
      </c>
      <c r="CU36">
        <v>0.31476139724254609</v>
      </c>
      <c r="CV36">
        <v>-1.0865649715065957</v>
      </c>
      <c r="CW36">
        <v>0.06</v>
      </c>
      <c r="CX36" t="e">
        <v>#VALUE!</v>
      </c>
      <c r="CY36" t="s">
        <v>946</v>
      </c>
      <c r="CZ36">
        <v>0.31476139724254609</v>
      </c>
      <c r="DA36" t="e">
        <v>#VALUE!</v>
      </c>
      <c r="DB36" t="s">
        <v>947</v>
      </c>
      <c r="DC36">
        <v>0.29902332738041876</v>
      </c>
      <c r="DD36" t="e">
        <v>#VALUE!</v>
      </c>
      <c r="DE36" t="s">
        <v>947</v>
      </c>
      <c r="DF36">
        <v>0.27699002957344054</v>
      </c>
      <c r="DG36" t="e">
        <v>#VALUE!</v>
      </c>
      <c r="DH36" t="s">
        <v>947</v>
      </c>
      <c r="DI36">
        <v>0.25180911779403686</v>
      </c>
      <c r="DJ36" t="e">
        <v>#VALUE!</v>
      </c>
      <c r="DK36" t="s">
        <v>947</v>
      </c>
      <c r="DL36">
        <v>0.22033297806978225</v>
      </c>
      <c r="DM36">
        <v>-209000000</v>
      </c>
      <c r="DN36">
        <v>0.31476139724254609</v>
      </c>
      <c r="DO36">
        <v>4004648500</v>
      </c>
      <c r="DP36">
        <v>-211312470</v>
      </c>
      <c r="DQ36" s="12">
        <v>1999</v>
      </c>
      <c r="DR36">
        <v>-0.20416032522402738</v>
      </c>
      <c r="DS36">
        <v>1.3905051926005394</v>
      </c>
      <c r="DT36">
        <v>-0.44</v>
      </c>
      <c r="DU36">
        <v>-2.8050000000000002</v>
      </c>
      <c r="DV36">
        <v>-3.2450000000000001</v>
      </c>
      <c r="DW36">
        <v>-3.0386785714285716</v>
      </c>
      <c r="DX36">
        <v>0.31985727669932562</v>
      </c>
      <c r="DY36">
        <v>-3.0057962653809063</v>
      </c>
      <c r="DZ36">
        <v>4973</v>
      </c>
      <c r="EA36">
        <v>-3.0001553988957306</v>
      </c>
      <c r="EB36" s="13">
        <v>3</v>
      </c>
      <c r="EC36" s="13">
        <v>7.9626010496573599E-2</v>
      </c>
      <c r="ED36">
        <v>0.53134563933345103</v>
      </c>
      <c r="EE36">
        <v>4.0358000000000001</v>
      </c>
      <c r="EF36">
        <v>4.0065</v>
      </c>
      <c r="EG36">
        <v>17.149857276699326</v>
      </c>
      <c r="EH36" s="14" t="s">
        <v>1569</v>
      </c>
      <c r="EI36">
        <v>0</v>
      </c>
      <c r="EJ36">
        <v>0</v>
      </c>
      <c r="EK36">
        <v>45470</v>
      </c>
      <c r="EL36">
        <v>0.61</v>
      </c>
      <c r="EM36">
        <v>1.75</v>
      </c>
      <c r="EN36">
        <v>-5.03</v>
      </c>
      <c r="EO36">
        <v>4.3600000000000003</v>
      </c>
      <c r="EP36">
        <v>-2.93</v>
      </c>
    </row>
    <row r="37" spans="1:146" ht="96" x14ac:dyDescent="0.25">
      <c r="A37" s="9"/>
      <c r="B37" s="9"/>
      <c r="C37" s="9" t="str">
        <f>""&amp;CHAR(10)&amp;Basic_Fundamental_Information_Constructure(F37)&amp;CHAR(10)&amp;Basic_Fundamental_Information_Concatenate("")</f>
        <v xml:space="preserve">
市值105.856176亿, 利润5.76亿; PE21.15; 平均PE30.88; 平均PEG.72, PB1.07; ROIC6.53%; ROE9.3167%; 股利率2.7954%; 毛利42.5967%; 净利20.3267%; 上一年度营收增4.62%, 利润增-19.89%; 当季营收增7.52%, 利润增-41.47%; 过往5年营收增43.18%, 利润增43.66%
Income profile:
</v>
      </c>
      <c r="D37" t="s">
        <v>783</v>
      </c>
      <c r="E37" t="s">
        <v>784</v>
      </c>
      <c r="F37">
        <v>7.87</v>
      </c>
      <c r="G37">
        <v>-0.38</v>
      </c>
      <c r="H37" t="s">
        <v>2890</v>
      </c>
      <c r="I37">
        <v>10585617600</v>
      </c>
      <c r="J37">
        <v>21.15</v>
      </c>
      <c r="K37">
        <v>1.07</v>
      </c>
      <c r="L37" t="s">
        <v>973</v>
      </c>
      <c r="M37" t="s">
        <v>1617</v>
      </c>
      <c r="N37" t="s">
        <v>2891</v>
      </c>
      <c r="O37" t="s">
        <v>679</v>
      </c>
      <c r="P37">
        <v>7.51</v>
      </c>
      <c r="Q37" t="s">
        <v>2073</v>
      </c>
      <c r="R37">
        <v>107110892</v>
      </c>
      <c r="S37" s="6">
        <v>-0.41449999999999998</v>
      </c>
      <c r="T37" t="s">
        <v>1129</v>
      </c>
      <c r="U37">
        <v>1212593850</v>
      </c>
      <c r="V37">
        <v>1345059400</v>
      </c>
      <c r="W37">
        <v>1.88</v>
      </c>
      <c r="X37">
        <v>0.04</v>
      </c>
      <c r="Y37">
        <v>14.83</v>
      </c>
      <c r="Z37" t="s">
        <v>466</v>
      </c>
      <c r="AA37" t="s">
        <v>78</v>
      </c>
      <c r="AB37" t="s">
        <v>2892</v>
      </c>
      <c r="AC37" t="s">
        <v>2893</v>
      </c>
      <c r="AD37" t="s">
        <v>5</v>
      </c>
      <c r="AE37">
        <v>6156571</v>
      </c>
      <c r="AF37" t="s">
        <v>2074</v>
      </c>
      <c r="AG37" t="s">
        <v>2894</v>
      </c>
      <c r="AH37" t="s">
        <v>2075</v>
      </c>
      <c r="AI37" t="s">
        <v>2895</v>
      </c>
      <c r="AJ37" t="s">
        <v>2076</v>
      </c>
      <c r="AK37" t="s">
        <v>177</v>
      </c>
      <c r="AL37" t="s">
        <v>2077</v>
      </c>
      <c r="AM37" t="s">
        <v>5</v>
      </c>
      <c r="AN37" t="s">
        <v>1803</v>
      </c>
      <c r="AO37" t="s">
        <v>2896</v>
      </c>
      <c r="AP37" t="s">
        <v>93</v>
      </c>
      <c r="AQ37" t="s">
        <v>76</v>
      </c>
      <c r="AR37" t="s">
        <v>5</v>
      </c>
      <c r="AS37" t="s">
        <v>2675</v>
      </c>
      <c r="AT37" t="s">
        <v>1953</v>
      </c>
      <c r="AU37" t="s">
        <v>62</v>
      </c>
      <c r="AV37" t="s">
        <v>2897</v>
      </c>
      <c r="AW37" t="s">
        <v>1717</v>
      </c>
      <c r="AX37" t="s">
        <v>1386</v>
      </c>
      <c r="AY37" t="s">
        <v>666</v>
      </c>
      <c r="AZ37" t="s">
        <v>570</v>
      </c>
      <c r="BA37" t="s">
        <v>344</v>
      </c>
      <c r="BB37" t="s">
        <v>613</v>
      </c>
      <c r="BC37" t="s">
        <v>524</v>
      </c>
      <c r="BD37" t="s">
        <v>514</v>
      </c>
      <c r="BE37" t="s">
        <v>59</v>
      </c>
      <c r="BF37" t="s">
        <v>152</v>
      </c>
      <c r="BG37" t="s">
        <v>43</v>
      </c>
      <c r="BH37" t="s">
        <v>2073</v>
      </c>
      <c r="BI37" t="s">
        <v>537</v>
      </c>
      <c r="BJ37" t="s">
        <v>1386</v>
      </c>
      <c r="BK37" t="s">
        <v>1129</v>
      </c>
      <c r="BL37" t="s">
        <v>253</v>
      </c>
      <c r="BM37" t="s">
        <v>524</v>
      </c>
      <c r="BN37">
        <v>5.16</v>
      </c>
      <c r="BO37">
        <v>8.18</v>
      </c>
      <c r="BP37">
        <v>6.25</v>
      </c>
      <c r="BQ37">
        <v>7.71</v>
      </c>
      <c r="BR37">
        <v>11.82</v>
      </c>
      <c r="BS37">
        <v>8.42</v>
      </c>
      <c r="BT37" t="s">
        <v>1290</v>
      </c>
      <c r="BU37" t="s">
        <v>2508</v>
      </c>
      <c r="BV37">
        <v>44.42</v>
      </c>
      <c r="BW37">
        <v>45.57</v>
      </c>
      <c r="BX37">
        <v>37.799999999999997</v>
      </c>
      <c r="BY37">
        <v>19.7</v>
      </c>
      <c r="BZ37">
        <v>25.95</v>
      </c>
      <c r="CA37">
        <v>15.33</v>
      </c>
      <c r="CB37">
        <v>-4.0199999999999996</v>
      </c>
      <c r="CC37">
        <v>-19.03</v>
      </c>
      <c r="CD37" t="s">
        <v>2898</v>
      </c>
      <c r="CE37" t="s">
        <v>551</v>
      </c>
      <c r="CF37" s="10">
        <v>7.5187969924812026E-2</v>
      </c>
      <c r="CG37" s="11">
        <v>-0.41469457923497266</v>
      </c>
      <c r="CH37" s="10">
        <v>4.6180535107851028E-2</v>
      </c>
      <c r="CI37" s="10">
        <v>0.54755514860153198</v>
      </c>
      <c r="CJ37" s="10">
        <v>0.92450875043869019</v>
      </c>
      <c r="CK37" s="10">
        <v>0.61166667938232422</v>
      </c>
      <c r="CL37" s="10">
        <v>2.9159519821405411E-2</v>
      </c>
      <c r="CM37" s="11">
        <v>-0.19888734817504883</v>
      </c>
      <c r="CN37" s="11">
        <v>1.5406360626220703</v>
      </c>
      <c r="CO37" s="11">
        <v>1.3388429880142212</v>
      </c>
      <c r="CP37" s="11">
        <v>-0.11029411852359772</v>
      </c>
      <c r="CQ37" s="11">
        <v>-0.38738739490509033</v>
      </c>
      <c r="CR37">
        <v>30.876862226543512</v>
      </c>
      <c r="CS37">
        <v>0.71504984018539008</v>
      </c>
      <c r="CT37">
        <v>2.7954256670902162</v>
      </c>
      <c r="CU37" s="10">
        <v>0.43181412667036057</v>
      </c>
      <c r="CV37" s="11">
        <v>0.43658203780651095</v>
      </c>
      <c r="CW37">
        <v>0.06</v>
      </c>
      <c r="CX37">
        <v>10.897372267055275</v>
      </c>
      <c r="CY37">
        <v>778042393.36049783</v>
      </c>
      <c r="CZ37">
        <v>0.43181412667036057</v>
      </c>
      <c r="DA37">
        <v>2.698350059190719</v>
      </c>
      <c r="DB37">
        <v>3142148873.9466524</v>
      </c>
      <c r="DC37">
        <v>0.4102234203368425</v>
      </c>
      <c r="DD37">
        <v>0.88222640139574604</v>
      </c>
      <c r="DE37">
        <v>9610478202.1782761</v>
      </c>
      <c r="DF37">
        <v>0.3799964314699173</v>
      </c>
      <c r="DG37">
        <v>0.31689800692099079</v>
      </c>
      <c r="DH37">
        <v>26755036052.069252</v>
      </c>
      <c r="DI37">
        <v>0.34545130133628849</v>
      </c>
      <c r="DJ37">
        <v>4.5366384285958995E-2</v>
      </c>
      <c r="DK37">
        <v>186892072918.05603</v>
      </c>
      <c r="DL37">
        <v>0.30226988866925236</v>
      </c>
      <c r="DM37">
        <v>576000000</v>
      </c>
      <c r="DN37">
        <v>0.43181412667036057</v>
      </c>
      <c r="DO37">
        <v>8478617600</v>
      </c>
      <c r="DP37">
        <v>3952964200</v>
      </c>
      <c r="DQ37">
        <v>2036</v>
      </c>
      <c r="DR37">
        <v>-0.35662615674554854</v>
      </c>
      <c r="DS37">
        <v>-0.85127661704148361</v>
      </c>
      <c r="DT37" s="12">
        <v>0.20999999999999996</v>
      </c>
      <c r="DU37">
        <v>7.999999999999996E-2</v>
      </c>
      <c r="DV37">
        <v>0.28999999999999992</v>
      </c>
      <c r="DW37">
        <v>-8.2112454019968464</v>
      </c>
      <c r="DX37">
        <v>0.34333044848484828</v>
      </c>
      <c r="DY37">
        <v>-8.0281654441886019</v>
      </c>
      <c r="DZ37">
        <v>1075</v>
      </c>
      <c r="EA37">
        <v>-8.0222402284346401</v>
      </c>
      <c r="EB37">
        <v>8</v>
      </c>
      <c r="EC37">
        <v>6.5423207331958722E-2</v>
      </c>
      <c r="ED37">
        <v>0.49068464931734612</v>
      </c>
      <c r="EE37" s="13">
        <v>-2.0644</v>
      </c>
      <c r="EF37">
        <v>-2.0407999999999999</v>
      </c>
      <c r="EG37">
        <v>21.133330448484848</v>
      </c>
      <c r="EH37" t="s">
        <v>1308</v>
      </c>
      <c r="EI37">
        <v>0</v>
      </c>
      <c r="EJ37">
        <v>1</v>
      </c>
      <c r="EK37" s="14">
        <v>45470</v>
      </c>
      <c r="EL37">
        <v>-1.71</v>
      </c>
      <c r="EM37">
        <v>-5.12</v>
      </c>
      <c r="EN37">
        <v>-0.49</v>
      </c>
      <c r="EO37">
        <v>4.43</v>
      </c>
      <c r="EP37">
        <v>-2.36</v>
      </c>
    </row>
    <row r="38" spans="1:146" ht="96" x14ac:dyDescent="0.25">
      <c r="C38" s="9" t="str">
        <f>""&amp;CHAR(10)&amp;Basic_Fundamental_Information_Constructure(F38)&amp;CHAR(10)&amp;Basic_Fundamental_Information_Concatenate("")</f>
        <v xml:space="preserve">
市值25.698411亿, 利润9371.40万; PE44.48; 平均PE53; 平均PEG1.58, PB1.55; ROIC5.47%; ROE8.0067%; 股利率1.4219%; 毛利21.7367%; 净利3.32%; 上一年度营收增23.8%, 利润增40.77%; 当季营收增-27.1%, 利润增-168.82%; 过往5年营收增33.61%, 利润增43.68%
Income profile:
</v>
      </c>
      <c r="D38" t="s">
        <v>785</v>
      </c>
      <c r="E38" t="s">
        <v>786</v>
      </c>
      <c r="F38">
        <v>19.2</v>
      </c>
      <c r="G38">
        <v>0.84</v>
      </c>
      <c r="H38" t="s">
        <v>2899</v>
      </c>
      <c r="I38">
        <v>2569841100</v>
      </c>
      <c r="J38">
        <v>44.48</v>
      </c>
      <c r="K38">
        <v>1.55</v>
      </c>
      <c r="L38" t="s">
        <v>973</v>
      </c>
      <c r="M38" t="s">
        <v>2080</v>
      </c>
      <c r="N38" t="s">
        <v>2263</v>
      </c>
      <c r="O38" t="s">
        <v>148</v>
      </c>
      <c r="P38">
        <v>-26.97</v>
      </c>
      <c r="Q38" t="s">
        <v>2081</v>
      </c>
      <c r="R38">
        <v>-14649641</v>
      </c>
      <c r="S38" s="6">
        <v>-1.6879999999999999</v>
      </c>
      <c r="T38" t="s">
        <v>2082</v>
      </c>
      <c r="U38">
        <v>109979828</v>
      </c>
      <c r="V38">
        <v>133845891</v>
      </c>
      <c r="W38">
        <v>2.66</v>
      </c>
      <c r="X38">
        <v>0.08</v>
      </c>
      <c r="Y38">
        <v>-5.55</v>
      </c>
      <c r="Z38" t="s">
        <v>180</v>
      </c>
      <c r="AA38" t="s">
        <v>514</v>
      </c>
      <c r="AB38" t="s">
        <v>2900</v>
      </c>
      <c r="AC38" t="s">
        <v>2901</v>
      </c>
      <c r="AD38" t="s">
        <v>5</v>
      </c>
      <c r="AE38">
        <v>16122906</v>
      </c>
      <c r="AF38" t="s">
        <v>2083</v>
      </c>
      <c r="AG38">
        <v>4000</v>
      </c>
      <c r="AH38" t="s">
        <v>2084</v>
      </c>
      <c r="AI38" t="s">
        <v>2902</v>
      </c>
      <c r="AJ38" t="s">
        <v>2085</v>
      </c>
      <c r="AK38" t="s">
        <v>2903</v>
      </c>
      <c r="AL38" t="s">
        <v>2086</v>
      </c>
      <c r="AM38" t="s">
        <v>5</v>
      </c>
      <c r="AN38" t="s">
        <v>2904</v>
      </c>
      <c r="AO38" t="s">
        <v>1768</v>
      </c>
      <c r="AP38" t="s">
        <v>112</v>
      </c>
      <c r="AQ38" t="s">
        <v>184</v>
      </c>
      <c r="AR38" t="s">
        <v>5</v>
      </c>
      <c r="AS38" t="s">
        <v>2905</v>
      </c>
      <c r="AT38" t="s">
        <v>362</v>
      </c>
      <c r="AU38" t="s">
        <v>1884</v>
      </c>
      <c r="AV38" t="s">
        <v>2906</v>
      </c>
      <c r="AW38" t="s">
        <v>2907</v>
      </c>
      <c r="AX38" t="s">
        <v>985</v>
      </c>
      <c r="AY38" t="s">
        <v>1025</v>
      </c>
      <c r="AZ38" t="s">
        <v>508</v>
      </c>
      <c r="BA38" t="s">
        <v>344</v>
      </c>
      <c r="BB38" t="s">
        <v>321</v>
      </c>
      <c r="BC38" t="s">
        <v>2087</v>
      </c>
      <c r="BD38" t="s">
        <v>1026</v>
      </c>
      <c r="BE38" t="s">
        <v>787</v>
      </c>
      <c r="BF38" t="s">
        <v>788</v>
      </c>
      <c r="BG38" t="s">
        <v>789</v>
      </c>
      <c r="BH38" t="s">
        <v>2081</v>
      </c>
      <c r="BI38" t="s">
        <v>282</v>
      </c>
      <c r="BJ38" t="s">
        <v>985</v>
      </c>
      <c r="BK38" t="s">
        <v>2082</v>
      </c>
      <c r="BL38" t="s">
        <v>2088</v>
      </c>
      <c r="BM38" t="s">
        <v>2087</v>
      </c>
      <c r="BN38">
        <v>6.11</v>
      </c>
      <c r="BO38">
        <v>5.97</v>
      </c>
      <c r="BP38">
        <v>4.33</v>
      </c>
      <c r="BQ38">
        <v>10.59</v>
      </c>
      <c r="BR38">
        <v>8</v>
      </c>
      <c r="BS38">
        <v>5.43</v>
      </c>
      <c r="BT38" t="s">
        <v>2089</v>
      </c>
      <c r="BU38" t="s">
        <v>2777</v>
      </c>
      <c r="BV38">
        <v>21.61</v>
      </c>
      <c r="BW38">
        <v>20.88</v>
      </c>
      <c r="BX38">
        <v>22.72</v>
      </c>
      <c r="BY38">
        <v>3.71</v>
      </c>
      <c r="BZ38">
        <v>3.64</v>
      </c>
      <c r="CA38">
        <v>2.61</v>
      </c>
      <c r="CB38">
        <v>-20.79</v>
      </c>
      <c r="CC38">
        <v>-35.08</v>
      </c>
      <c r="CD38" t="s">
        <v>2908</v>
      </c>
      <c r="CE38" t="s">
        <v>2909</v>
      </c>
      <c r="CF38" s="10">
        <v>-0.27100840336134452</v>
      </c>
      <c r="CG38" s="11">
        <v>-1.688177201751254</v>
      </c>
      <c r="CH38" s="10">
        <v>0.23804283142089844</v>
      </c>
      <c r="CI38" s="10">
        <v>0.58173918724060059</v>
      </c>
      <c r="CJ38" s="10">
        <v>0.936026930809021</v>
      </c>
      <c r="CK38" s="10">
        <v>-9.9999997764825821E-3</v>
      </c>
      <c r="CL38" s="10">
        <v>-6.5420560538768768E-2</v>
      </c>
      <c r="CM38" s="11">
        <v>0.40767300128936768</v>
      </c>
      <c r="CN38" s="11">
        <v>1.216463565826416</v>
      </c>
      <c r="CO38" s="11">
        <v>1.3574472665786743</v>
      </c>
      <c r="CP38" s="11">
        <v>-0.69307094812393188</v>
      </c>
      <c r="CQ38" s="11">
        <v>-0.1046893298625946</v>
      </c>
      <c r="CR38">
        <v>52.997287072296274</v>
      </c>
      <c r="CS38">
        <v>1.5769356481610186</v>
      </c>
      <c r="CT38">
        <v>1.421875</v>
      </c>
      <c r="CU38" s="10">
        <v>0.33607767783105374</v>
      </c>
      <c r="CV38" s="11">
        <v>0.43676471114158633</v>
      </c>
      <c r="CW38">
        <v>0.06</v>
      </c>
      <c r="CX38">
        <v>31.770924901780546</v>
      </c>
      <c r="CY38">
        <v>118121871.22665977</v>
      </c>
      <c r="CZ38">
        <v>0.33607767783105374</v>
      </c>
      <c r="DA38">
        <v>8.4814984478284803</v>
      </c>
      <c r="DB38">
        <v>442473829.72295898</v>
      </c>
      <c r="DC38">
        <v>0.31927379393950106</v>
      </c>
      <c r="DD38">
        <v>3.1183239967078005</v>
      </c>
      <c r="DE38">
        <v>1203480172.02898</v>
      </c>
      <c r="DF38">
        <v>0.2957483564913273</v>
      </c>
      <c r="DG38">
        <v>1.3077115532037982</v>
      </c>
      <c r="DH38">
        <v>2869777429.7442064</v>
      </c>
      <c r="DI38">
        <v>0.26886214226484301</v>
      </c>
      <c r="DJ38">
        <v>0.27945376302022623</v>
      </c>
      <c r="DK38">
        <v>13429202238.82753</v>
      </c>
      <c r="DL38">
        <v>0.23525437448173761</v>
      </c>
      <c r="DM38">
        <v>93714000</v>
      </c>
      <c r="DN38">
        <v>0.33607767783105374</v>
      </c>
      <c r="DO38">
        <v>3752841100</v>
      </c>
      <c r="DP38">
        <v>452611400</v>
      </c>
      <c r="DQ38">
        <v>2086</v>
      </c>
      <c r="DR38">
        <v>-0.60708608119239826</v>
      </c>
      <c r="DS38">
        <v>-2.1249419128928402</v>
      </c>
      <c r="DT38" s="12">
        <v>0.14333333333333331</v>
      </c>
      <c r="DU38">
        <v>-0.39833333333333337</v>
      </c>
      <c r="DV38">
        <v>-0.25500000000000006</v>
      </c>
      <c r="DW38">
        <v>-9.5926453819840365</v>
      </c>
      <c r="DX38">
        <v>0.67977091346561103</v>
      </c>
      <c r="DY38">
        <v>-9.3317456468343796</v>
      </c>
      <c r="DZ38">
        <v>2331</v>
      </c>
      <c r="EA38">
        <v>-9.1804150983469164</v>
      </c>
      <c r="EB38">
        <v>9</v>
      </c>
      <c r="EC38">
        <v>0.14809270461653545</v>
      </c>
      <c r="ED38">
        <v>0.26455948505733357</v>
      </c>
      <c r="EE38" s="13">
        <v>-3.0506000000000002</v>
      </c>
      <c r="EF38">
        <v>-3.0179999999999998</v>
      </c>
      <c r="EG38">
        <v>12.559770913465611</v>
      </c>
      <c r="EH38" t="s">
        <v>1577</v>
      </c>
      <c r="EI38">
        <v>0</v>
      </c>
      <c r="EJ38">
        <v>0</v>
      </c>
      <c r="EK38" s="14">
        <v>45470</v>
      </c>
      <c r="EL38">
        <v>-1.54</v>
      </c>
      <c r="EM38">
        <v>-4.08</v>
      </c>
      <c r="EN38">
        <v>-0.78</v>
      </c>
      <c r="EO38">
        <v>4.82</v>
      </c>
      <c r="EP38">
        <v>-3.26</v>
      </c>
    </row>
    <row r="39" spans="1:146" ht="96" x14ac:dyDescent="0.25">
      <c r="C39" s="9" t="str">
        <f>""&amp;CHAR(10)&amp;Basic_Fundamental_Information_Constructure(F39)&amp;CHAR(10)&amp;Basic_Fundamental_Information_Concatenate("")</f>
        <v xml:space="preserve">
市值24.13311亿, 利润-1.93亿; PE; 平均PE-539.45; 平均PEG-18.27, PB2.89; ROIC8.91%; ROE.2%; 股利率0%; 毛利33.45%; 净利-3.1633%; 上一年度营收增-29.14%, 利润增-2232.05%; 当季营收增19.75%, 利润增17.3%; 过往5年营收增29.53%, 利润增-172.64%
Income profile:
</v>
      </c>
      <c r="D39" t="s">
        <v>790</v>
      </c>
      <c r="E39" t="s">
        <v>791</v>
      </c>
      <c r="F39">
        <v>16.329999999999998</v>
      </c>
      <c r="G39">
        <v>0.55000000000000004</v>
      </c>
      <c r="H39" t="s">
        <v>2910</v>
      </c>
      <c r="I39">
        <v>2413311000</v>
      </c>
      <c r="K39">
        <v>2.89</v>
      </c>
      <c r="L39" t="s">
        <v>973</v>
      </c>
      <c r="M39" t="s">
        <v>680</v>
      </c>
      <c r="N39" t="s">
        <v>1254</v>
      </c>
      <c r="O39" t="s">
        <v>141</v>
      </c>
      <c r="P39">
        <v>20.04</v>
      </c>
      <c r="Q39" t="s">
        <v>1683</v>
      </c>
      <c r="R39">
        <v>-27601203</v>
      </c>
      <c r="S39" s="6">
        <v>0.17299999999999999</v>
      </c>
      <c r="T39" t="s">
        <v>1737</v>
      </c>
      <c r="U39">
        <v>106189440</v>
      </c>
      <c r="V39">
        <v>147783900</v>
      </c>
      <c r="W39">
        <v>2.88</v>
      </c>
      <c r="X39">
        <v>0.08</v>
      </c>
      <c r="Y39">
        <v>-14.85</v>
      </c>
      <c r="Z39" t="s">
        <v>498</v>
      </c>
      <c r="AA39" t="s">
        <v>35</v>
      </c>
      <c r="AB39" t="s">
        <v>2911</v>
      </c>
      <c r="AC39" t="s">
        <v>2912</v>
      </c>
      <c r="AD39" t="s">
        <v>5</v>
      </c>
      <c r="AE39">
        <v>7545634</v>
      </c>
      <c r="AF39" t="s">
        <v>2090</v>
      </c>
      <c r="AG39" t="s">
        <v>2913</v>
      </c>
      <c r="AH39" t="s">
        <v>2091</v>
      </c>
      <c r="AI39" t="s">
        <v>245</v>
      </c>
      <c r="AJ39" t="s">
        <v>2092</v>
      </c>
      <c r="AK39" t="s">
        <v>2914</v>
      </c>
      <c r="AL39" t="s">
        <v>2093</v>
      </c>
      <c r="AM39" t="s">
        <v>5</v>
      </c>
      <c r="AN39" t="s">
        <v>2915</v>
      </c>
      <c r="AO39" t="s">
        <v>567</v>
      </c>
      <c r="AP39" t="s">
        <v>116</v>
      </c>
      <c r="AQ39" t="s">
        <v>400</v>
      </c>
      <c r="AR39" t="s">
        <v>5</v>
      </c>
      <c r="AS39" t="s">
        <v>2097</v>
      </c>
      <c r="AT39" t="s">
        <v>2094</v>
      </c>
      <c r="AU39" t="s">
        <v>2916</v>
      </c>
      <c r="AV39" t="s">
        <v>2917</v>
      </c>
      <c r="AW39" t="s">
        <v>2918</v>
      </c>
      <c r="AX39" t="s">
        <v>281</v>
      </c>
      <c r="AY39" t="s">
        <v>476</v>
      </c>
      <c r="AZ39" t="s">
        <v>389</v>
      </c>
      <c r="BA39" t="s">
        <v>101</v>
      </c>
      <c r="BB39" t="s">
        <v>30</v>
      </c>
      <c r="BC39" t="s">
        <v>2095</v>
      </c>
      <c r="BD39" t="s">
        <v>1027</v>
      </c>
      <c r="BE39" t="s">
        <v>792</v>
      </c>
      <c r="BF39" t="s">
        <v>793</v>
      </c>
      <c r="BG39" t="s">
        <v>794</v>
      </c>
      <c r="BH39" t="s">
        <v>1683</v>
      </c>
      <c r="BI39" t="s">
        <v>150</v>
      </c>
      <c r="BJ39" t="s">
        <v>281</v>
      </c>
      <c r="BK39" t="s">
        <v>1737</v>
      </c>
      <c r="BL39" t="s">
        <v>2096</v>
      </c>
      <c r="BM39" t="s">
        <v>2095</v>
      </c>
      <c r="BN39" t="s">
        <v>5</v>
      </c>
      <c r="BO39" t="s">
        <v>5</v>
      </c>
      <c r="BP39">
        <v>8.91</v>
      </c>
      <c r="BQ39">
        <v>-8.0299999999999994</v>
      </c>
      <c r="BR39">
        <v>0.86</v>
      </c>
      <c r="BS39">
        <v>7.77</v>
      </c>
      <c r="BT39" t="s">
        <v>1280</v>
      </c>
      <c r="BU39" t="s">
        <v>2777</v>
      </c>
      <c r="BV39">
        <v>27.69</v>
      </c>
      <c r="BW39">
        <v>27.78</v>
      </c>
      <c r="BX39">
        <v>44.88</v>
      </c>
      <c r="BY39">
        <v>-21.43</v>
      </c>
      <c r="BZ39">
        <v>0.7</v>
      </c>
      <c r="CA39">
        <v>11.24</v>
      </c>
      <c r="CB39">
        <v>-3.83</v>
      </c>
      <c r="CC39">
        <v>-16.899999999999999</v>
      </c>
      <c r="CD39" t="s">
        <v>2919</v>
      </c>
      <c r="CE39" t="s">
        <v>2920</v>
      </c>
      <c r="CF39" s="10">
        <v>0.19745222929936307</v>
      </c>
      <c r="CG39" s="11">
        <v>0.17297040501709421</v>
      </c>
      <c r="CH39" s="10">
        <v>-0.29140624403953552</v>
      </c>
      <c r="CI39" s="10">
        <v>0.57829838991165161</v>
      </c>
      <c r="CJ39" s="10">
        <v>0.4104347825050354</v>
      </c>
      <c r="CK39" s="10">
        <v>0.57103824615478516</v>
      </c>
      <c r="CL39" s="10">
        <v>0.20792078971862793</v>
      </c>
      <c r="CM39" s="11">
        <v>-22.320549011230469</v>
      </c>
      <c r="CN39" s="11">
        <v>-0.88096219301223755</v>
      </c>
      <c r="CO39" s="11">
        <v>0.3342176079750061</v>
      </c>
      <c r="CP39" s="11">
        <v>15.062562942504883</v>
      </c>
      <c r="CQ39" s="11">
        <v>-0.82703810930252075</v>
      </c>
      <c r="CR39">
        <v>-539.4521231810088</v>
      </c>
      <c r="CS39">
        <v>-18.270583621475438</v>
      </c>
      <c r="CT39">
        <v>0</v>
      </c>
      <c r="CU39" s="10">
        <v>0.29525719285011293</v>
      </c>
      <c r="CV39" s="11">
        <v>-1.7263537526130677</v>
      </c>
      <c r="CW39">
        <v>0.06</v>
      </c>
      <c r="CX39" t="e">
        <v>#VALUE!</v>
      </c>
      <c r="CY39" t="s">
        <v>946</v>
      </c>
      <c r="CZ39">
        <v>0.29525719285011293</v>
      </c>
      <c r="DA39" t="e">
        <v>#VALUE!</v>
      </c>
      <c r="DB39" t="s">
        <v>947</v>
      </c>
      <c r="DC39">
        <v>0.28049433320760725</v>
      </c>
      <c r="DD39" t="e">
        <v>#VALUE!</v>
      </c>
      <c r="DE39" t="s">
        <v>947</v>
      </c>
      <c r="DF39">
        <v>0.25982632970809938</v>
      </c>
      <c r="DG39" t="e">
        <v>#VALUE!</v>
      </c>
      <c r="DH39" t="s">
        <v>947</v>
      </c>
      <c r="DI39">
        <v>0.23620575428009036</v>
      </c>
      <c r="DJ39" t="e">
        <v>#VALUE!</v>
      </c>
      <c r="DK39" t="s">
        <v>947</v>
      </c>
      <c r="DL39">
        <v>0.20668003499507903</v>
      </c>
      <c r="DM39">
        <v>-193000000</v>
      </c>
      <c r="DN39">
        <v>0.29525719285011293</v>
      </c>
      <c r="DO39">
        <v>3167311000</v>
      </c>
      <c r="DP39">
        <v>-9249400</v>
      </c>
      <c r="DQ39">
        <v>2114</v>
      </c>
      <c r="DR39">
        <v>-9.7804963550749857E-2</v>
      </c>
      <c r="DS39">
        <v>1.8993241576301618</v>
      </c>
      <c r="DT39" s="12">
        <v>-0.10666666666666676</v>
      </c>
      <c r="DU39">
        <v>-1.656666666666667</v>
      </c>
      <c r="DV39">
        <v>-1.7633333333333336</v>
      </c>
      <c r="DW39">
        <v>-8.2266272189349117</v>
      </c>
      <c r="DX39">
        <v>0.26629431710876333</v>
      </c>
      <c r="DY39">
        <v>-8.0150240967175481</v>
      </c>
      <c r="DZ39">
        <v>4227</v>
      </c>
      <c r="EA39">
        <v>-8.0025961403917023</v>
      </c>
      <c r="EB39">
        <v>8</v>
      </c>
      <c r="EC39">
        <v>4.1804959809559762E-2</v>
      </c>
      <c r="ED39">
        <v>0.6305964316816649</v>
      </c>
      <c r="EE39" s="13">
        <v>3.0274999999999999</v>
      </c>
      <c r="EF39">
        <v>3.0099</v>
      </c>
      <c r="EG39">
        <v>20.066294317108763</v>
      </c>
      <c r="EH39" t="s">
        <v>1306</v>
      </c>
      <c r="EI39">
        <v>0</v>
      </c>
      <c r="EJ39">
        <v>0</v>
      </c>
      <c r="EK39" s="14">
        <v>45470</v>
      </c>
      <c r="EL39">
        <v>-2.33</v>
      </c>
      <c r="EM39">
        <v>-4.01</v>
      </c>
      <c r="EN39">
        <v>0.42</v>
      </c>
      <c r="EO39">
        <v>2.65</v>
      </c>
      <c r="EP39">
        <v>-1.76</v>
      </c>
    </row>
    <row r="40" spans="1:146" ht="96" x14ac:dyDescent="0.25">
      <c r="C40" s="9" t="str">
        <f>""&amp;CHAR(10)&amp;Basic_Fundamental_Information_Constructure(F40)&amp;CHAR(10)&amp;Basic_Fundamental_Information_Concatenate("")</f>
        <v xml:space="preserve">
市值7813.1614亿, 利润441.21亿; PE17.44; 平均PE44.94; 平均PEG.57, PB3.76; ROIC12.9267%; ROE21.48%; 股利率1.1322%; 毛利23.1467%; 净利11.8467%; 上一年度营收增22.01%, 利润增43.58%; 当季营收增-10.41%, 利润增7%; 过往5年营收增79.53%, 利润增75.78%
Income profile:
</v>
      </c>
      <c r="D40" t="s">
        <v>795</v>
      </c>
      <c r="E40" t="s">
        <v>796</v>
      </c>
      <c r="F40">
        <v>177.62</v>
      </c>
      <c r="G40">
        <v>-1.1000000000000001</v>
      </c>
      <c r="H40" t="s">
        <v>2921</v>
      </c>
      <c r="I40">
        <v>781316140000</v>
      </c>
      <c r="J40">
        <v>17.440000000000001</v>
      </c>
      <c r="K40">
        <v>3.76</v>
      </c>
      <c r="L40" t="s">
        <v>973</v>
      </c>
      <c r="M40" t="s">
        <v>2098</v>
      </c>
      <c r="N40" t="s">
        <v>2922</v>
      </c>
      <c r="O40" t="s">
        <v>2099</v>
      </c>
      <c r="P40">
        <v>-10.41</v>
      </c>
      <c r="Q40" t="s">
        <v>2100</v>
      </c>
      <c r="R40">
        <v>10509923200</v>
      </c>
      <c r="S40" s="6">
        <v>7.0000000000000007E-2</v>
      </c>
      <c r="T40" t="s">
        <v>2101</v>
      </c>
      <c r="U40">
        <v>3894854500</v>
      </c>
      <c r="V40">
        <v>4398807200</v>
      </c>
      <c r="W40">
        <v>3.17</v>
      </c>
      <c r="X40">
        <v>0.11</v>
      </c>
      <c r="Y40">
        <v>14.03</v>
      </c>
      <c r="Z40" t="s">
        <v>2923</v>
      </c>
      <c r="AA40" t="s">
        <v>2924</v>
      </c>
      <c r="AB40" t="s">
        <v>802</v>
      </c>
      <c r="AC40" t="s">
        <v>2925</v>
      </c>
      <c r="AD40" t="s">
        <v>5</v>
      </c>
      <c r="AE40">
        <v>312941500</v>
      </c>
      <c r="AF40" t="s">
        <v>2102</v>
      </c>
      <c r="AG40" t="s">
        <v>2926</v>
      </c>
      <c r="AH40" t="s">
        <v>2103</v>
      </c>
      <c r="AI40" t="s">
        <v>2927</v>
      </c>
      <c r="AJ40" t="s">
        <v>2104</v>
      </c>
      <c r="AK40" t="s">
        <v>279</v>
      </c>
      <c r="AL40" t="s">
        <v>2105</v>
      </c>
      <c r="AM40" t="s">
        <v>5</v>
      </c>
      <c r="AN40" t="s">
        <v>2928</v>
      </c>
      <c r="AO40" t="s">
        <v>2929</v>
      </c>
      <c r="AP40" t="s">
        <v>2930</v>
      </c>
      <c r="AQ40" t="s">
        <v>2931</v>
      </c>
      <c r="AR40" t="s">
        <v>5</v>
      </c>
      <c r="AS40" t="s">
        <v>2932</v>
      </c>
      <c r="AT40" t="s">
        <v>2933</v>
      </c>
      <c r="AU40" t="s">
        <v>2934</v>
      </c>
      <c r="AV40" t="s">
        <v>2935</v>
      </c>
      <c r="AW40" t="s">
        <v>2936</v>
      </c>
      <c r="AX40" t="s">
        <v>1388</v>
      </c>
      <c r="AY40" t="s">
        <v>1028</v>
      </c>
      <c r="AZ40" t="s">
        <v>797</v>
      </c>
      <c r="BA40" t="s">
        <v>799</v>
      </c>
      <c r="BB40" t="s">
        <v>800</v>
      </c>
      <c r="BC40" t="s">
        <v>1389</v>
      </c>
      <c r="BD40" t="s">
        <v>1029</v>
      </c>
      <c r="BE40" t="s">
        <v>798</v>
      </c>
      <c r="BF40" t="s">
        <v>801</v>
      </c>
      <c r="BG40" t="s">
        <v>802</v>
      </c>
      <c r="BH40" t="s">
        <v>2100</v>
      </c>
      <c r="BI40" t="s">
        <v>2106</v>
      </c>
      <c r="BJ40" t="s">
        <v>1388</v>
      </c>
      <c r="BK40" t="s">
        <v>2101</v>
      </c>
      <c r="BL40" t="s">
        <v>2107</v>
      </c>
      <c r="BM40" t="s">
        <v>1389</v>
      </c>
      <c r="BN40">
        <v>10.16</v>
      </c>
      <c r="BO40">
        <v>14.94</v>
      </c>
      <c r="BP40">
        <v>13.68</v>
      </c>
      <c r="BQ40">
        <v>18.25</v>
      </c>
      <c r="BR40">
        <v>24.67</v>
      </c>
      <c r="BS40">
        <v>21.52</v>
      </c>
      <c r="BT40" t="s">
        <v>2108</v>
      </c>
      <c r="BU40" t="s">
        <v>2521</v>
      </c>
      <c r="BV40">
        <v>22.91</v>
      </c>
      <c r="BW40">
        <v>20.25</v>
      </c>
      <c r="BX40">
        <v>26.28</v>
      </c>
      <c r="BY40">
        <v>11.66</v>
      </c>
      <c r="BZ40">
        <v>10.18</v>
      </c>
      <c r="CA40">
        <v>13.7</v>
      </c>
      <c r="CB40">
        <v>-1.34</v>
      </c>
      <c r="CC40">
        <v>-13.08</v>
      </c>
      <c r="CD40" t="s">
        <v>2937</v>
      </c>
      <c r="CE40" t="s">
        <v>197</v>
      </c>
      <c r="CF40" s="10">
        <v>-0.10407915721377389</v>
      </c>
      <c r="CG40" s="11">
        <v>7.0039014457340662E-2</v>
      </c>
      <c r="CH40" s="10">
        <v>0.22009837627410889</v>
      </c>
      <c r="CI40" s="10">
        <v>1.5207431316375732</v>
      </c>
      <c r="CJ40" s="10">
        <v>1.5905921459197998</v>
      </c>
      <c r="CK40" s="10">
        <v>9.8956041038036346E-2</v>
      </c>
      <c r="CL40" s="10">
        <v>0.54631727933883667</v>
      </c>
      <c r="CM40" s="11">
        <v>0.43580985069274902</v>
      </c>
      <c r="CN40" s="11">
        <v>0.92888087034225464</v>
      </c>
      <c r="CO40" s="11">
        <v>1.8534836769104004</v>
      </c>
      <c r="CP40" s="11">
        <v>0.22434212267398834</v>
      </c>
      <c r="CQ40" s="11">
        <v>0.34632414579391479</v>
      </c>
      <c r="CR40">
        <v>44.941538668021586</v>
      </c>
      <c r="CS40">
        <v>0.56505972101412028</v>
      </c>
      <c r="CT40">
        <v>1.1321923206846076</v>
      </c>
      <c r="CU40" s="10">
        <v>0.79534139484167099</v>
      </c>
      <c r="CV40" s="11">
        <v>0.75776813328266146</v>
      </c>
      <c r="CW40">
        <v>0.06</v>
      </c>
      <c r="CX40">
        <v>14.02587378411687</v>
      </c>
      <c r="CY40">
        <v>74728544982.83902</v>
      </c>
      <c r="CZ40">
        <v>0.79534139484167099</v>
      </c>
      <c r="DA40">
        <v>2.6566093671516628</v>
      </c>
      <c r="DB40">
        <v>394537922270.36261</v>
      </c>
      <c r="DC40">
        <v>0.75557432509958744</v>
      </c>
      <c r="DD40">
        <v>0.55855662904365067</v>
      </c>
      <c r="DE40">
        <v>1876502910357.7061</v>
      </c>
      <c r="DF40">
        <v>0.69990042746067049</v>
      </c>
      <c r="DG40">
        <v>0.1103404031654449</v>
      </c>
      <c r="DH40">
        <v>9499087459635.4746</v>
      </c>
      <c r="DI40">
        <v>0.63627311587333679</v>
      </c>
      <c r="DJ40">
        <v>3.4808415166344953E-3</v>
      </c>
      <c r="DK40">
        <v>301114869778214.87</v>
      </c>
      <c r="DL40">
        <v>0.55673897638916969</v>
      </c>
      <c r="DM40">
        <v>44121000000</v>
      </c>
      <c r="DN40">
        <v>0.79534139484167099</v>
      </c>
      <c r="DO40">
        <v>1048133140000</v>
      </c>
      <c r="DP40">
        <v>180993990000</v>
      </c>
      <c r="DQ40">
        <v>2210</v>
      </c>
      <c r="DR40">
        <v>-0.89942055205544491</v>
      </c>
      <c r="DS40">
        <v>-0.68772911882532084</v>
      </c>
      <c r="DT40" s="12">
        <v>0.39333333333333331</v>
      </c>
      <c r="DU40">
        <v>1.1300000000000001</v>
      </c>
      <c r="DV40">
        <v>1.5233333333333334</v>
      </c>
      <c r="DW40">
        <v>-2.1307999999999998</v>
      </c>
      <c r="DX40">
        <v>0.33817142857142685</v>
      </c>
      <c r="DY40">
        <v>-2.0193808228571428</v>
      </c>
      <c r="DZ40">
        <v>4367</v>
      </c>
      <c r="EA40">
        <v>-2.0028179943997761</v>
      </c>
      <c r="EB40">
        <v>2</v>
      </c>
      <c r="EC40">
        <v>1.8863295486103597E-2</v>
      </c>
      <c r="ED40">
        <v>0.12730723910791089</v>
      </c>
      <c r="EE40" s="13">
        <v>-3.0221999999999998</v>
      </c>
      <c r="EF40">
        <v>-3.0053000000000001</v>
      </c>
      <c r="EG40">
        <v>19.148171428571427</v>
      </c>
      <c r="EH40" t="s">
        <v>1577</v>
      </c>
      <c r="EI40">
        <v>0</v>
      </c>
      <c r="EJ40">
        <v>0</v>
      </c>
      <c r="EK40" s="14">
        <v>45470</v>
      </c>
      <c r="EL40">
        <v>0.76</v>
      </c>
      <c r="EM40">
        <v>-6.39</v>
      </c>
      <c r="EN40">
        <v>2.21</v>
      </c>
      <c r="EO40">
        <v>4.72</v>
      </c>
      <c r="EP40">
        <v>-1.69</v>
      </c>
    </row>
    <row r="41" spans="1:146" ht="120" x14ac:dyDescent="0.25">
      <c r="A41" s="9"/>
      <c r="B41" s="9"/>
      <c r="C41" s="9" t="str">
        <f>"公司主要从事锂离子电池核心材料的研发、生产和销售。主要产品为纳米磷酸铁锂，新产品为磷酸锰铁锂和补锂剂。"&amp;CHAR(10)&amp;Basic_Fundamental_Information_Constructure(F41)&amp;CHAR(10)&amp;Basic_Fundamental_Information_Concatenate("磷酸盐系正极材料 88.77亿 99.83% -2.18亿 99.50% -2.46%
其他业务 1502.04万 0.17% -110.43万 0.50% -7.35%")</f>
        <v>公司主要从事锂离子电池核心材料的研发、生产和销售。主要产品为纳米磷酸铁锂，新产品为磷酸锰铁锂和补锂剂。
市值77.051708亿, 利润-16.36亿; PE; 平均PE26.59; 平均PEG.18, PB1.12; ROIC20.66%; ROE19.5933%; 股利率0%; 毛利16.3633%; 净利5.2%; 上一年度营收增-24.76%, 利润增-168.74%; 当季营收增-61.74%, 利润增74.24%; 过往5年营收增149.17%, 利润增579.61%
Income profile:
磷酸盐系正极材料 88.77亿 99.83% -2.18亿 99.50% -2.46%
其他业务 1502.04万 0.17% -110.43万 0.50% -7.35%</v>
      </c>
      <c r="D41" t="s">
        <v>803</v>
      </c>
      <c r="E41" t="s">
        <v>804</v>
      </c>
      <c r="F41">
        <v>27.5</v>
      </c>
      <c r="G41">
        <v>0.18</v>
      </c>
      <c r="H41" t="s">
        <v>2938</v>
      </c>
      <c r="I41">
        <v>7705170800</v>
      </c>
      <c r="K41">
        <v>1.1200000000000001</v>
      </c>
      <c r="L41" t="s">
        <v>973</v>
      </c>
      <c r="M41" t="s">
        <v>2109</v>
      </c>
      <c r="N41" t="s">
        <v>2939</v>
      </c>
      <c r="O41" t="s">
        <v>1714</v>
      </c>
      <c r="P41">
        <v>-61.74</v>
      </c>
      <c r="Q41" t="s">
        <v>2110</v>
      </c>
      <c r="R41">
        <v>-184679970</v>
      </c>
      <c r="S41" s="6">
        <v>0.74250000000000005</v>
      </c>
      <c r="T41" t="s">
        <v>2111</v>
      </c>
      <c r="U41">
        <v>251847340</v>
      </c>
      <c r="V41">
        <v>280188030</v>
      </c>
      <c r="W41">
        <v>2.2999999999999998</v>
      </c>
      <c r="X41">
        <v>0.09</v>
      </c>
      <c r="Y41">
        <v>-11.24</v>
      </c>
      <c r="Z41" t="s">
        <v>986</v>
      </c>
      <c r="AA41" t="s">
        <v>1714</v>
      </c>
      <c r="AB41" t="s">
        <v>2940</v>
      </c>
      <c r="AC41" t="s">
        <v>2941</v>
      </c>
      <c r="AD41" t="s">
        <v>5</v>
      </c>
      <c r="AE41">
        <v>39265174</v>
      </c>
      <c r="AF41" t="s">
        <v>2112</v>
      </c>
      <c r="AG41" t="s">
        <v>2942</v>
      </c>
      <c r="AH41" t="s">
        <v>2113</v>
      </c>
      <c r="AI41" t="s">
        <v>2943</v>
      </c>
      <c r="AJ41" t="s">
        <v>2114</v>
      </c>
      <c r="AK41" t="s">
        <v>5</v>
      </c>
      <c r="AL41" t="s">
        <v>2115</v>
      </c>
      <c r="AM41" t="s">
        <v>5</v>
      </c>
      <c r="AN41" t="s">
        <v>2944</v>
      </c>
      <c r="AO41" t="s">
        <v>1616</v>
      </c>
      <c r="AP41" t="s">
        <v>602</v>
      </c>
      <c r="AQ41" t="s">
        <v>1767</v>
      </c>
      <c r="AR41" t="s">
        <v>5</v>
      </c>
      <c r="AS41" t="s">
        <v>2945</v>
      </c>
      <c r="AT41" t="s">
        <v>2946</v>
      </c>
      <c r="AU41" t="s">
        <v>2272</v>
      </c>
      <c r="AV41" t="s">
        <v>54</v>
      </c>
      <c r="AW41" t="s">
        <v>2947</v>
      </c>
      <c r="AX41" t="s">
        <v>1390</v>
      </c>
      <c r="AY41" t="s">
        <v>1131</v>
      </c>
      <c r="AZ41" t="s">
        <v>482</v>
      </c>
      <c r="BA41" t="s">
        <v>521</v>
      </c>
      <c r="BB41" t="s">
        <v>521</v>
      </c>
      <c r="BC41" t="s">
        <v>1391</v>
      </c>
      <c r="BD41" t="s">
        <v>517</v>
      </c>
      <c r="BE41" t="s">
        <v>805</v>
      </c>
      <c r="BF41" t="s">
        <v>94</v>
      </c>
      <c r="BG41" t="s">
        <v>806</v>
      </c>
      <c r="BH41" t="s">
        <v>2110</v>
      </c>
      <c r="BI41" t="s">
        <v>2116</v>
      </c>
      <c r="BJ41" t="s">
        <v>1390</v>
      </c>
      <c r="BK41" t="s">
        <v>2111</v>
      </c>
      <c r="BL41" t="s">
        <v>1633</v>
      </c>
      <c r="BM41" t="s">
        <v>1391</v>
      </c>
      <c r="BN41" t="s">
        <v>5</v>
      </c>
      <c r="BO41">
        <v>20.14</v>
      </c>
      <c r="BP41">
        <v>21.18</v>
      </c>
      <c r="BQ41">
        <v>-12.02</v>
      </c>
      <c r="BR41">
        <v>39.6</v>
      </c>
      <c r="BS41">
        <v>31.2</v>
      </c>
      <c r="BT41" t="s">
        <v>1280</v>
      </c>
      <c r="BU41" t="s">
        <v>2508</v>
      </c>
      <c r="BV41">
        <v>0.19</v>
      </c>
      <c r="BW41">
        <v>20.05</v>
      </c>
      <c r="BX41">
        <v>28.85</v>
      </c>
      <c r="BY41">
        <v>-11.68</v>
      </c>
      <c r="BZ41">
        <v>10.67</v>
      </c>
      <c r="CA41">
        <v>16.61</v>
      </c>
      <c r="CB41">
        <v>-2.48</v>
      </c>
      <c r="CC41">
        <v>-21.7</v>
      </c>
      <c r="CD41" t="s">
        <v>2948</v>
      </c>
      <c r="CE41" t="s">
        <v>479</v>
      </c>
      <c r="CF41" s="10">
        <v>-0.61739130434782608</v>
      </c>
      <c r="CG41" s="11">
        <v>0.74242682008368199</v>
      </c>
      <c r="CH41" s="10">
        <v>-0.24755065143108368</v>
      </c>
      <c r="CI41" s="10">
        <v>3.5532903671264648</v>
      </c>
      <c r="CJ41" s="10">
        <v>4.2590231895446777</v>
      </c>
      <c r="CK41" s="10">
        <v>-0.10626185685396194</v>
      </c>
      <c r="CL41" s="10">
        <v>0</v>
      </c>
      <c r="CM41" s="11">
        <v>-1.6873949766159058</v>
      </c>
      <c r="CN41" s="11">
        <v>1.8848485946655273</v>
      </c>
      <c r="CO41" s="11">
        <v>30.047658920288086</v>
      </c>
      <c r="CP41" s="11">
        <v>-1.2840160131454468</v>
      </c>
      <c r="CQ41" s="11">
        <v>1.9199684262275696E-2</v>
      </c>
      <c r="CR41">
        <v>26.589196869917579</v>
      </c>
      <c r="CS41">
        <v>0.17824759088604716</v>
      </c>
      <c r="CT41">
        <v>0</v>
      </c>
      <c r="CU41" s="10">
        <v>1.4917002096772194</v>
      </c>
      <c r="CV41" s="11">
        <v>5.7960592418909069</v>
      </c>
      <c r="CW41">
        <v>0.06</v>
      </c>
      <c r="CX41" t="e">
        <v>#VALUE!</v>
      </c>
      <c r="CY41" t="s">
        <v>946</v>
      </c>
      <c r="CZ41">
        <v>1.4917002096772194</v>
      </c>
      <c r="DA41" t="e">
        <v>#VALUE!</v>
      </c>
      <c r="DB41" t="s">
        <v>947</v>
      </c>
      <c r="DC41">
        <v>1.4171151991933584</v>
      </c>
      <c r="DD41" t="e">
        <v>#VALUE!</v>
      </c>
      <c r="DE41" t="s">
        <v>947</v>
      </c>
      <c r="DF41">
        <v>1.312696184515953</v>
      </c>
      <c r="DG41" t="e">
        <v>#VALUE!</v>
      </c>
      <c r="DH41" t="s">
        <v>947</v>
      </c>
      <c r="DI41">
        <v>1.1933601677417756</v>
      </c>
      <c r="DJ41" t="e">
        <v>#VALUE!</v>
      </c>
      <c r="DK41" t="s">
        <v>947</v>
      </c>
      <c r="DL41">
        <v>1.0441901467740535</v>
      </c>
      <c r="DM41">
        <v>-1636000000</v>
      </c>
      <c r="DN41">
        <v>1.4917002096772194</v>
      </c>
      <c r="DO41">
        <v>11303170800</v>
      </c>
      <c r="DP41">
        <v>631014500</v>
      </c>
      <c r="DQ41">
        <v>2227</v>
      </c>
      <c r="DR41">
        <v>-2.1090915140250455</v>
      </c>
      <c r="DS41">
        <v>-5.0536324218072251</v>
      </c>
      <c r="DT41" s="12">
        <v>0.10833333333333332</v>
      </c>
      <c r="DU41">
        <v>-0.82583333333333353</v>
      </c>
      <c r="DV41">
        <v>-0.71750000000000025</v>
      </c>
      <c r="DW41">
        <v>-3.0644642857142856</v>
      </c>
      <c r="DX41">
        <v>0.37207745098039241</v>
      </c>
      <c r="DY41">
        <v>-3.0110928499649861</v>
      </c>
      <c r="DZ41">
        <v>2585</v>
      </c>
      <c r="EA41">
        <v>-3.0054813006187064</v>
      </c>
      <c r="EB41">
        <v>3</v>
      </c>
      <c r="EC41">
        <v>0.12528657987280897</v>
      </c>
      <c r="ED41">
        <v>0.72808249517297363</v>
      </c>
      <c r="EE41" s="13">
        <v>-2.0442999999999998</v>
      </c>
      <c r="EF41">
        <v>-2.0243000000000002</v>
      </c>
      <c r="EG41">
        <v>20.172077450980392</v>
      </c>
      <c r="EH41" t="s">
        <v>1308</v>
      </c>
      <c r="EI41">
        <v>0</v>
      </c>
      <c r="EJ41">
        <v>0</v>
      </c>
      <c r="EK41" s="14">
        <v>45470</v>
      </c>
      <c r="EL41">
        <v>-2.2799999999999998</v>
      </c>
      <c r="EM41">
        <v>-4.75</v>
      </c>
      <c r="EN41">
        <v>-1.92</v>
      </c>
      <c r="EO41">
        <v>7.04</v>
      </c>
      <c r="EP41">
        <v>-2</v>
      </c>
    </row>
    <row r="42" spans="1:146" ht="96" x14ac:dyDescent="0.25">
      <c r="A42" s="9"/>
      <c r="B42" s="9"/>
      <c r="C42" s="9" t="str">
        <f>""&amp;CHAR(10)&amp;Basic_Fundamental_Information_Constructure(F42)&amp;CHAR(10)&amp;Basic_Fundamental_Information_Concatenate("")</f>
        <v xml:space="preserve">
市值26.269586亿, 利润4103.80万; PE64.22; 平均PE33.49; 平均PEG.76, PB1.52; ROIC6.91%; ROE8.6%; 股利率1.3487%; 毛利22.6967%; 净利6.72%; 上一年度营收增-29.91%, 利润增-74.51%; 当季营收增-29.6%, 利润增2651.09%; 过往5年营收增44.34%, 利润增16.06%
Income profile:
</v>
      </c>
      <c r="D42" t="s">
        <v>807</v>
      </c>
      <c r="E42" t="s">
        <v>808</v>
      </c>
      <c r="F42">
        <v>24.02</v>
      </c>
      <c r="G42">
        <v>-0.37</v>
      </c>
      <c r="H42" t="s">
        <v>2949</v>
      </c>
      <c r="I42">
        <v>2626958600</v>
      </c>
      <c r="J42">
        <v>64.22</v>
      </c>
      <c r="K42">
        <v>1.52</v>
      </c>
      <c r="L42" t="s">
        <v>973</v>
      </c>
      <c r="M42" t="s">
        <v>1686</v>
      </c>
      <c r="N42" t="s">
        <v>1598</v>
      </c>
      <c r="O42" t="s">
        <v>21</v>
      </c>
      <c r="P42">
        <v>-40.35</v>
      </c>
      <c r="Q42" t="s">
        <v>291</v>
      </c>
      <c r="R42">
        <v>12814565</v>
      </c>
      <c r="S42" s="6">
        <v>-0.76619999999999999</v>
      </c>
      <c r="T42" t="s">
        <v>2950</v>
      </c>
      <c r="U42">
        <v>97352360</v>
      </c>
      <c r="V42">
        <v>109365470</v>
      </c>
      <c r="W42">
        <v>2.14</v>
      </c>
      <c r="X42">
        <v>7.0000000000000007E-2</v>
      </c>
      <c r="Y42">
        <v>3.72</v>
      </c>
      <c r="Z42" t="s">
        <v>126</v>
      </c>
      <c r="AA42" t="s">
        <v>301</v>
      </c>
      <c r="AB42" t="s">
        <v>2951</v>
      </c>
      <c r="AC42" t="s">
        <v>2952</v>
      </c>
      <c r="AD42" t="s">
        <v>5</v>
      </c>
      <c r="AE42">
        <v>16722116</v>
      </c>
      <c r="AF42" t="s">
        <v>2122</v>
      </c>
      <c r="AG42" t="s">
        <v>2953</v>
      </c>
      <c r="AH42" t="s">
        <v>2123</v>
      </c>
      <c r="AI42" t="s">
        <v>198</v>
      </c>
      <c r="AJ42" t="s">
        <v>2124</v>
      </c>
      <c r="AK42" t="s">
        <v>149</v>
      </c>
      <c r="AL42" t="s">
        <v>2125</v>
      </c>
      <c r="AM42" t="s">
        <v>5</v>
      </c>
      <c r="AN42" t="s">
        <v>1543</v>
      </c>
      <c r="AO42" t="s">
        <v>25</v>
      </c>
      <c r="AP42" t="s">
        <v>341</v>
      </c>
      <c r="AQ42" t="s">
        <v>176</v>
      </c>
      <c r="AR42" t="s">
        <v>5</v>
      </c>
      <c r="AS42" t="s">
        <v>255</v>
      </c>
      <c r="AT42" t="s">
        <v>469</v>
      </c>
      <c r="AU42" t="s">
        <v>1700</v>
      </c>
      <c r="AV42" t="s">
        <v>2954</v>
      </c>
      <c r="AW42" t="s">
        <v>2955</v>
      </c>
      <c r="AX42" t="s">
        <v>989</v>
      </c>
      <c r="AY42" t="s">
        <v>642</v>
      </c>
      <c r="AZ42" t="s">
        <v>438</v>
      </c>
      <c r="BA42" t="s">
        <v>454</v>
      </c>
      <c r="BB42" t="s">
        <v>344</v>
      </c>
      <c r="BC42" t="s">
        <v>188</v>
      </c>
      <c r="BD42" t="s">
        <v>1030</v>
      </c>
      <c r="BE42" t="s">
        <v>809</v>
      </c>
      <c r="BF42" t="s">
        <v>810</v>
      </c>
      <c r="BG42" t="s">
        <v>811</v>
      </c>
      <c r="BH42" t="s">
        <v>912</v>
      </c>
      <c r="BI42" t="s">
        <v>132</v>
      </c>
      <c r="BJ42" t="s">
        <v>989</v>
      </c>
      <c r="BK42" t="s">
        <v>2121</v>
      </c>
      <c r="BL42" t="s">
        <v>2956</v>
      </c>
      <c r="BM42" t="s">
        <v>188</v>
      </c>
      <c r="BN42">
        <v>4.04</v>
      </c>
      <c r="BO42">
        <v>8.43</v>
      </c>
      <c r="BP42">
        <v>8.26</v>
      </c>
      <c r="BQ42">
        <v>5.43</v>
      </c>
      <c r="BR42">
        <v>11.16</v>
      </c>
      <c r="BS42">
        <v>9.2100000000000009</v>
      </c>
      <c r="BT42" t="s">
        <v>2957</v>
      </c>
      <c r="BU42" t="s">
        <v>2508</v>
      </c>
      <c r="BV42">
        <v>22.12</v>
      </c>
      <c r="BW42">
        <v>19.78</v>
      </c>
      <c r="BX42">
        <v>26.19</v>
      </c>
      <c r="BY42">
        <v>4.8099999999999996</v>
      </c>
      <c r="BZ42">
        <v>6.48</v>
      </c>
      <c r="CA42">
        <v>8.8699999999999992</v>
      </c>
      <c r="CB42">
        <v>-3.73</v>
      </c>
      <c r="CC42">
        <v>-20.46</v>
      </c>
      <c r="CD42" t="s">
        <v>2958</v>
      </c>
      <c r="CE42" t="s">
        <v>150</v>
      </c>
      <c r="CF42" s="10">
        <v>-0.29598308668076118</v>
      </c>
      <c r="CG42" s="11">
        <v>26.510873765564622</v>
      </c>
      <c r="CH42" s="10">
        <v>-0.29910901188850403</v>
      </c>
      <c r="CI42" s="10">
        <v>1.1082289218902588</v>
      </c>
      <c r="CJ42" s="10">
        <v>1.6875</v>
      </c>
      <c r="CK42" s="10">
        <v>-0.35603713989257813</v>
      </c>
      <c r="CL42" s="10">
        <v>7.6666668057441711E-2</v>
      </c>
      <c r="CM42" s="11">
        <v>-0.7451055645942688</v>
      </c>
      <c r="CN42" s="11">
        <v>0.61258983612060547</v>
      </c>
      <c r="CO42" s="11">
        <v>1.196536660194397</v>
      </c>
      <c r="CP42" s="11">
        <v>-0.26318836212158203</v>
      </c>
      <c r="CQ42" s="11">
        <v>2.204596996307373E-3</v>
      </c>
      <c r="CR42">
        <v>33.494835015893401</v>
      </c>
      <c r="CS42">
        <v>0.75532401630890356</v>
      </c>
      <c r="CT42">
        <v>1.3487164862614489</v>
      </c>
      <c r="CU42" s="10">
        <v>0.44344988763332366</v>
      </c>
      <c r="CV42" s="11">
        <v>0.1606074333190918</v>
      </c>
      <c r="CW42">
        <v>0.06</v>
      </c>
      <c r="CX42">
        <v>60.858229323771468</v>
      </c>
      <c r="CY42">
        <v>55883298.574241824</v>
      </c>
      <c r="CZ42">
        <v>0.44344988763332366</v>
      </c>
      <c r="DA42">
        <v>14.934263787070156</v>
      </c>
      <c r="DB42">
        <v>227728574.26989436</v>
      </c>
      <c r="DC42">
        <v>0.42127739325165747</v>
      </c>
      <c r="DD42">
        <v>4.8134336175524108</v>
      </c>
      <c r="DE42">
        <v>706555625.40599823</v>
      </c>
      <c r="DF42">
        <v>0.39023590111732481</v>
      </c>
      <c r="DG42">
        <v>1.696306731008266</v>
      </c>
      <c r="DH42">
        <v>2004919592.5659668</v>
      </c>
      <c r="DI42">
        <v>0.35475991010665897</v>
      </c>
      <c r="DJ42">
        <v>0.23115345559806474</v>
      </c>
      <c r="DK42">
        <v>14712990516.194876</v>
      </c>
      <c r="DL42">
        <v>0.31041492134332654</v>
      </c>
      <c r="DM42">
        <v>41038000</v>
      </c>
      <c r="DN42">
        <v>0.44344988763332366</v>
      </c>
      <c r="DO42">
        <v>3400958600</v>
      </c>
      <c r="DP42">
        <v>943914700</v>
      </c>
      <c r="DQ42">
        <v>2346</v>
      </c>
      <c r="DR42">
        <v>-0.73943297431408483</v>
      </c>
      <c r="DS42">
        <v>26.350266332245528</v>
      </c>
      <c r="DT42" s="12">
        <v>-0.15666666666666665</v>
      </c>
      <c r="DU42">
        <v>0.33666666666666667</v>
      </c>
      <c r="DV42">
        <v>0.18000000000000002</v>
      </c>
      <c r="DW42">
        <v>-8.1823069403714559</v>
      </c>
      <c r="DX42">
        <v>0.28688598726114606</v>
      </c>
      <c r="DY42">
        <v>-8.0176629879024475</v>
      </c>
      <c r="DZ42">
        <v>4021</v>
      </c>
      <c r="EA42">
        <v>-8.0037641866586622</v>
      </c>
      <c r="EB42">
        <v>8</v>
      </c>
      <c r="EC42">
        <v>0.13908503296332927</v>
      </c>
      <c r="ED42">
        <v>1.4355536532691717</v>
      </c>
      <c r="EE42" s="13">
        <v>-1.01091</v>
      </c>
      <c r="EF42">
        <v>-1.00901</v>
      </c>
      <c r="EG42">
        <v>19.096885987261146</v>
      </c>
      <c r="EH42" t="s">
        <v>1302</v>
      </c>
      <c r="EI42">
        <v>0</v>
      </c>
      <c r="EJ42">
        <v>0</v>
      </c>
      <c r="EK42" s="14">
        <v>45470</v>
      </c>
      <c r="EL42">
        <v>-4.37</v>
      </c>
      <c r="EM42">
        <v>-5.52</v>
      </c>
      <c r="EN42">
        <v>-1.01</v>
      </c>
      <c r="EO42">
        <v>5.29</v>
      </c>
      <c r="EP42">
        <v>0.19</v>
      </c>
    </row>
    <row r="43" spans="1:146" ht="96" x14ac:dyDescent="0.25">
      <c r="A43" s="9"/>
      <c r="B43" s="9"/>
      <c r="C43" s="9" t="str">
        <f>""&amp;CHAR(10)&amp;Basic_Fundamental_Information_Constructure(F43)&amp;CHAR(10)&amp;Basic_Fundamental_Information_Concatenate("")</f>
        <v xml:space="preserve">
市值275.52357亿, 利润4205.37万; PE13.88; 平均PE51.87; 平均PEG1.1, PB1.36; ROIC6.47%; ROE13.9233%; 股利率3.9416%; 毛利12.3367%; 净利5.2867%; 上一年度营收增-98.82%, 利润增-97.27%; 当季营收增14058.09%, 利润增12376.61%; 过往5年营收增47.07%, 利润增81.81%
Income profile:
</v>
      </c>
      <c r="D43" t="s">
        <v>812</v>
      </c>
      <c r="E43" t="s">
        <v>813</v>
      </c>
      <c r="F43">
        <v>29.43</v>
      </c>
      <c r="G43">
        <v>-1.1100000000000001</v>
      </c>
      <c r="H43" t="s">
        <v>2959</v>
      </c>
      <c r="I43">
        <v>27552357000</v>
      </c>
      <c r="J43">
        <v>13.88</v>
      </c>
      <c r="K43">
        <v>1.36</v>
      </c>
      <c r="L43" t="s">
        <v>973</v>
      </c>
      <c r="M43" t="s">
        <v>2126</v>
      </c>
      <c r="N43" t="s">
        <v>2960</v>
      </c>
      <c r="O43" t="s">
        <v>2127</v>
      </c>
      <c r="P43">
        <v>17.579999999999998</v>
      </c>
      <c r="Q43" t="s">
        <v>379</v>
      </c>
      <c r="R43">
        <v>379138600</v>
      </c>
      <c r="S43" s="6">
        <v>0.1119</v>
      </c>
      <c r="T43" t="s">
        <v>2961</v>
      </c>
      <c r="U43">
        <v>907376020</v>
      </c>
      <c r="V43">
        <v>936199700</v>
      </c>
      <c r="W43">
        <v>2.2200000000000002</v>
      </c>
      <c r="X43">
        <v>0.15</v>
      </c>
      <c r="Y43">
        <v>5.63</v>
      </c>
      <c r="Z43" t="s">
        <v>2962</v>
      </c>
      <c r="AA43" t="s">
        <v>2963</v>
      </c>
      <c r="AB43" t="s">
        <v>2964</v>
      </c>
      <c r="AC43" t="s">
        <v>177</v>
      </c>
      <c r="AD43" t="s">
        <v>5</v>
      </c>
      <c r="AE43">
        <v>166877990</v>
      </c>
      <c r="AF43" t="s">
        <v>2129</v>
      </c>
      <c r="AG43" t="s">
        <v>2965</v>
      </c>
      <c r="AH43" t="s">
        <v>2130</v>
      </c>
      <c r="AI43" t="s">
        <v>2966</v>
      </c>
      <c r="AJ43" t="s">
        <v>2131</v>
      </c>
      <c r="AK43" t="s">
        <v>187</v>
      </c>
      <c r="AL43" t="s">
        <v>2132</v>
      </c>
      <c r="AM43" t="s">
        <v>5</v>
      </c>
      <c r="AN43" t="s">
        <v>2967</v>
      </c>
      <c r="AO43" t="s">
        <v>2968</v>
      </c>
      <c r="AP43" t="s">
        <v>998</v>
      </c>
      <c r="AQ43" t="s">
        <v>2969</v>
      </c>
      <c r="AR43" t="s">
        <v>5</v>
      </c>
      <c r="AS43" t="s">
        <v>2970</v>
      </c>
      <c r="AT43" t="s">
        <v>2971</v>
      </c>
      <c r="AU43" t="s">
        <v>1665</v>
      </c>
      <c r="AV43" t="s">
        <v>2972</v>
      </c>
      <c r="AW43" t="s">
        <v>2973</v>
      </c>
      <c r="AX43" t="s">
        <v>1395</v>
      </c>
      <c r="AY43" t="s">
        <v>1031</v>
      </c>
      <c r="AZ43" t="s">
        <v>814</v>
      </c>
      <c r="BA43" t="s">
        <v>815</v>
      </c>
      <c r="BB43" t="s">
        <v>683</v>
      </c>
      <c r="BC43" t="s">
        <v>1796</v>
      </c>
      <c r="BD43" t="s">
        <v>1014</v>
      </c>
      <c r="BE43" t="s">
        <v>525</v>
      </c>
      <c r="BF43" t="s">
        <v>80</v>
      </c>
      <c r="BG43" t="s">
        <v>816</v>
      </c>
      <c r="BH43" t="s">
        <v>2128</v>
      </c>
      <c r="BI43" t="s">
        <v>2974</v>
      </c>
      <c r="BJ43" t="s">
        <v>1395</v>
      </c>
      <c r="BK43" t="s">
        <v>1692</v>
      </c>
      <c r="BL43" t="s">
        <v>2975</v>
      </c>
      <c r="BM43" t="s">
        <v>1796</v>
      </c>
      <c r="BN43">
        <v>4.0599999999999996</v>
      </c>
      <c r="BO43">
        <v>6.48</v>
      </c>
      <c r="BP43">
        <v>8.8699999999999992</v>
      </c>
      <c r="BQ43">
        <v>7.86</v>
      </c>
      <c r="BR43">
        <v>14.02</v>
      </c>
      <c r="BS43">
        <v>19.89</v>
      </c>
      <c r="BT43" t="s">
        <v>2135</v>
      </c>
      <c r="BU43" t="s">
        <v>2508</v>
      </c>
      <c r="BV43">
        <v>13.94</v>
      </c>
      <c r="BW43">
        <v>11.53</v>
      </c>
      <c r="BX43">
        <v>11.54</v>
      </c>
      <c r="BY43">
        <v>6.13</v>
      </c>
      <c r="BZ43">
        <v>5.0599999999999996</v>
      </c>
      <c r="CA43">
        <v>4.67</v>
      </c>
      <c r="CB43">
        <v>-5.03</v>
      </c>
      <c r="CC43">
        <v>-20.059999999999999</v>
      </c>
      <c r="CD43" t="s">
        <v>2976</v>
      </c>
      <c r="CE43" t="s">
        <v>118</v>
      </c>
      <c r="CF43" s="10">
        <v>140.5809466054551</v>
      </c>
      <c r="CG43" s="11">
        <v>123.76611728135219</v>
      </c>
      <c r="CH43" s="10">
        <v>-0.98816901445388794</v>
      </c>
      <c r="CI43" s="10">
        <v>0.51175767183303833</v>
      </c>
      <c r="CJ43" s="10">
        <v>1.6978493928909302</v>
      </c>
      <c r="CK43" s="10">
        <v>0.40086612105369568</v>
      </c>
      <c r="CL43" s="10">
        <v>0.73109519481658936</v>
      </c>
      <c r="CM43" s="11">
        <v>-0.97274547815322876</v>
      </c>
      <c r="CN43" s="11">
        <v>0.64323753118515015</v>
      </c>
      <c r="CO43" s="11">
        <v>1.235714316368103</v>
      </c>
      <c r="CP43" s="11">
        <v>1.3333333730697632</v>
      </c>
      <c r="CQ43" s="11">
        <v>1.8510831594467163</v>
      </c>
      <c r="CR43">
        <v>51.868343739791158</v>
      </c>
      <c r="CS43">
        <v>1.1019877137312344</v>
      </c>
      <c r="CT43">
        <v>3.9415562351342168</v>
      </c>
      <c r="CU43" s="10">
        <v>0.47067987322807314</v>
      </c>
      <c r="CV43" s="11">
        <v>0.81812458038330083</v>
      </c>
      <c r="CW43">
        <v>0.06</v>
      </c>
      <c r="CX43">
        <v>563.46532053725866</v>
      </c>
      <c r="CY43">
        <v>58346726.58940699</v>
      </c>
      <c r="CZ43">
        <v>0.47067987322807314</v>
      </c>
      <c r="DA43">
        <v>135.40230980302169</v>
      </c>
      <c r="DB43">
        <v>242804993.85739663</v>
      </c>
      <c r="DC43">
        <v>0.44714587956666946</v>
      </c>
      <c r="DD43">
        <v>42.204756875211309</v>
      </c>
      <c r="DE43">
        <v>778972784.92106926</v>
      </c>
      <c r="DF43">
        <v>0.41419828844070439</v>
      </c>
      <c r="DG43">
        <v>14.221534575029551</v>
      </c>
      <c r="DH43">
        <v>2311730624.184886</v>
      </c>
      <c r="DI43">
        <v>0.37654389858245851</v>
      </c>
      <c r="DJ43">
        <v>1.7263653277314293</v>
      </c>
      <c r="DK43">
        <v>19043684712.55267</v>
      </c>
      <c r="DL43">
        <v>0.3294759112596512</v>
      </c>
      <c r="DM43">
        <v>42053700</v>
      </c>
      <c r="DN43">
        <v>0.47067987322807314</v>
      </c>
      <c r="DO43">
        <v>32876357000</v>
      </c>
      <c r="DP43">
        <v>14870453000</v>
      </c>
      <c r="DQ43">
        <v>2374</v>
      </c>
      <c r="DR43">
        <v>140.11026673222702</v>
      </c>
      <c r="DS43">
        <v>122.9479927009689</v>
      </c>
      <c r="DT43" s="12">
        <v>-3.9999999999999959E-2</v>
      </c>
      <c r="DU43">
        <v>1.4533333333333334</v>
      </c>
      <c r="DV43">
        <v>1.4133333333333333</v>
      </c>
      <c r="DW43">
        <v>-8.25074775672981</v>
      </c>
      <c r="DX43">
        <v>0.41866307692307742</v>
      </c>
      <c r="DY43">
        <v>-8.0297545003451187</v>
      </c>
      <c r="DZ43">
        <v>1793</v>
      </c>
      <c r="EA43">
        <v>-8.0193142226310687</v>
      </c>
      <c r="EB43">
        <v>8</v>
      </c>
      <c r="EC43">
        <v>1.6477467360863283E-2</v>
      </c>
      <c r="ED43">
        <v>0.13885926261245329</v>
      </c>
      <c r="EE43" s="13">
        <v>-1.0254099999999999</v>
      </c>
      <c r="EF43">
        <v>-1.0721099999999999</v>
      </c>
      <c r="EG43">
        <v>30.118663076923077</v>
      </c>
      <c r="EH43" t="s">
        <v>1302</v>
      </c>
      <c r="EI43">
        <v>0</v>
      </c>
      <c r="EJ43">
        <v>0</v>
      </c>
      <c r="EK43" s="14">
        <v>45470</v>
      </c>
      <c r="EL43">
        <v>-1.79</v>
      </c>
      <c r="EM43">
        <v>-4.5599999999999996</v>
      </c>
      <c r="EN43">
        <v>1.8</v>
      </c>
      <c r="EO43">
        <v>2.61</v>
      </c>
      <c r="EP43">
        <v>-4.67</v>
      </c>
    </row>
    <row r="44" spans="1:146" ht="84" x14ac:dyDescent="0.25">
      <c r="A44" s="9" t="s">
        <v>1227</v>
      </c>
      <c r="B44" s="9"/>
      <c r="C44" s="9" t="s">
        <v>1228</v>
      </c>
      <c r="D44" t="s">
        <v>1173</v>
      </c>
      <c r="E44" t="s">
        <v>1174</v>
      </c>
      <c r="F44">
        <v>51.28</v>
      </c>
      <c r="G44">
        <v>1.77</v>
      </c>
      <c r="H44" t="s">
        <v>2977</v>
      </c>
      <c r="I44">
        <v>5270755200</v>
      </c>
      <c r="J44">
        <v>66.34</v>
      </c>
      <c r="K44">
        <v>2.21</v>
      </c>
      <c r="L44" t="s">
        <v>973</v>
      </c>
      <c r="M44" t="s">
        <v>2138</v>
      </c>
      <c r="N44" t="s">
        <v>2978</v>
      </c>
      <c r="O44" t="s">
        <v>2139</v>
      </c>
      <c r="P44">
        <v>34.909999999999997</v>
      </c>
      <c r="Q44" t="s">
        <v>1374</v>
      </c>
      <c r="R44">
        <v>52457241</v>
      </c>
      <c r="S44" s="6">
        <v>2.3260000000000001</v>
      </c>
      <c r="T44" t="s">
        <v>2979</v>
      </c>
      <c r="U44">
        <v>67979982</v>
      </c>
      <c r="V44">
        <v>102783837</v>
      </c>
      <c r="W44">
        <v>4.1500000000000004</v>
      </c>
      <c r="X44">
        <v>0.13</v>
      </c>
      <c r="Y44">
        <v>3.64</v>
      </c>
      <c r="Z44" t="s">
        <v>2980</v>
      </c>
      <c r="AA44" t="s">
        <v>2608</v>
      </c>
      <c r="AB44" t="s">
        <v>2981</v>
      </c>
      <c r="AC44" t="s">
        <v>2982</v>
      </c>
      <c r="AD44" t="s">
        <v>5</v>
      </c>
      <c r="AE44">
        <v>35917671</v>
      </c>
      <c r="AF44" t="s">
        <v>2142</v>
      </c>
      <c r="AG44" t="s">
        <v>2983</v>
      </c>
      <c r="AH44" t="s">
        <v>2143</v>
      </c>
      <c r="AI44" t="s">
        <v>2984</v>
      </c>
      <c r="AJ44" t="s">
        <v>2144</v>
      </c>
      <c r="AK44" t="s">
        <v>1540</v>
      </c>
      <c r="AL44" t="s">
        <v>2145</v>
      </c>
      <c r="AM44" t="s">
        <v>5</v>
      </c>
      <c r="AN44" t="s">
        <v>212</v>
      </c>
      <c r="AO44" t="s">
        <v>2985</v>
      </c>
      <c r="AP44" t="s">
        <v>2986</v>
      </c>
      <c r="AQ44" t="s">
        <v>2119</v>
      </c>
      <c r="AR44" t="s">
        <v>5</v>
      </c>
      <c r="AS44" t="s">
        <v>2987</v>
      </c>
      <c r="AT44" t="s">
        <v>594</v>
      </c>
      <c r="AU44" t="s">
        <v>2988</v>
      </c>
      <c r="AV44" t="s">
        <v>105</v>
      </c>
      <c r="AW44" t="s">
        <v>142</v>
      </c>
      <c r="AX44" t="s">
        <v>1396</v>
      </c>
      <c r="AY44" t="s">
        <v>1175</v>
      </c>
      <c r="AZ44" t="s">
        <v>645</v>
      </c>
      <c r="BA44" t="s">
        <v>1158</v>
      </c>
      <c r="BB44" t="s">
        <v>547</v>
      </c>
      <c r="BC44" t="s">
        <v>72</v>
      </c>
      <c r="BD44" t="s">
        <v>195</v>
      </c>
      <c r="BE44" t="s">
        <v>118</v>
      </c>
      <c r="BF44" t="s">
        <v>1176</v>
      </c>
      <c r="BG44" t="s">
        <v>1177</v>
      </c>
      <c r="BH44" t="s">
        <v>2140</v>
      </c>
      <c r="BI44" t="s">
        <v>483</v>
      </c>
      <c r="BJ44" t="s">
        <v>1396</v>
      </c>
      <c r="BK44" t="s">
        <v>2141</v>
      </c>
      <c r="BL44" t="s">
        <v>2989</v>
      </c>
      <c r="BM44" t="s">
        <v>72</v>
      </c>
      <c r="BN44">
        <v>2.79</v>
      </c>
      <c r="BO44">
        <v>5.78</v>
      </c>
      <c r="BP44">
        <v>10.37</v>
      </c>
      <c r="BQ44">
        <v>2.2599999999999998</v>
      </c>
      <c r="BR44">
        <v>6.21</v>
      </c>
      <c r="BS44">
        <v>13.53</v>
      </c>
      <c r="BT44" t="s">
        <v>2990</v>
      </c>
      <c r="BU44" t="s">
        <v>2521</v>
      </c>
      <c r="BV44">
        <v>11.92</v>
      </c>
      <c r="BW44">
        <v>12.28</v>
      </c>
      <c r="BX44">
        <v>18</v>
      </c>
      <c r="BY44">
        <v>0.71</v>
      </c>
      <c r="BZ44">
        <v>1.8</v>
      </c>
      <c r="CA44">
        <v>5.61</v>
      </c>
      <c r="CB44">
        <v>-5.39</v>
      </c>
      <c r="CC44">
        <v>-18.86</v>
      </c>
      <c r="CD44" t="s">
        <v>2991</v>
      </c>
      <c r="CE44" t="s">
        <v>2992</v>
      </c>
      <c r="CF44" s="10">
        <v>5.7116279069767444</v>
      </c>
      <c r="CG44" s="11">
        <v>8.641280119097944</v>
      </c>
      <c r="CH44" s="10">
        <v>-0.82336580753326416</v>
      </c>
      <c r="CI44" s="10">
        <v>0.8958471417427063</v>
      </c>
      <c r="CJ44" s="10">
        <v>1.5431685447692871</v>
      </c>
      <c r="CK44" s="10">
        <v>0.59066659212112427</v>
      </c>
      <c r="CL44" s="10">
        <v>0.25628140568733215</v>
      </c>
      <c r="CM44" s="11">
        <v>-0.61380481719970703</v>
      </c>
      <c r="CN44" s="11">
        <v>-0.38823530077934265</v>
      </c>
      <c r="CO44" s="11">
        <v>0.30769231915473938</v>
      </c>
      <c r="CP44" s="11">
        <v>0.67831814289093018</v>
      </c>
      <c r="CQ44" s="11">
        <v>0.40407809615135193</v>
      </c>
      <c r="CR44">
        <v>54.828539210831821</v>
      </c>
      <c r="CS44">
        <v>1.1132255844052696</v>
      </c>
      <c r="CT44">
        <v>8.5802652106084246E-2</v>
      </c>
      <c r="CU44" s="10">
        <v>0.49251957535743712</v>
      </c>
      <c r="CV44" s="11">
        <v>7.760968804359436E-2</v>
      </c>
      <c r="CW44">
        <v>0.06</v>
      </c>
      <c r="CX44">
        <v>193.93820671977113</v>
      </c>
      <c r="CY44">
        <v>56552833.943895012</v>
      </c>
      <c r="CZ44">
        <v>0.49251957535743712</v>
      </c>
      <c r="DA44">
        <v>45.832006485265126</v>
      </c>
      <c r="DB44">
        <v>239303404.78386223</v>
      </c>
      <c r="DC44">
        <v>0.46789359658956525</v>
      </c>
      <c r="DD44">
        <v>13.907490753660635</v>
      </c>
      <c r="DE44">
        <v>788622145.73920476</v>
      </c>
      <c r="DF44">
        <v>0.43341722631454466</v>
      </c>
      <c r="DG44">
        <v>4.5203474501052368</v>
      </c>
      <c r="DH44">
        <v>2426308004.2098675</v>
      </c>
      <c r="DI44">
        <v>0.3940156602859497</v>
      </c>
      <c r="DJ44">
        <v>0.50009643380626201</v>
      </c>
      <c r="DK44">
        <v>21931280566.277588</v>
      </c>
      <c r="DL44">
        <v>0.34476370275020596</v>
      </c>
      <c r="DM44">
        <v>40164300</v>
      </c>
      <c r="DN44">
        <v>0.49251957535743712</v>
      </c>
      <c r="DO44">
        <v>10967755200</v>
      </c>
      <c r="DP44">
        <v>729160500</v>
      </c>
      <c r="DQ44">
        <v>2405</v>
      </c>
      <c r="DR44">
        <v>5.2191083316193074</v>
      </c>
      <c r="DS44">
        <v>8.5636704310543497</v>
      </c>
      <c r="DT44" s="12">
        <v>1.0000000000000011E-2</v>
      </c>
      <c r="DU44">
        <v>-1.666666666666668E-2</v>
      </c>
      <c r="DV44">
        <v>-6.6666666666666697E-3</v>
      </c>
      <c r="DW44">
        <v>-8.2857900318133613</v>
      </c>
      <c r="DX44">
        <v>0.42086544203003529</v>
      </c>
      <c r="DY44">
        <v>-8.0431158394773004</v>
      </c>
      <c r="DZ44">
        <v>1660</v>
      </c>
      <c r="EA44">
        <v>-8.0291095198036562</v>
      </c>
      <c r="EB44">
        <v>8</v>
      </c>
      <c r="EC44">
        <v>3.9576261392148648E-2</v>
      </c>
      <c r="ED44">
        <v>0.26232821022239128</v>
      </c>
      <c r="EE44" s="13">
        <v>-2.0236100000000001</v>
      </c>
      <c r="EF44">
        <v>-2.0333100000000002</v>
      </c>
      <c r="EG44">
        <v>27.150865442030035</v>
      </c>
      <c r="EH44" t="s">
        <v>1310</v>
      </c>
      <c r="EI44">
        <v>0</v>
      </c>
      <c r="EJ44">
        <v>0</v>
      </c>
      <c r="EK44" s="14">
        <v>45470</v>
      </c>
      <c r="EL44">
        <v>-0.17</v>
      </c>
      <c r="EM44">
        <v>-5.52</v>
      </c>
      <c r="EN44">
        <v>1.59</v>
      </c>
      <c r="EO44">
        <v>1.39</v>
      </c>
      <c r="EP44">
        <v>-0.97</v>
      </c>
    </row>
    <row r="45" spans="1:146" ht="96" x14ac:dyDescent="0.25">
      <c r="A45" s="9"/>
      <c r="B45" s="9"/>
      <c r="C45" s="9" t="str">
        <f>""&amp;CHAR(10)&amp;Basic_Fundamental_Information_Constructure(F45)&amp;CHAR(10)&amp;Basic_Fundamental_Information_Concatenate("")</f>
        <v xml:space="preserve">
市值24.23593亿, 利润1.13亿; PE67.43; 平均PE30.36; 平均PEG1.32, PB1.47; ROIC9.555%; ROE7.2833%; 股利率.4382%; 毛利24.2367%; 净利6.5233%; 上一年度营收增-55.53%, 利润增163.93%; 当季营收增235.13%, 利润增-30.85%; 过往5年营收增23.01%, 利润增47.02%
Income profile:
</v>
      </c>
      <c r="D45" t="s">
        <v>1178</v>
      </c>
      <c r="E45" t="s">
        <v>1179</v>
      </c>
      <c r="F45">
        <v>34.229999999999997</v>
      </c>
      <c r="G45">
        <v>0.38</v>
      </c>
      <c r="H45" t="s">
        <v>2993</v>
      </c>
      <c r="I45">
        <v>2423593000</v>
      </c>
      <c r="J45">
        <v>67.430000000000007</v>
      </c>
      <c r="K45">
        <v>1.47</v>
      </c>
      <c r="L45" t="s">
        <v>973</v>
      </c>
      <c r="M45" t="s">
        <v>1553</v>
      </c>
      <c r="N45" t="s">
        <v>2185</v>
      </c>
      <c r="O45" t="s">
        <v>194</v>
      </c>
      <c r="P45">
        <v>39.31</v>
      </c>
      <c r="Q45" t="s">
        <v>295</v>
      </c>
      <c r="R45">
        <v>10980521</v>
      </c>
      <c r="S45" s="6">
        <v>9.2379999999999995</v>
      </c>
      <c r="T45" t="s">
        <v>343</v>
      </c>
      <c r="U45">
        <v>29561830</v>
      </c>
      <c r="V45">
        <v>70803184</v>
      </c>
      <c r="W45">
        <v>1.48</v>
      </c>
      <c r="X45">
        <v>0.09</v>
      </c>
      <c r="Y45">
        <v>4.91</v>
      </c>
      <c r="Z45" t="s">
        <v>313</v>
      </c>
      <c r="AA45" t="s">
        <v>528</v>
      </c>
      <c r="AB45" t="s">
        <v>2994</v>
      </c>
      <c r="AC45" t="s">
        <v>2995</v>
      </c>
      <c r="AD45" t="s">
        <v>5</v>
      </c>
      <c r="AE45">
        <v>-3257671</v>
      </c>
      <c r="AF45" t="s">
        <v>2149</v>
      </c>
      <c r="AG45" t="s">
        <v>2996</v>
      </c>
      <c r="AH45" t="s">
        <v>2150</v>
      </c>
      <c r="AI45" t="s">
        <v>526</v>
      </c>
      <c r="AJ45" t="s">
        <v>2151</v>
      </c>
      <c r="AK45" t="s">
        <v>2997</v>
      </c>
      <c r="AL45" t="s">
        <v>2152</v>
      </c>
      <c r="AM45" t="s">
        <v>5</v>
      </c>
      <c r="AN45" t="s">
        <v>142</v>
      </c>
      <c r="AO45" t="s">
        <v>506</v>
      </c>
      <c r="AP45" t="s">
        <v>5</v>
      </c>
      <c r="AQ45" t="s">
        <v>362</v>
      </c>
      <c r="AR45" t="s">
        <v>5</v>
      </c>
      <c r="AS45" t="s">
        <v>1664</v>
      </c>
      <c r="AT45" t="s">
        <v>5</v>
      </c>
      <c r="AU45" t="s">
        <v>2998</v>
      </c>
      <c r="AV45" t="s">
        <v>2999</v>
      </c>
      <c r="AW45" t="s">
        <v>3000</v>
      </c>
      <c r="AX45" t="s">
        <v>292</v>
      </c>
      <c r="AY45" t="s">
        <v>1141</v>
      </c>
      <c r="AZ45" t="s">
        <v>312</v>
      </c>
      <c r="BA45" t="s">
        <v>69</v>
      </c>
      <c r="BB45" t="s">
        <v>177</v>
      </c>
      <c r="BC45" t="s">
        <v>2153</v>
      </c>
      <c r="BD45" t="s">
        <v>142</v>
      </c>
      <c r="BE45" t="s">
        <v>35</v>
      </c>
      <c r="BF45" t="s">
        <v>1181</v>
      </c>
      <c r="BG45" t="s">
        <v>1182</v>
      </c>
      <c r="BH45" t="s">
        <v>350</v>
      </c>
      <c r="BI45" t="s">
        <v>3001</v>
      </c>
      <c r="BJ45" t="s">
        <v>292</v>
      </c>
      <c r="BK45" t="s">
        <v>2148</v>
      </c>
      <c r="BL45" t="s">
        <v>3002</v>
      </c>
      <c r="BM45" t="s">
        <v>2153</v>
      </c>
      <c r="BN45" t="s">
        <v>5</v>
      </c>
      <c r="BO45">
        <v>3.83</v>
      </c>
      <c r="BP45">
        <v>15.28</v>
      </c>
      <c r="BQ45">
        <v>-0.24</v>
      </c>
      <c r="BR45">
        <v>4.3499999999999996</v>
      </c>
      <c r="BS45">
        <v>17.739999999999998</v>
      </c>
      <c r="BT45" t="s">
        <v>1291</v>
      </c>
      <c r="BU45" t="s">
        <v>2521</v>
      </c>
      <c r="BV45">
        <v>19.489999999999998</v>
      </c>
      <c r="BW45">
        <v>20.8</v>
      </c>
      <c r="BX45">
        <v>32.42</v>
      </c>
      <c r="BY45">
        <v>2.4300000000000002</v>
      </c>
      <c r="BZ45">
        <v>4.54</v>
      </c>
      <c r="CA45">
        <v>12.6</v>
      </c>
      <c r="CB45">
        <v>-7.31</v>
      </c>
      <c r="CC45">
        <v>-12.72</v>
      </c>
      <c r="CD45" t="s">
        <v>3003</v>
      </c>
      <c r="CE45" t="s">
        <v>3004</v>
      </c>
      <c r="CF45" s="10">
        <v>2.3513217523223617</v>
      </c>
      <c r="CG45" s="11">
        <v>-0.30846174677549376</v>
      </c>
      <c r="CH45" s="10">
        <v>-0.55531454086303711</v>
      </c>
      <c r="CI45" s="10">
        <v>0.15394242107868195</v>
      </c>
      <c r="CJ45" s="10">
        <v>0.25039124488830566</v>
      </c>
      <c r="CK45" s="10">
        <v>0.5178147554397583</v>
      </c>
      <c r="CL45" s="10">
        <v>0.78389829397201538</v>
      </c>
      <c r="CM45" s="11">
        <v>1.6393296718597412</v>
      </c>
      <c r="CN45" s="11">
        <v>-0.57609999179840088</v>
      </c>
      <c r="CO45" s="11">
        <v>-0.14406779408454895</v>
      </c>
      <c r="CP45" s="11">
        <v>0.85053336620330811</v>
      </c>
      <c r="CQ45" s="11">
        <v>0.58145570755004883</v>
      </c>
      <c r="CR45">
        <v>30.364497807475463</v>
      </c>
      <c r="CS45">
        <v>1.3193555581364578</v>
      </c>
      <c r="CT45">
        <v>0.4382120946538125</v>
      </c>
      <c r="CU45" s="10">
        <v>0.23014643490314485</v>
      </c>
      <c r="CV45" s="11">
        <v>0.47023019194602966</v>
      </c>
      <c r="CW45">
        <v>0.06</v>
      </c>
      <c r="CX45">
        <v>12.479905555831142</v>
      </c>
      <c r="CY45">
        <v>131138252.02269371</v>
      </c>
      <c r="CZ45">
        <v>0.23014643490314485</v>
      </c>
      <c r="DA45">
        <v>3.6290359161207491</v>
      </c>
      <c r="DB45">
        <v>450971838.75474912</v>
      </c>
      <c r="DC45">
        <v>0.21863911315798759</v>
      </c>
      <c r="DD45">
        <v>1.5167571729961931</v>
      </c>
      <c r="DE45">
        <v>1079007918.4310589</v>
      </c>
      <c r="DF45">
        <v>0.20252886271476747</v>
      </c>
      <c r="DG45">
        <v>0.74925793777808969</v>
      </c>
      <c r="DH45">
        <v>2184285167.3394151</v>
      </c>
      <c r="DI45">
        <v>0.18411714792251588</v>
      </c>
      <c r="DJ45">
        <v>0.24325369092521737</v>
      </c>
      <c r="DK45">
        <v>6727926691.575388</v>
      </c>
      <c r="DL45">
        <v>0.16110250443220139</v>
      </c>
      <c r="DM45">
        <v>112999999.99999999</v>
      </c>
      <c r="DN45">
        <v>0.23014643490314485</v>
      </c>
      <c r="DO45">
        <v>1636592999.9999998</v>
      </c>
      <c r="DP45">
        <v>699723500</v>
      </c>
      <c r="DQ45">
        <v>2561</v>
      </c>
      <c r="DR45">
        <v>2.1211753174192167</v>
      </c>
      <c r="DS45">
        <v>-0.77869193872152342</v>
      </c>
      <c r="DT45" s="12">
        <v>-6.6666666666666714E-3</v>
      </c>
      <c r="DU45">
        <v>0.29666666666666669</v>
      </c>
      <c r="DV45">
        <v>0.29000000000000004</v>
      </c>
      <c r="DW45">
        <v>-9.574685534591195</v>
      </c>
      <c r="DX45">
        <v>0.24553525958753583</v>
      </c>
      <c r="DY45">
        <v>-9.043409021036549</v>
      </c>
      <c r="DZ45">
        <v>2743</v>
      </c>
      <c r="EA45">
        <v>-9.0201074663001002</v>
      </c>
      <c r="EB45">
        <v>9</v>
      </c>
      <c r="EC45">
        <v>8.7816672199374543E-2</v>
      </c>
      <c r="ED45">
        <v>1.1625917840079056</v>
      </c>
      <c r="EE45" s="13">
        <v>-2.0070999999999999</v>
      </c>
      <c r="EF45">
        <v>-2.0043099999999998</v>
      </c>
      <c r="EG45">
        <v>17.075535259587536</v>
      </c>
      <c r="EH45" t="s">
        <v>1310</v>
      </c>
      <c r="EI45">
        <v>0</v>
      </c>
      <c r="EJ45">
        <v>0</v>
      </c>
      <c r="EK45" s="14">
        <v>45470</v>
      </c>
      <c r="EL45">
        <v>-1.42</v>
      </c>
      <c r="EM45">
        <v>-5.56</v>
      </c>
      <c r="EN45">
        <v>-0.94</v>
      </c>
      <c r="EO45">
        <v>4.04</v>
      </c>
      <c r="EP45">
        <v>-1.1399999999999999</v>
      </c>
    </row>
    <row r="46" spans="1:146" ht="96" x14ac:dyDescent="0.25">
      <c r="A46" s="9"/>
      <c r="B46" s="9"/>
      <c r="C46" s="9" t="str">
        <f>""&amp;CHAR(10)&amp;Basic_Fundamental_Information_Constructure(F46)&amp;CHAR(10)&amp;Basic_Fundamental_Information_Concatenate("")</f>
        <v xml:space="preserve">
市值36.38745亿, 利润9850.07万; PE; 平均PE19.44; 平均PEG.72, PB1.02; ROIC17.2567%; ROE19.7%; 股利率.4978%; 毛利17.8633%; 净利11.06%; 上一年度营收增-63.49%, 利润增-76.15%; 当季营收增550%, 利润增-984.01%; 过往5年营收增26.98%, 利润增61.14%
Income profile:
</v>
      </c>
      <c r="D46" t="s">
        <v>1183</v>
      </c>
      <c r="E46" t="s">
        <v>1184</v>
      </c>
      <c r="F46">
        <v>20.09</v>
      </c>
      <c r="G46">
        <v>-0.79</v>
      </c>
      <c r="H46" t="s">
        <v>3005</v>
      </c>
      <c r="I46">
        <v>3638745000</v>
      </c>
      <c r="K46">
        <v>1.02</v>
      </c>
      <c r="L46" t="s">
        <v>973</v>
      </c>
      <c r="M46" t="s">
        <v>1707</v>
      </c>
      <c r="N46" t="s">
        <v>531</v>
      </c>
      <c r="O46" t="s">
        <v>1726</v>
      </c>
      <c r="P46">
        <v>29.05</v>
      </c>
      <c r="Q46" t="s">
        <v>577</v>
      </c>
      <c r="R46">
        <v>-50188840</v>
      </c>
      <c r="S46" s="6">
        <v>-2.1230000000000002</v>
      </c>
      <c r="T46" t="s">
        <v>3006</v>
      </c>
      <c r="U46">
        <v>92451802</v>
      </c>
      <c r="V46">
        <v>181122200</v>
      </c>
      <c r="W46">
        <v>1.56</v>
      </c>
      <c r="X46">
        <v>0.17</v>
      </c>
      <c r="Y46">
        <v>-5.21</v>
      </c>
      <c r="Z46" t="s">
        <v>2493</v>
      </c>
      <c r="AA46" t="s">
        <v>1075</v>
      </c>
      <c r="AB46" t="s">
        <v>3007</v>
      </c>
      <c r="AC46" t="s">
        <v>3008</v>
      </c>
      <c r="AD46" t="s">
        <v>5</v>
      </c>
      <c r="AE46">
        <v>3989911</v>
      </c>
      <c r="AF46" t="s">
        <v>2155</v>
      </c>
      <c r="AG46" t="s">
        <v>3009</v>
      </c>
      <c r="AH46" t="s">
        <v>2156</v>
      </c>
      <c r="AI46" t="s">
        <v>1380</v>
      </c>
      <c r="AJ46" t="s">
        <v>2157</v>
      </c>
      <c r="AK46" t="s">
        <v>114</v>
      </c>
      <c r="AL46" t="s">
        <v>2158</v>
      </c>
      <c r="AM46" t="s">
        <v>5</v>
      </c>
      <c r="AN46" t="s">
        <v>3010</v>
      </c>
      <c r="AO46" t="s">
        <v>371</v>
      </c>
      <c r="AP46" t="s">
        <v>1258</v>
      </c>
      <c r="AQ46" t="s">
        <v>246</v>
      </c>
      <c r="AR46" t="s">
        <v>5</v>
      </c>
      <c r="AS46" t="s">
        <v>3011</v>
      </c>
      <c r="AT46" t="s">
        <v>5</v>
      </c>
      <c r="AU46" t="s">
        <v>3012</v>
      </c>
      <c r="AV46" t="s">
        <v>2832</v>
      </c>
      <c r="AW46" t="s">
        <v>159</v>
      </c>
      <c r="AX46" t="s">
        <v>1400</v>
      </c>
      <c r="AY46" t="s">
        <v>1052</v>
      </c>
      <c r="AZ46" t="s">
        <v>1171</v>
      </c>
      <c r="BA46" t="s">
        <v>303</v>
      </c>
      <c r="BB46" t="s">
        <v>147</v>
      </c>
      <c r="BC46" t="s">
        <v>478</v>
      </c>
      <c r="BD46" t="s">
        <v>137</v>
      </c>
      <c r="BE46" t="s">
        <v>97</v>
      </c>
      <c r="BF46" t="s">
        <v>1185</v>
      </c>
      <c r="BG46" t="s">
        <v>1186</v>
      </c>
      <c r="BH46" t="s">
        <v>1696</v>
      </c>
      <c r="BI46" t="s">
        <v>366</v>
      </c>
      <c r="BJ46" t="s">
        <v>1400</v>
      </c>
      <c r="BK46" t="s">
        <v>2154</v>
      </c>
      <c r="BL46" t="s">
        <v>3013</v>
      </c>
      <c r="BM46" t="s">
        <v>478</v>
      </c>
      <c r="BN46">
        <v>0.55000000000000004</v>
      </c>
      <c r="BO46">
        <v>15.55</v>
      </c>
      <c r="BP46">
        <v>35.67</v>
      </c>
      <c r="BQ46">
        <v>0.65</v>
      </c>
      <c r="BR46">
        <v>14.17</v>
      </c>
      <c r="BS46">
        <v>44.28</v>
      </c>
      <c r="BT46" t="s">
        <v>1346</v>
      </c>
      <c r="BU46" t="s">
        <v>2521</v>
      </c>
      <c r="BV46">
        <v>6.13</v>
      </c>
      <c r="BW46">
        <v>20.11</v>
      </c>
      <c r="BX46">
        <v>27.35</v>
      </c>
      <c r="BY46">
        <v>1.55</v>
      </c>
      <c r="BZ46">
        <v>14.27</v>
      </c>
      <c r="CA46">
        <v>17.36</v>
      </c>
      <c r="CB46">
        <v>11.8</v>
      </c>
      <c r="CC46">
        <v>-0.4</v>
      </c>
      <c r="CD46" t="s">
        <v>3014</v>
      </c>
      <c r="CE46" t="s">
        <v>3015</v>
      </c>
      <c r="CF46" s="10">
        <v>5.4999999999999991</v>
      </c>
      <c r="CG46" s="11">
        <v>-9.8401099094655997</v>
      </c>
      <c r="CH46" s="10">
        <v>-0.63488775491714478</v>
      </c>
      <c r="CI46" s="10">
        <v>0.31770601868629456</v>
      </c>
      <c r="CJ46" s="10">
        <v>0.87777769565582275</v>
      </c>
      <c r="CK46" s="10">
        <v>0.40794223546981812</v>
      </c>
      <c r="CL46" s="10">
        <v>0.38039866089820862</v>
      </c>
      <c r="CM46" s="11">
        <v>-0.76149952411651611</v>
      </c>
      <c r="CN46" s="11">
        <v>8.3989500999450684E-2</v>
      </c>
      <c r="CO46" s="11">
        <v>2.0725805759429932</v>
      </c>
      <c r="CP46" s="11">
        <v>2.0436170101165771</v>
      </c>
      <c r="CQ46" s="11">
        <v>-0.38163277506828308</v>
      </c>
      <c r="CR46">
        <v>19.439012435375712</v>
      </c>
      <c r="CS46">
        <v>0.72053085182953591</v>
      </c>
      <c r="CT46">
        <v>0.49776007964161273</v>
      </c>
      <c r="CU46" s="10">
        <v>0.26978737115859985</v>
      </c>
      <c r="CV46" s="11">
        <v>0.61141095757484432</v>
      </c>
      <c r="CW46">
        <v>0.06</v>
      </c>
      <c r="CX46">
        <v>15.227267950157097</v>
      </c>
      <c r="CY46">
        <v>117995231.04743575</v>
      </c>
      <c r="CZ46">
        <v>0.26978737115859985</v>
      </c>
      <c r="DA46">
        <v>4.2872960462294794</v>
      </c>
      <c r="DB46">
        <v>419085824.87093973</v>
      </c>
      <c r="DC46">
        <v>0.25629800260066987</v>
      </c>
      <c r="DD46">
        <v>1.7084718055332138</v>
      </c>
      <c r="DE46">
        <v>1051667925.7924517</v>
      </c>
      <c r="DF46">
        <v>0.23741288661956786</v>
      </c>
      <c r="DG46">
        <v>0.79477742103328486</v>
      </c>
      <c r="DH46">
        <v>2260689537.0329766</v>
      </c>
      <c r="DI46">
        <v>0.2158298969268799</v>
      </c>
      <c r="DJ46">
        <v>0.22168242728355436</v>
      </c>
      <c r="DK46">
        <v>8105040268.7163858</v>
      </c>
      <c r="DL46">
        <v>0.18885115981101988</v>
      </c>
      <c r="DM46">
        <v>98500700</v>
      </c>
      <c r="DN46">
        <v>0.26978737115859985</v>
      </c>
      <c r="DO46">
        <v>1796745000</v>
      </c>
      <c r="DP46">
        <v>2275528800</v>
      </c>
      <c r="DQ46">
        <v>2581</v>
      </c>
      <c r="DR46">
        <v>5.2302126288413993</v>
      </c>
      <c r="DS46">
        <v>-10.451520867040443</v>
      </c>
      <c r="DT46" s="12">
        <v>-0.14000000000000004</v>
      </c>
      <c r="DU46">
        <v>-0.55166666666666675</v>
      </c>
      <c r="DV46">
        <v>-0.69166666666666676</v>
      </c>
      <c r="DW46">
        <v>5.0338983050847457</v>
      </c>
      <c r="DX46">
        <v>0.597156932610029</v>
      </c>
      <c r="DY46">
        <v>5.0107510824613568</v>
      </c>
      <c r="DZ46">
        <v>320</v>
      </c>
      <c r="EA46">
        <v>5.0100778248512521</v>
      </c>
      <c r="EB46">
        <v>5</v>
      </c>
      <c r="EC46">
        <v>0.1488089256866359</v>
      </c>
      <c r="ED46">
        <v>0.46919648723348106</v>
      </c>
      <c r="EE46" s="13">
        <v>2.2409999999999996E-2</v>
      </c>
      <c r="EF46">
        <v>2.351E-2</v>
      </c>
      <c r="EG46">
        <v>28.317156932610029</v>
      </c>
      <c r="EH46">
        <v>-1</v>
      </c>
      <c r="EI46">
        <v>1</v>
      </c>
      <c r="EJ46">
        <v>1</v>
      </c>
      <c r="EK46" s="14">
        <v>45470</v>
      </c>
      <c r="EL46">
        <v>-1.07</v>
      </c>
      <c r="EM46">
        <v>-5.41</v>
      </c>
      <c r="EN46">
        <v>1.6</v>
      </c>
      <c r="EO46">
        <v>3.83</v>
      </c>
      <c r="EP46">
        <v>-0.11</v>
      </c>
    </row>
    <row r="47" spans="1:146" ht="96" x14ac:dyDescent="0.25">
      <c r="A47" s="9"/>
      <c r="B47" s="9"/>
      <c r="C47" s="9" t="str">
        <f>""&amp;CHAR(10)&amp;Basic_Fundamental_Information_Constructure(F47)&amp;CHAR(10)&amp;Basic_Fundamental_Information_Concatenate("")</f>
        <v xml:space="preserve">
市值29.190366亿, 利润3.00亿; PE; 平均PE25.49; 平均PEG1.81, PB1.57; ROIC8.265%; ROE5.25%; 股利率0%; 毛利6.4067%; 净利-3.5333%; 上一年度营收增-54.72%, 利润增125.56%; 当季营收增298.18%, 利润增-478.75%; 过往5年营收增14.09%, 利润增57.18%
Income profile:
</v>
      </c>
      <c r="D47" t="s">
        <v>1187</v>
      </c>
      <c r="E47" t="s">
        <v>1229</v>
      </c>
      <c r="F47">
        <v>23.93</v>
      </c>
      <c r="G47">
        <v>1.87</v>
      </c>
      <c r="H47" t="s">
        <v>3016</v>
      </c>
      <c r="I47">
        <v>2919036600</v>
      </c>
      <c r="K47">
        <v>1.57</v>
      </c>
      <c r="L47" t="s">
        <v>973</v>
      </c>
      <c r="M47" t="s">
        <v>459</v>
      </c>
      <c r="N47" t="s">
        <v>1371</v>
      </c>
      <c r="O47" t="s">
        <v>360</v>
      </c>
      <c r="P47">
        <v>-24.5</v>
      </c>
      <c r="Q47" t="s">
        <v>1652</v>
      </c>
      <c r="R47">
        <v>-46229258</v>
      </c>
      <c r="S47" s="6">
        <v>-93.55</v>
      </c>
      <c r="T47" t="s">
        <v>1337</v>
      </c>
      <c r="U47">
        <v>75102307</v>
      </c>
      <c r="V47">
        <v>121982307</v>
      </c>
      <c r="W47">
        <v>1.71</v>
      </c>
      <c r="X47">
        <v>0.14000000000000001</v>
      </c>
      <c r="Y47">
        <v>-10.83</v>
      </c>
      <c r="Z47" t="s">
        <v>565</v>
      </c>
      <c r="AA47" t="s">
        <v>360</v>
      </c>
      <c r="AB47" t="s">
        <v>3017</v>
      </c>
      <c r="AC47" t="s">
        <v>3018</v>
      </c>
      <c r="AD47" t="s">
        <v>5</v>
      </c>
      <c r="AE47">
        <v>3701770</v>
      </c>
      <c r="AF47" t="s">
        <v>2162</v>
      </c>
      <c r="AG47" t="s">
        <v>3019</v>
      </c>
      <c r="AH47" t="s">
        <v>2163</v>
      </c>
      <c r="AI47" t="s">
        <v>499</v>
      </c>
      <c r="AJ47" t="s">
        <v>2164</v>
      </c>
      <c r="AK47" t="s">
        <v>3020</v>
      </c>
      <c r="AL47" t="s">
        <v>2165</v>
      </c>
      <c r="AM47" t="s">
        <v>5</v>
      </c>
      <c r="AN47" t="s">
        <v>3021</v>
      </c>
      <c r="AO47" t="s">
        <v>483</v>
      </c>
      <c r="AP47" t="s">
        <v>260</v>
      </c>
      <c r="AQ47" t="s">
        <v>198</v>
      </c>
      <c r="AR47" t="s">
        <v>1843</v>
      </c>
      <c r="AS47" t="s">
        <v>3022</v>
      </c>
      <c r="AT47" t="s">
        <v>479</v>
      </c>
      <c r="AU47" t="s">
        <v>287</v>
      </c>
      <c r="AV47" t="s">
        <v>3023</v>
      </c>
      <c r="AW47" t="s">
        <v>216</v>
      </c>
      <c r="AX47" t="s">
        <v>1401</v>
      </c>
      <c r="AY47" t="s">
        <v>1188</v>
      </c>
      <c r="AZ47" t="s">
        <v>28</v>
      </c>
      <c r="BA47" t="s">
        <v>338</v>
      </c>
      <c r="BB47" t="s">
        <v>1112</v>
      </c>
      <c r="BC47" t="s">
        <v>68</v>
      </c>
      <c r="BD47" t="s">
        <v>1189</v>
      </c>
      <c r="BE47" t="s">
        <v>1190</v>
      </c>
      <c r="BF47" t="s">
        <v>1191</v>
      </c>
      <c r="BG47" t="s">
        <v>1192</v>
      </c>
      <c r="BH47" t="s">
        <v>2159</v>
      </c>
      <c r="BI47" t="s">
        <v>93</v>
      </c>
      <c r="BJ47" t="s">
        <v>1401</v>
      </c>
      <c r="BK47" t="s">
        <v>2160</v>
      </c>
      <c r="BL47" t="s">
        <v>3024</v>
      </c>
      <c r="BM47" t="s">
        <v>68</v>
      </c>
      <c r="BN47" t="s">
        <v>5</v>
      </c>
      <c r="BO47">
        <v>6.9</v>
      </c>
      <c r="BP47">
        <v>9.6300000000000008</v>
      </c>
      <c r="BQ47">
        <v>-4.63</v>
      </c>
      <c r="BR47">
        <v>9.4499999999999993</v>
      </c>
      <c r="BS47">
        <v>10.93</v>
      </c>
      <c r="BT47" t="s">
        <v>1280</v>
      </c>
      <c r="BU47" t="s">
        <v>2508</v>
      </c>
      <c r="BV47">
        <v>-6.77</v>
      </c>
      <c r="BW47">
        <v>11.99</v>
      </c>
      <c r="BX47">
        <v>14</v>
      </c>
      <c r="BY47">
        <v>-20.67</v>
      </c>
      <c r="BZ47">
        <v>4.97</v>
      </c>
      <c r="CA47">
        <v>5.0999999999999996</v>
      </c>
      <c r="CB47">
        <v>-0.66</v>
      </c>
      <c r="CC47">
        <v>-5.49</v>
      </c>
      <c r="CD47" t="s">
        <v>3025</v>
      </c>
      <c r="CE47" t="s">
        <v>3026</v>
      </c>
      <c r="CF47" s="10">
        <v>2.9818181818181815</v>
      </c>
      <c r="CG47" s="11">
        <v>-4.7874828360287731</v>
      </c>
      <c r="CH47" s="10">
        <v>-0.54722636938095093</v>
      </c>
      <c r="CI47" s="10">
        <v>0.60432946681976318</v>
      </c>
      <c r="CJ47" s="10">
        <v>0.33789217472076416</v>
      </c>
      <c r="CK47" s="10">
        <v>0.22826093435287476</v>
      </c>
      <c r="CL47" s="10">
        <v>8.1196583807468414E-2</v>
      </c>
      <c r="CM47" s="11">
        <v>1.2556390762329102</v>
      </c>
      <c r="CN47" s="11">
        <v>0.56747198104858398</v>
      </c>
      <c r="CO47" s="11">
        <v>0.48549258708953857</v>
      </c>
      <c r="CP47" s="11">
        <v>-0.20004953444004059</v>
      </c>
      <c r="CQ47" s="11">
        <v>0.750252366065979</v>
      </c>
      <c r="CR47">
        <v>25.487521835986637</v>
      </c>
      <c r="CS47">
        <v>1.8090298020121229</v>
      </c>
      <c r="CT47">
        <v>0</v>
      </c>
      <c r="CU47" s="10">
        <v>0.14089055806398393</v>
      </c>
      <c r="CV47" s="11">
        <v>0.57176129519939423</v>
      </c>
      <c r="CW47">
        <v>0.06</v>
      </c>
      <c r="CX47">
        <v>6.8196982304797462</v>
      </c>
      <c r="CY47">
        <v>322893554.169052</v>
      </c>
      <c r="CZ47">
        <v>0.14089055806398393</v>
      </c>
      <c r="DA47">
        <v>2.1351542045846932</v>
      </c>
      <c r="DB47">
        <v>1031324386.4408922</v>
      </c>
      <c r="DC47">
        <v>0.13384603016078472</v>
      </c>
      <c r="DD47">
        <v>0.99149189864637222</v>
      </c>
      <c r="DE47">
        <v>2220932518.970973</v>
      </c>
      <c r="DF47">
        <v>0.12398369109630586</v>
      </c>
      <c r="DG47">
        <v>0.55663200344509012</v>
      </c>
      <c r="DH47">
        <v>3956000708.4954171</v>
      </c>
      <c r="DI47">
        <v>0.11271244645118715</v>
      </c>
      <c r="DJ47">
        <v>0.24675351267908197</v>
      </c>
      <c r="DK47">
        <v>8924033445.7320709</v>
      </c>
      <c r="DL47">
        <v>9.8623390644788742E-2</v>
      </c>
      <c r="DM47">
        <v>300000000</v>
      </c>
      <c r="DN47">
        <v>0.14089055806398393</v>
      </c>
      <c r="DO47">
        <v>2202036600</v>
      </c>
      <c r="DP47">
        <v>819496800</v>
      </c>
      <c r="DQ47">
        <v>2583</v>
      </c>
      <c r="DR47">
        <v>2.8409276237541974</v>
      </c>
      <c r="DS47">
        <v>-5.3592441312281673</v>
      </c>
      <c r="DT47" s="12">
        <v>-5.6666666666666719E-2</v>
      </c>
      <c r="DU47">
        <v>-0.19833333333333336</v>
      </c>
      <c r="DV47">
        <v>-0.25500000000000006</v>
      </c>
      <c r="DW47">
        <v>-1.0548999999999999</v>
      </c>
      <c r="DX47">
        <v>0.36765832218896055</v>
      </c>
      <c r="DY47">
        <v>-1.010851441888174</v>
      </c>
      <c r="DZ47">
        <v>2547</v>
      </c>
      <c r="EA47">
        <v>-1.005442709502816</v>
      </c>
      <c r="EB47">
        <v>1</v>
      </c>
      <c r="EC47">
        <v>0.13110179987004181</v>
      </c>
      <c r="ED47">
        <v>0.66327487969218357</v>
      </c>
      <c r="EE47" s="13">
        <v>-3.0322</v>
      </c>
      <c r="EF47">
        <v>-3.0142000000000002</v>
      </c>
      <c r="EG47">
        <v>17.197658322188961</v>
      </c>
      <c r="EH47" t="s">
        <v>1577</v>
      </c>
      <c r="EI47">
        <v>0</v>
      </c>
      <c r="EJ47">
        <v>0</v>
      </c>
      <c r="EK47" s="14">
        <v>45470</v>
      </c>
      <c r="EL47">
        <v>5.74</v>
      </c>
      <c r="EM47">
        <v>-4.93</v>
      </c>
      <c r="EN47">
        <v>-3.94</v>
      </c>
      <c r="EO47">
        <v>2.46</v>
      </c>
      <c r="EP47">
        <v>-1.8</v>
      </c>
    </row>
    <row r="48" spans="1:146" ht="96" x14ac:dyDescent="0.25">
      <c r="C48" s="9" t="str">
        <f>""&amp;CHAR(10)&amp;Basic_Fundamental_Information_Constructure(F48)&amp;CHAR(10)&amp;Basic_Fundamental_Information_Concatenate("")</f>
        <v xml:space="preserve">
市值22.691989亿, 利润1.76亿; PE38.79; 平均PE26.27; 平均PEG3.1, PB1.24; ROIC13.02%; ROE11.09%; 股利率.5451%; 毛利19.11%; 净利10.48%; 上一年度营收增-46.05%, 利润增62.96%; 当季营收增32.64%, 利润增-72.64%; 过往5年营收增8.47%, 利润增69.3%
Income profile:
</v>
      </c>
      <c r="D48" s="6" t="s">
        <v>1579</v>
      </c>
      <c r="E48" t="s">
        <v>1580</v>
      </c>
      <c r="F48">
        <v>27.52</v>
      </c>
      <c r="G48">
        <v>-0.97</v>
      </c>
      <c r="H48" t="s">
        <v>3027</v>
      </c>
      <c r="I48">
        <v>2269198900</v>
      </c>
      <c r="J48">
        <v>38.79</v>
      </c>
      <c r="K48">
        <v>1.24</v>
      </c>
      <c r="L48" t="s">
        <v>973</v>
      </c>
      <c r="M48" t="s">
        <v>599</v>
      </c>
      <c r="N48" t="s">
        <v>3028</v>
      </c>
      <c r="O48" t="s">
        <v>439</v>
      </c>
      <c r="P48" s="6">
        <v>13.7</v>
      </c>
      <c r="Q48" t="s">
        <v>269</v>
      </c>
      <c r="R48">
        <v>10923194</v>
      </c>
      <c r="S48">
        <v>-0.19769999999999999</v>
      </c>
      <c r="T48" t="s">
        <v>320</v>
      </c>
      <c r="U48">
        <v>30819006</v>
      </c>
      <c r="V48">
        <v>82456356</v>
      </c>
      <c r="W48">
        <v>1.1599999999999999</v>
      </c>
      <c r="X48">
        <v>0.11</v>
      </c>
      <c r="Y48">
        <v>5.53</v>
      </c>
      <c r="Z48" t="s">
        <v>129</v>
      </c>
      <c r="AA48" t="s">
        <v>352</v>
      </c>
      <c r="AB48" t="s">
        <v>3029</v>
      </c>
      <c r="AC48" t="s">
        <v>3030</v>
      </c>
      <c r="AD48" t="s">
        <v>5</v>
      </c>
      <c r="AE48">
        <v>-3765171</v>
      </c>
      <c r="AF48" t="s">
        <v>2168</v>
      </c>
      <c r="AG48" t="s">
        <v>3031</v>
      </c>
      <c r="AH48" t="s">
        <v>2169</v>
      </c>
      <c r="AI48" t="s">
        <v>394</v>
      </c>
      <c r="AJ48" t="s">
        <v>2170</v>
      </c>
      <c r="AK48" t="s">
        <v>3032</v>
      </c>
      <c r="AL48" t="s">
        <v>2171</v>
      </c>
      <c r="AM48" t="s">
        <v>5</v>
      </c>
      <c r="AN48" t="s">
        <v>3033</v>
      </c>
      <c r="AO48" t="s">
        <v>3034</v>
      </c>
      <c r="AP48" t="s">
        <v>3035</v>
      </c>
      <c r="AQ48" t="s">
        <v>117</v>
      </c>
      <c r="AR48" t="s">
        <v>5</v>
      </c>
      <c r="AS48" t="s">
        <v>451</v>
      </c>
      <c r="AT48" t="s">
        <v>5</v>
      </c>
      <c r="AU48" t="s">
        <v>3036</v>
      </c>
      <c r="AV48" t="s">
        <v>3037</v>
      </c>
      <c r="AW48" t="s">
        <v>3038</v>
      </c>
      <c r="AX48" t="s">
        <v>678</v>
      </c>
      <c r="AY48" t="s">
        <v>1350</v>
      </c>
      <c r="AZ48" t="s">
        <v>614</v>
      </c>
      <c r="BA48" t="s">
        <v>340</v>
      </c>
      <c r="BB48" t="s">
        <v>365</v>
      </c>
      <c r="BC48" t="s">
        <v>105</v>
      </c>
      <c r="BD48" t="s">
        <v>73</v>
      </c>
      <c r="BE48" t="s">
        <v>1640</v>
      </c>
      <c r="BF48" t="s">
        <v>1641</v>
      </c>
      <c r="BG48" t="s">
        <v>1642</v>
      </c>
      <c r="BH48" t="s">
        <v>1265</v>
      </c>
      <c r="BI48" t="s">
        <v>88</v>
      </c>
      <c r="BJ48" t="s">
        <v>678</v>
      </c>
      <c r="BK48" t="s">
        <v>2167</v>
      </c>
      <c r="BL48" t="s">
        <v>3039</v>
      </c>
      <c r="BM48" t="s">
        <v>105</v>
      </c>
      <c r="BN48">
        <v>4.24</v>
      </c>
      <c r="BO48">
        <v>13.22</v>
      </c>
      <c r="BP48">
        <v>21.6</v>
      </c>
      <c r="BQ48">
        <v>4.75</v>
      </c>
      <c r="BR48">
        <v>17.43</v>
      </c>
      <c r="BS48" t="s">
        <v>5</v>
      </c>
      <c r="BT48" t="s">
        <v>1291</v>
      </c>
      <c r="BU48" t="s">
        <v>2521</v>
      </c>
      <c r="BV48">
        <v>14.38</v>
      </c>
      <c r="BW48">
        <v>18.12</v>
      </c>
      <c r="BX48">
        <v>24.83</v>
      </c>
      <c r="BY48">
        <v>6.85</v>
      </c>
      <c r="BZ48">
        <v>10.16</v>
      </c>
      <c r="CA48">
        <v>14.43</v>
      </c>
      <c r="CB48">
        <v>-8.3000000000000007</v>
      </c>
      <c r="CC48" s="10">
        <v>-21.75</v>
      </c>
      <c r="CD48" s="11" t="s">
        <v>3040</v>
      </c>
      <c r="CE48" s="10" t="s">
        <v>3041</v>
      </c>
      <c r="CF48" s="10">
        <v>0.32642487046632124</v>
      </c>
      <c r="CG48" s="10">
        <v>-0.72639277206816133</v>
      </c>
      <c r="CH48" s="10">
        <v>-0.46053698658943176</v>
      </c>
      <c r="CI48" s="10">
        <v>3.8884080946445465E-2</v>
      </c>
      <c r="CJ48" s="11">
        <v>0.5689656138420105</v>
      </c>
      <c r="CK48" s="11">
        <v>0.37340620160102844</v>
      </c>
      <c r="CL48" s="11">
        <v>-9.7039476037025452E-2</v>
      </c>
      <c r="CM48" s="11">
        <v>0.62962961196899414</v>
      </c>
      <c r="CN48" s="11">
        <v>-0.28947368264198303</v>
      </c>
      <c r="CO48">
        <v>1.2211991548538208</v>
      </c>
      <c r="CP48">
        <v>3.5614426136016846</v>
      </c>
      <c r="CQ48">
        <v>-1.6576908826828003</v>
      </c>
      <c r="CR48" s="10">
        <v>26.267098741280758</v>
      </c>
      <c r="CS48" s="11">
        <v>3.0998788999482683</v>
      </c>
      <c r="CT48">
        <v>0.54505813953488369</v>
      </c>
      <c r="CU48">
        <v>8.4735886752605433E-2</v>
      </c>
      <c r="CV48">
        <v>0.69302136301994322</v>
      </c>
      <c r="CW48">
        <v>0.06</v>
      </c>
      <c r="CX48">
        <v>3.7322178579776306</v>
      </c>
      <c r="CY48">
        <v>180107090.63062125</v>
      </c>
      <c r="CZ48">
        <v>8.4735886752605433E-2</v>
      </c>
      <c r="DA48">
        <v>1.2251060447004483</v>
      </c>
      <c r="DB48">
        <v>548686297.73544228</v>
      </c>
      <c r="DC48">
        <v>8.049909241497516E-2</v>
      </c>
      <c r="DD48">
        <v>0.60669211359020314</v>
      </c>
      <c r="DE48">
        <v>1107973690.3487167</v>
      </c>
      <c r="DF48">
        <v>7.4567580342292786E-2</v>
      </c>
      <c r="DG48">
        <v>0.36677699850932854</v>
      </c>
      <c r="DH48">
        <v>1832718253.1401398</v>
      </c>
      <c r="DI48">
        <v>6.7788709402084354E-2</v>
      </c>
      <c r="DJ48">
        <v>0.19226463274274652</v>
      </c>
      <c r="DK48">
        <v>3496217117.0576873</v>
      </c>
      <c r="DL48">
        <v>5.9315120726823801E-2</v>
      </c>
      <c r="DM48">
        <v>176000000</v>
      </c>
      <c r="DN48">
        <v>8.4735886752605433E-2</v>
      </c>
      <c r="DO48">
        <v>672198900.00000024</v>
      </c>
      <c r="DP48">
        <v>790605840</v>
      </c>
      <c r="DQ48" s="12">
        <v>2634</v>
      </c>
      <c r="DR48">
        <v>0.2416889837137158</v>
      </c>
      <c r="DS48">
        <v>-1.4194141350881044</v>
      </c>
      <c r="DT48">
        <v>-0.35666666666666669</v>
      </c>
      <c r="DU48">
        <v>-0.11166666666666665</v>
      </c>
      <c r="DV48">
        <v>-0.46833333333333332</v>
      </c>
      <c r="DW48">
        <v>-9.381609195402298</v>
      </c>
      <c r="DX48">
        <v>0.38096812927385315</v>
      </c>
      <c r="DY48">
        <v>-9.0499786424355388</v>
      </c>
      <c r="DZ48">
        <v>2718</v>
      </c>
      <c r="EA48">
        <v>-9.0233950905490818</v>
      </c>
      <c r="EB48" s="13">
        <v>9</v>
      </c>
      <c r="EC48" s="13">
        <v>3.1217726866319444E-2</v>
      </c>
      <c r="ED48">
        <v>0.2383612489496868</v>
      </c>
      <c r="EE48">
        <v>1.1709999999999998E-2</v>
      </c>
      <c r="EF48">
        <v>3.0210000000000004E-2</v>
      </c>
      <c r="EG48">
        <v>25.130968129273853</v>
      </c>
      <c r="EH48" s="14">
        <v>-1</v>
      </c>
      <c r="EI48">
        <v>0</v>
      </c>
      <c r="EJ48">
        <v>0</v>
      </c>
      <c r="EK48">
        <v>45470</v>
      </c>
      <c r="EL48">
        <v>-1.96</v>
      </c>
      <c r="EM48">
        <v>-5.46</v>
      </c>
      <c r="EN48">
        <v>1.55</v>
      </c>
      <c r="EO48">
        <v>2.27</v>
      </c>
      <c r="EP48">
        <v>-1.85</v>
      </c>
    </row>
    <row r="49" spans="1:146" ht="96" x14ac:dyDescent="0.25">
      <c r="C49" s="9" t="str">
        <f>""&amp;CHAR(10)&amp;Basic_Fundamental_Information_Constructure(F49)&amp;CHAR(10)&amp;Basic_Fundamental_Information_Concatenate("")</f>
        <v xml:space="preserve">
市值94.92228亿, 利润3286.90万; PE; 平均PE54.01; 平均PEG11.95, PB1.71; ROIC6.9167%; ROE8.1833%; 股利率.524%; 毛利9.3233%; 净利5.43%; 上一年度营收增-85.5%, 利润增-87.6%; 当季营收增2968.79%, 利润增-1165.7%; 过往5年营收增-4.52%, 利润增43.12%
Income profile:
</v>
      </c>
      <c r="D49" s="6" t="s">
        <v>1581</v>
      </c>
      <c r="E49" t="s">
        <v>1582</v>
      </c>
      <c r="F49">
        <v>11.45</v>
      </c>
      <c r="G49">
        <v>3.53</v>
      </c>
      <c r="H49" t="s">
        <v>3042</v>
      </c>
      <c r="I49">
        <v>9492228000</v>
      </c>
      <c r="K49">
        <v>1.71</v>
      </c>
      <c r="L49" t="s">
        <v>973</v>
      </c>
      <c r="M49" t="s">
        <v>487</v>
      </c>
      <c r="N49" t="s">
        <v>3043</v>
      </c>
      <c r="O49" t="s">
        <v>493</v>
      </c>
      <c r="P49" s="6">
        <v>4.51</v>
      </c>
      <c r="Q49" t="s">
        <v>529</v>
      </c>
      <c r="R49">
        <v>-27697373</v>
      </c>
      <c r="S49">
        <v>-2.0670000000000002</v>
      </c>
      <c r="T49" t="s">
        <v>3044</v>
      </c>
      <c r="U49">
        <v>229015540</v>
      </c>
      <c r="V49">
        <v>829015540</v>
      </c>
      <c r="W49">
        <v>1.29</v>
      </c>
      <c r="X49">
        <v>0.13</v>
      </c>
      <c r="Y49">
        <v>-3.1</v>
      </c>
      <c r="Z49" t="s">
        <v>643</v>
      </c>
      <c r="AA49" t="s">
        <v>314</v>
      </c>
      <c r="AB49" t="s">
        <v>3045</v>
      </c>
      <c r="AC49" t="s">
        <v>3046</v>
      </c>
      <c r="AD49" t="s">
        <v>5</v>
      </c>
      <c r="AE49">
        <v>573780</v>
      </c>
      <c r="AF49" t="s">
        <v>2174</v>
      </c>
      <c r="AG49">
        <v>7200</v>
      </c>
      <c r="AH49" t="s">
        <v>2175</v>
      </c>
      <c r="AI49" t="s">
        <v>1604</v>
      </c>
      <c r="AJ49" t="s">
        <v>2176</v>
      </c>
      <c r="AK49" t="s">
        <v>381</v>
      </c>
      <c r="AL49" t="s">
        <v>2177</v>
      </c>
      <c r="AM49" t="s">
        <v>5</v>
      </c>
      <c r="AN49" t="s">
        <v>1541</v>
      </c>
      <c r="AO49" t="s">
        <v>348</v>
      </c>
      <c r="AP49" t="s">
        <v>1720</v>
      </c>
      <c r="AQ49" t="s">
        <v>280</v>
      </c>
      <c r="AR49" t="s">
        <v>5</v>
      </c>
      <c r="AS49" t="s">
        <v>1078</v>
      </c>
      <c r="AT49" t="s">
        <v>306</v>
      </c>
      <c r="AU49" t="s">
        <v>3047</v>
      </c>
      <c r="AV49" t="s">
        <v>72</v>
      </c>
      <c r="AW49" t="s">
        <v>246</v>
      </c>
      <c r="AX49" t="s">
        <v>1583</v>
      </c>
      <c r="AY49" t="s">
        <v>1584</v>
      </c>
      <c r="AZ49" t="s">
        <v>1585</v>
      </c>
      <c r="BA49" t="s">
        <v>1586</v>
      </c>
      <c r="BB49" t="s">
        <v>1587</v>
      </c>
      <c r="BC49" t="s">
        <v>501</v>
      </c>
      <c r="BD49" t="s">
        <v>90</v>
      </c>
      <c r="BE49" t="s">
        <v>1588</v>
      </c>
      <c r="BF49" t="s">
        <v>1589</v>
      </c>
      <c r="BG49" t="s">
        <v>339</v>
      </c>
      <c r="BH49" t="s">
        <v>2172</v>
      </c>
      <c r="BI49" t="s">
        <v>3048</v>
      </c>
      <c r="BJ49" t="s">
        <v>1583</v>
      </c>
      <c r="BK49" t="s">
        <v>2173</v>
      </c>
      <c r="BL49" t="s">
        <v>3049</v>
      </c>
      <c r="BM49" t="s">
        <v>501</v>
      </c>
      <c r="BN49">
        <v>0</v>
      </c>
      <c r="BO49">
        <v>5.95</v>
      </c>
      <c r="BP49">
        <v>14.8</v>
      </c>
      <c r="BQ49">
        <v>0.1</v>
      </c>
      <c r="BR49">
        <v>5.01</v>
      </c>
      <c r="BS49">
        <v>19.440000000000001</v>
      </c>
      <c r="BT49" t="s">
        <v>1281</v>
      </c>
      <c r="BU49" t="s">
        <v>2521</v>
      </c>
      <c r="BV49">
        <v>2.34</v>
      </c>
      <c r="BW49">
        <v>9.98</v>
      </c>
      <c r="BX49">
        <v>15.65</v>
      </c>
      <c r="BY49">
        <v>0.45</v>
      </c>
      <c r="BZ49">
        <v>6.84</v>
      </c>
      <c r="CA49">
        <v>9</v>
      </c>
      <c r="CB49">
        <v>19.27</v>
      </c>
      <c r="CC49" s="10">
        <v>6.12</v>
      </c>
      <c r="CD49" s="11" t="s">
        <v>160</v>
      </c>
      <c r="CE49" s="10" t="s">
        <v>137</v>
      </c>
      <c r="CF49" s="10">
        <v>29.687932624162276</v>
      </c>
      <c r="CG49" s="10">
        <v>-11.657027372846501</v>
      </c>
      <c r="CH49" s="10">
        <v>-0.85496771335601807</v>
      </c>
      <c r="CI49" s="10">
        <v>-5.0710391253232956E-2</v>
      </c>
      <c r="CJ49" s="11">
        <v>0.65934956073760986</v>
      </c>
      <c r="CK49" s="11">
        <v>2.500000037252903E-2</v>
      </c>
      <c r="CL49" s="11">
        <v>-4.5624487102031708E-3</v>
      </c>
      <c r="CM49" s="11">
        <v>-0.87596607208251953</v>
      </c>
      <c r="CN49" s="11">
        <v>-0.27989131212234497</v>
      </c>
      <c r="CO49">
        <v>4.131558895111084</v>
      </c>
      <c r="CP49">
        <v>-0.25996407866477966</v>
      </c>
      <c r="CQ49">
        <v>-0.55952322483062744</v>
      </c>
      <c r="CR49" s="10">
        <v>54.010497995707865</v>
      </c>
      <c r="CS49" s="11">
        <v>11.954991535399653</v>
      </c>
      <c r="CT49">
        <v>0.5240174672489083</v>
      </c>
      <c r="CU49">
        <v>-4.5178198441863063E-2</v>
      </c>
      <c r="CV49">
        <v>0.43124284148216246</v>
      </c>
      <c r="CW49">
        <v>0.06</v>
      </c>
      <c r="CX49" t="e">
        <v>#VALUE!</v>
      </c>
      <c r="CY49" t="s">
        <v>1076</v>
      </c>
      <c r="CZ49">
        <v>-4.5178198441863063E-2</v>
      </c>
      <c r="DA49">
        <v>53.751031874004887</v>
      </c>
      <c r="DB49" t="s">
        <v>3050</v>
      </c>
      <c r="DC49">
        <v>-4.2919288519769908E-2</v>
      </c>
      <c r="DD49">
        <v>26.875515937002444</v>
      </c>
      <c r="DE49" t="s">
        <v>3051</v>
      </c>
      <c r="DF49">
        <v>-3.9756814628839496E-2</v>
      </c>
      <c r="DG49">
        <v>16.125309562201465</v>
      </c>
      <c r="DH49" t="s">
        <v>3052</v>
      </c>
      <c r="DI49">
        <v>-3.6142558753490449E-2</v>
      </c>
      <c r="DJ49">
        <v>8.0626547811007327</v>
      </c>
      <c r="DK49" t="s">
        <v>3053</v>
      </c>
      <c r="DL49">
        <v>-3.1624738909304145E-2</v>
      </c>
      <c r="DM49">
        <v>32869000</v>
      </c>
      <c r="DN49">
        <v>-4.5178198441863063E-2</v>
      </c>
      <c r="DO49">
        <v>5300228000</v>
      </c>
      <c r="DP49">
        <v>2789863800</v>
      </c>
      <c r="DQ49" s="12">
        <v>2640</v>
      </c>
      <c r="DR49">
        <v>29.733110822604139</v>
      </c>
      <c r="DS49">
        <v>-12.088270214328665</v>
      </c>
      <c r="DT49">
        <v>-0.50666666666666671</v>
      </c>
      <c r="DU49">
        <v>-1.2466666666666666</v>
      </c>
      <c r="DV49">
        <v>-1.7533333333333334</v>
      </c>
      <c r="DW49">
        <v>5.3175921120913339</v>
      </c>
      <c r="DX49">
        <v>0.80293963254592859</v>
      </c>
      <c r="DY49">
        <v>5.1533778179128751</v>
      </c>
      <c r="DZ49">
        <v>2196</v>
      </c>
      <c r="EA49">
        <v>5.0874643760074596</v>
      </c>
      <c r="EB49" s="13">
        <v>5</v>
      </c>
      <c r="EC49" s="13">
        <v>0.22195000108200624</v>
      </c>
      <c r="ED49">
        <v>0.45958125224045859</v>
      </c>
      <c r="EE49">
        <v>-1.01711</v>
      </c>
      <c r="EF49">
        <v>-1.0303100000000001</v>
      </c>
      <c r="EG49">
        <v>32.482939632545929</v>
      </c>
      <c r="EH49" s="14" t="s">
        <v>1302</v>
      </c>
      <c r="EI49">
        <v>1</v>
      </c>
      <c r="EJ49">
        <v>0</v>
      </c>
      <c r="EK49">
        <v>45470</v>
      </c>
      <c r="EL49">
        <v>-0.44</v>
      </c>
      <c r="EM49">
        <v>-2.76</v>
      </c>
      <c r="EN49">
        <v>2.38</v>
      </c>
      <c r="EO49">
        <v>1.79</v>
      </c>
      <c r="EP49">
        <v>-1.32</v>
      </c>
    </row>
    <row r="50" spans="1:146" ht="96" x14ac:dyDescent="0.25">
      <c r="A50" s="9"/>
      <c r="B50" s="9"/>
      <c r="C50" s="9" t="str">
        <f>""&amp;CHAR(10)&amp;Basic_Fundamental_Information_Constructure(F50)&amp;CHAR(10)&amp;Basic_Fundamental_Information_Concatenate("")</f>
        <v xml:space="preserve">
市值23.053349亿, 利润2.04亿; PE17.67; 平均PE21.72; 平均PEG.26, PB1.69; ROIC13.4067%; ROE13.8033%; 股利率1.3187%; 毛利26.09%; 净利19.4133%; 上一年度营收增347.07%, 利润增65.85%; 当季营收增-74.25%, 利润增-30.37%; 过往5年营收增83.7%, 利润增30.71%
Income profile:
</v>
      </c>
      <c r="D50" t="s">
        <v>958</v>
      </c>
      <c r="E50" t="s">
        <v>959</v>
      </c>
      <c r="F50">
        <v>22.75</v>
      </c>
      <c r="G50">
        <v>1.1100000000000001</v>
      </c>
      <c r="H50" t="s">
        <v>3054</v>
      </c>
      <c r="I50">
        <v>2305334900</v>
      </c>
      <c r="J50">
        <v>17.670000000000002</v>
      </c>
      <c r="K50">
        <v>1.69</v>
      </c>
      <c r="L50" t="s">
        <v>973</v>
      </c>
      <c r="M50" t="s">
        <v>2178</v>
      </c>
      <c r="N50" t="s">
        <v>1599</v>
      </c>
      <c r="O50" t="s">
        <v>116</v>
      </c>
      <c r="P50">
        <v>11.85</v>
      </c>
      <c r="Q50" t="s">
        <v>2978</v>
      </c>
      <c r="R50">
        <v>35371414</v>
      </c>
      <c r="S50" s="6">
        <v>0.3301</v>
      </c>
      <c r="T50" t="s">
        <v>479</v>
      </c>
      <c r="U50">
        <v>29333400</v>
      </c>
      <c r="V50">
        <v>101333400</v>
      </c>
      <c r="W50">
        <v>1.04</v>
      </c>
      <c r="X50">
        <v>0.1</v>
      </c>
      <c r="Y50">
        <v>24.18</v>
      </c>
      <c r="Z50" t="s">
        <v>49</v>
      </c>
      <c r="AA50" t="s">
        <v>72</v>
      </c>
      <c r="AB50" t="s">
        <v>3055</v>
      </c>
      <c r="AC50" t="s">
        <v>3056</v>
      </c>
      <c r="AD50" t="s">
        <v>5</v>
      </c>
      <c r="AE50">
        <v>-10719010</v>
      </c>
      <c r="AF50" t="s">
        <v>2179</v>
      </c>
      <c r="AG50">
        <v>72.930000000000007</v>
      </c>
      <c r="AH50" t="s">
        <v>2180</v>
      </c>
      <c r="AI50" t="s">
        <v>1977</v>
      </c>
      <c r="AJ50" t="s">
        <v>2182</v>
      </c>
      <c r="AK50" t="s">
        <v>3057</v>
      </c>
      <c r="AL50" t="s">
        <v>2183</v>
      </c>
      <c r="AM50" t="s">
        <v>5</v>
      </c>
      <c r="AN50" t="s">
        <v>3058</v>
      </c>
      <c r="AO50" t="s">
        <v>5</v>
      </c>
      <c r="AP50" t="s">
        <v>5</v>
      </c>
      <c r="AQ50" t="s">
        <v>3059</v>
      </c>
      <c r="AR50" t="s">
        <v>5</v>
      </c>
      <c r="AS50" t="s">
        <v>3060</v>
      </c>
      <c r="AT50" t="s">
        <v>5</v>
      </c>
      <c r="AU50" t="s">
        <v>3061</v>
      </c>
      <c r="AV50" t="s">
        <v>3062</v>
      </c>
      <c r="AW50" t="s">
        <v>3063</v>
      </c>
      <c r="AX50" t="s">
        <v>361</v>
      </c>
      <c r="AY50" t="s">
        <v>283</v>
      </c>
      <c r="AZ50" t="s">
        <v>457</v>
      </c>
      <c r="BA50" t="s">
        <v>121</v>
      </c>
      <c r="BB50" t="s">
        <v>221</v>
      </c>
      <c r="BC50" t="s">
        <v>29</v>
      </c>
      <c r="BD50" t="s">
        <v>1033</v>
      </c>
      <c r="BE50" t="s">
        <v>960</v>
      </c>
      <c r="BF50" t="s">
        <v>961</v>
      </c>
      <c r="BG50" t="s">
        <v>962</v>
      </c>
      <c r="BH50" t="s">
        <v>1635</v>
      </c>
      <c r="BI50" t="s">
        <v>170</v>
      </c>
      <c r="BJ50" t="s">
        <v>361</v>
      </c>
      <c r="BK50" t="s">
        <v>82</v>
      </c>
      <c r="BL50" t="s">
        <v>3064</v>
      </c>
      <c r="BM50" t="s">
        <v>29</v>
      </c>
      <c r="BN50">
        <v>5.54</v>
      </c>
      <c r="BO50">
        <v>11.91</v>
      </c>
      <c r="BP50">
        <v>22.77</v>
      </c>
      <c r="BQ50">
        <v>6.82</v>
      </c>
      <c r="BR50">
        <v>11.93</v>
      </c>
      <c r="BS50">
        <v>22.66</v>
      </c>
      <c r="BT50" t="s">
        <v>1288</v>
      </c>
      <c r="BU50" t="s">
        <v>2631</v>
      </c>
      <c r="BV50">
        <v>27.99</v>
      </c>
      <c r="BW50">
        <v>25.31</v>
      </c>
      <c r="BX50">
        <v>24.97</v>
      </c>
      <c r="BY50">
        <v>20.69</v>
      </c>
      <c r="BZ50">
        <v>21.15</v>
      </c>
      <c r="CA50">
        <v>16.399999999999999</v>
      </c>
      <c r="CB50">
        <v>-8.1199999999999992</v>
      </c>
      <c r="CC50">
        <v>-4.25</v>
      </c>
      <c r="CD50" t="s">
        <v>3065</v>
      </c>
      <c r="CE50" t="s">
        <v>3066</v>
      </c>
      <c r="CF50" s="10">
        <v>-0.74250440917107585</v>
      </c>
      <c r="CG50" s="11">
        <v>-0.30368079657149843</v>
      </c>
      <c r="CH50" s="10">
        <v>3.4706895351409912</v>
      </c>
      <c r="CI50" s="10">
        <v>6.0329068452119827E-2</v>
      </c>
      <c r="CJ50" s="10">
        <v>0.12551440298557281</v>
      </c>
      <c r="CK50" s="10">
        <v>0.50931674242019653</v>
      </c>
      <c r="CL50" s="10">
        <v>1.8987340852618217E-2</v>
      </c>
      <c r="CM50" s="11">
        <v>0.65853661298751831</v>
      </c>
      <c r="CN50" s="11">
        <v>0.3716258704662323</v>
      </c>
      <c r="CO50" s="11">
        <v>-6.434091180562973E-2</v>
      </c>
      <c r="CP50" s="11">
        <v>0.47798705101013184</v>
      </c>
      <c r="CQ50" s="11">
        <v>9.1834686696529388E-2</v>
      </c>
      <c r="CR50">
        <v>21.722726979335313</v>
      </c>
      <c r="CS50">
        <v>0.25954089147238651</v>
      </c>
      <c r="CT50">
        <v>1.3186813186813187</v>
      </c>
      <c r="CU50" s="10">
        <v>0.83696741797029972</v>
      </c>
      <c r="CV50" s="11">
        <v>0.30712866187095644</v>
      </c>
      <c r="CW50">
        <v>0.06</v>
      </c>
      <c r="CX50">
        <v>2.8500828816777148</v>
      </c>
      <c r="CY50">
        <v>353529578.55277467</v>
      </c>
      <c r="CZ50">
        <v>0.83696741797029972</v>
      </c>
      <c r="DA50">
        <v>0.52441527381992992</v>
      </c>
      <c r="DB50">
        <v>1921356318.7444055</v>
      </c>
      <c r="DC50">
        <v>0.79511904707178471</v>
      </c>
      <c r="DD50">
        <v>0.1049701087743234</v>
      </c>
      <c r="DE50">
        <v>9598814479.3317089</v>
      </c>
      <c r="DF50">
        <v>0.73653132781386377</v>
      </c>
      <c r="DG50">
        <v>1.9396448014809029E-2</v>
      </c>
      <c r="DH50">
        <v>51947067794.614479</v>
      </c>
      <c r="DI50">
        <v>0.6695739343762398</v>
      </c>
      <c r="DJ50">
        <v>5.1895737336888584E-4</v>
      </c>
      <c r="DK50">
        <v>1941563318503.5889</v>
      </c>
      <c r="DL50">
        <v>0.58587719257920978</v>
      </c>
      <c r="DM50">
        <v>204000000</v>
      </c>
      <c r="DN50">
        <v>0.83696741797029972</v>
      </c>
      <c r="DO50">
        <v>1007588600</v>
      </c>
      <c r="DP50">
        <v>1190967840</v>
      </c>
      <c r="DQ50">
        <v>2645</v>
      </c>
      <c r="DR50">
        <v>-1.5794718271413757</v>
      </c>
      <c r="DS50">
        <v>-0.61080945844245482</v>
      </c>
      <c r="DT50" s="12">
        <v>-2.3333333333333355E-2</v>
      </c>
      <c r="DU50">
        <v>0.38000000000000006</v>
      </c>
      <c r="DV50">
        <v>0.35666666666666669</v>
      </c>
      <c r="DW50">
        <v>-5.5233990147783247</v>
      </c>
      <c r="DX50">
        <v>0.33322211906313953</v>
      </c>
      <c r="DY50">
        <v>-5.0749623160121118</v>
      </c>
      <c r="DZ50">
        <v>4159</v>
      </c>
      <c r="EA50">
        <v>-5.0139509124319996</v>
      </c>
      <c r="EB50">
        <v>5</v>
      </c>
      <c r="EC50">
        <v>6.4394365530022674E-2</v>
      </c>
      <c r="ED50">
        <v>0.44961187525534524</v>
      </c>
      <c r="EE50" s="13">
        <v>-3.0278</v>
      </c>
      <c r="EF50">
        <v>-3.0023</v>
      </c>
      <c r="EG50">
        <v>19.14322211906314</v>
      </c>
      <c r="EH50" t="s">
        <v>1577</v>
      </c>
      <c r="EI50">
        <v>0</v>
      </c>
      <c r="EJ50">
        <v>0</v>
      </c>
      <c r="EK50" s="14">
        <v>45470</v>
      </c>
      <c r="EL50">
        <v>0.02</v>
      </c>
      <c r="EM50">
        <v>-5.72</v>
      </c>
      <c r="EN50">
        <v>-4.9800000000000004</v>
      </c>
      <c r="EO50">
        <v>3.99</v>
      </c>
      <c r="EP50">
        <v>-2.5499999999999998</v>
      </c>
    </row>
    <row r="51" spans="1:146" ht="96" x14ac:dyDescent="0.25">
      <c r="A51" s="9"/>
      <c r="B51" s="9"/>
      <c r="C51" s="9" t="str">
        <f>""&amp;CHAR(10)&amp;Basic_Fundamental_Information_Constructure(F51)&amp;CHAR(10)&amp;Basic_Fundamental_Information_Concatenate("")</f>
        <v xml:space="preserve">
市值105.453329亿, 利润2.68亿; PE27.84; 平均PE29.15; 平均PEG.78, PB1.46; ROIC16.15%; ROE16.3567%; 股利率1.3908%; 毛利20.54%; 净利13.5867%; 上一年度营收增-55.7%, 利润增-65.51%; 当季营收增-14.46%, 利润增-73.61%; 过往5年营收增37.27%, 利润增48.09%
Income profile:
</v>
      </c>
      <c r="D51" t="s">
        <v>1113</v>
      </c>
      <c r="E51" t="s">
        <v>1114</v>
      </c>
      <c r="F51">
        <v>14.38</v>
      </c>
      <c r="G51">
        <v>-0.35</v>
      </c>
      <c r="H51" t="s">
        <v>3067</v>
      </c>
      <c r="I51">
        <v>10545332900</v>
      </c>
      <c r="J51">
        <v>27.84</v>
      </c>
      <c r="K51">
        <v>1.46</v>
      </c>
      <c r="L51" t="s">
        <v>973</v>
      </c>
      <c r="M51" t="s">
        <v>2186</v>
      </c>
      <c r="N51" t="s">
        <v>1912</v>
      </c>
      <c r="O51" t="s">
        <v>397</v>
      </c>
      <c r="P51">
        <v>-50.43</v>
      </c>
      <c r="Q51" t="s">
        <v>988</v>
      </c>
      <c r="R51">
        <v>42750558</v>
      </c>
      <c r="S51" s="6">
        <v>-0.67210000000000003</v>
      </c>
      <c r="T51" t="s">
        <v>75</v>
      </c>
      <c r="U51">
        <v>213333300</v>
      </c>
      <c r="V51">
        <v>733333300</v>
      </c>
      <c r="W51">
        <v>1.41</v>
      </c>
      <c r="X51">
        <v>0.05</v>
      </c>
      <c r="Y51">
        <v>8.82</v>
      </c>
      <c r="Z51" t="s">
        <v>24</v>
      </c>
      <c r="AA51" t="s">
        <v>509</v>
      </c>
      <c r="AB51" t="s">
        <v>3068</v>
      </c>
      <c r="AC51" t="s">
        <v>3069</v>
      </c>
      <c r="AD51" t="s">
        <v>5</v>
      </c>
      <c r="AE51">
        <v>-19414409</v>
      </c>
      <c r="AF51" t="s">
        <v>2188</v>
      </c>
      <c r="AG51" t="s">
        <v>3070</v>
      </c>
      <c r="AH51" t="s">
        <v>2189</v>
      </c>
      <c r="AI51" t="s">
        <v>3071</v>
      </c>
      <c r="AJ51" t="s">
        <v>2190</v>
      </c>
      <c r="AK51" t="s">
        <v>268</v>
      </c>
      <c r="AL51" t="s">
        <v>2191</v>
      </c>
      <c r="AM51" t="s">
        <v>5</v>
      </c>
      <c r="AN51" t="s">
        <v>493</v>
      </c>
      <c r="AO51" t="s">
        <v>455</v>
      </c>
      <c r="AP51" t="s">
        <v>564</v>
      </c>
      <c r="AQ51" t="s">
        <v>1214</v>
      </c>
      <c r="AR51" t="s">
        <v>5</v>
      </c>
      <c r="AS51" t="s">
        <v>548</v>
      </c>
      <c r="AT51" t="s">
        <v>1957</v>
      </c>
      <c r="AU51" t="s">
        <v>3072</v>
      </c>
      <c r="AV51" t="s">
        <v>434</v>
      </c>
      <c r="AW51" t="s">
        <v>499</v>
      </c>
      <c r="AX51" t="s">
        <v>1403</v>
      </c>
      <c r="AY51" t="s">
        <v>1083</v>
      </c>
      <c r="AZ51" t="s">
        <v>976</v>
      </c>
      <c r="BA51" t="s">
        <v>1115</v>
      </c>
      <c r="BB51" t="s">
        <v>249</v>
      </c>
      <c r="BC51" t="s">
        <v>576</v>
      </c>
      <c r="BD51" t="s">
        <v>147</v>
      </c>
      <c r="BE51" t="s">
        <v>380</v>
      </c>
      <c r="BF51" t="s">
        <v>115</v>
      </c>
      <c r="BG51" t="s">
        <v>1116</v>
      </c>
      <c r="BH51" t="s">
        <v>2187</v>
      </c>
      <c r="BI51" t="s">
        <v>409</v>
      </c>
      <c r="BJ51" t="s">
        <v>1403</v>
      </c>
      <c r="BK51" t="s">
        <v>100</v>
      </c>
      <c r="BL51" t="s">
        <v>157</v>
      </c>
      <c r="BM51" t="s">
        <v>576</v>
      </c>
      <c r="BN51">
        <v>5</v>
      </c>
      <c r="BO51">
        <v>16.47</v>
      </c>
      <c r="BP51">
        <v>26.98</v>
      </c>
      <c r="BQ51">
        <v>5.9</v>
      </c>
      <c r="BR51">
        <v>16.78</v>
      </c>
      <c r="BS51">
        <v>26.39</v>
      </c>
      <c r="BT51" t="s">
        <v>1283</v>
      </c>
      <c r="BU51" t="s">
        <v>2508</v>
      </c>
      <c r="BV51">
        <v>20.53</v>
      </c>
      <c r="BW51">
        <v>19.64</v>
      </c>
      <c r="BX51">
        <v>21.45</v>
      </c>
      <c r="BY51">
        <v>13.78</v>
      </c>
      <c r="BZ51">
        <v>14.03</v>
      </c>
      <c r="CA51">
        <v>12.95</v>
      </c>
      <c r="CB51">
        <v>-3.94</v>
      </c>
      <c r="CC51">
        <v>-19.21</v>
      </c>
      <c r="CD51" t="s">
        <v>3073</v>
      </c>
      <c r="CE51" t="s">
        <v>447</v>
      </c>
      <c r="CF51" s="10">
        <v>-0.14461538461538462</v>
      </c>
      <c r="CG51" s="11">
        <v>-0.73610766666666672</v>
      </c>
      <c r="CH51" s="10">
        <v>-0.55696821212768555</v>
      </c>
      <c r="CI51" s="10">
        <v>0.17912748456001282</v>
      </c>
      <c r="CJ51" s="10">
        <v>1.8666665554046631</v>
      </c>
      <c r="CK51" s="10">
        <v>9.5353052020072937E-2</v>
      </c>
      <c r="CL51" s="10">
        <v>0.27953657507896423</v>
      </c>
      <c r="CM51" s="11">
        <v>-0.65508365631103516</v>
      </c>
      <c r="CN51" s="11">
        <v>0.29069766402244568</v>
      </c>
      <c r="CO51" s="11">
        <v>1.3424124717712402</v>
      </c>
      <c r="CP51" s="11">
        <v>0.45197740197181702</v>
      </c>
      <c r="CQ51" s="11">
        <v>0.97430062294006348</v>
      </c>
      <c r="CR51">
        <v>29.148844402511322</v>
      </c>
      <c r="CS51">
        <v>0.78200897903462052</v>
      </c>
      <c r="CT51">
        <v>1.3908205841446453</v>
      </c>
      <c r="CU51" s="10">
        <v>0.37274309098720548</v>
      </c>
      <c r="CV51" s="11">
        <v>0.48086090087890626</v>
      </c>
      <c r="CW51">
        <v>0.06</v>
      </c>
      <c r="CX51">
        <v>18.634039899960538</v>
      </c>
      <c r="CY51">
        <v>347070894.7024256</v>
      </c>
      <c r="CZ51">
        <v>0.37274309098720548</v>
      </c>
      <c r="DA51">
        <v>4.8321248884021228</v>
      </c>
      <c r="DB51">
        <v>1338403507.6416671</v>
      </c>
      <c r="DC51">
        <v>0.35410593643784521</v>
      </c>
      <c r="DD51">
        <v>1.6986692335174105</v>
      </c>
      <c r="DE51">
        <v>3807293834.7203627</v>
      </c>
      <c r="DF51">
        <v>0.32801392006874081</v>
      </c>
      <c r="DG51">
        <v>0.67171502986165899</v>
      </c>
      <c r="DH51">
        <v>9628090205.6515846</v>
      </c>
      <c r="DI51">
        <v>0.29819447278976441</v>
      </c>
      <c r="DJ51">
        <v>0.12331055220984258</v>
      </c>
      <c r="DK51">
        <v>52447522001.152649</v>
      </c>
      <c r="DL51">
        <v>0.26092016369104382</v>
      </c>
      <c r="DM51">
        <v>268000000.00000003</v>
      </c>
      <c r="DN51">
        <v>0.37274309098720548</v>
      </c>
      <c r="DO51">
        <v>6467332900.000001</v>
      </c>
      <c r="DP51">
        <v>5604298600</v>
      </c>
      <c r="DQ51">
        <v>2660</v>
      </c>
      <c r="DR51">
        <v>-0.51735847560259007</v>
      </c>
      <c r="DS51">
        <v>-1.216968567545573</v>
      </c>
      <c r="DT51" s="12">
        <v>4.1666666666666664E-2</v>
      </c>
      <c r="DU51">
        <v>-3.9999999999999959E-2</v>
      </c>
      <c r="DV51">
        <v>1.6666666666667052E-3</v>
      </c>
      <c r="DW51">
        <v>-8.205101509630401</v>
      </c>
      <c r="DX51">
        <v>0.28771612903225702</v>
      </c>
      <c r="DY51">
        <v>-8.0200417255797554</v>
      </c>
      <c r="DZ51">
        <v>3518</v>
      </c>
      <c r="EA51">
        <v>-8.0062439192021468</v>
      </c>
      <c r="EB51">
        <v>8</v>
      </c>
      <c r="EC51">
        <v>2.478436476292567E-2</v>
      </c>
      <c r="ED51">
        <v>0.25363637516528981</v>
      </c>
      <c r="EE51" s="13">
        <v>1.6399999999999998E-2</v>
      </c>
      <c r="EF51">
        <v>8.1099999999999992E-2</v>
      </c>
      <c r="EG51">
        <v>19.097716129032257</v>
      </c>
      <c r="EH51" t="s">
        <v>1073</v>
      </c>
      <c r="EI51">
        <v>0</v>
      </c>
      <c r="EJ51">
        <v>0</v>
      </c>
      <c r="EK51" s="14">
        <v>45470</v>
      </c>
      <c r="EL51">
        <v>-3.88</v>
      </c>
      <c r="EM51">
        <v>-6.6</v>
      </c>
      <c r="EN51">
        <v>1.0900000000000001</v>
      </c>
      <c r="EO51">
        <v>5.71</v>
      </c>
      <c r="EP51">
        <v>6.47</v>
      </c>
    </row>
    <row r="52" spans="1:146" ht="96" x14ac:dyDescent="0.25">
      <c r="C52" s="9" t="str">
        <f>""&amp;CHAR(10)&amp;Basic_Fundamental_Information_Constructure(F52)&amp;CHAR(10)&amp;Basic_Fundamental_Information_Concatenate("")</f>
        <v xml:space="preserve">
市值27.112322亿, 利润7823.81万; PE; 平均PE12.48; 平均PEG.72, PB.884; ROIC16.1667%; ROE8.455%; 股利率0%; 毛利19.9333%; 净利9.8%; 上一年度营收增-56.65%, 利润增-72.45%; 当季营收增175.32%, 利润增-348.52%; 过往5年营收增17.4%, 利润增60.36%
Income profile:
</v>
      </c>
      <c r="D52" s="6" t="s">
        <v>1590</v>
      </c>
      <c r="E52" t="s">
        <v>1591</v>
      </c>
      <c r="F52">
        <v>12.16</v>
      </c>
      <c r="G52">
        <v>1.08</v>
      </c>
      <c r="H52" t="s">
        <v>3074</v>
      </c>
      <c r="I52">
        <v>2711232200</v>
      </c>
      <c r="K52">
        <v>0.88400000000000001</v>
      </c>
      <c r="L52" t="s">
        <v>973</v>
      </c>
      <c r="M52" t="s">
        <v>2193</v>
      </c>
      <c r="N52" t="s">
        <v>1270</v>
      </c>
      <c r="O52" t="s">
        <v>1082</v>
      </c>
      <c r="P52" s="6">
        <v>11.05</v>
      </c>
      <c r="Q52" t="s">
        <v>63</v>
      </c>
      <c r="R52">
        <v>-61435934</v>
      </c>
      <c r="S52">
        <v>-2.9670000000000001</v>
      </c>
      <c r="T52" t="s">
        <v>3075</v>
      </c>
      <c r="U52">
        <v>45164215</v>
      </c>
      <c r="V52">
        <v>222963180</v>
      </c>
      <c r="W52">
        <v>2.29</v>
      </c>
      <c r="X52">
        <v>0.12</v>
      </c>
      <c r="Y52">
        <v>-8.66</v>
      </c>
      <c r="Z52" t="s">
        <v>1112</v>
      </c>
      <c r="AA52" t="s">
        <v>1553</v>
      </c>
      <c r="AB52" t="s">
        <v>3076</v>
      </c>
      <c r="AC52" t="s">
        <v>3077</v>
      </c>
      <c r="AD52" t="s">
        <v>5</v>
      </c>
      <c r="AE52">
        <v>11785079</v>
      </c>
      <c r="AF52" t="s">
        <v>2195</v>
      </c>
      <c r="AG52" t="s">
        <v>3078</v>
      </c>
      <c r="AH52" t="s">
        <v>2196</v>
      </c>
      <c r="AI52" t="s">
        <v>580</v>
      </c>
      <c r="AJ52" t="s">
        <v>2197</v>
      </c>
      <c r="AK52" t="s">
        <v>384</v>
      </c>
      <c r="AL52" t="s">
        <v>2198</v>
      </c>
      <c r="AM52" t="s">
        <v>5</v>
      </c>
      <c r="AN52" t="s">
        <v>3079</v>
      </c>
      <c r="AO52" t="s">
        <v>3080</v>
      </c>
      <c r="AP52" t="s">
        <v>164</v>
      </c>
      <c r="AQ52" t="s">
        <v>534</v>
      </c>
      <c r="AR52" t="s">
        <v>5</v>
      </c>
      <c r="AS52" t="s">
        <v>3081</v>
      </c>
      <c r="AT52" t="s">
        <v>3082</v>
      </c>
      <c r="AU52" t="s">
        <v>3083</v>
      </c>
      <c r="AV52" t="s">
        <v>242</v>
      </c>
      <c r="AW52" t="s">
        <v>513</v>
      </c>
      <c r="AX52" t="s">
        <v>1592</v>
      </c>
      <c r="AY52" t="s">
        <v>1644</v>
      </c>
      <c r="AZ52" t="s">
        <v>1645</v>
      </c>
      <c r="BA52" t="s">
        <v>1077</v>
      </c>
      <c r="BB52" t="s">
        <v>1149</v>
      </c>
      <c r="BC52" t="s">
        <v>107</v>
      </c>
      <c r="BD52" t="s">
        <v>185</v>
      </c>
      <c r="BE52" t="s">
        <v>31</v>
      </c>
      <c r="BF52" t="s">
        <v>82</v>
      </c>
      <c r="BG52" t="s">
        <v>1646</v>
      </c>
      <c r="BH52" t="s">
        <v>1854</v>
      </c>
      <c r="BI52" t="s">
        <v>978</v>
      </c>
      <c r="BJ52" t="s">
        <v>1592</v>
      </c>
      <c r="BK52" t="s">
        <v>2194</v>
      </c>
      <c r="BL52" t="s">
        <v>3084</v>
      </c>
      <c r="BM52" t="s">
        <v>107</v>
      </c>
      <c r="BN52">
        <v>2.0299999999999998</v>
      </c>
      <c r="BO52">
        <v>11.12</v>
      </c>
      <c r="BP52">
        <v>35.35</v>
      </c>
      <c r="BQ52">
        <v>2.35</v>
      </c>
      <c r="BR52">
        <v>14.56</v>
      </c>
      <c r="BS52" t="s">
        <v>5</v>
      </c>
      <c r="BT52" t="s">
        <v>1280</v>
      </c>
      <c r="BU52" t="s">
        <v>2508</v>
      </c>
      <c r="BV52">
        <v>8.4499999999999993</v>
      </c>
      <c r="BW52">
        <v>20.010000000000002</v>
      </c>
      <c r="BX52">
        <v>31.34</v>
      </c>
      <c r="BY52">
        <v>0.48</v>
      </c>
      <c r="BZ52">
        <v>9.15</v>
      </c>
      <c r="CA52">
        <v>19.77</v>
      </c>
      <c r="CB52">
        <v>-1.7</v>
      </c>
      <c r="CC52" s="10">
        <v>-14.97</v>
      </c>
      <c r="CD52" s="11" t="s">
        <v>3085</v>
      </c>
      <c r="CE52" s="10" t="s">
        <v>3086</v>
      </c>
      <c r="CF52" s="10">
        <v>1.7532051282051282</v>
      </c>
      <c r="CG52" s="10">
        <v>-3.4852120903214323</v>
      </c>
      <c r="CH52" s="10">
        <v>-0.56652361154556274</v>
      </c>
      <c r="CI52" s="10">
        <v>-1.3997416943311691E-2</v>
      </c>
      <c r="CJ52" s="11">
        <v>0.85060238838195801</v>
      </c>
      <c r="CK52" s="11">
        <v>0.58548235893249512</v>
      </c>
      <c r="CL52" s="11">
        <v>1.4534884132444859E-2</v>
      </c>
      <c r="CM52" s="11">
        <v>-0.72451376914978027</v>
      </c>
      <c r="CN52" s="11">
        <v>-0.53212523460388184</v>
      </c>
      <c r="CO52">
        <v>2.9673202037811279</v>
      </c>
      <c r="CP52">
        <v>0.25409835577011108</v>
      </c>
      <c r="CQ52">
        <v>1.0530805587768555</v>
      </c>
      <c r="CR52" s="10">
        <v>12.478238744581605</v>
      </c>
      <c r="CS52" s="11">
        <v>0.71705888862251144</v>
      </c>
      <c r="CT52">
        <v>0</v>
      </c>
      <c r="CU52">
        <v>0.1740197205916047</v>
      </c>
      <c r="CV52">
        <v>0.60357202291488643</v>
      </c>
      <c r="CW52">
        <v>0.06</v>
      </c>
      <c r="CX52">
        <v>36.965841717851696</v>
      </c>
      <c r="CY52">
        <v>86653841.793979272</v>
      </c>
      <c r="CZ52">
        <v>0.1740197205916047</v>
      </c>
      <c r="DA52">
        <v>11.258308510628829</v>
      </c>
      <c r="DB52">
        <v>284521622.14029473</v>
      </c>
      <c r="DC52">
        <v>0.16531873456202445</v>
      </c>
      <c r="DD52">
        <v>5.0294846646533218</v>
      </c>
      <c r="DE52">
        <v>636890738.03365421</v>
      </c>
      <c r="DF52">
        <v>0.15313735412061213</v>
      </c>
      <c r="DG52">
        <v>2.69621459560432</v>
      </c>
      <c r="DH52">
        <v>1188047941.4443786</v>
      </c>
      <c r="DI52">
        <v>0.13921577647328376</v>
      </c>
      <c r="DJ52">
        <v>1.0708623169227207</v>
      </c>
      <c r="DK52">
        <v>2991264282.41957</v>
      </c>
      <c r="DL52">
        <v>0.12181380441412328</v>
      </c>
      <c r="DM52">
        <v>78238100</v>
      </c>
      <c r="DN52">
        <v>0.1740197205916047</v>
      </c>
      <c r="DO52">
        <v>3203232200</v>
      </c>
      <c r="DP52">
        <v>309883900</v>
      </c>
      <c r="DQ52" s="12">
        <v>2698</v>
      </c>
      <c r="DR52">
        <v>1.5791854076135234</v>
      </c>
      <c r="DS52">
        <v>-4.0887841132363185</v>
      </c>
      <c r="DT52">
        <v>-0.22333333333333338</v>
      </c>
      <c r="DU52">
        <v>-0.71333333333333349</v>
      </c>
      <c r="DV52">
        <v>-0.93666666666666687</v>
      </c>
      <c r="DW52">
        <v>-2.1497000000000002</v>
      </c>
      <c r="DX52">
        <v>0.38841001231807026</v>
      </c>
      <c r="DY52">
        <v>-2.022216978844015</v>
      </c>
      <c r="DZ52">
        <v>144</v>
      </c>
      <c r="EA52">
        <v>-2.0215909035106416</v>
      </c>
      <c r="EB52" s="13">
        <v>2</v>
      </c>
      <c r="EC52" s="13">
        <v>2.7828810120128354E-2</v>
      </c>
      <c r="ED52">
        <v>0.18751302345077783</v>
      </c>
      <c r="EE52">
        <v>2.7200000000000002E-2</v>
      </c>
      <c r="EF52">
        <v>4.3100000000000013E-3</v>
      </c>
      <c r="EG52">
        <v>24.14841001231807</v>
      </c>
      <c r="EH52" s="14">
        <v>-1</v>
      </c>
      <c r="EI52">
        <v>0</v>
      </c>
      <c r="EJ52">
        <v>1</v>
      </c>
      <c r="EK52">
        <v>45470</v>
      </c>
      <c r="EL52">
        <v>0.97</v>
      </c>
      <c r="EM52">
        <v>0.66</v>
      </c>
      <c r="EN52">
        <v>-3.36</v>
      </c>
      <c r="EO52">
        <v>1.67</v>
      </c>
      <c r="EP52">
        <v>-3.15</v>
      </c>
    </row>
    <row r="53" spans="1:146" ht="96" x14ac:dyDescent="0.25">
      <c r="C53" s="9" t="str">
        <f>""&amp;CHAR(10)&amp;Basic_Fundamental_Information_Constructure(F53)&amp;CHAR(10)&amp;Basic_Fundamental_Information_Concatenate("")</f>
        <v xml:space="preserve">
市值58.161413亿, 利润-5580.34万; PE17.55; 平均PE93.92; 平均PEG.94, PB1.92; ROIC32.2767%; ROE31.275%; 股利率1.237%; 毛利69.7833%; 净利41.2533%; 上一年度营收增38.93%, 利润增-127.49%; 当季营收增27.97%, 利润增582.74%; 过往5年营收增99.41%, 利润增108.6%
Income profile:
</v>
      </c>
      <c r="D53" t="s">
        <v>1570</v>
      </c>
      <c r="E53" t="s">
        <v>1571</v>
      </c>
      <c r="F53">
        <v>40.42</v>
      </c>
      <c r="G53">
        <v>2.02</v>
      </c>
      <c r="H53" t="s">
        <v>3087</v>
      </c>
      <c r="I53">
        <v>5816141300</v>
      </c>
      <c r="J53">
        <v>17.55</v>
      </c>
      <c r="K53">
        <v>1.92</v>
      </c>
      <c r="L53" t="s">
        <v>973</v>
      </c>
      <c r="M53" t="s">
        <v>199</v>
      </c>
      <c r="N53" t="s">
        <v>3088</v>
      </c>
      <c r="O53" t="s">
        <v>253</v>
      </c>
      <c r="P53">
        <v>21.47</v>
      </c>
      <c r="Q53" t="s">
        <v>2425</v>
      </c>
      <c r="R53">
        <v>57352557</v>
      </c>
      <c r="S53">
        <v>-0.14729999999999999</v>
      </c>
      <c r="T53" t="s">
        <v>3089</v>
      </c>
      <c r="U53">
        <v>57894700</v>
      </c>
      <c r="V53">
        <v>143892660</v>
      </c>
      <c r="W53">
        <v>1.28</v>
      </c>
      <c r="X53">
        <v>0.05</v>
      </c>
      <c r="Y53">
        <v>27.54</v>
      </c>
      <c r="Z53" t="s">
        <v>395</v>
      </c>
      <c r="AA53" t="s">
        <v>3090</v>
      </c>
      <c r="AB53" t="s">
        <v>3091</v>
      </c>
      <c r="AC53" t="s">
        <v>3092</v>
      </c>
      <c r="AD53" t="s">
        <v>5</v>
      </c>
      <c r="AE53">
        <v>-1636106</v>
      </c>
      <c r="AF53" t="s">
        <v>2199</v>
      </c>
      <c r="AG53">
        <v>868.83</v>
      </c>
      <c r="AH53" t="s">
        <v>2200</v>
      </c>
      <c r="AI53" t="s">
        <v>1079</v>
      </c>
      <c r="AJ53" t="s">
        <v>2201</v>
      </c>
      <c r="AK53" t="s">
        <v>72</v>
      </c>
      <c r="AL53" t="s">
        <v>2202</v>
      </c>
      <c r="AM53" t="s">
        <v>5</v>
      </c>
      <c r="AN53" t="s">
        <v>3093</v>
      </c>
      <c r="AO53" t="s">
        <v>392</v>
      </c>
      <c r="AP53" t="s">
        <v>3094</v>
      </c>
      <c r="AQ53" t="s">
        <v>87</v>
      </c>
      <c r="AR53" t="s">
        <v>5</v>
      </c>
      <c r="AS53" t="s">
        <v>1634</v>
      </c>
      <c r="AT53" t="s">
        <v>3095</v>
      </c>
      <c r="AU53" t="s">
        <v>3096</v>
      </c>
      <c r="AV53" t="s">
        <v>3097</v>
      </c>
      <c r="AW53" t="s">
        <v>207</v>
      </c>
      <c r="AX53" t="s">
        <v>1117</v>
      </c>
      <c r="AY53" t="s">
        <v>208</v>
      </c>
      <c r="AZ53" t="s">
        <v>273</v>
      </c>
      <c r="BA53" t="s">
        <v>82</v>
      </c>
      <c r="BB53" t="s">
        <v>1572</v>
      </c>
      <c r="BC53" t="s">
        <v>293</v>
      </c>
      <c r="BD53" t="s">
        <v>1573</v>
      </c>
      <c r="BE53" t="s">
        <v>1574</v>
      </c>
      <c r="BF53" t="s">
        <v>1575</v>
      </c>
      <c r="BG53" t="s">
        <v>1576</v>
      </c>
      <c r="BH53" t="s">
        <v>957</v>
      </c>
      <c r="BI53" t="s">
        <v>216</v>
      </c>
      <c r="BJ53" t="s">
        <v>1117</v>
      </c>
      <c r="BK53" t="s">
        <v>441</v>
      </c>
      <c r="BL53" t="s">
        <v>3098</v>
      </c>
      <c r="BM53" t="s">
        <v>293</v>
      </c>
      <c r="BN53">
        <v>14.24</v>
      </c>
      <c r="BO53">
        <v>46.39</v>
      </c>
      <c r="BP53">
        <v>36.200000000000003</v>
      </c>
      <c r="BQ53">
        <v>15.64</v>
      </c>
      <c r="BR53">
        <v>46.91</v>
      </c>
      <c r="BS53" t="s">
        <v>5</v>
      </c>
      <c r="BT53" t="s">
        <v>2203</v>
      </c>
      <c r="BU53" t="s">
        <v>2777</v>
      </c>
      <c r="BV53">
        <v>68.81</v>
      </c>
      <c r="BW53">
        <v>68.72</v>
      </c>
      <c r="BX53">
        <v>71.819999999999993</v>
      </c>
      <c r="BY53">
        <v>42.32</v>
      </c>
      <c r="BZ53">
        <v>41.95</v>
      </c>
      <c r="CA53">
        <v>39.49</v>
      </c>
      <c r="CB53">
        <v>-4.71</v>
      </c>
      <c r="CC53" s="10">
        <v>-28.9</v>
      </c>
      <c r="CD53" s="11" t="s">
        <v>3099</v>
      </c>
      <c r="CE53" s="10" t="s">
        <v>3100</v>
      </c>
      <c r="CF53" s="10">
        <v>0.27972027972027974</v>
      </c>
      <c r="CG53" s="10">
        <v>5.8274125044189686</v>
      </c>
      <c r="CH53" s="10">
        <v>0.38934427499771118</v>
      </c>
      <c r="CI53" s="10">
        <v>1.0418410301208496</v>
      </c>
      <c r="CJ53" s="11">
        <v>0.62585031986236572</v>
      </c>
      <c r="CK53" s="11">
        <v>0.2049180269241333</v>
      </c>
      <c r="CL53" s="11">
        <v>2.7084321975708008</v>
      </c>
      <c r="CM53" s="11">
        <v>-1.2748935222625732</v>
      </c>
      <c r="CN53" s="11">
        <v>1.133078932762146</v>
      </c>
      <c r="CO53">
        <v>0.57962125539779663</v>
      </c>
      <c r="CP53">
        <v>1.984778605401516E-2</v>
      </c>
      <c r="CQ53">
        <v>4.972198486328125</v>
      </c>
      <c r="CR53" s="10">
        <v>93.915395307842914</v>
      </c>
      <c r="CS53" s="11">
        <v>0.94474954411986467</v>
      </c>
      <c r="CT53">
        <v>1.2370113805047005</v>
      </c>
      <c r="CU53">
        <v>0.99407716989517214</v>
      </c>
      <c r="CV53">
        <v>1.0859705876559018</v>
      </c>
      <c r="CW53">
        <v>0.06</v>
      </c>
      <c r="CX53" t="e">
        <v>#VALUE!</v>
      </c>
      <c r="CY53" t="s">
        <v>947</v>
      </c>
      <c r="CZ53">
        <v>0.99407716989517214</v>
      </c>
      <c r="DA53" t="e">
        <v>#VALUE!</v>
      </c>
      <c r="DB53" t="s">
        <v>947</v>
      </c>
      <c r="DC53">
        <v>0.94437331140041347</v>
      </c>
      <c r="DD53" t="e">
        <v>#VALUE!</v>
      </c>
      <c r="DE53" t="s">
        <v>947</v>
      </c>
      <c r="DF53">
        <v>0.87478790950775154</v>
      </c>
      <c r="DG53" t="e">
        <v>#VALUE!</v>
      </c>
      <c r="DH53" t="s">
        <v>947</v>
      </c>
      <c r="DI53">
        <v>0.7952617359161378</v>
      </c>
      <c r="DJ53" t="e">
        <v>#VALUE!</v>
      </c>
      <c r="DK53" t="s">
        <v>947</v>
      </c>
      <c r="DL53">
        <v>0.69585401892662047</v>
      </c>
      <c r="DM53">
        <v>-55803400</v>
      </c>
      <c r="DN53">
        <v>0.99407716989517214</v>
      </c>
      <c r="DO53">
        <v>3548141300</v>
      </c>
      <c r="DP53">
        <v>2508007100</v>
      </c>
      <c r="DQ53" s="12">
        <v>2728</v>
      </c>
      <c r="DR53">
        <v>-0.71435689017489246</v>
      </c>
      <c r="DS53">
        <v>4.7414419167630673</v>
      </c>
      <c r="DT53">
        <v>0.99500000000000022</v>
      </c>
      <c r="DU53">
        <v>0.59166666666666667</v>
      </c>
      <c r="DV53">
        <v>1.5866666666666669</v>
      </c>
      <c r="DW53">
        <v>-8.1629757785467127</v>
      </c>
      <c r="DX53">
        <v>0.29251808863033163</v>
      </c>
      <c r="DY53">
        <v>-8.0150782075241818</v>
      </c>
      <c r="DZ53">
        <v>1155</v>
      </c>
      <c r="EA53">
        <v>-8.0116701195221403</v>
      </c>
      <c r="EB53" s="13">
        <v>8</v>
      </c>
      <c r="EC53" s="13">
        <v>3.6549466803935657E-2</v>
      </c>
      <c r="ED53">
        <v>0.39505211732134216</v>
      </c>
      <c r="EE53">
        <v>7.9009999999999997E-2</v>
      </c>
      <c r="EF53">
        <v>9.8109999999999989E-2</v>
      </c>
      <c r="EG53">
        <v>20.092518088630332</v>
      </c>
      <c r="EH53" s="14">
        <v>-1</v>
      </c>
      <c r="EI53">
        <v>0</v>
      </c>
      <c r="EJ53">
        <v>1</v>
      </c>
      <c r="EK53">
        <v>45470</v>
      </c>
      <c r="EL53">
        <v>-0.56999999999999995</v>
      </c>
      <c r="EM53">
        <v>-4.5</v>
      </c>
      <c r="EN53">
        <v>2.42</v>
      </c>
      <c r="EO53">
        <v>3.57</v>
      </c>
      <c r="EP53">
        <v>-1.91</v>
      </c>
    </row>
    <row r="54" spans="1:146" ht="96" x14ac:dyDescent="0.25">
      <c r="A54" s="9"/>
      <c r="B54" s="9"/>
      <c r="C54" s="9" t="str">
        <f>""&amp;CHAR(10)&amp;Basic_Fundamental_Information_Constructure(F54)&amp;CHAR(10)&amp;Basic_Fundamental_Information_Concatenate("")</f>
        <v xml:space="preserve">
市值71.02368亿, 利润1.30亿; PE; 平均PE43.88; 平均PEG.61, PB1.18; ROIC37.54%; ROE44.9333%; 股利率0%; 毛利43.7933%; 净利4.5%; 上一年度营收增-84.8%, 利润增-54.7%; 当季营收增410.53%, 利润增-39%; 过往5年营收增72.19%, 利润增240.38%
Income profile:
</v>
      </c>
      <c r="D54" t="s">
        <v>1216</v>
      </c>
      <c r="E54" t="s">
        <v>1246</v>
      </c>
      <c r="F54">
        <v>56.91</v>
      </c>
      <c r="G54">
        <v>0.42</v>
      </c>
      <c r="H54" t="s">
        <v>3101</v>
      </c>
      <c r="I54">
        <v>7102368000</v>
      </c>
      <c r="K54">
        <v>1.18</v>
      </c>
      <c r="L54" t="s">
        <v>973</v>
      </c>
      <c r="M54" t="s">
        <v>1870</v>
      </c>
      <c r="N54" t="s">
        <v>3102</v>
      </c>
      <c r="O54" t="s">
        <v>278</v>
      </c>
      <c r="P54">
        <v>29.89</v>
      </c>
      <c r="Q54" t="s">
        <v>363</v>
      </c>
      <c r="R54">
        <v>28999745</v>
      </c>
      <c r="S54">
        <v>1.9770000000000001</v>
      </c>
      <c r="T54" t="s">
        <v>118</v>
      </c>
      <c r="U54">
        <v>34634166</v>
      </c>
      <c r="V54">
        <v>124800000</v>
      </c>
      <c r="W54">
        <v>1.1100000000000001</v>
      </c>
      <c r="X54">
        <v>0.08</v>
      </c>
      <c r="Y54">
        <v>4.9800000000000004</v>
      </c>
      <c r="Z54" t="s">
        <v>559</v>
      </c>
      <c r="AA54" t="s">
        <v>254</v>
      </c>
      <c r="AB54" t="s">
        <v>136</v>
      </c>
      <c r="AC54" t="s">
        <v>3103</v>
      </c>
      <c r="AD54" t="s">
        <v>5</v>
      </c>
      <c r="AE54">
        <v>-26235240</v>
      </c>
      <c r="AF54" t="s">
        <v>2205</v>
      </c>
      <c r="AG54">
        <v>4753.38</v>
      </c>
      <c r="AH54" t="s">
        <v>2206</v>
      </c>
      <c r="AI54" t="s">
        <v>2488</v>
      </c>
      <c r="AJ54" t="s">
        <v>2207</v>
      </c>
      <c r="AK54" t="s">
        <v>5</v>
      </c>
      <c r="AL54" t="s">
        <v>2208</v>
      </c>
      <c r="AM54" t="s">
        <v>5</v>
      </c>
      <c r="AN54" t="s">
        <v>3104</v>
      </c>
      <c r="AO54" t="s">
        <v>98</v>
      </c>
      <c r="AP54" t="s">
        <v>116</v>
      </c>
      <c r="AQ54" t="s">
        <v>40</v>
      </c>
      <c r="AR54" t="s">
        <v>5</v>
      </c>
      <c r="AS54" t="s">
        <v>491</v>
      </c>
      <c r="AT54" t="s">
        <v>5</v>
      </c>
      <c r="AU54" t="s">
        <v>3105</v>
      </c>
      <c r="AV54" t="s">
        <v>591</v>
      </c>
      <c r="AW54" t="s">
        <v>3106</v>
      </c>
      <c r="AX54" t="s">
        <v>1270</v>
      </c>
      <c r="AY54" t="s">
        <v>1217</v>
      </c>
      <c r="AZ54" t="s">
        <v>1161</v>
      </c>
      <c r="BA54" t="s">
        <v>251</v>
      </c>
      <c r="BB54" t="s">
        <v>507</v>
      </c>
      <c r="BC54" t="s">
        <v>469</v>
      </c>
      <c r="BD54" t="s">
        <v>154</v>
      </c>
      <c r="BE54" t="s">
        <v>235</v>
      </c>
      <c r="BF54" t="s">
        <v>1218</v>
      </c>
      <c r="BG54" t="s">
        <v>1219</v>
      </c>
      <c r="BH54" t="s">
        <v>2204</v>
      </c>
      <c r="BI54" t="s">
        <v>104</v>
      </c>
      <c r="BJ54" t="s">
        <v>1270</v>
      </c>
      <c r="BK54" t="s">
        <v>1698</v>
      </c>
      <c r="BL54" t="s">
        <v>3107</v>
      </c>
      <c r="BM54" t="s">
        <v>469</v>
      </c>
      <c r="BN54" t="s">
        <v>5</v>
      </c>
      <c r="BO54">
        <v>6.84</v>
      </c>
      <c r="BP54">
        <v>68.239999999999995</v>
      </c>
      <c r="BQ54">
        <v>-0.97</v>
      </c>
      <c r="BR54">
        <v>13.93</v>
      </c>
      <c r="BS54">
        <v>121.84</v>
      </c>
      <c r="BT54" t="s">
        <v>1280</v>
      </c>
      <c r="BU54" t="s">
        <v>2521</v>
      </c>
      <c r="BV54">
        <v>39.71</v>
      </c>
      <c r="BW54">
        <v>44.32</v>
      </c>
      <c r="BX54">
        <v>47.35</v>
      </c>
      <c r="BY54">
        <v>-7.51</v>
      </c>
      <c r="BZ54">
        <v>8.9499999999999993</v>
      </c>
      <c r="CA54">
        <v>12.06</v>
      </c>
      <c r="CB54">
        <v>-0.68</v>
      </c>
      <c r="CC54">
        <v>-13.92</v>
      </c>
      <c r="CD54" t="s">
        <v>3108</v>
      </c>
      <c r="CE54" t="s">
        <v>3109</v>
      </c>
      <c r="CF54" s="10">
        <v>4.1052631578947372</v>
      </c>
      <c r="CG54" s="11">
        <v>-0.39001455564273046</v>
      </c>
      <c r="CH54" s="10">
        <v>-0.84795504808425903</v>
      </c>
      <c r="CI54" s="10">
        <v>0.38358530402183533</v>
      </c>
      <c r="CJ54" s="10">
        <v>1.1635514497756958</v>
      </c>
      <c r="CK54" s="10">
        <v>2.3542320728302002</v>
      </c>
      <c r="CL54" s="10">
        <v>0.55609756708145142</v>
      </c>
      <c r="CM54" s="11">
        <v>-0.54703831672668457</v>
      </c>
      <c r="CN54" s="11">
        <v>2.8673835098743439E-2</v>
      </c>
      <c r="CO54" s="11">
        <v>0.19230769574642181</v>
      </c>
      <c r="CP54" s="11">
        <v>5.419471263885498</v>
      </c>
      <c r="CQ54" s="11">
        <v>6.9254670143127441</v>
      </c>
      <c r="CR54">
        <v>43.884628498876836</v>
      </c>
      <c r="CS54">
        <v>0.6079026258231498</v>
      </c>
      <c r="CT54">
        <v>0</v>
      </c>
      <c r="CU54" s="10">
        <v>0.72190226912498479</v>
      </c>
      <c r="CV54" s="11">
        <v>2.4037762984633444</v>
      </c>
      <c r="CW54">
        <v>0.06</v>
      </c>
      <c r="CX54">
        <v>9.6476934426778538</v>
      </c>
      <c r="CY54">
        <v>211176693.38325283</v>
      </c>
      <c r="CZ54">
        <v>0.72190226912498479</v>
      </c>
      <c r="DA54">
        <v>1.9247711558800145</v>
      </c>
      <c r="DB54">
        <v>1058498821.4188536</v>
      </c>
      <c r="DC54">
        <v>0.68580715566873551</v>
      </c>
      <c r="DD54">
        <v>0.44174963949108398</v>
      </c>
      <c r="DE54">
        <v>4612042247.1586895</v>
      </c>
      <c r="DF54">
        <v>0.63527399682998664</v>
      </c>
      <c r="DG54">
        <v>9.83128906470771E-2</v>
      </c>
      <c r="DH54">
        <v>20723304813.747456</v>
      </c>
      <c r="DI54">
        <v>0.57752181529998781</v>
      </c>
      <c r="DJ54">
        <v>4.169093231983583E-3</v>
      </c>
      <c r="DK54">
        <v>488683722486.7373</v>
      </c>
      <c r="DL54">
        <v>0.50533158838748937</v>
      </c>
      <c r="DM54">
        <v>130000000</v>
      </c>
      <c r="DN54">
        <v>0.72190226912498479</v>
      </c>
      <c r="DO54">
        <v>2037368000</v>
      </c>
      <c r="DP54">
        <v>5836594000</v>
      </c>
      <c r="DQ54">
        <v>2730</v>
      </c>
      <c r="DR54">
        <v>3.3833608887697526</v>
      </c>
      <c r="DS54">
        <v>-2.7937908541060748</v>
      </c>
      <c r="DT54" s="12">
        <v>0.20166666666666674</v>
      </c>
      <c r="DU54">
        <v>0.68966666666666665</v>
      </c>
      <c r="DV54">
        <v>0.89133333333333342</v>
      </c>
      <c r="DW54">
        <v>-2.1391999999999998</v>
      </c>
      <c r="DX54">
        <v>0.34546639143336488</v>
      </c>
      <c r="DY54">
        <v>-2.0188569216875241</v>
      </c>
      <c r="DZ54">
        <v>3160</v>
      </c>
      <c r="EA54">
        <v>-2.0071958898807578</v>
      </c>
      <c r="EB54">
        <v>2</v>
      </c>
      <c r="EC54">
        <v>1.5985576923076922E-2</v>
      </c>
      <c r="ED54">
        <v>0.11800400641025641</v>
      </c>
      <c r="EE54" s="13">
        <v>2.0415000000000001</v>
      </c>
      <c r="EF54">
        <v>2.0649000000000002</v>
      </c>
      <c r="EG54">
        <v>21.135466391433365</v>
      </c>
      <c r="EH54" t="s">
        <v>1307</v>
      </c>
      <c r="EI54">
        <v>0</v>
      </c>
      <c r="EJ54">
        <v>0</v>
      </c>
      <c r="EK54" s="14">
        <v>45470</v>
      </c>
      <c r="EL54">
        <v>-2.2200000000000002</v>
      </c>
      <c r="EM54">
        <v>-4.5</v>
      </c>
      <c r="EN54">
        <v>-0.63</v>
      </c>
      <c r="EO54">
        <v>5.58</v>
      </c>
      <c r="EP54">
        <v>2.34</v>
      </c>
    </row>
    <row r="55" spans="1:146" ht="96" x14ac:dyDescent="0.25">
      <c r="A55" s="9"/>
      <c r="B55" s="9"/>
      <c r="C55" s="9" t="str">
        <f>""&amp;CHAR(10)&amp;Basic_Fundamental_Information_Constructure(F55)&amp;CHAR(10)&amp;Basic_Fundamental_Information_Concatenate("")</f>
        <v xml:space="preserve">
市值28.866亿, 利润7862.39万; PE2983; 平均PE30.89; 平均PEG.76, PB1.05; ROIC13.6667%; ROE16.0867%; 股利率1.0601%; 毛利27.0833%; 净利16.3533%; 上一年度营收增-21.13%, 利润增-47.23%; 当季营收增-15.19%, 利润增-177.32%; 过往5年营收增40.57%, 利润增27.97%
Income profile:
</v>
      </c>
      <c r="D55" t="s">
        <v>1193</v>
      </c>
      <c r="E55" t="s">
        <v>1243</v>
      </c>
      <c r="F55">
        <v>28.3</v>
      </c>
      <c r="G55">
        <v>1.8</v>
      </c>
      <c r="H55" t="s">
        <v>3110</v>
      </c>
      <c r="I55">
        <v>2886600000</v>
      </c>
      <c r="J55">
        <v>2983</v>
      </c>
      <c r="K55">
        <v>1.05</v>
      </c>
      <c r="L55" t="s">
        <v>973</v>
      </c>
      <c r="M55" t="s">
        <v>443</v>
      </c>
      <c r="N55" t="s">
        <v>3111</v>
      </c>
      <c r="O55" t="s">
        <v>394</v>
      </c>
      <c r="P55">
        <v>-14.73</v>
      </c>
      <c r="Q55" t="s">
        <v>639</v>
      </c>
      <c r="R55">
        <v>-11850643</v>
      </c>
      <c r="S55">
        <v>-1.4159999999999999</v>
      </c>
      <c r="T55" t="s">
        <v>3112</v>
      </c>
      <c r="U55">
        <v>42139253</v>
      </c>
      <c r="V55">
        <v>102000000</v>
      </c>
      <c r="W55">
        <v>1.1499999999999999</v>
      </c>
      <c r="X55">
        <v>0.04</v>
      </c>
      <c r="Y55">
        <v>-8.31</v>
      </c>
      <c r="Z55" t="s">
        <v>73</v>
      </c>
      <c r="AA55" t="s">
        <v>437</v>
      </c>
      <c r="AB55" t="s">
        <v>3113</v>
      </c>
      <c r="AC55" t="s">
        <v>3114</v>
      </c>
      <c r="AD55" t="s">
        <v>5</v>
      </c>
      <c r="AE55">
        <v>-534694</v>
      </c>
      <c r="AF55" t="s">
        <v>2210</v>
      </c>
      <c r="AG55" t="s">
        <v>3115</v>
      </c>
      <c r="AH55" t="s">
        <v>2211</v>
      </c>
      <c r="AI55" t="s">
        <v>124</v>
      </c>
      <c r="AJ55" t="s">
        <v>2212</v>
      </c>
      <c r="AK55" t="s">
        <v>3116</v>
      </c>
      <c r="AL55" t="s">
        <v>2213</v>
      </c>
      <c r="AM55" t="s">
        <v>5</v>
      </c>
      <c r="AN55" t="s">
        <v>3117</v>
      </c>
      <c r="AO55" t="s">
        <v>125</v>
      </c>
      <c r="AP55" t="s">
        <v>3118</v>
      </c>
      <c r="AQ55" t="s">
        <v>3119</v>
      </c>
      <c r="AR55" t="s">
        <v>5</v>
      </c>
      <c r="AS55" t="s">
        <v>213</v>
      </c>
      <c r="AT55" t="s">
        <v>247</v>
      </c>
      <c r="AU55" t="s">
        <v>1561</v>
      </c>
      <c r="AV55" t="s">
        <v>3120</v>
      </c>
      <c r="AW55" t="s">
        <v>3121</v>
      </c>
      <c r="AX55" t="s">
        <v>631</v>
      </c>
      <c r="AY55" t="s">
        <v>1140</v>
      </c>
      <c r="AZ55" t="s">
        <v>217</v>
      </c>
      <c r="BA55" t="s">
        <v>155</v>
      </c>
      <c r="BB55" t="s">
        <v>277</v>
      </c>
      <c r="BC55" t="s">
        <v>40</v>
      </c>
      <c r="BD55" t="s">
        <v>37</v>
      </c>
      <c r="BE55" t="s">
        <v>1194</v>
      </c>
      <c r="BF55" t="s">
        <v>1195</v>
      </c>
      <c r="BG55" t="s">
        <v>1196</v>
      </c>
      <c r="BH55" t="s">
        <v>1208</v>
      </c>
      <c r="BI55" t="s">
        <v>193</v>
      </c>
      <c r="BJ55" t="s">
        <v>631</v>
      </c>
      <c r="BK55" t="s">
        <v>2209</v>
      </c>
      <c r="BL55" t="s">
        <v>3122</v>
      </c>
      <c r="BM55" t="s">
        <v>40</v>
      </c>
      <c r="BN55">
        <v>1.86</v>
      </c>
      <c r="BO55">
        <v>8.81</v>
      </c>
      <c r="BP55">
        <v>30.33</v>
      </c>
      <c r="BQ55">
        <v>1.86</v>
      </c>
      <c r="BR55">
        <v>13.5</v>
      </c>
      <c r="BS55">
        <v>32.9</v>
      </c>
      <c r="BT55" t="s">
        <v>1288</v>
      </c>
      <c r="BU55" t="s">
        <v>2508</v>
      </c>
      <c r="BV55">
        <v>13.67</v>
      </c>
      <c r="BW55">
        <v>27</v>
      </c>
      <c r="BX55">
        <v>40.58</v>
      </c>
      <c r="BY55">
        <v>4.58</v>
      </c>
      <c r="BZ55">
        <v>16.489999999999998</v>
      </c>
      <c r="CA55">
        <v>27.99</v>
      </c>
      <c r="CB55">
        <v>2.39</v>
      </c>
      <c r="CC55">
        <v>-14.4</v>
      </c>
      <c r="CD55" t="s">
        <v>3123</v>
      </c>
      <c r="CE55" t="s">
        <v>3124</v>
      </c>
      <c r="CF55" s="10">
        <v>-0.15189873417721508</v>
      </c>
      <c r="CG55" s="11">
        <v>-1.7732479218050607</v>
      </c>
      <c r="CH55" s="10">
        <v>-0.21128319203853607</v>
      </c>
      <c r="CI55" s="10">
        <v>0.83739835023880005</v>
      </c>
      <c r="CJ55" s="10">
        <v>0.80882352590560913</v>
      </c>
      <c r="CK55" s="10">
        <v>0.18260869383811951</v>
      </c>
      <c r="CL55" s="10">
        <v>0.4110429584980011</v>
      </c>
      <c r="CM55" s="11">
        <v>-0.47232279181480408</v>
      </c>
      <c r="CN55" s="11">
        <v>7.9710148274898529E-2</v>
      </c>
      <c r="CO55" s="11">
        <v>0.6024896502494812</v>
      </c>
      <c r="CP55" s="11">
        <v>0.18568737804889679</v>
      </c>
      <c r="CQ55" s="11">
        <v>1.0028845071792603</v>
      </c>
      <c r="CR55">
        <v>30.892992194523323</v>
      </c>
      <c r="CS55">
        <v>0.76143989349538854</v>
      </c>
      <c r="CT55">
        <v>1.0600706713780919</v>
      </c>
      <c r="CU55" s="10">
        <v>0.40571806728839876</v>
      </c>
      <c r="CV55" s="11">
        <v>0.27968977838754655</v>
      </c>
      <c r="CW55">
        <v>0.06</v>
      </c>
      <c r="CX55">
        <v>5.0504945974223272</v>
      </c>
      <c r="CY55">
        <v>104267015.80252482</v>
      </c>
      <c r="CZ55">
        <v>0.40571806728839876</v>
      </c>
      <c r="DA55">
        <v>1.2762328039333974</v>
      </c>
      <c r="DB55">
        <v>412620642.86155236</v>
      </c>
      <c r="DC55">
        <v>0.38543216392397883</v>
      </c>
      <c r="DD55">
        <v>0.43085753370012464</v>
      </c>
      <c r="DE55">
        <v>1222213745.4059508</v>
      </c>
      <c r="DF55">
        <v>0.35703189921379092</v>
      </c>
      <c r="DG55">
        <v>0.16150701012949065</v>
      </c>
      <c r="DH55">
        <v>3260539586.348547</v>
      </c>
      <c r="DI55">
        <v>0.32457445383071903</v>
      </c>
      <c r="DJ55">
        <v>2.5816871134956582E-2</v>
      </c>
      <c r="DK55">
        <v>20397514371.405472</v>
      </c>
      <c r="DL55">
        <v>0.28400264710187911</v>
      </c>
      <c r="DM55">
        <v>78623900</v>
      </c>
      <c r="DN55">
        <v>0.40571806728839876</v>
      </c>
      <c r="DO55">
        <v>526600000</v>
      </c>
      <c r="DP55">
        <v>2032264400</v>
      </c>
      <c r="DQ55">
        <v>2744</v>
      </c>
      <c r="DR55">
        <v>-0.55761680146561388</v>
      </c>
      <c r="DS55">
        <v>-2.0529377001926075</v>
      </c>
      <c r="DT55" s="12">
        <v>0.17666666666666667</v>
      </c>
      <c r="DU55">
        <v>-0.48166666666666669</v>
      </c>
      <c r="DV55">
        <v>-0.30500000000000005</v>
      </c>
      <c r="DW55">
        <v>-2.1440000000000001</v>
      </c>
      <c r="DX55">
        <v>0.25339864787441224</v>
      </c>
      <c r="DY55">
        <v>-2.0148894052939155</v>
      </c>
      <c r="DZ55">
        <v>2876</v>
      </c>
      <c r="EA55">
        <v>-2.0065093799269289</v>
      </c>
      <c r="EB55">
        <v>2</v>
      </c>
      <c r="EC55">
        <v>2.2116666666666666E-2</v>
      </c>
      <c r="ED55">
        <v>0.21389705882352941</v>
      </c>
      <c r="EE55" s="13">
        <v>16.03511</v>
      </c>
      <c r="EF55">
        <v>16.05931</v>
      </c>
      <c r="EG55">
        <v>15.103398647874412</v>
      </c>
      <c r="EH55" t="s">
        <v>3125</v>
      </c>
      <c r="EI55">
        <v>0</v>
      </c>
      <c r="EJ55">
        <v>0</v>
      </c>
      <c r="EK55" s="14">
        <v>45470</v>
      </c>
      <c r="EL55">
        <v>-0.67</v>
      </c>
      <c r="EM55">
        <v>-3.62</v>
      </c>
      <c r="EN55">
        <v>-9.31</v>
      </c>
      <c r="EO55">
        <v>1.99</v>
      </c>
      <c r="EP55">
        <v>-2.42</v>
      </c>
    </row>
    <row r="56" spans="1:146" ht="96" x14ac:dyDescent="0.25">
      <c r="C56" s="9" t="str">
        <f>""&amp;CHAR(10)&amp;Basic_Fundamental_Information_Constructure(F56)&amp;CHAR(10)&amp;Basic_Fundamental_Information_Concatenate("")</f>
        <v xml:space="preserve">
市值223.99546亿, 利润3906.17万; PE15.36; 平均PE30.99; 平均PEG.11, PB1.96; ROIC30.2%; ROE43.67%; 股利率1.4131%; 毛利15.4867%; 净利9.2%; 上一年度营收增-99.39%, 利润增-98.7%; 当季营收增9232.73%, 利润增1827.35%; 过往5年营收增273.91%, 利润增664.2%
Income profile:
</v>
      </c>
      <c r="D56" t="s">
        <v>1303</v>
      </c>
      <c r="E56" t="s">
        <v>1304</v>
      </c>
      <c r="F56">
        <v>29.58</v>
      </c>
      <c r="G56">
        <v>2.74</v>
      </c>
      <c r="H56" t="s">
        <v>3126</v>
      </c>
      <c r="I56">
        <v>22399546000</v>
      </c>
      <c r="J56">
        <v>15.36</v>
      </c>
      <c r="K56">
        <v>1.96</v>
      </c>
      <c r="L56" t="s">
        <v>973</v>
      </c>
      <c r="M56" t="s">
        <v>2214</v>
      </c>
      <c r="N56" t="s">
        <v>3127</v>
      </c>
      <c r="O56" t="s">
        <v>2215</v>
      </c>
      <c r="P56" s="6">
        <v>-65.69</v>
      </c>
      <c r="Q56" t="s">
        <v>92</v>
      </c>
      <c r="R56">
        <v>158663280</v>
      </c>
      <c r="S56">
        <v>-0.43559999999999999</v>
      </c>
      <c r="T56" t="s">
        <v>2222</v>
      </c>
      <c r="U56">
        <v>383433150</v>
      </c>
      <c r="V56">
        <v>757253070</v>
      </c>
      <c r="W56">
        <v>2.2799999999999998</v>
      </c>
      <c r="X56">
        <v>0.17</v>
      </c>
      <c r="Y56">
        <v>3.51</v>
      </c>
      <c r="Z56" t="s">
        <v>3128</v>
      </c>
      <c r="AA56" t="s">
        <v>1318</v>
      </c>
      <c r="AB56" t="s">
        <v>3129</v>
      </c>
      <c r="AC56" t="s">
        <v>3130</v>
      </c>
      <c r="AD56" t="s">
        <v>5</v>
      </c>
      <c r="AE56">
        <v>40028619</v>
      </c>
      <c r="AF56" t="s">
        <v>2217</v>
      </c>
      <c r="AG56" t="s">
        <v>3131</v>
      </c>
      <c r="AH56" t="s">
        <v>2218</v>
      </c>
      <c r="AI56" t="s">
        <v>1636</v>
      </c>
      <c r="AJ56" t="s">
        <v>2219</v>
      </c>
      <c r="AK56" t="s">
        <v>450</v>
      </c>
      <c r="AL56" t="s">
        <v>2220</v>
      </c>
      <c r="AM56" t="s">
        <v>5</v>
      </c>
      <c r="AN56" t="s">
        <v>643</v>
      </c>
      <c r="AO56" t="s">
        <v>1559</v>
      </c>
      <c r="AP56" t="s">
        <v>3132</v>
      </c>
      <c r="AQ56" t="s">
        <v>3133</v>
      </c>
      <c r="AR56" t="s">
        <v>5</v>
      </c>
      <c r="AS56" t="s">
        <v>3134</v>
      </c>
      <c r="AT56" t="s">
        <v>3135</v>
      </c>
      <c r="AU56" t="s">
        <v>3136</v>
      </c>
      <c r="AV56" t="s">
        <v>1804</v>
      </c>
      <c r="AW56" t="s">
        <v>1665</v>
      </c>
      <c r="AX56" t="s">
        <v>1404</v>
      </c>
      <c r="AY56" t="s">
        <v>1406</v>
      </c>
      <c r="AZ56" t="s">
        <v>220</v>
      </c>
      <c r="BA56" t="s">
        <v>173</v>
      </c>
      <c r="BB56" t="s">
        <v>157</v>
      </c>
      <c r="BC56" t="s">
        <v>1405</v>
      </c>
      <c r="BD56" t="s">
        <v>665</v>
      </c>
      <c r="BE56" t="s">
        <v>1305</v>
      </c>
      <c r="BF56" t="s">
        <v>1407</v>
      </c>
      <c r="BG56" t="s">
        <v>1408</v>
      </c>
      <c r="BH56" t="s">
        <v>2216</v>
      </c>
      <c r="BI56" t="s">
        <v>2223</v>
      </c>
      <c r="BJ56" t="s">
        <v>1404</v>
      </c>
      <c r="BK56" t="s">
        <v>485</v>
      </c>
      <c r="BL56" t="s">
        <v>2224</v>
      </c>
      <c r="BM56" t="s">
        <v>1405</v>
      </c>
      <c r="BN56">
        <v>12</v>
      </c>
      <c r="BO56">
        <v>39.340000000000003</v>
      </c>
      <c r="BP56">
        <v>39.26</v>
      </c>
      <c r="BQ56">
        <v>15.92</v>
      </c>
      <c r="BR56">
        <v>71.42</v>
      </c>
      <c r="BS56" t="s">
        <v>5</v>
      </c>
      <c r="BT56" t="s">
        <v>2221</v>
      </c>
      <c r="BU56" t="s">
        <v>2508</v>
      </c>
      <c r="BV56">
        <v>7.65</v>
      </c>
      <c r="BW56">
        <v>12.48</v>
      </c>
      <c r="BX56">
        <v>26.33</v>
      </c>
      <c r="BY56">
        <v>3.82</v>
      </c>
      <c r="BZ56">
        <v>7.03</v>
      </c>
      <c r="CA56">
        <v>16.75</v>
      </c>
      <c r="CB56">
        <v>-5.98</v>
      </c>
      <c r="CC56" s="10">
        <v>-18.52</v>
      </c>
      <c r="CD56" s="11" t="s">
        <v>3137</v>
      </c>
      <c r="CE56" s="10" t="s">
        <v>177</v>
      </c>
      <c r="CF56" s="10">
        <v>92.327304224299368</v>
      </c>
      <c r="CG56" s="10">
        <v>18.273496756638565</v>
      </c>
      <c r="CH56" s="10">
        <v>-0.99392378330230713</v>
      </c>
      <c r="CI56" s="10">
        <v>5.0540461540222168</v>
      </c>
      <c r="CJ56" s="11">
        <v>6.3933053016662598</v>
      </c>
      <c r="CK56" s="11">
        <v>0.63698631525039673</v>
      </c>
      <c r="CL56" s="11">
        <v>2.604938268661499</v>
      </c>
      <c r="CM56" s="11">
        <v>-0.98700970411300659</v>
      </c>
      <c r="CN56" s="11">
        <v>1.5396959781646729</v>
      </c>
      <c r="CO56">
        <v>29.229917526245117</v>
      </c>
      <c r="CP56">
        <v>-0.291168212890625</v>
      </c>
      <c r="CQ56">
        <v>3.7184553146362305</v>
      </c>
      <c r="CR56" s="10">
        <v>30.994297856073583</v>
      </c>
      <c r="CS56" s="11">
        <v>0.11315626380409556</v>
      </c>
      <c r="CT56">
        <v>1.4131169709263016</v>
      </c>
      <c r="CU56">
        <v>2.7390704512596131</v>
      </c>
      <c r="CV56">
        <v>6.6419781804084774</v>
      </c>
      <c r="CW56">
        <v>0.06</v>
      </c>
      <c r="CX56">
        <v>191.5964840240502</v>
      </c>
      <c r="CY56">
        <v>137787215.32638454</v>
      </c>
      <c r="CZ56">
        <v>2.7390704512596131</v>
      </c>
      <c r="DA56">
        <v>12.472043721370756</v>
      </c>
      <c r="DB56">
        <v>2116697679.2075038</v>
      </c>
      <c r="DC56">
        <v>2.6021169286966321</v>
      </c>
      <c r="DD56">
        <v>0.42032915179865227</v>
      </c>
      <c r="DE56">
        <v>62806840513.041588</v>
      </c>
      <c r="DF56">
        <v>2.4103819971084595</v>
      </c>
      <c r="DG56">
        <v>7.3785008985468321E-3</v>
      </c>
      <c r="DH56">
        <v>3577901034775.1387</v>
      </c>
      <c r="DI56">
        <v>2.1912563610076905</v>
      </c>
      <c r="DJ56">
        <v>6.9198887098941577E-7</v>
      </c>
      <c r="DK56">
        <v>3.8150246494937912E+16</v>
      </c>
      <c r="DL56">
        <v>1.917349315881729</v>
      </c>
      <c r="DM56">
        <v>39061700</v>
      </c>
      <c r="DN56">
        <v>2.7390704512596131</v>
      </c>
      <c r="DO56">
        <v>26399546000</v>
      </c>
      <c r="DP56">
        <v>2650726000</v>
      </c>
      <c r="DQ56" s="12">
        <v>2749</v>
      </c>
      <c r="DR56">
        <v>89.588233773039761</v>
      </c>
      <c r="DS56">
        <v>11.631518576230087</v>
      </c>
      <c r="DT56">
        <v>0.623</v>
      </c>
      <c r="DU56">
        <v>1.3313333333333333</v>
      </c>
      <c r="DV56">
        <v>1.9543333333333333</v>
      </c>
      <c r="DW56">
        <v>-8.3228941684665223</v>
      </c>
      <c r="DX56">
        <v>0.33610593220339158</v>
      </c>
      <c r="DY56">
        <v>-8.0568635785408347</v>
      </c>
      <c r="DZ56">
        <v>2309</v>
      </c>
      <c r="EA56">
        <v>-8.0311692531297219</v>
      </c>
      <c r="EB56" s="13">
        <v>8</v>
      </c>
      <c r="EC56" s="13">
        <v>5.4883897664488833E-2</v>
      </c>
      <c r="ED56">
        <v>0.31165274773993323</v>
      </c>
      <c r="EE56">
        <v>9.1000000000000004E-3</v>
      </c>
      <c r="EF56">
        <v>1.8499999999999999E-2</v>
      </c>
      <c r="EG56">
        <v>16.176105932203392</v>
      </c>
      <c r="EH56" s="14" t="s">
        <v>1073</v>
      </c>
      <c r="EI56">
        <v>0</v>
      </c>
      <c r="EJ56">
        <v>0</v>
      </c>
      <c r="EK56">
        <v>45470</v>
      </c>
      <c r="EL56">
        <v>-0.85</v>
      </c>
      <c r="EM56">
        <v>-4.88</v>
      </c>
      <c r="EN56">
        <v>1.29</v>
      </c>
      <c r="EO56">
        <v>2.98</v>
      </c>
      <c r="EP56">
        <v>0.94</v>
      </c>
    </row>
    <row r="57" spans="1:146" ht="96" x14ac:dyDescent="0.25">
      <c r="C57" s="9" t="str">
        <f>""&amp;CHAR(10)&amp;Basic_Fundamental_Information_Constructure(F57)&amp;CHAR(10)&amp;Basic_Fundamental_Information_Concatenate("")</f>
        <v xml:space="preserve">
市值119.95989亿, 利润1.14亿; PE245.2; 平均PE154.53; 平均PEG159.1, PB6.09; ROIC4.9933%; ROE4.465%; 股利率.0958%; 毛利8.0733%; 净利3.0067%; 上一年度营收增-62.83%, 利润增23.47%; 当季营收增43.44%, 利润增-80.48%; 过往5年营收增-.97%, 利润增208.08%
Income profile:
</v>
      </c>
      <c r="D57" t="s">
        <v>1649</v>
      </c>
      <c r="E57" t="s">
        <v>1650</v>
      </c>
      <c r="F57">
        <v>26.1</v>
      </c>
      <c r="G57">
        <v>-2.68</v>
      </c>
      <c r="H57" t="s">
        <v>3138</v>
      </c>
      <c r="I57">
        <v>11995989000</v>
      </c>
      <c r="J57">
        <v>245.2</v>
      </c>
      <c r="K57">
        <v>6.09</v>
      </c>
      <c r="L57" t="s">
        <v>973</v>
      </c>
      <c r="M57" t="s">
        <v>48</v>
      </c>
      <c r="N57" t="s">
        <v>3139</v>
      </c>
      <c r="O57" t="s">
        <v>492</v>
      </c>
      <c r="P57" s="6">
        <v>-42.77</v>
      </c>
      <c r="Q57" t="s">
        <v>1080</v>
      </c>
      <c r="R57">
        <v>2965269</v>
      </c>
      <c r="S57">
        <v>-0.78879999999999995</v>
      </c>
      <c r="T57" t="s">
        <v>104</v>
      </c>
      <c r="U57">
        <v>58000000</v>
      </c>
      <c r="V57">
        <v>459616440</v>
      </c>
      <c r="W57">
        <v>1.82</v>
      </c>
      <c r="X57">
        <v>0.09</v>
      </c>
      <c r="Y57">
        <v>0.32</v>
      </c>
      <c r="Z57" t="s">
        <v>578</v>
      </c>
      <c r="AA57" t="s">
        <v>473</v>
      </c>
      <c r="AB57" t="s">
        <v>3140</v>
      </c>
      <c r="AC57" t="s">
        <v>3141</v>
      </c>
      <c r="AD57" t="s">
        <v>5</v>
      </c>
      <c r="AE57">
        <v>5176660</v>
      </c>
      <c r="AF57" t="s">
        <v>27</v>
      </c>
      <c r="AG57" t="s">
        <v>3142</v>
      </c>
      <c r="AH57" t="s">
        <v>2226</v>
      </c>
      <c r="AI57" t="s">
        <v>453</v>
      </c>
      <c r="AJ57" t="s">
        <v>2227</v>
      </c>
      <c r="AK57" t="s">
        <v>3143</v>
      </c>
      <c r="AL57" t="s">
        <v>2228</v>
      </c>
      <c r="AM57" t="s">
        <v>5</v>
      </c>
      <c r="AN57" t="s">
        <v>3144</v>
      </c>
      <c r="AO57" t="s">
        <v>267</v>
      </c>
      <c r="AP57" t="s">
        <v>1550</v>
      </c>
      <c r="AQ57" t="s">
        <v>400</v>
      </c>
      <c r="AR57" t="s">
        <v>3145</v>
      </c>
      <c r="AS57" t="s">
        <v>55</v>
      </c>
      <c r="AT57" t="s">
        <v>3146</v>
      </c>
      <c r="AU57" t="s">
        <v>3147</v>
      </c>
      <c r="AV57" t="s">
        <v>3148</v>
      </c>
      <c r="AW57" t="s">
        <v>3149</v>
      </c>
      <c r="AX57" t="s">
        <v>1628</v>
      </c>
      <c r="AY57" t="s">
        <v>1653</v>
      </c>
      <c r="AZ57" t="s">
        <v>697</v>
      </c>
      <c r="BA57" t="s">
        <v>1560</v>
      </c>
      <c r="BB57" t="s">
        <v>1387</v>
      </c>
      <c r="BC57" t="s">
        <v>1651</v>
      </c>
      <c r="BD57" t="s">
        <v>139</v>
      </c>
      <c r="BE57" t="s">
        <v>1654</v>
      </c>
      <c r="BF57" t="s">
        <v>1655</v>
      </c>
      <c r="BG57" t="s">
        <v>1656</v>
      </c>
      <c r="BH57" t="s">
        <v>1738</v>
      </c>
      <c r="BI57" t="s">
        <v>159</v>
      </c>
      <c r="BJ57" t="s">
        <v>1628</v>
      </c>
      <c r="BK57" t="s">
        <v>2225</v>
      </c>
      <c r="BL57" t="s">
        <v>3150</v>
      </c>
      <c r="BM57" t="s">
        <v>1651</v>
      </c>
      <c r="BN57">
        <v>3.31</v>
      </c>
      <c r="BO57">
        <v>5.83</v>
      </c>
      <c r="BP57">
        <v>5.84</v>
      </c>
      <c r="BQ57">
        <v>3.28</v>
      </c>
      <c r="BR57">
        <v>5.65</v>
      </c>
      <c r="BS57" t="s">
        <v>5</v>
      </c>
      <c r="BT57" t="s">
        <v>1284</v>
      </c>
      <c r="BU57" t="s">
        <v>2508</v>
      </c>
      <c r="BV57">
        <v>7.01</v>
      </c>
      <c r="BW57">
        <v>7.42</v>
      </c>
      <c r="BX57">
        <v>9.7899999999999991</v>
      </c>
      <c r="BY57">
        <v>2.4</v>
      </c>
      <c r="BZ57">
        <v>2.9</v>
      </c>
      <c r="CA57">
        <v>3.72</v>
      </c>
      <c r="CB57">
        <v>0.93</v>
      </c>
      <c r="CC57" s="10">
        <v>-15.14</v>
      </c>
      <c r="CD57" s="11" t="s">
        <v>3151</v>
      </c>
      <c r="CE57" s="10" t="s">
        <v>3152</v>
      </c>
      <c r="CF57" s="10">
        <v>0.4344262295081967</v>
      </c>
      <c r="CG57" s="10">
        <v>-0.8047983647997472</v>
      </c>
      <c r="CH57" s="10">
        <v>-0.62832409143447876</v>
      </c>
      <c r="CI57" s="10">
        <v>0.14396889507770538</v>
      </c>
      <c r="CJ57" s="11">
        <v>0.71749699115753174</v>
      </c>
      <c r="CK57" s="11">
        <v>3.717702254652977E-2</v>
      </c>
      <c r="CL57" s="11">
        <v>-0.31888404488563538</v>
      </c>
      <c r="CM57" s="11">
        <v>0.23472033441066742</v>
      </c>
      <c r="CN57" s="11">
        <v>-0.12067999690771103</v>
      </c>
      <c r="CO57">
        <v>0.3132452666759491</v>
      </c>
      <c r="CP57">
        <v>11.073019981384277</v>
      </c>
      <c r="CQ57">
        <v>-1.0963122844696045</v>
      </c>
      <c r="CR57" s="10">
        <v>154.53441569357946</v>
      </c>
      <c r="CS57" s="11">
        <v>159.09985757974536</v>
      </c>
      <c r="CT57">
        <v>9.5785440613026809E-2</v>
      </c>
      <c r="CU57">
        <v>-9.7130455076694482E-3</v>
      </c>
      <c r="CV57">
        <v>2.0807986602187158</v>
      </c>
      <c r="CW57">
        <v>0.06</v>
      </c>
      <c r="CX57">
        <v>103.07885087719298</v>
      </c>
      <c r="CY57" t="s">
        <v>3153</v>
      </c>
      <c r="CZ57">
        <v>-9.7130455076694482E-3</v>
      </c>
      <c r="DA57">
        <v>34.359616959064326</v>
      </c>
      <c r="DB57" t="s">
        <v>3154</v>
      </c>
      <c r="DC57">
        <v>-9.2273932322859756E-3</v>
      </c>
      <c r="DD57">
        <v>17.179808479532163</v>
      </c>
      <c r="DE57" t="s">
        <v>3155</v>
      </c>
      <c r="DF57">
        <v>-8.5474800467491147E-3</v>
      </c>
      <c r="DG57">
        <v>10.307885087719299</v>
      </c>
      <c r="DH57" t="s">
        <v>3156</v>
      </c>
      <c r="DI57">
        <v>-7.7704364061355587E-3</v>
      </c>
      <c r="DJ57">
        <v>5.1539425438596496</v>
      </c>
      <c r="DK57" t="s">
        <v>3157</v>
      </c>
      <c r="DL57">
        <v>-6.7991318553686135E-3</v>
      </c>
      <c r="DM57">
        <v>113999999.99999999</v>
      </c>
      <c r="DN57">
        <v>-9.7130455076694482E-3</v>
      </c>
      <c r="DO57">
        <v>11750989000</v>
      </c>
      <c r="DP57">
        <v>947582000</v>
      </c>
      <c r="DQ57" s="12">
        <v>2800</v>
      </c>
      <c r="DR57">
        <v>0.44413927501586614</v>
      </c>
      <c r="DS57">
        <v>-2.885597025018463</v>
      </c>
      <c r="DT57">
        <v>-0.60666666666666669</v>
      </c>
      <c r="DU57">
        <v>-0.27666666666666667</v>
      </c>
      <c r="DV57">
        <v>-0.8833333333333333</v>
      </c>
      <c r="DW57">
        <v>-2.1514000000000002</v>
      </c>
      <c r="DX57">
        <v>0.4345972030543494</v>
      </c>
      <c r="DY57">
        <v>-2.0218920165424286</v>
      </c>
      <c r="DZ57">
        <v>1605</v>
      </c>
      <c r="EA57">
        <v>-2.0150159526382021</v>
      </c>
      <c r="EB57" s="13">
        <v>2</v>
      </c>
      <c r="EC57" s="13">
        <v>2.8664553426330876E-2</v>
      </c>
      <c r="ED57">
        <v>0.19823725191379143</v>
      </c>
      <c r="EE57">
        <v>-1.00301</v>
      </c>
      <c r="EF57">
        <v>-1.02841</v>
      </c>
      <c r="EG57">
        <v>29.144597203054349</v>
      </c>
      <c r="EH57" s="14" t="s">
        <v>1302</v>
      </c>
      <c r="EI57">
        <v>0</v>
      </c>
      <c r="EJ57">
        <v>0</v>
      </c>
      <c r="EK57">
        <v>45470</v>
      </c>
      <c r="EL57">
        <v>-2.33</v>
      </c>
      <c r="EM57">
        <v>-5.61</v>
      </c>
      <c r="EN57">
        <v>-2.76</v>
      </c>
      <c r="EO57">
        <v>3.2</v>
      </c>
      <c r="EP57">
        <v>-2.54</v>
      </c>
    </row>
    <row r="58" spans="1:146" ht="96" x14ac:dyDescent="0.25">
      <c r="C58" s="9" t="str">
        <f>""&amp;CHAR(10)&amp;Basic_Fundamental_Information_Constructure(F58)&amp;CHAR(10)&amp;Basic_Fundamental_Information_Concatenate("")</f>
        <v xml:space="preserve">
市值91.711851亿, 利润8095.65万; PE; 平均PE47.97; 平均PEG.96, PB2.2; ROIC14.0167%; ROE13.16%; 股利率.378%; 毛利15.79%; 净利8.5833%; 上一年度营收增-89.66%, 利润增-83.91%; 当季营收增3630.77%, 利润增-689.74%; 过往5年营收增50.19%, 利润增459.75%
Income profile:
</v>
      </c>
      <c r="D58" t="s">
        <v>1657</v>
      </c>
      <c r="E58" t="s">
        <v>1658</v>
      </c>
      <c r="F58">
        <v>14.55</v>
      </c>
      <c r="G58">
        <v>-3.06</v>
      </c>
      <c r="H58" t="s">
        <v>3158</v>
      </c>
      <c r="I58">
        <v>9171185100</v>
      </c>
      <c r="K58">
        <v>2.2000000000000002</v>
      </c>
      <c r="L58" t="s">
        <v>973</v>
      </c>
      <c r="M58" t="s">
        <v>2229</v>
      </c>
      <c r="N58" t="s">
        <v>2285</v>
      </c>
      <c r="O58" t="s">
        <v>1795</v>
      </c>
      <c r="P58" s="6">
        <v>-6.82</v>
      </c>
      <c r="Q58" t="s">
        <v>551</v>
      </c>
      <c r="R58">
        <v>-94752659</v>
      </c>
      <c r="S58">
        <v>-3.327</v>
      </c>
      <c r="T58" t="s">
        <v>3159</v>
      </c>
      <c r="U58">
        <v>85952985</v>
      </c>
      <c r="V58">
        <v>630322000</v>
      </c>
      <c r="W58">
        <v>3.02</v>
      </c>
      <c r="X58">
        <v>0.08</v>
      </c>
      <c r="Y58">
        <v>-11.4</v>
      </c>
      <c r="Z58" t="s">
        <v>2249</v>
      </c>
      <c r="AA58" t="s">
        <v>1931</v>
      </c>
      <c r="AB58" t="s">
        <v>3160</v>
      </c>
      <c r="AC58" t="s">
        <v>3161</v>
      </c>
      <c r="AD58" t="s">
        <v>5</v>
      </c>
      <c r="AE58">
        <v>41139496</v>
      </c>
      <c r="AF58" t="s">
        <v>2230</v>
      </c>
      <c r="AG58" t="s">
        <v>3162</v>
      </c>
      <c r="AH58" t="s">
        <v>2231</v>
      </c>
      <c r="AI58" t="s">
        <v>3163</v>
      </c>
      <c r="AJ58" t="s">
        <v>2232</v>
      </c>
      <c r="AK58" t="s">
        <v>3164</v>
      </c>
      <c r="AL58" t="s">
        <v>2233</v>
      </c>
      <c r="AM58" t="s">
        <v>5</v>
      </c>
      <c r="AN58" t="s">
        <v>1611</v>
      </c>
      <c r="AO58" t="s">
        <v>921</v>
      </c>
      <c r="AP58" t="s">
        <v>318</v>
      </c>
      <c r="AQ58" t="s">
        <v>309</v>
      </c>
      <c r="AR58" t="s">
        <v>5</v>
      </c>
      <c r="AS58" t="s">
        <v>3165</v>
      </c>
      <c r="AT58" t="s">
        <v>1287</v>
      </c>
      <c r="AU58" t="s">
        <v>3166</v>
      </c>
      <c r="AV58" t="s">
        <v>1267</v>
      </c>
      <c r="AW58" t="s">
        <v>527</v>
      </c>
      <c r="AX58" t="s">
        <v>1610</v>
      </c>
      <c r="AY58" t="s">
        <v>1659</v>
      </c>
      <c r="AZ58" t="s">
        <v>1624</v>
      </c>
      <c r="BA58" t="s">
        <v>54</v>
      </c>
      <c r="BB58" t="s">
        <v>648</v>
      </c>
      <c r="BC58" t="s">
        <v>582</v>
      </c>
      <c r="BD58" t="s">
        <v>100</v>
      </c>
      <c r="BE58" t="s">
        <v>1660</v>
      </c>
      <c r="BF58" t="s">
        <v>1661</v>
      </c>
      <c r="BG58" t="s">
        <v>1662</v>
      </c>
      <c r="BH58" t="s">
        <v>1666</v>
      </c>
      <c r="BI58" t="s">
        <v>3167</v>
      </c>
      <c r="BJ58" t="s">
        <v>1610</v>
      </c>
      <c r="BK58" t="s">
        <v>68</v>
      </c>
      <c r="BL58" t="s">
        <v>3168</v>
      </c>
      <c r="BM58" t="s">
        <v>582</v>
      </c>
      <c r="BN58">
        <v>2.64</v>
      </c>
      <c r="BO58">
        <v>14.97</v>
      </c>
      <c r="BP58">
        <v>24.44</v>
      </c>
      <c r="BQ58">
        <v>2.83</v>
      </c>
      <c r="BR58">
        <v>23.49</v>
      </c>
      <c r="BS58" t="s">
        <v>5</v>
      </c>
      <c r="BT58" t="s">
        <v>2234</v>
      </c>
      <c r="BU58" t="s">
        <v>2521</v>
      </c>
      <c r="BV58">
        <v>7.56</v>
      </c>
      <c r="BW58">
        <v>16.63</v>
      </c>
      <c r="BX58">
        <v>23.18</v>
      </c>
      <c r="BY58">
        <v>1.73</v>
      </c>
      <c r="BZ58">
        <v>10</v>
      </c>
      <c r="CA58">
        <v>14.02</v>
      </c>
      <c r="CB58">
        <v>-1.42</v>
      </c>
      <c r="CC58" s="10">
        <v>-3.06</v>
      </c>
      <c r="CD58" s="11" t="s">
        <v>3169</v>
      </c>
      <c r="CE58" s="10" t="s">
        <v>328</v>
      </c>
      <c r="CF58" s="10">
        <v>36.30770556044569</v>
      </c>
      <c r="CG58" s="10">
        <v>-6.8973711451908652</v>
      </c>
      <c r="CH58" s="10">
        <v>-0.89656788110733032</v>
      </c>
      <c r="CI58" s="10">
        <v>0.6008530855178833</v>
      </c>
      <c r="CJ58" s="11">
        <v>1.7932723760604858</v>
      </c>
      <c r="CK58" s="11">
        <v>0.89006632566452026</v>
      </c>
      <c r="CL58" s="11">
        <v>0.12184249609708786</v>
      </c>
      <c r="CM58" s="11">
        <v>-0.83905273675918579</v>
      </c>
      <c r="CN58" s="11">
        <v>7.9399138689041138E-2</v>
      </c>
      <c r="CO58">
        <v>24.476175308227539</v>
      </c>
      <c r="CP58">
        <v>-5.4971169680356979E-2</v>
      </c>
      <c r="CQ58">
        <v>-0.67426276206970215</v>
      </c>
      <c r="CR58" s="10">
        <v>47.973784171673394</v>
      </c>
      <c r="CS58" s="11">
        <v>0.95585627544149632</v>
      </c>
      <c r="CT58">
        <v>0.37800687285223367</v>
      </c>
      <c r="CU58">
        <v>0.50189328044652937</v>
      </c>
      <c r="CV58">
        <v>4.5974575556814674</v>
      </c>
      <c r="CW58">
        <v>0.06</v>
      </c>
      <c r="CX58">
        <v>117.72899838825204</v>
      </c>
      <c r="CY58">
        <v>114705682.41365042</v>
      </c>
      <c r="CZ58">
        <v>0.50189328044652937</v>
      </c>
      <c r="DA58">
        <v>27.624174282279249</v>
      </c>
      <c r="DB58">
        <v>488853891.59533566</v>
      </c>
      <c r="DC58">
        <v>0.47679861642420285</v>
      </c>
      <c r="DD58">
        <v>8.2864531450837191</v>
      </c>
      <c r="DE58">
        <v>1629670121.0471354</v>
      </c>
      <c r="DF58">
        <v>0.44166608679294583</v>
      </c>
      <c r="DG58">
        <v>2.6519122095997161</v>
      </c>
      <c r="DH58">
        <v>5092244400.5181999</v>
      </c>
      <c r="DI58">
        <v>0.40151462435722352</v>
      </c>
      <c r="DJ58">
        <v>0.28193284222328258</v>
      </c>
      <c r="DK58">
        <v>47898588165.564194</v>
      </c>
      <c r="DL58">
        <v>0.35132529631257053</v>
      </c>
      <c r="DM58">
        <v>80956500</v>
      </c>
      <c r="DN58">
        <v>0.50189328044652937</v>
      </c>
      <c r="DO58">
        <v>13504185100</v>
      </c>
      <c r="DP58">
        <v>168995800.00000095</v>
      </c>
      <c r="DQ58" s="12">
        <v>2813</v>
      </c>
      <c r="DR58">
        <v>35.805812279999159</v>
      </c>
      <c r="DS58">
        <v>-11.494828700872333</v>
      </c>
      <c r="DT58">
        <v>2.6666666666666616E-2</v>
      </c>
      <c r="DU58">
        <v>-1.0649999999999999</v>
      </c>
      <c r="DV58">
        <v>-1.0383333333333333</v>
      </c>
      <c r="DW58">
        <v>-1.0306</v>
      </c>
      <c r="DX58">
        <v>0.34022171052631467</v>
      </c>
      <c r="DY58">
        <v>-1.0055147843421053</v>
      </c>
      <c r="DZ58">
        <v>2537</v>
      </c>
      <c r="EA58">
        <v>-1.002776818025878</v>
      </c>
      <c r="EB58" s="13">
        <v>1</v>
      </c>
      <c r="EC58" s="13">
        <v>8.6919701358987952E-2</v>
      </c>
      <c r="ED58">
        <v>0.48229317713803421</v>
      </c>
      <c r="EE58">
        <v>29.02111</v>
      </c>
      <c r="EF58">
        <v>29.035609999999998</v>
      </c>
      <c r="EG58">
        <v>16.180221710526315</v>
      </c>
      <c r="EH58" s="14" t="s">
        <v>2491</v>
      </c>
      <c r="EI58">
        <v>0</v>
      </c>
      <c r="EJ58">
        <v>0</v>
      </c>
      <c r="EK58">
        <v>45470</v>
      </c>
      <c r="EL58">
        <v>-2.3199999999999998</v>
      </c>
      <c r="EM58">
        <v>-5.93</v>
      </c>
      <c r="EN58">
        <v>-0.28999999999999998</v>
      </c>
      <c r="EO58">
        <v>4.08</v>
      </c>
      <c r="EP58">
        <v>-1.45</v>
      </c>
    </row>
    <row r="59" spans="1:146" ht="96" x14ac:dyDescent="0.25">
      <c r="C59" s="9" t="str">
        <f>""&amp;CHAR(10)&amp;Basic_Fundamental_Information_Constructure(F59)&amp;CHAR(10)&amp;Basic_Fundamental_Information_Concatenate("")</f>
        <v xml:space="preserve">
市值38.246359亿, 利润7591.71万; PE29.13; 平均PE42.94; 平均PEG2.14, PB1.45; ROIC16.77%; ROE0%; 股利率0%; 毛利38.7667%; 净利21.6433%; 上一年度营收增3.8%, 利润增-58.74%; 当季营收增-11.05%, 利润增58.37%; 过往5年营收增20.06%, 利润增388.03%
Income profile:
</v>
      </c>
      <c r="D59" t="s">
        <v>1752</v>
      </c>
      <c r="E59" t="s">
        <v>1753</v>
      </c>
      <c r="F59">
        <v>25.96</v>
      </c>
      <c r="G59">
        <v>-8.3699999999999992</v>
      </c>
      <c r="H59" t="s">
        <v>3170</v>
      </c>
      <c r="I59">
        <v>3824635900</v>
      </c>
      <c r="J59">
        <v>29.13</v>
      </c>
      <c r="K59">
        <v>1.45</v>
      </c>
      <c r="L59" t="s">
        <v>973</v>
      </c>
      <c r="M59" t="s">
        <v>25</v>
      </c>
      <c r="N59" t="s">
        <v>3171</v>
      </c>
      <c r="O59" t="s">
        <v>124</v>
      </c>
      <c r="P59" s="6">
        <v>-3.78</v>
      </c>
      <c r="Q59" t="s">
        <v>1079</v>
      </c>
      <c r="R59">
        <v>28738002</v>
      </c>
      <c r="S59">
        <v>-0.13950000000000001</v>
      </c>
      <c r="T59" t="s">
        <v>3172</v>
      </c>
      <c r="U59">
        <v>28983898</v>
      </c>
      <c r="V59">
        <v>147328040</v>
      </c>
      <c r="W59">
        <v>1.19</v>
      </c>
      <c r="X59">
        <v>0.09</v>
      </c>
      <c r="Y59">
        <v>17.05</v>
      </c>
      <c r="Z59" t="s">
        <v>119</v>
      </c>
      <c r="AA59" t="s">
        <v>403</v>
      </c>
      <c r="AB59" t="s">
        <v>3173</v>
      </c>
      <c r="AC59" t="s">
        <v>3174</v>
      </c>
      <c r="AD59" t="s">
        <v>5</v>
      </c>
      <c r="AE59">
        <v>-1775312</v>
      </c>
      <c r="AF59" t="s">
        <v>2235</v>
      </c>
      <c r="AG59" t="s">
        <v>1672</v>
      </c>
      <c r="AH59" t="s">
        <v>2236</v>
      </c>
      <c r="AI59" t="s">
        <v>1210</v>
      </c>
      <c r="AJ59" t="s">
        <v>2237</v>
      </c>
      <c r="AK59" t="s">
        <v>3175</v>
      </c>
      <c r="AL59" t="s">
        <v>2238</v>
      </c>
      <c r="AM59" t="s">
        <v>5</v>
      </c>
      <c r="AN59" t="s">
        <v>140</v>
      </c>
      <c r="AO59" t="s">
        <v>3176</v>
      </c>
      <c r="AP59" t="s">
        <v>394</v>
      </c>
      <c r="AQ59" t="s">
        <v>77</v>
      </c>
      <c r="AR59" t="s">
        <v>5</v>
      </c>
      <c r="AS59" t="s">
        <v>106</v>
      </c>
      <c r="AT59" t="s">
        <v>5</v>
      </c>
      <c r="AU59" t="s">
        <v>3177</v>
      </c>
      <c r="AV59" t="s">
        <v>3178</v>
      </c>
      <c r="AW59" t="s">
        <v>265</v>
      </c>
      <c r="AX59" t="s">
        <v>1668</v>
      </c>
      <c r="AY59" t="s">
        <v>1669</v>
      </c>
      <c r="AZ59" t="s">
        <v>108</v>
      </c>
      <c r="BA59" t="s">
        <v>154</v>
      </c>
      <c r="BB59" t="s">
        <v>364</v>
      </c>
      <c r="BC59" t="s">
        <v>160</v>
      </c>
      <c r="BD59" t="s">
        <v>178</v>
      </c>
      <c r="BE59" t="s">
        <v>2239</v>
      </c>
      <c r="BF59" t="s">
        <v>2240</v>
      </c>
      <c r="BG59" t="s">
        <v>2241</v>
      </c>
      <c r="BH59" t="s">
        <v>1542</v>
      </c>
      <c r="BI59" t="s">
        <v>415</v>
      </c>
      <c r="BJ59" t="s">
        <v>1668</v>
      </c>
      <c r="BK59" t="s">
        <v>152</v>
      </c>
      <c r="BL59" t="s">
        <v>3179</v>
      </c>
      <c r="BM59" t="s">
        <v>160</v>
      </c>
      <c r="BN59" t="s">
        <v>5</v>
      </c>
      <c r="BO59">
        <v>17.54</v>
      </c>
      <c r="BP59">
        <v>16</v>
      </c>
      <c r="BQ59" t="s">
        <v>5</v>
      </c>
      <c r="BR59" t="s">
        <v>5</v>
      </c>
      <c r="BS59" t="s">
        <v>5</v>
      </c>
      <c r="BT59" t="s">
        <v>1280</v>
      </c>
      <c r="BU59" t="s">
        <v>2521</v>
      </c>
      <c r="BV59">
        <v>37.31</v>
      </c>
      <c r="BW59">
        <v>40.17</v>
      </c>
      <c r="BX59">
        <v>38.82</v>
      </c>
      <c r="BY59">
        <v>19.8</v>
      </c>
      <c r="BZ59">
        <v>24.03</v>
      </c>
      <c r="CA59">
        <v>21.1</v>
      </c>
      <c r="CB59">
        <v>-12.45</v>
      </c>
      <c r="CC59" s="10">
        <v>-15.3</v>
      </c>
      <c r="CD59" s="11" t="s">
        <v>3180</v>
      </c>
      <c r="CE59" s="10" t="s">
        <v>253</v>
      </c>
      <c r="CF59" s="10">
        <v>-0.11052631578947368</v>
      </c>
      <c r="CG59" s="10">
        <v>0.58369256373235168</v>
      </c>
      <c r="CH59" s="10">
        <v>3.7958115339279175E-2</v>
      </c>
      <c r="CI59" s="10">
        <v>0.17901234328746796</v>
      </c>
      <c r="CJ59" s="11">
        <v>0.40869563817977905</v>
      </c>
      <c r="CK59" s="11">
        <v>0.64874553680419922</v>
      </c>
      <c r="CL59" s="11">
        <v>-0.27154046297073364</v>
      </c>
      <c r="CM59" s="11">
        <v>-0.58740705251693726</v>
      </c>
      <c r="CN59" s="11">
        <v>0.34306567907333374</v>
      </c>
      <c r="CO59">
        <v>1.0864458084106445</v>
      </c>
      <c r="CP59">
        <v>19.512933731079102</v>
      </c>
      <c r="CQ59">
        <v>-0.95335519313812256</v>
      </c>
      <c r="CR59" s="10">
        <v>42.94086956521739</v>
      </c>
      <c r="CS59" s="11">
        <v>2.1408965988031277</v>
      </c>
      <c r="CT59">
        <v>0</v>
      </c>
      <c r="CU59">
        <v>0.20057423412799835</v>
      </c>
      <c r="CV59">
        <v>3.8803365945816042</v>
      </c>
      <c r="CW59">
        <v>0.06</v>
      </c>
      <c r="CX59">
        <v>25.616509357258884</v>
      </c>
      <c r="CY59">
        <v>85985013.386527032</v>
      </c>
      <c r="CZ59">
        <v>0.20057423412799835</v>
      </c>
      <c r="DA59">
        <v>7.6322222135158917</v>
      </c>
      <c r="DB59">
        <v>288596930.01330006</v>
      </c>
      <c r="DC59">
        <v>0.19054552242159842</v>
      </c>
      <c r="DD59">
        <v>3.3043005423081007</v>
      </c>
      <c r="DE59">
        <v>666596718.97200596</v>
      </c>
      <c r="DF59">
        <v>0.17650532603263855</v>
      </c>
      <c r="DG59">
        <v>1.7050334890821153</v>
      </c>
      <c r="DH59">
        <v>1291843189.065901</v>
      </c>
      <c r="DI59">
        <v>0.1604593873023987</v>
      </c>
      <c r="DJ59">
        <v>0.61694839467336449</v>
      </c>
      <c r="DK59">
        <v>3570210926.9060626</v>
      </c>
      <c r="DL59">
        <v>0.14040196388959883</v>
      </c>
      <c r="DM59">
        <v>75917100</v>
      </c>
      <c r="DN59">
        <v>0.20057423412799835</v>
      </c>
      <c r="DO59">
        <v>2202635900</v>
      </c>
      <c r="DP59">
        <v>970414790</v>
      </c>
      <c r="DQ59" s="12">
        <v>2841</v>
      </c>
      <c r="DR59">
        <v>-0.31110054991747205</v>
      </c>
      <c r="DS59">
        <v>-3.2966440308492526</v>
      </c>
      <c r="DT59">
        <v>-2.3333333333333355E-2</v>
      </c>
      <c r="DU59">
        <v>0.745</v>
      </c>
      <c r="DV59">
        <v>0.72166666666666668</v>
      </c>
      <c r="DW59">
        <v>-9.8137254901960791</v>
      </c>
      <c r="DX59">
        <v>0.50082459016393521</v>
      </c>
      <c r="DY59">
        <v>-9.0657690292510456</v>
      </c>
      <c r="DZ59" t="s">
        <v>3181</v>
      </c>
      <c r="EA59" t="e">
        <v>#VALUE!</v>
      </c>
      <c r="EB59" s="13" t="e">
        <v>#VALUE!</v>
      </c>
      <c r="EC59" s="13">
        <v>0.10039433090944534</v>
      </c>
      <c r="ED59">
        <v>1.2421260745748059</v>
      </c>
      <c r="EE59">
        <v>29.1081</v>
      </c>
      <c r="EF59">
        <v>29.053799999999999</v>
      </c>
      <c r="EG59">
        <v>42.080824590163935</v>
      </c>
      <c r="EH59" s="14" t="s">
        <v>3182</v>
      </c>
      <c r="EI59" t="e">
        <v>#VALUE!</v>
      </c>
      <c r="EJ59">
        <v>0</v>
      </c>
      <c r="EK59">
        <v>45470</v>
      </c>
      <c r="EL59">
        <v>0</v>
      </c>
      <c r="EM59">
        <v>0</v>
      </c>
      <c r="EN59">
        <v>0</v>
      </c>
      <c r="EO59">
        <v>86.92</v>
      </c>
      <c r="EP59">
        <v>-5.43</v>
      </c>
    </row>
    <row r="60" spans="1:146" ht="96" x14ac:dyDescent="0.25">
      <c r="A60" s="9"/>
      <c r="B60" s="9"/>
      <c r="C60" s="9" t="str">
        <f>""&amp;CHAR(10)&amp;Basic_Fundamental_Information_Constructure(F60)&amp;CHAR(10)&amp;Basic_Fundamental_Information_Concatenate("")</f>
        <v xml:space="preserve">
市值53.442059亿, 利润23.71亿; PE; 平均PE3.93; 平均PEG.02, PB.895; ROIC4.7233%; ROE5.92%; 股利率0%; 毛利18.4867%; 净利5.8933%; 上一年度营收增611.34%, 利润增573.58%; 当季营收增-88.64%, 利润增-110.24%; 过往5年营收增201.4%, 利润增573.58%
Income profile:
</v>
      </c>
      <c r="D60" t="s">
        <v>1197</v>
      </c>
      <c r="E60" t="s">
        <v>1198</v>
      </c>
      <c r="F60">
        <v>3.06</v>
      </c>
      <c r="G60">
        <v>0.99</v>
      </c>
      <c r="H60" t="s">
        <v>2184</v>
      </c>
      <c r="I60">
        <v>5344205900</v>
      </c>
      <c r="K60">
        <v>0.89500000000000002</v>
      </c>
      <c r="L60" t="s">
        <v>973</v>
      </c>
      <c r="M60" t="s">
        <v>2242</v>
      </c>
      <c r="N60" t="s">
        <v>3183</v>
      </c>
      <c r="O60" t="s">
        <v>1626</v>
      </c>
      <c r="P60">
        <v>-4.8</v>
      </c>
      <c r="Q60" t="s">
        <v>3184</v>
      </c>
      <c r="R60">
        <v>-94390656</v>
      </c>
      <c r="S60" s="6">
        <v>-2.88</v>
      </c>
      <c r="T60" t="s">
        <v>2943</v>
      </c>
      <c r="U60">
        <v>1746472500</v>
      </c>
      <c r="V60">
        <v>1746472500</v>
      </c>
      <c r="W60">
        <v>2</v>
      </c>
      <c r="X60" t="s">
        <v>5</v>
      </c>
      <c r="Y60">
        <v>-9.08</v>
      </c>
      <c r="Z60" t="s">
        <v>5</v>
      </c>
      <c r="AA60" t="s">
        <v>5</v>
      </c>
      <c r="AB60" t="s">
        <v>5</v>
      </c>
      <c r="AC60" t="s">
        <v>5</v>
      </c>
      <c r="AD60" t="s">
        <v>5</v>
      </c>
      <c r="AE60">
        <v>69262680</v>
      </c>
      <c r="AF60" t="s">
        <v>2245</v>
      </c>
      <c r="AG60" t="s">
        <v>3185</v>
      </c>
      <c r="AH60" t="s">
        <v>2246</v>
      </c>
      <c r="AI60" t="s">
        <v>3186</v>
      </c>
      <c r="AJ60" t="s">
        <v>2247</v>
      </c>
      <c r="AK60" t="s">
        <v>5</v>
      </c>
      <c r="AL60" t="s">
        <v>2248</v>
      </c>
      <c r="AM60" t="s">
        <v>5</v>
      </c>
      <c r="AN60" t="s">
        <v>2133</v>
      </c>
      <c r="AO60" t="s">
        <v>5</v>
      </c>
      <c r="AP60" t="s">
        <v>82</v>
      </c>
      <c r="AQ60" t="s">
        <v>662</v>
      </c>
      <c r="AR60" t="s">
        <v>3187</v>
      </c>
      <c r="AS60" t="s">
        <v>5</v>
      </c>
      <c r="AT60" t="s">
        <v>5</v>
      </c>
      <c r="AU60" t="s">
        <v>245</v>
      </c>
      <c r="AV60" t="s">
        <v>1705</v>
      </c>
      <c r="AW60" t="s">
        <v>3188</v>
      </c>
      <c r="AX60" t="s">
        <v>1558</v>
      </c>
      <c r="AY60" t="s">
        <v>5</v>
      </c>
      <c r="AZ60" t="s">
        <v>1159</v>
      </c>
      <c r="BA60" t="s">
        <v>986</v>
      </c>
      <c r="BB60" t="s">
        <v>1199</v>
      </c>
      <c r="BC60" t="s">
        <v>599</v>
      </c>
      <c r="BD60" t="s">
        <v>5</v>
      </c>
      <c r="BE60" t="s">
        <v>5</v>
      </c>
      <c r="BF60" t="s">
        <v>5</v>
      </c>
      <c r="BG60" t="s">
        <v>5</v>
      </c>
      <c r="BH60" t="s">
        <v>2243</v>
      </c>
      <c r="BI60" t="s">
        <v>3189</v>
      </c>
      <c r="BJ60" t="s">
        <v>1558</v>
      </c>
      <c r="BK60" t="s">
        <v>2244</v>
      </c>
      <c r="BL60" t="s">
        <v>292</v>
      </c>
      <c r="BM60" t="s">
        <v>599</v>
      </c>
      <c r="BN60">
        <v>1.01</v>
      </c>
      <c r="BO60">
        <v>4.83</v>
      </c>
      <c r="BP60">
        <v>8.33</v>
      </c>
      <c r="BQ60">
        <v>0.54</v>
      </c>
      <c r="BR60">
        <v>6.04</v>
      </c>
      <c r="BS60">
        <v>11.18</v>
      </c>
      <c r="BT60" t="s">
        <v>1280</v>
      </c>
      <c r="BU60" t="s">
        <v>2521</v>
      </c>
      <c r="BV60">
        <v>10.4</v>
      </c>
      <c r="BW60">
        <v>20.329999999999998</v>
      </c>
      <c r="BX60">
        <v>24.73</v>
      </c>
      <c r="BY60">
        <v>1.07</v>
      </c>
      <c r="BZ60">
        <v>7.5</v>
      </c>
      <c r="CA60">
        <v>9.11</v>
      </c>
      <c r="CB60">
        <v>0.33</v>
      </c>
      <c r="CC60">
        <v>-25.55</v>
      </c>
      <c r="CD60" t="s">
        <v>139</v>
      </c>
      <c r="CE60" t="s">
        <v>236</v>
      </c>
      <c r="CF60" s="10">
        <v>-0.88636117430397576</v>
      </c>
      <c r="CG60" s="11">
        <v>-1.1023759826464208</v>
      </c>
      <c r="CH60" s="10">
        <v>6.1133995056152344</v>
      </c>
      <c r="CI60" s="10" t="s">
        <v>5</v>
      </c>
      <c r="CJ60" s="10" t="s">
        <v>5</v>
      </c>
      <c r="CK60" s="10">
        <v>2.3255515843629837E-3</v>
      </c>
      <c r="CL60" s="10">
        <v>-7.3675058782100677E-2</v>
      </c>
      <c r="CM60" s="11">
        <v>5.7357954978942871</v>
      </c>
      <c r="CN60" s="11" t="s">
        <v>5</v>
      </c>
      <c r="CO60" s="11" t="s">
        <v>5</v>
      </c>
      <c r="CP60" s="11" t="s">
        <v>5</v>
      </c>
      <c r="CQ60" s="11" t="s">
        <v>5</v>
      </c>
      <c r="CR60">
        <v>3.9252338597135514</v>
      </c>
      <c r="CS60">
        <v>1.9489579831720834E-2</v>
      </c>
      <c r="CT60">
        <v>0</v>
      </c>
      <c r="CU60" s="10">
        <v>2.0140166661391654</v>
      </c>
      <c r="CV60" s="11">
        <v>5.7357954978942871</v>
      </c>
      <c r="CW60">
        <v>0.06</v>
      </c>
      <c r="CX60">
        <v>0.8081317580151659</v>
      </c>
      <c r="CY60">
        <v>6741729731.5244923</v>
      </c>
      <c r="CZ60">
        <v>2.0140166661391654</v>
      </c>
      <c r="DA60">
        <v>7.3973850221890361E-2</v>
      </c>
      <c r="DB60">
        <v>73650430302.839172</v>
      </c>
      <c r="DC60">
        <v>1.9133158328322071</v>
      </c>
      <c r="DD60">
        <v>4.4482094351704681E-3</v>
      </c>
      <c r="DE60">
        <v>1224808763931.5952</v>
      </c>
      <c r="DF60">
        <v>1.7723346662024655</v>
      </c>
      <c r="DG60">
        <v>1.6589718481299599E-4</v>
      </c>
      <c r="DH60">
        <v>32840858066044.773</v>
      </c>
      <c r="DI60">
        <v>1.6112133329113325</v>
      </c>
      <c r="DJ60">
        <v>9.4638384785299406E-8</v>
      </c>
      <c r="DK60">
        <v>5.75686695452382E+16</v>
      </c>
      <c r="DL60">
        <v>1.4098116662974156</v>
      </c>
      <c r="DM60">
        <v>2371000000</v>
      </c>
      <c r="DN60">
        <v>2.0140166661391654</v>
      </c>
      <c r="DO60">
        <v>5448205900</v>
      </c>
      <c r="DP60">
        <v>6273169000</v>
      </c>
      <c r="DQ60">
        <v>2927</v>
      </c>
      <c r="DR60">
        <v>-2.9003778404431411</v>
      </c>
      <c r="DS60">
        <v>-6.8381714805407077</v>
      </c>
      <c r="DT60" s="12">
        <v>-0.21000000000000008</v>
      </c>
      <c r="DU60">
        <v>-1.7950000000000002</v>
      </c>
      <c r="DV60">
        <v>-2.0050000000000003</v>
      </c>
      <c r="DW60">
        <v>-3.1080059523809522</v>
      </c>
      <c r="DX60">
        <v>0.33962843295637957</v>
      </c>
      <c r="DY60">
        <v>-3.0183208804523427</v>
      </c>
      <c r="DZ60">
        <v>1549</v>
      </c>
      <c r="EA60">
        <v>-3.0127672515246169</v>
      </c>
      <c r="EB60">
        <v>3</v>
      </c>
      <c r="EC60">
        <v>6.0121187135783703E-2</v>
      </c>
      <c r="ED60">
        <v>0.3544287127338106</v>
      </c>
      <c r="EE60" s="13">
        <v>1.01031</v>
      </c>
      <c r="EF60">
        <v>1.02311</v>
      </c>
      <c r="EG60">
        <v>17.16962843295638</v>
      </c>
      <c r="EH60" t="s">
        <v>1301</v>
      </c>
      <c r="EI60">
        <v>0</v>
      </c>
      <c r="EJ60">
        <v>0</v>
      </c>
      <c r="EK60" s="14">
        <v>45470</v>
      </c>
      <c r="EL60">
        <v>0.25</v>
      </c>
      <c r="EM60">
        <v>-1.01</v>
      </c>
      <c r="EN60">
        <v>-1.65</v>
      </c>
      <c r="EO60">
        <v>1.1599999999999999</v>
      </c>
      <c r="EP60">
        <v>-1.28</v>
      </c>
    </row>
    <row r="61" spans="1:146" ht="96" x14ac:dyDescent="0.25">
      <c r="A61" s="9"/>
      <c r="B61" s="9"/>
      <c r="C61" s="9" t="str">
        <f>""&amp;CHAR(10)&amp;Basic_Fundamental_Information_Constructure(F61)&amp;CHAR(10)&amp;Basic_Fundamental_Information_Concatenate("")</f>
        <v xml:space="preserve">
市值24.860915亿, 利润131.04亿; PE; 平均PE.38; 平均PEG0, PB1.38; ROIC0%; ROE-5.7867%; 股利率0%; 毛利10.3733%; 净利-6.5633%; 上一年度营收增32746.37%, 利润增12580%; 当季营收增-99.8%, 利润增-99.26%; 过往5年营收增10918.36%, 利润增12580%
Income profile:
</v>
      </c>
      <c r="D61" t="s">
        <v>817</v>
      </c>
      <c r="E61" t="s">
        <v>818</v>
      </c>
      <c r="F61">
        <v>4.7</v>
      </c>
      <c r="G61">
        <v>1.29</v>
      </c>
      <c r="H61" t="s">
        <v>3190</v>
      </c>
      <c r="I61">
        <v>2486091500</v>
      </c>
      <c r="K61">
        <v>1.38</v>
      </c>
      <c r="L61" t="s">
        <v>973</v>
      </c>
      <c r="M61" t="s">
        <v>1697</v>
      </c>
      <c r="N61" t="s">
        <v>3191</v>
      </c>
      <c r="O61" t="s">
        <v>441</v>
      </c>
      <c r="P61">
        <v>10.49</v>
      </c>
      <c r="Q61" t="s">
        <v>3192</v>
      </c>
      <c r="R61">
        <v>5866239</v>
      </c>
      <c r="S61" s="6">
        <v>1.214</v>
      </c>
      <c r="T61" t="s">
        <v>3193</v>
      </c>
      <c r="U61">
        <v>528955640</v>
      </c>
      <c r="V61">
        <v>528955640</v>
      </c>
      <c r="W61">
        <v>1.78</v>
      </c>
      <c r="X61" t="s">
        <v>5</v>
      </c>
      <c r="Y61">
        <v>1.51</v>
      </c>
      <c r="Z61" t="s">
        <v>5</v>
      </c>
      <c r="AA61" t="s">
        <v>5</v>
      </c>
      <c r="AB61" t="s">
        <v>5</v>
      </c>
      <c r="AC61" t="s">
        <v>5</v>
      </c>
      <c r="AD61" t="s">
        <v>5</v>
      </c>
      <c r="AE61">
        <v>-1552284</v>
      </c>
      <c r="AF61" t="s">
        <v>2250</v>
      </c>
      <c r="AG61" t="s">
        <v>3194</v>
      </c>
      <c r="AH61" t="s">
        <v>2251</v>
      </c>
      <c r="AI61" t="s">
        <v>1632</v>
      </c>
      <c r="AJ61" t="s">
        <v>2252</v>
      </c>
      <c r="AK61" t="s">
        <v>5</v>
      </c>
      <c r="AL61" t="s">
        <v>2253</v>
      </c>
      <c r="AM61" t="s">
        <v>5</v>
      </c>
      <c r="AN61" t="s">
        <v>60</v>
      </c>
      <c r="AO61" t="s">
        <v>5</v>
      </c>
      <c r="AP61" t="s">
        <v>185</v>
      </c>
      <c r="AQ61" t="s">
        <v>574</v>
      </c>
      <c r="AR61" t="s">
        <v>3195</v>
      </c>
      <c r="AS61" t="s">
        <v>5</v>
      </c>
      <c r="AT61" t="s">
        <v>5</v>
      </c>
      <c r="AU61" t="s">
        <v>3196</v>
      </c>
      <c r="AV61" t="s">
        <v>3197</v>
      </c>
      <c r="AW61" t="s">
        <v>3198</v>
      </c>
      <c r="AX61" t="s">
        <v>753</v>
      </c>
      <c r="AY61" t="s">
        <v>5</v>
      </c>
      <c r="AZ61" t="s">
        <v>682</v>
      </c>
      <c r="BA61" t="s">
        <v>515</v>
      </c>
      <c r="BB61" t="s">
        <v>819</v>
      </c>
      <c r="BC61" t="s">
        <v>676</v>
      </c>
      <c r="BD61" t="s">
        <v>5</v>
      </c>
      <c r="BE61" t="s">
        <v>5</v>
      </c>
      <c r="BF61" t="s">
        <v>5</v>
      </c>
      <c r="BG61" t="s">
        <v>5</v>
      </c>
      <c r="BH61" t="s">
        <v>1613</v>
      </c>
      <c r="BI61" t="s">
        <v>3199</v>
      </c>
      <c r="BJ61" t="s">
        <v>753</v>
      </c>
      <c r="BK61" t="s">
        <v>1213</v>
      </c>
      <c r="BL61" t="s">
        <v>151</v>
      </c>
      <c r="BM61" t="s">
        <v>676</v>
      </c>
      <c r="BN61" t="s">
        <v>5</v>
      </c>
      <c r="BO61" t="s">
        <v>5</v>
      </c>
      <c r="BP61" t="s">
        <v>5</v>
      </c>
      <c r="BQ61">
        <v>-4.2</v>
      </c>
      <c r="BR61">
        <v>-5.43</v>
      </c>
      <c r="BS61">
        <v>-7.73</v>
      </c>
      <c r="BT61" t="s">
        <v>1280</v>
      </c>
      <c r="BU61" t="s">
        <v>2521</v>
      </c>
      <c r="BV61">
        <v>9.0399999999999991</v>
      </c>
      <c r="BW61">
        <v>9.7100000000000009</v>
      </c>
      <c r="BX61">
        <v>12.37</v>
      </c>
      <c r="BY61">
        <v>-8.9</v>
      </c>
      <c r="BZ61">
        <v>-4.57</v>
      </c>
      <c r="CA61">
        <v>-6.22</v>
      </c>
      <c r="CB61">
        <v>-2.08</v>
      </c>
      <c r="CC61">
        <v>-16.22</v>
      </c>
      <c r="CD61" t="s">
        <v>3200</v>
      </c>
      <c r="CE61" t="s">
        <v>39</v>
      </c>
      <c r="CF61" s="10">
        <v>-0.99796375362015943</v>
      </c>
      <c r="CG61" s="11">
        <v>-0.99261178967254404</v>
      </c>
      <c r="CH61" s="10">
        <v>327.46368408203125</v>
      </c>
      <c r="CI61" s="10" t="s">
        <v>5</v>
      </c>
      <c r="CJ61" s="10" t="s">
        <v>5</v>
      </c>
      <c r="CK61" s="10">
        <v>6.0790274292230606E-2</v>
      </c>
      <c r="CL61" s="10">
        <v>2.6200791820883751E-2</v>
      </c>
      <c r="CM61" s="11">
        <v>125.80000305175781</v>
      </c>
      <c r="CN61" s="11" t="s">
        <v>5</v>
      </c>
      <c r="CO61" s="11" t="s">
        <v>5</v>
      </c>
      <c r="CP61" s="11" t="s">
        <v>5</v>
      </c>
      <c r="CQ61" s="11" t="s">
        <v>5</v>
      </c>
      <c r="CR61">
        <v>0.38250503884914222</v>
      </c>
      <c r="CS61">
        <v>3.5033208709718861E-5</v>
      </c>
      <c r="CT61">
        <v>0</v>
      </c>
      <c r="CU61" s="10">
        <v>109.18355838271479</v>
      </c>
      <c r="CV61" s="11">
        <v>125.80000305175781</v>
      </c>
      <c r="CW61">
        <v>0.06</v>
      </c>
      <c r="CX61">
        <v>1.5748203168023879E-3</v>
      </c>
      <c r="CY61">
        <v>1362118253818.0137</v>
      </c>
      <c r="CZ61">
        <v>109.18355838271479</v>
      </c>
      <c r="DA61">
        <v>1.6803445471628506E-7</v>
      </c>
      <c r="DB61">
        <v>1.276578368181599E+16</v>
      </c>
      <c r="DC61">
        <v>103.72438046357905</v>
      </c>
      <c r="DD61">
        <v>2.7434018600431087E-13</v>
      </c>
      <c r="DE61">
        <v>7.8190932624296347E+21</v>
      </c>
      <c r="DF61">
        <v>96.081531376789016</v>
      </c>
      <c r="DG61">
        <v>9.9987983462961375E-21</v>
      </c>
      <c r="DH61">
        <v>2.1453492966928447E+29</v>
      </c>
      <c r="DI61">
        <v>87.346846706171846</v>
      </c>
      <c r="DJ61">
        <v>8.63290105796922E-39</v>
      </c>
      <c r="DK61">
        <v>2.4847863836222456E+47</v>
      </c>
      <c r="DL61">
        <v>76.428490867900351</v>
      </c>
      <c r="DM61">
        <v>13104000000</v>
      </c>
      <c r="DN61">
        <v>109.18355838271479</v>
      </c>
      <c r="DO61">
        <v>2145091499.9999998</v>
      </c>
      <c r="DP61">
        <v>1508758600</v>
      </c>
      <c r="DQ61">
        <v>2959</v>
      </c>
      <c r="DR61">
        <v>-110.18152213633495</v>
      </c>
      <c r="DS61">
        <v>-126.79261484143035</v>
      </c>
      <c r="DT61" s="12">
        <v>-0.21000000000000008</v>
      </c>
      <c r="DU61">
        <v>-0.42000000000000015</v>
      </c>
      <c r="DV61">
        <v>-0.63000000000000023</v>
      </c>
      <c r="DW61">
        <v>-3.0024880952380952</v>
      </c>
      <c r="DX61">
        <v>0.45744512820512767</v>
      </c>
      <c r="DY61">
        <v>-3.0003668575213673</v>
      </c>
      <c r="DZ61">
        <v>4989</v>
      </c>
      <c r="EA61">
        <v>-3.0000086868415039</v>
      </c>
      <c r="EB61">
        <v>3</v>
      </c>
      <c r="EC61">
        <v>5.4355786810402477E-2</v>
      </c>
      <c r="ED61">
        <v>0.36865095152402572</v>
      </c>
      <c r="EE61" s="13">
        <v>-4.0077100000000003</v>
      </c>
      <c r="EF61">
        <v>-4.0375100000000002</v>
      </c>
      <c r="EG61">
        <v>31.147445128205128</v>
      </c>
      <c r="EH61" t="s">
        <v>1741</v>
      </c>
      <c r="EI61">
        <v>0</v>
      </c>
      <c r="EJ61">
        <v>0</v>
      </c>
      <c r="EK61" s="14">
        <v>45470</v>
      </c>
      <c r="EL61">
        <v>-0.64</v>
      </c>
      <c r="EM61">
        <v>1.5</v>
      </c>
      <c r="EN61">
        <v>-3.8</v>
      </c>
      <c r="EO61">
        <v>3.07</v>
      </c>
      <c r="EP61">
        <v>-2.98</v>
      </c>
    </row>
    <row r="62" spans="1:146" ht="96" x14ac:dyDescent="0.25">
      <c r="A62" s="9"/>
      <c r="B62" s="9"/>
      <c r="C62" s="9" t="str">
        <f>""&amp;CHAR(10)&amp;Basic_Fundamental_Information_Constructure(F62)&amp;CHAR(10)&amp;Basic_Fundamental_Information_Concatenate("")</f>
        <v xml:space="preserve">
市值15.656873亿, 利润-1.59亿; PE30.07; 平均PE-29.06; 平均PEG-.96, PB1.36; ROIC4.2867%; ROE2.5767%; 股利率0%; 毛利27.0467%; 净利6.6967%; 上一年度营收增-61.97%, 利润增-410.33%; 当季营收增23.12%, 利润增125.24%; 过往5年营收增-30.19%, 利润增-410.33%
Income profile:
</v>
      </c>
      <c r="D62" t="s">
        <v>820</v>
      </c>
      <c r="E62" t="s">
        <v>1663</v>
      </c>
      <c r="F62">
        <v>5.32</v>
      </c>
      <c r="G62">
        <v>0.56999999999999995</v>
      </c>
      <c r="H62" t="s">
        <v>3201</v>
      </c>
      <c r="I62">
        <v>1565687300</v>
      </c>
      <c r="J62">
        <v>30.07</v>
      </c>
      <c r="K62">
        <v>1.36</v>
      </c>
      <c r="L62" t="s">
        <v>973</v>
      </c>
      <c r="M62" t="s">
        <v>195</v>
      </c>
      <c r="N62" t="s">
        <v>1081</v>
      </c>
      <c r="O62" t="s">
        <v>2255</v>
      </c>
      <c r="P62">
        <v>-56.96</v>
      </c>
      <c r="Q62" t="s">
        <v>144</v>
      </c>
      <c r="R62">
        <v>3964826</v>
      </c>
      <c r="S62" s="6">
        <v>-0.68359999999999999</v>
      </c>
      <c r="T62" t="s">
        <v>3083</v>
      </c>
      <c r="U62">
        <v>294302120</v>
      </c>
      <c r="V62">
        <v>294302120</v>
      </c>
      <c r="W62">
        <v>1.1399999999999999</v>
      </c>
      <c r="X62" t="s">
        <v>5</v>
      </c>
      <c r="Y62">
        <v>4.55</v>
      </c>
      <c r="Z62" t="s">
        <v>5</v>
      </c>
      <c r="AA62" t="s">
        <v>5</v>
      </c>
      <c r="AB62" t="s">
        <v>5</v>
      </c>
      <c r="AC62" t="s">
        <v>5</v>
      </c>
      <c r="AD62" t="s">
        <v>5</v>
      </c>
      <c r="AE62">
        <v>-2812861</v>
      </c>
      <c r="AF62" t="s">
        <v>2257</v>
      </c>
      <c r="AG62" t="s">
        <v>3202</v>
      </c>
      <c r="AH62" t="s">
        <v>2258</v>
      </c>
      <c r="AI62" t="s">
        <v>1129</v>
      </c>
      <c r="AJ62" t="s">
        <v>2259</v>
      </c>
      <c r="AK62" t="s">
        <v>5</v>
      </c>
      <c r="AL62" t="s">
        <v>2260</v>
      </c>
      <c r="AM62" t="s">
        <v>5</v>
      </c>
      <c r="AN62" t="s">
        <v>3203</v>
      </c>
      <c r="AO62" t="s">
        <v>5</v>
      </c>
      <c r="AP62" t="s">
        <v>3204</v>
      </c>
      <c r="AQ62" t="s">
        <v>3205</v>
      </c>
      <c r="AR62" t="s">
        <v>3206</v>
      </c>
      <c r="AS62" t="s">
        <v>5</v>
      </c>
      <c r="AT62" t="s">
        <v>5</v>
      </c>
      <c r="AU62" t="s">
        <v>3207</v>
      </c>
      <c r="AV62" t="s">
        <v>3208</v>
      </c>
      <c r="AW62" t="s">
        <v>3209</v>
      </c>
      <c r="AX62" t="s">
        <v>1112</v>
      </c>
      <c r="AY62" t="s">
        <v>5</v>
      </c>
      <c r="AZ62" t="s">
        <v>26</v>
      </c>
      <c r="BA62" t="s">
        <v>481</v>
      </c>
      <c r="BB62" t="s">
        <v>304</v>
      </c>
      <c r="BC62" t="s">
        <v>1410</v>
      </c>
      <c r="BD62" t="s">
        <v>5</v>
      </c>
      <c r="BE62" t="s">
        <v>5</v>
      </c>
      <c r="BF62" t="s">
        <v>5</v>
      </c>
      <c r="BG62" t="s">
        <v>5</v>
      </c>
      <c r="BH62" t="s">
        <v>552</v>
      </c>
      <c r="BI62" t="s">
        <v>3210</v>
      </c>
      <c r="BJ62" t="s">
        <v>1112</v>
      </c>
      <c r="BK62" t="s">
        <v>2256</v>
      </c>
      <c r="BL62" t="s">
        <v>3211</v>
      </c>
      <c r="BM62" t="s">
        <v>1410</v>
      </c>
      <c r="BN62">
        <v>4.17</v>
      </c>
      <c r="BO62">
        <v>8.09</v>
      </c>
      <c r="BP62">
        <v>0.6</v>
      </c>
      <c r="BQ62">
        <v>4.0599999999999996</v>
      </c>
      <c r="BR62">
        <v>5.0199999999999996</v>
      </c>
      <c r="BS62">
        <v>-1.35</v>
      </c>
      <c r="BT62" t="s">
        <v>1280</v>
      </c>
      <c r="BU62" t="s">
        <v>2521</v>
      </c>
      <c r="BV62">
        <v>25.78</v>
      </c>
      <c r="BW62">
        <v>26.8</v>
      </c>
      <c r="BX62">
        <v>28.56</v>
      </c>
      <c r="BY62">
        <v>10.86</v>
      </c>
      <c r="BZ62">
        <v>8.74</v>
      </c>
      <c r="CA62">
        <v>0.49</v>
      </c>
      <c r="CB62">
        <v>-4.32</v>
      </c>
      <c r="CC62">
        <v>-17.13</v>
      </c>
      <c r="CD62" t="s">
        <v>3212</v>
      </c>
      <c r="CE62" t="s">
        <v>3213</v>
      </c>
      <c r="CF62" s="10">
        <v>0.23119231156158043</v>
      </c>
      <c r="CG62" s="11">
        <v>1.2524257491930297</v>
      </c>
      <c r="CH62" s="10">
        <v>-0.61965811252593994</v>
      </c>
      <c r="CI62" s="10" t="s">
        <v>5</v>
      </c>
      <c r="CJ62" s="10" t="s">
        <v>5</v>
      </c>
      <c r="CK62" s="10">
        <v>0.17539863288402557</v>
      </c>
      <c r="CL62" s="10">
        <v>-0.46134969592094421</v>
      </c>
      <c r="CM62" s="11">
        <v>-4.1032743453979492</v>
      </c>
      <c r="CN62" s="11" t="s">
        <v>5</v>
      </c>
      <c r="CO62" s="11" t="s">
        <v>5</v>
      </c>
      <c r="CP62" s="11" t="s">
        <v>5</v>
      </c>
      <c r="CQ62" s="11" t="s">
        <v>5</v>
      </c>
      <c r="CR62">
        <v>-29.057759655839902</v>
      </c>
      <c r="CS62">
        <v>-0.96259270908269401</v>
      </c>
      <c r="CT62">
        <v>0</v>
      </c>
      <c r="CU62" s="10">
        <v>-0.30186972518761951</v>
      </c>
      <c r="CV62" s="11">
        <v>-4.1032743453979492</v>
      </c>
      <c r="CW62">
        <v>0.06</v>
      </c>
      <c r="CX62" t="e">
        <v>#VALUE!</v>
      </c>
      <c r="CY62" t="s">
        <v>947</v>
      </c>
      <c r="CZ62">
        <v>-0.30186972518761951</v>
      </c>
      <c r="DA62" t="e">
        <v>#VALUE!</v>
      </c>
      <c r="DB62" t="s">
        <v>947</v>
      </c>
      <c r="DC62">
        <v>-0.2867762389282385</v>
      </c>
      <c r="DD62" t="e">
        <v>#VALUE!</v>
      </c>
      <c r="DE62" t="s">
        <v>947</v>
      </c>
      <c r="DF62">
        <v>-0.26564535816510515</v>
      </c>
      <c r="DG62" t="e">
        <v>#VALUE!</v>
      </c>
      <c r="DH62" t="s">
        <v>947</v>
      </c>
      <c r="DI62">
        <v>-0.24149578015009562</v>
      </c>
      <c r="DJ62" t="e">
        <v>#VALUE!</v>
      </c>
      <c r="DK62" t="s">
        <v>947</v>
      </c>
      <c r="DL62">
        <v>-0.21130880763133364</v>
      </c>
      <c r="DM62">
        <v>-159000000</v>
      </c>
      <c r="DN62">
        <v>-0.30186972518761951</v>
      </c>
      <c r="DO62">
        <v>655687300</v>
      </c>
      <c r="DP62">
        <v>826906950</v>
      </c>
      <c r="DQ62">
        <v>3036</v>
      </c>
      <c r="DR62">
        <v>0.53306203674919994</v>
      </c>
      <c r="DS62">
        <v>5.3557000945909792</v>
      </c>
      <c r="DT62" s="12">
        <v>-1.1599999999999999</v>
      </c>
      <c r="DU62">
        <v>-3.57</v>
      </c>
      <c r="DV62">
        <v>-4.7299999999999995</v>
      </c>
      <c r="DW62">
        <v>-8.2521891418563929</v>
      </c>
      <c r="DX62">
        <v>0.30104202673328107</v>
      </c>
      <c r="DY62">
        <v>-8.0355692676875528</v>
      </c>
      <c r="DZ62">
        <v>5045</v>
      </c>
      <c r="EA62">
        <v>-8.0004524466535596</v>
      </c>
      <c r="EB62">
        <v>8</v>
      </c>
      <c r="EC62">
        <v>3.9596724617546077E-2</v>
      </c>
      <c r="ED62">
        <v>0.2807441550200182</v>
      </c>
      <c r="EE62" s="13">
        <v>3.0975000000000001</v>
      </c>
      <c r="EF62">
        <v>3.0815000000000001</v>
      </c>
      <c r="EG62">
        <v>16.141042026733281</v>
      </c>
      <c r="EH62" t="s">
        <v>1306</v>
      </c>
      <c r="EI62">
        <v>0</v>
      </c>
      <c r="EJ62">
        <v>0</v>
      </c>
      <c r="EK62" s="14">
        <v>45470</v>
      </c>
      <c r="EL62">
        <v>1.05</v>
      </c>
      <c r="EM62">
        <v>-5.18</v>
      </c>
      <c r="EN62">
        <v>1.64</v>
      </c>
      <c r="EO62">
        <v>1.08</v>
      </c>
      <c r="EP62">
        <v>-1.6</v>
      </c>
    </row>
    <row r="63" spans="1:146" ht="96" x14ac:dyDescent="0.25">
      <c r="A63" s="9"/>
      <c r="B63" s="9"/>
      <c r="C63" s="9" t="str">
        <f>""&amp;CHAR(10)&amp;Basic_Fundamental_Information_Constructure(F63)&amp;CHAR(10)&amp;Basic_Fundamental_Information_Concatenate("")</f>
        <v xml:space="preserve">
市值61.625014亿, 利润3.20亿; PE; 平均PE142.01; 平均PEG9.28, PB2.25; ROIC2.575%; ROE3.06%; 股利率0%; 毛利13.14%; 净利.5967%; 上一年度营收增.32%, 利润增78.77%; 当季营收增-33.65%, 利润增-23.15%; 过往5年营收增15.3%, 利润增-250.71%
Income profile:
</v>
      </c>
      <c r="D63" t="s">
        <v>65</v>
      </c>
      <c r="E63" t="s">
        <v>2</v>
      </c>
      <c r="F63">
        <v>3.7</v>
      </c>
      <c r="G63">
        <v>1.0900000000000001</v>
      </c>
      <c r="H63" t="s">
        <v>3214</v>
      </c>
      <c r="I63">
        <v>6162501400</v>
      </c>
      <c r="K63">
        <v>2.25</v>
      </c>
      <c r="L63" t="s">
        <v>973</v>
      </c>
      <c r="M63" t="s">
        <v>2264</v>
      </c>
      <c r="N63" t="s">
        <v>3215</v>
      </c>
      <c r="O63" t="s">
        <v>214</v>
      </c>
      <c r="P63">
        <v>-28.32</v>
      </c>
      <c r="Q63" t="s">
        <v>2118</v>
      </c>
      <c r="R63">
        <v>33741570</v>
      </c>
      <c r="S63" s="6">
        <v>0.15049999999999999</v>
      </c>
      <c r="T63" t="s">
        <v>473</v>
      </c>
      <c r="U63">
        <v>1665540900</v>
      </c>
      <c r="V63">
        <v>1665540900</v>
      </c>
      <c r="W63">
        <v>2.85</v>
      </c>
      <c r="X63">
        <v>7.0000000000000007E-2</v>
      </c>
      <c r="Y63">
        <v>3.8</v>
      </c>
      <c r="Z63" t="s">
        <v>454</v>
      </c>
      <c r="AA63" t="s">
        <v>51</v>
      </c>
      <c r="AB63" t="s">
        <v>3216</v>
      </c>
      <c r="AC63" t="s">
        <v>3217</v>
      </c>
      <c r="AD63" t="s">
        <v>5</v>
      </c>
      <c r="AE63">
        <v>22889680</v>
      </c>
      <c r="AF63" t="s">
        <v>2267</v>
      </c>
      <c r="AG63" t="s">
        <v>2278</v>
      </c>
      <c r="AH63" t="s">
        <v>2268</v>
      </c>
      <c r="AI63" t="s">
        <v>563</v>
      </c>
      <c r="AJ63" t="s">
        <v>2269</v>
      </c>
      <c r="AK63" t="s">
        <v>1648</v>
      </c>
      <c r="AL63" t="s">
        <v>2270</v>
      </c>
      <c r="AM63" t="s">
        <v>5</v>
      </c>
      <c r="AN63" t="s">
        <v>257</v>
      </c>
      <c r="AO63" t="s">
        <v>951</v>
      </c>
      <c r="AP63" t="s">
        <v>1422</v>
      </c>
      <c r="AQ63" t="s">
        <v>258</v>
      </c>
      <c r="AR63" t="s">
        <v>3218</v>
      </c>
      <c r="AS63" t="s">
        <v>3219</v>
      </c>
      <c r="AT63" t="s">
        <v>3220</v>
      </c>
      <c r="AU63" t="s">
        <v>2439</v>
      </c>
      <c r="AV63" t="s">
        <v>1555</v>
      </c>
      <c r="AW63" t="s">
        <v>161</v>
      </c>
      <c r="AX63" t="s">
        <v>1411</v>
      </c>
      <c r="AY63" t="s">
        <v>1034</v>
      </c>
      <c r="AZ63" t="s">
        <v>404</v>
      </c>
      <c r="BA63" t="s">
        <v>66</v>
      </c>
      <c r="BB63" t="s">
        <v>407</v>
      </c>
      <c r="BC63" t="s">
        <v>499</v>
      </c>
      <c r="BD63" t="s">
        <v>1035</v>
      </c>
      <c r="BE63" t="s">
        <v>405</v>
      </c>
      <c r="BF63" t="s">
        <v>67</v>
      </c>
      <c r="BG63" t="s">
        <v>408</v>
      </c>
      <c r="BH63" t="s">
        <v>2265</v>
      </c>
      <c r="BI63" t="s">
        <v>449</v>
      </c>
      <c r="BJ63" t="s">
        <v>1411</v>
      </c>
      <c r="BK63" t="s">
        <v>2266</v>
      </c>
      <c r="BL63" t="s">
        <v>3221</v>
      </c>
      <c r="BM63" t="s">
        <v>499</v>
      </c>
      <c r="BN63" t="s">
        <v>5</v>
      </c>
      <c r="BO63">
        <v>4.84</v>
      </c>
      <c r="BP63">
        <v>0.31</v>
      </c>
      <c r="BQ63">
        <v>0.93</v>
      </c>
      <c r="BR63">
        <v>6.61</v>
      </c>
      <c r="BS63">
        <v>1.64</v>
      </c>
      <c r="BT63" t="s">
        <v>1280</v>
      </c>
      <c r="BU63" t="s">
        <v>2521</v>
      </c>
      <c r="BV63">
        <v>9.6999999999999993</v>
      </c>
      <c r="BW63">
        <v>15.09</v>
      </c>
      <c r="BX63">
        <v>14.63</v>
      </c>
      <c r="BY63">
        <v>-3.66</v>
      </c>
      <c r="BZ63">
        <v>5.28</v>
      </c>
      <c r="CA63">
        <v>0.17</v>
      </c>
      <c r="CB63">
        <v>-1.86</v>
      </c>
      <c r="CC63">
        <v>-20.77</v>
      </c>
      <c r="CD63" t="s">
        <v>3222</v>
      </c>
      <c r="CE63" t="s">
        <v>527</v>
      </c>
      <c r="CF63" s="10">
        <v>-0.33645833333333336</v>
      </c>
      <c r="CG63" s="11">
        <v>-0.23151660224977053</v>
      </c>
      <c r="CH63" s="10">
        <v>3.1695722136646509E-3</v>
      </c>
      <c r="CI63" s="10">
        <v>0.23765930533409119</v>
      </c>
      <c r="CJ63" s="10">
        <v>0.20149262249469757</v>
      </c>
      <c r="CK63" s="10">
        <v>0.22403840720653534</v>
      </c>
      <c r="CL63" s="10">
        <v>9.8785035312175751E-2</v>
      </c>
      <c r="CM63" s="11">
        <v>0.78770947456359863</v>
      </c>
      <c r="CN63" s="11">
        <v>3.2435464859008789</v>
      </c>
      <c r="CO63" s="11">
        <v>-0.23955009877681732</v>
      </c>
      <c r="CP63" s="11">
        <v>1.154942512512207</v>
      </c>
      <c r="CQ63" s="11">
        <v>-17.481973648071289</v>
      </c>
      <c r="CR63">
        <v>142.00849861620958</v>
      </c>
      <c r="CS63">
        <v>9.2798429890201906</v>
      </c>
      <c r="CT63">
        <v>0</v>
      </c>
      <c r="CU63" s="10">
        <v>0.1530289885122329</v>
      </c>
      <c r="CV63" s="11">
        <v>-2.5070650547742845</v>
      </c>
      <c r="CW63">
        <v>0.06</v>
      </c>
      <c r="CX63">
        <v>24.765561986733211</v>
      </c>
      <c r="CY63">
        <v>348084222.9470892</v>
      </c>
      <c r="CZ63">
        <v>0.1530289885122329</v>
      </c>
      <c r="DA63">
        <v>7.6755130779030409</v>
      </c>
      <c r="DB63">
        <v>1123117283.8226902</v>
      </c>
      <c r="DC63">
        <v>0.14537753908662124</v>
      </c>
      <c r="DD63">
        <v>3.5142607390577902</v>
      </c>
      <c r="DE63">
        <v>2453005636.2042294</v>
      </c>
      <c r="DF63">
        <v>0.13466550989076495</v>
      </c>
      <c r="DG63">
        <v>1.9402322792890994</v>
      </c>
      <c r="DH63">
        <v>4443025452.1683092</v>
      </c>
      <c r="DI63">
        <v>0.12242319080978632</v>
      </c>
      <c r="DJ63">
        <v>0.82688623351984536</v>
      </c>
      <c r="DK63">
        <v>10425256886.070902</v>
      </c>
      <c r="DL63">
        <v>0.10712029195856303</v>
      </c>
      <c r="DM63">
        <v>320000000</v>
      </c>
      <c r="DN63">
        <v>0.1530289885122329</v>
      </c>
      <c r="DO63">
        <v>8620501400</v>
      </c>
      <c r="DP63">
        <v>-956553299.99999952</v>
      </c>
      <c r="DQ63">
        <v>3203</v>
      </c>
      <c r="DR63">
        <v>-0.48948732184556626</v>
      </c>
      <c r="DS63">
        <v>2.275548452524514</v>
      </c>
      <c r="DT63" s="12">
        <v>-4.0000000000000036E-2</v>
      </c>
      <c r="DU63">
        <v>-0.2400000000000001</v>
      </c>
      <c r="DV63">
        <v>-0.28000000000000014</v>
      </c>
      <c r="DW63">
        <v>-3.0539464285714284</v>
      </c>
      <c r="DX63">
        <v>0.33656382575757604</v>
      </c>
      <c r="DY63">
        <v>-3.0046698092431008</v>
      </c>
      <c r="DZ63">
        <v>2802</v>
      </c>
      <c r="EA63">
        <v>-3.0021091819438506</v>
      </c>
      <c r="EB63">
        <v>3</v>
      </c>
      <c r="EC63">
        <v>2.7441955943561639E-2</v>
      </c>
      <c r="ED63">
        <v>0.31701413036449599</v>
      </c>
      <c r="EE63" s="13">
        <v>-1.0451999999999999</v>
      </c>
      <c r="EF63">
        <v>-1.0243</v>
      </c>
      <c r="EG63">
        <v>25.086563825757576</v>
      </c>
      <c r="EH63" t="s">
        <v>1300</v>
      </c>
      <c r="EI63">
        <v>0</v>
      </c>
      <c r="EJ63">
        <v>0</v>
      </c>
      <c r="EK63" s="14">
        <v>45470</v>
      </c>
      <c r="EL63">
        <v>0.83</v>
      </c>
      <c r="EM63">
        <v>-3.31</v>
      </c>
      <c r="EN63">
        <v>0.43</v>
      </c>
      <c r="EO63">
        <v>1.7</v>
      </c>
      <c r="EP63">
        <v>-2.09</v>
      </c>
    </row>
    <row r="64" spans="1:146" ht="96" x14ac:dyDescent="0.25">
      <c r="A64" s="9"/>
      <c r="B64" s="9"/>
      <c r="C64" s="9" t="str">
        <f>""&amp;CHAR(10)&amp;Basic_Fundamental_Information_Constructure(F64)&amp;CHAR(10)&amp;Basic_Fundamental_Information_Concatenate("")</f>
        <v xml:space="preserve">
市值10.3315708亿, 利润10.61亿; PE; 平均PE7.08; 平均PEG.03, PB1.57; ROIC0%; ROE-2.69%; 股利率0%; 毛利9.24%; 净利-4.46%; 上一年度营收增1400.43%, 利润增3346.32%; 当季营收增-87.62%, 利润增-102.67%; 过往5年营收增276.27%, 利润增563.76%
Income profile:
</v>
      </c>
      <c r="D64" t="s">
        <v>822</v>
      </c>
      <c r="E64" t="s">
        <v>823</v>
      </c>
      <c r="F64">
        <v>6.74</v>
      </c>
      <c r="G64">
        <v>0.3</v>
      </c>
      <c r="H64" t="s">
        <v>3223</v>
      </c>
      <c r="I64">
        <v>1033157080</v>
      </c>
      <c r="K64">
        <v>1.57</v>
      </c>
      <c r="L64" t="s">
        <v>973</v>
      </c>
      <c r="M64" t="s">
        <v>2273</v>
      </c>
      <c r="N64" t="s">
        <v>460</v>
      </c>
      <c r="O64" t="s">
        <v>97</v>
      </c>
      <c r="P64">
        <v>-7.67</v>
      </c>
      <c r="Q64" t="s">
        <v>3224</v>
      </c>
      <c r="R64">
        <v>-6854983</v>
      </c>
      <c r="S64" s="7">
        <v>-1.0640000000000001</v>
      </c>
      <c r="T64" t="s">
        <v>580</v>
      </c>
      <c r="U64">
        <v>153287400</v>
      </c>
      <c r="V64">
        <v>153287400</v>
      </c>
      <c r="W64">
        <v>1.0900000000000001</v>
      </c>
      <c r="X64">
        <v>0.17</v>
      </c>
      <c r="Y64">
        <v>-5.55</v>
      </c>
      <c r="Z64" t="s">
        <v>77</v>
      </c>
      <c r="AA64" t="s">
        <v>104</v>
      </c>
      <c r="AB64" t="s">
        <v>3225</v>
      </c>
      <c r="AC64" t="s">
        <v>3226</v>
      </c>
      <c r="AD64" t="s">
        <v>5</v>
      </c>
      <c r="AE64">
        <v>-27485</v>
      </c>
      <c r="AF64" t="s">
        <v>27</v>
      </c>
      <c r="AG64" t="s">
        <v>3227</v>
      </c>
      <c r="AH64" t="s">
        <v>2275</v>
      </c>
      <c r="AI64" t="s">
        <v>3228</v>
      </c>
      <c r="AJ64" t="s">
        <v>2276</v>
      </c>
      <c r="AK64" t="s">
        <v>5</v>
      </c>
      <c r="AL64" t="s">
        <v>2277</v>
      </c>
      <c r="AM64" t="s">
        <v>5</v>
      </c>
      <c r="AN64" t="s">
        <v>3229</v>
      </c>
      <c r="AO64" t="s">
        <v>5</v>
      </c>
      <c r="AP64" t="s">
        <v>5</v>
      </c>
      <c r="AQ64" t="s">
        <v>3230</v>
      </c>
      <c r="AR64" t="s">
        <v>5</v>
      </c>
      <c r="AS64" t="s">
        <v>3231</v>
      </c>
      <c r="AT64" t="s">
        <v>5</v>
      </c>
      <c r="AU64" t="s">
        <v>3232</v>
      </c>
      <c r="AV64" t="s">
        <v>3233</v>
      </c>
      <c r="AW64" t="s">
        <v>5</v>
      </c>
      <c r="AX64" t="s">
        <v>574</v>
      </c>
      <c r="AY64" t="s">
        <v>285</v>
      </c>
      <c r="AZ64" t="s">
        <v>134</v>
      </c>
      <c r="BA64" t="s">
        <v>557</v>
      </c>
      <c r="BB64" t="s">
        <v>496</v>
      </c>
      <c r="BC64" t="s">
        <v>1413</v>
      </c>
      <c r="BD64" t="s">
        <v>1036</v>
      </c>
      <c r="BE64" t="s">
        <v>824</v>
      </c>
      <c r="BF64" t="s">
        <v>825</v>
      </c>
      <c r="BG64" t="s">
        <v>826</v>
      </c>
      <c r="BH64" t="s">
        <v>316</v>
      </c>
      <c r="BI64" t="s">
        <v>1005</v>
      </c>
      <c r="BJ64" t="s">
        <v>574</v>
      </c>
      <c r="BK64" t="s">
        <v>2274</v>
      </c>
      <c r="BL64" t="s">
        <v>380</v>
      </c>
      <c r="BM64" t="s">
        <v>1413</v>
      </c>
      <c r="BN64" t="s">
        <v>5</v>
      </c>
      <c r="BO64" t="s">
        <v>5</v>
      </c>
      <c r="BP64" t="s">
        <v>5</v>
      </c>
      <c r="BQ64">
        <v>-1.95</v>
      </c>
      <c r="BR64">
        <v>-4.7300000000000004</v>
      </c>
      <c r="BS64">
        <v>-1.39</v>
      </c>
      <c r="BT64" t="s">
        <v>1280</v>
      </c>
      <c r="BU64" t="s">
        <v>2631</v>
      </c>
      <c r="BV64">
        <v>8.5500000000000007</v>
      </c>
      <c r="BW64">
        <v>8.1999999999999993</v>
      </c>
      <c r="BX64">
        <v>10.97</v>
      </c>
      <c r="BY64">
        <v>-4.7300000000000004</v>
      </c>
      <c r="BZ64">
        <v>-6.96</v>
      </c>
      <c r="CA64">
        <v>-1.69</v>
      </c>
      <c r="CB64">
        <v>6.14</v>
      </c>
      <c r="CC64">
        <v>-10.130000000000001</v>
      </c>
      <c r="CD64" t="s">
        <v>3234</v>
      </c>
      <c r="CE64" t="s">
        <v>142</v>
      </c>
      <c r="CF64" s="10">
        <v>-0.87624750499001991</v>
      </c>
      <c r="CG64" s="11">
        <v>-1.0266730856031128</v>
      </c>
      <c r="CH64" s="10">
        <v>14.004255294799805</v>
      </c>
      <c r="CI64" s="10">
        <v>-0.17688266932964325</v>
      </c>
      <c r="CJ64" s="10">
        <v>-2.7257239446043968E-2</v>
      </c>
      <c r="CK64" s="10">
        <v>6.3405796885490417E-2</v>
      </c>
      <c r="CL64" s="10">
        <v>-4.9913942813873291E-2</v>
      </c>
      <c r="CM64" s="11">
        <v>33.463161468505859</v>
      </c>
      <c r="CN64" s="11">
        <v>-2.3804845809936523</v>
      </c>
      <c r="CO64" s="11">
        <v>-3.403350830078125</v>
      </c>
      <c r="CP64" s="11">
        <v>-0.54836028814315796</v>
      </c>
      <c r="CQ64" s="11">
        <v>1.0570968389511108</v>
      </c>
      <c r="CR64">
        <v>7.0798249157556974</v>
      </c>
      <c r="CS64">
        <v>2.5626271229160238E-2</v>
      </c>
      <c r="CT64">
        <v>0</v>
      </c>
      <c r="CU64" s="10">
        <v>2.7627214480191471</v>
      </c>
      <c r="CV64" s="11">
        <v>5.637612521648407</v>
      </c>
      <c r="CW64">
        <v>0.06</v>
      </c>
      <c r="CX64">
        <v>0.11506807627105169</v>
      </c>
      <c r="CY64">
        <v>3766271185.2342596</v>
      </c>
      <c r="CZ64">
        <v>2.7627214480191471</v>
      </c>
      <c r="DA64">
        <v>7.4140081333657886E-3</v>
      </c>
      <c r="DB64">
        <v>58453885159.585953</v>
      </c>
      <c r="DC64">
        <v>2.6245853756181896</v>
      </c>
      <c r="DD64">
        <v>2.4559159214759211E-4</v>
      </c>
      <c r="DE64">
        <v>1764627103926.0781</v>
      </c>
      <c r="DF64">
        <v>2.4311948742568497</v>
      </c>
      <c r="DG64">
        <v>4.2157188730488614E-6</v>
      </c>
      <c r="DH64">
        <v>102800398473102.12</v>
      </c>
      <c r="DI64">
        <v>2.2101771584153176</v>
      </c>
      <c r="DJ64">
        <v>3.7466998297965514E-10</v>
      </c>
      <c r="DK64">
        <v>1.1566914876752556E+18</v>
      </c>
      <c r="DL64">
        <v>1.9339050136134028</v>
      </c>
      <c r="DM64">
        <v>1061000000</v>
      </c>
      <c r="DN64">
        <v>2.7627214480191471</v>
      </c>
      <c r="DO64">
        <v>433377580</v>
      </c>
      <c r="DP64">
        <v>470071120</v>
      </c>
      <c r="DQ64">
        <v>3515</v>
      </c>
      <c r="DR64">
        <v>-3.6389689530091669</v>
      </c>
      <c r="DS64">
        <v>-6.6642856072515197</v>
      </c>
      <c r="DT64" s="12">
        <v>-0.29000000000000004</v>
      </c>
      <c r="DU64">
        <v>-1.915</v>
      </c>
      <c r="DV64">
        <v>-2.2050000000000001</v>
      </c>
      <c r="DW64">
        <v>7.377381684081131</v>
      </c>
      <c r="DX64">
        <v>0.39675247524752411</v>
      </c>
      <c r="DY64">
        <v>7.0893460478192871</v>
      </c>
      <c r="DZ64">
        <v>2140</v>
      </c>
      <c r="EA64">
        <v>7.0519291119419343</v>
      </c>
      <c r="EB64">
        <v>7</v>
      </c>
      <c r="EC64">
        <v>0.15599455663022532</v>
      </c>
      <c r="ED64">
        <v>0.65889303360876372</v>
      </c>
      <c r="EE64" s="13">
        <v>4.0263099999999996</v>
      </c>
      <c r="EF64">
        <v>4.0421100000000001</v>
      </c>
      <c r="EG64">
        <v>16.236752475247524</v>
      </c>
      <c r="EH64" t="s">
        <v>1578</v>
      </c>
      <c r="EI64">
        <v>1</v>
      </c>
      <c r="EJ64">
        <v>0</v>
      </c>
      <c r="EK64" s="14">
        <v>45470</v>
      </c>
      <c r="EL64">
        <v>1.1100000000000001</v>
      </c>
      <c r="EM64">
        <v>-4.96</v>
      </c>
      <c r="EN64">
        <v>-1.1599999999999999</v>
      </c>
      <c r="EO64">
        <v>1.91</v>
      </c>
      <c r="EP64">
        <v>-1.58</v>
      </c>
    </row>
    <row r="65" spans="1:146" ht="168" x14ac:dyDescent="0.25">
      <c r="A65" s="9" t="s">
        <v>1108</v>
      </c>
      <c r="B65" s="9" t="s">
        <v>1109</v>
      </c>
      <c r="C65" s="9" t="s">
        <v>1235</v>
      </c>
      <c r="D65" t="s">
        <v>827</v>
      </c>
      <c r="E65" t="s">
        <v>3235</v>
      </c>
      <c r="F65">
        <v>7.77</v>
      </c>
      <c r="G65">
        <v>1.04</v>
      </c>
      <c r="H65" t="s">
        <v>3236</v>
      </c>
      <c r="I65">
        <v>17512350000</v>
      </c>
      <c r="J65">
        <v>146.6</v>
      </c>
      <c r="K65">
        <v>0.77100000000000002</v>
      </c>
      <c r="L65" t="s">
        <v>973</v>
      </c>
      <c r="M65" t="s">
        <v>2279</v>
      </c>
      <c r="N65" t="s">
        <v>3237</v>
      </c>
      <c r="O65" t="s">
        <v>2117</v>
      </c>
      <c r="P65">
        <v>-15.67</v>
      </c>
      <c r="Q65" t="s">
        <v>2286</v>
      </c>
      <c r="R65">
        <v>-73281826</v>
      </c>
      <c r="S65" s="6">
        <v>-1.1279999999999999</v>
      </c>
      <c r="T65" t="s">
        <v>2013</v>
      </c>
      <c r="U65">
        <v>1757236500</v>
      </c>
      <c r="V65">
        <v>2253841700</v>
      </c>
      <c r="W65">
        <v>2.1</v>
      </c>
      <c r="X65">
        <v>0.08</v>
      </c>
      <c r="Y65">
        <v>-2.33</v>
      </c>
      <c r="Z65" t="s">
        <v>2313</v>
      </c>
      <c r="AA65" t="s">
        <v>3238</v>
      </c>
      <c r="AB65" t="s">
        <v>3239</v>
      </c>
      <c r="AC65" t="s">
        <v>203</v>
      </c>
      <c r="AD65" t="s">
        <v>5</v>
      </c>
      <c r="AE65">
        <v>114156084</v>
      </c>
      <c r="AF65" t="s">
        <v>2281</v>
      </c>
      <c r="AG65" t="s">
        <v>3240</v>
      </c>
      <c r="AH65" t="s">
        <v>2282</v>
      </c>
      <c r="AI65" t="s">
        <v>3241</v>
      </c>
      <c r="AJ65" t="s">
        <v>2283</v>
      </c>
      <c r="AK65" t="s">
        <v>185</v>
      </c>
      <c r="AL65" t="s">
        <v>2284</v>
      </c>
      <c r="AM65" t="s">
        <v>5</v>
      </c>
      <c r="AN65" t="s">
        <v>3242</v>
      </c>
      <c r="AO65" t="s">
        <v>3243</v>
      </c>
      <c r="AP65" t="s">
        <v>1929</v>
      </c>
      <c r="AQ65" t="s">
        <v>3238</v>
      </c>
      <c r="AR65" t="s">
        <v>3244</v>
      </c>
      <c r="AS65" t="s">
        <v>3245</v>
      </c>
      <c r="AT65" t="s">
        <v>3246</v>
      </c>
      <c r="AU65" t="s">
        <v>326</v>
      </c>
      <c r="AV65" t="s">
        <v>3247</v>
      </c>
      <c r="AW65" t="s">
        <v>3248</v>
      </c>
      <c r="AX65" t="s">
        <v>1415</v>
      </c>
      <c r="AY65" t="s">
        <v>1037</v>
      </c>
      <c r="AZ65" t="s">
        <v>828</v>
      </c>
      <c r="BA65" t="s">
        <v>829</v>
      </c>
      <c r="BB65" t="s">
        <v>830</v>
      </c>
      <c r="BC65" t="s">
        <v>956</v>
      </c>
      <c r="BD65" t="s">
        <v>1038</v>
      </c>
      <c r="BE65" t="s">
        <v>37</v>
      </c>
      <c r="BF65" t="s">
        <v>153</v>
      </c>
      <c r="BG65" t="s">
        <v>584</v>
      </c>
      <c r="BH65" t="s">
        <v>2280</v>
      </c>
      <c r="BI65" t="s">
        <v>1552</v>
      </c>
      <c r="BJ65" t="s">
        <v>1415</v>
      </c>
      <c r="BK65" t="s">
        <v>1712</v>
      </c>
      <c r="BL65" t="s">
        <v>42</v>
      </c>
      <c r="BM65" t="s">
        <v>956</v>
      </c>
      <c r="BN65">
        <v>3.9</v>
      </c>
      <c r="BO65">
        <v>9.3800000000000008</v>
      </c>
      <c r="BP65">
        <v>15.21</v>
      </c>
      <c r="BQ65">
        <v>5.18</v>
      </c>
      <c r="BR65">
        <v>12.93</v>
      </c>
      <c r="BS65">
        <v>23.75</v>
      </c>
      <c r="BT65" t="s">
        <v>1283</v>
      </c>
      <c r="BU65" t="s">
        <v>2508</v>
      </c>
      <c r="BV65">
        <v>16.22</v>
      </c>
      <c r="BW65">
        <v>24.03</v>
      </c>
      <c r="BX65">
        <v>25.03</v>
      </c>
      <c r="BY65">
        <v>4.01</v>
      </c>
      <c r="BZ65">
        <v>13.02</v>
      </c>
      <c r="CA65">
        <v>17.25</v>
      </c>
      <c r="CB65">
        <v>-4.3099999999999996</v>
      </c>
      <c r="CC65">
        <v>-27.11</v>
      </c>
      <c r="CD65" t="s">
        <v>3249</v>
      </c>
      <c r="CE65" t="s">
        <v>1139</v>
      </c>
      <c r="CF65" s="10">
        <v>0.14950980392156876</v>
      </c>
      <c r="CG65" s="11">
        <v>-1.2220661393939394</v>
      </c>
      <c r="CH65" s="10">
        <v>-0.40420240163803101</v>
      </c>
      <c r="CI65" s="10">
        <v>4.8456434160470963E-2</v>
      </c>
      <c r="CJ65" s="10">
        <v>1.5193525552749634</v>
      </c>
      <c r="CK65" s="10">
        <v>-5.345616489648819E-2</v>
      </c>
      <c r="CL65" s="10">
        <v>-1.9541477784514427E-2</v>
      </c>
      <c r="CM65" s="11">
        <v>-0.48234859108924866</v>
      </c>
      <c r="CN65" s="11">
        <v>-0.19431136548519135</v>
      </c>
      <c r="CO65" s="11">
        <v>23.202898025512695</v>
      </c>
      <c r="CP65" s="11">
        <v>-0.48888888955116272</v>
      </c>
      <c r="CQ65" s="11">
        <v>-0.75784754753112793</v>
      </c>
      <c r="CR65">
        <v>11.744059461271934</v>
      </c>
      <c r="CS65">
        <v>0.53841752875126525</v>
      </c>
      <c r="CT65">
        <v>2.574002574002574</v>
      </c>
      <c r="CU65" s="10">
        <v>0.21812178902328014</v>
      </c>
      <c r="CV65" s="11">
        <v>4.2559003263711928</v>
      </c>
      <c r="CW65">
        <v>0.06</v>
      </c>
      <c r="CX65">
        <v>11.696900286202691</v>
      </c>
      <c r="CY65">
        <v>1600795898.2164423</v>
      </c>
      <c r="CZ65">
        <v>0.21812178902328014</v>
      </c>
      <c r="DA65">
        <v>3.4350374826706895</v>
      </c>
      <c r="DB65">
        <v>5450988553.8256493</v>
      </c>
      <c r="DC65">
        <v>0.20721569957211614</v>
      </c>
      <c r="DD65">
        <v>1.4564474573530148</v>
      </c>
      <c r="DE65">
        <v>12856179538.416111</v>
      </c>
      <c r="DF65">
        <v>0.19194717434048653</v>
      </c>
      <c r="DG65">
        <v>0.73243290735314348</v>
      </c>
      <c r="DH65">
        <v>25564594124.622025</v>
      </c>
      <c r="DI65">
        <v>0.17449743121862413</v>
      </c>
      <c r="DJ65">
        <v>0.24864606023207689</v>
      </c>
      <c r="DK65">
        <v>75305235009.649445</v>
      </c>
      <c r="DL65">
        <v>0.15268525231629609</v>
      </c>
      <c r="DM65">
        <v>1393000000</v>
      </c>
      <c r="DN65">
        <v>0.21812178902328014</v>
      </c>
      <c r="DO65">
        <v>18724350000</v>
      </c>
      <c r="DP65">
        <v>3771147999.9999981</v>
      </c>
      <c r="DQ65">
        <v>3547</v>
      </c>
      <c r="DR65">
        <v>-6.8611985101711376E-2</v>
      </c>
      <c r="DS65">
        <v>-5.4779664657651317</v>
      </c>
      <c r="DT65" s="12">
        <v>-0.34</v>
      </c>
      <c r="DU65">
        <v>-1.1633333333333333</v>
      </c>
      <c r="DV65">
        <v>-1.5033333333333334</v>
      </c>
      <c r="DW65">
        <v>-8.1589819254887495</v>
      </c>
      <c r="DX65">
        <v>0.29526421052631513</v>
      </c>
      <c r="DY65">
        <v>-8.026274022403852</v>
      </c>
      <c r="DZ65">
        <v>421</v>
      </c>
      <c r="EA65">
        <v>-8.0241093720257659</v>
      </c>
      <c r="EB65">
        <v>8</v>
      </c>
      <c r="EC65">
        <v>4.179557064721981E-2</v>
      </c>
      <c r="ED65">
        <v>0.25290152365181634</v>
      </c>
      <c r="EE65" s="13">
        <v>-3.0036100000000001</v>
      </c>
      <c r="EF65">
        <v>-3.0304099999999998</v>
      </c>
      <c r="EG65">
        <v>13.165264210526315</v>
      </c>
      <c r="EH65" t="s">
        <v>1597</v>
      </c>
      <c r="EI65">
        <v>0</v>
      </c>
      <c r="EJ65">
        <v>1</v>
      </c>
      <c r="EK65" s="14">
        <v>45470</v>
      </c>
      <c r="EL65">
        <v>0.34</v>
      </c>
      <c r="EM65">
        <v>-1.53</v>
      </c>
      <c r="EN65">
        <v>10</v>
      </c>
      <c r="EO65">
        <v>-0.47</v>
      </c>
      <c r="EP65">
        <v>-2.68</v>
      </c>
    </row>
    <row r="66" spans="1:146" ht="96" x14ac:dyDescent="0.25">
      <c r="A66" s="9"/>
      <c r="B66" s="9"/>
      <c r="C66" s="9" t="str">
        <f>""&amp;CHAR(10)&amp;Basic_Fundamental_Information_Constructure(F66)&amp;CHAR(10)&amp;Basic_Fundamental_Information_Concatenate("")</f>
        <v xml:space="preserve">
市值88.103273亿, 利润856.65亿; PE15.61; 平均PE.6; 平均PEG0, PB.935; ROIC5.81%; ROE6.78%; 股利率3.5952%; 毛利15.4133%; 净利4.7667%; 上一年度营收增6706.62%, 利润增18126.59%; 当季营收增-98.64%, 利润增-99.59%; 过往5年营收增1349.6%, 利润增3625.62%
Income profile:
</v>
      </c>
      <c r="D66" t="s">
        <v>831</v>
      </c>
      <c r="E66" t="s">
        <v>832</v>
      </c>
      <c r="F66">
        <v>7.51</v>
      </c>
      <c r="G66">
        <v>0.81</v>
      </c>
      <c r="H66" t="s">
        <v>3250</v>
      </c>
      <c r="I66">
        <v>8810327300</v>
      </c>
      <c r="J66">
        <v>15.61</v>
      </c>
      <c r="K66">
        <v>0.93500000000000005</v>
      </c>
      <c r="L66" t="s">
        <v>973</v>
      </c>
      <c r="M66" t="s">
        <v>659</v>
      </c>
      <c r="N66" t="s">
        <v>3251</v>
      </c>
      <c r="O66" t="s">
        <v>1201</v>
      </c>
      <c r="P66">
        <v>4.84</v>
      </c>
      <c r="Q66" t="s">
        <v>3252</v>
      </c>
      <c r="R66">
        <v>155820160</v>
      </c>
      <c r="S66" s="6">
        <v>-4.8599999999999997E-2</v>
      </c>
      <c r="T66" t="s">
        <v>3253</v>
      </c>
      <c r="U66">
        <v>1173146120</v>
      </c>
      <c r="V66">
        <v>1173146120</v>
      </c>
      <c r="W66">
        <v>1.5</v>
      </c>
      <c r="X66">
        <v>0.24</v>
      </c>
      <c r="Y66">
        <v>4.49</v>
      </c>
      <c r="Z66" t="s">
        <v>3254</v>
      </c>
      <c r="AA66" t="s">
        <v>3255</v>
      </c>
      <c r="AB66" t="s">
        <v>115</v>
      </c>
      <c r="AC66" t="s">
        <v>72</v>
      </c>
      <c r="AD66" t="s">
        <v>5</v>
      </c>
      <c r="AE66">
        <v>21366700</v>
      </c>
      <c r="AF66" t="s">
        <v>2289</v>
      </c>
      <c r="AG66" t="s">
        <v>3256</v>
      </c>
      <c r="AH66" t="s">
        <v>2290</v>
      </c>
      <c r="AI66" t="s">
        <v>3257</v>
      </c>
      <c r="AJ66" t="s">
        <v>2291</v>
      </c>
      <c r="AK66" t="s">
        <v>49</v>
      </c>
      <c r="AL66" t="s">
        <v>2292</v>
      </c>
      <c r="AM66" t="s">
        <v>5</v>
      </c>
      <c r="AN66" t="s">
        <v>371</v>
      </c>
      <c r="AO66" t="s">
        <v>3258</v>
      </c>
      <c r="AP66" t="s">
        <v>1140</v>
      </c>
      <c r="AQ66" t="s">
        <v>554</v>
      </c>
      <c r="AR66" t="s">
        <v>5</v>
      </c>
      <c r="AS66" t="s">
        <v>3259</v>
      </c>
      <c r="AT66" t="s">
        <v>335</v>
      </c>
      <c r="AU66" t="s">
        <v>1705</v>
      </c>
      <c r="AV66" t="s">
        <v>3260</v>
      </c>
      <c r="AW66" t="s">
        <v>178</v>
      </c>
      <c r="AX66" t="s">
        <v>1416</v>
      </c>
      <c r="AY66" t="s">
        <v>1039</v>
      </c>
      <c r="AZ66" t="s">
        <v>833</v>
      </c>
      <c r="BA66" t="s">
        <v>834</v>
      </c>
      <c r="BB66" t="s">
        <v>835</v>
      </c>
      <c r="BC66" t="s">
        <v>574</v>
      </c>
      <c r="BD66" t="s">
        <v>388</v>
      </c>
      <c r="BE66" t="s">
        <v>262</v>
      </c>
      <c r="BF66" t="s">
        <v>162</v>
      </c>
      <c r="BG66" t="s">
        <v>340</v>
      </c>
      <c r="BH66" t="s">
        <v>2288</v>
      </c>
      <c r="BI66" t="s">
        <v>3261</v>
      </c>
      <c r="BJ66" t="s">
        <v>1416</v>
      </c>
      <c r="BK66" t="s">
        <v>223</v>
      </c>
      <c r="BL66" t="s">
        <v>3262</v>
      </c>
      <c r="BM66" t="s">
        <v>574</v>
      </c>
      <c r="BN66">
        <v>3.95</v>
      </c>
      <c r="BO66">
        <v>4.78</v>
      </c>
      <c r="BP66">
        <v>8.6999999999999993</v>
      </c>
      <c r="BQ66">
        <v>4.42</v>
      </c>
      <c r="BR66">
        <v>5.37</v>
      </c>
      <c r="BS66">
        <v>10.55</v>
      </c>
      <c r="BT66" t="s">
        <v>1345</v>
      </c>
      <c r="BU66" t="s">
        <v>2631</v>
      </c>
      <c r="BV66">
        <v>15.05</v>
      </c>
      <c r="BW66">
        <v>14.24</v>
      </c>
      <c r="BX66">
        <v>16.95</v>
      </c>
      <c r="BY66">
        <v>4.07</v>
      </c>
      <c r="BZ66">
        <v>3.4</v>
      </c>
      <c r="CA66">
        <v>6.83</v>
      </c>
      <c r="CB66">
        <v>-3.1</v>
      </c>
      <c r="CC66">
        <v>-8.19</v>
      </c>
      <c r="CD66" t="s">
        <v>3263</v>
      </c>
      <c r="CE66" t="s">
        <v>85</v>
      </c>
      <c r="CF66" s="10">
        <v>-0.98638967916840703</v>
      </c>
      <c r="CG66" s="11">
        <v>-0.99593710471422614</v>
      </c>
      <c r="CH66" s="10">
        <v>67.06622314453125</v>
      </c>
      <c r="CI66" s="10">
        <v>8.2399427890777588E-2</v>
      </c>
      <c r="CJ66" s="10">
        <v>0.28661835193634033</v>
      </c>
      <c r="CK66" s="10">
        <v>6.8380802869796753E-2</v>
      </c>
      <c r="CL66" s="10">
        <v>-2.3379208520054817E-2</v>
      </c>
      <c r="CM66" s="11">
        <v>181.26594543457031</v>
      </c>
      <c r="CN66" s="11">
        <v>-0.4350961446762085</v>
      </c>
      <c r="CO66" s="11">
        <v>0.14600551128387451</v>
      </c>
      <c r="CP66" s="11">
        <v>0.22016806900501251</v>
      </c>
      <c r="CQ66" s="11">
        <v>8.3788707852363586E-2</v>
      </c>
      <c r="CR66">
        <v>0.59504444994765693</v>
      </c>
      <c r="CS66">
        <v>4.409027203649185E-4</v>
      </c>
      <c r="CT66">
        <v>3.5952063914780297</v>
      </c>
      <c r="CU66" s="10">
        <v>13.496048503741623</v>
      </c>
      <c r="CV66" s="11">
        <v>36.256162315607071</v>
      </c>
      <c r="CW66">
        <v>0.06</v>
      </c>
      <c r="CX66">
        <v>3.2721161746311258E-3</v>
      </c>
      <c r="CY66">
        <v>1171513202899.0813</v>
      </c>
      <c r="CZ66">
        <v>13.496048503741623</v>
      </c>
      <c r="DA66">
        <v>1.8646199236332169E-5</v>
      </c>
      <c r="DB66">
        <v>205582234288838.41</v>
      </c>
      <c r="DC66">
        <v>12.821246078554541</v>
      </c>
      <c r="DD66">
        <v>1.2779307545556701E-8</v>
      </c>
      <c r="DE66">
        <v>2.9996361589504339E+17</v>
      </c>
      <c r="DF66">
        <v>11.876522683292627</v>
      </c>
      <c r="DG66">
        <v>1.3972865306426029E-12</v>
      </c>
      <c r="DH66">
        <v>2.7434081814537196E+21</v>
      </c>
      <c r="DI66">
        <v>10.7968388029933</v>
      </c>
      <c r="DJ66">
        <v>5.375262820816898E-22</v>
      </c>
      <c r="DK66">
        <v>7.1314230164794725E+30</v>
      </c>
      <c r="DL66">
        <v>9.4472339526191345</v>
      </c>
      <c r="DM66">
        <v>85665000000</v>
      </c>
      <c r="DN66">
        <v>13.496048503741623</v>
      </c>
      <c r="DO66">
        <v>3833327300</v>
      </c>
      <c r="DP66">
        <v>3702045600.0000005</v>
      </c>
      <c r="DQ66">
        <v>3708</v>
      </c>
      <c r="DR66">
        <v>-14.48243818291003</v>
      </c>
      <c r="DS66">
        <v>-37.252099420321294</v>
      </c>
      <c r="DT66" s="12">
        <v>-6.6666666666666714E-3</v>
      </c>
      <c r="DU66">
        <v>-0.17333333333333337</v>
      </c>
      <c r="DV66">
        <v>-0.18000000000000005</v>
      </c>
      <c r="DW66">
        <v>-8.3785103785103789</v>
      </c>
      <c r="DX66">
        <v>0.37221285140562399</v>
      </c>
      <c r="DY66">
        <v>-8.0538290402145822</v>
      </c>
      <c r="DZ66">
        <v>2469</v>
      </c>
      <c r="EA66">
        <v>-8.027820449159826</v>
      </c>
      <c r="EB66">
        <v>8</v>
      </c>
      <c r="EC66">
        <v>3.0184645711482216E-2</v>
      </c>
      <c r="ED66">
        <v>0.21224977498966627</v>
      </c>
      <c r="EE66" s="13">
        <v>9.11E-3</v>
      </c>
      <c r="EF66">
        <v>1.5100000000000005E-3</v>
      </c>
      <c r="EG66">
        <v>23.142212851405624</v>
      </c>
      <c r="EH66">
        <v>-1</v>
      </c>
      <c r="EI66">
        <v>0</v>
      </c>
      <c r="EJ66">
        <v>0</v>
      </c>
      <c r="EK66" s="14">
        <v>45470</v>
      </c>
      <c r="EL66">
        <v>0.21</v>
      </c>
      <c r="EM66">
        <v>-1.5</v>
      </c>
      <c r="EN66">
        <v>0.54</v>
      </c>
      <c r="EO66">
        <v>-0.11</v>
      </c>
      <c r="EP66">
        <v>0.76</v>
      </c>
    </row>
    <row r="67" spans="1:146" ht="96" x14ac:dyDescent="0.25">
      <c r="A67" s="9"/>
      <c r="B67" s="9"/>
      <c r="C67" s="9" t="str">
        <f>""&amp;CHAR(10)&amp;Basic_Fundamental_Information_Constructure(F67)&amp;CHAR(10)&amp;Basic_Fundamental_Information_Concatenate("")</f>
        <v xml:space="preserve">
市值65.26296亿, 利润5.30亿; PE169.9; 平均PE11.61; 平均PEG23.93, PB1.66; ROIC20.7033%; ROE24.3033%; 股利率.1242%; 毛利18.63%; 净利9.3267%; 上一年度营收增-61.44%, 利润增-40.52%; 当季营收增49.08%, 利润增-80.9%; 过往5年营收增-.49%, 利润增64.57%
Income profile:
</v>
      </c>
      <c r="D67" t="s">
        <v>836</v>
      </c>
      <c r="E67" t="s">
        <v>3264</v>
      </c>
      <c r="F67">
        <v>32.200000000000003</v>
      </c>
      <c r="G67">
        <v>0.25</v>
      </c>
      <c r="H67" t="s">
        <v>3265</v>
      </c>
      <c r="I67">
        <v>6526296000</v>
      </c>
      <c r="J67">
        <v>169.9</v>
      </c>
      <c r="K67">
        <v>1.66</v>
      </c>
      <c r="L67" t="s">
        <v>973</v>
      </c>
      <c r="M67" t="s">
        <v>1691</v>
      </c>
      <c r="N67" t="s">
        <v>3266</v>
      </c>
      <c r="O67" t="s">
        <v>417</v>
      </c>
      <c r="P67">
        <v>-16.43</v>
      </c>
      <c r="Q67" t="s">
        <v>1621</v>
      </c>
      <c r="R67">
        <v>27689999</v>
      </c>
      <c r="S67" s="6">
        <v>2.464</v>
      </c>
      <c r="T67" t="s">
        <v>1163</v>
      </c>
      <c r="U67">
        <v>202680000</v>
      </c>
      <c r="V67">
        <v>202680000</v>
      </c>
      <c r="W67">
        <v>1.9</v>
      </c>
      <c r="X67">
        <v>0.16</v>
      </c>
      <c r="Y67">
        <v>0.52</v>
      </c>
      <c r="Z67" t="s">
        <v>1844</v>
      </c>
      <c r="AA67" t="s">
        <v>987</v>
      </c>
      <c r="AB67" t="s">
        <v>3267</v>
      </c>
      <c r="AC67" t="s">
        <v>3268</v>
      </c>
      <c r="AD67" t="s">
        <v>5</v>
      </c>
      <c r="AE67">
        <v>2304678</v>
      </c>
      <c r="AF67" t="s">
        <v>2296</v>
      </c>
      <c r="AG67" t="s">
        <v>3269</v>
      </c>
      <c r="AH67" t="s">
        <v>2297</v>
      </c>
      <c r="AI67" t="s">
        <v>952</v>
      </c>
      <c r="AJ67" t="s">
        <v>2298</v>
      </c>
      <c r="AK67" t="s">
        <v>5</v>
      </c>
      <c r="AL67" t="s">
        <v>2299</v>
      </c>
      <c r="AM67" t="s">
        <v>5</v>
      </c>
      <c r="AN67" t="s">
        <v>949</v>
      </c>
      <c r="AO67" t="s">
        <v>149</v>
      </c>
      <c r="AP67" t="s">
        <v>453</v>
      </c>
      <c r="AQ67" t="s">
        <v>2321</v>
      </c>
      <c r="AR67" t="s">
        <v>5</v>
      </c>
      <c r="AS67" t="s">
        <v>950</v>
      </c>
      <c r="AT67" t="s">
        <v>3270</v>
      </c>
      <c r="AU67" t="s">
        <v>3271</v>
      </c>
      <c r="AV67" t="s">
        <v>3272</v>
      </c>
      <c r="AW67" t="s">
        <v>2014</v>
      </c>
      <c r="AX67" t="s">
        <v>1417</v>
      </c>
      <c r="AY67" t="s">
        <v>1040</v>
      </c>
      <c r="AZ67" t="s">
        <v>837</v>
      </c>
      <c r="BA67" t="s">
        <v>838</v>
      </c>
      <c r="BB67" t="s">
        <v>839</v>
      </c>
      <c r="BC67" t="s">
        <v>290</v>
      </c>
      <c r="BD67" t="s">
        <v>1041</v>
      </c>
      <c r="BE67" t="s">
        <v>92</v>
      </c>
      <c r="BF67" t="s">
        <v>384</v>
      </c>
      <c r="BG67" t="s">
        <v>507</v>
      </c>
      <c r="BH67" t="s">
        <v>1623</v>
      </c>
      <c r="BI67" t="s">
        <v>588</v>
      </c>
      <c r="BJ67" t="s">
        <v>1417</v>
      </c>
      <c r="BK67" t="s">
        <v>2295</v>
      </c>
      <c r="BL67" t="s">
        <v>204</v>
      </c>
      <c r="BM67" t="s">
        <v>290</v>
      </c>
      <c r="BN67">
        <v>0.24</v>
      </c>
      <c r="BO67">
        <v>20.45</v>
      </c>
      <c r="BP67">
        <v>41.42</v>
      </c>
      <c r="BQ67">
        <v>1.78</v>
      </c>
      <c r="BR67">
        <v>25.3</v>
      </c>
      <c r="BS67">
        <v>45.83</v>
      </c>
      <c r="BT67" t="s">
        <v>1292</v>
      </c>
      <c r="BU67" t="s">
        <v>2508</v>
      </c>
      <c r="BV67">
        <v>6.51</v>
      </c>
      <c r="BW67">
        <v>17.88</v>
      </c>
      <c r="BX67">
        <v>31.5</v>
      </c>
      <c r="BY67">
        <v>-1.1100000000000001</v>
      </c>
      <c r="BZ67">
        <v>10.68</v>
      </c>
      <c r="CA67">
        <v>18.41</v>
      </c>
      <c r="CB67">
        <v>-4.62</v>
      </c>
      <c r="CC67">
        <v>-19.48</v>
      </c>
      <c r="CD67" t="s">
        <v>3273</v>
      </c>
      <c r="CE67" t="s">
        <v>3274</v>
      </c>
      <c r="CF67" s="10">
        <v>0.49084249084249082</v>
      </c>
      <c r="CG67" s="11">
        <v>-0.80903448965517244</v>
      </c>
      <c r="CH67" s="10">
        <v>-0.61435788869857788</v>
      </c>
      <c r="CI67" s="10">
        <v>0.17857146263122559</v>
      </c>
      <c r="CJ67" s="10">
        <v>0.57675981521606445</v>
      </c>
      <c r="CK67" s="10">
        <v>-3.6183502525091171E-2</v>
      </c>
      <c r="CL67" s="10">
        <v>-0.12905646860599518</v>
      </c>
      <c r="CM67" s="11">
        <v>-0.4051627516746521</v>
      </c>
      <c r="CN67" s="11">
        <v>-0.24363327026367188</v>
      </c>
      <c r="CO67" s="11">
        <v>3.5307693481445313</v>
      </c>
      <c r="CP67" s="11">
        <v>-0.15584415197372437</v>
      </c>
      <c r="CQ67" s="11">
        <v>0.50243902206420898</v>
      </c>
      <c r="CR67">
        <v>11.612626334519573</v>
      </c>
      <c r="CS67">
        <v>23.927198199883069</v>
      </c>
      <c r="CT67">
        <v>0.12422360248447205</v>
      </c>
      <c r="CU67" s="10">
        <v>-4.8533163964748381E-3</v>
      </c>
      <c r="CV67" s="11">
        <v>0.64571363925933833</v>
      </c>
      <c r="CW67">
        <v>0.06</v>
      </c>
      <c r="CX67">
        <v>9.4703698113207544</v>
      </c>
      <c r="CY67" t="s">
        <v>3275</v>
      </c>
      <c r="CZ67">
        <v>-4.8533163964748381E-3</v>
      </c>
      <c r="DA67">
        <v>3.1567899371069181</v>
      </c>
      <c r="DB67" t="s">
        <v>3276</v>
      </c>
      <c r="DC67">
        <v>-4.6106505766510958E-3</v>
      </c>
      <c r="DD67">
        <v>1.5783949685534591</v>
      </c>
      <c r="DE67" t="s">
        <v>3277</v>
      </c>
      <c r="DF67">
        <v>-4.2709184288978576E-3</v>
      </c>
      <c r="DG67">
        <v>0.94703698113207546</v>
      </c>
      <c r="DH67" t="s">
        <v>3278</v>
      </c>
      <c r="DI67">
        <v>-3.8826531171798706E-3</v>
      </c>
      <c r="DJ67">
        <v>0.47351849056603773</v>
      </c>
      <c r="DK67" t="s">
        <v>3279</v>
      </c>
      <c r="DL67">
        <v>-3.3973214775323865E-3</v>
      </c>
      <c r="DM67">
        <v>530000000</v>
      </c>
      <c r="DN67">
        <v>-4.8533163964748381E-3</v>
      </c>
      <c r="DO67">
        <v>5019296000</v>
      </c>
      <c r="DP67">
        <v>899408200</v>
      </c>
      <c r="DQ67">
        <v>3868</v>
      </c>
      <c r="DR67">
        <v>0.49569580723896567</v>
      </c>
      <c r="DS67">
        <v>-1.4547481289145108</v>
      </c>
      <c r="DT67" s="12">
        <v>-0.49</v>
      </c>
      <c r="DU67">
        <v>-0.40500000000000003</v>
      </c>
      <c r="DV67">
        <v>-0.89500000000000002</v>
      </c>
      <c r="DW67">
        <v>-8.2371663244353179</v>
      </c>
      <c r="DX67">
        <v>0.27845499281648844</v>
      </c>
      <c r="DY67">
        <v>-8.0280935352572982</v>
      </c>
      <c r="DZ67">
        <v>846</v>
      </c>
      <c r="EA67">
        <v>-8.0234424333340737</v>
      </c>
      <c r="EB67">
        <v>8</v>
      </c>
      <c r="EC67">
        <v>3.9891947898164595E-2</v>
      </c>
      <c r="ED67">
        <v>0.33676879810538779</v>
      </c>
      <c r="EE67" s="13">
        <v>5.3610000000000005E-2</v>
      </c>
      <c r="EF67">
        <v>9.1509999999999994E-2</v>
      </c>
      <c r="EG67">
        <v>16.118454992816488</v>
      </c>
      <c r="EH67">
        <v>-1</v>
      </c>
      <c r="EI67">
        <v>0</v>
      </c>
      <c r="EJ67">
        <v>1</v>
      </c>
      <c r="EK67" s="14">
        <v>45470</v>
      </c>
      <c r="EL67">
        <v>1.27</v>
      </c>
      <c r="EM67">
        <v>-3.06</v>
      </c>
      <c r="EN67">
        <v>-0.5</v>
      </c>
      <c r="EO67">
        <v>2.89</v>
      </c>
      <c r="EP67">
        <v>-3.79</v>
      </c>
    </row>
    <row r="68" spans="1:146" ht="96" x14ac:dyDescent="0.25">
      <c r="A68" s="9"/>
      <c r="B68" s="9"/>
      <c r="C68" s="9" t="str">
        <f>""&amp;CHAR(10)&amp;Basic_Fundamental_Information_Constructure(F68)&amp;CHAR(10)&amp;Basic_Fundamental_Information_Concatenate("")</f>
        <v xml:space="preserve">
市值46.86864亿, 利润1.08亿; PE34.54; 平均PE183.95; 平均PEG79.18, PB2.61; ROIC14.51%; ROE7.35%; 股利率2.027%; 毛利38.8467%; 净利9.5067%; 上一年度营收增-83.39%, 利润增32.34%; 当季营收增433.61%, 利润增-36.57%; 过往5年营收增2.32%, 利润增-73.78%
Income profile:
</v>
      </c>
      <c r="D68" t="s">
        <v>964</v>
      </c>
      <c r="E68" t="s">
        <v>1119</v>
      </c>
      <c r="F68">
        <v>22.2</v>
      </c>
      <c r="G68">
        <v>1.83</v>
      </c>
      <c r="H68" t="s">
        <v>3280</v>
      </c>
      <c r="I68">
        <v>4686864000</v>
      </c>
      <c r="J68">
        <v>34.54</v>
      </c>
      <c r="K68">
        <v>2.61</v>
      </c>
      <c r="L68" t="s">
        <v>973</v>
      </c>
      <c r="M68" t="s">
        <v>2300</v>
      </c>
      <c r="N68" t="s">
        <v>3281</v>
      </c>
      <c r="O68" t="s">
        <v>1639</v>
      </c>
      <c r="P68">
        <v>11.86</v>
      </c>
      <c r="Q68" t="s">
        <v>529</v>
      </c>
      <c r="R68">
        <v>64698265</v>
      </c>
      <c r="S68" s="6">
        <v>0.443</v>
      </c>
      <c r="T68" t="s">
        <v>105</v>
      </c>
      <c r="U68">
        <v>211120000</v>
      </c>
      <c r="V68">
        <v>211120000</v>
      </c>
      <c r="W68">
        <v>1.73</v>
      </c>
      <c r="X68">
        <v>0.2</v>
      </c>
      <c r="Y68">
        <v>22.38</v>
      </c>
      <c r="Z68" t="s">
        <v>623</v>
      </c>
      <c r="AA68" t="s">
        <v>573</v>
      </c>
      <c r="AB68" t="s">
        <v>181</v>
      </c>
      <c r="AC68" t="s">
        <v>3282</v>
      </c>
      <c r="AD68" t="s">
        <v>5</v>
      </c>
      <c r="AE68">
        <v>18356379</v>
      </c>
      <c r="AF68" t="s">
        <v>2302</v>
      </c>
      <c r="AG68" t="s">
        <v>3283</v>
      </c>
      <c r="AH68" t="s">
        <v>2303</v>
      </c>
      <c r="AI68" t="s">
        <v>1367</v>
      </c>
      <c r="AJ68" t="s">
        <v>2304</v>
      </c>
      <c r="AK68" t="s">
        <v>5</v>
      </c>
      <c r="AL68" t="s">
        <v>2305</v>
      </c>
      <c r="AM68" t="s">
        <v>5</v>
      </c>
      <c r="AN68" t="s">
        <v>3284</v>
      </c>
      <c r="AO68" t="s">
        <v>412</v>
      </c>
      <c r="AP68" t="s">
        <v>3285</v>
      </c>
      <c r="AQ68" t="s">
        <v>129</v>
      </c>
      <c r="AR68" t="s">
        <v>5</v>
      </c>
      <c r="AS68" t="s">
        <v>1366</v>
      </c>
      <c r="AT68" t="s">
        <v>344</v>
      </c>
      <c r="AU68" t="s">
        <v>141</v>
      </c>
      <c r="AV68" t="s">
        <v>1605</v>
      </c>
      <c r="AW68" t="s">
        <v>306</v>
      </c>
      <c r="AX68" t="s">
        <v>1418</v>
      </c>
      <c r="AY68" t="s">
        <v>504</v>
      </c>
      <c r="AZ68" t="s">
        <v>948</v>
      </c>
      <c r="BA68" t="s">
        <v>624</v>
      </c>
      <c r="BB68" t="s">
        <v>663</v>
      </c>
      <c r="BC68" t="s">
        <v>1419</v>
      </c>
      <c r="BD68" t="s">
        <v>1042</v>
      </c>
      <c r="BE68" t="s">
        <v>965</v>
      </c>
      <c r="BF68" t="s">
        <v>966</v>
      </c>
      <c r="BG68" t="s">
        <v>967</v>
      </c>
      <c r="BH68" t="s">
        <v>2301</v>
      </c>
      <c r="BI68" t="s">
        <v>159</v>
      </c>
      <c r="BJ68" t="s">
        <v>1418</v>
      </c>
      <c r="BK68" t="s">
        <v>125</v>
      </c>
      <c r="BL68" t="s">
        <v>161</v>
      </c>
      <c r="BM68" t="s">
        <v>1419</v>
      </c>
      <c r="BN68">
        <v>12.73</v>
      </c>
      <c r="BO68">
        <v>16.29</v>
      </c>
      <c r="BP68" t="s">
        <v>5</v>
      </c>
      <c r="BQ68">
        <v>16.64</v>
      </c>
      <c r="BR68">
        <v>14.14</v>
      </c>
      <c r="BS68">
        <v>-8.73</v>
      </c>
      <c r="BT68" t="s">
        <v>2306</v>
      </c>
      <c r="BU68" t="s">
        <v>2631</v>
      </c>
      <c r="BV68">
        <v>47.39</v>
      </c>
      <c r="BW68">
        <v>46.56</v>
      </c>
      <c r="BX68">
        <v>22.59</v>
      </c>
      <c r="BY68">
        <v>16.45</v>
      </c>
      <c r="BZ68">
        <v>15.14</v>
      </c>
      <c r="CA68">
        <v>-3.07</v>
      </c>
      <c r="CB68">
        <v>-1.68</v>
      </c>
      <c r="CC68">
        <v>-20.2</v>
      </c>
      <c r="CD68" t="s">
        <v>3286</v>
      </c>
      <c r="CE68" t="s">
        <v>3287</v>
      </c>
      <c r="CF68" s="10">
        <v>4.3360655737704921</v>
      </c>
      <c r="CG68" s="11">
        <v>-0.36570328431372551</v>
      </c>
      <c r="CH68" s="10">
        <v>-0.83387529850006104</v>
      </c>
      <c r="CI68" s="10">
        <v>1.017292857170105</v>
      </c>
      <c r="CJ68" s="10">
        <v>-5.039641261100769E-2</v>
      </c>
      <c r="CK68" s="10">
        <v>-6.9546893239021301E-2</v>
      </c>
      <c r="CL68" s="10">
        <v>5.2689924836158752E-2</v>
      </c>
      <c r="CM68" s="11">
        <v>0.32338824868202209</v>
      </c>
      <c r="CN68" s="11">
        <v>2.5913527011871338</v>
      </c>
      <c r="CO68" s="11">
        <v>-6.7802286148071289</v>
      </c>
      <c r="CP68" s="11">
        <v>-1.4314223527908325</v>
      </c>
      <c r="CQ68" s="11">
        <v>1.6080194711685181</v>
      </c>
      <c r="CR68">
        <v>183.95344577657534</v>
      </c>
      <c r="CS68">
        <v>79.178215474070839</v>
      </c>
      <c r="CT68">
        <v>2.0270270270270272</v>
      </c>
      <c r="CU68" s="10">
        <v>2.3232835531234741E-2</v>
      </c>
      <c r="CV68" s="11">
        <v>-0.73777810931205745</v>
      </c>
      <c r="CW68">
        <v>0.06</v>
      </c>
      <c r="CX68">
        <v>34.49140609423096</v>
      </c>
      <c r="CY68">
        <v>104253911.54469185</v>
      </c>
      <c r="CZ68">
        <v>2.3232835531234741E-2</v>
      </c>
      <c r="DA68">
        <v>11.932061887291017</v>
      </c>
      <c r="DB68">
        <v>301361494.26361912</v>
      </c>
      <c r="DC68">
        <v>2.2071193754673004E-2</v>
      </c>
      <c r="DD68">
        <v>6.3258622571140188</v>
      </c>
      <c r="DE68">
        <v>568438554.9110111</v>
      </c>
      <c r="DF68">
        <v>2.0444895267486572E-2</v>
      </c>
      <c r="DG68">
        <v>4.1184349446811996</v>
      </c>
      <c r="DH68">
        <v>873114192.23555291</v>
      </c>
      <c r="DI68">
        <v>1.8586268424987794E-2</v>
      </c>
      <c r="DJ68">
        <v>2.5162440762544245</v>
      </c>
      <c r="DK68">
        <v>1429060095.5343935</v>
      </c>
      <c r="DL68">
        <v>1.6262984871864318E-2</v>
      </c>
      <c r="DM68">
        <v>108000000</v>
      </c>
      <c r="DN68">
        <v>2.3232835531234741E-2</v>
      </c>
      <c r="DO68">
        <v>3595864000</v>
      </c>
      <c r="DP68">
        <v>-457096500</v>
      </c>
      <c r="DQ68">
        <v>3873</v>
      </c>
      <c r="DR68">
        <v>4.3128327382392575</v>
      </c>
      <c r="DS68">
        <v>0.37207482499833194</v>
      </c>
      <c r="DT68" s="12">
        <v>-0.47333333333333333</v>
      </c>
      <c r="DU68">
        <v>-1.0400000000000003</v>
      </c>
      <c r="DV68">
        <v>-1.5133333333333336</v>
      </c>
      <c r="DW68">
        <v>-3.0474999999999999</v>
      </c>
      <c r="DX68">
        <v>0.33345239864284704</v>
      </c>
      <c r="DY68">
        <v>-3.005863988935535</v>
      </c>
      <c r="DZ68">
        <v>4871</v>
      </c>
      <c r="EA68">
        <v>-3.0002742648445389</v>
      </c>
      <c r="EB68">
        <v>3</v>
      </c>
      <c r="EC68">
        <v>5.3327965138309959E-2</v>
      </c>
      <c r="ED68">
        <v>0.43197186434255408</v>
      </c>
      <c r="EE68" s="13">
        <v>-2.1301999999999999</v>
      </c>
      <c r="EF68">
        <v>-2.1364999999999998</v>
      </c>
      <c r="EG68">
        <v>21.123452398642847</v>
      </c>
      <c r="EH68" t="s">
        <v>1308</v>
      </c>
      <c r="EI68">
        <v>0</v>
      </c>
      <c r="EJ68">
        <v>0</v>
      </c>
      <c r="EK68" s="14">
        <v>45470</v>
      </c>
      <c r="EL68">
        <v>-2.14</v>
      </c>
      <c r="EM68">
        <v>5.1100000000000003</v>
      </c>
      <c r="EN68">
        <v>4.8600000000000003</v>
      </c>
      <c r="EO68">
        <v>5.3</v>
      </c>
      <c r="EP68">
        <v>0.63</v>
      </c>
    </row>
    <row r="69" spans="1:146" ht="96" x14ac:dyDescent="0.25">
      <c r="A69" s="9"/>
      <c r="B69" s="9"/>
      <c r="C69" s="9" t="str">
        <f>""&amp;CHAR(10)&amp;Basic_Fundamental_Information_Constructure(F69)&amp;CHAR(10)&amp;Basic_Fundamental_Information_Concatenate("")</f>
        <v xml:space="preserve">
市值25.843597亿, 利润1.48亿; PE; 平均PE24.26; 平均PEG.12, PB2.12; ROIC11.6833%; ROE13.94%; 股利率0%; 毛利56.8833%; 净利24.4767%; 上一年度营收增569.24%, 利润增-9.2%; 当季营收增-93.61%, 利润增-134.1%; 过往5年营收增204.22%, 利润增144.83%
Income profile:
</v>
      </c>
      <c r="D69" t="s">
        <v>1043</v>
      </c>
      <c r="E69" t="s">
        <v>1278</v>
      </c>
      <c r="F69">
        <v>11.02</v>
      </c>
      <c r="G69">
        <v>0.92</v>
      </c>
      <c r="H69" t="s">
        <v>3288</v>
      </c>
      <c r="I69">
        <v>2584359700</v>
      </c>
      <c r="K69">
        <v>2.12</v>
      </c>
      <c r="L69" t="s">
        <v>973</v>
      </c>
      <c r="M69" t="s">
        <v>660</v>
      </c>
      <c r="N69" t="s">
        <v>2594</v>
      </c>
      <c r="O69" t="s">
        <v>2307</v>
      </c>
      <c r="P69">
        <v>-78.290000000000006</v>
      </c>
      <c r="Q69" t="s">
        <v>3289</v>
      </c>
      <c r="R69">
        <v>-13570516</v>
      </c>
      <c r="S69" s="6">
        <v>-1.133</v>
      </c>
      <c r="T69" t="s">
        <v>366</v>
      </c>
      <c r="U69">
        <v>230118000</v>
      </c>
      <c r="V69">
        <v>234515400</v>
      </c>
      <c r="W69">
        <v>1.33</v>
      </c>
      <c r="X69">
        <v>0.03</v>
      </c>
      <c r="Y69">
        <v>-25.92</v>
      </c>
      <c r="Z69" t="s">
        <v>3290</v>
      </c>
      <c r="AA69" t="s">
        <v>3291</v>
      </c>
      <c r="AB69" t="s">
        <v>3292</v>
      </c>
      <c r="AC69" t="s">
        <v>3293</v>
      </c>
      <c r="AD69" t="s">
        <v>5</v>
      </c>
      <c r="AE69">
        <v>1644492</v>
      </c>
      <c r="AF69" t="s">
        <v>2308</v>
      </c>
      <c r="AG69" t="s">
        <v>2409</v>
      </c>
      <c r="AH69" t="s">
        <v>2309</v>
      </c>
      <c r="AI69" t="s">
        <v>3294</v>
      </c>
      <c r="AJ69" t="s">
        <v>2310</v>
      </c>
      <c r="AK69" t="s">
        <v>3295</v>
      </c>
      <c r="AL69" t="s">
        <v>2311</v>
      </c>
      <c r="AM69" t="s">
        <v>5</v>
      </c>
      <c r="AN69">
        <v>0</v>
      </c>
      <c r="AO69" t="s">
        <v>1637</v>
      </c>
      <c r="AP69" t="s">
        <v>5</v>
      </c>
      <c r="AQ69" t="s">
        <v>3296</v>
      </c>
      <c r="AR69" t="s">
        <v>3297</v>
      </c>
      <c r="AS69" t="s">
        <v>53</v>
      </c>
      <c r="AT69" t="s">
        <v>200</v>
      </c>
      <c r="AU69" t="s">
        <v>3298</v>
      </c>
      <c r="AV69" t="s">
        <v>3299</v>
      </c>
      <c r="AW69" t="s">
        <v>3300</v>
      </c>
      <c r="AX69" t="s">
        <v>278</v>
      </c>
      <c r="AY69" t="s">
        <v>123</v>
      </c>
      <c r="AZ69" t="s">
        <v>1045</v>
      </c>
      <c r="BA69" t="s">
        <v>1046</v>
      </c>
      <c r="BB69" t="s">
        <v>195</v>
      </c>
      <c r="BC69" t="s">
        <v>277</v>
      </c>
      <c r="BD69" t="s">
        <v>1044</v>
      </c>
      <c r="BE69" t="s">
        <v>1047</v>
      </c>
      <c r="BF69" t="s">
        <v>1048</v>
      </c>
      <c r="BG69" t="s">
        <v>549</v>
      </c>
      <c r="BH69" t="s">
        <v>529</v>
      </c>
      <c r="BI69" t="s">
        <v>1245</v>
      </c>
      <c r="BJ69" t="s">
        <v>278</v>
      </c>
      <c r="BK69" t="s">
        <v>105</v>
      </c>
      <c r="BL69" t="s">
        <v>3301</v>
      </c>
      <c r="BM69" t="s">
        <v>277</v>
      </c>
      <c r="BN69">
        <v>11.96</v>
      </c>
      <c r="BO69">
        <v>14.82</v>
      </c>
      <c r="BP69">
        <v>8.27</v>
      </c>
      <c r="BQ69">
        <v>13.57</v>
      </c>
      <c r="BR69">
        <v>18.399999999999999</v>
      </c>
      <c r="BS69">
        <v>9.85</v>
      </c>
      <c r="BT69" t="s">
        <v>1280</v>
      </c>
      <c r="BU69" t="s">
        <v>2777</v>
      </c>
      <c r="BV69">
        <v>51.19</v>
      </c>
      <c r="BW69">
        <v>63.59</v>
      </c>
      <c r="BX69">
        <v>55.87</v>
      </c>
      <c r="BY69">
        <v>19.45</v>
      </c>
      <c r="BZ69">
        <v>27.93</v>
      </c>
      <c r="CA69">
        <v>26.05</v>
      </c>
      <c r="CB69">
        <v>-3.59</v>
      </c>
      <c r="CC69">
        <v>-28.9</v>
      </c>
      <c r="CD69" t="s">
        <v>3302</v>
      </c>
      <c r="CE69" t="s">
        <v>152</v>
      </c>
      <c r="CF69" s="10">
        <v>-0.9361133896260555</v>
      </c>
      <c r="CG69" s="11">
        <v>-1.3409968690792682</v>
      </c>
      <c r="CH69" s="10">
        <v>5.6924395561218262</v>
      </c>
      <c r="CI69" s="10">
        <v>1.1476014852523804</v>
      </c>
      <c r="CJ69" s="10">
        <v>4.2688884735107422</v>
      </c>
      <c r="CK69" s="10">
        <v>-0.48052290081977844</v>
      </c>
      <c r="CL69" s="10">
        <v>-0.41758173704147339</v>
      </c>
      <c r="CM69" s="11">
        <v>-9.2024542391300201E-2</v>
      </c>
      <c r="CN69" s="11">
        <v>1.3048316240310669</v>
      </c>
      <c r="CO69" s="11">
        <v>9.2069578170776367</v>
      </c>
      <c r="CP69" s="11">
        <v>-2.2060461044311523</v>
      </c>
      <c r="CQ69" s="11">
        <v>-0.97241318225860596</v>
      </c>
      <c r="CR69">
        <v>24.256843657743275</v>
      </c>
      <c r="CS69">
        <v>0.11878003956529408</v>
      </c>
      <c r="CT69">
        <v>0</v>
      </c>
      <c r="CU69" s="10">
        <v>2.0421649754047393</v>
      </c>
      <c r="CV69" s="11">
        <v>1.4482611224055291</v>
      </c>
      <c r="CW69">
        <v>0.06</v>
      </c>
      <c r="CX69">
        <v>4.2503542828778205</v>
      </c>
      <c r="CY69">
        <v>424755109.77349186</v>
      </c>
      <c r="CZ69">
        <v>2.0421649754047393</v>
      </c>
      <c r="DA69">
        <v>0.38354242593264898</v>
      </c>
      <c r="DB69">
        <v>4707066488.4333439</v>
      </c>
      <c r="DC69">
        <v>1.9400567266345021</v>
      </c>
      <c r="DD69">
        <v>2.250557095588359E-2</v>
      </c>
      <c r="DE69">
        <v>80218346983.46225</v>
      </c>
      <c r="DF69">
        <v>1.7971051783561707</v>
      </c>
      <c r="DG69">
        <v>8.1292884881707011E-4</v>
      </c>
      <c r="DH69">
        <v>2220808995310.0586</v>
      </c>
      <c r="DI69">
        <v>1.6337319803237915</v>
      </c>
      <c r="DJ69">
        <v>4.2960884540018859E-7</v>
      </c>
      <c r="DK69">
        <v>4202333632861479</v>
      </c>
      <c r="DL69">
        <v>1.4295154827833174</v>
      </c>
      <c r="DM69">
        <v>148000000</v>
      </c>
      <c r="DN69">
        <v>2.0421649754047393</v>
      </c>
      <c r="DO69">
        <v>1805359700</v>
      </c>
      <c r="DP69">
        <v>462100200</v>
      </c>
      <c r="DQ69">
        <v>3874</v>
      </c>
      <c r="DR69">
        <v>-2.9782783650307949</v>
      </c>
      <c r="DS69">
        <v>-2.7892579914847975</v>
      </c>
      <c r="DT69" s="12">
        <v>0.37333333333333346</v>
      </c>
      <c r="DU69">
        <v>-1.0183333333333333</v>
      </c>
      <c r="DV69">
        <v>-0.6449999999999998</v>
      </c>
      <c r="DW69">
        <v>-8.1242214532871966</v>
      </c>
      <c r="DX69">
        <v>0.34844632352941174</v>
      </c>
      <c r="DY69">
        <v>-8.0147135744453486</v>
      </c>
      <c r="DZ69">
        <v>2026</v>
      </c>
      <c r="EA69">
        <v>-8.0088799733051772</v>
      </c>
      <c r="EB69">
        <v>8</v>
      </c>
      <c r="EC69">
        <v>6.8689305691651797E-2</v>
      </c>
      <c r="ED69">
        <v>0.57991927182607195</v>
      </c>
      <c r="EE69" s="13">
        <v>-2.1257000000000001</v>
      </c>
      <c r="EF69">
        <v>-2.1475</v>
      </c>
      <c r="EG69">
        <v>23.118446323529412</v>
      </c>
      <c r="EH69" t="s">
        <v>1308</v>
      </c>
      <c r="EI69">
        <v>0</v>
      </c>
      <c r="EJ69">
        <v>0</v>
      </c>
      <c r="EK69" s="14">
        <v>45470</v>
      </c>
      <c r="EL69">
        <v>0.97</v>
      </c>
      <c r="EM69">
        <v>-4.3899999999999997</v>
      </c>
      <c r="EN69">
        <v>2.82</v>
      </c>
      <c r="EO69">
        <v>2.42</v>
      </c>
      <c r="EP69">
        <v>2.1800000000000002</v>
      </c>
    </row>
    <row r="70" spans="1:146" ht="96" x14ac:dyDescent="0.25">
      <c r="A70" s="9"/>
      <c r="B70" s="9"/>
      <c r="C70" s="9" t="str">
        <f>""&amp;CHAR(10)&amp;Basic_Fundamental_Information_Constructure(F70)&amp;CHAR(10)&amp;Basic_Fundamental_Information_Concatenate("")</f>
        <v xml:space="preserve">
市值290.12299亿, 利润-2.64亿; PE17.54; 平均PE26.77; 平均PEG1.23, PB1.59; ROIC14.35%; ROE18.4667%; 股利率1.0317%; 毛利34.75%; 净利18.4167%; 上一年度营收增-88.26%, 利润增-108.51%; 当季营收增658.5%, 利润增749.24%; 过往5年营收增21.79%, 利润增28.6%
Income profile:
</v>
      </c>
      <c r="D70" t="s">
        <v>840</v>
      </c>
      <c r="E70" t="s">
        <v>841</v>
      </c>
      <c r="F70">
        <v>13.57</v>
      </c>
      <c r="G70">
        <v>-1.95</v>
      </c>
      <c r="H70" t="s">
        <v>3303</v>
      </c>
      <c r="I70">
        <v>29012299000</v>
      </c>
      <c r="J70">
        <v>17.54</v>
      </c>
      <c r="K70">
        <v>1.59</v>
      </c>
      <c r="L70" t="s">
        <v>973</v>
      </c>
      <c r="M70" t="s">
        <v>2315</v>
      </c>
      <c r="N70" t="s">
        <v>3304</v>
      </c>
      <c r="O70" t="s">
        <v>1175</v>
      </c>
      <c r="P70">
        <v>-17.97</v>
      </c>
      <c r="Q70" t="s">
        <v>396</v>
      </c>
      <c r="R70">
        <v>444789570</v>
      </c>
      <c r="S70" s="6">
        <v>-0.3664</v>
      </c>
      <c r="T70" t="s">
        <v>2564</v>
      </c>
      <c r="U70">
        <v>2136399100</v>
      </c>
      <c r="V70">
        <v>2137973400</v>
      </c>
      <c r="W70">
        <v>2.17</v>
      </c>
      <c r="X70">
        <v>7.0000000000000007E-2</v>
      </c>
      <c r="Y70">
        <v>16.72</v>
      </c>
      <c r="Z70" t="s">
        <v>3305</v>
      </c>
      <c r="AA70" t="s">
        <v>398</v>
      </c>
      <c r="AB70" t="s">
        <v>3306</v>
      </c>
      <c r="AC70" t="s">
        <v>102</v>
      </c>
      <c r="AD70" t="s">
        <v>5</v>
      </c>
      <c r="AE70">
        <v>2391969</v>
      </c>
      <c r="AF70" t="s">
        <v>2317</v>
      </c>
      <c r="AG70" t="s">
        <v>3307</v>
      </c>
      <c r="AH70" t="s">
        <v>2318</v>
      </c>
      <c r="AI70" t="s">
        <v>3308</v>
      </c>
      <c r="AJ70" t="s">
        <v>2319</v>
      </c>
      <c r="AK70" t="s">
        <v>1123</v>
      </c>
      <c r="AL70" t="s">
        <v>2320</v>
      </c>
      <c r="AM70" t="s">
        <v>5</v>
      </c>
      <c r="AN70" t="s">
        <v>3309</v>
      </c>
      <c r="AO70" t="s">
        <v>1426</v>
      </c>
      <c r="AP70" t="s">
        <v>3310</v>
      </c>
      <c r="AQ70" t="s">
        <v>3311</v>
      </c>
      <c r="AR70" t="s">
        <v>5</v>
      </c>
      <c r="AS70" t="s">
        <v>3312</v>
      </c>
      <c r="AT70" t="s">
        <v>3313</v>
      </c>
      <c r="AU70" t="s">
        <v>3314</v>
      </c>
      <c r="AV70" t="s">
        <v>3315</v>
      </c>
      <c r="AW70" t="s">
        <v>1267</v>
      </c>
      <c r="AX70" t="s">
        <v>1424</v>
      </c>
      <c r="AY70" t="s">
        <v>1049</v>
      </c>
      <c r="AZ70" t="s">
        <v>842</v>
      </c>
      <c r="BA70" t="s">
        <v>843</v>
      </c>
      <c r="BB70" t="s">
        <v>844</v>
      </c>
      <c r="BC70" t="s">
        <v>1425</v>
      </c>
      <c r="BD70" t="s">
        <v>1050</v>
      </c>
      <c r="BE70" t="s">
        <v>266</v>
      </c>
      <c r="BF70" t="s">
        <v>383</v>
      </c>
      <c r="BG70" t="s">
        <v>508</v>
      </c>
      <c r="BH70" t="s">
        <v>2316</v>
      </c>
      <c r="BI70" t="s">
        <v>96</v>
      </c>
      <c r="BJ70" t="s">
        <v>1424</v>
      </c>
      <c r="BK70" t="s">
        <v>1872</v>
      </c>
      <c r="BL70" t="s">
        <v>3316</v>
      </c>
      <c r="BM70" t="s">
        <v>1425</v>
      </c>
      <c r="BN70">
        <v>8.2899999999999991</v>
      </c>
      <c r="BO70">
        <v>19.7</v>
      </c>
      <c r="BP70">
        <v>15.06</v>
      </c>
      <c r="BQ70">
        <v>11.33</v>
      </c>
      <c r="BR70">
        <v>26</v>
      </c>
      <c r="BS70">
        <v>18.07</v>
      </c>
      <c r="BT70" t="s">
        <v>1286</v>
      </c>
      <c r="BU70" t="s">
        <v>2508</v>
      </c>
      <c r="BV70">
        <v>32.94</v>
      </c>
      <c r="BW70">
        <v>35.659999999999997</v>
      </c>
      <c r="BX70">
        <v>35.65</v>
      </c>
      <c r="BY70">
        <v>13.93</v>
      </c>
      <c r="BZ70">
        <v>21.5</v>
      </c>
      <c r="CA70">
        <v>19.82</v>
      </c>
      <c r="CB70">
        <v>-3.96</v>
      </c>
      <c r="CC70">
        <v>-19.13</v>
      </c>
      <c r="CD70" t="s">
        <v>3317</v>
      </c>
      <c r="CE70" t="s">
        <v>239</v>
      </c>
      <c r="CF70" s="10">
        <v>6.585</v>
      </c>
      <c r="CG70" s="11">
        <v>7.4923874679970925</v>
      </c>
      <c r="CH70" s="10">
        <v>-0.88256591558456421</v>
      </c>
      <c r="CI70" s="10">
        <v>0.71898621320724487</v>
      </c>
      <c r="CJ70" s="10">
        <v>0.70346522331237793</v>
      </c>
      <c r="CK70" s="10">
        <v>0.10043756663799286</v>
      </c>
      <c r="CL70" s="10">
        <v>0.44941103458404541</v>
      </c>
      <c r="CM70" s="11">
        <v>-1.0850515365600586</v>
      </c>
      <c r="CN70" s="11">
        <v>0.77472847700119019</v>
      </c>
      <c r="CO70" s="11">
        <v>1.6182633638381958</v>
      </c>
      <c r="CP70" s="11">
        <v>2.6113672181963921E-2</v>
      </c>
      <c r="CQ70" s="11">
        <v>9.5959596335887909E-2</v>
      </c>
      <c r="CR70">
        <v>26.772346047370039</v>
      </c>
      <c r="CS70">
        <v>1.2283889025322507</v>
      </c>
      <c r="CT70">
        <v>1.0316875460574797</v>
      </c>
      <c r="CU70" s="10">
        <v>0.21794682443141938</v>
      </c>
      <c r="CV70" s="11">
        <v>0.28600271455943582</v>
      </c>
      <c r="CW70">
        <v>0.06</v>
      </c>
      <c r="CX70" t="e">
        <v>#VALUE!</v>
      </c>
      <c r="CY70" t="s">
        <v>947</v>
      </c>
      <c r="CZ70">
        <v>0.21794682443141938</v>
      </c>
      <c r="DA70" t="e">
        <v>#VALUE!</v>
      </c>
      <c r="DB70" t="s">
        <v>947</v>
      </c>
      <c r="DC70">
        <v>0.2070494832098484</v>
      </c>
      <c r="DD70" t="e">
        <v>#VALUE!</v>
      </c>
      <c r="DE70" t="s">
        <v>947</v>
      </c>
      <c r="DF70">
        <v>0.19179320549964907</v>
      </c>
      <c r="DG70" t="e">
        <v>#VALUE!</v>
      </c>
      <c r="DH70" t="s">
        <v>947</v>
      </c>
      <c r="DI70">
        <v>0.17435745954513551</v>
      </c>
      <c r="DJ70" t="e">
        <v>#VALUE!</v>
      </c>
      <c r="DK70" t="s">
        <v>947</v>
      </c>
      <c r="DL70">
        <v>0.15256277710199356</v>
      </c>
      <c r="DM70">
        <v>-264000000</v>
      </c>
      <c r="DN70">
        <v>0.21794682443141938</v>
      </c>
      <c r="DO70">
        <v>34697299000</v>
      </c>
      <c r="DP70">
        <v>8074027000</v>
      </c>
      <c r="DQ70">
        <v>4236</v>
      </c>
      <c r="DR70">
        <v>6.3670531755685804</v>
      </c>
      <c r="DS70">
        <v>7.2063847534376571</v>
      </c>
      <c r="DT70" s="12">
        <v>-0.10666666666666669</v>
      </c>
      <c r="DU70">
        <v>3.6666666666666736E-2</v>
      </c>
      <c r="DV70">
        <v>-6.9999999999999951E-2</v>
      </c>
      <c r="DW70">
        <v>-8.2070047046523786</v>
      </c>
      <c r="DX70">
        <v>0.3475441791044791</v>
      </c>
      <c r="DY70">
        <v>-8.0264022451256523</v>
      </c>
      <c r="DZ70">
        <v>4752</v>
      </c>
      <c r="EA70">
        <v>-8.0018497071927559</v>
      </c>
      <c r="EB70">
        <v>8</v>
      </c>
      <c r="EC70">
        <v>3.9969907951146626E-2</v>
      </c>
      <c r="ED70">
        <v>0.31338088677810488</v>
      </c>
      <c r="EE70" s="13">
        <v>2.0251100000000002</v>
      </c>
      <c r="EF70">
        <v>2.0638100000000001</v>
      </c>
      <c r="EG70">
        <v>22.127544179104479</v>
      </c>
      <c r="EH70" t="s">
        <v>1309</v>
      </c>
      <c r="EI70">
        <v>0</v>
      </c>
      <c r="EJ70">
        <v>0</v>
      </c>
      <c r="EK70" s="14">
        <v>45470</v>
      </c>
      <c r="EL70">
        <v>-1.36</v>
      </c>
      <c r="EM70">
        <v>-6.7</v>
      </c>
      <c r="EN70">
        <v>1.29</v>
      </c>
      <c r="EO70">
        <v>3.45</v>
      </c>
      <c r="EP70">
        <v>-3.87</v>
      </c>
    </row>
    <row r="71" spans="1:146" ht="96" x14ac:dyDescent="0.25">
      <c r="C71" s="9" t="str">
        <f>""&amp;CHAR(10)&amp;Basic_Fundamental_Information_Constructure(F71)&amp;CHAR(10)&amp;Basic_Fundamental_Information_Concatenate("")</f>
        <v xml:space="preserve">
市值43.511076亿, 利润1.07亿; PE; 平均PE16.09; 平均PEG.27, PB1.31; ROIC13.72%; ROE7.1733%; 股利率0%; 毛利14.9267%; 净利.22%; 上一年度营收增-89.65%, 利润增-85.79%; 当季营收增329.74%, 利润增-370.26%; 过往5年营收增59.06%, 利润增43.34%
Income profile:
</v>
      </c>
      <c r="D71" t="s">
        <v>1427</v>
      </c>
      <c r="E71" t="s">
        <v>1428</v>
      </c>
      <c r="F71">
        <v>7.7</v>
      </c>
      <c r="G71">
        <v>0.39</v>
      </c>
      <c r="H71" t="s">
        <v>3318</v>
      </c>
      <c r="I71">
        <v>4351107600</v>
      </c>
      <c r="K71">
        <v>1.31</v>
      </c>
      <c r="L71" t="s">
        <v>973</v>
      </c>
      <c r="M71" t="s">
        <v>2322</v>
      </c>
      <c r="N71" t="s">
        <v>716</v>
      </c>
      <c r="O71" t="s">
        <v>1733</v>
      </c>
      <c r="P71" s="6">
        <v>-29.24</v>
      </c>
      <c r="Q71" t="s">
        <v>1721</v>
      </c>
      <c r="R71">
        <v>-78044956</v>
      </c>
      <c r="S71">
        <v>0.64959999999999996</v>
      </c>
      <c r="T71" t="s">
        <v>169</v>
      </c>
      <c r="U71">
        <v>565078900</v>
      </c>
      <c r="V71">
        <v>565078900</v>
      </c>
      <c r="W71">
        <v>4.25</v>
      </c>
      <c r="X71">
        <v>0.08</v>
      </c>
      <c r="Y71">
        <v>-6.61</v>
      </c>
      <c r="Z71" t="s">
        <v>3319</v>
      </c>
      <c r="AA71" t="s">
        <v>1620</v>
      </c>
      <c r="AB71" t="s">
        <v>3320</v>
      </c>
      <c r="AC71" t="s">
        <v>3321</v>
      </c>
      <c r="AD71" t="s">
        <v>5</v>
      </c>
      <c r="AE71">
        <v>59027587</v>
      </c>
      <c r="AF71" t="s">
        <v>2325</v>
      </c>
      <c r="AG71" t="s">
        <v>3322</v>
      </c>
      <c r="AH71" t="s">
        <v>2326</v>
      </c>
      <c r="AI71" t="s">
        <v>1673</v>
      </c>
      <c r="AJ71" t="s">
        <v>2327</v>
      </c>
      <c r="AK71" t="s">
        <v>3323</v>
      </c>
      <c r="AL71" t="s">
        <v>2328</v>
      </c>
      <c r="AM71" t="s">
        <v>5</v>
      </c>
      <c r="AN71" t="s">
        <v>988</v>
      </c>
      <c r="AO71" t="s">
        <v>3324</v>
      </c>
      <c r="AP71" t="s">
        <v>356</v>
      </c>
      <c r="AQ71" t="s">
        <v>3325</v>
      </c>
      <c r="AR71" t="s">
        <v>5</v>
      </c>
      <c r="AS71" t="s">
        <v>3326</v>
      </c>
      <c r="AT71" t="s">
        <v>3327</v>
      </c>
      <c r="AU71" t="s">
        <v>3328</v>
      </c>
      <c r="AV71" t="s">
        <v>3329</v>
      </c>
      <c r="AW71" t="s">
        <v>183</v>
      </c>
      <c r="AX71" t="s">
        <v>1429</v>
      </c>
      <c r="AY71" t="s">
        <v>1430</v>
      </c>
      <c r="AZ71" t="s">
        <v>1137</v>
      </c>
      <c r="BA71" t="s">
        <v>1357</v>
      </c>
      <c r="BB71" t="s">
        <v>1342</v>
      </c>
      <c r="BC71" t="s">
        <v>310</v>
      </c>
      <c r="BD71" t="s">
        <v>50</v>
      </c>
      <c r="BE71" t="s">
        <v>293</v>
      </c>
      <c r="BF71" t="s">
        <v>70</v>
      </c>
      <c r="BG71" t="s">
        <v>1431</v>
      </c>
      <c r="BH71" t="s">
        <v>2323</v>
      </c>
      <c r="BI71" t="s">
        <v>500</v>
      </c>
      <c r="BJ71" t="s">
        <v>1429</v>
      </c>
      <c r="BK71" t="s">
        <v>2324</v>
      </c>
      <c r="BL71" t="s">
        <v>3330</v>
      </c>
      <c r="BM71" t="s">
        <v>310</v>
      </c>
      <c r="BN71" t="s">
        <v>5</v>
      </c>
      <c r="BO71">
        <v>14.37</v>
      </c>
      <c r="BP71">
        <v>13.07</v>
      </c>
      <c r="BQ71">
        <v>-16.68</v>
      </c>
      <c r="BR71">
        <v>21.12</v>
      </c>
      <c r="BS71">
        <v>17.079999999999998</v>
      </c>
      <c r="BT71" t="s">
        <v>1280</v>
      </c>
      <c r="BU71" t="s">
        <v>2508</v>
      </c>
      <c r="BV71">
        <v>-0.13</v>
      </c>
      <c r="BW71">
        <v>17.61</v>
      </c>
      <c r="BX71">
        <v>27.3</v>
      </c>
      <c r="BY71">
        <v>-17.350000000000001</v>
      </c>
      <c r="BZ71">
        <v>7.32</v>
      </c>
      <c r="CA71">
        <v>10.69</v>
      </c>
      <c r="CB71">
        <v>-1.1599999999999999</v>
      </c>
      <c r="CC71" s="10">
        <v>-20.62</v>
      </c>
      <c r="CD71" s="11" t="s">
        <v>3331</v>
      </c>
      <c r="CE71" s="10" t="s">
        <v>188</v>
      </c>
      <c r="CF71" s="10">
        <v>3.2973760932944605</v>
      </c>
      <c r="CG71" s="10">
        <v>-3.7026497028797811</v>
      </c>
      <c r="CH71" s="10">
        <v>-0.89653211832046509</v>
      </c>
      <c r="CI71" s="10">
        <v>2.471139669418335</v>
      </c>
      <c r="CJ71" s="11">
        <v>1.1169713735580444</v>
      </c>
      <c r="CK71" s="11">
        <v>0.11792177706956863</v>
      </c>
      <c r="CL71" s="11">
        <v>0.1435246616601944</v>
      </c>
      <c r="CM71" s="11">
        <v>-0.85790175199508667</v>
      </c>
      <c r="CN71" s="11">
        <v>1.1452991962432861</v>
      </c>
      <c r="CO71">
        <v>0.72906404733657837</v>
      </c>
      <c r="CP71">
        <v>0.59842520952224731</v>
      </c>
      <c r="CQ71">
        <v>0.55194497108459473</v>
      </c>
      <c r="CR71" s="10">
        <v>16.087082785115019</v>
      </c>
      <c r="CS71" s="11">
        <v>0.27238307846213339</v>
      </c>
      <c r="CT71">
        <v>0</v>
      </c>
      <c r="CU71">
        <v>0.59060507267713547</v>
      </c>
      <c r="CV71">
        <v>0.43336633443832395</v>
      </c>
      <c r="CW71">
        <v>0.06</v>
      </c>
      <c r="CX71">
        <v>82.698171673180809</v>
      </c>
      <c r="CY71">
        <v>160561078.09099385</v>
      </c>
      <c r="CZ71">
        <v>0.59060507267713547</v>
      </c>
      <c r="DA71">
        <v>18.153797888855095</v>
      </c>
      <c r="DB71">
        <v>731423125.96482313</v>
      </c>
      <c r="DC71">
        <v>0.56107481904327872</v>
      </c>
      <c r="DD71">
        <v>4.8848250905356103</v>
      </c>
      <c r="DE71">
        <v>2718236037.9139152</v>
      </c>
      <c r="DF71">
        <v>0.51973246395587924</v>
      </c>
      <c r="DG71">
        <v>1.3495947001170299</v>
      </c>
      <c r="DH71">
        <v>9838589021.4659195</v>
      </c>
      <c r="DI71">
        <v>0.47248405814170841</v>
      </c>
      <c r="DJ71">
        <v>9.8588003493531154E-2</v>
      </c>
      <c r="DK71">
        <v>134682792322.40707</v>
      </c>
      <c r="DL71">
        <v>0.41342355087399479</v>
      </c>
      <c r="DM71">
        <v>107000000</v>
      </c>
      <c r="DN71">
        <v>0.59060507267713547</v>
      </c>
      <c r="DO71">
        <v>13278107600</v>
      </c>
      <c r="DP71">
        <v>-1025527300</v>
      </c>
      <c r="DQ71" s="12">
        <v>4372</v>
      </c>
      <c r="DR71">
        <v>2.706771020617325</v>
      </c>
      <c r="DS71">
        <v>-4.1360160373181047</v>
      </c>
      <c r="DT71">
        <v>-0.19000000000000003</v>
      </c>
      <c r="DU71">
        <v>-0.44833333333333331</v>
      </c>
      <c r="DV71">
        <v>-0.63833333333333331</v>
      </c>
      <c r="DW71">
        <v>-3.0522499999999999</v>
      </c>
      <c r="DX71">
        <v>0.3393118012422347</v>
      </c>
      <c r="DY71">
        <v>-3.0067565416149069</v>
      </c>
      <c r="DZ71">
        <v>933</v>
      </c>
      <c r="EA71">
        <v>-3.0055229108269015</v>
      </c>
      <c r="EB71" s="13">
        <v>3</v>
      </c>
      <c r="EC71" s="13">
        <v>3.6842996615162944E-2</v>
      </c>
      <c r="ED71">
        <v>0.28491596483252163</v>
      </c>
      <c r="EE71">
        <v>3.0516999999999999</v>
      </c>
      <c r="EF71">
        <v>3.0323000000000002</v>
      </c>
      <c r="EG71">
        <v>21.129311801242235</v>
      </c>
      <c r="EH71" s="14" t="s">
        <v>1306</v>
      </c>
      <c r="EI71">
        <v>0</v>
      </c>
      <c r="EJ71">
        <v>1</v>
      </c>
      <c r="EK71">
        <v>45470</v>
      </c>
      <c r="EL71">
        <v>-1.39</v>
      </c>
      <c r="EM71">
        <v>-4.22</v>
      </c>
      <c r="EN71">
        <v>2.13</v>
      </c>
      <c r="EO71">
        <v>2.33</v>
      </c>
      <c r="EP71">
        <v>-1.94</v>
      </c>
    </row>
    <row r="72" spans="1:146" ht="96" x14ac:dyDescent="0.25">
      <c r="C72" s="9" t="str">
        <f>""&amp;CHAR(10)&amp;Basic_Fundamental_Information_Constructure(F72)&amp;CHAR(10)&amp;Basic_Fundamental_Information_Concatenate("")</f>
        <v xml:space="preserve">
市值7.6976942亿, 利润9246.80万; PE; 平均PE-14.34; 平均PEG-.58, PB1.69; ROIC4.17%; ROE2.6933%; 股利率0%; 毛利13.7667%; 净利-.6267%; 上一年度营收增-78.63%, 利润增976.65%; 当季营收增130.77%, 利润增-748.77%; 过往5年营收增24.68%, 利润增103.28%
Income profile:
</v>
      </c>
      <c r="D72" t="s">
        <v>1562</v>
      </c>
      <c r="E72" t="s">
        <v>2330</v>
      </c>
      <c r="F72">
        <v>1.57</v>
      </c>
      <c r="G72">
        <v>1.29</v>
      </c>
      <c r="H72" t="s">
        <v>3332</v>
      </c>
      <c r="I72">
        <v>769769420</v>
      </c>
      <c r="K72">
        <v>1.69</v>
      </c>
      <c r="L72" t="s">
        <v>973</v>
      </c>
      <c r="M72" t="s">
        <v>1412</v>
      </c>
      <c r="N72" t="s">
        <v>450</v>
      </c>
      <c r="O72" t="s">
        <v>153</v>
      </c>
      <c r="P72" s="6">
        <v>-43.54</v>
      </c>
      <c r="Q72" t="s">
        <v>76</v>
      </c>
      <c r="R72">
        <v>-84085455</v>
      </c>
      <c r="S72">
        <v>-2.2080000000000002</v>
      </c>
      <c r="T72" t="s">
        <v>3333</v>
      </c>
      <c r="U72">
        <v>490298990</v>
      </c>
      <c r="V72">
        <v>490298990</v>
      </c>
      <c r="W72">
        <v>8.01</v>
      </c>
      <c r="X72">
        <v>7.0000000000000007E-2</v>
      </c>
      <c r="Y72">
        <v>-33.32</v>
      </c>
      <c r="Z72" t="s">
        <v>330</v>
      </c>
      <c r="AA72" t="s">
        <v>448</v>
      </c>
      <c r="AB72" t="s">
        <v>3334</v>
      </c>
      <c r="AC72" t="s">
        <v>3335</v>
      </c>
      <c r="AD72" t="s">
        <v>5</v>
      </c>
      <c r="AE72">
        <v>9805096</v>
      </c>
      <c r="AF72" t="s">
        <v>2331</v>
      </c>
      <c r="AG72" t="s">
        <v>3336</v>
      </c>
      <c r="AH72" t="s">
        <v>2332</v>
      </c>
      <c r="AI72" t="s">
        <v>668</v>
      </c>
      <c r="AJ72" t="s">
        <v>5</v>
      </c>
      <c r="AK72" t="s">
        <v>35</v>
      </c>
      <c r="AL72" t="s">
        <v>2333</v>
      </c>
      <c r="AM72" t="s">
        <v>5</v>
      </c>
      <c r="AN72">
        <v>0</v>
      </c>
      <c r="AO72" t="s">
        <v>236</v>
      </c>
      <c r="AP72" t="s">
        <v>491</v>
      </c>
      <c r="AQ72" t="s">
        <v>1363</v>
      </c>
      <c r="AR72" t="s">
        <v>5</v>
      </c>
      <c r="AS72" t="s">
        <v>641</v>
      </c>
      <c r="AT72" t="s">
        <v>5</v>
      </c>
      <c r="AU72" t="s">
        <v>3337</v>
      </c>
      <c r="AV72" t="s">
        <v>3338</v>
      </c>
      <c r="AW72" t="s">
        <v>3339</v>
      </c>
      <c r="AX72" t="s">
        <v>1563</v>
      </c>
      <c r="AY72" t="s">
        <v>1548</v>
      </c>
      <c r="AZ72" t="s">
        <v>1316</v>
      </c>
      <c r="BA72" t="s">
        <v>535</v>
      </c>
      <c r="BB72" t="s">
        <v>1350</v>
      </c>
      <c r="BC72" t="s">
        <v>1564</v>
      </c>
      <c r="BD72" t="s">
        <v>1565</v>
      </c>
      <c r="BE72" t="s">
        <v>1566</v>
      </c>
      <c r="BF72" t="s">
        <v>1567</v>
      </c>
      <c r="BG72" t="s">
        <v>200</v>
      </c>
      <c r="BH72" t="s">
        <v>2329</v>
      </c>
      <c r="BI72" t="s">
        <v>263</v>
      </c>
      <c r="BJ72" t="s">
        <v>1563</v>
      </c>
      <c r="BK72" t="s">
        <v>1700</v>
      </c>
      <c r="BL72" t="s">
        <v>3340</v>
      </c>
      <c r="BM72" t="s">
        <v>1564</v>
      </c>
      <c r="BN72">
        <v>2.33</v>
      </c>
      <c r="BO72">
        <v>5.18</v>
      </c>
      <c r="BP72">
        <v>5</v>
      </c>
      <c r="BQ72">
        <v>2.15</v>
      </c>
      <c r="BR72">
        <v>1.31</v>
      </c>
      <c r="BS72">
        <v>4.62</v>
      </c>
      <c r="BT72" t="s">
        <v>1280</v>
      </c>
      <c r="BU72" t="s">
        <v>2777</v>
      </c>
      <c r="BV72">
        <v>11.76</v>
      </c>
      <c r="BW72">
        <v>10.06</v>
      </c>
      <c r="BX72">
        <v>19.48</v>
      </c>
      <c r="BY72">
        <v>-5.64</v>
      </c>
      <c r="BZ72">
        <v>0.79</v>
      </c>
      <c r="CA72">
        <v>2.97</v>
      </c>
      <c r="CB72">
        <v>6.08</v>
      </c>
      <c r="CC72" s="10">
        <v>-25.24</v>
      </c>
      <c r="CD72" s="11" t="s">
        <v>3341</v>
      </c>
      <c r="CE72" s="10" t="s">
        <v>582</v>
      </c>
      <c r="CF72" s="10">
        <v>1.3076923076923077</v>
      </c>
      <c r="CG72" s="10">
        <v>-7.4876747577310043</v>
      </c>
      <c r="CH72" s="10">
        <v>-0.78633540868759155</v>
      </c>
      <c r="CI72" s="10">
        <v>2.0931797027587891</v>
      </c>
      <c r="CJ72" s="11">
        <v>-0.25854700803756714</v>
      </c>
      <c r="CK72" s="11">
        <v>5.7306592352688313E-3</v>
      </c>
      <c r="CL72" s="11">
        <v>0.18005065619945526</v>
      </c>
      <c r="CM72" s="11">
        <v>9.7664909362792969</v>
      </c>
      <c r="CN72" s="11">
        <v>-0.70712703466415405</v>
      </c>
      <c r="CO72">
        <v>0.24015697836875916</v>
      </c>
      <c r="CP72">
        <v>1.0377734899520874</v>
      </c>
      <c r="CQ72">
        <v>-5.1733331680297852</v>
      </c>
      <c r="CR72" s="10">
        <v>-14.344763571276163</v>
      </c>
      <c r="CS72" s="11">
        <v>-0.58119327059914205</v>
      </c>
      <c r="CT72">
        <v>0</v>
      </c>
      <c r="CU72">
        <v>0.24681572029367088</v>
      </c>
      <c r="CV72">
        <v>1.0327922403812408</v>
      </c>
      <c r="CW72">
        <v>0.06</v>
      </c>
      <c r="CX72">
        <v>34.071442802117822</v>
      </c>
      <c r="CY72">
        <v>108764675.49444826</v>
      </c>
      <c r="CZ72">
        <v>0.24681572029367088</v>
      </c>
      <c r="DA72">
        <v>9.7736792889883581</v>
      </c>
      <c r="DB72">
        <v>379158074.50067991</v>
      </c>
      <c r="DC72">
        <v>0.23447493427898733</v>
      </c>
      <c r="DD72">
        <v>4.0040719784085983</v>
      </c>
      <c r="DE72">
        <v>925500200.79130602</v>
      </c>
      <c r="DF72">
        <v>0.21719783385843039</v>
      </c>
      <c r="DG72">
        <v>1.9290412021522823</v>
      </c>
      <c r="DH72">
        <v>1921042130.0827453</v>
      </c>
      <c r="DI72">
        <v>0.19745257623493673</v>
      </c>
      <c r="DJ72">
        <v>0.58802957419966251</v>
      </c>
      <c r="DK72">
        <v>6302011977.9583139</v>
      </c>
      <c r="DL72">
        <v>0.17277100420556959</v>
      </c>
      <c r="DM72">
        <v>92468000</v>
      </c>
      <c r="DN72">
        <v>0.24681572029367088</v>
      </c>
      <c r="DO72">
        <v>3705769420</v>
      </c>
      <c r="DP72">
        <v>-266197400</v>
      </c>
      <c r="DQ72" s="12">
        <v>4399</v>
      </c>
      <c r="DR72">
        <v>1.0608765873986368</v>
      </c>
      <c r="DS72">
        <v>-8.5204669981122443</v>
      </c>
      <c r="DT72">
        <v>-0.49000000000000005</v>
      </c>
      <c r="DU72">
        <v>-1.1483333333333334</v>
      </c>
      <c r="DV72">
        <v>-1.6383333333333334</v>
      </c>
      <c r="DW72">
        <v>7.1941251596424012</v>
      </c>
      <c r="DX72">
        <v>0.33631749502982045</v>
      </c>
      <c r="DY72">
        <v>7.0206389006954444</v>
      </c>
      <c r="DZ72">
        <v>1853</v>
      </c>
      <c r="EA72">
        <v>7.0131547748659617</v>
      </c>
      <c r="EB72" s="13">
        <v>7</v>
      </c>
      <c r="EC72" s="13">
        <v>0.10907160954991975</v>
      </c>
      <c r="ED72">
        <v>1.0259046219940204</v>
      </c>
      <c r="EE72">
        <v>5.0667999999999997</v>
      </c>
      <c r="EF72">
        <v>5.0308000000000002</v>
      </c>
      <c r="EG72">
        <v>23.10631749502982</v>
      </c>
      <c r="EH72" s="14" t="s">
        <v>1763</v>
      </c>
      <c r="EI72">
        <v>1</v>
      </c>
      <c r="EJ72">
        <v>0</v>
      </c>
      <c r="EK72">
        <v>45470</v>
      </c>
      <c r="EL72">
        <v>-1.73</v>
      </c>
      <c r="EM72">
        <v>-3.05</v>
      </c>
      <c r="EN72">
        <v>3.98</v>
      </c>
      <c r="EO72">
        <v>1.18</v>
      </c>
      <c r="EP72">
        <v>-3.6</v>
      </c>
    </row>
    <row r="73" spans="1:146" ht="96" x14ac:dyDescent="0.25">
      <c r="A73" s="9"/>
      <c r="B73" s="9"/>
      <c r="C73" s="9" t="str">
        <f>""&amp;CHAR(10)&amp;Basic_Fundamental_Information_Constructure(F73)&amp;CHAR(10)&amp;Basic_Fundamental_Information_Concatenate("")</f>
        <v xml:space="preserve">
市值27.124023亿, 利润5757.59万; PE22.85; 平均PE28.15; 平均PEG2.38, PB2.16; ROIC7.6067%; ROE7.6467%; 股利率5.1617%; 毛利17.66%; 净利8.8833%; 上一年度营收增60.2%, 利润增-41.65%; 当季营收增-51.69%, 利润增.68%; 过往5年营收增11.85%, 利润增-6.84%
Income profile:
</v>
      </c>
      <c r="D73" t="s">
        <v>845</v>
      </c>
      <c r="E73" t="s">
        <v>3342</v>
      </c>
      <c r="F73">
        <v>14.53</v>
      </c>
      <c r="G73">
        <v>-0.34</v>
      </c>
      <c r="H73" t="s">
        <v>3343</v>
      </c>
      <c r="I73">
        <v>2712402300</v>
      </c>
      <c r="J73">
        <v>22.85</v>
      </c>
      <c r="K73">
        <v>2.16</v>
      </c>
      <c r="L73" t="s">
        <v>973</v>
      </c>
      <c r="M73" t="s">
        <v>374</v>
      </c>
      <c r="N73" t="s">
        <v>647</v>
      </c>
      <c r="O73" t="s">
        <v>483</v>
      </c>
      <c r="P73">
        <v>12.29</v>
      </c>
      <c r="Q73" t="s">
        <v>1694</v>
      </c>
      <c r="R73">
        <v>24079730</v>
      </c>
      <c r="S73" s="6">
        <v>1.2070000000000001</v>
      </c>
      <c r="T73" t="s">
        <v>3344</v>
      </c>
      <c r="U73">
        <v>186676000</v>
      </c>
      <c r="V73">
        <v>186676000</v>
      </c>
      <c r="W73">
        <v>1.24</v>
      </c>
      <c r="X73">
        <v>0.14000000000000001</v>
      </c>
      <c r="Y73">
        <v>11.19</v>
      </c>
      <c r="Z73" t="s">
        <v>218</v>
      </c>
      <c r="AA73" t="s">
        <v>195</v>
      </c>
      <c r="AB73" t="s">
        <v>3345</v>
      </c>
      <c r="AC73" t="s">
        <v>3346</v>
      </c>
      <c r="AD73" t="s">
        <v>5</v>
      </c>
      <c r="AE73">
        <v>-3438305</v>
      </c>
      <c r="AF73" t="s">
        <v>2334</v>
      </c>
      <c r="AG73">
        <v>954.31</v>
      </c>
      <c r="AH73" t="s">
        <v>2335</v>
      </c>
      <c r="AI73" t="s">
        <v>117</v>
      </c>
      <c r="AJ73" t="s">
        <v>2336</v>
      </c>
      <c r="AK73" t="s">
        <v>3347</v>
      </c>
      <c r="AL73" t="s">
        <v>2337</v>
      </c>
      <c r="AM73" t="s">
        <v>5</v>
      </c>
      <c r="AN73" t="s">
        <v>192</v>
      </c>
      <c r="AO73" t="s">
        <v>5</v>
      </c>
      <c r="AP73" t="s">
        <v>3348</v>
      </c>
      <c r="AQ73" t="s">
        <v>311</v>
      </c>
      <c r="AR73" t="s">
        <v>5</v>
      </c>
      <c r="AS73" t="s">
        <v>98</v>
      </c>
      <c r="AT73" t="s">
        <v>5</v>
      </c>
      <c r="AU73" t="s">
        <v>3349</v>
      </c>
      <c r="AV73" t="s">
        <v>3350</v>
      </c>
      <c r="AW73" t="s">
        <v>3351</v>
      </c>
      <c r="AX73" t="s">
        <v>1132</v>
      </c>
      <c r="AY73" t="s">
        <v>1053</v>
      </c>
      <c r="AZ73" t="s">
        <v>846</v>
      </c>
      <c r="BA73" t="s">
        <v>553</v>
      </c>
      <c r="BB73" t="s">
        <v>36</v>
      </c>
      <c r="BC73" t="s">
        <v>1432</v>
      </c>
      <c r="BD73" t="s">
        <v>1054</v>
      </c>
      <c r="BE73" t="s">
        <v>35</v>
      </c>
      <c r="BF73" t="s">
        <v>29</v>
      </c>
      <c r="BG73" t="s">
        <v>139</v>
      </c>
      <c r="BH73" t="s">
        <v>1422</v>
      </c>
      <c r="BI73" t="s">
        <v>329</v>
      </c>
      <c r="BJ73" t="s">
        <v>1132</v>
      </c>
      <c r="BK73" t="s">
        <v>110</v>
      </c>
      <c r="BL73" t="s">
        <v>3352</v>
      </c>
      <c r="BM73" t="s">
        <v>1432</v>
      </c>
      <c r="BN73">
        <v>5.82</v>
      </c>
      <c r="BO73">
        <v>8.36</v>
      </c>
      <c r="BP73">
        <v>8.64</v>
      </c>
      <c r="BQ73">
        <v>6.41</v>
      </c>
      <c r="BR73">
        <v>8.51</v>
      </c>
      <c r="BS73">
        <v>8.02</v>
      </c>
      <c r="BT73" t="s">
        <v>2338</v>
      </c>
      <c r="BU73" t="s">
        <v>2631</v>
      </c>
      <c r="BV73">
        <v>20.010000000000002</v>
      </c>
      <c r="BW73">
        <v>17.16</v>
      </c>
      <c r="BX73">
        <v>15.81</v>
      </c>
      <c r="BY73">
        <v>10.59</v>
      </c>
      <c r="BZ73">
        <v>9.67</v>
      </c>
      <c r="CA73">
        <v>6.39</v>
      </c>
      <c r="CB73">
        <v>-5.77</v>
      </c>
      <c r="CC73">
        <v>-8.16</v>
      </c>
      <c r="CD73" t="s">
        <v>3353</v>
      </c>
      <c r="CE73" t="s">
        <v>3354</v>
      </c>
      <c r="CF73" s="10">
        <v>-0.5168539325842697</v>
      </c>
      <c r="CG73" s="11">
        <v>6.8207855631653332E-3</v>
      </c>
      <c r="CH73" s="10">
        <v>0.60196077823638916</v>
      </c>
      <c r="CI73" s="10">
        <v>-0.14069086313247681</v>
      </c>
      <c r="CJ73" s="10">
        <v>8.0072790384292603E-2</v>
      </c>
      <c r="CK73" s="10">
        <v>0.10898089408874512</v>
      </c>
      <c r="CL73" s="10">
        <v>-5.7984791696071625E-2</v>
      </c>
      <c r="CM73" s="11">
        <v>-0.41645297408103943</v>
      </c>
      <c r="CN73" s="11">
        <v>0.30096781253814697</v>
      </c>
      <c r="CO73" s="11">
        <v>-0.35728812217712402</v>
      </c>
      <c r="CP73" s="11">
        <v>-4.0650404989719391E-2</v>
      </c>
      <c r="CQ73" s="11">
        <v>0.17142857611179352</v>
      </c>
      <c r="CR73">
        <v>28.152465405817487</v>
      </c>
      <c r="CS73">
        <v>2.3763819820057317</v>
      </c>
      <c r="CT73">
        <v>5.1617343427391607</v>
      </c>
      <c r="CU73" s="10">
        <v>0.1184677615761757</v>
      </c>
      <c r="CV73" s="11">
        <v>-6.8399022519588473E-2</v>
      </c>
      <c r="CW73">
        <v>0.06</v>
      </c>
      <c r="CX73">
        <v>29.503745407067168</v>
      </c>
      <c r="CY73">
        <v>60751686.786541268</v>
      </c>
      <c r="CZ73">
        <v>0.1184677615761757</v>
      </c>
      <c r="DA73">
        <v>9.412646865450089</v>
      </c>
      <c r="DB73">
        <v>190424895.95346057</v>
      </c>
      <c r="DC73">
        <v>0.1125443734973669</v>
      </c>
      <c r="DD73">
        <v>4.4855633695161679</v>
      </c>
      <c r="DE73">
        <v>399593574.39494526</v>
      </c>
      <c r="DF73">
        <v>0.10425163018703461</v>
      </c>
      <c r="DG73">
        <v>2.5955354701691267</v>
      </c>
      <c r="DH73">
        <v>690571298.52407908</v>
      </c>
      <c r="DI73">
        <v>9.4774209260940559E-2</v>
      </c>
      <c r="DJ73">
        <v>1.2339055366759286</v>
      </c>
      <c r="DK73">
        <v>1452625218.6440706</v>
      </c>
      <c r="DL73">
        <v>8.2927433103322984E-2</v>
      </c>
      <c r="DM73">
        <v>57575900</v>
      </c>
      <c r="DN73">
        <v>0.1184677615761757</v>
      </c>
      <c r="DO73">
        <v>1792402300</v>
      </c>
      <c r="DP73">
        <v>844714990</v>
      </c>
      <c r="DQ73">
        <v>4522</v>
      </c>
      <c r="DR73">
        <v>-0.63532169416044537</v>
      </c>
      <c r="DS73">
        <v>7.5219808082753803E-2</v>
      </c>
      <c r="DT73" s="12">
        <v>-0.10666666666666669</v>
      </c>
      <c r="DU73">
        <v>-5.000000000000001E-2</v>
      </c>
      <c r="DV73">
        <v>-0.1566666666666667</v>
      </c>
      <c r="DW73">
        <v>-8.7071078431372548</v>
      </c>
      <c r="DX73">
        <v>0.26673437909257547</v>
      </c>
      <c r="DY73">
        <v>-8.0754727165887452</v>
      </c>
      <c r="DZ73">
        <v>2828</v>
      </c>
      <c r="EA73">
        <v>-8.0337042542574402</v>
      </c>
      <c r="EB73">
        <v>8</v>
      </c>
      <c r="EC73">
        <v>4.7151213867878038E-2</v>
      </c>
      <c r="ED73">
        <v>0.44176219760440549</v>
      </c>
      <c r="EE73" s="13">
        <v>-4.0593000000000004</v>
      </c>
      <c r="EF73">
        <v>-4.0433000000000003</v>
      </c>
      <c r="EG73">
        <v>16.106734379092575</v>
      </c>
      <c r="EH73" t="s">
        <v>2661</v>
      </c>
      <c r="EI73">
        <v>0</v>
      </c>
      <c r="EJ73">
        <v>0</v>
      </c>
      <c r="EK73" s="14">
        <v>45470</v>
      </c>
      <c r="EL73">
        <v>-0.88</v>
      </c>
      <c r="EM73">
        <v>-4.08</v>
      </c>
      <c r="EN73">
        <v>1.1100000000000001</v>
      </c>
      <c r="EO73">
        <v>2.93</v>
      </c>
      <c r="EP73">
        <v>-1.6</v>
      </c>
    </row>
    <row r="74" spans="1:146" ht="96" x14ac:dyDescent="0.25">
      <c r="A74" s="9"/>
      <c r="B74" s="9"/>
      <c r="C74" s="9" t="str">
        <f>""&amp;CHAR(10)&amp;Basic_Fundamental_Information_Constructure(F74)&amp;CHAR(10)&amp;Basic_Fundamental_Information_Concatenate("")</f>
        <v xml:space="preserve">
市值107.087675亿, 利润8.09亿; PE46.01; 平均PE17.92; 平均PEG.29, PB1.26; ROIC11.2767%; ROE16.3033%; 股利率1.3667%; 毛利11.06%; 净利5.3933%; 上一年度营收增-86.95%, 利润增-40.21%; 当季营收增288.22%, 利润增-117.73%; 过往5年营收增61.07%, 利润增84.14%
Income profile:
</v>
      </c>
      <c r="D74" t="s">
        <v>847</v>
      </c>
      <c r="E74" t="s">
        <v>848</v>
      </c>
      <c r="F74">
        <v>22.17</v>
      </c>
      <c r="G74">
        <v>-0.09</v>
      </c>
      <c r="H74" t="s">
        <v>3355</v>
      </c>
      <c r="I74">
        <v>10708767500</v>
      </c>
      <c r="J74">
        <v>46.01</v>
      </c>
      <c r="K74">
        <v>1.26</v>
      </c>
      <c r="L74" t="s">
        <v>973</v>
      </c>
      <c r="M74" t="s">
        <v>2339</v>
      </c>
      <c r="N74" t="s">
        <v>3356</v>
      </c>
      <c r="O74" t="s">
        <v>2340</v>
      </c>
      <c r="P74">
        <v>-55.88</v>
      </c>
      <c r="Q74" t="s">
        <v>1928</v>
      </c>
      <c r="R74">
        <v>-37241586</v>
      </c>
      <c r="S74" s="6">
        <v>-1.1200000000000001</v>
      </c>
      <c r="T74" t="s">
        <v>1873</v>
      </c>
      <c r="U74">
        <v>315452830</v>
      </c>
      <c r="V74">
        <v>483029660</v>
      </c>
      <c r="W74">
        <v>2.42</v>
      </c>
      <c r="X74">
        <v>0.15</v>
      </c>
      <c r="Y74">
        <v>-1.02</v>
      </c>
      <c r="Z74" t="s">
        <v>3357</v>
      </c>
      <c r="AA74" t="s">
        <v>919</v>
      </c>
      <c r="AB74" t="s">
        <v>3358</v>
      </c>
      <c r="AC74" t="s">
        <v>3359</v>
      </c>
      <c r="AD74" t="s">
        <v>5</v>
      </c>
      <c r="AE74">
        <v>16122302</v>
      </c>
      <c r="AF74" t="s">
        <v>2342</v>
      </c>
      <c r="AG74" t="s">
        <v>3360</v>
      </c>
      <c r="AH74" t="s">
        <v>2343</v>
      </c>
      <c r="AI74" t="s">
        <v>3361</v>
      </c>
      <c r="AJ74" t="s">
        <v>2344</v>
      </c>
      <c r="AK74" t="s">
        <v>5</v>
      </c>
      <c r="AL74" t="s">
        <v>2345</v>
      </c>
      <c r="AM74" t="s">
        <v>5</v>
      </c>
      <c r="AN74" t="s">
        <v>3362</v>
      </c>
      <c r="AO74" t="s">
        <v>226</v>
      </c>
      <c r="AP74" t="s">
        <v>1736</v>
      </c>
      <c r="AQ74" t="s">
        <v>3363</v>
      </c>
      <c r="AR74" t="s">
        <v>5</v>
      </c>
      <c r="AS74" t="s">
        <v>3364</v>
      </c>
      <c r="AT74" t="s">
        <v>3365</v>
      </c>
      <c r="AU74" t="s">
        <v>3366</v>
      </c>
      <c r="AV74" t="s">
        <v>2262</v>
      </c>
      <c r="AW74" t="s">
        <v>649</v>
      </c>
      <c r="AX74" t="s">
        <v>1433</v>
      </c>
      <c r="AY74" t="s">
        <v>1055</v>
      </c>
      <c r="AZ74" t="s">
        <v>849</v>
      </c>
      <c r="BA74" t="s">
        <v>850</v>
      </c>
      <c r="BB74" t="s">
        <v>264</v>
      </c>
      <c r="BC74" t="s">
        <v>1399</v>
      </c>
      <c r="BD74" t="s">
        <v>940</v>
      </c>
      <c r="BE74" t="s">
        <v>313</v>
      </c>
      <c r="BF74" t="s">
        <v>851</v>
      </c>
      <c r="BG74" t="s">
        <v>313</v>
      </c>
      <c r="BH74" t="s">
        <v>2341</v>
      </c>
      <c r="BI74" t="s">
        <v>182</v>
      </c>
      <c r="BJ74" t="s">
        <v>1433</v>
      </c>
      <c r="BK74" t="s">
        <v>496</v>
      </c>
      <c r="BL74" t="s">
        <v>163</v>
      </c>
      <c r="BM74" t="s">
        <v>1399</v>
      </c>
      <c r="BN74">
        <v>4.5599999999999996</v>
      </c>
      <c r="BO74">
        <v>13.68</v>
      </c>
      <c r="BP74">
        <v>15.59</v>
      </c>
      <c r="BQ74">
        <v>8.56</v>
      </c>
      <c r="BR74">
        <v>21.94</v>
      </c>
      <c r="BS74">
        <v>18.41</v>
      </c>
      <c r="BT74" t="s">
        <v>2346</v>
      </c>
      <c r="BU74" t="s">
        <v>2508</v>
      </c>
      <c r="BV74">
        <v>8.58</v>
      </c>
      <c r="BW74">
        <v>9.26</v>
      </c>
      <c r="BX74">
        <v>15.34</v>
      </c>
      <c r="BY74">
        <v>2.77</v>
      </c>
      <c r="BZ74">
        <v>4.5599999999999996</v>
      </c>
      <c r="CA74">
        <v>8.85</v>
      </c>
      <c r="CB74">
        <v>-4.7699999999999996</v>
      </c>
      <c r="CC74">
        <v>-23.26</v>
      </c>
      <c r="CD74" t="s">
        <v>3367</v>
      </c>
      <c r="CE74" t="s">
        <v>1543</v>
      </c>
      <c r="CF74" s="10">
        <v>2.8822292323869609</v>
      </c>
      <c r="CG74" s="11">
        <v>-1.1773408857142857</v>
      </c>
      <c r="CH74" s="10">
        <v>-0.86946851015090942</v>
      </c>
      <c r="CI74" s="10">
        <v>1.9362509250640869</v>
      </c>
      <c r="CJ74" s="10">
        <v>1.7032938003540039</v>
      </c>
      <c r="CK74" s="10">
        <v>-9.427209198474884E-2</v>
      </c>
      <c r="CL74" s="10">
        <v>0.37783631682395935</v>
      </c>
      <c r="CM74" s="11">
        <v>-0.40206944942474365</v>
      </c>
      <c r="CN74" s="11">
        <v>0.48518106341362</v>
      </c>
      <c r="CO74" s="11">
        <v>3.2769954204559326</v>
      </c>
      <c r="CP74" s="11">
        <v>1.4366081953048706</v>
      </c>
      <c r="CQ74" s="11">
        <v>-0.58959341049194336</v>
      </c>
      <c r="CR74">
        <v>17.915544167400967</v>
      </c>
      <c r="CS74">
        <v>0.29334730985513097</v>
      </c>
      <c r="CT74">
        <v>1.3667117726657643</v>
      </c>
      <c r="CU74" s="10">
        <v>0.61072808802127843</v>
      </c>
      <c r="CV74" s="11">
        <v>0.84142436385154729</v>
      </c>
      <c r="CW74">
        <v>0.06</v>
      </c>
      <c r="CX74">
        <v>12.19273218816071</v>
      </c>
      <c r="CY74">
        <v>1229319833.2162397</v>
      </c>
      <c r="CZ74">
        <v>0.61072808802127843</v>
      </c>
      <c r="DA74">
        <v>2.6369950745380466</v>
      </c>
      <c r="DB74">
        <v>5684033180.3144379</v>
      </c>
      <c r="DC74">
        <v>0.58019168362021445</v>
      </c>
      <c r="DD74">
        <v>0.69235909818986074</v>
      </c>
      <c r="DE74">
        <v>21648834454.818901</v>
      </c>
      <c r="DF74">
        <v>0.53744071745872501</v>
      </c>
      <c r="DG74">
        <v>0.18501910303867863</v>
      </c>
      <c r="DH74">
        <v>81011999592.639725</v>
      </c>
      <c r="DI74">
        <v>0.48858247041702274</v>
      </c>
      <c r="DJ74">
        <v>1.242146392442222E-2</v>
      </c>
      <c r="DK74">
        <v>1206682850845.7949</v>
      </c>
      <c r="DL74">
        <v>0.4275096616148949</v>
      </c>
      <c r="DM74">
        <v>809000000</v>
      </c>
      <c r="DN74">
        <v>0.61072808802127843</v>
      </c>
      <c r="DO74">
        <v>14988767500</v>
      </c>
      <c r="DP74">
        <v>6446211000.000001</v>
      </c>
      <c r="DQ74">
        <v>4544</v>
      </c>
      <c r="DR74">
        <v>2.2715011443656827</v>
      </c>
      <c r="DS74">
        <v>-2.018765249565833</v>
      </c>
      <c r="DT74" s="12">
        <v>-9.000000000000008E-2</v>
      </c>
      <c r="DU74">
        <v>-0.3833333333333333</v>
      </c>
      <c r="DV74">
        <v>-0.47333333333333338</v>
      </c>
      <c r="DW74">
        <v>-8.2050730868443686</v>
      </c>
      <c r="DX74">
        <v>0.32945480769230856</v>
      </c>
      <c r="DY74">
        <v>-8.0265476970203053</v>
      </c>
      <c r="DZ74">
        <v>750</v>
      </c>
      <c r="EA74">
        <v>-8.0226512639938417</v>
      </c>
      <c r="EB74">
        <v>8</v>
      </c>
      <c r="EC74">
        <v>5.5745231048544723E-2</v>
      </c>
      <c r="ED74">
        <v>0.43061537877404876</v>
      </c>
      <c r="EE74" s="13">
        <v>-3.0750099999999998</v>
      </c>
      <c r="EF74">
        <v>-3.1068099999999998</v>
      </c>
      <c r="EG74">
        <v>20.129454807692309</v>
      </c>
      <c r="EH74" t="s">
        <v>1597</v>
      </c>
      <c r="EI74">
        <v>0</v>
      </c>
      <c r="EJ74">
        <v>1</v>
      </c>
      <c r="EK74" s="14">
        <v>45470</v>
      </c>
      <c r="EL74">
        <v>-1.33</v>
      </c>
      <c r="EM74">
        <v>-4.43</v>
      </c>
      <c r="EN74">
        <v>0.28000000000000003</v>
      </c>
      <c r="EO74">
        <v>2.7</v>
      </c>
      <c r="EP74">
        <v>-3.18</v>
      </c>
    </row>
    <row r="75" spans="1:146" ht="96" x14ac:dyDescent="0.25">
      <c r="A75" s="9"/>
      <c r="B75" s="9"/>
      <c r="C75" s="9" t="str">
        <f>""&amp;CHAR(10)&amp;Basic_Fundamental_Information_Constructure(F75)&amp;CHAR(10)&amp;Basic_Fundamental_Information_Concatenate("")</f>
        <v xml:space="preserve">
市值102.080961亿, 利润1.03亿; PE13.23; 平均PE34.45; 平均PEG1.7, PB1.93; ROIC12.68%; ROE13.4533%; 股利率2.0106%; 毛利32.23%; 净利14.75%; 上一年度营收增-35.93%, 利润增-79.02%; 当季营收增92.59%, 利润增1166.78%; 过往5年营收增20.32%, 利润增4.53%
Income profile:
</v>
      </c>
      <c r="D75" t="s">
        <v>852</v>
      </c>
      <c r="E75" t="s">
        <v>853</v>
      </c>
      <c r="F75">
        <v>16.91</v>
      </c>
      <c r="G75">
        <v>0.59</v>
      </c>
      <c r="H75" t="s">
        <v>3368</v>
      </c>
      <c r="I75">
        <v>10208096100</v>
      </c>
      <c r="J75">
        <v>13.23</v>
      </c>
      <c r="K75">
        <v>1.93</v>
      </c>
      <c r="L75" t="s">
        <v>973</v>
      </c>
      <c r="M75" t="s">
        <v>1547</v>
      </c>
      <c r="N75" t="s">
        <v>3369</v>
      </c>
      <c r="O75" t="s">
        <v>2065</v>
      </c>
      <c r="P75">
        <v>-7.01</v>
      </c>
      <c r="Q75" t="s">
        <v>595</v>
      </c>
      <c r="R75">
        <v>172974410</v>
      </c>
      <c r="S75" s="6">
        <v>-0.1774</v>
      </c>
      <c r="T75" t="s">
        <v>49</v>
      </c>
      <c r="U75">
        <v>603672150</v>
      </c>
      <c r="V75">
        <v>603672150</v>
      </c>
      <c r="W75">
        <v>1.91</v>
      </c>
      <c r="X75">
        <v>0.09</v>
      </c>
      <c r="Y75">
        <v>19.57</v>
      </c>
      <c r="Z75" t="s">
        <v>1710</v>
      </c>
      <c r="AA75" t="s">
        <v>173</v>
      </c>
      <c r="AB75" t="s">
        <v>3370</v>
      </c>
      <c r="AC75" t="s">
        <v>3371</v>
      </c>
      <c r="AD75" t="s">
        <v>5</v>
      </c>
      <c r="AE75">
        <v>-28147041</v>
      </c>
      <c r="AF75" t="s">
        <v>2347</v>
      </c>
      <c r="AG75" t="s">
        <v>3372</v>
      </c>
      <c r="AH75" t="s">
        <v>2348</v>
      </c>
      <c r="AI75" t="s">
        <v>2007</v>
      </c>
      <c r="AJ75" t="s">
        <v>2349</v>
      </c>
      <c r="AK75" t="s">
        <v>3373</v>
      </c>
      <c r="AL75" t="s">
        <v>2350</v>
      </c>
      <c r="AM75" t="s">
        <v>5</v>
      </c>
      <c r="AN75">
        <v>0</v>
      </c>
      <c r="AO75" t="s">
        <v>3374</v>
      </c>
      <c r="AP75" t="s">
        <v>3375</v>
      </c>
      <c r="AQ75" t="s">
        <v>1638</v>
      </c>
      <c r="AR75" t="s">
        <v>3376</v>
      </c>
      <c r="AS75" t="s">
        <v>2895</v>
      </c>
      <c r="AT75" t="s">
        <v>5</v>
      </c>
      <c r="AU75" t="s">
        <v>3377</v>
      </c>
      <c r="AV75" t="s">
        <v>2254</v>
      </c>
      <c r="AW75" t="s">
        <v>3378</v>
      </c>
      <c r="AX75" t="s">
        <v>1201</v>
      </c>
      <c r="AY75" t="s">
        <v>949</v>
      </c>
      <c r="AZ75" t="s">
        <v>488</v>
      </c>
      <c r="BA75" t="s">
        <v>63</v>
      </c>
      <c r="BB75" t="s">
        <v>32</v>
      </c>
      <c r="BC75" t="s">
        <v>401</v>
      </c>
      <c r="BD75" t="s">
        <v>158</v>
      </c>
      <c r="BE75" t="s">
        <v>436</v>
      </c>
      <c r="BF75" t="s">
        <v>127</v>
      </c>
      <c r="BG75" t="s">
        <v>135</v>
      </c>
      <c r="BH75" t="s">
        <v>1928</v>
      </c>
      <c r="BI75" t="s">
        <v>497</v>
      </c>
      <c r="BJ75" t="s">
        <v>1201</v>
      </c>
      <c r="BK75" t="s">
        <v>1873</v>
      </c>
      <c r="BL75" t="s">
        <v>3379</v>
      </c>
      <c r="BM75" t="s">
        <v>401</v>
      </c>
      <c r="BN75">
        <v>14.5</v>
      </c>
      <c r="BO75">
        <v>13.38</v>
      </c>
      <c r="BP75">
        <v>10.16</v>
      </c>
      <c r="BQ75">
        <v>15.66</v>
      </c>
      <c r="BR75">
        <v>15.9</v>
      </c>
      <c r="BS75">
        <v>8.8000000000000007</v>
      </c>
      <c r="BT75" t="s">
        <v>2120</v>
      </c>
      <c r="BU75" t="s">
        <v>2777</v>
      </c>
      <c r="BV75">
        <v>37.54</v>
      </c>
      <c r="BW75">
        <v>32.9</v>
      </c>
      <c r="BX75">
        <v>26.25</v>
      </c>
      <c r="BY75">
        <v>20.58</v>
      </c>
      <c r="BZ75">
        <v>14.2</v>
      </c>
      <c r="CA75">
        <v>9.4700000000000006</v>
      </c>
      <c r="CB75">
        <v>-3.09</v>
      </c>
      <c r="CC75">
        <v>-14.08</v>
      </c>
      <c r="CD75" t="s">
        <v>3380</v>
      </c>
      <c r="CE75" t="s">
        <v>3381</v>
      </c>
      <c r="CF75" s="10">
        <v>0.92592592592592593</v>
      </c>
      <c r="CG75" s="11">
        <v>11.667756157220591</v>
      </c>
      <c r="CH75" s="10">
        <v>-0.3592936098575592</v>
      </c>
      <c r="CI75" s="10">
        <v>0.39105921983718872</v>
      </c>
      <c r="CJ75" s="10">
        <v>0.66309458017349243</v>
      </c>
      <c r="CK75" s="10">
        <v>0.13709063827991486</v>
      </c>
      <c r="CL75" s="10">
        <v>0.18394951522350311</v>
      </c>
      <c r="CM75" s="11">
        <v>-0.79022401571273804</v>
      </c>
      <c r="CN75" s="11">
        <v>1.0893616676330566</v>
      </c>
      <c r="CO75" s="11">
        <v>-0.36827957630157471</v>
      </c>
      <c r="CP75" s="11">
        <v>0.27835050225257874</v>
      </c>
      <c r="CQ75" s="11">
        <v>1.7482517287135124E-2</v>
      </c>
      <c r="CR75">
        <v>34.448018335208104</v>
      </c>
      <c r="CS75">
        <v>1.6954427936907186</v>
      </c>
      <c r="CT75">
        <v>2.0106445890005915</v>
      </c>
      <c r="CU75" s="10">
        <v>0.20318006873130798</v>
      </c>
      <c r="CV75" s="11">
        <v>4.5338219031691551E-2</v>
      </c>
      <c r="CW75">
        <v>0.06</v>
      </c>
      <c r="CX75">
        <v>85.739951418538951</v>
      </c>
      <c r="CY75">
        <v>116912780.26351388</v>
      </c>
      <c r="CZ75">
        <v>0.20318006873130798</v>
      </c>
      <c r="DA75">
        <v>25.490677301664949</v>
      </c>
      <c r="DB75">
        <v>393245576.85822129</v>
      </c>
      <c r="DC75">
        <v>0.19302106529474258</v>
      </c>
      <c r="DD75">
        <v>11.00187648660568</v>
      </c>
      <c r="DE75">
        <v>911126034.9272157</v>
      </c>
      <c r="DF75">
        <v>0.17879846048355102</v>
      </c>
      <c r="DG75">
        <v>5.6554969309655165</v>
      </c>
      <c r="DH75">
        <v>1772451868.042773</v>
      </c>
      <c r="DI75">
        <v>0.1625440549850464</v>
      </c>
      <c r="DJ75">
        <v>2.0273049049753413</v>
      </c>
      <c r="DK75">
        <v>4944542912.809618</v>
      </c>
      <c r="DL75">
        <v>0.14222604811191558</v>
      </c>
      <c r="DM75">
        <v>103000000</v>
      </c>
      <c r="DN75">
        <v>0.20318006873130798</v>
      </c>
      <c r="DO75">
        <v>10024096100</v>
      </c>
      <c r="DP75">
        <v>3735787800</v>
      </c>
      <c r="DQ75">
        <v>4545</v>
      </c>
      <c r="DR75">
        <v>0.72274585719461792</v>
      </c>
      <c r="DS75">
        <v>11.622417938188899</v>
      </c>
      <c r="DT75" s="12">
        <v>-9.0000000000000011E-2</v>
      </c>
      <c r="DU75">
        <v>-5.000000000000001E-2</v>
      </c>
      <c r="DV75">
        <v>-0.14000000000000001</v>
      </c>
      <c r="DW75">
        <v>-8.2194602272727266</v>
      </c>
      <c r="DX75">
        <v>0.29794567513347647</v>
      </c>
      <c r="DY75">
        <v>-8.0302735892160833</v>
      </c>
      <c r="DZ75">
        <v>2210</v>
      </c>
      <c r="EA75">
        <v>-8.0171807062087357</v>
      </c>
      <c r="EB75">
        <v>8</v>
      </c>
      <c r="EC75">
        <v>1.7222593422605299E-2</v>
      </c>
      <c r="ED75">
        <v>0.12485055008749368</v>
      </c>
      <c r="EE75" s="13">
        <v>-3.0938099999999999</v>
      </c>
      <c r="EF75">
        <v>-3.1112099999999998</v>
      </c>
      <c r="EG75">
        <v>16.137945675133476</v>
      </c>
      <c r="EH75" t="s">
        <v>1597</v>
      </c>
      <c r="EI75">
        <v>0</v>
      </c>
      <c r="EJ75">
        <v>0</v>
      </c>
      <c r="EK75" s="14">
        <v>45470</v>
      </c>
      <c r="EL75">
        <v>-1.0900000000000001</v>
      </c>
      <c r="EM75">
        <v>-4.9400000000000004</v>
      </c>
      <c r="EN75">
        <v>-4.53</v>
      </c>
      <c r="EO75">
        <v>3.07</v>
      </c>
      <c r="EP75">
        <v>-1.74</v>
      </c>
    </row>
    <row r="76" spans="1:146" ht="216" x14ac:dyDescent="0.25">
      <c r="A76" s="9" t="s">
        <v>1312</v>
      </c>
      <c r="B76" s="9"/>
      <c r="C76" s="9" t="str">
        <f>"公司的主营业务为于磷酸铁锂电芯、模组及储能电池系统的研发、生产和销售。公司主要产品是储能产品。"&amp;CHAR(10)&amp;Basic_Fundamental_Information_Constructure(F76)&amp;CHAR(10)&amp;Basic_Fundamental_Information_Concatenate("（海外占比98.2%）
储能行业 59.27亿 98.57% 99.42% 34.11%
其他业务 5340.98万 0.89%
其他行业 3245.03万 0.54% 0.58% 36.30%")</f>
        <v>公司的主营业务为于磷酸铁锂电芯、模组及储能电池系统的研发、生产和销售。公司主要产品是储能产品。
市值90.218596亿, 利润3.67亿; PE156.3; 平均PE22.37; 平均PEG.33, PB.951; ROIC16.2967%; ROE17.7733%; 股利率2.8284%; 毛利32.2867%; 净利17.3767%; 上一年度营收增-64.84%, 利润增-71.17%; 当季营收增-23.56%, 利润增-93.04%; 过往5年营收增67.98%, 利润增110.81%
Income profile:
（海外占比98.2%）
储能行业 59.27亿 98.57% 99.42% 34.11%
其他业务 5340.98万 0.89%
其他行业 3245.03万 0.54% 0.58% 36.30%</v>
      </c>
      <c r="D76" t="s">
        <v>854</v>
      </c>
      <c r="E76" t="s">
        <v>855</v>
      </c>
      <c r="F76">
        <v>36.770000000000003</v>
      </c>
      <c r="G76">
        <v>0.85</v>
      </c>
      <c r="H76" t="s">
        <v>3382</v>
      </c>
      <c r="I76">
        <v>9021859600</v>
      </c>
      <c r="J76">
        <v>156.30000000000001</v>
      </c>
      <c r="K76">
        <v>0.95099999999999996</v>
      </c>
      <c r="L76" t="s">
        <v>973</v>
      </c>
      <c r="M76" t="s">
        <v>650</v>
      </c>
      <c r="N76" t="s">
        <v>3383</v>
      </c>
      <c r="O76" t="s">
        <v>544</v>
      </c>
      <c r="P76">
        <v>-79.05</v>
      </c>
      <c r="Q76" t="s">
        <v>3384</v>
      </c>
      <c r="R76">
        <v>4000435</v>
      </c>
      <c r="S76" s="6">
        <v>-0.99129999999999996</v>
      </c>
      <c r="T76" t="s">
        <v>520</v>
      </c>
      <c r="U76">
        <v>245359250</v>
      </c>
      <c r="V76">
        <v>245359250</v>
      </c>
      <c r="W76">
        <v>1.26</v>
      </c>
      <c r="X76">
        <v>0.03</v>
      </c>
      <c r="Y76">
        <v>1.02</v>
      </c>
      <c r="Z76" t="s">
        <v>656</v>
      </c>
      <c r="AA76" t="s">
        <v>171</v>
      </c>
      <c r="AB76" t="s">
        <v>3385</v>
      </c>
      <c r="AC76" t="s">
        <v>3386</v>
      </c>
      <c r="AD76" t="s">
        <v>5</v>
      </c>
      <c r="AE76">
        <v>-10473741</v>
      </c>
      <c r="AF76" t="s">
        <v>2353</v>
      </c>
      <c r="AG76" t="s">
        <v>3387</v>
      </c>
      <c r="AH76" t="s">
        <v>2354</v>
      </c>
      <c r="AI76" t="s">
        <v>3388</v>
      </c>
      <c r="AJ76" t="s">
        <v>2355</v>
      </c>
      <c r="AK76" t="s">
        <v>3389</v>
      </c>
      <c r="AL76" t="s">
        <v>2356</v>
      </c>
      <c r="AM76" t="s">
        <v>5</v>
      </c>
      <c r="AN76" t="s">
        <v>3390</v>
      </c>
      <c r="AO76" t="s">
        <v>3391</v>
      </c>
      <c r="AP76" t="s">
        <v>82</v>
      </c>
      <c r="AQ76" t="s">
        <v>2181</v>
      </c>
      <c r="AR76" t="s">
        <v>5</v>
      </c>
      <c r="AS76" t="s">
        <v>3392</v>
      </c>
      <c r="AT76" t="s">
        <v>5</v>
      </c>
      <c r="AU76" t="s">
        <v>163</v>
      </c>
      <c r="AV76" t="s">
        <v>239</v>
      </c>
      <c r="AW76" t="s">
        <v>3393</v>
      </c>
      <c r="AX76" t="s">
        <v>1434</v>
      </c>
      <c r="AY76" t="s">
        <v>931</v>
      </c>
      <c r="AZ76" t="s">
        <v>546</v>
      </c>
      <c r="BA76" t="s">
        <v>856</v>
      </c>
      <c r="BB76" t="s">
        <v>114</v>
      </c>
      <c r="BC76" t="s">
        <v>1255</v>
      </c>
      <c r="BD76" t="s">
        <v>221</v>
      </c>
      <c r="BE76" t="s">
        <v>375</v>
      </c>
      <c r="BF76" t="s">
        <v>60</v>
      </c>
      <c r="BG76" t="s">
        <v>857</v>
      </c>
      <c r="BH76" t="s">
        <v>2352</v>
      </c>
      <c r="BI76" t="s">
        <v>393</v>
      </c>
      <c r="BJ76" t="s">
        <v>1434</v>
      </c>
      <c r="BK76" t="s">
        <v>26</v>
      </c>
      <c r="BL76" t="s">
        <v>3394</v>
      </c>
      <c r="BM76" t="s">
        <v>1255</v>
      </c>
      <c r="BN76">
        <v>7.21</v>
      </c>
      <c r="BO76">
        <v>32.299999999999997</v>
      </c>
      <c r="BP76">
        <v>9.3800000000000008</v>
      </c>
      <c r="BQ76">
        <v>7.25</v>
      </c>
      <c r="BR76">
        <v>34.97</v>
      </c>
      <c r="BS76">
        <v>11.1</v>
      </c>
      <c r="BT76" t="s">
        <v>2357</v>
      </c>
      <c r="BU76" t="s">
        <v>2521</v>
      </c>
      <c r="BV76">
        <v>32.130000000000003</v>
      </c>
      <c r="BW76">
        <v>34.700000000000003</v>
      </c>
      <c r="BX76">
        <v>30.03</v>
      </c>
      <c r="BY76">
        <v>15.63</v>
      </c>
      <c r="BZ76">
        <v>21.17</v>
      </c>
      <c r="CA76">
        <v>15.33</v>
      </c>
      <c r="CB76">
        <v>-7.4</v>
      </c>
      <c r="CC76">
        <v>-18.829999999999998</v>
      </c>
      <c r="CD76" t="s">
        <v>3395</v>
      </c>
      <c r="CE76" t="s">
        <v>3396</v>
      </c>
      <c r="CF76" s="10">
        <v>-0.23564356435643563</v>
      </c>
      <c r="CG76" s="11">
        <v>-0.93035624131723804</v>
      </c>
      <c r="CH76" s="10">
        <v>-0.64842844009399414</v>
      </c>
      <c r="CI76" s="10">
        <v>1.9146873950958252</v>
      </c>
      <c r="CJ76" s="10">
        <v>0.84196436405181885</v>
      </c>
      <c r="CK76" s="10">
        <v>0.36585366725921631</v>
      </c>
      <c r="CL76" s="10">
        <v>0.92488265037536621</v>
      </c>
      <c r="CM76" s="11">
        <v>-0.71170461177825928</v>
      </c>
      <c r="CN76" s="11">
        <v>3.0284807682037354</v>
      </c>
      <c r="CO76" s="11">
        <v>0.15328466892242432</v>
      </c>
      <c r="CP76" s="11">
        <v>0.90277779102325439</v>
      </c>
      <c r="CQ76" s="11">
        <v>2.1676688194274902</v>
      </c>
      <c r="CR76">
        <v>22.373245790908737</v>
      </c>
      <c r="CS76">
        <v>0.32911902732549142</v>
      </c>
      <c r="CT76">
        <v>2.8283927114495513</v>
      </c>
      <c r="CU76" s="10">
        <v>0.67979192733764648</v>
      </c>
      <c r="CV76" s="11">
        <v>1.108101487159729</v>
      </c>
      <c r="CW76">
        <v>0.06</v>
      </c>
      <c r="CX76">
        <v>3.6518263254151027</v>
      </c>
      <c r="CY76">
        <v>581588337.10652471</v>
      </c>
      <c r="CZ76">
        <v>0.67979192733764648</v>
      </c>
      <c r="DA76">
        <v>0.7509540493143303</v>
      </c>
      <c r="DB76">
        <v>2828215124.3997173</v>
      </c>
      <c r="DC76">
        <v>0.64580233097076412</v>
      </c>
      <c r="DD76">
        <v>0.18131640646718639</v>
      </c>
      <c r="DE76">
        <v>11713554450.928102</v>
      </c>
      <c r="DF76">
        <v>0.59821689605712891</v>
      </c>
      <c r="DG76">
        <v>4.3235529274278858E-2</v>
      </c>
      <c r="DH76">
        <v>49123016085.372643</v>
      </c>
      <c r="DI76">
        <v>0.54383354187011723</v>
      </c>
      <c r="DJ76">
        <v>2.1786359337130799E-3</v>
      </c>
      <c r="DK76">
        <v>974857509294.94495</v>
      </c>
      <c r="DL76">
        <v>0.47585434913635249</v>
      </c>
      <c r="DM76">
        <v>367000000</v>
      </c>
      <c r="DN76">
        <v>0.67979192733764648</v>
      </c>
      <c r="DO76">
        <v>2123859600</v>
      </c>
      <c r="DP76">
        <v>7021028000</v>
      </c>
      <c r="DQ76">
        <v>4594</v>
      </c>
      <c r="DR76">
        <v>-0.91543549169408212</v>
      </c>
      <c r="DS76">
        <v>-2.0384577284769669</v>
      </c>
      <c r="DT76" s="12">
        <v>0.12666666666666657</v>
      </c>
      <c r="DU76">
        <v>0.40999999999999992</v>
      </c>
      <c r="DV76">
        <v>0.53666666666666651</v>
      </c>
      <c r="DW76">
        <v>-9.3929899097185334</v>
      </c>
      <c r="DX76">
        <v>0.36568047050294666</v>
      </c>
      <c r="DY76">
        <v>-9.0690406522422631</v>
      </c>
      <c r="DZ76">
        <v>2805</v>
      </c>
      <c r="EA76">
        <v>-9.0311426034086928</v>
      </c>
      <c r="EB76">
        <v>9</v>
      </c>
      <c r="EC76">
        <v>5.6099780220228095E-2</v>
      </c>
      <c r="ED76">
        <v>0.31932849484989867</v>
      </c>
      <c r="EE76" s="13">
        <v>1.0302</v>
      </c>
      <c r="EF76">
        <v>1.0149999999999999</v>
      </c>
      <c r="EG76">
        <v>19.175680470502947</v>
      </c>
      <c r="EH76" t="s">
        <v>1299</v>
      </c>
      <c r="EI76">
        <v>0</v>
      </c>
      <c r="EJ76">
        <v>0</v>
      </c>
      <c r="EK76" s="14">
        <v>45470</v>
      </c>
      <c r="EL76">
        <v>-0.38</v>
      </c>
      <c r="EM76">
        <v>-0.66</v>
      </c>
      <c r="EN76">
        <v>-0.04</v>
      </c>
      <c r="EO76">
        <v>-0.38</v>
      </c>
      <c r="EP76">
        <v>-1.52</v>
      </c>
    </row>
    <row r="77" spans="1:146" ht="156" x14ac:dyDescent="0.25">
      <c r="A77" s="9" t="s">
        <v>1762</v>
      </c>
      <c r="B77" s="9" t="s">
        <v>1761</v>
      </c>
      <c r="C77" s="9" t="str">
        <f>"公司的主营业务是从事纳米级碳材料及相关产品的研发、生产及销售。公司的主要产品是碳纳米管粉体、碳纳米管导电浆料、石墨烯复合导电浆料、碳纳米管导电母粒等。"&amp;CHAR(10)&amp;Basic_Fundamental_Information_Constructure(F77)&amp;CHAR(10)&amp;Basic_Fundamental_Information_Concatenate("新能源汽车动力锂电池 12.86亿 69.84% 4.44亿 68.92% 34.51%
储能锂电池 3.29亿 17.84% 1.21亿 18.84% 36.94%
3C电子锂电池 2.16亿 11.73% 7506.35万 11.66% 34.75%
非锂电池 694.76万 0.38% 313.91万 0.49% 45.18%")</f>
        <v>公司的主营业务是从事纳米级碳材料及相关产品的研发、生产及销售。公司的主要产品是碳纳米管粉体、碳纳米管导电浆料、石墨烯复合导电浆料、碳纳米管导电母粒等。
市值77.388775亿, 利润7033.71万; PE24.87; 平均PE43.2; 平均PEG1.18, PB2.88; ROIC12.27%; ROE13.8133%; 股利率1.3357%; 毛利34.1467%; 净利22.2867%; 上一年度营收增-76.38%, 利润增-83.41%; 当季营收增276.61%, 利润增283.29%; 过往5年营收增36.56%, 利润增39.3%
Income profile:
新能源汽车动力锂电池 12.86亿 69.84% 4.44亿 68.92% 34.51%
储能锂电池 3.29亿 17.84% 1.21亿 18.84% 36.94%
3C电子锂电池 2.16亿 11.73% 7506.35万 11.66% 34.75%
非锂电池 694.76万 0.38% 313.91万 0.49% 45.18%</v>
      </c>
      <c r="D77" t="s">
        <v>858</v>
      </c>
      <c r="E77" t="s">
        <v>859</v>
      </c>
      <c r="F77">
        <v>22.46</v>
      </c>
      <c r="G77">
        <v>0.76</v>
      </c>
      <c r="H77" t="s">
        <v>3397</v>
      </c>
      <c r="I77">
        <v>7738877500</v>
      </c>
      <c r="J77">
        <v>24.87</v>
      </c>
      <c r="K77">
        <v>2.88</v>
      </c>
      <c r="L77" t="s">
        <v>973</v>
      </c>
      <c r="M77" t="s">
        <v>950</v>
      </c>
      <c r="N77" t="s">
        <v>3398</v>
      </c>
      <c r="O77" t="s">
        <v>149</v>
      </c>
      <c r="P77">
        <v>10.19</v>
      </c>
      <c r="Q77" t="s">
        <v>325</v>
      </c>
      <c r="R77">
        <v>53786754</v>
      </c>
      <c r="S77" s="6">
        <v>0.3538</v>
      </c>
      <c r="T77" t="s">
        <v>3399</v>
      </c>
      <c r="U77">
        <v>344562670</v>
      </c>
      <c r="V77">
        <v>344562670</v>
      </c>
      <c r="W77">
        <v>1.82</v>
      </c>
      <c r="X77">
        <v>0.06</v>
      </c>
      <c r="Y77">
        <v>17.45</v>
      </c>
      <c r="Z77" t="s">
        <v>98</v>
      </c>
      <c r="AA77" t="s">
        <v>349</v>
      </c>
      <c r="AB77" t="s">
        <v>3400</v>
      </c>
      <c r="AC77" t="s">
        <v>3401</v>
      </c>
      <c r="AD77" t="s">
        <v>5</v>
      </c>
      <c r="AE77">
        <v>5873877</v>
      </c>
      <c r="AF77" t="s">
        <v>2358</v>
      </c>
      <c r="AG77" t="s">
        <v>5</v>
      </c>
      <c r="AH77" t="s">
        <v>2359</v>
      </c>
      <c r="AI77" t="s">
        <v>1627</v>
      </c>
      <c r="AJ77" t="s">
        <v>2360</v>
      </c>
      <c r="AK77" t="s">
        <v>447</v>
      </c>
      <c r="AL77" t="s">
        <v>2361</v>
      </c>
      <c r="AM77" t="s">
        <v>5</v>
      </c>
      <c r="AN77" t="s">
        <v>1541</v>
      </c>
      <c r="AO77" t="s">
        <v>52</v>
      </c>
      <c r="AP77" t="s">
        <v>3402</v>
      </c>
      <c r="AQ77" t="s">
        <v>297</v>
      </c>
      <c r="AR77" t="s">
        <v>5</v>
      </c>
      <c r="AS77" t="s">
        <v>3403</v>
      </c>
      <c r="AT77" t="s">
        <v>186</v>
      </c>
      <c r="AU77" t="s">
        <v>3404</v>
      </c>
      <c r="AV77" t="s">
        <v>1695</v>
      </c>
      <c r="AW77" t="s">
        <v>158</v>
      </c>
      <c r="AX77" t="s">
        <v>1435</v>
      </c>
      <c r="AY77" t="s">
        <v>658</v>
      </c>
      <c r="AZ77" t="s">
        <v>334</v>
      </c>
      <c r="BA77" t="s">
        <v>544</v>
      </c>
      <c r="BB77" t="s">
        <v>541</v>
      </c>
      <c r="BC77" t="s">
        <v>225</v>
      </c>
      <c r="BD77" t="s">
        <v>234</v>
      </c>
      <c r="BE77" t="s">
        <v>169</v>
      </c>
      <c r="BF77" t="s">
        <v>93</v>
      </c>
      <c r="BG77" t="s">
        <v>860</v>
      </c>
      <c r="BH77" t="s">
        <v>1316</v>
      </c>
      <c r="BI77" t="s">
        <v>3405</v>
      </c>
      <c r="BJ77" t="s">
        <v>1435</v>
      </c>
      <c r="BK77" t="s">
        <v>176</v>
      </c>
      <c r="BL77" t="s">
        <v>3406</v>
      </c>
      <c r="BM77" t="s">
        <v>225</v>
      </c>
      <c r="BN77">
        <v>4.99</v>
      </c>
      <c r="BO77">
        <v>16.489999999999998</v>
      </c>
      <c r="BP77">
        <v>15.33</v>
      </c>
      <c r="BQ77">
        <v>6.45</v>
      </c>
      <c r="BR77">
        <v>18.71</v>
      </c>
      <c r="BS77">
        <v>16.28</v>
      </c>
      <c r="BT77" t="s">
        <v>1288</v>
      </c>
      <c r="BU77" t="s">
        <v>2508</v>
      </c>
      <c r="BV77">
        <v>33.6</v>
      </c>
      <c r="BW77">
        <v>34.97</v>
      </c>
      <c r="BX77">
        <v>33.869999999999997</v>
      </c>
      <c r="BY77">
        <v>21.33</v>
      </c>
      <c r="BZ77">
        <v>23.2</v>
      </c>
      <c r="CA77">
        <v>22.33</v>
      </c>
      <c r="CB77">
        <v>-2.69</v>
      </c>
      <c r="CC77">
        <v>-18.48</v>
      </c>
      <c r="CD77" t="s">
        <v>3407</v>
      </c>
      <c r="CE77" t="s">
        <v>400</v>
      </c>
      <c r="CF77" s="10">
        <v>2.7661040818679878</v>
      </c>
      <c r="CG77" s="11">
        <v>2.8329036763605528</v>
      </c>
      <c r="CH77" s="10">
        <v>-0.76384365558624268</v>
      </c>
      <c r="CI77" s="10">
        <v>0.39545455574989319</v>
      </c>
      <c r="CJ77" s="10">
        <v>1.7966101169586182</v>
      </c>
      <c r="CK77" s="10">
        <v>0.2227979302406311</v>
      </c>
      <c r="CL77" s="10">
        <v>0.1768292635679245</v>
      </c>
      <c r="CM77" s="11">
        <v>-0.83411061763763428</v>
      </c>
      <c r="CN77" s="11">
        <v>0.43243244290351868</v>
      </c>
      <c r="CO77" s="11">
        <v>1.7663551568984985</v>
      </c>
      <c r="CP77" s="11">
        <v>-2.7272727340459824E-2</v>
      </c>
      <c r="CQ77" s="11">
        <v>0.6275826096534729</v>
      </c>
      <c r="CR77">
        <v>43.196869168181507</v>
      </c>
      <c r="CS77">
        <v>1.1816317380693138</v>
      </c>
      <c r="CT77">
        <v>1.3357079252003561</v>
      </c>
      <c r="CU77" s="10">
        <v>0.36556964218616483</v>
      </c>
      <c r="CV77" s="11">
        <v>0.3929973728954792</v>
      </c>
      <c r="CW77">
        <v>0.06</v>
      </c>
      <c r="CX77">
        <v>78.000352821783125</v>
      </c>
      <c r="CY77">
        <v>90613404.225860849</v>
      </c>
      <c r="CZ77">
        <v>0.36556964218616483</v>
      </c>
      <c r="DA77">
        <v>20.341606375088261</v>
      </c>
      <c r="DB77">
        <v>347459161.76294768</v>
      </c>
      <c r="DC77">
        <v>0.34729116007685656</v>
      </c>
      <c r="DD77">
        <v>7.2139323217545508</v>
      </c>
      <c r="DE77">
        <v>979753785.41962421</v>
      </c>
      <c r="DF77">
        <v>0.32170128512382506</v>
      </c>
      <c r="DG77">
        <v>2.8858088378758082</v>
      </c>
      <c r="DH77">
        <v>2449184231.2058816</v>
      </c>
      <c r="DI77">
        <v>0.29245571374893187</v>
      </c>
      <c r="DJ77">
        <v>0.54584993970244244</v>
      </c>
      <c r="DK77">
        <v>12948389265.83539</v>
      </c>
      <c r="DL77">
        <v>0.25589874953031538</v>
      </c>
      <c r="DM77">
        <v>70337100</v>
      </c>
      <c r="DN77">
        <v>0.36556964218616483</v>
      </c>
      <c r="DO77">
        <v>7067877500</v>
      </c>
      <c r="DP77">
        <v>1669968800</v>
      </c>
      <c r="DQ77">
        <v>4642</v>
      </c>
      <c r="DR77">
        <v>2.4005344396818229</v>
      </c>
      <c r="DS77">
        <v>2.4399063034650736</v>
      </c>
      <c r="DT77" s="12">
        <v>-0.14000000000000004</v>
      </c>
      <c r="DU77">
        <v>0.5033333333333333</v>
      </c>
      <c r="DV77">
        <v>0.36333333333333329</v>
      </c>
      <c r="DW77">
        <v>-8.1455627705627709</v>
      </c>
      <c r="DX77">
        <v>0.35164678111587905</v>
      </c>
      <c r="DY77">
        <v>-8.022074125606153</v>
      </c>
      <c r="DZ77">
        <v>1021</v>
      </c>
      <c r="EA77">
        <v>-8.0176636202746696</v>
      </c>
      <c r="EB77">
        <v>8</v>
      </c>
      <c r="EC77">
        <v>0.10254651207572776</v>
      </c>
      <c r="ED77">
        <v>0.67621951037238015</v>
      </c>
      <c r="EE77" s="13">
        <v>1.0221</v>
      </c>
      <c r="EF77">
        <v>1.002</v>
      </c>
      <c r="EG77">
        <v>20.151646781115879</v>
      </c>
      <c r="EH77" t="s">
        <v>1299</v>
      </c>
      <c r="EI77">
        <v>0</v>
      </c>
      <c r="EJ77">
        <v>1</v>
      </c>
      <c r="EK77" s="14">
        <v>45470</v>
      </c>
      <c r="EL77">
        <v>6.4</v>
      </c>
      <c r="EM77">
        <v>-3.12</v>
      </c>
      <c r="EN77">
        <v>-0.8</v>
      </c>
      <c r="EO77">
        <v>7.52</v>
      </c>
      <c r="EP77">
        <v>-2.0099999999999998</v>
      </c>
    </row>
    <row r="78" spans="1:146" ht="96" x14ac:dyDescent="0.25">
      <c r="A78" s="9"/>
      <c r="B78" s="9"/>
      <c r="C78" s="9" t="str">
        <f>""&amp;CHAR(10)&amp;Basic_Fundamental_Information_Constructure(F78)&amp;CHAR(10)&amp;Basic_Fundamental_Information_Concatenate("")</f>
        <v xml:space="preserve">
市值20.866078亿, 利润7704.58万; PE; 平均PE40.68; 平均PEG2.31, PB2.4; ROIC2.72%; ROE.3367%; 股利率0%; 毛利8.5633%; 净利-6.0967%; 上一年度营收增-89.74%, 利润增1392.44%; 当季营收增497.69%, 利润增-70.09%; 过往5年营收增17.62%, 利润增298.2%
Income profile:
</v>
      </c>
      <c r="D78" t="s">
        <v>861</v>
      </c>
      <c r="E78" t="s">
        <v>862</v>
      </c>
      <c r="F78">
        <v>4.09</v>
      </c>
      <c r="G78">
        <v>0.99</v>
      </c>
      <c r="H78" t="s">
        <v>3408</v>
      </c>
      <c r="I78">
        <v>2086607800</v>
      </c>
      <c r="K78">
        <v>2.4</v>
      </c>
      <c r="L78" t="s">
        <v>973</v>
      </c>
      <c r="M78" t="s">
        <v>653</v>
      </c>
      <c r="N78" t="s">
        <v>1706</v>
      </c>
      <c r="O78" t="s">
        <v>69</v>
      </c>
      <c r="P78">
        <v>-47.66</v>
      </c>
      <c r="Q78" t="s">
        <v>244</v>
      </c>
      <c r="R78">
        <v>7035156</v>
      </c>
      <c r="S78" s="6">
        <v>5.5910000000000002</v>
      </c>
      <c r="T78" t="s">
        <v>3409</v>
      </c>
      <c r="U78">
        <v>386669050</v>
      </c>
      <c r="V78">
        <v>510173050</v>
      </c>
      <c r="W78">
        <v>3.4</v>
      </c>
      <c r="X78">
        <v>0.13</v>
      </c>
      <c r="Y78">
        <v>1.66</v>
      </c>
      <c r="Z78" t="s">
        <v>165</v>
      </c>
      <c r="AA78" t="s">
        <v>520</v>
      </c>
      <c r="AB78" t="s">
        <v>3410</v>
      </c>
      <c r="AC78" t="s">
        <v>3411</v>
      </c>
      <c r="AD78" t="s">
        <v>5</v>
      </c>
      <c r="AE78">
        <v>23461236</v>
      </c>
      <c r="AF78" t="s">
        <v>2362</v>
      </c>
      <c r="AG78" t="s">
        <v>3412</v>
      </c>
      <c r="AH78" t="s">
        <v>2363</v>
      </c>
      <c r="AI78" t="s">
        <v>250</v>
      </c>
      <c r="AJ78" t="s">
        <v>2364</v>
      </c>
      <c r="AK78" t="s">
        <v>3413</v>
      </c>
      <c r="AL78" t="s">
        <v>2365</v>
      </c>
      <c r="AM78" t="s">
        <v>5</v>
      </c>
      <c r="AN78" t="s">
        <v>40</v>
      </c>
      <c r="AO78" t="s">
        <v>1875</v>
      </c>
      <c r="AP78" t="s">
        <v>3414</v>
      </c>
      <c r="AQ78" t="s">
        <v>25</v>
      </c>
      <c r="AR78" t="s">
        <v>3415</v>
      </c>
      <c r="AS78" t="s">
        <v>645</v>
      </c>
      <c r="AT78" t="s">
        <v>3416</v>
      </c>
      <c r="AU78" t="s">
        <v>104</v>
      </c>
      <c r="AV78" t="s">
        <v>3417</v>
      </c>
      <c r="AW78" t="s">
        <v>215</v>
      </c>
      <c r="AX78" t="s">
        <v>902</v>
      </c>
      <c r="AY78" t="s">
        <v>1056</v>
      </c>
      <c r="AZ78" t="s">
        <v>175</v>
      </c>
      <c r="BA78" t="s">
        <v>182</v>
      </c>
      <c r="BB78" t="s">
        <v>566</v>
      </c>
      <c r="BC78" t="s">
        <v>2366</v>
      </c>
      <c r="BD78" t="s">
        <v>1057</v>
      </c>
      <c r="BE78" t="s">
        <v>864</v>
      </c>
      <c r="BF78" t="s">
        <v>865</v>
      </c>
      <c r="BG78" t="s">
        <v>866</v>
      </c>
      <c r="BH78" t="s">
        <v>1734</v>
      </c>
      <c r="BI78" t="s">
        <v>3418</v>
      </c>
      <c r="BJ78" t="s">
        <v>902</v>
      </c>
      <c r="BK78" t="s">
        <v>1699</v>
      </c>
      <c r="BL78" t="s">
        <v>3419</v>
      </c>
      <c r="BM78" t="s">
        <v>2366</v>
      </c>
      <c r="BN78" t="s">
        <v>5</v>
      </c>
      <c r="BO78">
        <v>0.83</v>
      </c>
      <c r="BP78">
        <v>4.6100000000000003</v>
      </c>
      <c r="BQ78">
        <v>-5.56</v>
      </c>
      <c r="BR78">
        <v>0.34</v>
      </c>
      <c r="BS78">
        <v>6.23</v>
      </c>
      <c r="BT78" t="s">
        <v>1280</v>
      </c>
      <c r="BU78" t="s">
        <v>2508</v>
      </c>
      <c r="BV78">
        <v>2.63</v>
      </c>
      <c r="BW78">
        <v>11.04</v>
      </c>
      <c r="BX78">
        <v>12.02</v>
      </c>
      <c r="BY78">
        <v>-21.67</v>
      </c>
      <c r="BZ78">
        <v>0.16</v>
      </c>
      <c r="CA78">
        <v>3.22</v>
      </c>
      <c r="CB78">
        <v>-2.85</v>
      </c>
      <c r="CC78">
        <v>-19.489999999999998</v>
      </c>
      <c r="CD78" t="s">
        <v>3420</v>
      </c>
      <c r="CE78" t="s">
        <v>207</v>
      </c>
      <c r="CF78" s="10">
        <v>4.9768535344357625</v>
      </c>
      <c r="CG78" s="11">
        <v>-0.70088749622663171</v>
      </c>
      <c r="CH78" s="10">
        <v>-0.89744466543197632</v>
      </c>
      <c r="CI78" s="10">
        <v>0.41787442564964294</v>
      </c>
      <c r="CJ78" s="10">
        <v>1.0845921039581299</v>
      </c>
      <c r="CK78" s="10">
        <v>4.4164039194583893E-2</v>
      </c>
      <c r="CL78" s="10">
        <v>0.2318652868270874</v>
      </c>
      <c r="CM78" s="11">
        <v>13.92441463470459</v>
      </c>
      <c r="CN78" s="11">
        <v>-0.92262798547744751</v>
      </c>
      <c r="CO78" s="11">
        <v>0.12463528662919998</v>
      </c>
      <c r="CP78" s="11">
        <v>-0.20401346683502197</v>
      </c>
      <c r="CQ78" s="11">
        <v>1.9877614974975586</v>
      </c>
      <c r="CR78">
        <v>40.682942902543402</v>
      </c>
      <c r="CS78">
        <v>2.3087729382344535</v>
      </c>
      <c r="CT78">
        <v>0</v>
      </c>
      <c r="CU78" s="10">
        <v>0.17621023803949357</v>
      </c>
      <c r="CV78" s="11">
        <v>2.9820339933037756</v>
      </c>
      <c r="CW78">
        <v>0.06</v>
      </c>
      <c r="CX78">
        <v>36.033657949905901</v>
      </c>
      <c r="CY78">
        <v>85492508.262210578</v>
      </c>
      <c r="CZ78">
        <v>0.17621023803949357</v>
      </c>
      <c r="DA78">
        <v>10.954471386767503</v>
      </c>
      <c r="DB78">
        <v>281219210.9718076</v>
      </c>
      <c r="DC78">
        <v>0.16739972613751888</v>
      </c>
      <c r="DD78">
        <v>4.8811572532389906</v>
      </c>
      <c r="DE78">
        <v>631122424.4938637</v>
      </c>
      <c r="DF78">
        <v>0.15506500947475435</v>
      </c>
      <c r="DG78">
        <v>2.6085709830997117</v>
      </c>
      <c r="DH78">
        <v>1180956094.336132</v>
      </c>
      <c r="DI78">
        <v>0.14096819043159486</v>
      </c>
      <c r="DJ78">
        <v>1.0282883629451378</v>
      </c>
      <c r="DK78">
        <v>2995859829.8018079</v>
      </c>
      <c r="DL78">
        <v>0.12334716662764549</v>
      </c>
      <c r="DM78">
        <v>77045800</v>
      </c>
      <c r="DN78">
        <v>0.17621023803949357</v>
      </c>
      <c r="DO78">
        <v>3080607800</v>
      </c>
      <c r="DP78">
        <v>597576100</v>
      </c>
      <c r="DQ78">
        <v>4668</v>
      </c>
      <c r="DR78">
        <v>4.8006432963962693</v>
      </c>
      <c r="DS78">
        <v>-3.6829214895304072</v>
      </c>
      <c r="DT78" s="12">
        <v>-0.25666666666666665</v>
      </c>
      <c r="DU78">
        <v>-9.8333333333333384E-2</v>
      </c>
      <c r="DV78">
        <v>-0.35500000000000004</v>
      </c>
      <c r="DW78">
        <v>-8.1462288353001533</v>
      </c>
      <c r="DX78">
        <v>0.3084411428571433</v>
      </c>
      <c r="DY78">
        <v>-8.0202440870776215</v>
      </c>
      <c r="DZ78">
        <v>389</v>
      </c>
      <c r="EA78">
        <v>-8.0187030009967621</v>
      </c>
      <c r="EB78">
        <v>8</v>
      </c>
      <c r="EC78">
        <v>4.7488200327320304E-2</v>
      </c>
      <c r="ED78">
        <v>0.34302086321494246</v>
      </c>
      <c r="EE78" s="13">
        <v>1.0138</v>
      </c>
      <c r="EF78">
        <v>1.0036099999999999</v>
      </c>
      <c r="EG78">
        <v>17.138441142857143</v>
      </c>
      <c r="EH78" t="s">
        <v>1301</v>
      </c>
      <c r="EI78">
        <v>0</v>
      </c>
      <c r="EJ78">
        <v>1</v>
      </c>
      <c r="EK78" s="14">
        <v>45470</v>
      </c>
      <c r="EL78">
        <v>0.1</v>
      </c>
      <c r="EM78">
        <v>-3.55</v>
      </c>
      <c r="EN78">
        <v>-4.79</v>
      </c>
      <c r="EO78">
        <v>3.18</v>
      </c>
      <c r="EP78">
        <v>-1.74</v>
      </c>
    </row>
    <row r="79" spans="1:146" ht="96" x14ac:dyDescent="0.25">
      <c r="A79" s="9"/>
      <c r="B79" s="9"/>
      <c r="C79" s="9" t="str">
        <f>""&amp;CHAR(10)&amp;Basic_Fundamental_Information_Constructure(F79)&amp;CHAR(10)&amp;Basic_Fundamental_Information_Concatenate("")</f>
        <v xml:space="preserve">
市值47.894243亿, 利润2696.95万; PE67.14; 平均PE175.89; 平均PEG5.76, PB2.59; ROIC5.02%; ROE.1133%; 股利率.7833%; 毛利23.2833%; 净利2.7967%; 上一年度营收增-80.55%, 利润增128.56%; 当季营收增777.18%, 利润增1214.52%; 过往5年营收增30.52%, 利润增9.88%
Income profile:
</v>
      </c>
      <c r="D79" t="s">
        <v>867</v>
      </c>
      <c r="E79" t="s">
        <v>868</v>
      </c>
      <c r="F79">
        <v>38.299999999999997</v>
      </c>
      <c r="G79">
        <v>-2.87</v>
      </c>
      <c r="H79" t="s">
        <v>3421</v>
      </c>
      <c r="I79">
        <v>4789424300</v>
      </c>
      <c r="J79">
        <v>67.14</v>
      </c>
      <c r="K79">
        <v>2.59</v>
      </c>
      <c r="L79" t="s">
        <v>973</v>
      </c>
      <c r="M79" t="s">
        <v>1932</v>
      </c>
      <c r="N79" t="s">
        <v>673</v>
      </c>
      <c r="O79" t="s">
        <v>1020</v>
      </c>
      <c r="P79">
        <v>-17.48</v>
      </c>
      <c r="Q79" t="s">
        <v>50</v>
      </c>
      <c r="R79">
        <v>48382271</v>
      </c>
      <c r="S79" s="6">
        <v>1.8460000000000001</v>
      </c>
      <c r="T79" t="s">
        <v>3422</v>
      </c>
      <c r="U79">
        <v>107346590</v>
      </c>
      <c r="V79">
        <v>125050244</v>
      </c>
      <c r="W79">
        <v>3</v>
      </c>
      <c r="X79">
        <v>0.1</v>
      </c>
      <c r="Y79">
        <v>17.260000000000002</v>
      </c>
      <c r="Z79" t="s">
        <v>298</v>
      </c>
      <c r="AA79" t="s">
        <v>379</v>
      </c>
      <c r="AB79" t="s">
        <v>3423</v>
      </c>
      <c r="AC79" t="s">
        <v>3424</v>
      </c>
      <c r="AD79" t="s">
        <v>5</v>
      </c>
      <c r="AE79">
        <v>11399842</v>
      </c>
      <c r="AF79" t="s">
        <v>2368</v>
      </c>
      <c r="AG79" t="s">
        <v>3425</v>
      </c>
      <c r="AH79" t="s">
        <v>2369</v>
      </c>
      <c r="AI79" t="s">
        <v>611</v>
      </c>
      <c r="AJ79" t="s">
        <v>2370</v>
      </c>
      <c r="AK79" t="s">
        <v>3426</v>
      </c>
      <c r="AL79" t="s">
        <v>2371</v>
      </c>
      <c r="AM79" t="s">
        <v>5</v>
      </c>
      <c r="AN79" t="s">
        <v>326</v>
      </c>
      <c r="AO79" t="s">
        <v>550</v>
      </c>
      <c r="AP79" t="s">
        <v>3427</v>
      </c>
      <c r="AQ79" t="s">
        <v>41</v>
      </c>
      <c r="AR79" t="s">
        <v>1672</v>
      </c>
      <c r="AS79" t="s">
        <v>3428</v>
      </c>
      <c r="AT79" t="s">
        <v>1296</v>
      </c>
      <c r="AU79" t="s">
        <v>302</v>
      </c>
      <c r="AV79" t="s">
        <v>1200</v>
      </c>
      <c r="AW79" t="s">
        <v>3429</v>
      </c>
      <c r="AX79" t="s">
        <v>1436</v>
      </c>
      <c r="AY79" t="s">
        <v>399</v>
      </c>
      <c r="AZ79" t="s">
        <v>24</v>
      </c>
      <c r="BA79" t="s">
        <v>180</v>
      </c>
      <c r="BB79" t="s">
        <v>191</v>
      </c>
      <c r="BC79" t="s">
        <v>1437</v>
      </c>
      <c r="BD79" t="s">
        <v>1058</v>
      </c>
      <c r="BE79" t="s">
        <v>869</v>
      </c>
      <c r="BF79" t="s">
        <v>870</v>
      </c>
      <c r="BG79" t="s">
        <v>871</v>
      </c>
      <c r="BH79" t="s">
        <v>1667</v>
      </c>
      <c r="BI79" t="s">
        <v>3430</v>
      </c>
      <c r="BJ79" t="s">
        <v>1436</v>
      </c>
      <c r="BK79" t="s">
        <v>2367</v>
      </c>
      <c r="BL79" t="s">
        <v>3431</v>
      </c>
      <c r="BM79" t="s">
        <v>1437</v>
      </c>
      <c r="BN79">
        <v>4.18</v>
      </c>
      <c r="BO79" t="s">
        <v>5</v>
      </c>
      <c r="BP79">
        <v>5.86</v>
      </c>
      <c r="BQ79">
        <v>2.2400000000000002</v>
      </c>
      <c r="BR79">
        <v>-8.1</v>
      </c>
      <c r="BS79">
        <v>6.2</v>
      </c>
      <c r="BT79" t="s">
        <v>2372</v>
      </c>
      <c r="BU79" t="s">
        <v>2777</v>
      </c>
      <c r="BV79">
        <v>25.1</v>
      </c>
      <c r="BW79">
        <v>17.13</v>
      </c>
      <c r="BX79">
        <v>27.62</v>
      </c>
      <c r="BY79">
        <v>5.17</v>
      </c>
      <c r="BZ79">
        <v>-3.21</v>
      </c>
      <c r="CA79">
        <v>6.43</v>
      </c>
      <c r="CB79">
        <v>-3.14</v>
      </c>
      <c r="CC79">
        <v>-5.65</v>
      </c>
      <c r="CD79" t="s">
        <v>3432</v>
      </c>
      <c r="CE79" t="s">
        <v>3433</v>
      </c>
      <c r="CF79" s="10">
        <v>7.7718039421096803</v>
      </c>
      <c r="CG79" s="11">
        <v>12.145213008748573</v>
      </c>
      <c r="CH79" s="10">
        <v>-0.80554014444351196</v>
      </c>
      <c r="CI79" s="10">
        <v>0.63793098926544189</v>
      </c>
      <c r="CJ79" s="10">
        <v>1.1952191591262817</v>
      </c>
      <c r="CK79" s="10">
        <v>0.37534245848655701</v>
      </c>
      <c r="CL79" s="10">
        <v>0.12307692319154739</v>
      </c>
      <c r="CM79" s="11">
        <v>1.2855992317199707</v>
      </c>
      <c r="CN79" s="11">
        <v>-2.3477957248687744</v>
      </c>
      <c r="CO79" s="11">
        <v>0.15358784794807434</v>
      </c>
      <c r="CP79" s="11">
        <v>-0.15559333562850952</v>
      </c>
      <c r="CQ79" s="11">
        <v>1.5581542253494263</v>
      </c>
      <c r="CR79">
        <v>175.88756654723156</v>
      </c>
      <c r="CS79">
        <v>5.7629154524781132</v>
      </c>
      <c r="CT79">
        <v>0.78328981723237601</v>
      </c>
      <c r="CU79" s="10">
        <v>0.3052058771252632</v>
      </c>
      <c r="CV79" s="11">
        <v>9.8790448904037473E-2</v>
      </c>
      <c r="CW79">
        <v>0.06</v>
      </c>
      <c r="CX79">
        <v>189.57407942626455</v>
      </c>
      <c r="CY79">
        <v>33208254.625594139</v>
      </c>
      <c r="CZ79">
        <v>0.3052058771252632</v>
      </c>
      <c r="DA79">
        <v>51.872543087118842</v>
      </c>
      <c r="DB79">
        <v>121363324.89862639</v>
      </c>
      <c r="DC79">
        <v>0.28994558326900005</v>
      </c>
      <c r="DD79">
        <v>19.802541936059985</v>
      </c>
      <c r="DE79">
        <v>317909908.75450051</v>
      </c>
      <c r="DF79">
        <v>0.26858117187023162</v>
      </c>
      <c r="DG79">
        <v>8.7194045153797894</v>
      </c>
      <c r="DH79">
        <v>722001633.12709796</v>
      </c>
      <c r="DI79">
        <v>0.24416470170021057</v>
      </c>
      <c r="DJ79">
        <v>2.1127951716146747</v>
      </c>
      <c r="DK79">
        <v>2979666171.420114</v>
      </c>
      <c r="DL79">
        <v>0.21364411398768424</v>
      </c>
      <c r="DM79">
        <v>26969500</v>
      </c>
      <c r="DN79">
        <v>0.3052058771252632</v>
      </c>
      <c r="DO79">
        <v>6295424300</v>
      </c>
      <c r="DP79">
        <v>626987100</v>
      </c>
      <c r="DQ79">
        <v>4673</v>
      </c>
      <c r="DR79">
        <v>7.4665980649844172</v>
      </c>
      <c r="DS79">
        <v>12.046422559844537</v>
      </c>
      <c r="DT79" s="12">
        <v>-9.000000000000008E-2</v>
      </c>
      <c r="DU79">
        <v>0.43333333333333329</v>
      </c>
      <c r="DV79">
        <v>0.34333333333333321</v>
      </c>
      <c r="DW79">
        <v>-8.5557522123893808</v>
      </c>
      <c r="DX79">
        <v>0.45139718445756227</v>
      </c>
      <c r="DY79">
        <v>-8.2008472848135838</v>
      </c>
      <c r="DZ79">
        <v>1868</v>
      </c>
      <c r="EA79">
        <v>-8.1274260073122573</v>
      </c>
      <c r="EB79">
        <v>8</v>
      </c>
      <c r="EC79">
        <v>4.3131463222094955E-2</v>
      </c>
      <c r="ED79">
        <v>0.11934642846438588</v>
      </c>
      <c r="EE79" s="13">
        <v>-1.0039100000000001</v>
      </c>
      <c r="EF79">
        <v>-1.02311</v>
      </c>
      <c r="EG79">
        <v>9.3613971844575623</v>
      </c>
      <c r="EH79" t="s">
        <v>1302</v>
      </c>
      <c r="EI79">
        <v>0</v>
      </c>
      <c r="EJ79">
        <v>0</v>
      </c>
      <c r="EK79" s="14">
        <v>45470</v>
      </c>
      <c r="EL79">
        <v>0.28000000000000003</v>
      </c>
      <c r="EM79">
        <v>-5.49</v>
      </c>
      <c r="EN79">
        <v>-7.0000000000000007E-2</v>
      </c>
      <c r="EO79">
        <v>0.75</v>
      </c>
      <c r="EP79">
        <v>-1.92</v>
      </c>
    </row>
    <row r="80" spans="1:146" ht="96" x14ac:dyDescent="0.25">
      <c r="A80" s="9"/>
      <c r="B80" s="9"/>
      <c r="C80" s="9" t="str">
        <f>""&amp;CHAR(10)&amp;Basic_Fundamental_Information_Constructure(F80)&amp;CHAR(10)&amp;Basic_Fundamental_Information_Concatenate("")</f>
        <v xml:space="preserve">
市值19.076333亿, 利润-14.83亿; PE; 平均PE-9.9; 平均PEG-.91, PB.653; ROIC4.72%; ROE5.4833%; 股利率0%; 毛利12.8467%; 净利3.4033%; 上一年度营收增-78.44%, 利润增-1115.75%; 当季营收增290.1%, 利润增70.33%; 过往5年营收增10.87%, 利润增-175.75%
Income profile:
</v>
      </c>
      <c r="D80" t="s">
        <v>1222</v>
      </c>
      <c r="E80" t="s">
        <v>1247</v>
      </c>
      <c r="F80">
        <v>11.83</v>
      </c>
      <c r="G80">
        <v>1.02</v>
      </c>
      <c r="H80" t="s">
        <v>3434</v>
      </c>
      <c r="I80">
        <v>1907633300</v>
      </c>
      <c r="K80">
        <v>0.65300000000000002</v>
      </c>
      <c r="L80" t="s">
        <v>973</v>
      </c>
      <c r="M80" t="s">
        <v>470</v>
      </c>
      <c r="N80" t="s">
        <v>1871</v>
      </c>
      <c r="O80" t="s">
        <v>512</v>
      </c>
      <c r="P80">
        <v>60.04</v>
      </c>
      <c r="Q80" t="s">
        <v>341</v>
      </c>
      <c r="R80">
        <v>-41542438</v>
      </c>
      <c r="S80">
        <v>-7.4560000000000004</v>
      </c>
      <c r="T80" t="s">
        <v>3435</v>
      </c>
      <c r="U80">
        <v>95002691</v>
      </c>
      <c r="V80">
        <v>161253870</v>
      </c>
      <c r="W80">
        <v>1.41</v>
      </c>
      <c r="X80">
        <v>0.1</v>
      </c>
      <c r="Y80">
        <v>-10.55</v>
      </c>
      <c r="Z80" t="s">
        <v>325</v>
      </c>
      <c r="AA80" t="s">
        <v>250</v>
      </c>
      <c r="AB80" t="s">
        <v>2166</v>
      </c>
      <c r="AC80" t="s">
        <v>3436</v>
      </c>
      <c r="AD80" t="s">
        <v>5</v>
      </c>
      <c r="AE80">
        <v>-1335860</v>
      </c>
      <c r="AF80" t="s">
        <v>2374</v>
      </c>
      <c r="AG80">
        <v>3500.8</v>
      </c>
      <c r="AH80" t="s">
        <v>2375</v>
      </c>
      <c r="AI80" t="s">
        <v>75</v>
      </c>
      <c r="AJ80" t="s">
        <v>2376</v>
      </c>
      <c r="AK80" t="s">
        <v>3437</v>
      </c>
      <c r="AL80" t="s">
        <v>2377</v>
      </c>
      <c r="AM80" t="s">
        <v>5</v>
      </c>
      <c r="AN80" t="s">
        <v>53</v>
      </c>
      <c r="AO80" t="s">
        <v>3438</v>
      </c>
      <c r="AP80" t="s">
        <v>1210</v>
      </c>
      <c r="AQ80" t="s">
        <v>129</v>
      </c>
      <c r="AR80" t="s">
        <v>3439</v>
      </c>
      <c r="AS80" t="s">
        <v>1725</v>
      </c>
      <c r="AT80" t="s">
        <v>5</v>
      </c>
      <c r="AU80" t="s">
        <v>3440</v>
      </c>
      <c r="AV80" t="s">
        <v>3441</v>
      </c>
      <c r="AW80" t="s">
        <v>5</v>
      </c>
      <c r="AX80" t="s">
        <v>1160</v>
      </c>
      <c r="AY80" t="s">
        <v>664</v>
      </c>
      <c r="AZ80" t="s">
        <v>1214</v>
      </c>
      <c r="BA80" t="s">
        <v>472</v>
      </c>
      <c r="BB80" t="s">
        <v>615</v>
      </c>
      <c r="BC80" t="s">
        <v>116</v>
      </c>
      <c r="BD80" t="s">
        <v>1438</v>
      </c>
      <c r="BE80" t="s">
        <v>1223</v>
      </c>
      <c r="BF80" t="s">
        <v>1224</v>
      </c>
      <c r="BG80" t="s">
        <v>1225</v>
      </c>
      <c r="BH80" t="s">
        <v>863</v>
      </c>
      <c r="BI80" t="s">
        <v>142</v>
      </c>
      <c r="BJ80" t="s">
        <v>1160</v>
      </c>
      <c r="BK80" t="s">
        <v>2373</v>
      </c>
      <c r="BL80" t="s">
        <v>1670</v>
      </c>
      <c r="BM80" t="s">
        <v>116</v>
      </c>
      <c r="BN80">
        <v>0.16</v>
      </c>
      <c r="BO80">
        <v>6.18</v>
      </c>
      <c r="BP80">
        <v>7.82</v>
      </c>
      <c r="BQ80">
        <v>0.63</v>
      </c>
      <c r="BR80">
        <v>7.87</v>
      </c>
      <c r="BS80">
        <v>7.95</v>
      </c>
      <c r="BT80" t="s">
        <v>1280</v>
      </c>
      <c r="BU80" t="s">
        <v>2508</v>
      </c>
      <c r="BV80">
        <v>9.1999999999999993</v>
      </c>
      <c r="BW80">
        <v>13.33</v>
      </c>
      <c r="BX80">
        <v>16.010000000000002</v>
      </c>
      <c r="BY80">
        <v>-8.31</v>
      </c>
      <c r="BZ80">
        <v>8.8000000000000007</v>
      </c>
      <c r="CA80">
        <v>9.7200000000000006</v>
      </c>
      <c r="CB80">
        <v>-2.79</v>
      </c>
      <c r="CC80">
        <v>-24.12</v>
      </c>
      <c r="CD80" t="s">
        <v>3442</v>
      </c>
      <c r="CE80" t="s">
        <v>3443</v>
      </c>
      <c r="CF80" s="10">
        <v>2.9009900990099009</v>
      </c>
      <c r="CG80" s="11">
        <v>0.70326829999999996</v>
      </c>
      <c r="CH80" s="10">
        <v>-0.78442031145095825</v>
      </c>
      <c r="CI80" s="10">
        <v>0.91224020719528198</v>
      </c>
      <c r="CJ80" s="10">
        <v>0.49568220973014832</v>
      </c>
      <c r="CK80" s="10">
        <v>7.821229100227356E-2</v>
      </c>
      <c r="CL80" s="10">
        <v>-0.15830720961093903</v>
      </c>
      <c r="CM80" s="11">
        <v>-11.157534599304199</v>
      </c>
      <c r="CN80" s="11">
        <v>0.74734365940093994</v>
      </c>
      <c r="CO80" s="11">
        <v>1.0387421846389771</v>
      </c>
      <c r="CP80" s="11">
        <v>1.0220938920974731</v>
      </c>
      <c r="CQ80" s="11">
        <v>-0.43795859813690186</v>
      </c>
      <c r="CR80">
        <v>-9.9000855785077722</v>
      </c>
      <c r="CS80">
        <v>-0.91092700076421518</v>
      </c>
      <c r="CT80">
        <v>0</v>
      </c>
      <c r="CU80" s="10">
        <v>0.10868143737316131</v>
      </c>
      <c r="CV80" s="11">
        <v>-1.7574626922607421</v>
      </c>
      <c r="CW80">
        <v>0.06</v>
      </c>
      <c r="CX80" t="e">
        <v>#VALUE!</v>
      </c>
      <c r="CY80" t="s">
        <v>946</v>
      </c>
      <c r="CZ80">
        <v>0.10868143737316131</v>
      </c>
      <c r="DA80" t="e">
        <v>#VALUE!</v>
      </c>
      <c r="DB80" t="s">
        <v>947</v>
      </c>
      <c r="DC80">
        <v>0.10324736550450324</v>
      </c>
      <c r="DD80" t="e">
        <v>#VALUE!</v>
      </c>
      <c r="DE80" t="s">
        <v>947</v>
      </c>
      <c r="DF80">
        <v>9.5639664888381951E-2</v>
      </c>
      <c r="DG80" t="e">
        <v>#VALUE!</v>
      </c>
      <c r="DH80" t="s">
        <v>947</v>
      </c>
      <c r="DI80">
        <v>8.6945149898529056E-2</v>
      </c>
      <c r="DJ80" t="e">
        <v>#VALUE!</v>
      </c>
      <c r="DK80" t="s">
        <v>947</v>
      </c>
      <c r="DL80">
        <v>7.6077006161212921E-2</v>
      </c>
      <c r="DM80">
        <v>-1483000000</v>
      </c>
      <c r="DN80">
        <v>0.10868143737316131</v>
      </c>
      <c r="DO80">
        <v>79633300</v>
      </c>
      <c r="DP80">
        <v>663055400</v>
      </c>
      <c r="DQ80">
        <v>4700</v>
      </c>
      <c r="DR80">
        <v>2.7923086616367394</v>
      </c>
      <c r="DS80">
        <v>2.4607309922607419</v>
      </c>
      <c r="DT80" s="12">
        <v>-0.44</v>
      </c>
      <c r="DU80">
        <v>-0.94833333333333325</v>
      </c>
      <c r="DV80">
        <v>-1.3883333333333332</v>
      </c>
      <c r="DW80">
        <v>-8.1156716417910442</v>
      </c>
      <c r="DX80">
        <v>0.28781300616879679</v>
      </c>
      <c r="DY80">
        <v>-8.014784340265793</v>
      </c>
      <c r="DZ80">
        <v>5013</v>
      </c>
      <c r="EA80">
        <v>-8.0002806420754951</v>
      </c>
      <c r="EB80">
        <v>8</v>
      </c>
      <c r="EC80">
        <v>9.1997792052990728E-3</v>
      </c>
      <c r="ED80">
        <v>7.1978427556498331E-2</v>
      </c>
      <c r="EE80" s="13">
        <v>-1.00701</v>
      </c>
      <c r="EF80">
        <v>-1.03891</v>
      </c>
      <c r="EG80">
        <v>16.127813006168797</v>
      </c>
      <c r="EH80" t="s">
        <v>1302</v>
      </c>
      <c r="EI80">
        <v>0</v>
      </c>
      <c r="EJ80">
        <v>0</v>
      </c>
      <c r="EK80" s="14">
        <v>45470</v>
      </c>
      <c r="EL80">
        <v>1.68</v>
      </c>
      <c r="EM80">
        <v>-3.58</v>
      </c>
      <c r="EN80">
        <v>-3.03</v>
      </c>
      <c r="EO80">
        <v>4.8899999999999997</v>
      </c>
      <c r="EP80">
        <v>-3.19</v>
      </c>
    </row>
    <row r="81" spans="1:146" ht="96" x14ac:dyDescent="0.25">
      <c r="A81" s="9"/>
      <c r="B81" s="9"/>
      <c r="C81" s="9" t="str">
        <f>""&amp;CHAR(10)&amp;Basic_Fundamental_Information_Constructure(F81)&amp;CHAR(10)&amp;Basic_Fundamental_Information_Concatenate("")</f>
        <v xml:space="preserve">
市值36.221223亿, 利润5.01亿; PE; 平均PE12.8; 平均PEG.11, PB.564; ROIC14.55%; ROE14.8567%; 股利率0%; 毛利16.0833%; 净利3.6167%; 上一年度营收增-85.22%, 利润增-47.76%; 当季营收增545.25%, 利润增-807.58%; 过往5年营收增112.85%, 利润增-346.73%
Income profile:
</v>
      </c>
      <c r="D81" t="s">
        <v>1230</v>
      </c>
      <c r="E81" t="s">
        <v>1271</v>
      </c>
      <c r="F81">
        <v>28.72</v>
      </c>
      <c r="G81">
        <v>0.49</v>
      </c>
      <c r="H81" t="s">
        <v>3444</v>
      </c>
      <c r="I81">
        <v>3622122300</v>
      </c>
      <c r="K81">
        <v>0.56399999999999995</v>
      </c>
      <c r="L81" t="s">
        <v>973</v>
      </c>
      <c r="M81" t="s">
        <v>2378</v>
      </c>
      <c r="N81" t="s">
        <v>3445</v>
      </c>
      <c r="O81" t="s">
        <v>587</v>
      </c>
      <c r="P81">
        <v>-62.73</v>
      </c>
      <c r="Q81" t="s">
        <v>1863</v>
      </c>
      <c r="R81">
        <v>-130059835</v>
      </c>
      <c r="S81">
        <v>-2.8490000000000002</v>
      </c>
      <c r="T81" t="s">
        <v>331</v>
      </c>
      <c r="U81">
        <v>78926687</v>
      </c>
      <c r="V81">
        <v>126118463</v>
      </c>
      <c r="W81">
        <v>2.84</v>
      </c>
      <c r="X81">
        <v>0.06</v>
      </c>
      <c r="Y81">
        <v>-12.35</v>
      </c>
      <c r="Z81" t="s">
        <v>3446</v>
      </c>
      <c r="AA81" t="s">
        <v>3447</v>
      </c>
      <c r="AB81" t="s">
        <v>3448</v>
      </c>
      <c r="AC81" t="s">
        <v>3449</v>
      </c>
      <c r="AD81" t="s">
        <v>5</v>
      </c>
      <c r="AE81">
        <v>53545983</v>
      </c>
      <c r="AF81" t="s">
        <v>2381</v>
      </c>
      <c r="AG81" t="s">
        <v>3450</v>
      </c>
      <c r="AH81" t="s">
        <v>2382</v>
      </c>
      <c r="AI81" t="s">
        <v>1414</v>
      </c>
      <c r="AJ81" t="s">
        <v>2383</v>
      </c>
      <c r="AK81" t="s">
        <v>3451</v>
      </c>
      <c r="AL81" t="s">
        <v>2384</v>
      </c>
      <c r="AM81" t="s">
        <v>5</v>
      </c>
      <c r="AN81" t="s">
        <v>644</v>
      </c>
      <c r="AO81" t="s">
        <v>3452</v>
      </c>
      <c r="AP81" t="s">
        <v>201</v>
      </c>
      <c r="AQ81" t="s">
        <v>271</v>
      </c>
      <c r="AR81" t="s">
        <v>5</v>
      </c>
      <c r="AS81" t="s">
        <v>1067</v>
      </c>
      <c r="AT81" t="s">
        <v>3453</v>
      </c>
      <c r="AU81" t="s">
        <v>1256</v>
      </c>
      <c r="AV81" t="s">
        <v>1845</v>
      </c>
      <c r="AW81" t="s">
        <v>35</v>
      </c>
      <c r="AX81" t="s">
        <v>1439</v>
      </c>
      <c r="AY81" t="s">
        <v>1231</v>
      </c>
      <c r="AZ81" t="s">
        <v>76</v>
      </c>
      <c r="BA81" t="s">
        <v>367</v>
      </c>
      <c r="BB81" t="s">
        <v>1014</v>
      </c>
      <c r="BC81" t="s">
        <v>1075</v>
      </c>
      <c r="BD81" t="s">
        <v>25</v>
      </c>
      <c r="BE81" t="s">
        <v>1232</v>
      </c>
      <c r="BF81" t="s">
        <v>1233</v>
      </c>
      <c r="BG81" t="s">
        <v>1234</v>
      </c>
      <c r="BH81" t="s">
        <v>2379</v>
      </c>
      <c r="BI81" t="s">
        <v>499</v>
      </c>
      <c r="BJ81" t="s">
        <v>1439</v>
      </c>
      <c r="BK81" t="s">
        <v>2380</v>
      </c>
      <c r="BL81" t="s">
        <v>3454</v>
      </c>
      <c r="BM81" t="s">
        <v>1075</v>
      </c>
      <c r="BN81" t="s">
        <v>5</v>
      </c>
      <c r="BO81">
        <v>12.02</v>
      </c>
      <c r="BP81">
        <v>17.079999999999998</v>
      </c>
      <c r="BQ81">
        <v>-11.9</v>
      </c>
      <c r="BR81">
        <v>27.35</v>
      </c>
      <c r="BS81">
        <v>29.12</v>
      </c>
      <c r="BT81" t="s">
        <v>1280</v>
      </c>
      <c r="BU81" t="s">
        <v>2508</v>
      </c>
      <c r="BV81">
        <v>0.01</v>
      </c>
      <c r="BW81">
        <v>17.05</v>
      </c>
      <c r="BX81">
        <v>31.19</v>
      </c>
      <c r="BY81">
        <v>-12.71</v>
      </c>
      <c r="BZ81">
        <v>7.72</v>
      </c>
      <c r="CA81">
        <v>15.84</v>
      </c>
      <c r="CB81">
        <v>-2.38</v>
      </c>
      <c r="CC81" s="10">
        <v>-28.95</v>
      </c>
      <c r="CD81" s="11" t="s">
        <v>3455</v>
      </c>
      <c r="CE81" s="10" t="s">
        <v>3456</v>
      </c>
      <c r="CF81" s="10">
        <v>5.4525139664804465</v>
      </c>
      <c r="CG81" s="10">
        <v>-8.0757758010989615</v>
      </c>
      <c r="CH81" s="10">
        <v>-0.85223865509033203</v>
      </c>
      <c r="CI81" s="10">
        <v>4.5410494804382324</v>
      </c>
      <c r="CJ81" s="11">
        <v>2.2398254871368408</v>
      </c>
      <c r="CK81" s="11">
        <v>-0.10182767361402512</v>
      </c>
      <c r="CL81" s="11">
        <v>-0.18423855304718018</v>
      </c>
      <c r="CM81" s="11">
        <v>-0.47758081555366516</v>
      </c>
      <c r="CN81" s="11">
        <v>1.7167139053344727</v>
      </c>
      <c r="CO81">
        <v>8.9127397537231445</v>
      </c>
      <c r="CP81">
        <v>0.39209407567977905</v>
      </c>
      <c r="CQ81">
        <v>-27.880220413208008</v>
      </c>
      <c r="CR81" s="10">
        <v>12.801033118992576</v>
      </c>
      <c r="CS81" s="11">
        <v>0.11343264615493259</v>
      </c>
      <c r="CT81">
        <v>0</v>
      </c>
      <c r="CU81">
        <v>1.1285140171647072</v>
      </c>
      <c r="CV81">
        <v>-3.4672506988048553</v>
      </c>
      <c r="CW81">
        <v>0.06</v>
      </c>
      <c r="CX81">
        <v>9.9859660622935866</v>
      </c>
      <c r="CY81">
        <v>1006024077.9240738</v>
      </c>
      <c r="CZ81">
        <v>1.1285140171647072</v>
      </c>
      <c r="DA81">
        <v>1.5138473627365991</v>
      </c>
      <c r="DB81">
        <v>6636152724.0365305</v>
      </c>
      <c r="DC81">
        <v>1.0720883163064718</v>
      </c>
      <c r="DD81">
        <v>0.21735482732943789</v>
      </c>
      <c r="DE81">
        <v>46219918018.077454</v>
      </c>
      <c r="DF81">
        <v>0.99309233510494233</v>
      </c>
      <c r="DG81">
        <v>2.5635907868507325E-2</v>
      </c>
      <c r="DH81">
        <v>391876985653.44177</v>
      </c>
      <c r="DI81">
        <v>0.90281121373176587</v>
      </c>
      <c r="DJ81">
        <v>2.300807702896071E-4</v>
      </c>
      <c r="DK81">
        <v>43663459085932.094</v>
      </c>
      <c r="DL81">
        <v>0.78995981201529497</v>
      </c>
      <c r="DM81">
        <v>501000000</v>
      </c>
      <c r="DN81">
        <v>1.1285140171647072</v>
      </c>
      <c r="DO81">
        <v>10046122300</v>
      </c>
      <c r="DP81">
        <v>1192105100</v>
      </c>
      <c r="DQ81" s="12">
        <v>4777</v>
      </c>
      <c r="DR81">
        <v>4.3239999493157395</v>
      </c>
      <c r="DS81">
        <v>-4.6085251022941058</v>
      </c>
      <c r="DT81">
        <v>-0.19333333333333336</v>
      </c>
      <c r="DU81">
        <v>-1.2683333333333333</v>
      </c>
      <c r="DV81">
        <v>-1.4616666666666667</v>
      </c>
      <c r="DW81">
        <v>-3.1464583333333334</v>
      </c>
      <c r="DX81">
        <v>0.40177833671021701</v>
      </c>
      <c r="DY81">
        <v>-3.0236937855640171</v>
      </c>
      <c r="DZ81">
        <v>610</v>
      </c>
      <c r="EA81">
        <v>-3.0208653688919918</v>
      </c>
      <c r="EB81" s="13">
        <v>3</v>
      </c>
      <c r="EC81">
        <v>2.7539980407151013E-2</v>
      </c>
      <c r="ED81">
        <v>0.17023280722981851</v>
      </c>
      <c r="EE81">
        <v>1.8209999999999994E-2</v>
      </c>
      <c r="EF81">
        <v>4.6310000000000004E-2</v>
      </c>
      <c r="EG81">
        <v>24.161778336710217</v>
      </c>
      <c r="EH81" s="14">
        <v>-1</v>
      </c>
      <c r="EI81">
        <v>0</v>
      </c>
      <c r="EJ81">
        <v>1</v>
      </c>
      <c r="EK81">
        <v>45470</v>
      </c>
      <c r="EL81">
        <v>0.2</v>
      </c>
      <c r="EM81">
        <v>-4.68</v>
      </c>
      <c r="EN81">
        <v>0.71</v>
      </c>
      <c r="EO81">
        <v>3.33</v>
      </c>
      <c r="EP81">
        <v>-2.81</v>
      </c>
    </row>
    <row r="82" spans="1:146" ht="204" x14ac:dyDescent="0.25">
      <c r="A82" s="9" t="s">
        <v>1236</v>
      </c>
      <c r="B82" s="9" t="s">
        <v>1206</v>
      </c>
      <c r="C82" s="9" t="s">
        <v>1205</v>
      </c>
      <c r="D82" t="s">
        <v>872</v>
      </c>
      <c r="E82" t="s">
        <v>873</v>
      </c>
      <c r="F82">
        <v>28.4</v>
      </c>
      <c r="G82">
        <v>0.14000000000000001</v>
      </c>
      <c r="H82" t="s">
        <v>3457</v>
      </c>
      <c r="I82">
        <v>4699227900</v>
      </c>
      <c r="K82">
        <v>1.59</v>
      </c>
      <c r="L82" t="s">
        <v>973</v>
      </c>
      <c r="M82" t="s">
        <v>2385</v>
      </c>
      <c r="N82" t="s">
        <v>1064</v>
      </c>
      <c r="O82" t="s">
        <v>2386</v>
      </c>
      <c r="P82">
        <v>-72.83</v>
      </c>
      <c r="Q82" t="s">
        <v>345</v>
      </c>
      <c r="R82">
        <v>-91204404</v>
      </c>
      <c r="S82" s="6">
        <v>-1.361</v>
      </c>
      <c r="T82" t="s">
        <v>3458</v>
      </c>
      <c r="U82">
        <v>113849659</v>
      </c>
      <c r="V82">
        <v>165465770</v>
      </c>
      <c r="W82">
        <v>1.5</v>
      </c>
      <c r="X82">
        <v>0</v>
      </c>
      <c r="Y82">
        <v>-801.68</v>
      </c>
      <c r="Z82" t="s">
        <v>263</v>
      </c>
      <c r="AA82" t="s">
        <v>3459</v>
      </c>
      <c r="AB82" t="s">
        <v>3460</v>
      </c>
      <c r="AC82" t="s">
        <v>3461</v>
      </c>
      <c r="AD82" t="s">
        <v>5</v>
      </c>
      <c r="AE82">
        <v>480661</v>
      </c>
      <c r="AF82" t="s">
        <v>2387</v>
      </c>
      <c r="AG82">
        <v>8570.8700000000008</v>
      </c>
      <c r="AH82" t="s">
        <v>2388</v>
      </c>
      <c r="AI82" t="s">
        <v>466</v>
      </c>
      <c r="AJ82" t="s">
        <v>2389</v>
      </c>
      <c r="AK82" t="s">
        <v>3462</v>
      </c>
      <c r="AL82" t="s">
        <v>2390</v>
      </c>
      <c r="AM82" t="s">
        <v>5</v>
      </c>
      <c r="AN82" t="s">
        <v>3463</v>
      </c>
      <c r="AO82" t="s">
        <v>239</v>
      </c>
      <c r="AP82" t="s">
        <v>3464</v>
      </c>
      <c r="AQ82" t="s">
        <v>382</v>
      </c>
      <c r="AR82" t="s">
        <v>5</v>
      </c>
      <c r="AS82" t="s">
        <v>1170</v>
      </c>
      <c r="AT82" t="s">
        <v>5</v>
      </c>
      <c r="AU82" t="s">
        <v>3465</v>
      </c>
      <c r="AV82" t="s">
        <v>3466</v>
      </c>
      <c r="AW82" t="s">
        <v>3467</v>
      </c>
      <c r="AX82" t="s">
        <v>681</v>
      </c>
      <c r="AY82" t="s">
        <v>533</v>
      </c>
      <c r="AZ82" t="s">
        <v>223</v>
      </c>
      <c r="BA82" t="s">
        <v>120</v>
      </c>
      <c r="BB82" t="s">
        <v>90</v>
      </c>
      <c r="BC82" t="s">
        <v>1264</v>
      </c>
      <c r="BD82" t="s">
        <v>1032</v>
      </c>
      <c r="BE82" t="s">
        <v>874</v>
      </c>
      <c r="BF82" t="s">
        <v>875</v>
      </c>
      <c r="BG82" t="s">
        <v>876</v>
      </c>
      <c r="BH82" t="s">
        <v>133</v>
      </c>
      <c r="BI82" t="s">
        <v>3468</v>
      </c>
      <c r="BJ82" t="s">
        <v>681</v>
      </c>
      <c r="BK82" t="s">
        <v>1724</v>
      </c>
      <c r="BL82" t="s">
        <v>3469</v>
      </c>
      <c r="BM82" t="s">
        <v>1264</v>
      </c>
      <c r="BN82" t="s">
        <v>5</v>
      </c>
      <c r="BO82" t="s">
        <v>5</v>
      </c>
      <c r="BP82" t="s">
        <v>5</v>
      </c>
      <c r="BQ82">
        <v>-6.3</v>
      </c>
      <c r="BR82">
        <v>-6.86</v>
      </c>
      <c r="BS82">
        <v>-7.11</v>
      </c>
      <c r="BT82" t="s">
        <v>1298</v>
      </c>
      <c r="BU82" t="s">
        <v>2631</v>
      </c>
      <c r="BV82">
        <v>32.53</v>
      </c>
      <c r="BW82">
        <v>38.4</v>
      </c>
      <c r="BX82">
        <v>37.880000000000003</v>
      </c>
      <c r="BY82">
        <v>-37.479999999999997</v>
      </c>
      <c r="BZ82">
        <v>-26.38</v>
      </c>
      <c r="CA82">
        <v>-31.93</v>
      </c>
      <c r="CB82">
        <v>-5.27</v>
      </c>
      <c r="CC82">
        <v>-15.98</v>
      </c>
      <c r="CD82" t="s">
        <v>3470</v>
      </c>
      <c r="CE82" t="s">
        <v>3471</v>
      </c>
      <c r="CF82" s="10">
        <v>-0.76159122980762606</v>
      </c>
      <c r="CG82" s="11">
        <v>-1.0306444823537231E-2</v>
      </c>
      <c r="CH82" s="10">
        <v>-0.31436315178871155</v>
      </c>
      <c r="CI82" s="10">
        <v>0.17329093813896179</v>
      </c>
      <c r="CJ82" s="10">
        <v>9.9650353193283081E-2</v>
      </c>
      <c r="CK82" s="10">
        <v>3.249097615480423E-2</v>
      </c>
      <c r="CL82" s="10">
        <v>0.50543481111526489</v>
      </c>
      <c r="CM82" s="11">
        <v>-1.2934131622314453</v>
      </c>
      <c r="CN82" s="11">
        <v>-3.0864197760820389E-2</v>
      </c>
      <c r="CO82" s="11">
        <v>-6.1924557685852051</v>
      </c>
      <c r="CP82" s="11">
        <v>-1.3523910045623779</v>
      </c>
      <c r="CQ82" s="11">
        <v>1.7650209665298462</v>
      </c>
      <c r="CR82">
        <v>-43.545574224197708</v>
      </c>
      <c r="CS82">
        <v>-4.3852195191746786</v>
      </c>
      <c r="CT82">
        <v>0</v>
      </c>
      <c r="CU82" s="10">
        <v>9.9300785362720495E-2</v>
      </c>
      <c r="CV82" s="11">
        <v>-1.4208206333220006</v>
      </c>
      <c r="CW82">
        <v>0.06</v>
      </c>
      <c r="CX82" t="e">
        <v>#VALUE!</v>
      </c>
      <c r="CY82" t="s">
        <v>946</v>
      </c>
      <c r="CZ82">
        <v>9.9300785362720495E-2</v>
      </c>
      <c r="DA82" t="e">
        <v>#VALUE!</v>
      </c>
      <c r="DB82" t="s">
        <v>947</v>
      </c>
      <c r="DC82">
        <v>9.4335746094584463E-2</v>
      </c>
      <c r="DD82" t="e">
        <v>#VALUE!</v>
      </c>
      <c r="DE82" t="s">
        <v>947</v>
      </c>
      <c r="DF82">
        <v>8.738469111919403E-2</v>
      </c>
      <c r="DG82" t="e">
        <v>#VALUE!</v>
      </c>
      <c r="DH82" t="s">
        <v>947</v>
      </c>
      <c r="DI82">
        <v>7.9440628290176396E-2</v>
      </c>
      <c r="DJ82" t="e">
        <v>#VALUE!</v>
      </c>
      <c r="DK82" t="s">
        <v>947</v>
      </c>
      <c r="DL82">
        <v>6.9510549753904347E-2</v>
      </c>
      <c r="DM82">
        <v>-383000000</v>
      </c>
      <c r="DN82">
        <v>9.9300785362720495E-2</v>
      </c>
      <c r="DO82">
        <v>2935227900</v>
      </c>
      <c r="DP82">
        <v>1925855400</v>
      </c>
      <c r="DQ82">
        <v>4837</v>
      </c>
      <c r="DR82">
        <v>-0.86089201517034653</v>
      </c>
      <c r="DS82">
        <v>1.4105141884984633</v>
      </c>
      <c r="DT82" s="12">
        <v>-0.35666666666666669</v>
      </c>
      <c r="DU82">
        <v>-3.1983333333333337</v>
      </c>
      <c r="DV82">
        <v>-3.5550000000000006</v>
      </c>
      <c r="DW82">
        <v>-8.3297872340425538</v>
      </c>
      <c r="DX82">
        <v>0.38302400133805192</v>
      </c>
      <c r="DY82">
        <v>-8.047167489802975</v>
      </c>
      <c r="DZ82">
        <v>4800</v>
      </c>
      <c r="EA82">
        <v>-8.0028614328451901</v>
      </c>
      <c r="EB82">
        <v>8</v>
      </c>
      <c r="EC82">
        <v>3.1007621697224756E-2</v>
      </c>
      <c r="ED82">
        <v>0.21680012730125392</v>
      </c>
      <c r="EE82" s="13">
        <v>6.0269000000000004</v>
      </c>
      <c r="EF82">
        <v>6.0057099999999997</v>
      </c>
      <c r="EG82">
        <v>24.143024001338052</v>
      </c>
      <c r="EH82" t="s">
        <v>2416</v>
      </c>
      <c r="EI82">
        <v>0</v>
      </c>
      <c r="EJ82">
        <v>0</v>
      </c>
      <c r="EK82" s="14">
        <v>45470</v>
      </c>
      <c r="EL82">
        <v>-2.42</v>
      </c>
      <c r="EM82">
        <v>-4.5199999999999996</v>
      </c>
      <c r="EN82">
        <v>-6.5</v>
      </c>
      <c r="EO82">
        <v>8.3800000000000008</v>
      </c>
      <c r="EP82">
        <v>-3.26</v>
      </c>
    </row>
    <row r="83" spans="1:146" ht="96" x14ac:dyDescent="0.25">
      <c r="A83" s="9"/>
      <c r="B83" s="9"/>
      <c r="C83" s="9" t="str">
        <f>""&amp;CHAR(10)&amp;Basic_Fundamental_Information_Constructure(F83)&amp;CHAR(10)&amp;Basic_Fundamental_Information_Concatenate("")</f>
        <v xml:space="preserve">
市值16亿, 利润19.36亿; PE; 平均PE3.95; 平均PEG.03, PB1.42; ROIC7.7633%; ROE9.17%; 股利率0%; 毛利17.85%; 净利2.9967%; 上一年度营收增605.43%, 利润增1660%; 当季营收增-91.82%, 利润增-101.98%; 过往5年营收增142.26%, 利润增347.16%
Income profile:
</v>
      </c>
      <c r="D83" t="s">
        <v>877</v>
      </c>
      <c r="E83" t="s">
        <v>878</v>
      </c>
      <c r="F83">
        <v>16</v>
      </c>
      <c r="G83">
        <v>0</v>
      </c>
      <c r="H83" t="s">
        <v>3472</v>
      </c>
      <c r="I83">
        <v>1600000000</v>
      </c>
      <c r="K83">
        <v>1.42</v>
      </c>
      <c r="L83" t="s">
        <v>973</v>
      </c>
      <c r="M83" t="s">
        <v>651</v>
      </c>
      <c r="N83" t="s">
        <v>1551</v>
      </c>
      <c r="O83" t="s">
        <v>538</v>
      </c>
      <c r="P83">
        <v>-27.32</v>
      </c>
      <c r="Q83" t="s">
        <v>3473</v>
      </c>
      <c r="R83">
        <v>-20652608</v>
      </c>
      <c r="S83" s="6">
        <v>-2.8159999999999998</v>
      </c>
      <c r="T83" t="s">
        <v>932</v>
      </c>
      <c r="U83">
        <v>100000000</v>
      </c>
      <c r="V83">
        <v>100000000</v>
      </c>
      <c r="W83">
        <v>2.27</v>
      </c>
      <c r="X83">
        <v>0.14000000000000001</v>
      </c>
      <c r="Y83">
        <v>-5.77</v>
      </c>
      <c r="Z83" t="s">
        <v>486</v>
      </c>
      <c r="AA83" t="s">
        <v>176</v>
      </c>
      <c r="AB83" t="s">
        <v>3474</v>
      </c>
      <c r="AC83" t="s">
        <v>3475</v>
      </c>
      <c r="AD83" t="s">
        <v>5</v>
      </c>
      <c r="AE83">
        <v>163583</v>
      </c>
      <c r="AF83" t="s">
        <v>2393</v>
      </c>
      <c r="AG83" t="s">
        <v>3476</v>
      </c>
      <c r="AH83" t="s">
        <v>2394</v>
      </c>
      <c r="AI83" t="s">
        <v>514</v>
      </c>
      <c r="AJ83" t="s">
        <v>2395</v>
      </c>
      <c r="AK83" t="s">
        <v>3477</v>
      </c>
      <c r="AL83" t="s">
        <v>2396</v>
      </c>
      <c r="AM83" t="s">
        <v>5</v>
      </c>
      <c r="AN83" t="s">
        <v>3478</v>
      </c>
      <c r="AO83" t="s">
        <v>313</v>
      </c>
      <c r="AP83" t="s">
        <v>284</v>
      </c>
      <c r="AQ83" t="s">
        <v>520</v>
      </c>
      <c r="AR83" t="s">
        <v>5</v>
      </c>
      <c r="AS83" t="s">
        <v>1001</v>
      </c>
      <c r="AT83" t="s">
        <v>263</v>
      </c>
      <c r="AU83" t="s">
        <v>1382</v>
      </c>
      <c r="AV83" t="s">
        <v>3479</v>
      </c>
      <c r="AW83" t="s">
        <v>160</v>
      </c>
      <c r="AX83" t="s">
        <v>1273</v>
      </c>
      <c r="AY83" t="s">
        <v>1059</v>
      </c>
      <c r="AZ83" t="s">
        <v>530</v>
      </c>
      <c r="BA83" t="s">
        <v>377</v>
      </c>
      <c r="BB83" t="s">
        <v>598</v>
      </c>
      <c r="BC83" t="s">
        <v>93</v>
      </c>
      <c r="BD83" t="s">
        <v>131</v>
      </c>
      <c r="BE83" t="s">
        <v>29</v>
      </c>
      <c r="BF83" t="s">
        <v>880</v>
      </c>
      <c r="BG83" t="s">
        <v>881</v>
      </c>
      <c r="BH83" t="s">
        <v>2391</v>
      </c>
      <c r="BI83" t="s">
        <v>3480</v>
      </c>
      <c r="BJ83" t="s">
        <v>1273</v>
      </c>
      <c r="BK83" t="s">
        <v>2392</v>
      </c>
      <c r="BL83" t="s">
        <v>1832</v>
      </c>
      <c r="BM83" t="s">
        <v>93</v>
      </c>
      <c r="BN83">
        <v>1.9</v>
      </c>
      <c r="BO83">
        <v>7.66</v>
      </c>
      <c r="BP83">
        <v>13.73</v>
      </c>
      <c r="BQ83">
        <v>2.2599999999999998</v>
      </c>
      <c r="BR83">
        <v>9.2899999999999991</v>
      </c>
      <c r="BS83">
        <v>15.96</v>
      </c>
      <c r="BT83" t="s">
        <v>1280</v>
      </c>
      <c r="BU83" t="s">
        <v>2521</v>
      </c>
      <c r="BV83">
        <v>15.77</v>
      </c>
      <c r="BW83">
        <v>17.600000000000001</v>
      </c>
      <c r="BX83">
        <v>20.18</v>
      </c>
      <c r="BY83">
        <v>-1.51</v>
      </c>
      <c r="BZ83">
        <v>4.83</v>
      </c>
      <c r="CA83">
        <v>5.67</v>
      </c>
      <c r="CB83">
        <v>-5.27</v>
      </c>
      <c r="CC83">
        <v>-21.61</v>
      </c>
      <c r="CD83" t="s">
        <v>3481</v>
      </c>
      <c r="CE83" t="s">
        <v>3482</v>
      </c>
      <c r="CF83" s="10">
        <v>-0.91815272062185638</v>
      </c>
      <c r="CG83" s="11">
        <v>-1.0197821915708811</v>
      </c>
      <c r="CH83" s="10">
        <v>6.0543241500854492</v>
      </c>
      <c r="CI83" s="10">
        <v>3.7889041006565094E-2</v>
      </c>
      <c r="CJ83" s="10">
        <v>0.54926615953445435</v>
      </c>
      <c r="CK83" s="10">
        <v>0.39473691582679749</v>
      </c>
      <c r="CL83" s="10">
        <v>7.6600208878517151E-2</v>
      </c>
      <c r="CM83" s="11">
        <v>16.600000381469727</v>
      </c>
      <c r="CN83" s="11">
        <v>-0.1269841343164444</v>
      </c>
      <c r="CO83" s="11">
        <v>2.4390242993831635E-2</v>
      </c>
      <c r="CP83" s="11">
        <v>0.74706977605819702</v>
      </c>
      <c r="CQ83" s="11">
        <v>0.11359512805938721</v>
      </c>
      <c r="CR83">
        <v>3.9528531673574205</v>
      </c>
      <c r="CS83">
        <v>2.7786835081900777E-2</v>
      </c>
      <c r="CT83">
        <v>0</v>
      </c>
      <c r="CU83" s="10">
        <v>1.4225632950663567</v>
      </c>
      <c r="CV83" s="11">
        <v>3.4716142788529396</v>
      </c>
      <c r="CW83">
        <v>0.06</v>
      </c>
      <c r="CX83">
        <v>0.44433333156945498</v>
      </c>
      <c r="CY83">
        <v>4424606169.1023264</v>
      </c>
      <c r="CZ83">
        <v>1.4225632950663567</v>
      </c>
      <c r="DA83">
        <v>5.6242102670583473E-2</v>
      </c>
      <c r="DB83">
        <v>34956018830.147415</v>
      </c>
      <c r="DC83">
        <v>1.3514351303130387</v>
      </c>
      <c r="DD83">
        <v>5.9115822777009927E-3</v>
      </c>
      <c r="DE83">
        <v>332567476463.26849</v>
      </c>
      <c r="DF83">
        <v>1.2518556996583938</v>
      </c>
      <c r="DG83">
        <v>4.5979890871523959E-4</v>
      </c>
      <c r="DH83">
        <v>4275782222914.2642</v>
      </c>
      <c r="DI83">
        <v>1.1380506360530853</v>
      </c>
      <c r="DJ83">
        <v>1.5189584110964192E-6</v>
      </c>
      <c r="DK83">
        <v>1294307984759698.5</v>
      </c>
      <c r="DL83">
        <v>0.99579430654644963</v>
      </c>
      <c r="DM83">
        <v>1936000000</v>
      </c>
      <c r="DN83">
        <v>1.4225632950663567</v>
      </c>
      <c r="DO83">
        <v>1966000000</v>
      </c>
      <c r="DP83">
        <v>220604300</v>
      </c>
      <c r="DQ83">
        <v>4839</v>
      </c>
      <c r="DR83">
        <v>-2.340716015688213</v>
      </c>
      <c r="DS83">
        <v>-4.4913964704238207</v>
      </c>
      <c r="DT83" s="12">
        <v>0.10999999999999995</v>
      </c>
      <c r="DU83">
        <v>-0.36500000000000005</v>
      </c>
      <c r="DV83">
        <v>-0.25500000000000012</v>
      </c>
      <c r="DW83">
        <v>-8.2438685793614059</v>
      </c>
      <c r="DX83">
        <v>0.30841492553264743</v>
      </c>
      <c r="DY83">
        <v>-8.0288776796648325</v>
      </c>
      <c r="DZ83" t="s">
        <v>3181</v>
      </c>
      <c r="EA83" t="e">
        <v>#VALUE!</v>
      </c>
      <c r="EB83" t="e">
        <v>#VALUE!</v>
      </c>
      <c r="EC83">
        <v>1.5512E-2</v>
      </c>
      <c r="ED83">
        <v>0.130997</v>
      </c>
      <c r="EE83" s="13">
        <v>2.86E-2</v>
      </c>
      <c r="EF83">
        <v>1.5999999999999973E-3</v>
      </c>
      <c r="EG83">
        <v>19.118414925532647</v>
      </c>
      <c r="EH83" t="s">
        <v>1073</v>
      </c>
      <c r="EI83" t="e">
        <v>#VALUE!</v>
      </c>
      <c r="EJ83">
        <v>0</v>
      </c>
      <c r="EK83" s="14">
        <v>45470</v>
      </c>
      <c r="EL83">
        <v>-1.05</v>
      </c>
      <c r="EM83">
        <v>-3.79</v>
      </c>
      <c r="EN83">
        <v>-4.05</v>
      </c>
      <c r="EO83">
        <v>3.1</v>
      </c>
      <c r="EP83">
        <v>-2.7</v>
      </c>
    </row>
    <row r="84" spans="1:146" ht="96" x14ac:dyDescent="0.25">
      <c r="A84" s="9"/>
      <c r="B84" s="9"/>
      <c r="C84" s="9" t="str">
        <f>""&amp;CHAR(10)&amp;Basic_Fundamental_Information_Constructure(F84)&amp;CHAR(10)&amp;Basic_Fundamental_Information_Concatenate("")</f>
        <v xml:space="preserve">
市值26.78005亿, 利润1466.35万; PE; 平均PE17.66; 平均PEG.93, PB.724; ROIC17.6867%; ROE24.8033%; 股利率0%; 毛利40.06%; 净利21.48%; 上一年度营收增-38.17%, 利润增-94.38%; 当季营收增-6.42%, 利润增-227.5%; 过往5年营收增18.91%, 利润增66.93%
Income profile:
</v>
      </c>
      <c r="D84" t="s">
        <v>1124</v>
      </c>
      <c r="E84" t="s">
        <v>1125</v>
      </c>
      <c r="F84">
        <v>16.79</v>
      </c>
      <c r="G84">
        <v>0.96</v>
      </c>
      <c r="H84" t="s">
        <v>3483</v>
      </c>
      <c r="I84">
        <v>2678005000</v>
      </c>
      <c r="K84">
        <v>0.72399999999999998</v>
      </c>
      <c r="L84" t="s">
        <v>973</v>
      </c>
      <c r="M84" t="s">
        <v>533</v>
      </c>
      <c r="N84" t="s">
        <v>2004</v>
      </c>
      <c r="O84" t="s">
        <v>161</v>
      </c>
      <c r="P84">
        <v>-9.77</v>
      </c>
      <c r="Q84" t="s">
        <v>471</v>
      </c>
      <c r="R84">
        <v>-12803258</v>
      </c>
      <c r="S84" s="6">
        <v>-2.1629999999999998</v>
      </c>
      <c r="T84" t="s">
        <v>3484</v>
      </c>
      <c r="U84">
        <v>61296393</v>
      </c>
      <c r="V84">
        <v>159500000</v>
      </c>
      <c r="W84">
        <v>1.1299999999999999</v>
      </c>
      <c r="X84">
        <v>0.02</v>
      </c>
      <c r="Y84">
        <v>-15.03</v>
      </c>
      <c r="Z84" t="s">
        <v>62</v>
      </c>
      <c r="AA84" t="s">
        <v>161</v>
      </c>
      <c r="AB84" t="s">
        <v>3485</v>
      </c>
      <c r="AC84" t="s">
        <v>3486</v>
      </c>
      <c r="AD84" t="s">
        <v>5</v>
      </c>
      <c r="AE84">
        <v>-2894017</v>
      </c>
      <c r="AF84" t="s">
        <v>27</v>
      </c>
      <c r="AG84" t="s">
        <v>5</v>
      </c>
      <c r="AH84" t="s">
        <v>2399</v>
      </c>
      <c r="AI84" t="s">
        <v>323</v>
      </c>
      <c r="AJ84" t="s">
        <v>2400</v>
      </c>
      <c r="AK84" t="s">
        <v>3487</v>
      </c>
      <c r="AL84" t="s">
        <v>2401</v>
      </c>
      <c r="AM84" t="s">
        <v>5</v>
      </c>
      <c r="AN84" t="s">
        <v>469</v>
      </c>
      <c r="AO84" t="s">
        <v>3488</v>
      </c>
      <c r="AP84" t="s">
        <v>97</v>
      </c>
      <c r="AQ84" t="s">
        <v>117</v>
      </c>
      <c r="AR84" t="s">
        <v>5</v>
      </c>
      <c r="AS84" t="s">
        <v>326</v>
      </c>
      <c r="AT84" t="s">
        <v>29</v>
      </c>
      <c r="AU84" t="s">
        <v>3489</v>
      </c>
      <c r="AV84" t="s">
        <v>3490</v>
      </c>
      <c r="AW84" t="s">
        <v>3491</v>
      </c>
      <c r="AX84" t="s">
        <v>370</v>
      </c>
      <c r="AY84" t="s">
        <v>586</v>
      </c>
      <c r="AZ84" t="s">
        <v>329</v>
      </c>
      <c r="BA84" t="s">
        <v>165</v>
      </c>
      <c r="BB84" t="s">
        <v>462</v>
      </c>
      <c r="BC84" t="s">
        <v>187</v>
      </c>
      <c r="BD84" t="s">
        <v>525</v>
      </c>
      <c r="BE84" t="s">
        <v>1126</v>
      </c>
      <c r="BF84" t="s">
        <v>1127</v>
      </c>
      <c r="BG84" t="s">
        <v>1128</v>
      </c>
      <c r="BH84" t="s">
        <v>1550</v>
      </c>
      <c r="BI84" t="s">
        <v>211</v>
      </c>
      <c r="BJ84" t="s">
        <v>370</v>
      </c>
      <c r="BK84" t="s">
        <v>2398</v>
      </c>
      <c r="BL84" t="s">
        <v>3492</v>
      </c>
      <c r="BM84" t="s">
        <v>187</v>
      </c>
      <c r="BN84">
        <v>0.06</v>
      </c>
      <c r="BO84">
        <v>9.4600000000000009</v>
      </c>
      <c r="BP84">
        <v>43.54</v>
      </c>
      <c r="BQ84">
        <v>0.66</v>
      </c>
      <c r="BR84">
        <v>22.35</v>
      </c>
      <c r="BS84">
        <v>51.4</v>
      </c>
      <c r="BT84" t="s">
        <v>1280</v>
      </c>
      <c r="BU84" t="s">
        <v>2508</v>
      </c>
      <c r="BV84">
        <v>11.28</v>
      </c>
      <c r="BW84">
        <v>46.79</v>
      </c>
      <c r="BX84">
        <v>62.11</v>
      </c>
      <c r="BY84">
        <v>-6.46</v>
      </c>
      <c r="BZ84">
        <v>29.72</v>
      </c>
      <c r="CA84">
        <v>41.18</v>
      </c>
      <c r="CB84">
        <v>-3.28</v>
      </c>
      <c r="CC84">
        <v>-18.809999999999999</v>
      </c>
      <c r="CD84" t="s">
        <v>3493</v>
      </c>
      <c r="CE84" t="s">
        <v>3494</v>
      </c>
      <c r="CF84" s="10">
        <v>-6.4220183486238661E-2</v>
      </c>
      <c r="CG84" s="11">
        <v>-2.2750344072100783</v>
      </c>
      <c r="CH84" s="10">
        <v>-0.38167053461074829</v>
      </c>
      <c r="CI84" s="10">
        <v>-0.1499013751745224</v>
      </c>
      <c r="CJ84" s="10">
        <v>1.2786517143249512</v>
      </c>
      <c r="CK84" s="10">
        <v>5.2009455859661102E-2</v>
      </c>
      <c r="CL84" s="10">
        <v>0.14634145796298981</v>
      </c>
      <c r="CM84" s="11">
        <v>-0.94381797313690186</v>
      </c>
      <c r="CN84" s="11">
        <v>-0.37857142090797424</v>
      </c>
      <c r="CO84" s="11">
        <v>4.3825311660766602</v>
      </c>
      <c r="CP84" s="11">
        <v>2.7647560462355614E-2</v>
      </c>
      <c r="CQ84" s="11">
        <v>0.25877001881599426</v>
      </c>
      <c r="CR84">
        <v>17.658221734232388</v>
      </c>
      <c r="CS84">
        <v>0.93387179997810088</v>
      </c>
      <c r="CT84">
        <v>0</v>
      </c>
      <c r="CU84" s="10">
        <v>0.18908614367246629</v>
      </c>
      <c r="CV84" s="11">
        <v>0.66931187026202676</v>
      </c>
      <c r="CW84">
        <v>0.06</v>
      </c>
      <c r="CX84" t="s">
        <v>2487</v>
      </c>
      <c r="CY84">
        <v>16449211.950699253</v>
      </c>
      <c r="CZ84">
        <v>0.18908614367246629</v>
      </c>
      <c r="DA84" t="s">
        <v>2487</v>
      </c>
      <c r="DB84">
        <v>54688236.008101918</v>
      </c>
      <c r="DC84">
        <v>0.17963183648884296</v>
      </c>
      <c r="DD84" t="s">
        <v>2487</v>
      </c>
      <c r="DE84">
        <v>124611267.08573523</v>
      </c>
      <c r="DF84">
        <v>0.16639580643177035</v>
      </c>
      <c r="DG84" t="s">
        <v>2487</v>
      </c>
      <c r="DH84">
        <v>237508820.14891565</v>
      </c>
      <c r="DI84">
        <v>0.15126891493797304</v>
      </c>
      <c r="DJ84" t="s">
        <v>2487</v>
      </c>
      <c r="DK84">
        <v>630133903.93765283</v>
      </c>
      <c r="DL84">
        <v>0.1323603005707264</v>
      </c>
      <c r="DM84">
        <v>14663500</v>
      </c>
      <c r="DN84">
        <v>0.18908614367246629</v>
      </c>
      <c r="DO84">
        <v>-468995000</v>
      </c>
      <c r="DP84">
        <v>2146623600</v>
      </c>
      <c r="DQ84">
        <v>4846</v>
      </c>
      <c r="DR84">
        <v>-0.25330632715870494</v>
      </c>
      <c r="DS84">
        <v>-2.9443462774721052</v>
      </c>
      <c r="DT84" s="12">
        <v>-0.34</v>
      </c>
      <c r="DU84">
        <v>-0.93</v>
      </c>
      <c r="DV84">
        <v>-1.27</v>
      </c>
      <c r="DW84">
        <v>-8.1743753322700687</v>
      </c>
      <c r="DX84">
        <v>0.30137599967385331</v>
      </c>
      <c r="DY84">
        <v>-8.0229087335954414</v>
      </c>
      <c r="DZ84">
        <v>1900</v>
      </c>
      <c r="EA84">
        <v>-8.0143908091666081</v>
      </c>
      <c r="EB84">
        <v>8</v>
      </c>
      <c r="EC84">
        <v>1.2122257053291535E-2</v>
      </c>
      <c r="ED84">
        <v>9.227147335423197E-2</v>
      </c>
      <c r="EE84" s="13">
        <v>-4.0587999999999997</v>
      </c>
      <c r="EF84">
        <v>-4.0491000000000001</v>
      </c>
      <c r="EG84">
        <v>17.131375999673853</v>
      </c>
      <c r="EH84" t="s">
        <v>2661</v>
      </c>
      <c r="EI84">
        <v>0</v>
      </c>
      <c r="EJ84">
        <v>0</v>
      </c>
      <c r="EK84" s="14">
        <v>45470</v>
      </c>
      <c r="EL84">
        <v>-2.82</v>
      </c>
      <c r="EM84">
        <v>-4.0599999999999996</v>
      </c>
      <c r="EN84">
        <v>0.6</v>
      </c>
      <c r="EO84">
        <v>3.56</v>
      </c>
      <c r="EP84">
        <v>-0.97</v>
      </c>
    </row>
    <row r="85" spans="1:146" ht="132" x14ac:dyDescent="0.25">
      <c r="A85" s="9" t="s">
        <v>1237</v>
      </c>
      <c r="B85" s="9" t="s">
        <v>1226</v>
      </c>
      <c r="C85" s="9" t="s">
        <v>1238</v>
      </c>
      <c r="D85" t="s">
        <v>1202</v>
      </c>
      <c r="E85" t="s">
        <v>1203</v>
      </c>
      <c r="F85">
        <v>9.74</v>
      </c>
      <c r="G85">
        <v>0.41</v>
      </c>
      <c r="H85" t="s">
        <v>3495</v>
      </c>
      <c r="I85">
        <v>4151558800</v>
      </c>
      <c r="K85">
        <v>0.60099999999999998</v>
      </c>
      <c r="L85" t="s">
        <v>973</v>
      </c>
      <c r="M85" t="s">
        <v>2402</v>
      </c>
      <c r="N85" t="s">
        <v>3496</v>
      </c>
      <c r="O85" t="s">
        <v>1976</v>
      </c>
      <c r="P85">
        <v>-5.48</v>
      </c>
      <c r="Q85" t="s">
        <v>1725</v>
      </c>
      <c r="R85">
        <v>-47795282</v>
      </c>
      <c r="S85" s="6">
        <v>-2.298</v>
      </c>
      <c r="T85" t="s">
        <v>336</v>
      </c>
      <c r="U85">
        <v>426238070</v>
      </c>
      <c r="V85">
        <v>426238070</v>
      </c>
      <c r="W85">
        <v>1.69</v>
      </c>
      <c r="X85">
        <v>7.0000000000000007E-2</v>
      </c>
      <c r="Y85">
        <v>-5.18</v>
      </c>
      <c r="Z85" t="s">
        <v>1541</v>
      </c>
      <c r="AA85" t="s">
        <v>480</v>
      </c>
      <c r="AB85" t="s">
        <v>3497</v>
      </c>
      <c r="AC85" t="s">
        <v>3498</v>
      </c>
      <c r="AD85" t="s">
        <v>5</v>
      </c>
      <c r="AE85">
        <v>6246193</v>
      </c>
      <c r="AF85" t="s">
        <v>2405</v>
      </c>
      <c r="AG85" t="s">
        <v>3499</v>
      </c>
      <c r="AH85" t="s">
        <v>2406</v>
      </c>
      <c r="AI85" t="s">
        <v>3500</v>
      </c>
      <c r="AJ85" t="s">
        <v>2407</v>
      </c>
      <c r="AK85" t="s">
        <v>59</v>
      </c>
      <c r="AL85" t="s">
        <v>2408</v>
      </c>
      <c r="AM85" t="s">
        <v>5</v>
      </c>
      <c r="AN85" t="s">
        <v>1180</v>
      </c>
      <c r="AO85" t="s">
        <v>313</v>
      </c>
      <c r="AP85" t="s">
        <v>210</v>
      </c>
      <c r="AQ85" t="s">
        <v>634</v>
      </c>
      <c r="AR85" t="s">
        <v>5</v>
      </c>
      <c r="AS85" t="s">
        <v>2418</v>
      </c>
      <c r="AT85" t="s">
        <v>1549</v>
      </c>
      <c r="AU85" t="s">
        <v>3501</v>
      </c>
      <c r="AV85" t="s">
        <v>2059</v>
      </c>
      <c r="AW85" t="s">
        <v>1422</v>
      </c>
      <c r="AX85" t="s">
        <v>1440</v>
      </c>
      <c r="AY85" t="s">
        <v>1204</v>
      </c>
      <c r="AZ85" t="s">
        <v>1080</v>
      </c>
      <c r="BA85" t="s">
        <v>55</v>
      </c>
      <c r="BB85" t="s">
        <v>337</v>
      </c>
      <c r="BC85" t="s">
        <v>111</v>
      </c>
      <c r="BD85" t="s">
        <v>371</v>
      </c>
      <c r="BE85" t="s">
        <v>447</v>
      </c>
      <c r="BF85" t="s">
        <v>42</v>
      </c>
      <c r="BG85" t="s">
        <v>320</v>
      </c>
      <c r="BH85" t="s">
        <v>2403</v>
      </c>
      <c r="BI85" t="s">
        <v>20</v>
      </c>
      <c r="BJ85" t="s">
        <v>1440</v>
      </c>
      <c r="BK85" t="s">
        <v>2404</v>
      </c>
      <c r="BL85" t="s">
        <v>3502</v>
      </c>
      <c r="BM85" t="s">
        <v>111</v>
      </c>
      <c r="BN85">
        <v>0.94</v>
      </c>
      <c r="BO85">
        <v>7.82</v>
      </c>
      <c r="BP85">
        <v>14.19</v>
      </c>
      <c r="BQ85">
        <v>0.43</v>
      </c>
      <c r="BR85">
        <v>12.1</v>
      </c>
      <c r="BS85">
        <v>17.88</v>
      </c>
      <c r="BT85" t="s">
        <v>1853</v>
      </c>
      <c r="BU85" t="s">
        <v>2521</v>
      </c>
      <c r="BV85">
        <v>5.83</v>
      </c>
      <c r="BW85">
        <v>19.850000000000001</v>
      </c>
      <c r="BX85">
        <v>30.03</v>
      </c>
      <c r="BY85">
        <v>0.33</v>
      </c>
      <c r="BZ85">
        <v>11.21</v>
      </c>
      <c r="CA85">
        <v>19.63</v>
      </c>
      <c r="CB85">
        <v>0.05</v>
      </c>
      <c r="CC85">
        <v>-22.73</v>
      </c>
      <c r="CD85" t="s">
        <v>3503</v>
      </c>
      <c r="CE85" t="s">
        <v>288</v>
      </c>
      <c r="CF85" s="10">
        <v>2.3453237410071948</v>
      </c>
      <c r="CG85" s="11">
        <v>-1.5424612238134476</v>
      </c>
      <c r="CH85" s="10">
        <v>-0.75307047367095947</v>
      </c>
      <c r="CI85" s="10">
        <v>0.65513551235198975</v>
      </c>
      <c r="CJ85" s="10">
        <v>1.3327786922454834</v>
      </c>
      <c r="CK85" s="10">
        <v>-0.16874136030673981</v>
      </c>
      <c r="CL85" s="10">
        <v>0.25411975383758545</v>
      </c>
      <c r="CM85" s="11">
        <v>-0.36852207779884338</v>
      </c>
      <c r="CN85" s="11">
        <v>-5.2727270871400833E-2</v>
      </c>
      <c r="CO85" s="11">
        <v>1.9569892883300781</v>
      </c>
      <c r="CP85" s="11">
        <v>-0.43636363744735718</v>
      </c>
      <c r="CQ85" s="11">
        <v>0.875</v>
      </c>
      <c r="CR85">
        <v>11.906956405353728</v>
      </c>
      <c r="CS85">
        <v>0.45094519266020305</v>
      </c>
      <c r="CT85">
        <v>0.15400410677618068</v>
      </c>
      <c r="CU85" s="10">
        <v>0.26404442489147184</v>
      </c>
      <c r="CV85" s="11">
        <v>0.39487526044249532</v>
      </c>
      <c r="CW85">
        <v>0.06</v>
      </c>
      <c r="CX85">
        <v>6.1951776109744641</v>
      </c>
      <c r="CY85">
        <v>392330769.61254174</v>
      </c>
      <c r="CZ85">
        <v>0.26404442489147184</v>
      </c>
      <c r="DA85">
        <v>1.752416079534781</v>
      </c>
      <c r="DB85">
        <v>1386975860.576015</v>
      </c>
      <c r="DC85">
        <v>0.25084220364689824</v>
      </c>
      <c r="DD85">
        <v>0.70318913490739021</v>
      </c>
      <c r="DE85">
        <v>3456479458.1476331</v>
      </c>
      <c r="DF85">
        <v>0.23235909390449522</v>
      </c>
      <c r="DG85">
        <v>0.33001407913029351</v>
      </c>
      <c r="DH85">
        <v>7365015475.7197046</v>
      </c>
      <c r="DI85">
        <v>0.21123553991317748</v>
      </c>
      <c r="DJ85">
        <v>9.4134206114355579E-2</v>
      </c>
      <c r="DK85">
        <v>25820144454.687614</v>
      </c>
      <c r="DL85">
        <v>0.18483109742403028</v>
      </c>
      <c r="DM85">
        <v>329000000</v>
      </c>
      <c r="DN85">
        <v>0.26404442489147184</v>
      </c>
      <c r="DO85">
        <v>2430558799.999999</v>
      </c>
      <c r="DP85">
        <v>3477511700</v>
      </c>
      <c r="DQ85">
        <v>4877</v>
      </c>
      <c r="DR85">
        <v>2.0812793161157228</v>
      </c>
      <c r="DS85">
        <v>-1.9373364842559431</v>
      </c>
      <c r="DT85" s="12">
        <v>-0.22333333333333338</v>
      </c>
      <c r="DU85">
        <v>-0.59833333333333327</v>
      </c>
      <c r="DV85">
        <v>-0.82166666666666666</v>
      </c>
      <c r="DW85">
        <v>-3.0761130952380951</v>
      </c>
      <c r="DX85">
        <v>0.31601333333333381</v>
      </c>
      <c r="DY85">
        <v>-3.0126357886507935</v>
      </c>
      <c r="DZ85">
        <v>154</v>
      </c>
      <c r="EA85">
        <v>-3.0122549840613178</v>
      </c>
      <c r="EB85">
        <v>3</v>
      </c>
      <c r="EC85">
        <v>8.7634124281765827E-2</v>
      </c>
      <c r="ED85">
        <v>0.52787401181691729</v>
      </c>
      <c r="EE85" s="13">
        <v>4.0316099999999997</v>
      </c>
      <c r="EF85">
        <v>4.0604100000000001</v>
      </c>
      <c r="EG85">
        <v>15.166013333333334</v>
      </c>
      <c r="EH85" t="s">
        <v>1578</v>
      </c>
      <c r="EI85">
        <v>0</v>
      </c>
      <c r="EJ85">
        <v>1</v>
      </c>
      <c r="EK85" s="14">
        <v>45470</v>
      </c>
      <c r="EL85">
        <v>0.12</v>
      </c>
      <c r="EM85">
        <v>-4.78</v>
      </c>
      <c r="EN85">
        <v>-2.42</v>
      </c>
      <c r="EO85">
        <v>3.29</v>
      </c>
      <c r="EP85">
        <v>-2.88</v>
      </c>
    </row>
    <row r="86" spans="1:146" ht="96" x14ac:dyDescent="0.25">
      <c r="C86" s="9" t="str">
        <f>""&amp;CHAR(10)&amp;Basic_Fundamental_Information_Constructure(F86)&amp;CHAR(10)&amp;Basic_Fundamental_Information_Concatenate("")</f>
        <v xml:space="preserve">
市值40.37516亿, 利润4005.72万; PE109.6; 平均PE70.64; 平均PEG1.8, PB2.39; ROIC14.51%; ROE16.97%; 股利率.5687%; 毛利52.73%; 净利17.6367%; 上一年度营收增-4.79%, 利润增-63.91%; 当季营收增33.34%, 利润增-86.58%; 过往5年营收增39.32%, 利润增148.56%
Income profile:
</v>
      </c>
      <c r="D86" t="s">
        <v>1248</v>
      </c>
      <c r="E86" t="s">
        <v>1272</v>
      </c>
      <c r="F86">
        <v>35.17</v>
      </c>
      <c r="G86">
        <v>0</v>
      </c>
      <c r="H86" t="s">
        <v>3504</v>
      </c>
      <c r="I86">
        <v>4037516000</v>
      </c>
      <c r="J86">
        <v>109.6</v>
      </c>
      <c r="K86">
        <v>2.39</v>
      </c>
      <c r="L86" t="s">
        <v>973</v>
      </c>
      <c r="M86" t="s">
        <v>69</v>
      </c>
      <c r="N86" t="s">
        <v>968</v>
      </c>
      <c r="O86" t="s">
        <v>59</v>
      </c>
      <c r="P86" s="6">
        <v>-25.75</v>
      </c>
      <c r="Q86" t="s">
        <v>1625</v>
      </c>
      <c r="R86">
        <v>1049237</v>
      </c>
      <c r="S86">
        <v>-0.96589999999999998</v>
      </c>
      <c r="T86" t="s">
        <v>3505</v>
      </c>
      <c r="U86">
        <v>68670761</v>
      </c>
      <c r="V86">
        <v>114800000</v>
      </c>
      <c r="W86">
        <v>1.24</v>
      </c>
      <c r="X86">
        <v>0.06</v>
      </c>
      <c r="Y86">
        <v>0.82</v>
      </c>
      <c r="Z86" t="s">
        <v>128</v>
      </c>
      <c r="AA86" t="s">
        <v>3506</v>
      </c>
      <c r="AB86" t="s">
        <v>3507</v>
      </c>
      <c r="AC86" t="s">
        <v>3508</v>
      </c>
      <c r="AD86" t="s">
        <v>5</v>
      </c>
      <c r="AE86">
        <v>-4101408</v>
      </c>
      <c r="AF86" t="s">
        <v>2411</v>
      </c>
      <c r="AG86" t="s">
        <v>5</v>
      </c>
      <c r="AH86" t="s">
        <v>2412</v>
      </c>
      <c r="AI86" t="s">
        <v>1339</v>
      </c>
      <c r="AJ86" t="s">
        <v>2413</v>
      </c>
      <c r="AK86" t="s">
        <v>3509</v>
      </c>
      <c r="AL86" t="s">
        <v>2414</v>
      </c>
      <c r="AM86" t="s">
        <v>5</v>
      </c>
      <c r="AN86" t="s">
        <v>3510</v>
      </c>
      <c r="AO86" t="s">
        <v>369</v>
      </c>
      <c r="AP86" t="s">
        <v>3511</v>
      </c>
      <c r="AQ86" t="s">
        <v>3512</v>
      </c>
      <c r="AR86" t="s">
        <v>5</v>
      </c>
      <c r="AS86" t="s">
        <v>84</v>
      </c>
      <c r="AT86" t="s">
        <v>5</v>
      </c>
      <c r="AU86" t="s">
        <v>3513</v>
      </c>
      <c r="AV86" t="s">
        <v>3514</v>
      </c>
      <c r="AW86" t="s">
        <v>3515</v>
      </c>
      <c r="AX86" t="s">
        <v>372</v>
      </c>
      <c r="AY86" t="s">
        <v>656</v>
      </c>
      <c r="AZ86" t="s">
        <v>501</v>
      </c>
      <c r="BA86" t="s">
        <v>394</v>
      </c>
      <c r="BB86" t="s">
        <v>211</v>
      </c>
      <c r="BC86" t="s">
        <v>403</v>
      </c>
      <c r="BD86" t="s">
        <v>1249</v>
      </c>
      <c r="BE86" t="s">
        <v>1250</v>
      </c>
      <c r="BF86" t="s">
        <v>1251</v>
      </c>
      <c r="BG86" t="s">
        <v>1252</v>
      </c>
      <c r="BH86" t="s">
        <v>1550</v>
      </c>
      <c r="BI86" t="s">
        <v>3516</v>
      </c>
      <c r="BJ86" t="s">
        <v>372</v>
      </c>
      <c r="BK86" t="s">
        <v>2410</v>
      </c>
      <c r="BL86" t="s">
        <v>3517</v>
      </c>
      <c r="BM86" t="s">
        <v>403</v>
      </c>
      <c r="BN86">
        <v>3.29</v>
      </c>
      <c r="BO86">
        <v>9.57</v>
      </c>
      <c r="BP86">
        <v>30.67</v>
      </c>
      <c r="BQ86">
        <v>4.24</v>
      </c>
      <c r="BR86">
        <v>15.37</v>
      </c>
      <c r="BS86">
        <v>31.3</v>
      </c>
      <c r="BT86" t="s">
        <v>1283</v>
      </c>
      <c r="BU86" t="s">
        <v>2777</v>
      </c>
      <c r="BV86">
        <v>56.98</v>
      </c>
      <c r="BW86">
        <v>52.06</v>
      </c>
      <c r="BX86">
        <v>49.15</v>
      </c>
      <c r="BY86">
        <v>12.28</v>
      </c>
      <c r="BZ86">
        <v>20.98</v>
      </c>
      <c r="CA86">
        <v>19.649999999999999</v>
      </c>
      <c r="CB86">
        <v>-17.13</v>
      </c>
      <c r="CC86" s="10">
        <v>-39.049999999999997</v>
      </c>
      <c r="CD86" s="11" t="s">
        <v>3518</v>
      </c>
      <c r="CE86" s="10" t="s">
        <v>3519</v>
      </c>
      <c r="CF86" s="10">
        <v>0.33341120748649783</v>
      </c>
      <c r="CG86" s="10">
        <v>-0.86582475479226073</v>
      </c>
      <c r="CH86" s="10">
        <v>-4.7892719507217407E-2</v>
      </c>
      <c r="CI86" s="10">
        <v>0.40700808167457581</v>
      </c>
      <c r="CJ86" s="11">
        <v>0.40000000596046448</v>
      </c>
      <c r="CK86" s="11">
        <v>0.9776119589805603</v>
      </c>
      <c r="CL86" s="11">
        <v>0.22935779392719269</v>
      </c>
      <c r="CM86" s="11">
        <v>-0.63912433385848999</v>
      </c>
      <c r="CN86" s="11">
        <v>0.60285103321075439</v>
      </c>
      <c r="CO86">
        <v>-0.22440804541110992</v>
      </c>
      <c r="CP86">
        <v>8.2830181121826172</v>
      </c>
      <c r="CQ86">
        <v>-0.59424859285354614</v>
      </c>
      <c r="CR86" s="10">
        <v>70.643290270015228</v>
      </c>
      <c r="CS86" s="11">
        <v>1.7965470953975282</v>
      </c>
      <c r="CT86">
        <v>0.56866647711117424</v>
      </c>
      <c r="CU86">
        <v>0.39321702420711518</v>
      </c>
      <c r="CV86">
        <v>1.4856176346540451</v>
      </c>
      <c r="CW86">
        <v>0.06</v>
      </c>
      <c r="CX86">
        <v>52.602984160516755</v>
      </c>
      <c r="CY86">
        <v>52649408.473650239</v>
      </c>
      <c r="CZ86">
        <v>0.39321702420711518</v>
      </c>
      <c r="DA86">
        <v>13.423128721066082</v>
      </c>
      <c r="DB86">
        <v>206324178.03261903</v>
      </c>
      <c r="DC86">
        <v>0.37355617299675942</v>
      </c>
      <c r="DD86">
        <v>4.6017329965413492</v>
      </c>
      <c r="DE86">
        <v>601841958.68851173</v>
      </c>
      <c r="DF86">
        <v>0.34603098130226134</v>
      </c>
      <c r="DG86">
        <v>1.760385365068593</v>
      </c>
      <c r="DH86">
        <v>1573244162.8723075</v>
      </c>
      <c r="DI86">
        <v>0.31457361936569217</v>
      </c>
      <c r="DJ86">
        <v>0.29660043601001407</v>
      </c>
      <c r="DK86">
        <v>9337531789.4222298</v>
      </c>
      <c r="DL86">
        <v>0.27525191694498063</v>
      </c>
      <c r="DM86">
        <v>40057200</v>
      </c>
      <c r="DN86">
        <v>0.39321702420711518</v>
      </c>
      <c r="DO86">
        <v>2769516000</v>
      </c>
      <c r="DP86">
        <v>1567589000</v>
      </c>
      <c r="DQ86" s="12">
        <v>4881</v>
      </c>
      <c r="DR86">
        <v>-5.9805816720617355E-2</v>
      </c>
      <c r="DS86">
        <v>-2.3514423894463059</v>
      </c>
      <c r="DT86">
        <v>0.17666666666666661</v>
      </c>
      <c r="DU86">
        <v>-0.27333333333333337</v>
      </c>
      <c r="DV86">
        <v>-9.6666666666666762E-2</v>
      </c>
      <c r="DW86">
        <v>-9.4386683738796417</v>
      </c>
      <c r="DX86">
        <v>0.45968264686022892</v>
      </c>
      <c r="DY86">
        <v>-9.1183012481617354</v>
      </c>
      <c r="DZ86">
        <v>1967</v>
      </c>
      <c r="EA86">
        <v>-9.0727633704446831</v>
      </c>
      <c r="EB86" s="13">
        <v>9</v>
      </c>
      <c r="EC86">
        <v>4.1749128919860629E-2</v>
      </c>
      <c r="ED86">
        <v>0.15480836236933798</v>
      </c>
      <c r="EE86">
        <v>-7.04101</v>
      </c>
      <c r="EF86">
        <v>-7.0581100000000001</v>
      </c>
      <c r="EG86">
        <v>19.269682646860229</v>
      </c>
      <c r="EH86" s="14" t="s">
        <v>1764</v>
      </c>
      <c r="EI86">
        <v>0</v>
      </c>
      <c r="EJ86">
        <v>0</v>
      </c>
      <c r="EK86">
        <v>45470</v>
      </c>
      <c r="EL86">
        <v>-1.97</v>
      </c>
      <c r="EM86">
        <v>-5.03</v>
      </c>
      <c r="EN86">
        <v>-0.46</v>
      </c>
      <c r="EO86">
        <v>4.92</v>
      </c>
      <c r="EP86">
        <v>-1.71</v>
      </c>
    </row>
    <row r="87" spans="1:146" ht="96" x14ac:dyDescent="0.25">
      <c r="A87" s="9"/>
      <c r="B87" s="9"/>
      <c r="C87" s="9" t="str">
        <f>""&amp;CHAR(10)&amp;Basic_Fundamental_Information_Constructure(F87)&amp;CHAR(10)&amp;Basic_Fundamental_Information_Concatenate("")</f>
        <v xml:space="preserve">
市值22.673068亿, 利润-1.70亿; PE; 平均PE19.66; 平均PEG.66, PB1.1; ROIC9.795%; ROE9.14%; 股利率0%; 毛利33.3333%; 净利4.08%; 上一年度营收增-87.18%, 利润增-158.62%; 当季营收增698.82%, 利润增-4238.96%; 过往5年营收增29.87%, 利润增-9.34%
Income profile:
</v>
      </c>
      <c r="D87" t="s">
        <v>882</v>
      </c>
      <c r="E87" t="s">
        <v>883</v>
      </c>
      <c r="F87">
        <v>18.34</v>
      </c>
      <c r="G87">
        <v>0.6</v>
      </c>
      <c r="H87" t="s">
        <v>3520</v>
      </c>
      <c r="I87">
        <v>2267306800</v>
      </c>
      <c r="K87">
        <v>1.1000000000000001</v>
      </c>
      <c r="L87" t="s">
        <v>973</v>
      </c>
      <c r="M87" t="s">
        <v>2420</v>
      </c>
      <c r="N87" t="s">
        <v>3521</v>
      </c>
      <c r="O87" t="s">
        <v>1111</v>
      </c>
      <c r="P87">
        <v>-39.94</v>
      </c>
      <c r="Q87" t="s">
        <v>2490</v>
      </c>
      <c r="R87">
        <v>-187855150</v>
      </c>
      <c r="S87" s="6">
        <v>-1.81</v>
      </c>
      <c r="T87" t="s">
        <v>558</v>
      </c>
      <c r="U87">
        <v>123626327</v>
      </c>
      <c r="V87">
        <v>123626327</v>
      </c>
      <c r="W87">
        <v>4.51</v>
      </c>
      <c r="X87">
        <v>0.08</v>
      </c>
      <c r="Y87">
        <v>-24.85</v>
      </c>
      <c r="Z87" t="s">
        <v>1014</v>
      </c>
      <c r="AA87" t="s">
        <v>1123</v>
      </c>
      <c r="AB87" t="s">
        <v>3522</v>
      </c>
      <c r="AC87" t="s">
        <v>131</v>
      </c>
      <c r="AD87" t="s">
        <v>5</v>
      </c>
      <c r="AE87">
        <v>24132853</v>
      </c>
      <c r="AF87" t="s">
        <v>2421</v>
      </c>
      <c r="AG87" t="s">
        <v>3523</v>
      </c>
      <c r="AH87" t="s">
        <v>2422</v>
      </c>
      <c r="AI87" t="s">
        <v>314</v>
      </c>
      <c r="AJ87" t="s">
        <v>2423</v>
      </c>
      <c r="AK87" t="s">
        <v>77</v>
      </c>
      <c r="AL87" t="s">
        <v>2424</v>
      </c>
      <c r="AM87" t="s">
        <v>5</v>
      </c>
      <c r="AN87" t="s">
        <v>562</v>
      </c>
      <c r="AO87" t="s">
        <v>1618</v>
      </c>
      <c r="AP87" t="s">
        <v>577</v>
      </c>
      <c r="AQ87" t="s">
        <v>3524</v>
      </c>
      <c r="AR87" t="s">
        <v>5</v>
      </c>
      <c r="AS87" t="s">
        <v>2415</v>
      </c>
      <c r="AT87" t="s">
        <v>1162</v>
      </c>
      <c r="AU87" t="s">
        <v>1260</v>
      </c>
      <c r="AV87" t="s">
        <v>3525</v>
      </c>
      <c r="AW87" t="s">
        <v>261</v>
      </c>
      <c r="AX87" t="s">
        <v>1441</v>
      </c>
      <c r="AY87" t="s">
        <v>1060</v>
      </c>
      <c r="AZ87" t="s">
        <v>494</v>
      </c>
      <c r="BA87" t="s">
        <v>130</v>
      </c>
      <c r="BB87" t="s">
        <v>240</v>
      </c>
      <c r="BC87" t="s">
        <v>461</v>
      </c>
      <c r="BD87" t="s">
        <v>189</v>
      </c>
      <c r="BE87" t="s">
        <v>102</v>
      </c>
      <c r="BF87" t="s">
        <v>884</v>
      </c>
      <c r="BG87" t="s">
        <v>70</v>
      </c>
      <c r="BH87" t="s">
        <v>1693</v>
      </c>
      <c r="BI87" t="s">
        <v>3526</v>
      </c>
      <c r="BJ87" t="s">
        <v>1441</v>
      </c>
      <c r="BK87" t="s">
        <v>1362</v>
      </c>
      <c r="BL87" t="s">
        <v>3527</v>
      </c>
      <c r="BM87" t="s">
        <v>461</v>
      </c>
      <c r="BN87" t="s">
        <v>5</v>
      </c>
      <c r="BO87">
        <v>8.82</v>
      </c>
      <c r="BP87">
        <v>10.77</v>
      </c>
      <c r="BQ87">
        <v>0.61</v>
      </c>
      <c r="BR87">
        <v>13.05</v>
      </c>
      <c r="BS87">
        <v>13.76</v>
      </c>
      <c r="BT87" t="s">
        <v>1280</v>
      </c>
      <c r="BU87" t="s">
        <v>2777</v>
      </c>
      <c r="BV87">
        <v>26.93</v>
      </c>
      <c r="BW87">
        <v>34.549999999999997</v>
      </c>
      <c r="BX87">
        <v>38.520000000000003</v>
      </c>
      <c r="BY87">
        <v>-3.76</v>
      </c>
      <c r="BZ87">
        <v>6.89</v>
      </c>
      <c r="CA87">
        <v>9.11</v>
      </c>
      <c r="CB87">
        <v>-4.13</v>
      </c>
      <c r="CC87">
        <v>-25.93</v>
      </c>
      <c r="CD87" t="s">
        <v>3528</v>
      </c>
      <c r="CE87" t="s">
        <v>3529</v>
      </c>
      <c r="CF87" s="10">
        <v>6.9882446673211422</v>
      </c>
      <c r="CG87" s="11">
        <v>-42.389571544058207</v>
      </c>
      <c r="CH87" s="10">
        <v>-0.87178874015808105</v>
      </c>
      <c r="CI87" s="10">
        <v>0.80351775884628296</v>
      </c>
      <c r="CJ87" s="10">
        <v>0.63006997108459473</v>
      </c>
      <c r="CK87" s="10">
        <v>0.60854893922805786</v>
      </c>
      <c r="CL87" s="10">
        <v>0.3229166567325592</v>
      </c>
      <c r="CM87" s="11">
        <v>-1.5862069129943848</v>
      </c>
      <c r="CN87" s="11">
        <v>0.36792454123497009</v>
      </c>
      <c r="CO87" s="11">
        <v>0.51428574323654175</v>
      </c>
      <c r="CP87" s="11">
        <v>0.50397753715515137</v>
      </c>
      <c r="CQ87" s="11">
        <v>-0.26703545451164246</v>
      </c>
      <c r="CR87">
        <v>19.656272445713071</v>
      </c>
      <c r="CS87">
        <v>0.65816442154686661</v>
      </c>
      <c r="CT87">
        <v>0</v>
      </c>
      <c r="CU87" s="10">
        <v>0.29865291714668274</v>
      </c>
      <c r="CV87" s="11">
        <v>-9.3410909175872803E-2</v>
      </c>
      <c r="CW87">
        <v>0.06</v>
      </c>
      <c r="CX87" t="e">
        <v>#VALUE!</v>
      </c>
      <c r="CY87" t="s">
        <v>946</v>
      </c>
      <c r="CZ87">
        <v>0.29865291714668274</v>
      </c>
      <c r="DA87" t="e">
        <v>#VALUE!</v>
      </c>
      <c r="DB87" t="s">
        <v>947</v>
      </c>
      <c r="DC87">
        <v>0.28372027128934857</v>
      </c>
      <c r="DD87" t="e">
        <v>#VALUE!</v>
      </c>
      <c r="DE87" t="s">
        <v>947</v>
      </c>
      <c r="DF87">
        <v>0.2628145670890808</v>
      </c>
      <c r="DG87" t="e">
        <v>#VALUE!</v>
      </c>
      <c r="DH87" t="s">
        <v>947</v>
      </c>
      <c r="DI87">
        <v>0.2389223337173462</v>
      </c>
      <c r="DJ87" t="e">
        <v>#VALUE!</v>
      </c>
      <c r="DK87" t="s">
        <v>947</v>
      </c>
      <c r="DL87">
        <v>0.20905704200267791</v>
      </c>
      <c r="DM87">
        <v>-170000000</v>
      </c>
      <c r="DN87">
        <v>0.29865291714668274</v>
      </c>
      <c r="DO87">
        <v>7547306800</v>
      </c>
      <c r="DP87">
        <v>1271655800</v>
      </c>
      <c r="DQ87">
        <v>4927</v>
      </c>
      <c r="DR87">
        <v>6.6895917501744595</v>
      </c>
      <c r="DS87">
        <v>-42.296160634882334</v>
      </c>
      <c r="DT87" s="12">
        <v>0.12666666666666671</v>
      </c>
      <c r="DU87">
        <v>-1.3483333333333334</v>
      </c>
      <c r="DV87">
        <v>-1.2216666666666667</v>
      </c>
      <c r="DW87">
        <v>-8.1592749710759733</v>
      </c>
      <c r="DX87">
        <v>0.38237290445216132</v>
      </c>
      <c r="DY87">
        <v>-8.0210836905278597</v>
      </c>
      <c r="DZ87">
        <v>5040</v>
      </c>
      <c r="EA87">
        <v>-8.000288817678463</v>
      </c>
      <c r="EB87">
        <v>8</v>
      </c>
      <c r="EC87">
        <v>6.2075774523334341E-2</v>
      </c>
      <c r="ED87">
        <v>0.46894623019900933</v>
      </c>
      <c r="EE87" s="13">
        <v>1.1000000000000001E-2</v>
      </c>
      <c r="EF87">
        <v>1.03E-2</v>
      </c>
      <c r="EG87">
        <v>25.132372904452161</v>
      </c>
      <c r="EH87" t="s">
        <v>1073</v>
      </c>
      <c r="EI87">
        <v>0</v>
      </c>
      <c r="EJ87">
        <v>0</v>
      </c>
      <c r="EK87" s="14">
        <v>45470</v>
      </c>
      <c r="EL87">
        <v>0</v>
      </c>
      <c r="EM87">
        <v>-4.57</v>
      </c>
      <c r="EN87">
        <v>-0.24</v>
      </c>
      <c r="EO87">
        <v>1.31</v>
      </c>
      <c r="EP87">
        <v>-7.0000000000000007E-2</v>
      </c>
    </row>
    <row r="88" spans="1:146" ht="96" x14ac:dyDescent="0.25">
      <c r="A88" s="9"/>
      <c r="B88" s="9"/>
      <c r="C88" s="9" t="str">
        <f>""&amp;CHAR(10)&amp;Basic_Fundamental_Information_Constructure(F88)&amp;CHAR(10)&amp;Basic_Fundamental_Information_Concatenate("")</f>
        <v xml:space="preserve">
市值114.633344亿, 利润3.43亿; PE; 平均PE-37.89; 平均PEG-.59, PB1.13; ROIC0%; ROE-11.28%; 股利率0%; 毛利3.6667%; 净利-15.5267%; 上一年度营收增-78.29%, 利润增137%; 当季营收增991.04%, 利润增-4347.3%; 过往5年营收增63.73%, 利润增-26.67%
Income profile:
</v>
      </c>
      <c r="D88" t="s">
        <v>885</v>
      </c>
      <c r="E88" t="s">
        <v>886</v>
      </c>
      <c r="F88">
        <v>9.3800000000000008</v>
      </c>
      <c r="G88">
        <v>1.3</v>
      </c>
      <c r="H88" t="s">
        <v>3530</v>
      </c>
      <c r="I88">
        <v>11463334400</v>
      </c>
      <c r="K88">
        <v>1.1299999999999999</v>
      </c>
      <c r="L88" t="s">
        <v>973</v>
      </c>
      <c r="M88" t="s">
        <v>2426</v>
      </c>
      <c r="N88" t="s">
        <v>3531</v>
      </c>
      <c r="O88" t="s">
        <v>1317</v>
      </c>
      <c r="P88">
        <v>-21.7</v>
      </c>
      <c r="Q88" t="s">
        <v>3532</v>
      </c>
      <c r="R88">
        <v>-217296160</v>
      </c>
      <c r="S88" s="6">
        <v>0.38200000000000001</v>
      </c>
      <c r="T88" t="s">
        <v>500</v>
      </c>
      <c r="U88">
        <v>1222103890</v>
      </c>
      <c r="V88">
        <v>1222103890</v>
      </c>
      <c r="W88">
        <v>2.86</v>
      </c>
      <c r="X88">
        <v>0.1</v>
      </c>
      <c r="Y88">
        <v>-7.43</v>
      </c>
      <c r="Z88" t="s">
        <v>3533</v>
      </c>
      <c r="AA88" t="s">
        <v>2351</v>
      </c>
      <c r="AB88" t="s">
        <v>59</v>
      </c>
      <c r="AC88" t="s">
        <v>116</v>
      </c>
      <c r="AD88" t="s">
        <v>5</v>
      </c>
      <c r="AE88">
        <v>107655097</v>
      </c>
      <c r="AF88" t="s">
        <v>2429</v>
      </c>
      <c r="AG88" t="s">
        <v>3534</v>
      </c>
      <c r="AH88" t="s">
        <v>2430</v>
      </c>
      <c r="AI88" t="s">
        <v>3535</v>
      </c>
      <c r="AJ88" t="s">
        <v>2431</v>
      </c>
      <c r="AK88" t="s">
        <v>82</v>
      </c>
      <c r="AL88" t="s">
        <v>2432</v>
      </c>
      <c r="AM88" t="s">
        <v>5</v>
      </c>
      <c r="AN88" t="s">
        <v>662</v>
      </c>
      <c r="AO88" t="s">
        <v>2078</v>
      </c>
      <c r="AP88" t="s">
        <v>3536</v>
      </c>
      <c r="AQ88" t="s">
        <v>1136</v>
      </c>
      <c r="AR88" t="s">
        <v>5</v>
      </c>
      <c r="AS88" t="s">
        <v>3537</v>
      </c>
      <c r="AT88" t="s">
        <v>1022</v>
      </c>
      <c r="AU88" t="s">
        <v>1862</v>
      </c>
      <c r="AV88" t="s">
        <v>3538</v>
      </c>
      <c r="AW88" t="s">
        <v>1392</v>
      </c>
      <c r="AX88" t="s">
        <v>1443</v>
      </c>
      <c r="AY88" t="s">
        <v>1062</v>
      </c>
      <c r="AZ88" t="s">
        <v>546</v>
      </c>
      <c r="BA88" t="s">
        <v>887</v>
      </c>
      <c r="BB88" t="s">
        <v>355</v>
      </c>
      <c r="BC88" t="s">
        <v>1402</v>
      </c>
      <c r="BD88" t="s">
        <v>1063</v>
      </c>
      <c r="BE88" t="s">
        <v>652</v>
      </c>
      <c r="BF88" t="s">
        <v>62</v>
      </c>
      <c r="BG88" t="s">
        <v>888</v>
      </c>
      <c r="BH88" t="s">
        <v>2427</v>
      </c>
      <c r="BI88" t="s">
        <v>75</v>
      </c>
      <c r="BJ88" t="s">
        <v>1443</v>
      </c>
      <c r="BK88" t="s">
        <v>2428</v>
      </c>
      <c r="BL88" t="s">
        <v>3539</v>
      </c>
      <c r="BM88" t="s">
        <v>1402</v>
      </c>
      <c r="BN88" t="s">
        <v>5</v>
      </c>
      <c r="BO88" t="s">
        <v>5</v>
      </c>
      <c r="BP88" t="s">
        <v>5</v>
      </c>
      <c r="BQ88">
        <v>-13.91</v>
      </c>
      <c r="BR88">
        <v>-10.050000000000001</v>
      </c>
      <c r="BS88">
        <v>-9.8800000000000008</v>
      </c>
      <c r="BT88" t="s">
        <v>1280</v>
      </c>
      <c r="BU88" t="s">
        <v>2521</v>
      </c>
      <c r="BV88">
        <v>6.84</v>
      </c>
      <c r="BW88">
        <v>7.51</v>
      </c>
      <c r="BX88">
        <v>-3.35</v>
      </c>
      <c r="BY88">
        <v>-11.36</v>
      </c>
      <c r="BZ88">
        <v>-8</v>
      </c>
      <c r="CA88">
        <v>-27.22</v>
      </c>
      <c r="CB88">
        <v>-2.29</v>
      </c>
      <c r="CC88">
        <v>-21.83</v>
      </c>
      <c r="CD88" t="s">
        <v>3540</v>
      </c>
      <c r="CE88" t="s">
        <v>141</v>
      </c>
      <c r="CF88" s="10">
        <v>9.9104477611940283</v>
      </c>
      <c r="CG88" s="11">
        <v>-43.473008737123983</v>
      </c>
      <c r="CH88" s="10">
        <v>-0.78287887573242188</v>
      </c>
      <c r="CI88" s="10">
        <v>2.3108570575714111</v>
      </c>
      <c r="CJ88" s="10">
        <v>2.125</v>
      </c>
      <c r="CK88" s="10">
        <v>-0.54285711050033569</v>
      </c>
      <c r="CL88" s="10">
        <v>7.6449856162071228E-2</v>
      </c>
      <c r="CM88" s="11">
        <v>1.3700107336044312</v>
      </c>
      <c r="CN88" s="11">
        <v>2.7282265946269035E-2</v>
      </c>
      <c r="CO88" s="11">
        <v>-1.8791540861129761</v>
      </c>
      <c r="CP88" s="11">
        <v>-3.5267176628112793</v>
      </c>
      <c r="CQ88" s="11">
        <v>2.6748747825622559</v>
      </c>
      <c r="CR88">
        <v>-37.890836059732436</v>
      </c>
      <c r="CS88">
        <v>-0.59453934843764467</v>
      </c>
      <c r="CT88">
        <v>0</v>
      </c>
      <c r="CU88" s="10">
        <v>0.63731418550014496</v>
      </c>
      <c r="CV88" s="11">
        <v>-0.26674079336225986</v>
      </c>
      <c r="CW88">
        <v>0.06</v>
      </c>
      <c r="CX88">
        <v>39.76581828680613</v>
      </c>
      <c r="CY88">
        <v>529810156.25146198</v>
      </c>
      <c r="CZ88">
        <v>0.63731418550014496</v>
      </c>
      <c r="DA88">
        <v>8.4340308306828859</v>
      </c>
      <c r="DB88">
        <v>2498014866.5515537</v>
      </c>
      <c r="DC88">
        <v>0.60544847622513764</v>
      </c>
      <c r="DD88">
        <v>2.1439238469432866</v>
      </c>
      <c r="DE88">
        <v>9826997554.058794</v>
      </c>
      <c r="DF88">
        <v>0.56083648324012758</v>
      </c>
      <c r="DG88">
        <v>0.54828690903767507</v>
      </c>
      <c r="DH88">
        <v>38425747638.180992</v>
      </c>
      <c r="DI88">
        <v>0.50985134840011603</v>
      </c>
      <c r="DJ88">
        <v>3.294249843214337E-2</v>
      </c>
      <c r="DK88">
        <v>639548771426.60034</v>
      </c>
      <c r="DL88">
        <v>0.44611992985010146</v>
      </c>
      <c r="DM88">
        <v>343000000</v>
      </c>
      <c r="DN88">
        <v>0.63731418550014496</v>
      </c>
      <c r="DO88">
        <v>21068334400</v>
      </c>
      <c r="DP88">
        <v>3370762000</v>
      </c>
      <c r="DQ88">
        <v>4978</v>
      </c>
      <c r="DR88">
        <v>9.2731335756938833</v>
      </c>
      <c r="DS88">
        <v>-43.206267943761723</v>
      </c>
      <c r="DT88" s="12">
        <v>-0.2100000000000001</v>
      </c>
      <c r="DU88">
        <v>-1.9566666666666672</v>
      </c>
      <c r="DV88">
        <v>-2.1666666666666674</v>
      </c>
      <c r="DW88">
        <v>-3.0659345238095237</v>
      </c>
      <c r="DX88">
        <v>0.35327925531914844</v>
      </c>
      <c r="DY88">
        <v>-3.0101063947093465</v>
      </c>
      <c r="DZ88">
        <v>1040</v>
      </c>
      <c r="EA88">
        <v>-3.0080495159426692</v>
      </c>
      <c r="EB88">
        <v>3</v>
      </c>
      <c r="EC88">
        <v>2.3579419258701485E-2</v>
      </c>
      <c r="ED88">
        <v>0.15383307551700862</v>
      </c>
      <c r="EE88" s="13">
        <v>2.8610000000000003E-2</v>
      </c>
      <c r="EF88">
        <v>4.8410000000000002E-2</v>
      </c>
      <c r="EG88">
        <v>20.153279255319148</v>
      </c>
      <c r="EH88">
        <v>-1</v>
      </c>
      <c r="EI88">
        <v>0</v>
      </c>
      <c r="EJ88">
        <v>1</v>
      </c>
      <c r="EK88" s="14">
        <v>45470</v>
      </c>
      <c r="EL88">
        <v>1.96</v>
      </c>
      <c r="EM88">
        <v>-3.23</v>
      </c>
      <c r="EN88">
        <v>-2.88</v>
      </c>
      <c r="EO88">
        <v>2.11</v>
      </c>
      <c r="EP88">
        <v>-1.98</v>
      </c>
    </row>
    <row r="89" spans="1:146" ht="96" x14ac:dyDescent="0.25">
      <c r="C89" s="9" t="str">
        <f>""&amp;CHAR(10)&amp;Basic_Fundamental_Information_Constructure(F89)&amp;CHAR(10)&amp;Basic_Fundamental_Information_Concatenate("")</f>
        <v xml:space="preserve">
市值19.296716亿, 利润3.55亿; PE40.42; 平均PE20.49; 平均PEG.19, PB2.15; ROIC15.64%; ROE9.88%; 股利率1.0132%; 毛利27.44%; 净利10.3733%; 上一年度营收增206.88%, 利润增432.01%; 当季营收增-91.99%, 利润增-135.09%; 过往5年营收增110.68%, 利润增230.71%
Income profile:
</v>
      </c>
      <c r="D89" t="s">
        <v>1675</v>
      </c>
      <c r="E89" t="s">
        <v>1676</v>
      </c>
      <c r="F89">
        <v>19.739999999999998</v>
      </c>
      <c r="G89">
        <v>0.41</v>
      </c>
      <c r="H89" t="s">
        <v>3541</v>
      </c>
      <c r="I89">
        <v>1929671600</v>
      </c>
      <c r="J89">
        <v>40.42</v>
      </c>
      <c r="K89">
        <v>2.15</v>
      </c>
      <c r="L89" t="s">
        <v>973</v>
      </c>
      <c r="M89" t="s">
        <v>378</v>
      </c>
      <c r="N89" t="s">
        <v>206</v>
      </c>
      <c r="O89" t="s">
        <v>2433</v>
      </c>
      <c r="P89" s="6">
        <v>-24.35</v>
      </c>
      <c r="Q89" t="s">
        <v>3542</v>
      </c>
      <c r="R89">
        <v>-28507969</v>
      </c>
      <c r="S89">
        <v>-0.59309999999999996</v>
      </c>
      <c r="T89" t="s">
        <v>416</v>
      </c>
      <c r="U89">
        <v>20772809</v>
      </c>
      <c r="V89">
        <v>97754388</v>
      </c>
      <c r="W89">
        <v>2.17</v>
      </c>
      <c r="X89">
        <v>0.03</v>
      </c>
      <c r="Y89">
        <v>-54.74</v>
      </c>
      <c r="Z89" t="s">
        <v>3543</v>
      </c>
      <c r="AA89" t="s">
        <v>3544</v>
      </c>
      <c r="AB89" t="s">
        <v>3545</v>
      </c>
      <c r="AC89" t="s">
        <v>3546</v>
      </c>
      <c r="AD89" t="s">
        <v>5</v>
      </c>
      <c r="AE89">
        <v>354021</v>
      </c>
      <c r="AF89" t="s">
        <v>27</v>
      </c>
      <c r="AG89" t="s">
        <v>3547</v>
      </c>
      <c r="AH89" t="s">
        <v>2435</v>
      </c>
      <c r="AI89" t="s">
        <v>555</v>
      </c>
      <c r="AJ89" t="s">
        <v>2436</v>
      </c>
      <c r="AK89" t="s">
        <v>3548</v>
      </c>
      <c r="AL89" t="s">
        <v>2437</v>
      </c>
      <c r="AM89" t="s">
        <v>5</v>
      </c>
      <c r="AN89" t="s">
        <v>142</v>
      </c>
      <c r="AO89" t="s">
        <v>3549</v>
      </c>
      <c r="AP89" t="s">
        <v>38</v>
      </c>
      <c r="AQ89" t="s">
        <v>434</v>
      </c>
      <c r="AR89" t="s">
        <v>5</v>
      </c>
      <c r="AS89" t="s">
        <v>569</v>
      </c>
      <c r="AT89" t="s">
        <v>105</v>
      </c>
      <c r="AU89" t="s">
        <v>3550</v>
      </c>
      <c r="AV89" t="s">
        <v>3551</v>
      </c>
      <c r="AW89" t="s">
        <v>3552</v>
      </c>
      <c r="AX89" t="s">
        <v>317</v>
      </c>
      <c r="AY89" t="s">
        <v>472</v>
      </c>
      <c r="AZ89" t="s">
        <v>129</v>
      </c>
      <c r="BA89" t="s">
        <v>77</v>
      </c>
      <c r="BB89" t="s">
        <v>5</v>
      </c>
      <c r="BC89" t="s">
        <v>2438</v>
      </c>
      <c r="BD89" t="s">
        <v>1677</v>
      </c>
      <c r="BE89" t="s">
        <v>1678</v>
      </c>
      <c r="BF89" t="s">
        <v>1679</v>
      </c>
      <c r="BG89" t="s">
        <v>5</v>
      </c>
      <c r="BH89" t="s">
        <v>508</v>
      </c>
      <c r="BI89" t="s">
        <v>551</v>
      </c>
      <c r="BJ89" t="s">
        <v>317</v>
      </c>
      <c r="BK89" t="s">
        <v>2434</v>
      </c>
      <c r="BL89" t="s">
        <v>3553</v>
      </c>
      <c r="BM89" t="s">
        <v>2438</v>
      </c>
      <c r="BN89" t="s">
        <v>5</v>
      </c>
      <c r="BO89">
        <v>13.49</v>
      </c>
      <c r="BP89">
        <v>17.79</v>
      </c>
      <c r="BQ89">
        <v>-0.5</v>
      </c>
      <c r="BR89">
        <v>20.260000000000002</v>
      </c>
      <c r="BS89" t="s">
        <v>5</v>
      </c>
      <c r="BT89" t="s">
        <v>1283</v>
      </c>
      <c r="BU89" t="s">
        <v>2777</v>
      </c>
      <c r="BV89">
        <v>31.24</v>
      </c>
      <c r="BW89">
        <v>23.84</v>
      </c>
      <c r="BX89">
        <v>27.24</v>
      </c>
      <c r="BY89">
        <v>9.7799999999999994</v>
      </c>
      <c r="BZ89">
        <v>10.210000000000001</v>
      </c>
      <c r="CA89">
        <v>11.13</v>
      </c>
      <c r="CB89">
        <v>-7.67</v>
      </c>
      <c r="CC89" s="10">
        <v>-2.33</v>
      </c>
      <c r="CD89" s="11" t="s">
        <v>3554</v>
      </c>
      <c r="CE89" s="10" t="s">
        <v>3555</v>
      </c>
      <c r="CF89" s="10">
        <v>-0.91994166666666666</v>
      </c>
      <c r="CG89" s="10">
        <v>-1.3509174109780597</v>
      </c>
      <c r="CH89" s="10">
        <v>2.0687594413757324</v>
      </c>
      <c r="CI89" s="10">
        <v>0.24581006169319153</v>
      </c>
      <c r="CJ89" s="11">
        <v>1.2374999523162842</v>
      </c>
      <c r="CK89" s="11">
        <v>0.875</v>
      </c>
      <c r="CL89" s="11" t="s">
        <v>5</v>
      </c>
      <c r="CM89" s="11">
        <v>4.3200817108154297</v>
      </c>
      <c r="CN89" s="11">
        <v>0.10380278527736664</v>
      </c>
      <c r="CO89">
        <v>3.2489123344421387</v>
      </c>
      <c r="CP89">
        <v>1.5555754899978638</v>
      </c>
      <c r="CQ89" t="s">
        <v>5</v>
      </c>
      <c r="CR89" s="10">
        <v>20.493538657604077</v>
      </c>
      <c r="CS89" s="11">
        <v>0.18516572973731124</v>
      </c>
      <c r="CT89">
        <v>1.0131712259371835</v>
      </c>
      <c r="CU89">
        <v>1.106767363846302</v>
      </c>
      <c r="CV89">
        <v>2.3070930801331997</v>
      </c>
      <c r="CW89">
        <v>0.06</v>
      </c>
      <c r="CX89">
        <v>2.744839242551103</v>
      </c>
      <c r="CY89">
        <v>705568315.25041246</v>
      </c>
      <c r="CZ89">
        <v>1.106767363846302</v>
      </c>
      <c r="DA89">
        <v>0.42194190206927834</v>
      </c>
      <c r="DB89">
        <v>4589901098.9480238</v>
      </c>
      <c r="DC89">
        <v>1.0514289956539868</v>
      </c>
      <c r="DD89">
        <v>6.2053596182948721E-2</v>
      </c>
      <c r="DE89">
        <v>31209659377.19762</v>
      </c>
      <c r="DF89">
        <v>0.97395528018474575</v>
      </c>
      <c r="DG89">
        <v>7.5588664148048112E-3</v>
      </c>
      <c r="DH89">
        <v>256211909792.03323</v>
      </c>
      <c r="DI89">
        <v>0.88541389107704171</v>
      </c>
      <c r="DJ89">
        <v>7.3331559183291013E-5</v>
      </c>
      <c r="DK89">
        <v>26409797112854.527</v>
      </c>
      <c r="DL89">
        <v>0.77473715469241133</v>
      </c>
      <c r="DM89">
        <v>355000000</v>
      </c>
      <c r="DN89">
        <v>1.106767363846302</v>
      </c>
      <c r="DO89">
        <v>1936671600</v>
      </c>
      <c r="DP89">
        <v>570696900.00000012</v>
      </c>
      <c r="DQ89" s="12">
        <v>4983</v>
      </c>
      <c r="DR89">
        <v>-2.0267090305129685</v>
      </c>
      <c r="DS89">
        <v>-3.6580104911112592</v>
      </c>
      <c r="DT89">
        <v>0.61199999999999999</v>
      </c>
      <c r="DU89">
        <v>4.1999999999999905E-2</v>
      </c>
      <c r="DV89">
        <v>0.65399999999999991</v>
      </c>
      <c r="DW89">
        <v>-5.3037809647979142</v>
      </c>
      <c r="DX89">
        <v>0.23851645357732842</v>
      </c>
      <c r="DY89">
        <v>-5.0329652329641688</v>
      </c>
      <c r="DZ89">
        <v>803</v>
      </c>
      <c r="EA89">
        <v>-5.0277849820697993</v>
      </c>
      <c r="EB89" s="13">
        <v>5</v>
      </c>
      <c r="EC89" s="13">
        <v>5.0931729018650292E-2</v>
      </c>
      <c r="ED89">
        <v>0.46934568297844603</v>
      </c>
      <c r="EE89">
        <v>0.10250000000000001</v>
      </c>
      <c r="EF89">
        <v>8.8700000000000001E-2</v>
      </c>
      <c r="EG89">
        <v>13.108516453577328</v>
      </c>
      <c r="EH89" s="14" t="s">
        <v>1073</v>
      </c>
      <c r="EI89">
        <v>0</v>
      </c>
      <c r="EJ89">
        <v>1</v>
      </c>
      <c r="EK89">
        <v>45470</v>
      </c>
      <c r="EL89">
        <v>-1.04</v>
      </c>
      <c r="EM89">
        <v>-1.3</v>
      </c>
      <c r="EN89">
        <v>-0.76</v>
      </c>
      <c r="EO89">
        <v>2.39</v>
      </c>
      <c r="EP89">
        <v>-1.38</v>
      </c>
    </row>
    <row r="90" spans="1:146" ht="96" x14ac:dyDescent="0.25">
      <c r="C90" s="9" t="str">
        <f>""&amp;CHAR(10)&amp;Basic_Fundamental_Information_Constructure(F90)&amp;CHAR(10)&amp;Basic_Fundamental_Information_Concatenate("")</f>
        <v xml:space="preserve">
市值16.4472亿, 利润4.49亿; PE39.68; 平均PE13.07; 平均PEG.14, PB1.49; ROIC20.3767%; ROE20.71%; 股利率.4767%; 毛利26.4533%; 净利9.89%; 上一年度营收增171.43%, 利润增493.82%; 当季营收增-67.25%, 利润增-122.57%; 过往5年营收增95.04%, 利润增187.62%
Income profile:
</v>
      </c>
      <c r="D90" s="6" t="s">
        <v>1595</v>
      </c>
      <c r="E90" t="s">
        <v>1596</v>
      </c>
      <c r="F90">
        <v>29.37</v>
      </c>
      <c r="G90">
        <v>-0.44</v>
      </c>
      <c r="H90" t="s">
        <v>3556</v>
      </c>
      <c r="I90">
        <v>1644720000</v>
      </c>
      <c r="J90">
        <v>39.68</v>
      </c>
      <c r="K90">
        <v>1.49</v>
      </c>
      <c r="L90" t="s">
        <v>973</v>
      </c>
      <c r="M90" t="s">
        <v>1855</v>
      </c>
      <c r="N90" t="s">
        <v>1257</v>
      </c>
      <c r="O90" t="s">
        <v>62</v>
      </c>
      <c r="P90" s="6">
        <v>-16.84</v>
      </c>
      <c r="Q90" t="s">
        <v>3557</v>
      </c>
      <c r="R90">
        <v>-18322448</v>
      </c>
      <c r="S90">
        <v>-4.0389999999999997</v>
      </c>
      <c r="T90" t="s">
        <v>1361</v>
      </c>
      <c r="U90">
        <v>13332539</v>
      </c>
      <c r="V90">
        <v>56000000</v>
      </c>
      <c r="W90">
        <v>1.76</v>
      </c>
      <c r="X90">
        <v>7.0000000000000007E-2</v>
      </c>
      <c r="Y90">
        <v>-13.98</v>
      </c>
      <c r="Z90" t="s">
        <v>366</v>
      </c>
      <c r="AA90" t="s">
        <v>145</v>
      </c>
      <c r="AB90" t="s">
        <v>3558</v>
      </c>
      <c r="AC90" t="s">
        <v>3559</v>
      </c>
      <c r="AD90" t="s">
        <v>5</v>
      </c>
      <c r="AE90">
        <v>282901</v>
      </c>
      <c r="AF90" t="s">
        <v>2441</v>
      </c>
      <c r="AG90" t="s">
        <v>3560</v>
      </c>
      <c r="AH90" t="s">
        <v>2442</v>
      </c>
      <c r="AI90" t="s">
        <v>352</v>
      </c>
      <c r="AJ90" t="s">
        <v>2443</v>
      </c>
      <c r="AK90" t="s">
        <v>3561</v>
      </c>
      <c r="AL90" t="s">
        <v>2444</v>
      </c>
      <c r="AM90" t="s">
        <v>5</v>
      </c>
      <c r="AN90" t="s">
        <v>172</v>
      </c>
      <c r="AO90" t="s">
        <v>395</v>
      </c>
      <c r="AP90" t="s">
        <v>157</v>
      </c>
      <c r="AQ90" t="s">
        <v>339</v>
      </c>
      <c r="AR90" t="s">
        <v>5</v>
      </c>
      <c r="AS90" t="s">
        <v>388</v>
      </c>
      <c r="AT90" t="s">
        <v>5</v>
      </c>
      <c r="AU90" t="s">
        <v>676</v>
      </c>
      <c r="AV90" t="s">
        <v>3562</v>
      </c>
      <c r="AW90" t="s">
        <v>3563</v>
      </c>
      <c r="AX90" t="s">
        <v>209</v>
      </c>
      <c r="AY90" t="s">
        <v>486</v>
      </c>
      <c r="AZ90" t="s">
        <v>293</v>
      </c>
      <c r="BA90" t="s">
        <v>73</v>
      </c>
      <c r="BB90" t="s">
        <v>5</v>
      </c>
      <c r="BC90" t="s">
        <v>2445</v>
      </c>
      <c r="BD90" t="s">
        <v>1680</v>
      </c>
      <c r="BE90" t="s">
        <v>1681</v>
      </c>
      <c r="BF90" t="s">
        <v>1682</v>
      </c>
      <c r="BG90" t="s">
        <v>5</v>
      </c>
      <c r="BH90" t="s">
        <v>1994</v>
      </c>
      <c r="BI90" t="s">
        <v>96</v>
      </c>
      <c r="BJ90" t="s">
        <v>209</v>
      </c>
      <c r="BK90" t="s">
        <v>2440</v>
      </c>
      <c r="BL90" t="s">
        <v>3564</v>
      </c>
      <c r="BM90" t="s">
        <v>2445</v>
      </c>
      <c r="BN90">
        <v>4.87</v>
      </c>
      <c r="BO90">
        <v>25.54</v>
      </c>
      <c r="BP90">
        <v>30.72</v>
      </c>
      <c r="BQ90">
        <v>12.6</v>
      </c>
      <c r="BR90">
        <v>28.82</v>
      </c>
      <c r="BS90" t="s">
        <v>5</v>
      </c>
      <c r="BT90" t="s">
        <v>2446</v>
      </c>
      <c r="BU90" t="s">
        <v>2777</v>
      </c>
      <c r="BV90">
        <v>17.739999999999998</v>
      </c>
      <c r="BW90">
        <v>27.81</v>
      </c>
      <c r="BX90">
        <v>33.81</v>
      </c>
      <c r="BY90">
        <v>4.95</v>
      </c>
      <c r="BZ90">
        <v>10.45</v>
      </c>
      <c r="CA90">
        <v>14.27</v>
      </c>
      <c r="CB90">
        <v>-5.9</v>
      </c>
      <c r="CC90" s="10">
        <v>-0.17</v>
      </c>
      <c r="CD90" s="11" t="s">
        <v>3565</v>
      </c>
      <c r="CE90" s="10" t="s">
        <v>3566</v>
      </c>
      <c r="CF90" s="10">
        <v>-0.67249999999999999</v>
      </c>
      <c r="CG90" s="10">
        <v>-1.2256506355428622</v>
      </c>
      <c r="CH90" s="10">
        <v>1.7142857313156128</v>
      </c>
      <c r="CI90" s="10">
        <v>0.91420912742614746</v>
      </c>
      <c r="CJ90" s="11">
        <v>0.83743840456008911</v>
      </c>
      <c r="CK90" s="11">
        <v>0.33552631735801697</v>
      </c>
      <c r="CL90" s="11" t="s">
        <v>5</v>
      </c>
      <c r="CM90" s="11">
        <v>4.9382033348083496</v>
      </c>
      <c r="CN90" s="11">
        <v>0.39425966143608093</v>
      </c>
      <c r="CO90">
        <v>0.47809472680091858</v>
      </c>
      <c r="CP90">
        <v>1.6943124532699585</v>
      </c>
      <c r="CQ90" t="s">
        <v>5</v>
      </c>
      <c r="CR90" s="10">
        <v>13.070960457149832</v>
      </c>
      <c r="CS90" s="11">
        <v>0.13753622975395091</v>
      </c>
      <c r="CT90">
        <v>0.47667688117126317</v>
      </c>
      <c r="CU90">
        <v>0.95036489516496658</v>
      </c>
      <c r="CV90">
        <v>1.8762175440788269</v>
      </c>
      <c r="CW90">
        <v>0.06</v>
      </c>
      <c r="CX90">
        <v>1.7935347507061041</v>
      </c>
      <c r="CY90">
        <v>826145130.12176406</v>
      </c>
      <c r="CZ90">
        <v>0.95036489516496658</v>
      </c>
      <c r="DA90">
        <v>0.30548805099816212</v>
      </c>
      <c r="DB90">
        <v>4850337010.4283209</v>
      </c>
      <c r="DC90">
        <v>0.90284665040671819</v>
      </c>
      <c r="DD90">
        <v>5.3595395186895885E-2</v>
      </c>
      <c r="DE90">
        <v>27646404972.535435</v>
      </c>
      <c r="DF90">
        <v>0.83632110774517054</v>
      </c>
      <c r="DG90">
        <v>8.2824185618629569E-3</v>
      </c>
      <c r="DH90">
        <v>178899434861.05563</v>
      </c>
      <c r="DI90">
        <v>0.76029191613197333</v>
      </c>
      <c r="DJ90">
        <v>1.4306374442877312E-4</v>
      </c>
      <c r="DK90">
        <v>10357061503711.033</v>
      </c>
      <c r="DL90">
        <v>0.66525542661547654</v>
      </c>
      <c r="DM90">
        <v>449000000</v>
      </c>
      <c r="DN90">
        <v>0.95036489516496658</v>
      </c>
      <c r="DO90">
        <v>1481720000</v>
      </c>
      <c r="DP90">
        <v>884427900</v>
      </c>
      <c r="DQ90" s="12">
        <v>5035</v>
      </c>
      <c r="DR90">
        <v>-1.6228648951649665</v>
      </c>
      <c r="DS90">
        <v>-3.1018681796216891</v>
      </c>
      <c r="DT90">
        <v>0.69199999999999995</v>
      </c>
      <c r="DU90">
        <v>-9.7999999999999948E-2</v>
      </c>
      <c r="DV90">
        <v>0.59399999999999997</v>
      </c>
      <c r="DW90">
        <v>-4.0288135593220336</v>
      </c>
      <c r="DX90">
        <v>0.26700454331818968</v>
      </c>
      <c r="DY90">
        <v>-4.0039475885362865</v>
      </c>
      <c r="DZ90">
        <v>188</v>
      </c>
      <c r="EA90">
        <v>-4.0038023543592178</v>
      </c>
      <c r="EB90" s="13">
        <v>4</v>
      </c>
      <c r="EC90" s="13">
        <v>2.18625E-2</v>
      </c>
      <c r="ED90">
        <v>0.15957499999999999</v>
      </c>
      <c r="EE90">
        <v>-2.0026000000000002</v>
      </c>
      <c r="EF90">
        <v>-2.0298099999999999</v>
      </c>
      <c r="EG90">
        <v>13.13700454331819</v>
      </c>
      <c r="EH90" s="14" t="s">
        <v>1310</v>
      </c>
      <c r="EI90">
        <v>0</v>
      </c>
      <c r="EJ90">
        <v>1</v>
      </c>
      <c r="EK90">
        <v>45470</v>
      </c>
      <c r="EL90">
        <v>-0.69</v>
      </c>
      <c r="EM90">
        <v>-2.2599999999999998</v>
      </c>
      <c r="EN90">
        <v>0.34</v>
      </c>
      <c r="EO90">
        <v>-0.71</v>
      </c>
      <c r="EP90">
        <v>-3.24</v>
      </c>
    </row>
    <row r="91" spans="1:146" ht="96" x14ac:dyDescent="0.25">
      <c r="A91" s="9"/>
      <c r="B91" s="9"/>
      <c r="C91" s="9" t="str">
        <f>""&amp;CHAR(10)&amp;Basic_Fundamental_Information_Constructure(F91)&amp;CHAR(10)&amp;Basic_Fundamental_Information_Concatenate("")</f>
        <v xml:space="preserve">
市值46.808147亿, 利润3.11亿; PE; 平均PE14.57; 平均PEG.17, PB.968; ROIC12.67%; ROE19.6833%; 股利率.5435%; 毛利11.68%; 净利6.0333%; 上一年度营收增-93.36%, 利润增-75.55%; 当季营收增190.41%, 利润增-282.43%; 过往5年营收增85.06%, 利润增-35.66%
Income profile:
</v>
      </c>
      <c r="D91" t="s">
        <v>889</v>
      </c>
      <c r="E91" t="s">
        <v>972</v>
      </c>
      <c r="F91">
        <v>9.1999999999999993</v>
      </c>
      <c r="G91">
        <v>0.55000000000000004</v>
      </c>
      <c r="H91" t="s">
        <v>3567</v>
      </c>
      <c r="I91">
        <v>4680814700</v>
      </c>
      <c r="K91">
        <v>0.96799999999999997</v>
      </c>
      <c r="L91" t="s">
        <v>973</v>
      </c>
      <c r="M91" t="s">
        <v>2448</v>
      </c>
      <c r="N91" t="s">
        <v>3568</v>
      </c>
      <c r="O91" t="s">
        <v>556</v>
      </c>
      <c r="P91">
        <v>-68.28</v>
      </c>
      <c r="Q91" t="s">
        <v>1010</v>
      </c>
      <c r="R91">
        <v>-136756760</v>
      </c>
      <c r="S91" s="6">
        <v>-2.9359999999999999</v>
      </c>
      <c r="T91" t="s">
        <v>254</v>
      </c>
      <c r="U91">
        <v>283168000</v>
      </c>
      <c r="V91">
        <v>508784210</v>
      </c>
      <c r="W91">
        <v>1.97</v>
      </c>
      <c r="X91">
        <v>7.0000000000000007E-2</v>
      </c>
      <c r="Y91">
        <v>-21.49</v>
      </c>
      <c r="Z91" t="s">
        <v>2489</v>
      </c>
      <c r="AA91" t="s">
        <v>262</v>
      </c>
      <c r="AB91" t="s">
        <v>3569</v>
      </c>
      <c r="AC91" t="s">
        <v>3570</v>
      </c>
      <c r="AD91" t="s">
        <v>5</v>
      </c>
      <c r="AE91">
        <v>2557769</v>
      </c>
      <c r="AF91" t="s">
        <v>2450</v>
      </c>
      <c r="AG91" t="s">
        <v>3571</v>
      </c>
      <c r="AH91" t="s">
        <v>2451</v>
      </c>
      <c r="AI91" t="s">
        <v>2261</v>
      </c>
      <c r="AJ91" t="s">
        <v>2452</v>
      </c>
      <c r="AK91" t="s">
        <v>244</v>
      </c>
      <c r="AL91" t="s">
        <v>2453</v>
      </c>
      <c r="AM91" t="s">
        <v>5</v>
      </c>
      <c r="AN91" t="s">
        <v>251</v>
      </c>
      <c r="AO91" t="s">
        <v>554</v>
      </c>
      <c r="AP91" t="s">
        <v>622</v>
      </c>
      <c r="AQ91" t="s">
        <v>114</v>
      </c>
      <c r="AR91" t="s">
        <v>5</v>
      </c>
      <c r="AS91" t="s">
        <v>1442</v>
      </c>
      <c r="AT91" t="s">
        <v>3572</v>
      </c>
      <c r="AU91" t="s">
        <v>3573</v>
      </c>
      <c r="AV91" t="s">
        <v>3574</v>
      </c>
      <c r="AW91" t="s">
        <v>2147</v>
      </c>
      <c r="AX91" t="s">
        <v>1444</v>
      </c>
      <c r="AY91" t="s">
        <v>1065</v>
      </c>
      <c r="AZ91" t="s">
        <v>589</v>
      </c>
      <c r="BA91" t="s">
        <v>700</v>
      </c>
      <c r="BB91" t="s">
        <v>890</v>
      </c>
      <c r="BC91" t="s">
        <v>1212</v>
      </c>
      <c r="BD91" t="s">
        <v>478</v>
      </c>
      <c r="BE91" t="s">
        <v>558</v>
      </c>
      <c r="BF91" t="s">
        <v>891</v>
      </c>
      <c r="BG91" t="s">
        <v>892</v>
      </c>
      <c r="BH91" t="s">
        <v>2449</v>
      </c>
      <c r="BI91" t="s">
        <v>219</v>
      </c>
      <c r="BJ91" t="s">
        <v>1444</v>
      </c>
      <c r="BK91" t="s">
        <v>49</v>
      </c>
      <c r="BL91" t="s">
        <v>3575</v>
      </c>
      <c r="BM91" t="s">
        <v>1212</v>
      </c>
      <c r="BN91">
        <v>1.61</v>
      </c>
      <c r="BO91">
        <v>24.16</v>
      </c>
      <c r="BP91">
        <v>12.24</v>
      </c>
      <c r="BQ91">
        <v>0.95</v>
      </c>
      <c r="BR91">
        <v>36.36</v>
      </c>
      <c r="BS91">
        <v>21.74</v>
      </c>
      <c r="BT91" t="s">
        <v>1285</v>
      </c>
      <c r="BU91" t="s">
        <v>2508</v>
      </c>
      <c r="BV91">
        <v>6.77</v>
      </c>
      <c r="BW91">
        <v>13.68</v>
      </c>
      <c r="BX91">
        <v>14.59</v>
      </c>
      <c r="BY91">
        <v>1.49</v>
      </c>
      <c r="BZ91">
        <v>9.1300000000000008</v>
      </c>
      <c r="CA91">
        <v>7.48</v>
      </c>
      <c r="CB91">
        <v>-5.54</v>
      </c>
      <c r="CC91">
        <v>-24.28</v>
      </c>
      <c r="CD91" t="s">
        <v>3576</v>
      </c>
      <c r="CE91" t="s">
        <v>72</v>
      </c>
      <c r="CF91" s="10">
        <v>1.904109589041096</v>
      </c>
      <c r="CG91" s="11">
        <v>-2.8242918295775454</v>
      </c>
      <c r="CH91" s="10">
        <v>-0.93355339765548706</v>
      </c>
      <c r="CI91" s="10">
        <v>1.5269266366958618</v>
      </c>
      <c r="CJ91" s="10">
        <v>4.3182253837585449</v>
      </c>
      <c r="CK91" s="10">
        <v>-0.57289952039718628</v>
      </c>
      <c r="CL91" s="10">
        <v>-8.5499078035354614E-2</v>
      </c>
      <c r="CM91" s="11">
        <v>-0.75550311803817749</v>
      </c>
      <c r="CN91" s="11">
        <v>2.0799031257629395</v>
      </c>
      <c r="CO91" s="11">
        <v>3.4294116497039795</v>
      </c>
      <c r="CP91" s="11">
        <v>-6.0350079536437988</v>
      </c>
      <c r="CQ91" s="11">
        <v>-0.50172442197799683</v>
      </c>
      <c r="CR91">
        <v>14.570444214846557</v>
      </c>
      <c r="CS91">
        <v>0.17128801997758372</v>
      </c>
      <c r="CT91">
        <v>0.5434782608695653</v>
      </c>
      <c r="CU91" s="10">
        <v>0.85064000487327573</v>
      </c>
      <c r="CV91" s="11">
        <v>-0.35658414363861085</v>
      </c>
      <c r="CW91">
        <v>0.06</v>
      </c>
      <c r="CX91">
        <v>10.294871773910367</v>
      </c>
      <c r="CY91">
        <v>542970793.88263083</v>
      </c>
      <c r="CZ91">
        <v>0.85064000487327573</v>
      </c>
      <c r="DA91">
        <v>1.8764578446828764</v>
      </c>
      <c r="DB91">
        <v>2978918346.5214939</v>
      </c>
      <c r="DC91">
        <v>0.80810800462961196</v>
      </c>
      <c r="DD91">
        <v>0.3696188506959126</v>
      </c>
      <c r="DE91">
        <v>15123186194.306877</v>
      </c>
      <c r="DF91">
        <v>0.74856320428848266</v>
      </c>
      <c r="DG91">
        <v>6.6825030892705431E-2</v>
      </c>
      <c r="DH91">
        <v>83648516511.350845</v>
      </c>
      <c r="DI91">
        <v>0.68051200389862065</v>
      </c>
      <c r="DJ91">
        <v>1.6945635686038524E-3</v>
      </c>
      <c r="DK91">
        <v>3298675130025.0347</v>
      </c>
      <c r="DL91">
        <v>0.595448003411293</v>
      </c>
      <c r="DM91">
        <v>311000000</v>
      </c>
      <c r="DN91">
        <v>0.85064000487327573</v>
      </c>
      <c r="DO91">
        <v>5589814700</v>
      </c>
      <c r="DP91">
        <v>2820058500</v>
      </c>
      <c r="DQ91">
        <v>5081</v>
      </c>
      <c r="DR91">
        <v>1.0534695841678201</v>
      </c>
      <c r="DS91">
        <v>-2.4677076859389344</v>
      </c>
      <c r="DT91" s="12">
        <v>-0.19333333333333327</v>
      </c>
      <c r="DU91">
        <v>-1.3016666666666665</v>
      </c>
      <c r="DV91">
        <v>-1.4949999999999999</v>
      </c>
      <c r="DW91">
        <v>-8.2281713344316305</v>
      </c>
      <c r="DX91">
        <v>0.38644903846153866</v>
      </c>
      <c r="DY91">
        <v>-8.0311337591876821</v>
      </c>
      <c r="DZ91">
        <v>635</v>
      </c>
      <c r="EA91">
        <v>-8.0272648869598591</v>
      </c>
      <c r="EB91">
        <v>8</v>
      </c>
      <c r="EC91">
        <v>2.7891392305590616E-2</v>
      </c>
      <c r="ED91">
        <v>0.20440885930795691</v>
      </c>
      <c r="EE91" s="13">
        <v>-3.08501</v>
      </c>
      <c r="EF91">
        <v>-3.1154099999999998</v>
      </c>
      <c r="EG91">
        <v>25.136449038461539</v>
      </c>
      <c r="EH91" t="s">
        <v>1597</v>
      </c>
      <c r="EI91">
        <v>0</v>
      </c>
      <c r="EJ91">
        <v>1</v>
      </c>
      <c r="EK91" s="14">
        <v>45470</v>
      </c>
      <c r="EL91">
        <v>-1.45</v>
      </c>
      <c r="EM91">
        <v>-6.44</v>
      </c>
      <c r="EN91">
        <v>-2.4300000000000002</v>
      </c>
      <c r="EO91">
        <v>2.2799999999999998</v>
      </c>
      <c r="EP91">
        <v>-3.04</v>
      </c>
    </row>
    <row r="92" spans="1:146" ht="96" x14ac:dyDescent="0.25">
      <c r="A92" s="9"/>
      <c r="B92" s="9"/>
      <c r="C92" s="9" t="str">
        <f>""&amp;CHAR(10)&amp;Basic_Fundamental_Information_Constructure(F92)&amp;CHAR(10)&amp;Basic_Fundamental_Information_Concatenate("")</f>
        <v xml:space="preserve">
市值27.828684亿, 利润4231.86万; PE; 平均PE40.97; 平均PEG.54, PB1.25; ROIC6.9633%; ROE8.2767%; 股利率.7179%; 毛利36.42%; 净利18.4133%; 上一年度营收增156.05%, 利润增-71.21%; 当季营收增-56.98%, 利润增-389.7%; 过往5年营收增75.5%, 利润增43.83%
Income profile:
</v>
      </c>
      <c r="D92" t="s">
        <v>893</v>
      </c>
      <c r="E92" t="s">
        <v>894</v>
      </c>
      <c r="F92">
        <v>13.93</v>
      </c>
      <c r="G92">
        <v>0.28999999999999998</v>
      </c>
      <c r="H92" t="s">
        <v>3577</v>
      </c>
      <c r="I92">
        <v>2782868400</v>
      </c>
      <c r="K92">
        <v>1.25</v>
      </c>
      <c r="L92" t="s">
        <v>973</v>
      </c>
      <c r="M92" t="s">
        <v>954</v>
      </c>
      <c r="N92" t="s">
        <v>1231</v>
      </c>
      <c r="O92" t="s">
        <v>104</v>
      </c>
      <c r="P92">
        <v>6.87</v>
      </c>
      <c r="Q92" t="s">
        <v>1331</v>
      </c>
      <c r="R92">
        <v>-17919120</v>
      </c>
      <c r="S92" s="6">
        <v>-2.41</v>
      </c>
      <c r="T92" t="s">
        <v>3578</v>
      </c>
      <c r="U92">
        <v>143883550</v>
      </c>
      <c r="V92">
        <v>199775190</v>
      </c>
      <c r="W92">
        <v>1.42</v>
      </c>
      <c r="X92">
        <v>0.04</v>
      </c>
      <c r="Y92">
        <v>-15.79</v>
      </c>
      <c r="Z92" t="s">
        <v>102</v>
      </c>
      <c r="AA92" t="s">
        <v>3579</v>
      </c>
      <c r="AB92" t="s">
        <v>3580</v>
      </c>
      <c r="AC92" t="s">
        <v>3581</v>
      </c>
      <c r="AD92" t="s">
        <v>5</v>
      </c>
      <c r="AE92">
        <v>2171570</v>
      </c>
      <c r="AF92" t="s">
        <v>2455</v>
      </c>
      <c r="AG92" t="s">
        <v>3202</v>
      </c>
      <c r="AH92" t="s">
        <v>2456</v>
      </c>
      <c r="AI92" t="s">
        <v>374</v>
      </c>
      <c r="AJ92" t="s">
        <v>2457</v>
      </c>
      <c r="AK92" t="s">
        <v>3582</v>
      </c>
      <c r="AL92" t="s">
        <v>2458</v>
      </c>
      <c r="AM92" t="s">
        <v>5</v>
      </c>
      <c r="AN92" t="s">
        <v>615</v>
      </c>
      <c r="AO92" t="s">
        <v>5</v>
      </c>
      <c r="AP92" t="s">
        <v>3583</v>
      </c>
      <c r="AQ92" t="s">
        <v>124</v>
      </c>
      <c r="AR92" t="s">
        <v>5</v>
      </c>
      <c r="AS92" t="s">
        <v>71</v>
      </c>
      <c r="AT92" t="s">
        <v>486</v>
      </c>
      <c r="AU92" t="s">
        <v>3584</v>
      </c>
      <c r="AV92" t="s">
        <v>3585</v>
      </c>
      <c r="AW92" t="s">
        <v>286</v>
      </c>
      <c r="AX92" t="s">
        <v>466</v>
      </c>
      <c r="AY92" t="s">
        <v>165</v>
      </c>
      <c r="AZ92" t="s">
        <v>440</v>
      </c>
      <c r="BA92" t="s">
        <v>166</v>
      </c>
      <c r="BB92" t="s">
        <v>125</v>
      </c>
      <c r="BC92" t="s">
        <v>273</v>
      </c>
      <c r="BD92" t="s">
        <v>105</v>
      </c>
      <c r="BE92" t="s">
        <v>895</v>
      </c>
      <c r="BF92" t="s">
        <v>896</v>
      </c>
      <c r="BG92" t="s">
        <v>897</v>
      </c>
      <c r="BH92" t="s">
        <v>71</v>
      </c>
      <c r="BI92" t="s">
        <v>501</v>
      </c>
      <c r="BJ92" t="s">
        <v>466</v>
      </c>
      <c r="BK92" t="s">
        <v>2454</v>
      </c>
      <c r="BL92" t="s">
        <v>3586</v>
      </c>
      <c r="BM92" t="s">
        <v>273</v>
      </c>
      <c r="BN92">
        <v>0.7</v>
      </c>
      <c r="BO92">
        <v>7.63</v>
      </c>
      <c r="BP92">
        <v>12.56</v>
      </c>
      <c r="BQ92">
        <v>0.69</v>
      </c>
      <c r="BR92">
        <v>9.7100000000000009</v>
      </c>
      <c r="BS92">
        <v>14.43</v>
      </c>
      <c r="BT92" t="s">
        <v>1279</v>
      </c>
      <c r="BU92" t="s">
        <v>2508</v>
      </c>
      <c r="BV92">
        <v>26.18</v>
      </c>
      <c r="BW92">
        <v>40.409999999999997</v>
      </c>
      <c r="BX92">
        <v>42.67</v>
      </c>
      <c r="BY92">
        <v>5.28</v>
      </c>
      <c r="BZ92">
        <v>24.36</v>
      </c>
      <c r="CA92">
        <v>25.6</v>
      </c>
      <c r="CB92">
        <v>-6.82</v>
      </c>
      <c r="CC92">
        <v>-24.17</v>
      </c>
      <c r="CD92" t="s">
        <v>3587</v>
      </c>
      <c r="CE92" t="s">
        <v>3588</v>
      </c>
      <c r="CF92" s="10">
        <v>-0.56981132075471697</v>
      </c>
      <c r="CG92" s="11">
        <v>-3.8969557836876567</v>
      </c>
      <c r="CH92" s="10">
        <v>1.5605306625366211</v>
      </c>
      <c r="CI92" s="10">
        <v>0.42553192377090454</v>
      </c>
      <c r="CJ92" s="10">
        <v>1.203125</v>
      </c>
      <c r="CK92" s="10">
        <v>0.16363635659217834</v>
      </c>
      <c r="CL92" s="10">
        <v>0.42241379618644714</v>
      </c>
      <c r="CM92" s="11">
        <v>-0.71211838722229004</v>
      </c>
      <c r="CN92" s="11">
        <v>0.3611111044883728</v>
      </c>
      <c r="CO92" s="11">
        <v>1.3952414989471436</v>
      </c>
      <c r="CP92" s="11">
        <v>1.7941199243068695E-2</v>
      </c>
      <c r="CQ92" s="11">
        <v>1.1295324563980103</v>
      </c>
      <c r="CR92">
        <v>40.974457850484008</v>
      </c>
      <c r="CS92">
        <v>0.54267387489618657</v>
      </c>
      <c r="CT92">
        <v>0.71787508973438618</v>
      </c>
      <c r="CU92" s="10">
        <v>0.75504754781723027</v>
      </c>
      <c r="CV92" s="11">
        <v>0.43834157437086108</v>
      </c>
      <c r="CW92">
        <v>0.06</v>
      </c>
      <c r="CX92">
        <v>18.409037817019396</v>
      </c>
      <c r="CY92">
        <v>70067127.506658703</v>
      </c>
      <c r="CZ92">
        <v>0.75504754781723027</v>
      </c>
      <c r="DA92">
        <v>3.5871347841747419</v>
      </c>
      <c r="DB92">
        <v>359581804.86846352</v>
      </c>
      <c r="DC92">
        <v>0.7172951704263687</v>
      </c>
      <c r="DD92">
        <v>0.79124168654833349</v>
      </c>
      <c r="DE92">
        <v>1630182562.3304133</v>
      </c>
      <c r="DF92">
        <v>0.66444184207916268</v>
      </c>
      <c r="DG92">
        <v>0.16683749961314201</v>
      </c>
      <c r="DH92">
        <v>7731285849.9492598</v>
      </c>
      <c r="DI92">
        <v>0.60403803825378422</v>
      </c>
      <c r="DJ92">
        <v>6.1856651705161541E-3</v>
      </c>
      <c r="DK92">
        <v>208525415528.16846</v>
      </c>
      <c r="DL92">
        <v>0.52853328347206119</v>
      </c>
      <c r="DM92">
        <v>42318600</v>
      </c>
      <c r="DN92">
        <v>0.75504754781723027</v>
      </c>
      <c r="DO92">
        <v>1289868400</v>
      </c>
      <c r="DP92">
        <v>932262600</v>
      </c>
      <c r="DQ92">
        <v>5091</v>
      </c>
      <c r="DR92">
        <v>-1.3248588685719471</v>
      </c>
      <c r="DS92">
        <v>-4.3352973580585177</v>
      </c>
      <c r="DT92" s="12">
        <v>0.52666666666666662</v>
      </c>
      <c r="DU92">
        <v>-0.6150000000000001</v>
      </c>
      <c r="DV92">
        <v>-8.8333333333333486E-2</v>
      </c>
      <c r="DW92">
        <v>-9.2821679768307828</v>
      </c>
      <c r="DX92">
        <v>0.26239880489115552</v>
      </c>
      <c r="DY92">
        <v>-9.0288936636060271</v>
      </c>
      <c r="DZ92">
        <v>836</v>
      </c>
      <c r="EA92">
        <v>-9.0241666376227325</v>
      </c>
      <c r="EB92">
        <v>9</v>
      </c>
      <c r="EC92">
        <v>3.9968426509818362E-2</v>
      </c>
      <c r="ED92">
        <v>0.39032124059048573</v>
      </c>
      <c r="EE92" s="13">
        <v>-2.0577999999999999</v>
      </c>
      <c r="EF92">
        <v>-2.0390000000000001</v>
      </c>
      <c r="EG92">
        <v>16.102398804891155</v>
      </c>
      <c r="EH92" t="s">
        <v>1308</v>
      </c>
      <c r="EI92">
        <v>0</v>
      </c>
      <c r="EJ92">
        <v>1</v>
      </c>
      <c r="EK92" s="14">
        <v>45470</v>
      </c>
      <c r="EL92">
        <v>-2.37</v>
      </c>
      <c r="EM92">
        <v>-5.21</v>
      </c>
      <c r="EN92">
        <v>-0.06</v>
      </c>
      <c r="EO92">
        <v>3.13</v>
      </c>
      <c r="EP92">
        <v>-1.88</v>
      </c>
    </row>
    <row r="93" spans="1:146" ht="96" x14ac:dyDescent="0.25">
      <c r="A93" s="9"/>
      <c r="B93" s="9"/>
      <c r="C93" s="9" t="str">
        <f>""&amp;CHAR(10)&amp;Basic_Fundamental_Information_Constructure(F93)&amp;CHAR(10)&amp;Basic_Fundamental_Information_Concatenate("")</f>
        <v xml:space="preserve">
市值163.68197亿, 利润9035.50万; PE33.13; 平均PE37.83; 平均PEG43.65, PB2.47; ROIC8.205%; ROE9.65%; 股利率1.8595%; 毛利22.3967%; 净利3.7967%; 上一年度营收增-93.21%, 利润增-.65%; 当季营收增1435.54%, 利润增-51.11%; 过往5年营收增.87%, 利润增21.69%
Income profile:
</v>
      </c>
      <c r="D93" t="s">
        <v>898</v>
      </c>
      <c r="E93" t="s">
        <v>899</v>
      </c>
      <c r="F93">
        <v>14.52</v>
      </c>
      <c r="G93">
        <v>4.3099999999999996</v>
      </c>
      <c r="H93" t="s">
        <v>3589</v>
      </c>
      <c r="I93">
        <v>16368197000</v>
      </c>
      <c r="J93">
        <v>33.130000000000003</v>
      </c>
      <c r="K93">
        <v>2.4700000000000002</v>
      </c>
      <c r="L93" t="s">
        <v>973</v>
      </c>
      <c r="M93" t="s">
        <v>2459</v>
      </c>
      <c r="N93" t="s">
        <v>3590</v>
      </c>
      <c r="O93" t="s">
        <v>2460</v>
      </c>
      <c r="P93">
        <v>7.23</v>
      </c>
      <c r="Q93" t="s">
        <v>955</v>
      </c>
      <c r="R93">
        <v>9996303</v>
      </c>
      <c r="S93" s="6">
        <v>1.071</v>
      </c>
      <c r="T93" t="s">
        <v>3591</v>
      </c>
      <c r="U93">
        <v>770154370</v>
      </c>
      <c r="V93">
        <v>1127286260</v>
      </c>
      <c r="W93">
        <v>2.99</v>
      </c>
      <c r="X93">
        <v>0.12</v>
      </c>
      <c r="Y93">
        <v>-1.43</v>
      </c>
      <c r="Z93" t="s">
        <v>1135</v>
      </c>
      <c r="AA93" t="s">
        <v>3592</v>
      </c>
      <c r="AB93" t="s">
        <v>3593</v>
      </c>
      <c r="AC93" t="s">
        <v>126</v>
      </c>
      <c r="AD93" t="s">
        <v>5</v>
      </c>
      <c r="AE93">
        <v>16394780</v>
      </c>
      <c r="AF93" t="s">
        <v>2462</v>
      </c>
      <c r="AG93" t="s">
        <v>3594</v>
      </c>
      <c r="AH93" t="s">
        <v>2463</v>
      </c>
      <c r="AI93" t="s">
        <v>3595</v>
      </c>
      <c r="AJ93" t="s">
        <v>2464</v>
      </c>
      <c r="AK93" t="s">
        <v>3596</v>
      </c>
      <c r="AL93" t="s">
        <v>2465</v>
      </c>
      <c r="AM93" t="s">
        <v>5</v>
      </c>
      <c r="AN93" t="s">
        <v>3597</v>
      </c>
      <c r="AO93" t="s">
        <v>583</v>
      </c>
      <c r="AP93" t="s">
        <v>3598</v>
      </c>
      <c r="AQ93" t="s">
        <v>3599</v>
      </c>
      <c r="AR93" t="s">
        <v>5</v>
      </c>
      <c r="AS93" t="s">
        <v>3600</v>
      </c>
      <c r="AT93" t="s">
        <v>324</v>
      </c>
      <c r="AU93" t="s">
        <v>1180</v>
      </c>
      <c r="AV93" t="s">
        <v>3601</v>
      </c>
      <c r="AW93" t="s">
        <v>252</v>
      </c>
      <c r="AX93" t="s">
        <v>1445</v>
      </c>
      <c r="AY93" t="s">
        <v>1066</v>
      </c>
      <c r="AZ93" t="s">
        <v>900</v>
      </c>
      <c r="BA93" t="s">
        <v>839</v>
      </c>
      <c r="BB93" t="s">
        <v>901</v>
      </c>
      <c r="BC93" t="s">
        <v>2466</v>
      </c>
      <c r="BD93" t="s">
        <v>677</v>
      </c>
      <c r="BE93" t="s">
        <v>279</v>
      </c>
      <c r="BF93" t="s">
        <v>168</v>
      </c>
      <c r="BG93" t="s">
        <v>43</v>
      </c>
      <c r="BH93" t="s">
        <v>2461</v>
      </c>
      <c r="BI93" t="s">
        <v>38</v>
      </c>
      <c r="BJ93" t="s">
        <v>1445</v>
      </c>
      <c r="BK93" t="s">
        <v>315</v>
      </c>
      <c r="BL93" t="s">
        <v>3602</v>
      </c>
      <c r="BM93" t="s">
        <v>2466</v>
      </c>
      <c r="BN93">
        <v>1.95</v>
      </c>
      <c r="BO93" t="s">
        <v>5</v>
      </c>
      <c r="BP93">
        <v>14.46</v>
      </c>
      <c r="BQ93">
        <v>4.2699999999999996</v>
      </c>
      <c r="BR93">
        <v>1.44</v>
      </c>
      <c r="BS93">
        <v>23.24</v>
      </c>
      <c r="BT93" t="s">
        <v>1345</v>
      </c>
      <c r="BU93" t="s">
        <v>2521</v>
      </c>
      <c r="BV93">
        <v>25.17</v>
      </c>
      <c r="BW93">
        <v>16.87</v>
      </c>
      <c r="BX93">
        <v>25.15</v>
      </c>
      <c r="BY93">
        <v>1.72</v>
      </c>
      <c r="BZ93">
        <v>0.53</v>
      </c>
      <c r="CA93">
        <v>9.14</v>
      </c>
      <c r="CB93">
        <v>-2.5499999999999998</v>
      </c>
      <c r="CC93">
        <v>0.48</v>
      </c>
      <c r="CD93" t="s">
        <v>3603</v>
      </c>
      <c r="CE93" t="s">
        <v>1618</v>
      </c>
      <c r="CF93" s="10">
        <v>14.355421686746988</v>
      </c>
      <c r="CG93" s="11">
        <v>-0.51106607451174124</v>
      </c>
      <c r="CH93" s="10">
        <v>-0.93211227655410767</v>
      </c>
      <c r="CI93" s="10">
        <v>6.1315320432186127E-2</v>
      </c>
      <c r="CJ93" s="10">
        <v>0.48477888107299805</v>
      </c>
      <c r="CK93" s="10">
        <v>0.30632150173187256</v>
      </c>
      <c r="CL93" s="10">
        <v>0.1230250746011734</v>
      </c>
      <c r="CM93" s="11">
        <v>-6.5060523338615894E-3</v>
      </c>
      <c r="CN93" s="11">
        <v>-0.9038618803024292</v>
      </c>
      <c r="CO93" s="11">
        <v>0.15789473056793213</v>
      </c>
      <c r="CP93" s="11">
        <v>0.89999997615814209</v>
      </c>
      <c r="CQ93" s="11">
        <v>0.93693691492080688</v>
      </c>
      <c r="CR93">
        <v>37.826567690496063</v>
      </c>
      <c r="CS93">
        <v>43.650907104369928</v>
      </c>
      <c r="CT93">
        <v>1.8595041322314052</v>
      </c>
      <c r="CU93" s="10">
        <v>8.6657002568244941E-3</v>
      </c>
      <c r="CV93" s="11">
        <v>0.21689273780211807</v>
      </c>
      <c r="CW93">
        <v>0.06</v>
      </c>
      <c r="CX93">
        <v>272.84723964451751</v>
      </c>
      <c r="CY93">
        <v>85979235.232740909</v>
      </c>
      <c r="CZ93">
        <v>8.6657002568244941E-3</v>
      </c>
      <c r="DA93">
        <v>95.580051992022192</v>
      </c>
      <c r="DB93">
        <v>245440303.81944212</v>
      </c>
      <c r="DC93">
        <v>8.2324152439832692E-3</v>
      </c>
      <c r="DD93">
        <v>51.476356658195108</v>
      </c>
      <c r="DE93">
        <v>455727610.16809964</v>
      </c>
      <c r="DF93">
        <v>7.6258162260055551E-3</v>
      </c>
      <c r="DG93">
        <v>34.066371724447627</v>
      </c>
      <c r="DH93">
        <v>688632097.06493568</v>
      </c>
      <c r="DI93">
        <v>6.9325602054595955E-3</v>
      </c>
      <c r="DJ93">
        <v>21.47589425206532</v>
      </c>
      <c r="DK93">
        <v>1092350182.2395101</v>
      </c>
      <c r="DL93">
        <v>6.0659901797771457E-3</v>
      </c>
      <c r="DM93">
        <v>90355000</v>
      </c>
      <c r="DN93">
        <v>8.6657002568244941E-3</v>
      </c>
      <c r="DO93">
        <v>23459197000</v>
      </c>
      <c r="DP93">
        <v>191584800</v>
      </c>
      <c r="DQ93">
        <v>5097</v>
      </c>
      <c r="DR93">
        <v>14.346755986490164</v>
      </c>
      <c r="DS93">
        <v>-0.72795881231385928</v>
      </c>
      <c r="DT93" s="12">
        <v>-0.52333333333333332</v>
      </c>
      <c r="DU93">
        <v>4.6666666666666558E-2</v>
      </c>
      <c r="DV93">
        <v>-0.47666666666666674</v>
      </c>
      <c r="DW93">
        <v>-4.1882352941176473</v>
      </c>
      <c r="DX93">
        <v>0.39202698412698322</v>
      </c>
      <c r="DY93">
        <v>-4.0323815499533149</v>
      </c>
      <c r="DZ93">
        <v>643</v>
      </c>
      <c r="EA93">
        <v>-4.0283069243916749</v>
      </c>
      <c r="EB93">
        <v>4</v>
      </c>
      <c r="EC93">
        <v>7.6911786363829185E-2</v>
      </c>
      <c r="ED93">
        <v>0.44709140693331967</v>
      </c>
      <c r="EE93" s="13">
        <v>-2.1121099999999999</v>
      </c>
      <c r="EF93">
        <v>-2.1324100000000001</v>
      </c>
      <c r="EG93">
        <v>22.172026984126983</v>
      </c>
      <c r="EH93" t="s">
        <v>1310</v>
      </c>
      <c r="EI93">
        <v>0</v>
      </c>
      <c r="EJ93">
        <v>1</v>
      </c>
      <c r="EK93" s="14">
        <v>45470</v>
      </c>
      <c r="EL93">
        <v>-1.06</v>
      </c>
      <c r="EM93">
        <v>-5.14</v>
      </c>
      <c r="EN93">
        <v>-0.68</v>
      </c>
      <c r="EO93">
        <v>3.18</v>
      </c>
      <c r="EP93">
        <v>-2.0299999999999998</v>
      </c>
    </row>
    <row r="94" spans="1:146" ht="96" x14ac:dyDescent="0.25">
      <c r="A94" s="9"/>
      <c r="B94" s="9"/>
      <c r="C94" s="9" t="str">
        <f>""&amp;CHAR(10)&amp;Basic_Fundamental_Information_Constructure(F94)&amp;CHAR(10)&amp;Basic_Fundamental_Information_Concatenate("")</f>
        <v xml:space="preserve">
市值128.040616亿, 利润-1.24亿; PE24.47; 平均PE37.35; 平均PEG1.43, PB1.48; ROIC11.4733%; ROE16%; 股利率2.3004%; 毛利8.7133%; 净利3.5467%; 上一年度营收增-62.68%, 利润增-111.06%; 当季营收增70.58%, 利润增11874.25%; 过往5年营收增26.2%, 利润增53.56%
Income profile:
</v>
      </c>
      <c r="D94" t="s">
        <v>903</v>
      </c>
      <c r="E94" t="s">
        <v>904</v>
      </c>
      <c r="F94">
        <v>30.43</v>
      </c>
      <c r="G94">
        <v>0.43</v>
      </c>
      <c r="H94" t="s">
        <v>3604</v>
      </c>
      <c r="I94">
        <v>12804061600</v>
      </c>
      <c r="J94">
        <v>24.47</v>
      </c>
      <c r="K94">
        <v>1.48</v>
      </c>
      <c r="L94" t="s">
        <v>973</v>
      </c>
      <c r="M94" t="s">
        <v>1731</v>
      </c>
      <c r="N94" t="s">
        <v>3605</v>
      </c>
      <c r="O94" t="s">
        <v>2352</v>
      </c>
      <c r="P94">
        <v>-8.02</v>
      </c>
      <c r="Q94" t="s">
        <v>2473</v>
      </c>
      <c r="R94">
        <v>111288715</v>
      </c>
      <c r="S94" s="6">
        <v>-3.7100000000000001E-2</v>
      </c>
      <c r="T94" t="s">
        <v>1605</v>
      </c>
      <c r="U94">
        <v>204167280</v>
      </c>
      <c r="V94">
        <v>420771000</v>
      </c>
      <c r="W94">
        <v>1.61</v>
      </c>
      <c r="X94">
        <v>0.24</v>
      </c>
      <c r="Y94">
        <v>3.35</v>
      </c>
      <c r="Z94" t="s">
        <v>3606</v>
      </c>
      <c r="AA94" t="s">
        <v>2314</v>
      </c>
      <c r="AB94" t="s">
        <v>3607</v>
      </c>
      <c r="AC94" t="s">
        <v>3608</v>
      </c>
      <c r="AD94" t="s">
        <v>5</v>
      </c>
      <c r="AE94">
        <v>17761661</v>
      </c>
      <c r="AF94" t="s">
        <v>2468</v>
      </c>
      <c r="AG94" t="s">
        <v>3609</v>
      </c>
      <c r="AH94" t="s">
        <v>2469</v>
      </c>
      <c r="AI94" t="s">
        <v>355</v>
      </c>
      <c r="AJ94" t="s">
        <v>2470</v>
      </c>
      <c r="AK94" t="s">
        <v>5</v>
      </c>
      <c r="AL94" t="s">
        <v>2471</v>
      </c>
      <c r="AM94" t="s">
        <v>5</v>
      </c>
      <c r="AN94" t="s">
        <v>55</v>
      </c>
      <c r="AO94" t="s">
        <v>1926</v>
      </c>
      <c r="AP94" t="s">
        <v>2984</v>
      </c>
      <c r="AQ94" t="s">
        <v>1833</v>
      </c>
      <c r="AR94" t="s">
        <v>5</v>
      </c>
      <c r="AS94" t="s">
        <v>3610</v>
      </c>
      <c r="AT94" t="s">
        <v>1634</v>
      </c>
      <c r="AU94" t="s">
        <v>1618</v>
      </c>
      <c r="AV94" t="s">
        <v>1260</v>
      </c>
      <c r="AW94" t="s">
        <v>1172</v>
      </c>
      <c r="AX94" t="s">
        <v>1446</v>
      </c>
      <c r="AY94" t="s">
        <v>1447</v>
      </c>
      <c r="AZ94" t="s">
        <v>905</v>
      </c>
      <c r="BA94" t="s">
        <v>906</v>
      </c>
      <c r="BB94" t="s">
        <v>907</v>
      </c>
      <c r="BC94" t="s">
        <v>318</v>
      </c>
      <c r="BD94" t="s">
        <v>1214</v>
      </c>
      <c r="BE94" t="s">
        <v>274</v>
      </c>
      <c r="BF94" t="s">
        <v>200</v>
      </c>
      <c r="BG94" t="s">
        <v>908</v>
      </c>
      <c r="BH94" t="s">
        <v>2467</v>
      </c>
      <c r="BI94" t="s">
        <v>1268</v>
      </c>
      <c r="BJ94" t="s">
        <v>1446</v>
      </c>
      <c r="BK94" t="s">
        <v>994</v>
      </c>
      <c r="BL94" t="s">
        <v>2477</v>
      </c>
      <c r="BM94" t="s">
        <v>318</v>
      </c>
      <c r="BN94">
        <v>4.72</v>
      </c>
      <c r="BO94">
        <v>16.02</v>
      </c>
      <c r="BP94">
        <v>13.68</v>
      </c>
      <c r="BQ94">
        <v>4.91</v>
      </c>
      <c r="BR94">
        <v>20.88</v>
      </c>
      <c r="BS94">
        <v>22.21</v>
      </c>
      <c r="BT94" t="s">
        <v>1398</v>
      </c>
      <c r="BU94" t="s">
        <v>2508</v>
      </c>
      <c r="BV94">
        <v>7.99</v>
      </c>
      <c r="BW94">
        <v>8.6</v>
      </c>
      <c r="BX94">
        <v>9.5500000000000007</v>
      </c>
      <c r="BY94">
        <v>3.06</v>
      </c>
      <c r="BZ94">
        <v>3.93</v>
      </c>
      <c r="CA94">
        <v>3.65</v>
      </c>
      <c r="CB94">
        <v>-2.59</v>
      </c>
      <c r="CC94">
        <v>-14.14</v>
      </c>
      <c r="CD94" t="s">
        <v>3611</v>
      </c>
      <c r="CE94" t="s">
        <v>3612</v>
      </c>
      <c r="CF94" s="10">
        <v>0.70579110651499488</v>
      </c>
      <c r="CG94" s="11">
        <v>118.74253819668603</v>
      </c>
      <c r="CH94" s="10">
        <v>-0.6268303394317627</v>
      </c>
      <c r="CI94" s="10">
        <v>0.80551367998123169</v>
      </c>
      <c r="CJ94" s="10">
        <v>0.99299114942550659</v>
      </c>
      <c r="CK94" s="10">
        <v>0.14502726495265961</v>
      </c>
      <c r="CL94" s="10">
        <v>-6.8317679688334465E-3</v>
      </c>
      <c r="CM94" s="11">
        <v>-1.1106154918670654</v>
      </c>
      <c r="CN94" s="11">
        <v>0.93609660863876343</v>
      </c>
      <c r="CO94" s="11">
        <v>1.3067729473114014</v>
      </c>
      <c r="CP94" s="11">
        <v>0.67333334684371948</v>
      </c>
      <c r="CQ94" s="11">
        <v>0.8725166916847229</v>
      </c>
      <c r="CR94">
        <v>37.345846964334996</v>
      </c>
      <c r="CS94">
        <v>1.4255554878023784</v>
      </c>
      <c r="CT94">
        <v>2.3003614853762735</v>
      </c>
      <c r="CU94" s="10">
        <v>0.26197399739176036</v>
      </c>
      <c r="CV94" s="11">
        <v>0.53562082052230831</v>
      </c>
      <c r="CW94">
        <v>0.06</v>
      </c>
      <c r="CX94" t="e">
        <v>#VALUE!</v>
      </c>
      <c r="CY94" t="s">
        <v>947</v>
      </c>
      <c r="CZ94">
        <v>0.26197399739176036</v>
      </c>
      <c r="DA94" t="e">
        <v>#VALUE!</v>
      </c>
      <c r="DB94" t="s">
        <v>947</v>
      </c>
      <c r="DC94">
        <v>0.24887529752217233</v>
      </c>
      <c r="DD94" t="e">
        <v>#VALUE!</v>
      </c>
      <c r="DE94" t="s">
        <v>947</v>
      </c>
      <c r="DF94">
        <v>0.23053711770474911</v>
      </c>
      <c r="DG94" t="e">
        <v>#VALUE!</v>
      </c>
      <c r="DH94" t="s">
        <v>947</v>
      </c>
      <c r="DI94">
        <v>0.20957919791340829</v>
      </c>
      <c r="DJ94" t="e">
        <v>#VALUE!</v>
      </c>
      <c r="DK94" t="s">
        <v>947</v>
      </c>
      <c r="DL94">
        <v>0.18338179817423225</v>
      </c>
      <c r="DM94">
        <v>-124000000</v>
      </c>
      <c r="DN94">
        <v>0.26197399739176036</v>
      </c>
      <c r="DO94">
        <v>8526061600</v>
      </c>
      <c r="DP94">
        <v>4038404800</v>
      </c>
      <c r="DQ94">
        <v>5100</v>
      </c>
      <c r="DR94">
        <v>0.44381710912323452</v>
      </c>
      <c r="DS94">
        <v>118.20691737616372</v>
      </c>
      <c r="DT94" s="12">
        <v>-0.20666666666666664</v>
      </c>
      <c r="DU94">
        <v>0.46999999999999981</v>
      </c>
      <c r="DV94">
        <v>0.2633333333333332</v>
      </c>
      <c r="DW94">
        <v>-8.1831683168316829</v>
      </c>
      <c r="DX94">
        <v>0.33044076925353366</v>
      </c>
      <c r="DY94">
        <v>-8.0257242993187159</v>
      </c>
      <c r="DZ94">
        <v>1223</v>
      </c>
      <c r="EA94">
        <v>-8.0195675834543731</v>
      </c>
      <c r="EB94">
        <v>8</v>
      </c>
      <c r="EC94">
        <v>1.5790061577437609E-2</v>
      </c>
      <c r="ED94">
        <v>0.11243217807310865</v>
      </c>
      <c r="EE94" s="13">
        <v>-1.1076999999999999</v>
      </c>
      <c r="EF94">
        <v>-1.0849</v>
      </c>
      <c r="EG94">
        <v>19.140440769253534</v>
      </c>
      <c r="EH94" t="s">
        <v>1300</v>
      </c>
      <c r="EI94">
        <v>0</v>
      </c>
      <c r="EJ94">
        <v>1</v>
      </c>
      <c r="EK94" s="14">
        <v>45470</v>
      </c>
      <c r="EL94">
        <v>-0.62</v>
      </c>
      <c r="EM94">
        <v>-3.13</v>
      </c>
      <c r="EN94">
        <v>-0.43</v>
      </c>
      <c r="EO94">
        <v>4.55</v>
      </c>
      <c r="EP94">
        <v>-2.2799999999999998</v>
      </c>
    </row>
    <row r="95" spans="1:146" ht="96" x14ac:dyDescent="0.25">
      <c r="A95" s="9"/>
      <c r="B95" s="9"/>
      <c r="C95" s="9" t="str">
        <f>""&amp;CHAR(10)&amp;Basic_Fundamental_Information_Constructure(F95)&amp;CHAR(10)&amp;Basic_Fundamental_Information_Concatenate("")</f>
        <v xml:space="preserve">
市值87.39359亿, 利润7987.97万; PE; 平均PE18.95; 平均PEG.34, PB1.21; ROIC10.4033%; ROE12.4933%; 股利率0%; 毛利11.8167%; 净利5.79%; 上一年度营收增-97.95%, 利润增-94.64%; 当季营收增1274.31%, 利润增-80.52%; 过往5年营收增56.5%, 利润增104.45%
Income profile:
</v>
      </c>
      <c r="D95" t="s">
        <v>909</v>
      </c>
      <c r="E95" t="s">
        <v>910</v>
      </c>
      <c r="F95">
        <v>4.53</v>
      </c>
      <c r="G95">
        <v>0.44</v>
      </c>
      <c r="H95" t="s">
        <v>3613</v>
      </c>
      <c r="I95">
        <v>8739359000</v>
      </c>
      <c r="K95">
        <v>1.21</v>
      </c>
      <c r="L95" t="s">
        <v>973</v>
      </c>
      <c r="M95" t="s">
        <v>2472</v>
      </c>
      <c r="N95" t="s">
        <v>3614</v>
      </c>
      <c r="O95" t="s">
        <v>2447</v>
      </c>
      <c r="P95">
        <v>-43.77</v>
      </c>
      <c r="Q95" t="s">
        <v>90</v>
      </c>
      <c r="R95">
        <v>3191924</v>
      </c>
      <c r="S95" s="6">
        <v>2.4340000000000002</v>
      </c>
      <c r="T95" t="s">
        <v>3615</v>
      </c>
      <c r="U95">
        <v>1042557120</v>
      </c>
      <c r="V95">
        <v>1929218300</v>
      </c>
      <c r="W95">
        <v>1.79</v>
      </c>
      <c r="X95">
        <v>0.08</v>
      </c>
      <c r="Y95">
        <v>0.28999999999999998</v>
      </c>
      <c r="Z95" t="s">
        <v>2667</v>
      </c>
      <c r="AA95" t="s">
        <v>309</v>
      </c>
      <c r="AB95" t="s">
        <v>3616</v>
      </c>
      <c r="AC95" t="s">
        <v>3617</v>
      </c>
      <c r="AD95" t="s">
        <v>5</v>
      </c>
      <c r="AE95">
        <v>23858383</v>
      </c>
      <c r="AF95" t="s">
        <v>27</v>
      </c>
      <c r="AG95" t="s">
        <v>3618</v>
      </c>
      <c r="AH95" t="s">
        <v>2474</v>
      </c>
      <c r="AI95" t="s">
        <v>2134</v>
      </c>
      <c r="AJ95" t="s">
        <v>2475</v>
      </c>
      <c r="AK95" t="s">
        <v>96</v>
      </c>
      <c r="AL95" t="s">
        <v>2476</v>
      </c>
      <c r="AM95" t="s">
        <v>5</v>
      </c>
      <c r="AN95" t="s">
        <v>545</v>
      </c>
      <c r="AO95" t="s">
        <v>5</v>
      </c>
      <c r="AP95" t="s">
        <v>3080</v>
      </c>
      <c r="AQ95" t="s">
        <v>561</v>
      </c>
      <c r="AR95" t="s">
        <v>5</v>
      </c>
      <c r="AS95" t="s">
        <v>1393</v>
      </c>
      <c r="AT95" t="s">
        <v>5</v>
      </c>
      <c r="AU95" t="s">
        <v>3619</v>
      </c>
      <c r="AV95" t="s">
        <v>1000</v>
      </c>
      <c r="AW95" t="s">
        <v>5</v>
      </c>
      <c r="AX95" t="s">
        <v>1448</v>
      </c>
      <c r="AY95" t="s">
        <v>1067</v>
      </c>
      <c r="AZ95" t="s">
        <v>510</v>
      </c>
      <c r="BA95" t="s">
        <v>640</v>
      </c>
      <c r="BB95" t="s">
        <v>911</v>
      </c>
      <c r="BC95" t="s">
        <v>1420</v>
      </c>
      <c r="BD95" t="s">
        <v>358</v>
      </c>
      <c r="BE95" t="s">
        <v>93</v>
      </c>
      <c r="BF95" t="s">
        <v>246</v>
      </c>
      <c r="BG95" t="s">
        <v>52</v>
      </c>
      <c r="BH95" t="s">
        <v>2473</v>
      </c>
      <c r="BI95" t="s">
        <v>3620</v>
      </c>
      <c r="BJ95" t="s">
        <v>1448</v>
      </c>
      <c r="BK95" t="s">
        <v>1605</v>
      </c>
      <c r="BL95" t="s">
        <v>3621</v>
      </c>
      <c r="BM95" t="s">
        <v>1420</v>
      </c>
      <c r="BN95">
        <v>0.81</v>
      </c>
      <c r="BO95">
        <v>16.29</v>
      </c>
      <c r="BP95">
        <v>14.11</v>
      </c>
      <c r="BQ95">
        <v>0.9</v>
      </c>
      <c r="BR95">
        <v>20.69</v>
      </c>
      <c r="BS95">
        <v>15.89</v>
      </c>
      <c r="BT95" t="s">
        <v>1280</v>
      </c>
      <c r="BU95" t="s">
        <v>2508</v>
      </c>
      <c r="BV95">
        <v>4.41</v>
      </c>
      <c r="BW95">
        <v>14.19</v>
      </c>
      <c r="BX95">
        <v>16.850000000000001</v>
      </c>
      <c r="BY95">
        <v>-1.1599999999999999</v>
      </c>
      <c r="BZ95">
        <v>8.2899999999999991</v>
      </c>
      <c r="CA95">
        <v>10.24</v>
      </c>
      <c r="CB95">
        <v>-2.16</v>
      </c>
      <c r="CC95">
        <v>-14.04</v>
      </c>
      <c r="CD95" t="s">
        <v>3622</v>
      </c>
      <c r="CE95" t="s">
        <v>137</v>
      </c>
      <c r="CF95" s="10">
        <v>12.743134748404634</v>
      </c>
      <c r="CG95" s="11">
        <v>-0.80520776502322067</v>
      </c>
      <c r="CH95" s="10">
        <v>-0.97952717542648315</v>
      </c>
      <c r="CI95" s="10">
        <v>1.6275397539138794</v>
      </c>
      <c r="CJ95" s="10">
        <v>2.4017901420593262</v>
      </c>
      <c r="CK95" s="10">
        <v>-0.27295735478401184</v>
      </c>
      <c r="CL95" s="10">
        <v>4.8124313354492188E-2</v>
      </c>
      <c r="CM95" s="11">
        <v>-0.9463534951210022</v>
      </c>
      <c r="CN95" s="11">
        <v>1.1241083145141602</v>
      </c>
      <c r="CO95" s="11">
        <v>5.3727273941040039</v>
      </c>
      <c r="CP95" s="11">
        <v>-0.46601942181587219</v>
      </c>
      <c r="CQ95" s="11">
        <v>0.13812154531478882</v>
      </c>
      <c r="CR95">
        <v>18.951367491691091</v>
      </c>
      <c r="CS95">
        <v>0.33542603362761314</v>
      </c>
      <c r="CT95">
        <v>0</v>
      </c>
      <c r="CU95" s="10">
        <v>0.5649939358234406</v>
      </c>
      <c r="CV95" s="11">
        <v>1.0445168673992158</v>
      </c>
      <c r="CW95">
        <v>0.06</v>
      </c>
      <c r="CX95">
        <v>66.07325979053833</v>
      </c>
      <c r="CY95">
        <v>117935137.82584499</v>
      </c>
      <c r="CZ95">
        <v>0.5649939358234406</v>
      </c>
      <c r="DA95">
        <v>14.783477936759796</v>
      </c>
      <c r="DB95">
        <v>527099173.37001884</v>
      </c>
      <c r="DC95">
        <v>0.53674423903226853</v>
      </c>
      <c r="DD95">
        <v>4.1044380293956406</v>
      </c>
      <c r="DE95">
        <v>1898520319.759192</v>
      </c>
      <c r="DF95">
        <v>0.49719466352462771</v>
      </c>
      <c r="DG95">
        <v>1.1831514896811262</v>
      </c>
      <c r="DH95">
        <v>6586104203.8666887</v>
      </c>
      <c r="DI95">
        <v>0.45199514865875251</v>
      </c>
      <c r="DJ95">
        <v>9.627579864605304E-2</v>
      </c>
      <c r="DK95">
        <v>80937879608.225494</v>
      </c>
      <c r="DL95">
        <v>0.39549575507640838</v>
      </c>
      <c r="DM95">
        <v>79879700</v>
      </c>
      <c r="DN95">
        <v>0.5649939358234406</v>
      </c>
      <c r="DO95">
        <v>7792359000</v>
      </c>
      <c r="DP95">
        <v>5537860100</v>
      </c>
      <c r="DQ95">
        <v>5101</v>
      </c>
      <c r="DR95">
        <v>12.178140812581193</v>
      </c>
      <c r="DS95">
        <v>-1.8497246324224363</v>
      </c>
      <c r="DT95" s="12">
        <v>-0.19333333333333327</v>
      </c>
      <c r="DU95">
        <v>-0.19333333333333327</v>
      </c>
      <c r="DV95">
        <v>-0.38666666666666655</v>
      </c>
      <c r="DW95">
        <v>-2.1404000000000001</v>
      </c>
      <c r="DX95">
        <v>0.35352309711286023</v>
      </c>
      <c r="DY95">
        <v>-2.0187466428346457</v>
      </c>
      <c r="DZ95">
        <v>1686</v>
      </c>
      <c r="EA95">
        <v>-2.0125613512848974</v>
      </c>
      <c r="EB95">
        <v>2</v>
      </c>
      <c r="EC95">
        <v>2.6369384947260759E-2</v>
      </c>
      <c r="ED95">
        <v>0.19748931471363299</v>
      </c>
      <c r="EE95" s="13">
        <v>-2.0017999999999998</v>
      </c>
      <c r="EF95">
        <v>-2.0162</v>
      </c>
      <c r="EG95">
        <v>22.13352309711286</v>
      </c>
      <c r="EH95" t="s">
        <v>1308</v>
      </c>
      <c r="EI95">
        <v>0</v>
      </c>
      <c r="EJ95">
        <v>0</v>
      </c>
      <c r="EK95" s="14">
        <v>45470</v>
      </c>
      <c r="EL95">
        <v>-6.18</v>
      </c>
      <c r="EM95">
        <v>0.15</v>
      </c>
      <c r="EN95">
        <v>4.93</v>
      </c>
      <c r="EO95">
        <v>-0.65</v>
      </c>
      <c r="EP95">
        <v>1.44</v>
      </c>
    </row>
    <row r="96" spans="1:146" ht="96" x14ac:dyDescent="0.25">
      <c r="A96" s="9"/>
      <c r="B96" s="9"/>
      <c r="C96" s="9" t="str">
        <f>""&amp;CHAR(10)&amp;Basic_Fundamental_Information_Constructure(F96)&amp;CHAR(10)&amp;Basic_Fundamental_Information_Concatenate("")</f>
        <v xml:space="preserve">
市值221.93043亿, 利润48.23亿; PE10.14; 平均PE10.17; 平均PEG1.83, PB1.39; ROIC10.6167%; ROE12.8933%; 股利率2.8473%; 毛利17.23%; 净利4.09%; 上一年度营收增8.04%, 利润增152.78%; 当季营收增-8.63%, 利润增-68.42%; 过往5年营收增5.56%, 利润增45.52%
Income profile:
</v>
      </c>
      <c r="D96" t="s">
        <v>913</v>
      </c>
      <c r="E96" t="s">
        <v>914</v>
      </c>
      <c r="F96">
        <v>22.83</v>
      </c>
      <c r="G96">
        <v>0.13</v>
      </c>
      <c r="H96" t="s">
        <v>3623</v>
      </c>
      <c r="I96">
        <v>22193043000</v>
      </c>
      <c r="J96">
        <v>10.14</v>
      </c>
      <c r="K96">
        <v>1.39</v>
      </c>
      <c r="L96" t="s">
        <v>973</v>
      </c>
      <c r="M96" t="s">
        <v>2478</v>
      </c>
      <c r="N96" t="s">
        <v>3624</v>
      </c>
      <c r="O96" t="s">
        <v>2479</v>
      </c>
      <c r="P96">
        <v>-13.24</v>
      </c>
      <c r="Q96" t="s">
        <v>2481</v>
      </c>
      <c r="R96">
        <v>502489760</v>
      </c>
      <c r="S96" s="6">
        <v>-0.18640000000000001</v>
      </c>
      <c r="T96" t="s">
        <v>3625</v>
      </c>
      <c r="U96">
        <v>972100000</v>
      </c>
      <c r="V96">
        <v>972100000</v>
      </c>
      <c r="W96">
        <v>2.68</v>
      </c>
      <c r="X96">
        <v>0.24</v>
      </c>
      <c r="Y96">
        <v>5.44</v>
      </c>
      <c r="Z96" t="s">
        <v>3626</v>
      </c>
      <c r="AA96" t="s">
        <v>3627</v>
      </c>
      <c r="AB96" t="s">
        <v>274</v>
      </c>
      <c r="AC96" t="s">
        <v>274</v>
      </c>
      <c r="AD96" t="s">
        <v>5</v>
      </c>
      <c r="AE96">
        <v>-7814039</v>
      </c>
      <c r="AF96" t="s">
        <v>2482</v>
      </c>
      <c r="AG96" t="s">
        <v>3628</v>
      </c>
      <c r="AH96" t="s">
        <v>2483</v>
      </c>
      <c r="AI96" t="s">
        <v>3629</v>
      </c>
      <c r="AJ96" t="s">
        <v>2484</v>
      </c>
      <c r="AK96" t="s">
        <v>1671</v>
      </c>
      <c r="AL96" t="s">
        <v>2485</v>
      </c>
      <c r="AM96" t="s">
        <v>5</v>
      </c>
      <c r="AN96" t="s">
        <v>2161</v>
      </c>
      <c r="AO96" t="s">
        <v>3630</v>
      </c>
      <c r="AP96" t="s">
        <v>3631</v>
      </c>
      <c r="AQ96" t="s">
        <v>1766</v>
      </c>
      <c r="AR96" t="s">
        <v>5</v>
      </c>
      <c r="AS96" t="s">
        <v>3632</v>
      </c>
      <c r="AT96" t="s">
        <v>3633</v>
      </c>
      <c r="AU96" t="s">
        <v>3634</v>
      </c>
      <c r="AV96" t="s">
        <v>3635</v>
      </c>
      <c r="AW96" t="s">
        <v>3636</v>
      </c>
      <c r="AX96" t="s">
        <v>1449</v>
      </c>
      <c r="AY96" t="s">
        <v>1068</v>
      </c>
      <c r="AZ96" t="s">
        <v>915</v>
      </c>
      <c r="BA96" t="s">
        <v>916</v>
      </c>
      <c r="BB96" t="s">
        <v>917</v>
      </c>
      <c r="BC96" t="s">
        <v>1450</v>
      </c>
      <c r="BD96" t="s">
        <v>952</v>
      </c>
      <c r="BE96" t="s">
        <v>638</v>
      </c>
      <c r="BF96" t="s">
        <v>594</v>
      </c>
      <c r="BG96" t="s">
        <v>635</v>
      </c>
      <c r="BH96" t="s">
        <v>2480</v>
      </c>
      <c r="BI96" t="s">
        <v>3637</v>
      </c>
      <c r="BJ96" t="s">
        <v>1449</v>
      </c>
      <c r="BK96" t="s">
        <v>2294</v>
      </c>
      <c r="BL96" t="s">
        <v>2419</v>
      </c>
      <c r="BM96" t="s">
        <v>1450</v>
      </c>
      <c r="BN96">
        <v>7.88</v>
      </c>
      <c r="BO96">
        <v>12</v>
      </c>
      <c r="BP96">
        <v>11.97</v>
      </c>
      <c r="BQ96">
        <v>11.99</v>
      </c>
      <c r="BR96">
        <v>14.71</v>
      </c>
      <c r="BS96">
        <v>11.98</v>
      </c>
      <c r="BT96" t="s">
        <v>3638</v>
      </c>
      <c r="BU96" t="s">
        <v>2631</v>
      </c>
      <c r="BV96">
        <v>17.55</v>
      </c>
      <c r="BW96">
        <v>18.559999999999999</v>
      </c>
      <c r="BX96">
        <v>15.58</v>
      </c>
      <c r="BY96">
        <v>4.46</v>
      </c>
      <c r="BZ96">
        <v>4.3899999999999997</v>
      </c>
      <c r="CA96">
        <v>3.42</v>
      </c>
      <c r="CB96">
        <v>-4.32</v>
      </c>
      <c r="CC96">
        <v>-13.13</v>
      </c>
      <c r="CD96" t="s">
        <v>3639</v>
      </c>
      <c r="CE96" t="s">
        <v>3640</v>
      </c>
      <c r="CF96" s="10">
        <v>-8.6296405132726031E-2</v>
      </c>
      <c r="CG96" s="11">
        <v>-0.68416734129478318</v>
      </c>
      <c r="CH96" s="10">
        <v>8.0416344106197357E-2</v>
      </c>
      <c r="CI96" s="10">
        <v>8.1775061786174774E-2</v>
      </c>
      <c r="CJ96" s="10">
        <v>0.10301988571882248</v>
      </c>
      <c r="CK96" s="10">
        <v>-0.17883211374282837</v>
      </c>
      <c r="CL96" s="10">
        <v>0.1918691098690033</v>
      </c>
      <c r="CM96" s="11">
        <v>1.5277777910232544</v>
      </c>
      <c r="CN96" s="11">
        <v>0.39371809363365173</v>
      </c>
      <c r="CO96" s="11">
        <v>-0.39956143498420715</v>
      </c>
      <c r="CP96" s="11">
        <v>0.52815014123916626</v>
      </c>
      <c r="CQ96" s="11">
        <v>0.22596555948257446</v>
      </c>
      <c r="CR96">
        <v>10.173294980517992</v>
      </c>
      <c r="CS96">
        <v>1.8280966009250468</v>
      </c>
      <c r="CT96">
        <v>2.8472623740692073</v>
      </c>
      <c r="CU96" s="10">
        <v>5.5649657547473905E-2</v>
      </c>
      <c r="CV96" s="11">
        <v>0.45521003007888794</v>
      </c>
      <c r="CW96">
        <v>0.06</v>
      </c>
      <c r="CX96">
        <v>5.4669825358217414</v>
      </c>
      <c r="CY96">
        <v>4803205941.8410063</v>
      </c>
      <c r="CZ96">
        <v>5.5649657547473905E-2</v>
      </c>
      <c r="DA96">
        <v>1.839493837083473</v>
      </c>
      <c r="DB96">
        <v>14275145950.819736</v>
      </c>
      <c r="DC96">
        <v>5.2867174670100207E-2</v>
      </c>
      <c r="DD96">
        <v>0.94110577373783921</v>
      </c>
      <c r="DE96">
        <v>27902329082.208878</v>
      </c>
      <c r="DF96">
        <v>4.8971698641777035E-2</v>
      </c>
      <c r="DG96">
        <v>0.58981345139365737</v>
      </c>
      <c r="DH96">
        <v>44520929351.395897</v>
      </c>
      <c r="DI96">
        <v>4.4519726037979129E-2</v>
      </c>
      <c r="DJ96">
        <v>0.33379422883787296</v>
      </c>
      <c r="DK96">
        <v>78668355326.042099</v>
      </c>
      <c r="DL96">
        <v>3.8954760283231728E-2</v>
      </c>
      <c r="DM96">
        <v>4823000000</v>
      </c>
      <c r="DN96">
        <v>5.5649657547473905E-2</v>
      </c>
      <c r="DO96">
        <v>26259043000</v>
      </c>
      <c r="DP96">
        <v>6689084000</v>
      </c>
      <c r="DQ96">
        <v>5110</v>
      </c>
      <c r="DR96">
        <v>-0.14194606268019994</v>
      </c>
      <c r="DS96">
        <v>-1.139377371373671</v>
      </c>
      <c r="DT96" s="12">
        <v>-0.45666666666666672</v>
      </c>
      <c r="DU96">
        <v>0.12666666666666662</v>
      </c>
      <c r="DV96">
        <v>-0.33000000000000007</v>
      </c>
      <c r="DW96">
        <v>-8.3290175171363288</v>
      </c>
      <c r="DX96">
        <v>0.42980000322835904</v>
      </c>
      <c r="DY96">
        <v>-8.0459966499578446</v>
      </c>
      <c r="DZ96" t="s">
        <v>3181</v>
      </c>
      <c r="EA96" t="e">
        <v>#VALUE!</v>
      </c>
      <c r="EB96" t="e">
        <v>#VALUE!</v>
      </c>
      <c r="EC96">
        <v>7.1274560230428965E-3</v>
      </c>
      <c r="ED96">
        <v>5.0983232177759491E-2</v>
      </c>
      <c r="EE96" s="13">
        <v>-2.0196000000000001</v>
      </c>
      <c r="EF96">
        <v>-2.0032000000000001</v>
      </c>
      <c r="EG96">
        <v>29.139800003228359</v>
      </c>
      <c r="EH96" t="s">
        <v>1308</v>
      </c>
      <c r="EI96" t="e">
        <v>#VALUE!</v>
      </c>
      <c r="EJ96">
        <v>0</v>
      </c>
      <c r="EK96" s="14">
        <v>45470</v>
      </c>
      <c r="EL96">
        <v>-0.1</v>
      </c>
      <c r="EM96">
        <v>-3.06</v>
      </c>
      <c r="EN96">
        <v>-3.64</v>
      </c>
      <c r="EO96">
        <v>2.04</v>
      </c>
      <c r="EP96">
        <v>-1.64</v>
      </c>
    </row>
    <row r="97" spans="1:19" x14ac:dyDescent="0.25">
      <c r="A97" s="9"/>
      <c r="B97" s="9"/>
      <c r="C97" s="9"/>
      <c r="D97"/>
      <c r="S97" s="6"/>
    </row>
    <row r="98" spans="1:19" x14ac:dyDescent="0.25">
      <c r="A98" s="9"/>
      <c r="B98" s="9"/>
      <c r="C98" s="9"/>
      <c r="D98"/>
      <c r="S98" s="6"/>
    </row>
    <row r="99" spans="1:19" x14ac:dyDescent="0.25">
      <c r="A99" s="9"/>
      <c r="B99" s="9"/>
      <c r="C99" s="9"/>
      <c r="D99"/>
      <c r="S99" s="6"/>
    </row>
    <row r="100" spans="1:19" x14ac:dyDescent="0.25">
      <c r="A100" s="9"/>
      <c r="B100" s="9"/>
      <c r="C100" s="9"/>
      <c r="D100"/>
      <c r="S100" s="6"/>
    </row>
    <row r="101" spans="1:19" x14ac:dyDescent="0.25">
      <c r="A101" s="9"/>
      <c r="B101" s="9"/>
      <c r="C101" s="9"/>
      <c r="D101"/>
      <c r="S101" s="6"/>
    </row>
    <row r="102" spans="1:19" x14ac:dyDescent="0.25">
      <c r="A102" s="9"/>
      <c r="B102" s="9"/>
      <c r="C102" s="9"/>
      <c r="D102"/>
      <c r="S102" s="6"/>
    </row>
  </sheetData>
  <autoFilter ref="BU1:BU102"/>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asic_Fundamental_Tabel_Update_Buttom &quot;电池&quot;,&quot;&quot;'" altText="更新基本面按钮_x000a_">
                <anchor moveWithCells="1" sizeWithCells="1">
                  <from>
                    <xdr:col>147</xdr:col>
                    <xdr:colOff>412750</xdr:colOff>
                    <xdr:row>0</xdr:row>
                    <xdr:rowOff>50800</xdr:rowOff>
                  </from>
                  <to>
                    <xdr:col>147</xdr:col>
                    <xdr:colOff>1593850</xdr:colOff>
                    <xdr:row>1</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
  <sheetViews>
    <sheetView workbookViewId="0">
      <selection activeCell="B2" sqref="B2"/>
    </sheetView>
  </sheetViews>
  <sheetFormatPr defaultRowHeight="14" x14ac:dyDescent="0.25"/>
  <sheetData>
    <row r="1" spans="1:33" x14ac:dyDescent="0.25">
      <c r="A1" t="s">
        <v>1084</v>
      </c>
      <c r="B1" t="s">
        <v>1085</v>
      </c>
      <c r="C1" t="s">
        <v>1086</v>
      </c>
      <c r="D1" t="s">
        <v>1087</v>
      </c>
      <c r="E1" t="s">
        <v>1088</v>
      </c>
      <c r="F1" t="s">
        <v>1089</v>
      </c>
      <c r="G1" t="s">
        <v>1090</v>
      </c>
      <c r="H1" t="s">
        <v>1091</v>
      </c>
      <c r="I1" t="s">
        <v>1092</v>
      </c>
      <c r="J1" t="s">
        <v>1093</v>
      </c>
      <c r="K1" t="s">
        <v>1094</v>
      </c>
      <c r="L1" t="s">
        <v>1095</v>
      </c>
      <c r="M1" t="s">
        <v>1096</v>
      </c>
      <c r="N1" t="s">
        <v>1097</v>
      </c>
      <c r="O1" t="s">
        <v>1098</v>
      </c>
      <c r="P1" t="s">
        <v>1099</v>
      </c>
      <c r="S1" t="s">
        <v>1085</v>
      </c>
      <c r="T1" t="s">
        <v>1086</v>
      </c>
      <c r="U1" t="s">
        <v>1087</v>
      </c>
      <c r="V1" t="s">
        <v>1088</v>
      </c>
      <c r="W1" t="s">
        <v>1089</v>
      </c>
      <c r="X1" t="s">
        <v>1090</v>
      </c>
      <c r="Y1" t="s">
        <v>1091</v>
      </c>
      <c r="Z1" t="s">
        <v>1092</v>
      </c>
      <c r="AA1" t="s">
        <v>1093</v>
      </c>
      <c r="AB1" t="s">
        <v>1094</v>
      </c>
      <c r="AC1" t="s">
        <v>1095</v>
      </c>
      <c r="AD1" t="s">
        <v>1096</v>
      </c>
      <c r="AE1" t="s">
        <v>1100</v>
      </c>
      <c r="AF1" t="s">
        <v>1101</v>
      </c>
      <c r="AG1" t="s">
        <v>1102</v>
      </c>
    </row>
    <row r="2" spans="1:33" x14ac:dyDescent="0.25">
      <c r="A2" t="s">
        <v>1103</v>
      </c>
      <c r="B2" t="e">
        <f>COUNTIFS(电力设备!#REF!,$A$2,电力设备!CF:CF,"&lt;-18%")</f>
        <v>#REF!</v>
      </c>
      <c r="C2" t="e">
        <f>COUNTIFS(电力设备!#REF!,$A$2,电力设备!CF:CF,"&lt;0%") - COUNTIFS(电力设备!#REF!,$A$2,电力设备!CF:CF,"&lt;-18%")</f>
        <v>#REF!</v>
      </c>
      <c r="D2" t="e">
        <f>COUNTIFS(电力设备!#REF!,$A$2,电力设备!CF:CF,"&lt;10%") - COUNTIFS(电力设备!#REF!,$A$2,电力设备!CF:CF,"&lt;=0%")</f>
        <v>#REF!</v>
      </c>
      <c r="E2" t="e">
        <f>COUNTIFS(电力设备!#REF!,$A$2,电力设备!CF:CF,"&lt;30%") - COUNTIFS(电力设备!#REF!,$A$2,电力设备!CF:CF,"&lt;10%")</f>
        <v>#REF!</v>
      </c>
      <c r="F2" t="e">
        <f>COUNTIFS(电力设备!#REF!,$A$2,电力设备!CF:CF,"&lt;80%") - COUNTIFS(电力设备!#REF!,$A$2,电力设备!CF:CF,"&lt;=30%")</f>
        <v>#REF!</v>
      </c>
      <c r="G2" t="e">
        <f>COUNTIFS(电力设备!#REF!,$A$2,电力设备!CF:CF,"&gt;=80%")</f>
        <v>#REF!</v>
      </c>
      <c r="H2" t="e">
        <f>COUNTIFS(电力设备!#REF!,$A$2,电力设备!CG:CG,"&lt;-18%")</f>
        <v>#REF!</v>
      </c>
      <c r="I2" t="e">
        <f>COUNTIFS(电力设备!#REF!,$A$2,电力设备!CG:CG,"&lt;0%") - COUNTIFS(电力设备!#REF!,$A$2,电力设备!CG:CG,"&lt;-18%")</f>
        <v>#REF!</v>
      </c>
      <c r="J2" t="e">
        <f>COUNTIFS(电力设备!#REF!,$A$2,电力设备!CG:CG,"&lt;10%") - COUNTIFS(电力设备!#REF!,$A$2,电力设备!CG:CG,"&lt;=0%")</f>
        <v>#REF!</v>
      </c>
      <c r="K2" t="e">
        <f>COUNTIFS(电力设备!#REF!,$A$2,电力设备!CG:CG,"&lt;30%") - COUNTIFS(电力设备!#REF!,$A$2,电力设备!CG:CG,"&lt;10%")</f>
        <v>#REF!</v>
      </c>
      <c r="L2" t="e">
        <f>COUNTIFS(电力设备!#REF!,$A$2,电力设备!CG:CG,"&lt;80%") - COUNTIFS(电力设备!#REF!,$A$2,电力设备!CG:CG,"&lt;=30%")</f>
        <v>#REF!</v>
      </c>
      <c r="M2" t="e">
        <f>COUNTIFS(电力设备!#REF!,$A$2,电力设备!CG:CG,"&gt;=80%")</f>
        <v>#REF!</v>
      </c>
      <c r="N2" t="e">
        <f>SUM(H2:M2)</f>
        <v>#REF!</v>
      </c>
      <c r="O2" t="e">
        <f>SUM(E2:G2)/N2</f>
        <v>#REF!</v>
      </c>
      <c r="P2" t="e">
        <f>SUM(K2:M2)/N2</f>
        <v>#REF!</v>
      </c>
      <c r="S2" t="e">
        <f>COUNTIFS(电力设备!#REF!,$A$2,电力设备!CH:CH,"&lt;-18%")</f>
        <v>#REF!</v>
      </c>
      <c r="T2" t="e">
        <f>COUNTIFS(电力设备!#REF!,$A$2,电力设备!CH:CH,"&lt;0%") - COUNTIFS(电力设备!#REF!,$A$2,电力设备!CH:CH,"&lt;-18%")</f>
        <v>#REF!</v>
      </c>
      <c r="U2" t="e">
        <f>COUNTIFS(电力设备!#REF!,$A$2,电力设备!CH:CH,"&lt;10%") - COUNTIFS(电力设备!#REF!,$A$2,电力设备!CH:CH,"&lt;=0%")</f>
        <v>#REF!</v>
      </c>
      <c r="V2" t="e">
        <f>COUNTIFS(电力设备!#REF!,$A$2,电力设备!CH:CH,"&lt;30%") - COUNTIFS(电力设备!#REF!,$A$2,电力设备!CH:CH,"&lt;10%")</f>
        <v>#REF!</v>
      </c>
      <c r="W2" t="e">
        <f>COUNTIFS(电力设备!#REF!,$A$2,电力设备!CH:CH,"&lt;80%") - COUNTIFS(电力设备!#REF!,$A$2,电力设备!CH:CH,"&lt;=30%")</f>
        <v>#REF!</v>
      </c>
      <c r="X2" t="e">
        <f>COUNTIFS(电力设备!#REF!,$A$2,电力设备!CH:CH,"&gt;=80%")</f>
        <v>#REF!</v>
      </c>
      <c r="Y2" t="e">
        <f>COUNTIFS(电力设备!#REF!,$A$2,电力设备!CM:CM,"&lt;-18%")</f>
        <v>#REF!</v>
      </c>
      <c r="Z2" t="e">
        <f>COUNTIFS(电力设备!#REF!,$A$2,电力设备!CM:CM,"&lt;0%") - COUNTIFS(电力设备!#REF!,$A$2,电力设备!CM:CM,"&lt;-18%")</f>
        <v>#REF!</v>
      </c>
      <c r="AA2" t="e">
        <f>COUNTIFS(电力设备!#REF!,$A$2,电力设备!CM:CM,"&lt;10%") - COUNTIFS(电力设备!#REF!,$A$2,电力设备!CM:CM,"&lt;=0%")</f>
        <v>#REF!</v>
      </c>
      <c r="AB2" t="e">
        <f>COUNTIFS(电力设备!#REF!,$A$2,电力设备!CM:CM,"&lt;30%") - COUNTIFS(电力设备!#REF!,$A$2,电力设备!CM:CM,"&lt;10%")</f>
        <v>#REF!</v>
      </c>
      <c r="AC2" t="e">
        <f>COUNTIFS(电力设备!#REF!,$A$2,电力设备!CM:CM,"&lt;80%") - COUNTIFS(电力设备!#REF!,$A$2,电力设备!CM:CM,"&lt;=30%")</f>
        <v>#REF!</v>
      </c>
      <c r="AD2" t="e">
        <f>COUNTIFS(电力设备!#REF!,$A$2,电力设备!CM:CM,"&gt;=80%")</f>
        <v>#REF!</v>
      </c>
      <c r="AE2" t="e">
        <f>SUM(Y2:AD2)</f>
        <v>#REF!</v>
      </c>
      <c r="AF2" t="e">
        <f>SUM(V2:X2)/AE2</f>
        <v>#REF!</v>
      </c>
      <c r="AG2" t="e">
        <f>SUM(AB2:AD2)/AE2</f>
        <v>#REF!</v>
      </c>
    </row>
    <row r="3" spans="1:33" x14ac:dyDescent="0.25">
      <c r="A3" t="s">
        <v>1104</v>
      </c>
      <c r="B3" t="e">
        <f>COUNTIFS(电力设备!#REF!,$A$3,电力设备!CF:CF,"&lt;-18%")</f>
        <v>#REF!</v>
      </c>
      <c r="C3" t="e">
        <f>COUNTIFS(电力设备!#REF!,$A$3,电力设备!CF:CF,"&lt;0%") - COUNTIFS(电力设备!#REF!,$A$3,电力设备!CF:CF,"&lt;-18%")</f>
        <v>#REF!</v>
      </c>
      <c r="D3" t="e">
        <f>COUNTIFS(电力设备!#REF!,$A$3,电力设备!CF:CF,"&lt;10%") - COUNTIFS(电力设备!#REF!,$A$3,电力设备!CF:CF,"&lt;=0%")</f>
        <v>#REF!</v>
      </c>
      <c r="E3" t="e">
        <f>COUNTIFS(电力设备!#REF!,$A$3,电力设备!CF:CF,"&lt;30%") - COUNTIFS(电力设备!#REF!,$A$3,电力设备!CF:CF,"&lt;10%")</f>
        <v>#REF!</v>
      </c>
      <c r="F3" t="e">
        <f>COUNTIFS(电力设备!#REF!,$A$3,电力设备!CF:CF,"&lt;80%") - COUNTIFS(电力设备!#REF!,$A$3,电力设备!CF:CF,"&lt;=30%")</f>
        <v>#REF!</v>
      </c>
      <c r="G3" t="e">
        <f>COUNTIFS(电力设备!#REF!,$A$3,电力设备!CF:CF,"&gt;=80%")</f>
        <v>#REF!</v>
      </c>
      <c r="H3" t="e">
        <f>COUNTIFS(电力设备!#REF!,$A$3,电力设备!CG:CG,"&lt;-18%")</f>
        <v>#REF!</v>
      </c>
      <c r="I3" t="e">
        <f>COUNTIFS(电力设备!#REF!,$A$3,电力设备!CG:CG,"&lt;0%") - COUNTIFS(电力设备!#REF!,$A$3,电力设备!CG:CG,"&lt;-18%")</f>
        <v>#REF!</v>
      </c>
      <c r="J3" t="e">
        <f>COUNTIFS(电力设备!#REF!,$A$3,电力设备!CG:CG,"&lt;10%") - COUNTIFS(电力设备!#REF!,$A$3,电力设备!CG:CG,"&lt;=0%")</f>
        <v>#REF!</v>
      </c>
      <c r="K3" t="e">
        <f>COUNTIFS(电力设备!#REF!,$A$3,电力设备!CG:CG,"&lt;30%") - COUNTIFS(电力设备!#REF!,$A$3,电力设备!CG:CG,"&lt;10%")</f>
        <v>#REF!</v>
      </c>
      <c r="L3" t="e">
        <f>COUNTIFS(电力设备!#REF!,$A$3,电力设备!CG:CG,"&lt;80%") - COUNTIFS(电力设备!#REF!,$A$3,电力设备!CG:CG,"&lt;=30%")</f>
        <v>#REF!</v>
      </c>
      <c r="M3" t="e">
        <f>COUNTIFS(电力设备!#REF!,$A$3,电力设备!CG:CG,"&gt;=80%")</f>
        <v>#REF!</v>
      </c>
      <c r="N3" t="e">
        <f>SUM(H3:M3)</f>
        <v>#REF!</v>
      </c>
      <c r="O3" t="e">
        <f>SUM(E3:G3)/N3</f>
        <v>#REF!</v>
      </c>
      <c r="P3" t="e">
        <f>SUM(K3:M3)/N3</f>
        <v>#REF!</v>
      </c>
      <c r="S3" t="e">
        <f>COUNTIFS(电力设备!#REF!,$A$3,电力设备!CH:CH,"&lt;-18%")</f>
        <v>#REF!</v>
      </c>
      <c r="T3" t="e">
        <f>COUNTIFS(电力设备!#REF!,$A$3,电力设备!CH:CH,"&lt;0%") - COUNTIFS(电力设备!#REF!,$A$3,电力设备!CH:CH,"&lt;-18%")</f>
        <v>#REF!</v>
      </c>
      <c r="U3" t="e">
        <f>COUNTIFS(电力设备!#REF!,$A$3,电力设备!CH:CH,"&lt;10%") - COUNTIFS(电力设备!#REF!,$A$3,电力设备!CH:CH,"&lt;=0%")</f>
        <v>#REF!</v>
      </c>
      <c r="V3" t="e">
        <f>COUNTIFS(电力设备!#REF!,$A$3,电力设备!CH:CH,"&lt;30%") - COUNTIFS(电力设备!#REF!,$A$3,电力设备!CH:CH,"&lt;10%")</f>
        <v>#REF!</v>
      </c>
      <c r="W3" t="e">
        <f>COUNTIFS(电力设备!#REF!,$A$3,电力设备!CH:CH,"&lt;80%") - COUNTIFS(电力设备!#REF!,$A$3,电力设备!CH:CH,"&lt;=30%")</f>
        <v>#REF!</v>
      </c>
      <c r="X3" t="e">
        <f>COUNTIFS(电力设备!#REF!,$A$3,电力设备!CH:CH,"&gt;=80%")</f>
        <v>#REF!</v>
      </c>
      <c r="Y3" t="e">
        <f>COUNTIFS(电力设备!#REF!,$A$3,电力设备!CM:CM,"&lt;-18%")</f>
        <v>#REF!</v>
      </c>
      <c r="Z3" t="e">
        <f>COUNTIFS(电力设备!#REF!,$A$3,电力设备!CM:CM,"&lt;0%") - COUNTIFS(电力设备!#REF!,$A$3,电力设备!CM:CM,"&lt;-18%")</f>
        <v>#REF!</v>
      </c>
      <c r="AA3" t="e">
        <f>COUNTIFS(电力设备!#REF!,$A$3,电力设备!CM:CM,"&lt;10%") - COUNTIFS(电力设备!#REF!,$A$3,电力设备!CM:CM,"&lt;=0%")</f>
        <v>#REF!</v>
      </c>
      <c r="AB3" t="e">
        <f>COUNTIFS(电力设备!#REF!,$A$3,电力设备!CM:CM,"&lt;30%") - COUNTIFS(电力设备!#REF!,$A$3,电力设备!CM:CM,"&lt;10%")</f>
        <v>#REF!</v>
      </c>
      <c r="AC3" t="e">
        <f>COUNTIFS(电力设备!#REF!,$A$3,电力设备!CM:CM,"&lt;80%") - COUNTIFS(电力设备!#REF!,$A$3,电力设备!CM:CM,"&lt;=30%")</f>
        <v>#REF!</v>
      </c>
      <c r="AD3" t="e">
        <f>COUNTIFS(电力设备!#REF!,$A$3,电力设备!CM:CM,"&gt;=80%")</f>
        <v>#REF!</v>
      </c>
      <c r="AE3" t="e">
        <f>SUM(Y3:AD3)</f>
        <v>#REF!</v>
      </c>
      <c r="AF3" t="e">
        <f>SUM(V3:X3)/AE3</f>
        <v>#REF!</v>
      </c>
      <c r="AG3" t="e">
        <f>SUM(AB3:AD3)/AE3</f>
        <v>#REF!</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D14"/>
  <sheetViews>
    <sheetView workbookViewId="0">
      <selection activeCell="A7" sqref="A7"/>
    </sheetView>
  </sheetViews>
  <sheetFormatPr defaultRowHeight="14" x14ac:dyDescent="0.25"/>
  <sheetData>
    <row r="1" spans="1:30" x14ac:dyDescent="0.25">
      <c r="A1">
        <f>A6</f>
        <v>24.78</v>
      </c>
      <c r="B1">
        <f>A1+A1*$A$2</f>
        <v>25.523400000000002</v>
      </c>
      <c r="C1">
        <f t="shared" ref="C1:AD1" si="0">B1+B1*$A$2</f>
        <v>26.289102000000003</v>
      </c>
      <c r="D1">
        <f t="shared" si="0"/>
        <v>27.077775060000004</v>
      </c>
      <c r="E1">
        <f t="shared" si="0"/>
        <v>27.890108311800002</v>
      </c>
      <c r="F1">
        <f t="shared" si="0"/>
        <v>28.726811561154001</v>
      </c>
      <c r="G1">
        <f t="shared" si="0"/>
        <v>29.588615907988622</v>
      </c>
      <c r="H1">
        <f t="shared" si="0"/>
        <v>30.47627438522828</v>
      </c>
      <c r="I1">
        <f t="shared" si="0"/>
        <v>31.390562616785129</v>
      </c>
      <c r="J1">
        <f t="shared" si="0"/>
        <v>32.332279495288681</v>
      </c>
      <c r="K1">
        <f t="shared" si="0"/>
        <v>33.302247880147341</v>
      </c>
      <c r="L1">
        <f t="shared" si="0"/>
        <v>34.301315316551758</v>
      </c>
      <c r="M1">
        <f t="shared" si="0"/>
        <v>35.33035477604831</v>
      </c>
      <c r="N1">
        <f t="shared" si="0"/>
        <v>36.390265419329758</v>
      </c>
      <c r="O1">
        <f t="shared" si="0"/>
        <v>37.481973381909654</v>
      </c>
      <c r="P1">
        <f t="shared" si="0"/>
        <v>38.606432583366946</v>
      </c>
      <c r="Q1">
        <f t="shared" si="0"/>
        <v>39.764625560867955</v>
      </c>
      <c r="R1">
        <f t="shared" si="0"/>
        <v>40.957564327693994</v>
      </c>
      <c r="S1">
        <f t="shared" si="0"/>
        <v>42.186291257524815</v>
      </c>
      <c r="T1">
        <f t="shared" si="0"/>
        <v>43.451879995250557</v>
      </c>
      <c r="U1">
        <f t="shared" si="0"/>
        <v>44.755436395108077</v>
      </c>
      <c r="V1">
        <f t="shared" si="0"/>
        <v>46.098099486961317</v>
      </c>
      <c r="W1">
        <f t="shared" si="0"/>
        <v>47.481042471570156</v>
      </c>
      <c r="X1">
        <f t="shared" si="0"/>
        <v>48.905473745717259</v>
      </c>
      <c r="Y1">
        <f t="shared" si="0"/>
        <v>50.372637958088774</v>
      </c>
      <c r="Z1">
        <f t="shared" si="0"/>
        <v>51.883817096831436</v>
      </c>
      <c r="AA1">
        <f t="shared" si="0"/>
        <v>53.440331609736376</v>
      </c>
      <c r="AB1">
        <f t="shared" si="0"/>
        <v>55.043541558028465</v>
      </c>
      <c r="AC1">
        <f t="shared" si="0"/>
        <v>56.694847804769317</v>
      </c>
      <c r="AD1">
        <f t="shared" si="0"/>
        <v>58.395693238912393</v>
      </c>
    </row>
    <row r="2" spans="1:30" x14ac:dyDescent="0.25">
      <c r="A2">
        <v>0.03</v>
      </c>
      <c r="B2" t="s">
        <v>1742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0.43</v>
      </c>
      <c r="B4" t="s">
        <v>1743</v>
      </c>
    </row>
    <row r="5" spans="1:30" x14ac:dyDescent="0.25">
      <c r="A5" s="15">
        <v>1</v>
      </c>
      <c r="B5" s="15">
        <f>A5*$A$4+A5</f>
        <v>1.43</v>
      </c>
      <c r="C5" s="15">
        <f t="shared" ref="C5:AD5" si="1">B5*$A$4+B5</f>
        <v>2.0449000000000002</v>
      </c>
      <c r="D5" s="15">
        <f t="shared" si="1"/>
        <v>2.924207</v>
      </c>
      <c r="E5" s="15">
        <f t="shared" si="1"/>
        <v>4.1816160099999999</v>
      </c>
      <c r="F5" s="15">
        <f t="shared" si="1"/>
        <v>5.9797108943000001</v>
      </c>
      <c r="G5" s="15">
        <f t="shared" si="1"/>
        <v>8.5509865788490007</v>
      </c>
      <c r="H5" s="15">
        <f t="shared" si="1"/>
        <v>12.227910807754071</v>
      </c>
      <c r="I5" s="15">
        <f t="shared" si="1"/>
        <v>17.485912455088322</v>
      </c>
      <c r="J5" s="15">
        <f t="shared" si="1"/>
        <v>25.004854810776301</v>
      </c>
      <c r="K5" s="15">
        <f t="shared" si="1"/>
        <v>35.756942379410113</v>
      </c>
      <c r="L5" s="15">
        <f t="shared" si="1"/>
        <v>51.132427602556461</v>
      </c>
      <c r="M5" s="15">
        <f t="shared" si="1"/>
        <v>73.119371471655739</v>
      </c>
      <c r="N5" s="15">
        <f t="shared" si="1"/>
        <v>104.5607012044677</v>
      </c>
      <c r="O5" s="15">
        <f t="shared" si="1"/>
        <v>149.52180272238883</v>
      </c>
      <c r="P5">
        <f t="shared" si="1"/>
        <v>213.816177893016</v>
      </c>
      <c r="Q5">
        <f t="shared" si="1"/>
        <v>305.75713438701291</v>
      </c>
      <c r="R5">
        <f t="shared" si="1"/>
        <v>437.23270217342849</v>
      </c>
      <c r="S5" s="15">
        <f t="shared" si="1"/>
        <v>625.2427641080028</v>
      </c>
      <c r="T5">
        <f t="shared" si="1"/>
        <v>894.09715267444403</v>
      </c>
      <c r="U5">
        <f t="shared" si="1"/>
        <v>1278.5589283244549</v>
      </c>
      <c r="V5">
        <f t="shared" si="1"/>
        <v>1828.3392675039704</v>
      </c>
      <c r="W5">
        <f t="shared" si="1"/>
        <v>2614.5251525306776</v>
      </c>
      <c r="X5">
        <f t="shared" si="1"/>
        <v>3738.770968118869</v>
      </c>
      <c r="Y5">
        <f t="shared" si="1"/>
        <v>5346.4424844099831</v>
      </c>
      <c r="Z5">
        <f t="shared" si="1"/>
        <v>7645.4127527062756</v>
      </c>
      <c r="AA5">
        <f t="shared" si="1"/>
        <v>10932.940236369974</v>
      </c>
      <c r="AB5">
        <f t="shared" si="1"/>
        <v>15634.104538009062</v>
      </c>
      <c r="AC5">
        <f t="shared" si="1"/>
        <v>22356.769489352959</v>
      </c>
      <c r="AD5">
        <f t="shared" si="1"/>
        <v>31970.180369774731</v>
      </c>
    </row>
    <row r="6" spans="1:30" x14ac:dyDescent="0.25">
      <c r="A6">
        <v>24.78</v>
      </c>
      <c r="B6" t="s">
        <v>1744</v>
      </c>
    </row>
    <row r="7" spans="1:30" x14ac:dyDescent="0.25">
      <c r="A7" s="16">
        <f>SUM($A$5:A5)</f>
        <v>1</v>
      </c>
      <c r="B7" s="16">
        <f>SUM($A$5:B5)</f>
        <v>2.4299999999999997</v>
      </c>
      <c r="C7" s="16">
        <f>SUM($A$5:C5)</f>
        <v>4.4748999999999999</v>
      </c>
      <c r="D7" s="16">
        <f>SUM($A$5:D5)</f>
        <v>7.3991069999999999</v>
      </c>
      <c r="E7" s="16">
        <f>SUM($A$5:E5)</f>
        <v>11.58072301</v>
      </c>
      <c r="F7" s="16">
        <f>SUM($A$5:F5)</f>
        <v>17.560433904299998</v>
      </c>
      <c r="G7" s="16">
        <f>SUM($A$5:G5)</f>
        <v>26.111420483148997</v>
      </c>
      <c r="H7" s="16">
        <f>SUM($A$5:H5)</f>
        <v>38.339331290903068</v>
      </c>
      <c r="I7" s="16">
        <f>SUM($A$5:I5)</f>
        <v>55.825243745991386</v>
      </c>
      <c r="J7" s="16">
        <f>SUM($A$5:J5)</f>
        <v>80.830098556767695</v>
      </c>
      <c r="K7" s="16">
        <f>SUM($A$5:K5)</f>
        <v>116.5870409361778</v>
      </c>
      <c r="L7" s="16">
        <f>SUM($A$5:L5)</f>
        <v>167.71946853873425</v>
      </c>
      <c r="M7" s="16">
        <f>SUM($A$5:M5)</f>
        <v>240.83884001038999</v>
      </c>
      <c r="N7" s="16">
        <f>SUM($A$5:N5)</f>
        <v>345.39954121485766</v>
      </c>
      <c r="O7" s="16">
        <f>SUM($A$5:O5)</f>
        <v>494.92134393724649</v>
      </c>
      <c r="P7" s="16">
        <f>SUM($A$5:P5)</f>
        <v>708.73752183026249</v>
      </c>
      <c r="Q7" s="16">
        <f>SUM($A$5:Q5)</f>
        <v>1014.4946562172754</v>
      </c>
      <c r="R7" s="16">
        <f>SUM($A$5:R5)</f>
        <v>1451.727358390704</v>
      </c>
      <c r="S7" s="16">
        <f>SUM($A$5:S5)</f>
        <v>2076.9701224987066</v>
      </c>
      <c r="T7" s="16">
        <f>SUM($A$5:T5)</f>
        <v>2971.0672751731508</v>
      </c>
      <c r="U7" s="16">
        <f>SUM($A$5:U5)</f>
        <v>4249.6262034976062</v>
      </c>
      <c r="V7" s="16">
        <f>SUM($A$5:V5)</f>
        <v>6077.9654710015766</v>
      </c>
      <c r="W7" s="16">
        <f>SUM($A$5:W5)</f>
        <v>8692.4906235322542</v>
      </c>
      <c r="X7" s="16">
        <f>SUM($A$5:X5)</f>
        <v>12431.261591651124</v>
      </c>
      <c r="Y7" s="16">
        <f>SUM($A$5:Y5)</f>
        <v>17777.704076061105</v>
      </c>
      <c r="Z7" s="16">
        <f>SUM($A$5:Z5)</f>
        <v>25423.116828767379</v>
      </c>
      <c r="AA7" s="16">
        <f>SUM($A$5:AA5)</f>
        <v>36356.057065137356</v>
      </c>
      <c r="AB7" s="16">
        <f>SUM($A$5:AB5)</f>
        <v>51990.161603146422</v>
      </c>
      <c r="AC7" s="16">
        <f>SUM($A$5:AC5)</f>
        <v>74346.931092499377</v>
      </c>
      <c r="AD7" s="16">
        <f>SUM($A$5:AD5)</f>
        <v>106317.1114622741</v>
      </c>
    </row>
    <row r="8" spans="1:30" x14ac:dyDescent="0.25">
      <c r="A8" s="1" t="s">
        <v>1745</v>
      </c>
      <c r="B8" s="1">
        <v>1</v>
      </c>
      <c r="C8" s="1">
        <v>2</v>
      </c>
      <c r="D8" s="1">
        <v>3</v>
      </c>
      <c r="E8" s="1">
        <v>4</v>
      </c>
      <c r="F8" s="1">
        <v>5</v>
      </c>
      <c r="G8" s="1">
        <v>6</v>
      </c>
      <c r="H8" s="1">
        <v>7</v>
      </c>
      <c r="I8" s="1">
        <v>8</v>
      </c>
      <c r="J8" s="1">
        <v>9</v>
      </c>
      <c r="K8" s="1">
        <v>10</v>
      </c>
      <c r="L8" s="1">
        <v>11</v>
      </c>
      <c r="M8" s="1">
        <v>12</v>
      </c>
      <c r="N8" s="1">
        <v>13</v>
      </c>
      <c r="O8" s="1">
        <v>14</v>
      </c>
      <c r="P8" s="1">
        <v>15</v>
      </c>
      <c r="Q8" s="1">
        <v>16</v>
      </c>
      <c r="R8" s="1">
        <v>17</v>
      </c>
      <c r="S8" s="1">
        <v>18</v>
      </c>
      <c r="T8" s="1">
        <v>19</v>
      </c>
      <c r="U8" s="1">
        <v>20</v>
      </c>
      <c r="V8" s="1">
        <v>21</v>
      </c>
      <c r="W8" s="1">
        <v>22</v>
      </c>
      <c r="X8" s="1">
        <v>23</v>
      </c>
      <c r="Y8" s="1">
        <v>24</v>
      </c>
      <c r="Z8" s="1">
        <v>25</v>
      </c>
      <c r="AA8" s="1">
        <v>26</v>
      </c>
      <c r="AB8" s="1">
        <v>27</v>
      </c>
      <c r="AC8" s="1">
        <v>28</v>
      </c>
      <c r="AD8" s="1">
        <v>29</v>
      </c>
    </row>
    <row r="9" spans="1:30" x14ac:dyDescent="0.25">
      <c r="A9">
        <f>IF(A7&gt;A1,(A7-A1)/$A$6,0)</f>
        <v>0</v>
      </c>
      <c r="B9">
        <f t="shared" ref="B9:AD9" si="2">IF(B7&gt;B1,(B7-B1)/$A$6,0)</f>
        <v>0</v>
      </c>
      <c r="C9">
        <f t="shared" si="2"/>
        <v>0</v>
      </c>
      <c r="D9">
        <f t="shared" si="2"/>
        <v>0</v>
      </c>
      <c r="E9">
        <f t="shared" si="2"/>
        <v>0</v>
      </c>
      <c r="F9">
        <f t="shared" si="2"/>
        <v>0</v>
      </c>
      <c r="G9">
        <f t="shared" si="2"/>
        <v>0</v>
      </c>
      <c r="H9">
        <f t="shared" si="2"/>
        <v>0.31731464510390589</v>
      </c>
      <c r="I9">
        <f t="shared" si="2"/>
        <v>0.98606461376942112</v>
      </c>
      <c r="J9">
        <f t="shared" si="2"/>
        <v>1.9571355553462071</v>
      </c>
      <c r="K9">
        <f t="shared" si="2"/>
        <v>3.3609682427776613</v>
      </c>
      <c r="L9">
        <f t="shared" si="2"/>
        <v>5.384106264010593</v>
      </c>
      <c r="M9">
        <f t="shared" si="2"/>
        <v>8.2933206309258125</v>
      </c>
      <c r="N9">
        <f t="shared" si="2"/>
        <v>12.470107982063272</v>
      </c>
      <c r="O9">
        <f t="shared" si="2"/>
        <v>18.460023024831994</v>
      </c>
      <c r="P9">
        <f t="shared" si="2"/>
        <v>27.043223940552682</v>
      </c>
      <c r="Q9">
        <f t="shared" si="2"/>
        <v>39.335352326731538</v>
      </c>
      <c r="R9">
        <f t="shared" si="2"/>
        <v>56.931791527966503</v>
      </c>
      <c r="S9">
        <f t="shared" si="2"/>
        <v>82.11395606300168</v>
      </c>
      <c r="T9">
        <f t="shared" si="2"/>
        <v>118.14428551968926</v>
      </c>
      <c r="U9">
        <f t="shared" si="2"/>
        <v>169.6880858394874</v>
      </c>
      <c r="V9">
        <f t="shared" si="2"/>
        <v>243.41676236943562</v>
      </c>
      <c r="W9">
        <f t="shared" si="2"/>
        <v>348.87044314207759</v>
      </c>
      <c r="X9">
        <f t="shared" si="2"/>
        <v>499.69153018181623</v>
      </c>
      <c r="Y9">
        <f t="shared" si="2"/>
        <v>715.38867788954872</v>
      </c>
      <c r="Z9">
        <f t="shared" si="2"/>
        <v>1023.8592821497397</v>
      </c>
      <c r="AA9">
        <f t="shared" si="2"/>
        <v>1464.9966397710903</v>
      </c>
      <c r="AB9">
        <f t="shared" si="2"/>
        <v>2095.8481865047775</v>
      </c>
      <c r="AC9">
        <f t="shared" si="2"/>
        <v>2997.9917774291607</v>
      </c>
      <c r="AD9">
        <f t="shared" si="2"/>
        <v>4288.0837679190954</v>
      </c>
    </row>
    <row r="11" spans="1:30" x14ac:dyDescent="0.25">
      <c r="A11" t="s">
        <v>1746</v>
      </c>
      <c r="B11">
        <f>B12/B13</f>
        <v>1</v>
      </c>
      <c r="C11">
        <f t="shared" ref="C11:T11" si="3">C12/C13</f>
        <v>0.88461538461538447</v>
      </c>
      <c r="D11">
        <f t="shared" si="3"/>
        <v>0.78254437869822469</v>
      </c>
      <c r="E11">
        <f t="shared" si="3"/>
        <v>0.69225079654073696</v>
      </c>
      <c r="F11">
        <f t="shared" si="3"/>
        <v>0.61237570463219038</v>
      </c>
      <c r="G11">
        <f t="shared" si="3"/>
        <v>0.54171696948232217</v>
      </c>
      <c r="H11">
        <f t="shared" si="3"/>
        <v>0.47921116531128499</v>
      </c>
      <c r="I11">
        <f t="shared" si="3"/>
        <v>0.42391756931382896</v>
      </c>
      <c r="J11">
        <f t="shared" si="3"/>
        <v>0.37500400362377173</v>
      </c>
      <c r="K11">
        <f t="shared" si="3"/>
        <v>0.33173431089795186</v>
      </c>
      <c r="L11">
        <f t="shared" si="3"/>
        <v>0.29345727502511126</v>
      </c>
      <c r="M11">
        <f t="shared" si="3"/>
        <v>0.25959682021452146</v>
      </c>
      <c r="N11">
        <f t="shared" si="3"/>
        <v>0.22964334095899974</v>
      </c>
      <c r="O11">
        <f t="shared" si="3"/>
        <v>0.20314603238680742</v>
      </c>
      <c r="P11">
        <f t="shared" si="3"/>
        <v>0.179706105572945</v>
      </c>
      <c r="Q11">
        <f t="shared" si="3"/>
        <v>0.15897078569914364</v>
      </c>
      <c r="R11">
        <f t="shared" si="3"/>
        <v>0.14062800273385781</v>
      </c>
      <c r="S11">
        <f t="shared" si="3"/>
        <v>0.12440169472610496</v>
      </c>
      <c r="T11">
        <f t="shared" si="3"/>
        <v>0.11004765302693899</v>
      </c>
    </row>
    <row r="12" spans="1:30" x14ac:dyDescent="0.25">
      <c r="A12" t="s">
        <v>1747</v>
      </c>
      <c r="B12">
        <v>1</v>
      </c>
      <c r="C12">
        <f>B12*(1+$D$14)</f>
        <v>1.1499999999999999</v>
      </c>
      <c r="D12">
        <f t="shared" ref="D12:T12" si="4">C12*(1+$D$14)</f>
        <v>1.3224999999999998</v>
      </c>
      <c r="E12">
        <f t="shared" si="4"/>
        <v>1.5208749999999995</v>
      </c>
      <c r="F12">
        <f t="shared" si="4"/>
        <v>1.7490062499999994</v>
      </c>
      <c r="G12">
        <f t="shared" si="4"/>
        <v>2.0113571874999994</v>
      </c>
      <c r="H12">
        <f t="shared" si="4"/>
        <v>2.3130607656249991</v>
      </c>
      <c r="I12">
        <f t="shared" si="4"/>
        <v>2.6600198804687487</v>
      </c>
      <c r="J12">
        <f t="shared" si="4"/>
        <v>3.0590228625390607</v>
      </c>
      <c r="K12">
        <f t="shared" si="4"/>
        <v>3.5178762919199196</v>
      </c>
      <c r="L12">
        <f t="shared" si="4"/>
        <v>4.0455577357079076</v>
      </c>
      <c r="M12">
        <f t="shared" si="4"/>
        <v>4.6523913960640932</v>
      </c>
      <c r="N12">
        <f t="shared" si="4"/>
        <v>5.3502501054737071</v>
      </c>
      <c r="O12">
        <f t="shared" si="4"/>
        <v>6.1527876212947623</v>
      </c>
      <c r="P12">
        <f t="shared" si="4"/>
        <v>7.0757057644889763</v>
      </c>
      <c r="Q12">
        <f t="shared" si="4"/>
        <v>8.1370616291623215</v>
      </c>
      <c r="R12">
        <f t="shared" si="4"/>
        <v>9.3576208735366695</v>
      </c>
      <c r="S12">
        <f t="shared" si="4"/>
        <v>10.761264004567169</v>
      </c>
      <c r="T12">
        <f t="shared" si="4"/>
        <v>12.375453605252243</v>
      </c>
    </row>
    <row r="13" spans="1:30" x14ac:dyDescent="0.25">
      <c r="A13" t="s">
        <v>1748</v>
      </c>
      <c r="B13">
        <v>1</v>
      </c>
      <c r="C13">
        <f>B13*(1+$B$14)</f>
        <v>1.3</v>
      </c>
      <c r="D13">
        <f>C13*(1+$B$14)</f>
        <v>1.6900000000000002</v>
      </c>
      <c r="E13">
        <f t="shared" ref="E13:T13" si="5">D13*(1+$B$14)</f>
        <v>2.1970000000000005</v>
      </c>
      <c r="F13">
        <f t="shared" si="5"/>
        <v>2.856100000000001</v>
      </c>
      <c r="G13">
        <f t="shared" si="5"/>
        <v>3.7129300000000014</v>
      </c>
      <c r="H13">
        <f t="shared" si="5"/>
        <v>4.8268090000000017</v>
      </c>
      <c r="I13">
        <f t="shared" si="5"/>
        <v>6.2748517000000028</v>
      </c>
      <c r="J13">
        <f t="shared" si="5"/>
        <v>8.1573072100000044</v>
      </c>
      <c r="K13">
        <f t="shared" si="5"/>
        <v>10.604499373000007</v>
      </c>
      <c r="L13">
        <f t="shared" si="5"/>
        <v>13.785849184900009</v>
      </c>
      <c r="M13">
        <f t="shared" si="5"/>
        <v>17.921603940370012</v>
      </c>
      <c r="N13">
        <f t="shared" si="5"/>
        <v>23.298085122481016</v>
      </c>
      <c r="O13">
        <f t="shared" si="5"/>
        <v>30.287510659225322</v>
      </c>
      <c r="P13">
        <f t="shared" si="5"/>
        <v>39.373763856992923</v>
      </c>
      <c r="Q13">
        <f t="shared" si="5"/>
        <v>51.185893014090802</v>
      </c>
      <c r="R13">
        <f t="shared" si="5"/>
        <v>66.541660918318044</v>
      </c>
      <c r="S13">
        <f t="shared" si="5"/>
        <v>86.504159193813464</v>
      </c>
      <c r="T13">
        <f t="shared" si="5"/>
        <v>112.45540695195751</v>
      </c>
    </row>
    <row r="14" spans="1:30" x14ac:dyDescent="0.25">
      <c r="A14" t="s">
        <v>1749</v>
      </c>
      <c r="B14">
        <v>0.3</v>
      </c>
      <c r="C14" t="s">
        <v>1750</v>
      </c>
      <c r="D14">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电力设备</vt:lpstr>
      <vt:lpstr>利基分析</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2024-07-09T14:32:14Z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