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电力设备!$BU$1:$BU$35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 l="1"/>
  <c r="C3" i="7"/>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0"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19" i="7"/>
  <c r="C18" i="7"/>
  <c r="C13" i="7"/>
  <c r="C10" i="7"/>
  <c r="C27" i="7"/>
  <c r="C23" i="7"/>
  <c r="C21" i="7"/>
  <c r="C12" i="7"/>
  <c r="C25" i="7"/>
  <c r="C22" i="7"/>
  <c r="C7" i="7"/>
  <c r="C29" i="7"/>
  <c r="C26" i="7"/>
  <c r="C24" i="7"/>
  <c r="C11" i="7"/>
  <c r="C8"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28" i="7"/>
  <c r="C16" i="7"/>
  <c r="C6" i="7"/>
  <c r="C15" i="7"/>
  <c r="C17" i="7"/>
  <c r="C14" i="7"/>
  <c r="C9" i="7"/>
  <c r="C5" i="7"/>
  <c r="C4"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<sst xmlns="http://schemas.openxmlformats.org/spreadsheetml/2006/main" count="1706" uniqueCount="1307">
  <si>
    <t>现价</t>
  </si>
  <si>
    <t>市净率</t>
  </si>
  <si>
    <t>--</t>
  </si>
  <si>
    <t>9.33亿</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</si>
  <si>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</si>
  <si>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</si>
  <si>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</si>
  <si>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</si>
  <si>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</si>
  <si>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</si>
  <si>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</si>
  <si>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</si>
  <si>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</si>
  <si>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</si>
  <si>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</si>
  <si>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</si>
  <si>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</si>
  <si>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</si>
  <si>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</si>
  <si>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0亿</t>
  </si>
  <si>
    <t>1.23亿</t>
  </si>
  <si>
    <t>6.47亿</t>
  </si>
  <si>
    <t>2.37亿</t>
  </si>
  <si>
    <t>1.18亿</t>
  </si>
  <si>
    <t>8.05亿</t>
  </si>
  <si>
    <t>2.75亿</t>
  </si>
  <si>
    <t>1.94亿</t>
  </si>
  <si>
    <t>1.38亿</t>
  </si>
  <si>
    <t>1.49亿</t>
  </si>
  <si>
    <t>6.10亿</t>
  </si>
  <si>
    <t>8.28亿</t>
  </si>
  <si>
    <t>2.22亿</t>
  </si>
  <si>
    <t>7.90亿</t>
  </si>
  <si>
    <t>1.74亿</t>
  </si>
  <si>
    <t>5.36亿</t>
  </si>
  <si>
    <t>1.81亿</t>
  </si>
  <si>
    <t>14.73亿</t>
  </si>
  <si>
    <t>5.00亿</t>
  </si>
  <si>
    <t>1.19亿</t>
  </si>
  <si>
    <t>1.21亿</t>
  </si>
  <si>
    <t>1.31亿</t>
  </si>
  <si>
    <t>1.33亿</t>
  </si>
  <si>
    <t>4.65亿</t>
  </si>
  <si>
    <t>1.04亿</t>
  </si>
  <si>
    <t>1.52亿</t>
  </si>
  <si>
    <t>1.28亿</t>
  </si>
  <si>
    <t>4.57亿</t>
  </si>
  <si>
    <t>4.42亿</t>
  </si>
  <si>
    <t>2.29亿</t>
  </si>
  <si>
    <t>1.59亿</t>
  </si>
  <si>
    <t>2.52亿</t>
  </si>
  <si>
    <t>1.72亿</t>
  </si>
  <si>
    <t>4.77亿</t>
  </si>
  <si>
    <t>1.00亿</t>
  </si>
  <si>
    <t>1.24亿</t>
  </si>
  <si>
    <t>1.85亿</t>
  </si>
  <si>
    <t>4.66亿</t>
  </si>
  <si>
    <t>3.66亿</t>
  </si>
  <si>
    <t>1.40亿</t>
  </si>
  <si>
    <t>2.69亿</t>
  </si>
  <si>
    <t>1.14亿</t>
  </si>
  <si>
    <t>1.08亿</t>
  </si>
  <si>
    <t>1.54亿</t>
  </si>
  <si>
    <t>1.55亿</t>
  </si>
  <si>
    <t>3.27亿</t>
  </si>
  <si>
    <t>4.26亿</t>
  </si>
  <si>
    <t>1.77亿</t>
  </si>
  <si>
    <t>1.64亿</t>
  </si>
  <si>
    <t>1.35亿</t>
  </si>
  <si>
    <t>5.54亿</t>
  </si>
  <si>
    <t>3.22亿</t>
  </si>
  <si>
    <t>2.18亿</t>
  </si>
  <si>
    <t>1.16亿</t>
  </si>
  <si>
    <t>3.23亿</t>
  </si>
  <si>
    <t>1.20亿</t>
  </si>
  <si>
    <t>2.40亿</t>
  </si>
  <si>
    <t>8.89亿</t>
  </si>
  <si>
    <t>1.26亿</t>
  </si>
  <si>
    <t>2.86亿</t>
  </si>
  <si>
    <t>1.73亿</t>
  </si>
  <si>
    <t>3.81亿</t>
  </si>
  <si>
    <t>1.05亿</t>
  </si>
  <si>
    <t>1.01亿</t>
  </si>
  <si>
    <t>1.60亿</t>
  </si>
  <si>
    <t>6.62亿</t>
  </si>
  <si>
    <t>4.28亿</t>
  </si>
  <si>
    <t>3.07亿</t>
  </si>
  <si>
    <t>1.36亿</t>
  </si>
  <si>
    <t>1.62亿</t>
  </si>
  <si>
    <t>2.35亿</t>
  </si>
  <si>
    <t>1.84亿</t>
  </si>
  <si>
    <t>1.02亿</t>
  </si>
  <si>
    <t>8.58亿</t>
  </si>
  <si>
    <t>3.14亿</t>
  </si>
  <si>
    <t>4.23亿</t>
  </si>
  <si>
    <t>1.07亿</t>
  </si>
  <si>
    <t>4.37亿</t>
  </si>
  <si>
    <t>1.42亿</t>
  </si>
  <si>
    <t>1.37亿</t>
  </si>
  <si>
    <t>2.81亿</t>
  </si>
  <si>
    <t>4.90亿</t>
  </si>
  <si>
    <t>4.01亿</t>
  </si>
  <si>
    <t>2.61亿</t>
  </si>
  <si>
    <t>1.61亿</t>
  </si>
  <si>
    <t>2.12亿</t>
  </si>
  <si>
    <t>3.21亿</t>
  </si>
  <si>
    <t>2.26亿</t>
  </si>
  <si>
    <t>1.58亿</t>
  </si>
  <si>
    <t>1.70亿</t>
  </si>
  <si>
    <t>4.25亿</t>
  </si>
  <si>
    <t>3.38亿</t>
  </si>
  <si>
    <t>1.50亿</t>
  </si>
  <si>
    <t>8.55亿</t>
  </si>
  <si>
    <t>2.28亿</t>
  </si>
  <si>
    <t>1.45亿</t>
  </si>
  <si>
    <t>2.45亿</t>
  </si>
  <si>
    <t>2.72亿</t>
  </si>
  <si>
    <t>3.16亿</t>
  </si>
  <si>
    <t>4.24亿</t>
  </si>
  <si>
    <t>流动资产</t>
  </si>
  <si>
    <t>营业收入[20191231]</t>
  </si>
  <si>
    <t>营业收入[20181231]</t>
  </si>
  <si>
    <t>营业收入[20171231]</t>
  </si>
  <si>
    <t>净利润[20191231]</t>
  </si>
  <si>
    <t>净利润[20181231]</t>
  </si>
  <si>
    <t>净利润[20171231]</t>
  </si>
  <si>
    <t>2.34亿</t>
  </si>
  <si>
    <t>6.19亿</t>
  </si>
  <si>
    <t>6.72亿</t>
  </si>
  <si>
    <t>2.55亿</t>
  </si>
  <si>
    <t>1.68亿</t>
  </si>
  <si>
    <t>9.79亿</t>
  </si>
  <si>
    <t>2.76亿</t>
  </si>
  <si>
    <t>1.89亿</t>
  </si>
  <si>
    <t>4.17亿</t>
  </si>
  <si>
    <t>1.17亿</t>
  </si>
  <si>
    <t>1.78亿</t>
  </si>
  <si>
    <t>14.97亿</t>
  </si>
  <si>
    <t>2.51亿</t>
  </si>
  <si>
    <t>10.97亿</t>
  </si>
  <si>
    <t>6.14亿</t>
  </si>
  <si>
    <t>5.96亿</t>
  </si>
  <si>
    <t>2.67亿</t>
  </si>
  <si>
    <t>2.98亿</t>
  </si>
  <si>
    <t>2.73亿</t>
  </si>
  <si>
    <t>3.61亿</t>
  </si>
  <si>
    <t>2.89亿</t>
  </si>
  <si>
    <t>1.32亿</t>
  </si>
  <si>
    <t>5.86亿</t>
  </si>
  <si>
    <t>6.39亿</t>
  </si>
  <si>
    <t>3.44亿</t>
  </si>
  <si>
    <t>3.17亿</t>
  </si>
  <si>
    <t>1.76亿</t>
  </si>
  <si>
    <t>6.42亿</t>
  </si>
  <si>
    <t>7.57亿</t>
  </si>
  <si>
    <t>3.24亿</t>
  </si>
  <si>
    <t>13.40亿</t>
  </si>
  <si>
    <t>9.80亿</t>
  </si>
  <si>
    <t>3.39亿</t>
  </si>
  <si>
    <t>3.40亿</t>
  </si>
  <si>
    <t>4.06亿</t>
  </si>
  <si>
    <t>5.49亿</t>
  </si>
  <si>
    <t>3.57亿</t>
  </si>
  <si>
    <t>6.97亿</t>
  </si>
  <si>
    <t>1.13亿</t>
  </si>
  <si>
    <t>4.50亿</t>
  </si>
  <si>
    <t>4.52亿</t>
  </si>
  <si>
    <t>2.01亿</t>
  </si>
  <si>
    <t>2.21亿</t>
  </si>
  <si>
    <t>8.02亿</t>
  </si>
  <si>
    <t>8.87亿</t>
  </si>
  <si>
    <t>2.09亿</t>
  </si>
  <si>
    <t>4.87亿</t>
  </si>
  <si>
    <t>3.83亿</t>
  </si>
  <si>
    <t>6.08亿</t>
  </si>
  <si>
    <t>3.76亿</t>
  </si>
  <si>
    <t>11.85亿</t>
  </si>
  <si>
    <t>2.38亿</t>
  </si>
  <si>
    <t>5.50亿</t>
  </si>
  <si>
    <t>5.22亿</t>
  </si>
  <si>
    <t>3.36亿</t>
  </si>
  <si>
    <t>1.82亿</t>
  </si>
  <si>
    <t>13.92亿</t>
  </si>
  <si>
    <t>2.57亿</t>
  </si>
  <si>
    <t>2.46亿</t>
  </si>
  <si>
    <t>17.28亿</t>
  </si>
  <si>
    <t>5.53亿</t>
  </si>
  <si>
    <t>3.08亿</t>
  </si>
  <si>
    <t>6.71亿</t>
  </si>
  <si>
    <t>2.14亿</t>
  </si>
  <si>
    <t>7.47亿</t>
  </si>
  <si>
    <t>5.05亿</t>
  </si>
  <si>
    <t>2000.00万</t>
  </si>
  <si>
    <t>6.74亿</t>
  </si>
  <si>
    <t>1.34亿</t>
  </si>
  <si>
    <t>1.11亿</t>
  </si>
  <si>
    <t>25.46亿</t>
  </si>
  <si>
    <t>17.42亿</t>
  </si>
  <si>
    <t>5.26亿</t>
  </si>
  <si>
    <t>8.06亿</t>
  </si>
  <si>
    <t>8.34亿</t>
  </si>
  <si>
    <t>1.90亿</t>
  </si>
  <si>
    <t>3.80亿</t>
  </si>
  <si>
    <t>6.17亿</t>
  </si>
  <si>
    <t>5.08亿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</si>
  <si>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</si>
  <si>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</si>
  <si>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</si>
  <si>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</si>
  <si>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</si>
  <si>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</si>
  <si>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</si>
  <si>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</si>
  <si>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</si>
  <si>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</si>
  <si>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</si>
  <si>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</si>
  <si>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</si>
  <si>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</si>
  <si>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</si>
  <si>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3.72亿</t>
  </si>
  <si>
    <t>1.25亿</t>
  </si>
  <si>
    <t>8.71亿</t>
  </si>
  <si>
    <t>2.56亿</t>
  </si>
  <si>
    <t>1.97亿</t>
  </si>
  <si>
    <t>3.48亿</t>
  </si>
  <si>
    <t>销售毛利率%[20201231]</t>
  </si>
  <si>
    <t>销售净利率%[20201231]</t>
  </si>
  <si>
    <t>2.80亿</t>
  </si>
  <si>
    <t>3.35亿</t>
  </si>
  <si>
    <t>3.49亿</t>
  </si>
  <si>
    <t>4.98亿</t>
  </si>
  <si>
    <t>4.69亿</t>
  </si>
  <si>
    <t>11.97亿</t>
  </si>
  <si>
    <t>10.21亿</t>
  </si>
  <si>
    <t>6.56亿</t>
  </si>
  <si>
    <t>4.18亿</t>
  </si>
  <si>
    <t>3.69亿</t>
  </si>
  <si>
    <t>14.48亿</t>
  </si>
  <si>
    <t>6.03亿</t>
  </si>
  <si>
    <t>14.76亿</t>
  </si>
  <si>
    <t>4.95亿</t>
  </si>
  <si>
    <t>10.35亿</t>
  </si>
  <si>
    <t>4.22亿</t>
  </si>
  <si>
    <t>12.20亿</t>
  </si>
  <si>
    <t>11.81亿</t>
  </si>
  <si>
    <t>2.04亿</t>
  </si>
  <si>
    <t>4.08亿</t>
  </si>
  <si>
    <t>14.30亿</t>
  </si>
  <si>
    <t>4.81亿</t>
  </si>
  <si>
    <t>2.77亿</t>
  </si>
  <si>
    <t>56.88亿</t>
  </si>
  <si>
    <t>1.79亿</t>
  </si>
  <si>
    <t>3.43亿</t>
  </si>
  <si>
    <t>2.65亿</t>
  </si>
  <si>
    <t>4.71亿</t>
  </si>
  <si>
    <t>4.55亿</t>
  </si>
  <si>
    <t>7.56亿</t>
  </si>
  <si>
    <t>3.60亿</t>
  </si>
  <si>
    <t>2.05亿</t>
  </si>
  <si>
    <t>5.77亿</t>
  </si>
  <si>
    <t>4.63亿</t>
  </si>
  <si>
    <t>8.08亿</t>
  </si>
  <si>
    <t>4.12亿</t>
  </si>
  <si>
    <t>14.77亿</t>
  </si>
  <si>
    <t>4.47亿</t>
  </si>
  <si>
    <t>13.74亿</t>
  </si>
  <si>
    <t>10.54亿</t>
  </si>
  <si>
    <t>6.31亿</t>
  </si>
  <si>
    <t>2.85亿</t>
  </si>
  <si>
    <t>4.84亿</t>
  </si>
  <si>
    <t>5.62亿</t>
  </si>
  <si>
    <t>14.31亿</t>
  </si>
  <si>
    <t>6.29亿</t>
  </si>
  <si>
    <t>3.58亿</t>
  </si>
  <si>
    <t>3.86亿</t>
  </si>
  <si>
    <t>5.46亿</t>
  </si>
  <si>
    <t>2.59亿</t>
  </si>
  <si>
    <t>12.45亿</t>
  </si>
  <si>
    <t>8.00亿</t>
  </si>
  <si>
    <t>3.75亿</t>
  </si>
  <si>
    <t>13.97亿</t>
  </si>
  <si>
    <t>6.36亿</t>
  </si>
  <si>
    <t>14.00亿</t>
  </si>
  <si>
    <t>11.24亿</t>
  </si>
  <si>
    <t>4.96亿</t>
  </si>
  <si>
    <t>2.17亿</t>
  </si>
  <si>
    <t>4.70亿</t>
  </si>
  <si>
    <t>3.64亿</t>
  </si>
  <si>
    <t>3.05亿</t>
  </si>
  <si>
    <t>6.43亿</t>
  </si>
  <si>
    <t>5.03亿</t>
  </si>
  <si>
    <t>23.39亿</t>
  </si>
  <si>
    <t>10.14亿</t>
  </si>
  <si>
    <t>6.15亿</t>
  </si>
  <si>
    <t>3.52亿</t>
  </si>
  <si>
    <t>33.37亿</t>
  </si>
  <si>
    <t>10.31亿</t>
  </si>
  <si>
    <t>7.91亿</t>
  </si>
  <si>
    <t>4.09亿</t>
  </si>
  <si>
    <t>35.29亿</t>
  </si>
  <si>
    <t>5.07亿</t>
  </si>
  <si>
    <t>-1.42亿</t>
  </si>
  <si>
    <t>19.17亿</t>
  </si>
  <si>
    <t>40.27亿</t>
  </si>
  <si>
    <t>6.82亿</t>
  </si>
  <si>
    <t>7.13亿</t>
  </si>
  <si>
    <t>11.93亿</t>
  </si>
  <si>
    <t>10.69亿</t>
  </si>
  <si>
    <t>22.07亿</t>
  </si>
  <si>
    <t>3.71亿</t>
  </si>
  <si>
    <t>11.84亿</t>
  </si>
  <si>
    <t>5.14亿</t>
  </si>
  <si>
    <t>19.31亿</t>
  </si>
  <si>
    <t>10.50亿</t>
  </si>
  <si>
    <t>14.81亿</t>
  </si>
  <si>
    <t>SZ002202</t>
  </si>
  <si>
    <t>金风科技</t>
  </si>
  <si>
    <t>562.65亿</t>
  </si>
  <si>
    <t>29.64亿</t>
  </si>
  <si>
    <t>382.45亿</t>
  </si>
  <si>
    <t>287.31亿</t>
  </si>
  <si>
    <t>22.10亿</t>
  </si>
  <si>
    <t>32.17亿</t>
  </si>
  <si>
    <t>SZ002487</t>
  </si>
  <si>
    <t>大金重工</t>
  </si>
  <si>
    <t>33.25亿</t>
  </si>
  <si>
    <t>16.87亿</t>
  </si>
  <si>
    <t>9.70亿</t>
  </si>
  <si>
    <t>6274.59万</t>
  </si>
  <si>
    <t>SZ002531</t>
  </si>
  <si>
    <t>天顺风能</t>
  </si>
  <si>
    <t>59.67亿</t>
  </si>
  <si>
    <t>37.02亿</t>
  </si>
  <si>
    <t>SZ300129</t>
  </si>
  <si>
    <t>泰胜风能</t>
  </si>
  <si>
    <t>22.19亿</t>
  </si>
  <si>
    <t>SZ300185</t>
  </si>
  <si>
    <t>通裕重工</t>
  </si>
  <si>
    <t>35.35亿</t>
  </si>
  <si>
    <t>SZ300443</t>
  </si>
  <si>
    <t>金雷股份</t>
  </si>
  <si>
    <t>SZ300569</t>
  </si>
  <si>
    <t>天能重工</t>
  </si>
  <si>
    <t>24.64亿</t>
  </si>
  <si>
    <t>13.94亿</t>
  </si>
  <si>
    <t>7.38亿</t>
  </si>
  <si>
    <t>SZ300690</t>
  </si>
  <si>
    <t>双一科技</t>
  </si>
  <si>
    <t>SZ300772</t>
  </si>
  <si>
    <t>运达股份</t>
  </si>
  <si>
    <t>50.10亿</t>
  </si>
  <si>
    <t>33.12亿</t>
  </si>
  <si>
    <t>SZ300850</t>
  </si>
  <si>
    <t>新强联</t>
  </si>
  <si>
    <t>SZ301040</t>
  </si>
  <si>
    <t>中环海陆</t>
  </si>
  <si>
    <t>SZ301063</t>
  </si>
  <si>
    <t>SH600458</t>
  </si>
  <si>
    <t>时代新材</t>
  </si>
  <si>
    <t>150.80亿</t>
  </si>
  <si>
    <t>118.72亿</t>
  </si>
  <si>
    <t>119.96亿</t>
  </si>
  <si>
    <t>9010.51万</t>
  </si>
  <si>
    <t>-4.27亿</t>
  </si>
  <si>
    <t>SH601218</t>
  </si>
  <si>
    <t>吉鑫科技</t>
  </si>
  <si>
    <t>20.49亿</t>
  </si>
  <si>
    <t>12.69亿</t>
  </si>
  <si>
    <t>6539.65万</t>
  </si>
  <si>
    <t>-5925.88万</t>
  </si>
  <si>
    <t>SH601615</t>
  </si>
  <si>
    <t>224.57亿</t>
  </si>
  <si>
    <t>104.93亿</t>
  </si>
  <si>
    <t>69.02亿</t>
  </si>
  <si>
    <t>SH603063</t>
  </si>
  <si>
    <t>17.86亿</t>
  </si>
  <si>
    <t>6634.05万</t>
  </si>
  <si>
    <t>5372.24万</t>
  </si>
  <si>
    <t>SH603218</t>
  </si>
  <si>
    <t>日月股份</t>
  </si>
  <si>
    <t>51.11亿</t>
  </si>
  <si>
    <t>34.86亿</t>
  </si>
  <si>
    <t>23.51亿</t>
  </si>
  <si>
    <t>SH603507</t>
  </si>
  <si>
    <t>振江股份</t>
  </si>
  <si>
    <t>6734.87万</t>
  </si>
  <si>
    <t>3743.20万</t>
  </si>
  <si>
    <t>6074.89万</t>
  </si>
  <si>
    <t>SH603985</t>
  </si>
  <si>
    <t>恒润股份</t>
  </si>
  <si>
    <t>23.85亿</t>
  </si>
  <si>
    <t>8292.33万</t>
  </si>
  <si>
    <t>SH688660</t>
  </si>
  <si>
    <t>电气风电</t>
  </si>
  <si>
    <t>206.85亿</t>
  </si>
  <si>
    <t>101.35亿</t>
  </si>
  <si>
    <t>61.71亿</t>
  </si>
  <si>
    <t>-5230.76万</t>
  </si>
  <si>
    <t>16.03亿</t>
  </si>
  <si>
    <t>33.11亿</t>
  </si>
  <si>
    <t>36.04亿</t>
  </si>
  <si>
    <t>34.25亿</t>
  </si>
  <si>
    <t>114.78亿</t>
  </si>
  <si>
    <t>20.64亿</t>
  </si>
  <si>
    <t>1053.09万</t>
  </si>
  <si>
    <t>8788.53万</t>
  </si>
  <si>
    <t>9983.05万</t>
  </si>
  <si>
    <t>5697.58万</t>
  </si>
  <si>
    <t>7287.53万</t>
  </si>
  <si>
    <t>3295.88万</t>
  </si>
  <si>
    <t>6481.33万</t>
  </si>
  <si>
    <t>4729.26万</t>
  </si>
  <si>
    <t>代码</t>
  </si>
  <si>
    <t>1.公司在手订单比较丰富，尤其是海上风电订单在手约23.74亿元，将以国内陆上风电业务为基础，持续推进“双海战略”，并将海上风电业务发展作为重中之重；2.广州开发区国资拟入主风机塔架制造龙头泰胜风能</t>
    <phoneticPr fontId="1" type="noConversion"/>
  </si>
  <si>
    <r>
      <t>1.2020年，通裕重工迈出了发展史上极为重要的一步，成为</t>
    </r>
    <r>
      <rPr>
        <b/>
        <sz val="9"/>
        <color rgb="FFFF0000"/>
        <rFont val="宋体"/>
        <family val="3"/>
        <charset val="134"/>
        <scheme val="minor"/>
      </rPr>
      <t>珠海港</t>
    </r>
    <r>
      <rPr>
        <sz val="9"/>
        <color theme="1"/>
        <rFont val="宋体"/>
        <family val="2"/>
        <charset val="134"/>
        <scheme val="minor"/>
      </rPr>
      <t>集团的控股子公司；</t>
    </r>
    <phoneticPr fontId="1" type="noConversion"/>
  </si>
  <si>
    <t>1.国资的山东财金取得公司控制权后，将从功能定位、业务3布局和其所拥有的资源禀赋等有效赋能金雷股份；2.未来，将持续关注和探索新能源领域高增长潜力产业，充分发挥公司在锻件、铸件领域积累的技术优势和客户优势，通过并购优质企业获得更多先进理念、技术、经验以及市场，争取在新能源相关领域取得新的突破，实现公司做优做强做大</t>
    <phoneticPr fontId="1" type="noConversion"/>
  </si>
  <si>
    <t>1.A股做塔筒的只有天顺风能、天能重工、泰胜风能、大金重工四家；</t>
    <phoneticPr fontId="1" type="noConversion"/>
  </si>
  <si>
    <t>1.问：2、塔筒未来的变化趋势？答：在陆上风电已进入平价时代，海上风电补贴退潮的影响下，风电机组趋向大型化成为发展的主旋律，风电整机商不断推出的大风机导致塔筒的承重能力要求增大，塔筒高度、直径、厚度将明显增长，另外海上风电除了塔筒之外，还带来了海工的需求，随着未来海上风电实现平价，未来塔筒企业的市场空间会越来越广阔。</t>
    <phoneticPr fontId="1" type="noConversion"/>
  </si>
  <si>
    <t>1.塔筒的定价模式是成本加成，塔筒订单的价格是根据市场中厚板钢材的走势确定的，在今年初到现在原材料上涨的背景下，塔筒的招标价也是一路上涨的。塔筒价格随着原材料波动而波动，可以传导至下游客户。2.公司切入叶片行业较晚，截止目前，还处于叶片行业第二梯队</t>
    <phoneticPr fontId="1" type="noConversion"/>
  </si>
  <si>
    <r>
      <t>1.公司把控核心部件的设计研发能力，如齿轮箱、发电机、叶片、电控系统等；目前公司叶片主要为自己生产，齿轮箱与发电机为外采，电控系统部分外采，部分自制。2.公司利用半直驱技术前瞻性进</t>
    </r>
    <r>
      <rPr>
        <sz val="9"/>
        <color rgb="FFFF0000"/>
        <rFont val="宋体"/>
        <family val="3"/>
        <charset val="134"/>
        <scheme val="minor"/>
      </rPr>
      <t>入海上风电大机组时代</t>
    </r>
    <r>
      <rPr>
        <sz val="9"/>
        <color theme="1"/>
        <rFont val="宋体"/>
        <family val="2"/>
        <charset val="134"/>
        <scheme val="minor"/>
      </rPr>
      <t>。3.2020 年，公司在中国风电新增装机市场占有率为 10%，连续六年位居国内前三；在全球风电新增装机量排名中位居第六位。</t>
    </r>
    <phoneticPr fontId="1" type="noConversion"/>
  </si>
  <si>
    <r>
      <t>1.</t>
    </r>
    <r>
      <rPr>
        <sz val="9"/>
        <color rgb="FFFF0000"/>
        <rFont val="宋体"/>
        <family val="3"/>
        <charset val="134"/>
        <scheme val="minor"/>
      </rPr>
      <t>2021年是海上风能补贴的最后一年；因此需要注意2022Q1的营收下降问题</t>
    </r>
    <phoneticPr fontId="1" type="noConversion"/>
  </si>
  <si>
    <t>涨幅%</t>
  </si>
  <si>
    <t>流通股本</t>
  </si>
  <si>
    <t>投入资本回报率roic%[20201231]</t>
  </si>
  <si>
    <t>净资产收益率%[20201231]</t>
  </si>
  <si>
    <t>1.问：公司后期发展的重点是塔筒还是能源？答：目前是在营收方面是制造业占比更高，资产方面能源已超过制造，但是随着能源不断增加，未来二者都会兼顾，总体上讲会由传统制造企业变成能源企业。</t>
    <phoneticPr fontId="1" type="noConversion"/>
  </si>
  <si>
    <t>亏损</t>
  </si>
  <si>
    <t>扭亏</t>
  </si>
  <si>
    <t>6.67亿</t>
  </si>
  <si>
    <t>13.69亿</t>
  </si>
  <si>
    <t>7.95亿</t>
  </si>
  <si>
    <t>海锅股份</t>
  </si>
  <si>
    <t>SZ301155</t>
  </si>
  <si>
    <t>海力风电</t>
  </si>
  <si>
    <t>39.29亿</t>
  </si>
  <si>
    <t>3545.46万</t>
  </si>
  <si>
    <t>57.49亿</t>
  </si>
  <si>
    <t>16.51亿</t>
  </si>
  <si>
    <t>10.42亿</t>
  </si>
  <si>
    <t>净利润[20201231]</t>
  </si>
  <si>
    <t>18.12亿</t>
  </si>
  <si>
    <t>6.81亿</t>
  </si>
  <si>
    <t>15.32亿</t>
  </si>
  <si>
    <t>4.85亿</t>
  </si>
  <si>
    <t>44.32亿</t>
  </si>
  <si>
    <t>13.10亿</t>
  </si>
  <si>
    <t>13.72亿</t>
  </si>
  <si>
    <t>10.02亿</t>
  </si>
  <si>
    <t>38.53亿</t>
  </si>
  <si>
    <t>17.12亿</t>
  </si>
  <si>
    <t>30.95亿</t>
  </si>
  <si>
    <t>7238.92万</t>
  </si>
  <si>
    <t>10.59亿</t>
  </si>
  <si>
    <t>8757.01万</t>
  </si>
  <si>
    <t>54.58亿</t>
  </si>
  <si>
    <t>11.13亿</t>
  </si>
  <si>
    <t>140.51亿</t>
  </si>
  <si>
    <t>18.59亿</t>
  </si>
  <si>
    <t>21.04亿</t>
  </si>
  <si>
    <t>47.12亿</t>
  </si>
  <si>
    <t>24.25亿</t>
  </si>
  <si>
    <t>22.93亿</t>
  </si>
  <si>
    <t xml:space="preserve">    名称</t>
  </si>
  <si>
    <t>净利润?</t>
  </si>
  <si>
    <t>投入资本回报率roic%[20211231]</t>
  </si>
  <si>
    <t>净资产收益率%[20211231]</t>
  </si>
  <si>
    <t/>
  </si>
  <si>
    <t>3.98亿</t>
  </si>
  <si>
    <t>开始亏损</t>
  </si>
  <si>
    <t>6.98亿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</si>
  <si>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</si>
  <si>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</si>
  <si>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</si>
  <si>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</si>
  <si>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</si>
  <si>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</si>
  <si>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</si>
  <si>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</si>
  <si>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</si>
  <si>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</si>
  <si>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</si>
  <si>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</si>
  <si>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</si>
  <si>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</si>
  <si>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</si>
  <si>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</si>
  <si>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</si>
  <si>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</si>
  <si>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</si>
  <si>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</si>
  <si>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</si>
  <si>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截至2022年一季度末，公司在手订单为13419.10MW，是2020年底的2.2倍；2.新能源电站投资运营业务是公司未来发展的重要板块；3.全力进军海上风电市场，将以优异的发电性能、高可靠性、最优性价比助力海上风电机组实现平价。</t>
    <phoneticPr fontId="1" type="noConversion"/>
  </si>
  <si>
    <t>7.33亿</t>
  </si>
  <si>
    <t>13.63亿</t>
  </si>
  <si>
    <t>9.36亿</t>
  </si>
  <si>
    <t>9.52亿</t>
  </si>
  <si>
    <t>SH688349</t>
  </si>
  <si>
    <t>三一重能</t>
  </si>
  <si>
    <t>93.11亿</t>
  </si>
  <si>
    <t>-3.38亿</t>
  </si>
  <si>
    <t>细分行业</t>
  </si>
  <si>
    <t>风电设备</t>
  </si>
  <si>
    <t>31.58亿</t>
  </si>
  <si>
    <t>-2.47亿</t>
  </si>
  <si>
    <t>SZ301163</t>
  </si>
  <si>
    <t>宏德股份</t>
  </si>
  <si>
    <t>6565.77万</t>
  </si>
  <si>
    <t>7638.69万</t>
  </si>
  <si>
    <t>4806.41万</t>
  </si>
  <si>
    <t>3494.53万</t>
  </si>
  <si>
    <t>-1.22亿</t>
  </si>
  <si>
    <t>4.68亿</t>
  </si>
  <si>
    <t>2.92亿</t>
  </si>
  <si>
    <t>24.77亿</t>
  </si>
  <si>
    <t>-2.69亿</t>
  </si>
  <si>
    <t>17.62亿</t>
  </si>
  <si>
    <t>28.09亿</t>
  </si>
  <si>
    <t>31.27亿</t>
  </si>
  <si>
    <t>10派1元(含税)</t>
  </si>
  <si>
    <t>不分配不转增</t>
  </si>
  <si>
    <t>10派2元(含税)</t>
  </si>
  <si>
    <t>10派0.25元(含税)</t>
  </si>
  <si>
    <t>10派0.5元(含税)</t>
  </si>
  <si>
    <t>10派2.5元(含税)</t>
  </si>
  <si>
    <t>10派1.5元(含税)</t>
  </si>
  <si>
    <t>6.11亿</t>
  </si>
  <si>
    <t>1-0</t>
  </si>
  <si>
    <t>1.2021年的“抢装潮”，受电价补贴政策及供需关系影响，海上风电建设施工持续高涨，产品售价上升，同时因项目抢装影响，公司出货量大幅提升，进而导致去年基数相对较大；而本报告期，因海上风电平价、供需关系、产能结构变化、施工窗口期、新冠疫情、台风天气等多重因素影响，项目建设速度明显放缓，产品售价下降，产品需求量相应降低，进而导致经营业绩下滑明显</t>
    <phoneticPr fontId="1" type="noConversion"/>
  </si>
  <si>
    <r>
      <t>1.漂浮式基础目前处于试验阶段，“十四五”期间海上风电施工仍</t>
    </r>
    <r>
      <rPr>
        <b/>
        <sz val="9"/>
        <color rgb="FFFF0000"/>
        <rFont val="宋体"/>
        <family val="3"/>
        <charset val="134"/>
        <scheme val="minor"/>
      </rPr>
      <t>将以管桩为主</t>
    </r>
    <r>
      <rPr>
        <sz val="9"/>
        <color theme="1"/>
        <rFont val="宋体"/>
        <family val="2"/>
        <charset val="134"/>
        <scheme val="minor"/>
      </rPr>
      <t>；且漂浮式基础也属于钢结构件，公司未来亦可基于现有技术储备</t>
    </r>
    <r>
      <rPr>
        <sz val="9"/>
        <color rgb="FFFF0000"/>
        <rFont val="宋体"/>
        <family val="3"/>
        <charset val="134"/>
        <scheme val="minor"/>
      </rPr>
      <t>向漂浮式海上风电等领域延伸</t>
    </r>
    <r>
      <rPr>
        <sz val="9"/>
        <color theme="1"/>
        <rFont val="宋体"/>
        <family val="2"/>
        <charset val="134"/>
        <scheme val="minor"/>
      </rPr>
      <t>。</t>
    </r>
    <phoneticPr fontId="1" type="noConversion"/>
  </si>
  <si>
    <t>-1-1</t>
  </si>
  <si>
    <r>
      <t>1.公司目前在全球</t>
    </r>
    <r>
      <rPr>
        <sz val="9"/>
        <color rgb="FFFF0000"/>
        <rFont val="宋体"/>
        <family val="3"/>
        <charset val="134"/>
        <scheme val="minor"/>
      </rPr>
      <t>轨道交通弹性元</t>
    </r>
    <r>
      <rPr>
        <sz val="9"/>
        <color theme="1"/>
        <rFont val="宋体"/>
        <family val="2"/>
        <charset val="134"/>
        <scheme val="minor"/>
      </rPr>
      <t>件产品领域规模第一;在风力发电领域成为风电叶片规模国内第二的风电叶片制造商,率先研发生产了海陆两用</t>
    </r>
    <r>
      <rPr>
        <sz val="9"/>
        <color rgb="FFFF0000"/>
        <rFont val="宋体"/>
        <family val="3"/>
        <charset val="134"/>
        <scheme val="minor"/>
      </rPr>
      <t>风力发电叶片</t>
    </r>
    <r>
      <rPr>
        <sz val="9"/>
        <color theme="1"/>
        <rFont val="宋体"/>
        <family val="2"/>
        <charset val="134"/>
        <scheme val="minor"/>
      </rPr>
      <t>;在全球</t>
    </r>
    <r>
      <rPr>
        <sz val="9"/>
        <color rgb="FFFF0000"/>
        <rFont val="宋体"/>
        <family val="3"/>
        <charset val="134"/>
        <scheme val="minor"/>
      </rPr>
      <t>汽车减振</t>
    </r>
    <r>
      <rPr>
        <sz val="9"/>
        <color theme="1"/>
        <rFont val="宋体"/>
        <family val="2"/>
        <charset val="134"/>
        <scheme val="minor"/>
      </rPr>
      <t>领域规模排名第三,主动减振和塑料踏板箱业务是全球第一个批量装车推广应用企业。</t>
    </r>
    <phoneticPr fontId="1" type="noConversion"/>
  </si>
  <si>
    <t xml:space="preserve">1.锻造是指利用锻压机械对金属坯料施加压力，使其产生塑性成形以获得具有一定机械性能、一定形状和尺寸锻件的加工方法；
</t>
    <phoneticPr fontId="1" type="noConversion"/>
  </si>
  <si>
    <t>1.机舱罩业务不是很大利润占比</t>
    <phoneticPr fontId="1" type="noConversion"/>
  </si>
  <si>
    <t>16.33亿</t>
  </si>
  <si>
    <t>3-0</t>
  </si>
  <si>
    <t>2-0</t>
  </si>
  <si>
    <t>-2-0</t>
  </si>
  <si>
    <t>-2-1</t>
  </si>
  <si>
    <t>10派0.75元(含税)</t>
  </si>
  <si>
    <t>15.98亿</t>
  </si>
  <si>
    <t>29.04亿</t>
  </si>
  <si>
    <t>7.49亿</t>
  </si>
  <si>
    <t>464.37亿</t>
  </si>
  <si>
    <t>23.83亿</t>
  </si>
  <si>
    <t>509.01亿</t>
  </si>
  <si>
    <t>37.31亿</t>
  </si>
  <si>
    <t>81.66亿</t>
  </si>
  <si>
    <t>5.64亿</t>
  </si>
  <si>
    <t>67.38亿</t>
  </si>
  <si>
    <t>3.00亿</t>
  </si>
  <si>
    <t>80.51亿</t>
  </si>
  <si>
    <t>4.14亿</t>
  </si>
  <si>
    <t>10.22亿</t>
  </si>
  <si>
    <t>59.13亿</t>
  </si>
  <si>
    <t>8.83亿</t>
  </si>
  <si>
    <t>9.18亿</t>
  </si>
  <si>
    <t>7.22亿</t>
  </si>
  <si>
    <t>41.83亿</t>
  </si>
  <si>
    <t>41.44亿</t>
  </si>
  <si>
    <t>173.84亿</t>
  </si>
  <si>
    <t>161.61亿</t>
  </si>
  <si>
    <t>26.53亿</t>
  </si>
  <si>
    <t>13.53亿</t>
  </si>
  <si>
    <t>9166.94万</t>
  </si>
  <si>
    <t>5106.10万</t>
  </si>
  <si>
    <t>19.45亿</t>
  </si>
  <si>
    <t>150.35亿</t>
  </si>
  <si>
    <t>307.48亿</t>
  </si>
  <si>
    <t>272.16亿</t>
  </si>
  <si>
    <t>10派3.041元(含税)</t>
  </si>
  <si>
    <t>48.65亿</t>
  </si>
  <si>
    <t>9479.64万</t>
  </si>
  <si>
    <t>123.25亿</t>
  </si>
  <si>
    <t>101.95亿</t>
  </si>
  <si>
    <t>10派2.1元(含税)</t>
  </si>
  <si>
    <t>120.75亿</t>
  </si>
  <si>
    <t>234.98亿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</si>
  <si>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</si>
  <si>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</si>
  <si>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</si>
  <si>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</si>
  <si>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</si>
  <si>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</si>
  <si>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</si>
  <si>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</si>
  <si>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</si>
  <si>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</si>
  <si>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</si>
  <si>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</si>
  <si>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</si>
  <si>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</si>
  <si>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</si>
  <si>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</si>
  <si>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</si>
  <si>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</si>
  <si>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</si>
  <si>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</si>
  <si>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</si>
  <si>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</si>
  <si>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</si>
  <si>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</si>
  <si>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</si>
  <si>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</si>
  <si>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</si>
  <si>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</si>
  <si>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</si>
  <si>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</si>
  <si>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</si>
  <si>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</si>
  <si>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</si>
  <si>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</si>
  <si>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</si>
  <si>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</si>
  <si>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</si>
  <si>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</si>
  <si>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</si>
  <si>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</si>
  <si>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</si>
  <si>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</si>
  <si>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</si>
  <si>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</si>
  <si>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</si>
  <si>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</si>
  <si>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</si>
  <si>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</si>
  <si>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</si>
  <si>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</si>
  <si>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</si>
  <si>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</si>
  <si>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</si>
  <si>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</si>
  <si>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</si>
  <si>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</si>
  <si>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</si>
  <si>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</si>
  <si>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</si>
  <si>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</si>
  <si>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</si>
  <si>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</si>
  <si>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</si>
  <si>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</si>
  <si>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</si>
  <si>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</si>
  <si>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</si>
  <si>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</si>
  <si>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</si>
  <si>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</si>
  <si>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</si>
  <si>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</si>
  <si>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</si>
  <si>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</si>
  <si>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</si>
  <si>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</si>
  <si>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</si>
  <si>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</si>
  <si>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</si>
  <si>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</si>
  <si>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</si>
  <si>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</si>
  <si>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</si>
  <si>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</si>
  <si>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</si>
  <si>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</si>
  <si>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</si>
  <si>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</si>
  <si>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</si>
  <si>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8.37亿</t>
  </si>
  <si>
    <t>51.06亿</t>
  </si>
  <si>
    <t>5.20亿</t>
  </si>
  <si>
    <t>5.25亿</t>
  </si>
  <si>
    <t>32.64亿</t>
  </si>
  <si>
    <t>-1.03亿</t>
  </si>
  <si>
    <t>13.90亿</t>
  </si>
  <si>
    <t>8.65亿</t>
  </si>
  <si>
    <t>11.96亿</t>
  </si>
  <si>
    <t>16.48亿</t>
  </si>
  <si>
    <t>12.58亿</t>
  </si>
  <si>
    <t>-3-0</t>
  </si>
  <si>
    <t>SZ301232</t>
  </si>
  <si>
    <t>飞沃科技</t>
  </si>
  <si>
    <t>7820.23万</t>
  </si>
  <si>
    <t>SZ301456</t>
  </si>
  <si>
    <t>盘古智能</t>
  </si>
  <si>
    <t>3.95亿</t>
  </si>
  <si>
    <t>21.98亿</t>
  </si>
  <si>
    <t>10.65亿</t>
  </si>
  <si>
    <t>9.99亿</t>
  </si>
  <si>
    <t>15.52亿</t>
  </si>
  <si>
    <t>5.04亿</t>
  </si>
  <si>
    <t>14.27亿</t>
  </si>
  <si>
    <t>4.97亿</t>
  </si>
  <si>
    <t>13.87亿</t>
  </si>
  <si>
    <t>15.55亿</t>
  </si>
  <si>
    <t>SZ300904</t>
  </si>
  <si>
    <t>威力传动</t>
  </si>
  <si>
    <t>9228.51万</t>
  </si>
  <si>
    <t>3522.38万</t>
  </si>
  <si>
    <t>6373.72万</t>
  </si>
  <si>
    <t>7994.38万</t>
  </si>
  <si>
    <t>835.56万</t>
  </si>
  <si>
    <t>-238.77万</t>
  </si>
  <si>
    <t>300.00万</t>
  </si>
  <si>
    <t>2.86万</t>
  </si>
  <si>
    <t>11.30亿</t>
  </si>
  <si>
    <t>6628.49万</t>
  </si>
  <si>
    <t>3279.18万</t>
  </si>
  <si>
    <t>14.37亿</t>
  </si>
  <si>
    <t>19.46亿</t>
  </si>
  <si>
    <t>9638.39万</t>
  </si>
  <si>
    <t>4915.07万</t>
  </si>
  <si>
    <t>40.29万</t>
  </si>
  <si>
    <t>10.15亿</t>
  </si>
  <si>
    <t>6.94亿</t>
  </si>
  <si>
    <t>6.58亿</t>
  </si>
  <si>
    <t>-1.07亿</t>
  </si>
  <si>
    <t>38.59亿</t>
  </si>
  <si>
    <t>20.95亿</t>
  </si>
  <si>
    <t>6.59亿</t>
  </si>
  <si>
    <t>16.85亿</t>
  </si>
  <si>
    <t>48.13亿</t>
  </si>
  <si>
    <t>42.05亿</t>
  </si>
  <si>
    <t>12.01亿</t>
  </si>
  <si>
    <t>12.67亿</t>
  </si>
  <si>
    <t>6.75亿</t>
  </si>
  <si>
    <t>6.57亿</t>
  </si>
  <si>
    <t>33.09亿</t>
  </si>
  <si>
    <t>34.45亿</t>
  </si>
  <si>
    <t>19.81亿</t>
  </si>
  <si>
    <t>21.38亿</t>
  </si>
  <si>
    <t>18.49亿</t>
  </si>
  <si>
    <t>18.75亿</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</si>
  <si>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</si>
  <si>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</si>
  <si>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</si>
  <si>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</si>
  <si>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</si>
  <si>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</si>
  <si>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</si>
  <si>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</si>
  <si>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</si>
  <si>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-5-0</t>
  </si>
  <si>
    <t>-5-1</t>
  </si>
  <si>
    <t>5-0</t>
  </si>
  <si>
    <t>-6-0</t>
  </si>
  <si>
    <t>4.82亿</t>
  </si>
  <si>
    <t>33.28亿</t>
  </si>
  <si>
    <t>39.68亿</t>
  </si>
  <si>
    <t>1032.66亿</t>
  </si>
  <si>
    <t>69.79亿</t>
  </si>
  <si>
    <t>504.57亿</t>
  </si>
  <si>
    <t>13.31亿</t>
  </si>
  <si>
    <t>197065680亿</t>
  </si>
  <si>
    <t>329580730亿</t>
  </si>
  <si>
    <t>25108500000亿</t>
  </si>
  <si>
    <t>63160381000亿</t>
  </si>
  <si>
    <t>55.65亿</t>
  </si>
  <si>
    <t>12.35亿</t>
  </si>
  <si>
    <t>27.95亿</t>
  </si>
  <si>
    <t>11.22亿</t>
  </si>
  <si>
    <t>43.25亿</t>
  </si>
  <si>
    <t>6886983亿</t>
  </si>
  <si>
    <t>44772995亿</t>
  </si>
  <si>
    <t>1441489800亿</t>
  </si>
  <si>
    <t>7011133800亿</t>
  </si>
  <si>
    <t>7474.92万</t>
  </si>
  <si>
    <t>10派1.82元(含税)</t>
  </si>
  <si>
    <t>36.37亿</t>
  </si>
  <si>
    <t>153.77亿</t>
  </si>
  <si>
    <t>77.27亿</t>
  </si>
  <si>
    <t>-11784367亿</t>
  </si>
  <si>
    <t>149577890亿</t>
  </si>
  <si>
    <t>4979053800亿</t>
  </si>
  <si>
    <t>9627863200亿</t>
  </si>
  <si>
    <t>-1.64亿</t>
  </si>
  <si>
    <t>-3.16亿</t>
  </si>
  <si>
    <t>7.11亿</t>
  </si>
  <si>
    <t>57.48亿</t>
  </si>
  <si>
    <t>53.49亿</t>
  </si>
  <si>
    <t>35.31亿</t>
  </si>
  <si>
    <t>2401711亿</t>
  </si>
  <si>
    <t>51462775亿</t>
  </si>
  <si>
    <t>2604883600亿</t>
  </si>
  <si>
    <t>6248566100亿</t>
  </si>
  <si>
    <t>9062.83万</t>
  </si>
  <si>
    <t>87.54亿</t>
  </si>
  <si>
    <t>58.09亿</t>
  </si>
  <si>
    <t>-6373亿</t>
  </si>
  <si>
    <t>5188112亿</t>
  </si>
  <si>
    <t>2116678600亿</t>
  </si>
  <si>
    <t>7769284500亿</t>
  </si>
  <si>
    <t>8603.03万</t>
  </si>
  <si>
    <t>11.08亿</t>
  </si>
  <si>
    <t>3889002亿</t>
  </si>
  <si>
    <t>134.26万</t>
  </si>
  <si>
    <t>23394764亿</t>
  </si>
  <si>
    <t>592548990亿</t>
  </si>
  <si>
    <t>3802916000亿</t>
  </si>
  <si>
    <t>71.40亿</t>
  </si>
  <si>
    <t>42.35亿</t>
  </si>
  <si>
    <t>40823859亿</t>
  </si>
  <si>
    <t>3212405500亿</t>
  </si>
  <si>
    <t>6646408400亿</t>
  </si>
  <si>
    <t>5398.71万</t>
  </si>
  <si>
    <t>10派0.74元(含税)</t>
  </si>
  <si>
    <t>14.26亿</t>
  </si>
  <si>
    <t>10派5.6元(含税)</t>
  </si>
  <si>
    <t>8793.88万</t>
  </si>
  <si>
    <t>-2039190亿</t>
  </si>
  <si>
    <t>7547409亿</t>
  </si>
  <si>
    <t>311119160亿</t>
  </si>
  <si>
    <t>1219265320亿</t>
  </si>
  <si>
    <t>8192.27万</t>
  </si>
  <si>
    <t>689.24万</t>
  </si>
  <si>
    <t>291.60亿</t>
  </si>
  <si>
    <t>37.52亿</t>
  </si>
  <si>
    <t>187.27亿</t>
  </si>
  <si>
    <t>6878183亿</t>
  </si>
  <si>
    <t>39950139亿</t>
  </si>
  <si>
    <t>7506364600亿</t>
  </si>
  <si>
    <t>21202275000亿</t>
  </si>
  <si>
    <t>34.82亿</t>
  </si>
  <si>
    <t>7376.26万</t>
  </si>
  <si>
    <t>44.88亿</t>
  </si>
  <si>
    <t>28.24亿</t>
  </si>
  <si>
    <t>-900227亿</t>
  </si>
  <si>
    <t>24147023亿</t>
  </si>
  <si>
    <t>1017164990亿</t>
  </si>
  <si>
    <t>4239340700亿</t>
  </si>
  <si>
    <t>10派1.04元(含税)</t>
  </si>
  <si>
    <t>2869.50万</t>
  </si>
  <si>
    <t>4120.14万</t>
  </si>
  <si>
    <t>-85063亿</t>
  </si>
  <si>
    <t>-25302805亿</t>
  </si>
  <si>
    <t>332811130亿</t>
  </si>
  <si>
    <t>782621110亿</t>
  </si>
  <si>
    <t>6825.72万</t>
  </si>
  <si>
    <t>6.25亿</t>
  </si>
  <si>
    <t>-3219.04万</t>
  </si>
  <si>
    <t>1464299亿</t>
  </si>
  <si>
    <t>-20117736亿</t>
  </si>
  <si>
    <t>349626330亿</t>
  </si>
  <si>
    <t>937751690亿</t>
  </si>
  <si>
    <t>3968.30万</t>
  </si>
  <si>
    <t>5581.11万</t>
  </si>
  <si>
    <t>-477630亿</t>
  </si>
  <si>
    <t>2337098亿</t>
  </si>
  <si>
    <t>473474940亿</t>
  </si>
  <si>
    <t>1590934500亿</t>
  </si>
  <si>
    <t>-8805.12万</t>
  </si>
  <si>
    <t>54813569亿</t>
  </si>
  <si>
    <t>72862441亿</t>
  </si>
  <si>
    <t>953313490亿</t>
  </si>
  <si>
    <t>3969983300亿</t>
  </si>
  <si>
    <t>4877.11万</t>
  </si>
  <si>
    <t>10471523亿</t>
  </si>
  <si>
    <t>111437450亿</t>
  </si>
  <si>
    <t>690483310亿</t>
  </si>
  <si>
    <t>16.44亿</t>
  </si>
  <si>
    <t>5625.41万</t>
  </si>
  <si>
    <t>296174亿</t>
  </si>
  <si>
    <t>-27376160亿</t>
  </si>
  <si>
    <t>752062290亿</t>
  </si>
  <si>
    <t>2368029500亿</t>
  </si>
  <si>
    <t>8965.50万</t>
  </si>
  <si>
    <t>10转4股派2元(含税)</t>
  </si>
  <si>
    <t>23.16亿</t>
  </si>
  <si>
    <t>8202.18万</t>
  </si>
  <si>
    <t>2933669亿</t>
  </si>
  <si>
    <t>11875433亿</t>
  </si>
  <si>
    <t>289888080亿</t>
  </si>
  <si>
    <t>1909080300亿</t>
  </si>
  <si>
    <t>SH600072</t>
  </si>
  <si>
    <t>中船科技</t>
  </si>
  <si>
    <t>367.17亿</t>
  </si>
  <si>
    <t>144.86亿</t>
  </si>
  <si>
    <t>36761371亿</t>
  </si>
  <si>
    <t>-102688426亿</t>
  </si>
  <si>
    <t>12135347300亿</t>
  </si>
  <si>
    <t>27968902000亿</t>
  </si>
  <si>
    <t>188.05亿</t>
  </si>
  <si>
    <t>10派0.33元(含税)</t>
  </si>
  <si>
    <t>117.03亿</t>
  </si>
  <si>
    <t>175.38亿</t>
  </si>
  <si>
    <t>-5360279亿</t>
  </si>
  <si>
    <t>111143524亿</t>
  </si>
  <si>
    <t>5687125700亿</t>
  </si>
  <si>
    <t>12652484800亿</t>
  </si>
  <si>
    <t>10派1.85元(含税)</t>
  </si>
  <si>
    <t>2325000亿</t>
  </si>
  <si>
    <t>10821821亿</t>
  </si>
  <si>
    <t>501011180亿</t>
  </si>
  <si>
    <t>1815579300亿</t>
  </si>
  <si>
    <t>556.19亿</t>
  </si>
  <si>
    <t>50.75亿</t>
  </si>
  <si>
    <t>278.59亿</t>
  </si>
  <si>
    <t>64186555亿</t>
  </si>
  <si>
    <t>290702590亿</t>
  </si>
  <si>
    <t>14081569000亿</t>
  </si>
  <si>
    <t>44219450000亿</t>
  </si>
  <si>
    <t>1461.57万</t>
  </si>
  <si>
    <t>161.20万</t>
  </si>
  <si>
    <t>32.27亿</t>
  </si>
  <si>
    <t>-2301708亿</t>
  </si>
  <si>
    <t>70904934亿</t>
  </si>
  <si>
    <t>1796528200亿</t>
  </si>
  <si>
    <t>4922861400亿</t>
  </si>
  <si>
    <t>46.56亿</t>
  </si>
  <si>
    <t>3931494亿</t>
  </si>
  <si>
    <t>70451033亿</t>
  </si>
  <si>
    <t>1464925900亿</t>
  </si>
  <si>
    <t>7752773500亿</t>
  </si>
  <si>
    <t>10派2.8元(含税)</t>
  </si>
  <si>
    <t>38.42亿</t>
  </si>
  <si>
    <t>-4691485亿</t>
  </si>
  <si>
    <t>65492133亿</t>
  </si>
  <si>
    <t>707069690亿</t>
  </si>
  <si>
    <t>3595340400亿</t>
  </si>
  <si>
    <t>9489.56万</t>
  </si>
  <si>
    <t>10转3股派3.9元(含税)</t>
  </si>
  <si>
    <t>-3498.55万</t>
  </si>
  <si>
    <t>-17362698亿</t>
  </si>
  <si>
    <t>555263570亿</t>
  </si>
  <si>
    <t>2180019500亿</t>
  </si>
  <si>
    <t>205.82亿</t>
  </si>
  <si>
    <t>149.39亿</t>
  </si>
  <si>
    <t>20.07亿</t>
  </si>
  <si>
    <t>394986000亿</t>
  </si>
  <si>
    <t>236880000亿</t>
  </si>
  <si>
    <t>3522010000亿</t>
  </si>
  <si>
    <t>23761910000亿</t>
  </si>
  <si>
    <t>10派5.9元(含税)</t>
  </si>
  <si>
    <t>199.83亿</t>
  </si>
  <si>
    <t>101.14亿</t>
  </si>
  <si>
    <t>-12.71亿</t>
  </si>
  <si>
    <t>-2283765亿</t>
  </si>
  <si>
    <t>-216699020亿</t>
  </si>
  <si>
    <t>4251236500亿</t>
  </si>
  <si>
    <t>14053543000亿</t>
  </si>
  <si>
    <t>6-0</t>
  </si>
  <si>
    <t>SZ000809</t>
  </si>
  <si>
    <t>*ST和展</t>
  </si>
  <si>
    <t>283.36万</t>
  </si>
  <si>
    <t>2378.53万</t>
  </si>
  <si>
    <t>-1.06亿</t>
  </si>
  <si>
    <t>-27569631亿</t>
  </si>
  <si>
    <t>20463514亿</t>
  </si>
  <si>
    <t>4279032400亿</t>
  </si>
  <si>
    <t>1058.87万</t>
  </si>
  <si>
    <t>-3612.48万</t>
  </si>
  <si>
    <t>-6022.05万</t>
  </si>
  <si>
    <t>-8520.78万</t>
  </si>
  <si>
    <t>9665.77万</t>
  </si>
  <si>
    <t>598.17万</t>
  </si>
  <si>
    <t>-3043.17万</t>
  </si>
  <si>
    <t>账面净赚</t>
  </si>
  <si>
    <t>134.00万</t>
  </si>
  <si>
    <t>33.33亿</t>
  </si>
  <si>
    <t>3873.28万</t>
  </si>
  <si>
    <t>634.94万</t>
  </si>
  <si>
    <t>1470.84万</t>
  </si>
  <si>
    <t>2004.31万</t>
  </si>
  <si>
    <t>-2334.93万</t>
  </si>
  <si>
    <t>-106.84万</t>
  </si>
  <si>
    <t>-5815.92万</t>
  </si>
  <si>
    <t>风电零部件</t>
  </si>
  <si>
    <t>1104.15万</t>
  </si>
  <si>
    <t>1329.76万</t>
  </si>
  <si>
    <t>405.68亿</t>
  </si>
  <si>
    <t>66.09亿</t>
  </si>
  <si>
    <t>51.56亿</t>
  </si>
  <si>
    <t>147.83万</t>
  </si>
  <si>
    <t>108.57亿</t>
  </si>
  <si>
    <t>79.70亿</t>
  </si>
  <si>
    <t>18.48亿</t>
  </si>
  <si>
    <t>132.99亿</t>
  </si>
  <si>
    <t>221.46亿</t>
  </si>
  <si>
    <t>1362.67万</t>
  </si>
  <si>
    <t>587.24亿</t>
  </si>
  <si>
    <t>310.20亿</t>
  </si>
  <si>
    <t>-60.54亿</t>
  </si>
  <si>
    <t>-2.86亿</t>
  </si>
  <si>
    <t>33.55亿</t>
  </si>
  <si>
    <t>风电整机</t>
  </si>
  <si>
    <t>9140.80万</t>
  </si>
  <si>
    <t>616.80万</t>
  </si>
  <si>
    <t>69.67亿</t>
  </si>
  <si>
    <t>1845.20万</t>
  </si>
  <si>
    <t>3871.64万</t>
  </si>
  <si>
    <t>161.24万</t>
  </si>
  <si>
    <t>2395.48万</t>
  </si>
  <si>
    <t>977.07万</t>
  </si>
  <si>
    <t>26.79亿</t>
  </si>
  <si>
    <t>-9580.56万</t>
  </si>
  <si>
    <t>-4.33亿</t>
  </si>
  <si>
    <t>5497.91万</t>
  </si>
  <si>
    <t>740.14万</t>
  </si>
  <si>
    <t>90.99亿</t>
  </si>
  <si>
    <t>9.24亿</t>
  </si>
  <si>
    <t>788.10万</t>
  </si>
  <si>
    <t>7069.33万</t>
  </si>
  <si>
    <t>87.75万</t>
  </si>
  <si>
    <t>17.33亿</t>
  </si>
  <si>
    <t>35.82亿</t>
  </si>
  <si>
    <t>83.96亿</t>
  </si>
  <si>
    <t>66.37亿</t>
  </si>
  <si>
    <t>-7.44亿</t>
  </si>
  <si>
    <t>-2248.90万</t>
  </si>
  <si>
    <t>6124.95万</t>
  </si>
  <si>
    <t>745.59万</t>
  </si>
  <si>
    <t>44.12亿</t>
  </si>
  <si>
    <t>379.02万</t>
  </si>
  <si>
    <t>4172.98万</t>
  </si>
  <si>
    <t>19.75万</t>
  </si>
  <si>
    <t>3412.17万</t>
  </si>
  <si>
    <t>31.89亿</t>
  </si>
  <si>
    <t>-8.39亿</t>
  </si>
  <si>
    <t>-2141.14万</t>
  </si>
  <si>
    <t>3375.76万</t>
  </si>
  <si>
    <t>6743.20万</t>
  </si>
  <si>
    <t>70.47亿</t>
  </si>
  <si>
    <t>1021.45万</t>
  </si>
  <si>
    <t>4165.52万</t>
  </si>
  <si>
    <t>62.88亿</t>
  </si>
  <si>
    <t>4201.94万</t>
  </si>
  <si>
    <t>-787.17万</t>
  </si>
  <si>
    <t>8.79亿</t>
  </si>
  <si>
    <t>370.61万</t>
  </si>
  <si>
    <t>61.54亿</t>
  </si>
  <si>
    <t>361.31万</t>
  </si>
  <si>
    <t>2307.56万</t>
  </si>
  <si>
    <t>17.57万</t>
  </si>
  <si>
    <t>8.26万</t>
  </si>
  <si>
    <t>-507.42万</t>
  </si>
  <si>
    <t>-4488.10万</t>
  </si>
  <si>
    <t>10派2.634150元(含税)</t>
  </si>
  <si>
    <t>1633.81万</t>
  </si>
  <si>
    <t>596.81万</t>
  </si>
  <si>
    <t>546.19万</t>
  </si>
  <si>
    <t>4272.17万</t>
  </si>
  <si>
    <t>13.73亿</t>
  </si>
  <si>
    <t>-6013.03万</t>
  </si>
  <si>
    <t>3277.06万</t>
  </si>
  <si>
    <t>367.27万</t>
  </si>
  <si>
    <t>413.84万</t>
  </si>
  <si>
    <t>1176.81万</t>
  </si>
  <si>
    <t>11.52万</t>
  </si>
  <si>
    <t>6423.78万</t>
  </si>
  <si>
    <t>4239.50万</t>
  </si>
  <si>
    <t>-1367.09万</t>
  </si>
  <si>
    <t>-33.08万</t>
  </si>
  <si>
    <t>2372.49万</t>
  </si>
  <si>
    <t>569.73万</t>
  </si>
  <si>
    <t>36.88亿</t>
  </si>
  <si>
    <t>3735.68万</t>
  </si>
  <si>
    <t>74.70万</t>
  </si>
  <si>
    <t>39.50亿</t>
  </si>
  <si>
    <t>81.65亿</t>
  </si>
  <si>
    <t>78.06亿</t>
  </si>
  <si>
    <t>234.72亿</t>
  </si>
  <si>
    <t>15.73亿</t>
  </si>
  <si>
    <t>-14.07亿</t>
  </si>
  <si>
    <t>2386.77万</t>
  </si>
  <si>
    <t>332.05万</t>
  </si>
  <si>
    <t>51.43亿</t>
  </si>
  <si>
    <t>8496.29万</t>
  </si>
  <si>
    <t>233.08万</t>
  </si>
  <si>
    <t>1664.74万</t>
  </si>
  <si>
    <t>15.84亿</t>
  </si>
  <si>
    <t>30.70亿</t>
  </si>
  <si>
    <t>-2.41亿</t>
  </si>
  <si>
    <t>3823.55万</t>
  </si>
  <si>
    <t>-13.23万</t>
  </si>
  <si>
    <t>2368.13万</t>
  </si>
  <si>
    <t>199.27万</t>
  </si>
  <si>
    <t>9948.78万</t>
  </si>
  <si>
    <t>6224.33万</t>
  </si>
  <si>
    <t>3121.07万</t>
  </si>
  <si>
    <t>429.84万</t>
  </si>
  <si>
    <t>1126.88万</t>
  </si>
  <si>
    <t>9.18万</t>
  </si>
  <si>
    <t>110.37万</t>
  </si>
  <si>
    <t>7069.77万</t>
  </si>
  <si>
    <t>6367.17万</t>
  </si>
  <si>
    <t>12.84万</t>
  </si>
  <si>
    <t>-4443.14万</t>
  </si>
  <si>
    <t>-1.09亿</t>
  </si>
  <si>
    <t>1414.41万</t>
  </si>
  <si>
    <t>1290.80万</t>
  </si>
  <si>
    <t>647.79万</t>
  </si>
  <si>
    <t>3196.16万</t>
  </si>
  <si>
    <t>178.81万</t>
  </si>
  <si>
    <t>3963.77万</t>
  </si>
  <si>
    <t>217.52万</t>
  </si>
  <si>
    <t>680.08万</t>
  </si>
  <si>
    <t>2712.56万</t>
  </si>
  <si>
    <t>5523.28万</t>
  </si>
  <si>
    <t>1885.96万</t>
  </si>
  <si>
    <t>1595.19万</t>
  </si>
  <si>
    <t>398.13万</t>
  </si>
  <si>
    <t>800.06万</t>
  </si>
  <si>
    <t>6335.09万</t>
  </si>
  <si>
    <t>144.28万</t>
  </si>
  <si>
    <t>5961.59万</t>
  </si>
  <si>
    <t>144.84万</t>
  </si>
  <si>
    <t>874.98万</t>
  </si>
  <si>
    <t>533.53万</t>
  </si>
  <si>
    <t>7328.85万</t>
  </si>
  <si>
    <t>5366.09万</t>
  </si>
  <si>
    <t>-3863.66万</t>
  </si>
  <si>
    <t>2291.88万</t>
  </si>
  <si>
    <t>1239.45万</t>
  </si>
  <si>
    <t>673.07万</t>
  </si>
  <si>
    <t>5490.54万</t>
  </si>
  <si>
    <t>119.75万</t>
  </si>
  <si>
    <t>56.96亿</t>
  </si>
  <si>
    <t>6304.53万</t>
  </si>
  <si>
    <t>329.41万</t>
  </si>
  <si>
    <t>2209.60万</t>
  </si>
  <si>
    <t>63.00万</t>
  </si>
  <si>
    <t>-1.73亿</t>
  </si>
  <si>
    <t>4565.24万</t>
  </si>
  <si>
    <t>9101.56万</t>
  </si>
  <si>
    <t>953.90万</t>
  </si>
  <si>
    <t>519.41万</t>
  </si>
  <si>
    <t>5061.53万</t>
  </si>
  <si>
    <t>102.07万</t>
  </si>
  <si>
    <t>115.42亿</t>
  </si>
  <si>
    <t>97.71万</t>
  </si>
  <si>
    <t>738.38万</t>
  </si>
  <si>
    <t>1258.22万</t>
  </si>
  <si>
    <t>8854.64万</t>
  </si>
  <si>
    <t>4250.00万</t>
  </si>
  <si>
    <t>3233.66万</t>
  </si>
  <si>
    <t>6901.76万</t>
  </si>
  <si>
    <t>2613.89万</t>
  </si>
  <si>
    <t>-1415.59万</t>
  </si>
  <si>
    <t>28.84万</t>
  </si>
  <si>
    <t>21.52亿</t>
  </si>
  <si>
    <t>825.21万</t>
  </si>
  <si>
    <t>6203.24万</t>
  </si>
  <si>
    <t>97.43万</t>
  </si>
  <si>
    <t>15.24亿</t>
  </si>
  <si>
    <t>6403.01万</t>
  </si>
  <si>
    <t>559.27万</t>
  </si>
  <si>
    <t>1788.65万</t>
  </si>
  <si>
    <t>8594.09万</t>
  </si>
  <si>
    <t>1253.42万</t>
  </si>
  <si>
    <t>7065.48万</t>
  </si>
  <si>
    <t>2067.69万</t>
  </si>
  <si>
    <t>1889.14万</t>
  </si>
  <si>
    <t>6981.20万</t>
  </si>
  <si>
    <t>1361.60万</t>
  </si>
  <si>
    <t>740.55万</t>
  </si>
  <si>
    <t>7336.10万</t>
  </si>
  <si>
    <t>458.95万</t>
  </si>
  <si>
    <t>7329.70万</t>
  </si>
  <si>
    <t>5021.48万</t>
  </si>
  <si>
    <t>1148.69万</t>
  </si>
  <si>
    <t>770.06万</t>
  </si>
  <si>
    <t>4991.70万</t>
  </si>
  <si>
    <t>6758.02万</t>
  </si>
  <si>
    <t>108.53万</t>
  </si>
  <si>
    <t>4868.45万</t>
  </si>
  <si>
    <t>7197.83万</t>
  </si>
  <si>
    <t>-2160.33万</t>
  </si>
  <si>
    <t>79.80万</t>
  </si>
  <si>
    <t>3269.42万</t>
  </si>
  <si>
    <t>3711.42万</t>
  </si>
  <si>
    <t>543.66万</t>
  </si>
  <si>
    <t>112.97亿</t>
  </si>
  <si>
    <t>223.67亿</t>
  </si>
  <si>
    <t>100.39万</t>
  </si>
  <si>
    <t>66.54亿</t>
  </si>
  <si>
    <t>62.57亿</t>
  </si>
  <si>
    <t>108.70亿</t>
  </si>
  <si>
    <t>2.01万</t>
  </si>
  <si>
    <t>-20.00亿</t>
  </si>
  <si>
    <t>-6.25亿</t>
  </si>
  <si>
    <t>57.46亿</t>
  </si>
  <si>
    <t>3271.14万</t>
  </si>
  <si>
    <t>0678000000</t>
  </si>
  <si>
    <t>01356000000</t>
  </si>
  <si>
    <t>02260000000</t>
  </si>
  <si>
    <t>04520000000</t>
  </si>
  <si>
    <t>338.43万</t>
  </si>
  <si>
    <t>66.48亿</t>
  </si>
  <si>
    <t>450.86亿</t>
  </si>
  <si>
    <t>40.43亿</t>
  </si>
  <si>
    <t>34.96亿</t>
  </si>
  <si>
    <t>655.84万</t>
  </si>
  <si>
    <t>15.96亿</t>
  </si>
  <si>
    <t>54.56亿</t>
  </si>
  <si>
    <t>5.18万</t>
  </si>
  <si>
    <t>94.27亿</t>
  </si>
  <si>
    <t>-9.07亿</t>
  </si>
  <si>
    <t>100.86亿</t>
  </si>
  <si>
    <t>2537.97万</t>
  </si>
  <si>
    <t>786.88万</t>
  </si>
  <si>
    <t>29.14亿</t>
  </si>
  <si>
    <t>68.72亿</t>
  </si>
  <si>
    <t>161.01万</t>
  </si>
  <si>
    <t>768.96万</t>
  </si>
  <si>
    <t>52.13万</t>
  </si>
  <si>
    <t>4574.63万</t>
  </si>
  <si>
    <t>54.84万</t>
  </si>
  <si>
    <t>2961.28万</t>
  </si>
  <si>
    <t>9756.95万</t>
  </si>
  <si>
    <t>-7855.13万</t>
  </si>
  <si>
    <t>4840.92万</t>
  </si>
  <si>
    <t>3928.11万</t>
  </si>
  <si>
    <t>XD明阳智</t>
  </si>
  <si>
    <t>1690.00万</t>
  </si>
  <si>
    <t>284.74亿</t>
  </si>
  <si>
    <t>48.67亿</t>
  </si>
  <si>
    <t>40.29亿</t>
  </si>
  <si>
    <t>48.73万</t>
  </si>
  <si>
    <t>129.31亿</t>
  </si>
  <si>
    <t>2399.03万</t>
  </si>
  <si>
    <t>80.07亿</t>
  </si>
  <si>
    <t>91.71亿</t>
  </si>
  <si>
    <t>102.34亿</t>
  </si>
  <si>
    <t>359.91亿</t>
  </si>
  <si>
    <t>140.39亿</t>
  </si>
  <si>
    <t>-16.70亿</t>
  </si>
  <si>
    <t>-18.61亿</t>
  </si>
  <si>
    <t>40.60亿</t>
  </si>
  <si>
    <t>禾望电气</t>
  </si>
  <si>
    <t>505.95万</t>
  </si>
  <si>
    <t>40.90亿</t>
  </si>
  <si>
    <t>14.17亿</t>
  </si>
  <si>
    <t>7510.25万</t>
  </si>
  <si>
    <t>5925.44万</t>
  </si>
  <si>
    <t>3027.63万</t>
  </si>
  <si>
    <t>1.70万</t>
  </si>
  <si>
    <t>2028.21万</t>
  </si>
  <si>
    <t>4488.96万</t>
  </si>
  <si>
    <t>3364.90万</t>
  </si>
  <si>
    <t>912.25万</t>
  </si>
  <si>
    <t>99.05亿</t>
  </si>
  <si>
    <t>26.93亿</t>
  </si>
  <si>
    <t>569.39万</t>
  </si>
  <si>
    <t>4403.07万</t>
  </si>
  <si>
    <t>38.43万</t>
  </si>
  <si>
    <t>-4.25亿</t>
  </si>
  <si>
    <t>-7290.57万</t>
  </si>
  <si>
    <t>2532.07万</t>
  </si>
  <si>
    <t>3868.62万</t>
  </si>
  <si>
    <t>327.97万</t>
  </si>
  <si>
    <t>11.80亿</t>
  </si>
  <si>
    <t>7.62亿</t>
  </si>
  <si>
    <t>1222.42万</t>
  </si>
  <si>
    <t>3486.18万</t>
  </si>
  <si>
    <t>96.96万</t>
  </si>
  <si>
    <t>4559.01万</t>
  </si>
  <si>
    <t>692.00万</t>
  </si>
  <si>
    <t>-4659.80万</t>
  </si>
  <si>
    <t>7624.15万</t>
  </si>
  <si>
    <t>9101.13万</t>
  </si>
  <si>
    <t>2408.24万</t>
  </si>
  <si>
    <t>500.93万</t>
  </si>
  <si>
    <t>57.61亿</t>
  </si>
  <si>
    <t>218.03万</t>
  </si>
  <si>
    <t>1750.69万</t>
  </si>
  <si>
    <t>2.97万</t>
  </si>
  <si>
    <t>1114.46万</t>
  </si>
  <si>
    <t>32.02万</t>
  </si>
  <si>
    <t>14.16亿</t>
  </si>
  <si>
    <t>-4967.90万</t>
  </si>
  <si>
    <t>2219.14万</t>
  </si>
  <si>
    <t>-6730.82万</t>
  </si>
  <si>
    <t>13.41亿</t>
  </si>
  <si>
    <t>2695.68万</t>
  </si>
  <si>
    <t>75.97万</t>
  </si>
  <si>
    <t>128.14亿</t>
  </si>
  <si>
    <t>16.40亿</t>
  </si>
  <si>
    <t>2720.76万</t>
  </si>
  <si>
    <t>18.43亿</t>
  </si>
  <si>
    <t>13.88亿</t>
  </si>
  <si>
    <t>169.90万</t>
  </si>
  <si>
    <t>98.71亿</t>
  </si>
  <si>
    <t>24.91亿</t>
  </si>
  <si>
    <t>68.21亿</t>
  </si>
  <si>
    <t>187.31亿</t>
  </si>
  <si>
    <t>23.75亿</t>
  </si>
  <si>
    <t>-14.62亿</t>
  </si>
  <si>
    <t>-12.54亿</t>
  </si>
  <si>
    <t>1346.94万</t>
  </si>
  <si>
    <t>707.95万</t>
  </si>
  <si>
    <t>5883.66万</t>
  </si>
  <si>
    <t>-4-0</t>
  </si>
  <si>
    <t>326.41万</t>
  </si>
  <si>
    <t>56.65亿</t>
  </si>
  <si>
    <t>-2093.91万</t>
  </si>
  <si>
    <t>6620.22万</t>
  </si>
  <si>
    <t>9922.71万</t>
  </si>
  <si>
    <t>460.91万</t>
  </si>
  <si>
    <t>5.09亿</t>
  </si>
  <si>
    <t>34.74亿</t>
  </si>
  <si>
    <t>66.14亿</t>
  </si>
  <si>
    <t>148.69亿</t>
  </si>
  <si>
    <t>-17.90亿</t>
  </si>
  <si>
    <t>-1.66亿</t>
  </si>
  <si>
    <t>14.58亿</t>
  </si>
  <si>
    <t>4298.10万</t>
  </si>
  <si>
    <t>-716.20万</t>
  </si>
  <si>
    <t>2117.71万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</si>
</sst>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9" fillId="0" borderId="0" xfId="0" applyFont="1">
      <alignment vertical="center"/>
    </xf>
    <xf numFmtId="0" fontId="8" fillId="0" borderId="0" xfId="0" applyFont="1">
      <alignment vertical="center"/>
    </xf>
    <xf numFmtId="14" fontId="0" fillId="0" borderId="0" xfId="0" applyNumberFormat="1">
      <alignment vertical="center"/>
    </xf>
    <xf numFmtId="0" fontId="0" fillId="0" borderId="0" xfId="0" applyFill="1">
      <alignment vertical="center"/>
    </xf>
    <xf numFmtId="0" fontId="9"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5"/>
  <sheetViews>
    <sheetView tabSelected="1" zoomScale="85" zoomScaleNormal="85" workbookViewId="0">
      <pane xSplit="5" ySplit="1" topLeftCell="F2" activePane="bottomRight" state="frozen"/>
      <selection pane="topRight" activeCell="F1" sqref="F1"/>
      <selection pane="bottomLeft" activeCell="A2" sqref="A2"/>
      <selection pane="bottomRight" activeCell="C3" sqref="C3"/>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4</v>
      </c>
      <c r="B1" s="5" t="s">
        <v>5</v>
      </c>
      <c r="C1" s="4" t="s">
        <v>6</v>
      </c>
      <c r="D1" t="s">
        <v>413</v>
      </c>
      <c r="E1" t="s">
        <v>463</v>
      </c>
      <c r="F1" t="s">
        <v>0</v>
      </c>
      <c r="G1" t="s">
        <v>422</v>
      </c>
      <c r="H1" t="s">
        <v>578</v>
      </c>
      <c r="I1" t="s">
        <v>7</v>
      </c>
      <c r="J1" t="s">
        <v>8</v>
      </c>
      <c r="K1" t="s">
        <v>1</v>
      </c>
      <c r="L1" t="s">
        <v>9</v>
      </c>
      <c r="M1" t="s">
        <v>10</v>
      </c>
      <c r="N1" t="s">
        <v>11</v>
      </c>
      <c r="O1" t="s">
        <v>12</v>
      </c>
      <c r="P1" t="s">
        <v>579</v>
      </c>
      <c r="Q1" t="s">
        <v>580</v>
      </c>
      <c r="R1" t="s">
        <v>464</v>
      </c>
      <c r="S1" t="s">
        <v>13</v>
      </c>
      <c r="T1" t="s">
        <v>581</v>
      </c>
      <c r="U1" t="s">
        <v>423</v>
      </c>
      <c r="V1" t="s">
        <v>14</v>
      </c>
      <c r="W1" t="s">
        <v>582</v>
      </c>
      <c r="X1" t="s">
        <v>583</v>
      </c>
      <c r="Y1" t="s">
        <v>584</v>
      </c>
      <c r="Z1" t="s">
        <v>585</v>
      </c>
      <c r="AA1" t="s">
        <v>586</v>
      </c>
      <c r="AB1" t="s">
        <v>587</v>
      </c>
      <c r="AC1" t="s">
        <v>588</v>
      </c>
      <c r="AD1" t="s">
        <v>589</v>
      </c>
      <c r="AE1" t="s">
        <v>15</v>
      </c>
      <c r="AF1" t="s">
        <v>16</v>
      </c>
      <c r="AG1" t="s">
        <v>590</v>
      </c>
      <c r="AH1" t="s">
        <v>591</v>
      </c>
      <c r="AI1" t="s">
        <v>592</v>
      </c>
      <c r="AJ1" t="s">
        <v>17</v>
      </c>
      <c r="AK1" t="s">
        <v>593</v>
      </c>
      <c r="AL1" t="s">
        <v>119</v>
      </c>
      <c r="AM1" t="s">
        <v>594</v>
      </c>
      <c r="AN1" t="s">
        <v>595</v>
      </c>
      <c r="AO1" t="s">
        <v>596</v>
      </c>
      <c r="AP1" t="s">
        <v>597</v>
      </c>
      <c r="AQ1" t="s">
        <v>598</v>
      </c>
      <c r="AR1" t="s">
        <v>599</v>
      </c>
      <c r="AS1" t="s">
        <v>600</v>
      </c>
      <c r="AT1" t="s">
        <v>601</v>
      </c>
      <c r="AU1" t="s">
        <v>602</v>
      </c>
      <c r="AV1" t="s">
        <v>603</v>
      </c>
      <c r="AW1" t="s">
        <v>604</v>
      </c>
      <c r="AX1" t="s">
        <v>605</v>
      </c>
      <c r="AY1" t="s">
        <v>606</v>
      </c>
      <c r="AZ1" t="s">
        <v>120</v>
      </c>
      <c r="BA1" t="s">
        <v>121</v>
      </c>
      <c r="BB1" t="s">
        <v>122</v>
      </c>
      <c r="BC1" t="s">
        <v>607</v>
      </c>
      <c r="BD1" t="s">
        <v>440</v>
      </c>
      <c r="BE1" t="s">
        <v>123</v>
      </c>
      <c r="BF1" t="s">
        <v>124</v>
      </c>
      <c r="BG1" t="s">
        <v>125</v>
      </c>
      <c r="BH1" t="s">
        <v>608</v>
      </c>
      <c r="BI1" t="s">
        <v>609</v>
      </c>
      <c r="BJ1" t="s">
        <v>610</v>
      </c>
      <c r="BK1" t="s">
        <v>611</v>
      </c>
      <c r="BL1" t="s">
        <v>612</v>
      </c>
      <c r="BM1" t="s">
        <v>613</v>
      </c>
      <c r="BN1" t="s">
        <v>614</v>
      </c>
      <c r="BO1" t="s">
        <v>465</v>
      </c>
      <c r="BP1" t="s">
        <v>424</v>
      </c>
      <c r="BQ1" t="s">
        <v>615</v>
      </c>
      <c r="BR1" t="s">
        <v>466</v>
      </c>
      <c r="BS1" t="s">
        <v>425</v>
      </c>
      <c r="BT1" t="s">
        <v>616</v>
      </c>
      <c r="BU1" t="s">
        <v>501</v>
      </c>
      <c r="BV1" t="s">
        <v>617</v>
      </c>
      <c r="BW1" t="s">
        <v>618</v>
      </c>
      <c r="BX1" t="s">
        <v>226</v>
      </c>
      <c r="BY1" t="s">
        <v>619</v>
      </c>
      <c r="BZ1" t="s">
        <v>620</v>
      </c>
      <c r="CA1" t="s">
        <v>227</v>
      </c>
      <c r="CB1" t="s">
        <v>621</v>
      </c>
      <c r="CC1" t="s">
        <v>622</v>
      </c>
      <c r="CD1" t="s">
        <v>623</v>
      </c>
      <c r="CE1" t="s">
        <v>624</v>
      </c>
      <c r="CF1" t="s">
        <v>205</v>
      </c>
      <c r="CG1" t="s">
        <v>206</v>
      </c>
      <c r="CH1" t="s">
        <v>207</v>
      </c>
      <c r="CI1" t="s">
        <v>208</v>
      </c>
      <c r="CJ1" t="s">
        <v>209</v>
      </c>
      <c r="CK1" t="s">
        <v>210</v>
      </c>
      <c r="CL1" t="s">
        <v>211</v>
      </c>
      <c r="CM1" t="s">
        <v>212</v>
      </c>
      <c r="CN1" t="s">
        <v>213</v>
      </c>
      <c r="CO1" t="s">
        <v>214</v>
      </c>
      <c r="CP1" t="s">
        <v>215</v>
      </c>
      <c r="CQ1" t="s">
        <v>216</v>
      </c>
      <c r="CR1" t="s">
        <v>625</v>
      </c>
      <c r="CS1" t="s">
        <v>626</v>
      </c>
      <c r="CT1" t="s">
        <v>627</v>
      </c>
      <c r="CU1" t="s">
        <v>628</v>
      </c>
      <c r="CV1" t="s">
        <v>629</v>
      </c>
      <c r="CW1" t="s">
        <v>630</v>
      </c>
      <c r="CX1">
        <v>1</v>
      </c>
      <c r="CY1" t="s">
        <v>631</v>
      </c>
      <c r="CZ1" t="s">
        <v>632</v>
      </c>
      <c r="DA1">
        <v>3</v>
      </c>
      <c r="DB1" t="s">
        <v>633</v>
      </c>
      <c r="DC1" t="s">
        <v>634</v>
      </c>
      <c r="DD1">
        <v>6</v>
      </c>
      <c r="DE1" t="s">
        <v>635</v>
      </c>
      <c r="DF1" t="s">
        <v>636</v>
      </c>
      <c r="DG1">
        <v>10</v>
      </c>
      <c r="DH1" t="s">
        <v>637</v>
      </c>
      <c r="DI1" t="s">
        <v>638</v>
      </c>
      <c r="DJ1">
        <v>20</v>
      </c>
      <c r="DK1" t="s">
        <v>639</v>
      </c>
      <c r="DL1" t="s">
        <v>217</v>
      </c>
      <c r="DM1" t="s">
        <v>218</v>
      </c>
      <c r="DN1" s="1" t="s">
        <v>219</v>
      </c>
      <c r="DO1" t="s">
        <v>640</v>
      </c>
      <c r="DP1" t="s">
        <v>641</v>
      </c>
      <c r="DQ1" s="11" t="s">
        <v>642</v>
      </c>
      <c r="DR1" t="s">
        <v>643</v>
      </c>
      <c r="DS1" t="s">
        <v>644</v>
      </c>
      <c r="DT1" t="s">
        <v>645</v>
      </c>
      <c r="DU1" t="s">
        <v>646</v>
      </c>
      <c r="DV1" t="s">
        <v>647</v>
      </c>
      <c r="DW1" t="s">
        <v>648</v>
      </c>
      <c r="DX1" t="s">
        <v>649</v>
      </c>
      <c r="DY1" t="s">
        <v>650</v>
      </c>
      <c r="DZ1" t="s">
        <v>651</v>
      </c>
      <c r="EA1" t="s">
        <v>652</v>
      </c>
      <c r="EB1" t="s">
        <v>653</v>
      </c>
      <c r="EC1" t="s">
        <v>654</v>
      </c>
      <c r="ED1" t="s">
        <v>655</v>
      </c>
      <c r="EE1" t="s">
        <v>656</v>
      </c>
      <c r="EF1" t="s">
        <v>657</v>
      </c>
      <c r="EG1" t="s">
        <v>658</v>
      </c>
      <c r="EH1" t="s">
        <v>659</v>
      </c>
      <c r="EI1" t="s">
        <v>660</v>
      </c>
      <c r="EJ1"/>
      <c r="EK1" s="13" t="s">
        <v>661</v>
      </c>
      <c r="EL1" t="s">
        <v>662</v>
      </c>
      <c r="EM1" t="s">
        <v>663</v>
      </c>
      <c r="EN1" t="s">
        <v>664</v>
      </c>
      <c r="EO1" t="s">
        <v>665</v>
      </c>
      <c r="EP1" t="s">
        <v>666</v>
      </c>
    </row>
    <row r="2" spans="1:146" ht="96" x14ac:dyDescent="0.25">
      <c r="C2" s="7" t="str">
        <f>""&amp;CHAR(10)&amp;Basic_Fundamental_Information_Constructure(F2)&amp;CHAR(10)&amp;Basic_Fundamental_Information_Concatenate("")</f>
        <v xml:space="preserve">
市值16.578305亿, 利润-1.06亿; PE; 平均PE-29.88; 平均PEG-1.21, PB.594; ROIC0%; ROE-2.98%; 股利率0%; 毛利18.4733%; 净利-203.75%; 上一年度营收增-89.29%, 利润增-193.43%; 当季营收增-52.63%, 利润增9.4%; 过往5年营收增-24.65%, 利润增-82.7%
Income profile:
</v>
      </c>
      <c r="D2" t="s">
        <v>940</v>
      </c>
      <c r="E2" t="s">
        <v>941</v>
      </c>
      <c r="F2">
        <v>2.0099999999999998</v>
      </c>
      <c r="G2">
        <v>2.0299999999999998</v>
      </c>
      <c r="H2" t="s">
        <v>956</v>
      </c>
      <c r="I2">
        <v>1657830500</v>
      </c>
      <c r="K2">
        <v>0.59399999999999997</v>
      </c>
      <c r="L2" t="s">
        <v>502</v>
      </c>
      <c r="M2" t="s">
        <v>278</v>
      </c>
      <c r="N2" t="s">
        <v>957</v>
      </c>
      <c r="O2" t="s">
        <v>942</v>
      </c>
      <c r="P2" s="6">
        <v>-52.63</v>
      </c>
      <c r="Q2" t="s">
        <v>943</v>
      </c>
      <c r="R2">
        <v>-27569631</v>
      </c>
      <c r="S2">
        <v>9.4100000000000003E-2</v>
      </c>
      <c r="T2" t="s">
        <v>944</v>
      </c>
      <c r="U2">
        <v>824791290</v>
      </c>
      <c r="V2">
        <v>824791290</v>
      </c>
      <c r="W2">
        <v>1.34</v>
      </c>
      <c r="X2">
        <v>0</v>
      </c>
      <c r="Y2">
        <v>-1170.3900000000001</v>
      </c>
      <c r="Z2" t="s">
        <v>958</v>
      </c>
      <c r="AA2" t="s">
        <v>959</v>
      </c>
      <c r="AB2">
        <v>0</v>
      </c>
      <c r="AC2" t="s">
        <v>960</v>
      </c>
      <c r="AD2" t="s">
        <v>2</v>
      </c>
      <c r="AE2">
        <v>17252679</v>
      </c>
      <c r="AF2" t="s">
        <v>19</v>
      </c>
      <c r="AG2" t="s">
        <v>2</v>
      </c>
      <c r="AH2" t="s">
        <v>945</v>
      </c>
      <c r="AI2" t="s">
        <v>51</v>
      </c>
      <c r="AJ2" t="s">
        <v>946</v>
      </c>
      <c r="AK2" t="s">
        <v>2</v>
      </c>
      <c r="AL2" t="s">
        <v>947</v>
      </c>
      <c r="AM2" t="s">
        <v>2</v>
      </c>
      <c r="AN2" t="s">
        <v>948</v>
      </c>
      <c r="AO2" t="s">
        <v>159</v>
      </c>
      <c r="AP2" t="s">
        <v>2</v>
      </c>
      <c r="AQ2" t="s">
        <v>110</v>
      </c>
      <c r="AR2" t="s">
        <v>961</v>
      </c>
      <c r="AS2" t="s">
        <v>30</v>
      </c>
      <c r="AT2" t="s">
        <v>228</v>
      </c>
      <c r="AU2" t="s">
        <v>962</v>
      </c>
      <c r="AV2" t="s">
        <v>963</v>
      </c>
      <c r="AW2" t="s">
        <v>964</v>
      </c>
      <c r="AX2" t="s">
        <v>31</v>
      </c>
      <c r="AY2" t="s">
        <v>60</v>
      </c>
      <c r="AZ2" t="s">
        <v>108</v>
      </c>
      <c r="BA2" t="s">
        <v>90</v>
      </c>
      <c r="BB2" t="s">
        <v>688</v>
      </c>
      <c r="BC2" t="s">
        <v>949</v>
      </c>
      <c r="BD2" t="s">
        <v>302</v>
      </c>
      <c r="BE2" t="s">
        <v>950</v>
      </c>
      <c r="BF2" t="s">
        <v>951</v>
      </c>
      <c r="BG2" t="s">
        <v>952</v>
      </c>
      <c r="BH2" t="s">
        <v>943</v>
      </c>
      <c r="BI2" t="s">
        <v>953</v>
      </c>
      <c r="BJ2" t="s">
        <v>31</v>
      </c>
      <c r="BK2" t="s">
        <v>944</v>
      </c>
      <c r="BL2" t="s">
        <v>954</v>
      </c>
      <c r="BM2" t="s">
        <v>949</v>
      </c>
      <c r="BN2" t="s">
        <v>2</v>
      </c>
      <c r="BO2" t="s">
        <v>2</v>
      </c>
      <c r="BP2" t="s">
        <v>2</v>
      </c>
      <c r="BQ2">
        <v>-2.95</v>
      </c>
      <c r="BR2">
        <v>-1.25</v>
      </c>
      <c r="BS2">
        <v>-4.74</v>
      </c>
      <c r="BT2" t="s">
        <v>520</v>
      </c>
      <c r="BU2" t="s">
        <v>965</v>
      </c>
      <c r="BV2">
        <v>-9.59</v>
      </c>
      <c r="BW2">
        <v>36.14</v>
      </c>
      <c r="BX2">
        <v>28.87</v>
      </c>
      <c r="BY2">
        <v>-471.04</v>
      </c>
      <c r="BZ2">
        <v>-16.28</v>
      </c>
      <c r="CA2">
        <v>-123.93</v>
      </c>
      <c r="CB2">
        <v>-3.83</v>
      </c>
      <c r="CC2" s="9">
        <v>-11.84</v>
      </c>
      <c r="CD2" s="10" t="s">
        <v>966</v>
      </c>
      <c r="CE2" s="9" t="s">
        <v>74</v>
      </c>
      <c r="CF2" s="9">
        <v>-0.52628851329889492</v>
      </c>
      <c r="CG2" s="9">
        <v>9.4048935813641696E-2</v>
      </c>
      <c r="CH2" s="9">
        <v>-0.89285904169082642</v>
      </c>
      <c r="CI2" s="9">
        <v>0.94736844301223755</v>
      </c>
      <c r="CJ2" s="10">
        <v>-0.32941177487373352</v>
      </c>
      <c r="CK2" s="10">
        <v>-7.6086953282356262E-2</v>
      </c>
      <c r="CL2" s="10">
        <v>-0.8814433217048645</v>
      </c>
      <c r="CM2" s="10">
        <v>-1.934272289276123</v>
      </c>
      <c r="CN2" s="10">
        <v>0.74559998512268066</v>
      </c>
      <c r="CO2">
        <v>-1.3580011129379272</v>
      </c>
      <c r="CP2">
        <v>0.29325133562088013</v>
      </c>
      <c r="CQ2">
        <v>-1.8815418481826782</v>
      </c>
      <c r="CR2" s="9">
        <v>-29.880205614135853</v>
      </c>
      <c r="CS2" s="10">
        <v>-1.2122449713395893</v>
      </c>
      <c r="CT2">
        <v>0</v>
      </c>
      <c r="CU2">
        <v>-0.24648652970790863</v>
      </c>
      <c r="CV2">
        <v>-0.82699278593063352</v>
      </c>
      <c r="CW2">
        <v>0.06</v>
      </c>
      <c r="CX2" t="s">
        <v>955</v>
      </c>
      <c r="CY2" t="s">
        <v>427</v>
      </c>
      <c r="CZ2">
        <v>-0.24648652970790863</v>
      </c>
      <c r="DA2" t="s">
        <v>955</v>
      </c>
      <c r="DB2" t="s">
        <v>428</v>
      </c>
      <c r="DC2">
        <v>-0.23416220322251319</v>
      </c>
      <c r="DD2" t="s">
        <v>955</v>
      </c>
      <c r="DE2" t="s">
        <v>428</v>
      </c>
      <c r="DF2">
        <v>-0.21690814614295958</v>
      </c>
      <c r="DG2" t="s">
        <v>955</v>
      </c>
      <c r="DH2" t="s">
        <v>428</v>
      </c>
      <c r="DI2">
        <v>-0.19718922376632692</v>
      </c>
      <c r="DJ2" t="s">
        <v>955</v>
      </c>
      <c r="DK2" t="s">
        <v>428</v>
      </c>
      <c r="DL2">
        <v>-0.17254057079553603</v>
      </c>
      <c r="DM2">
        <v>-106000000</v>
      </c>
      <c r="DN2">
        <v>-0.24648652970790863</v>
      </c>
      <c r="DO2">
        <v>-430169500</v>
      </c>
      <c r="DP2">
        <v>3451032400</v>
      </c>
      <c r="DQ2" s="11">
        <v>298</v>
      </c>
      <c r="DR2">
        <v>-0.27980198359098629</v>
      </c>
      <c r="DS2">
        <v>0.92104172174427523</v>
      </c>
      <c r="DT2">
        <v>-0.80666666666666664</v>
      </c>
      <c r="DU2">
        <v>-3.3650000000000002</v>
      </c>
      <c r="DV2">
        <v>-4.1716666666666669</v>
      </c>
      <c r="DW2">
        <v>-8.3234797297297298</v>
      </c>
      <c r="DX2">
        <v>0.22201249999999917</v>
      </c>
      <c r="DY2">
        <v>-8.0297641786317566</v>
      </c>
      <c r="DZ2">
        <v>5073</v>
      </c>
      <c r="EA2">
        <v>-8.0002155136221873</v>
      </c>
      <c r="EB2" s="12">
        <v>8</v>
      </c>
      <c r="EC2" s="12">
        <v>1.3387023037064322E-2</v>
      </c>
      <c r="ED2">
        <v>0.14549135212133485</v>
      </c>
      <c r="EE2">
        <v>-3.0667</v>
      </c>
      <c r="EF2">
        <v>-3.0571000000000002</v>
      </c>
      <c r="EG2">
        <v>13.092012499999999</v>
      </c>
      <c r="EH2" s="13" t="s">
        <v>678</v>
      </c>
      <c r="EI2">
        <v>0</v>
      </c>
      <c r="EJ2">
        <v>0</v>
      </c>
      <c r="EK2">
        <v>45470</v>
      </c>
      <c r="EL2">
        <v>-0.51</v>
      </c>
      <c r="EM2">
        <v>-2.04</v>
      </c>
      <c r="EN2">
        <v>5.21</v>
      </c>
      <c r="EO2">
        <v>2.97</v>
      </c>
      <c r="EP2">
        <v>-0.96</v>
      </c>
    </row>
    <row r="3" spans="1:146" ht="156" x14ac:dyDescent="0.25">
      <c r="A3" s="7"/>
      <c r="B3" s="7"/>
      <c r="C3" s="7" t="str">
        <f>"公司主要从事风机制造、风电服务、风电场投资与开发三大主要业务以及水务等其他业务。主要产品有MSPM、GW6S/8S、GW3S/4S、GW2S、1.5MW、风机零部件销售、风电服务、风电场开发。"&amp;CHAR(10)&amp;Basic_Fundamental_Information_Constructure(F3)&amp;CHAR(10)&amp;Basic_Fundamental_Information_Concatenate("风机及零部件销售 108.29亿 64.99% 32.55% 12.59%
风电场开发 32.94亿 19.77% 53.71% 68.29%
风电服务 19.34亿 11.61% 9.15% 19.81%
其他 6.05亿 3.63% 4.59% 31.78%")</f>
        <v>公司主要从事风机制造、风电服务、风电场投资与开发三大主要业务以及水务等其他业务。主要产品有MSPM、GW6S/8S、GW3S/4S、GW2S、1.5MW、风机零部件销售、风电服务、风电场开发。
市值280.12198亿, 利润13.31亿; PE65.31; 平均PE10.61; 平均PEG.75, PB.782; ROIC4.2433%; ROE6.8067%; 股利率1.5083%; 毛利19.1167%; 净利5.0567%; 上一年度营收增8.66%, 利润增-44.15%; 当季营收增25.41%, 利润增-73.07%; 过往5年营收增14.12%, 利润增-10.32%
Income profile:
风机及零部件销售 108.29亿 64.99% 32.55% 12.59%
风电场开发 32.94亿 19.77% 53.71% 68.29%
风电服务 19.34亿 11.61% 9.15% 19.81%
其他 6.05亿 3.63% 4.59% 31.78%</v>
      </c>
      <c r="D3" t="s">
        <v>316</v>
      </c>
      <c r="E3" t="s">
        <v>317</v>
      </c>
      <c r="F3">
        <v>6.63</v>
      </c>
      <c r="G3">
        <v>0.61</v>
      </c>
      <c r="H3" t="s">
        <v>967</v>
      </c>
      <c r="I3">
        <v>28012198000</v>
      </c>
      <c r="J3">
        <v>65.31</v>
      </c>
      <c r="K3">
        <v>0.78200000000000003</v>
      </c>
      <c r="L3" t="s">
        <v>502</v>
      </c>
      <c r="M3" t="s">
        <v>748</v>
      </c>
      <c r="N3" t="s">
        <v>968</v>
      </c>
      <c r="O3" t="s">
        <v>749</v>
      </c>
      <c r="P3">
        <v>25.42</v>
      </c>
      <c r="Q3" t="s">
        <v>750</v>
      </c>
      <c r="R3">
        <v>332623660</v>
      </c>
      <c r="S3" s="6">
        <v>-0.73060000000000003</v>
      </c>
      <c r="T3" t="s">
        <v>751</v>
      </c>
      <c r="U3">
        <v>3394099200</v>
      </c>
      <c r="V3">
        <v>4225067600</v>
      </c>
      <c r="W3">
        <v>3.5</v>
      </c>
      <c r="X3">
        <v>0.05</v>
      </c>
      <c r="Y3">
        <v>5.54</v>
      </c>
      <c r="Z3" t="s">
        <v>969</v>
      </c>
      <c r="AA3" t="s">
        <v>970</v>
      </c>
      <c r="AB3" t="s">
        <v>52</v>
      </c>
      <c r="AC3" t="s">
        <v>173</v>
      </c>
      <c r="AD3" t="s">
        <v>2</v>
      </c>
      <c r="AE3">
        <v>188290170</v>
      </c>
      <c r="AF3" t="s">
        <v>752</v>
      </c>
      <c r="AG3" t="s">
        <v>971</v>
      </c>
      <c r="AH3" t="s">
        <v>753</v>
      </c>
      <c r="AI3" t="s">
        <v>972</v>
      </c>
      <c r="AJ3" t="s">
        <v>754</v>
      </c>
      <c r="AK3" t="s">
        <v>2</v>
      </c>
      <c r="AL3" t="s">
        <v>755</v>
      </c>
      <c r="AM3" t="s">
        <v>2</v>
      </c>
      <c r="AN3" t="s">
        <v>973</v>
      </c>
      <c r="AO3" t="s">
        <v>974</v>
      </c>
      <c r="AP3" t="s">
        <v>975</v>
      </c>
      <c r="AQ3" t="s">
        <v>976</v>
      </c>
      <c r="AR3" t="s">
        <v>977</v>
      </c>
      <c r="AS3" t="s">
        <v>978</v>
      </c>
      <c r="AT3" t="s">
        <v>979</v>
      </c>
      <c r="AU3" t="s">
        <v>980</v>
      </c>
      <c r="AV3" t="s">
        <v>981</v>
      </c>
      <c r="AW3" t="s">
        <v>982</v>
      </c>
      <c r="AX3" t="s">
        <v>543</v>
      </c>
      <c r="AY3" t="s">
        <v>545</v>
      </c>
      <c r="AZ3" t="s">
        <v>318</v>
      </c>
      <c r="BA3" t="s">
        <v>320</v>
      </c>
      <c r="BB3" t="s">
        <v>321</v>
      </c>
      <c r="BC3" t="s">
        <v>544</v>
      </c>
      <c r="BD3" t="s">
        <v>546</v>
      </c>
      <c r="BE3" t="s">
        <v>319</v>
      </c>
      <c r="BF3" t="s">
        <v>322</v>
      </c>
      <c r="BG3" t="s">
        <v>323</v>
      </c>
      <c r="BH3" t="s">
        <v>750</v>
      </c>
      <c r="BI3" t="s">
        <v>756</v>
      </c>
      <c r="BJ3" t="s">
        <v>543</v>
      </c>
      <c r="BK3" t="s">
        <v>751</v>
      </c>
      <c r="BL3" t="s">
        <v>757</v>
      </c>
      <c r="BM3" t="s">
        <v>544</v>
      </c>
      <c r="BN3">
        <v>2.31</v>
      </c>
      <c r="BO3">
        <v>4.2699999999999996</v>
      </c>
      <c r="BP3">
        <v>6.15</v>
      </c>
      <c r="BQ3">
        <v>3.32</v>
      </c>
      <c r="BR3">
        <v>6.38</v>
      </c>
      <c r="BS3">
        <v>10.72</v>
      </c>
      <c r="BT3" t="s">
        <v>519</v>
      </c>
      <c r="BU3" t="s">
        <v>983</v>
      </c>
      <c r="BV3">
        <v>17.14</v>
      </c>
      <c r="BW3">
        <v>17.66</v>
      </c>
      <c r="BX3">
        <v>22.55</v>
      </c>
      <c r="BY3">
        <v>3.02</v>
      </c>
      <c r="BZ3">
        <v>5.25</v>
      </c>
      <c r="CA3">
        <v>6.9</v>
      </c>
      <c r="CB3">
        <v>-1.34</v>
      </c>
      <c r="CC3">
        <v>-15.54</v>
      </c>
      <c r="CD3" t="s">
        <v>984</v>
      </c>
      <c r="CE3" t="s">
        <v>674</v>
      </c>
      <c r="CF3" s="9">
        <v>0.25408805031446557</v>
      </c>
      <c r="CG3" s="10">
        <v>-0.73066910121457485</v>
      </c>
      <c r="CH3" s="9">
        <v>8.6568959057331085E-2</v>
      </c>
      <c r="CI3" s="9">
        <v>-8.7699674069881439E-2</v>
      </c>
      <c r="CJ3" s="9">
        <v>-9.5334559679031372E-2</v>
      </c>
      <c r="CK3" s="9">
        <v>0.47117272019386292</v>
      </c>
      <c r="CL3" s="9">
        <v>0.33114051818847656</v>
      </c>
      <c r="CM3" s="10">
        <v>-0.44146034121513367</v>
      </c>
      <c r="CN3" s="10">
        <v>-0.36129721999168396</v>
      </c>
      <c r="CO3" s="10">
        <v>0.25877195596694946</v>
      </c>
      <c r="CP3" s="10">
        <v>0.34117653965950012</v>
      </c>
      <c r="CQ3" s="10">
        <v>-0.31302458047866821</v>
      </c>
      <c r="CR3">
        <v>10.613361202323819</v>
      </c>
      <c r="CS3">
        <v>0.751816378900378</v>
      </c>
      <c r="CT3">
        <v>1.5082956259426847</v>
      </c>
      <c r="CU3" s="9">
        <v>0.14116959273815155</v>
      </c>
      <c r="CV3" s="10">
        <v>-0.10316672921180725</v>
      </c>
      <c r="CW3">
        <v>0.06</v>
      </c>
      <c r="CX3">
        <v>63.30437620387562</v>
      </c>
      <c r="CY3">
        <v>1432921441.4476223</v>
      </c>
      <c r="CZ3">
        <v>0.14116959273815155</v>
      </c>
      <c r="DA3">
        <v>19.815106916294031</v>
      </c>
      <c r="DB3">
        <v>4577830358.5840712</v>
      </c>
      <c r="DC3">
        <v>0.13411111310124396</v>
      </c>
      <c r="DD3">
        <v>9.1984722291440413</v>
      </c>
      <c r="DE3">
        <v>9861441741.6620293</v>
      </c>
      <c r="DF3">
        <v>0.12422924160957337</v>
      </c>
      <c r="DG3">
        <v>5.162130650689333</v>
      </c>
      <c r="DH3">
        <v>17572239863.376354</v>
      </c>
      <c r="DI3">
        <v>0.11293567419052125</v>
      </c>
      <c r="DJ3">
        <v>2.2863153821994091</v>
      </c>
      <c r="DK3">
        <v>39675277831.852684</v>
      </c>
      <c r="DL3">
        <v>9.8818714916706074E-2</v>
      </c>
      <c r="DM3">
        <v>1331000000</v>
      </c>
      <c r="DN3">
        <v>0.14116959273815155</v>
      </c>
      <c r="DO3">
        <v>90710198000.000015</v>
      </c>
      <c r="DP3">
        <v>4436381000</v>
      </c>
      <c r="DQ3">
        <v>712</v>
      </c>
      <c r="DR3">
        <v>0.11291845757631402</v>
      </c>
      <c r="DS3">
        <v>-0.62750237200276759</v>
      </c>
      <c r="DT3" s="11">
        <v>-0.22333333333333338</v>
      </c>
      <c r="DU3">
        <v>-0.60666666666666669</v>
      </c>
      <c r="DV3">
        <v>-0.83000000000000007</v>
      </c>
      <c r="DW3">
        <v>-2.1554000000000002</v>
      </c>
      <c r="DX3">
        <v>0.27567398843930679</v>
      </c>
      <c r="DY3">
        <v>-2.0164217378034683</v>
      </c>
      <c r="DZ3">
        <v>3383</v>
      </c>
      <c r="EA3">
        <v>-2.0055499689210547</v>
      </c>
      <c r="EB3">
        <v>2</v>
      </c>
      <c r="EC3">
        <v>2.1634683430863923E-2</v>
      </c>
      <c r="ED3">
        <v>0.20473045212341692</v>
      </c>
      <c r="EE3" s="12">
        <v>4.7710000000000009E-2</v>
      </c>
      <c r="EF3">
        <v>6.9609999999999991E-2</v>
      </c>
      <c r="EG3">
        <v>17.105673988439307</v>
      </c>
      <c r="EH3">
        <v>-1</v>
      </c>
      <c r="EI3">
        <v>0</v>
      </c>
      <c r="EJ3">
        <v>0</v>
      </c>
      <c r="EK3" s="13">
        <v>45470</v>
      </c>
      <c r="EL3">
        <v>-0.85</v>
      </c>
      <c r="EM3">
        <v>-2.0099999999999998</v>
      </c>
      <c r="EN3">
        <v>-0.44</v>
      </c>
      <c r="EO3">
        <v>0.74</v>
      </c>
      <c r="EP3">
        <v>-2.19</v>
      </c>
    </row>
    <row r="4" spans="1:146" ht="132" x14ac:dyDescent="0.25">
      <c r="A4" s="8"/>
      <c r="B4" s="8" t="s">
        <v>417</v>
      </c>
      <c r="C4" s="7" t="str">
        <f>"公司主营业务为风力发电设备制造。公司主要产品是常规陆塔、大直径分片式陆塔、低风速柔性高塔、海塔、单桩、群桩、导管架、海上升压站等风电设备及相关零部件。"&amp;CHAR(10)&amp;Basic_Fundamental_Information_Constructure(F4)&amp;CHAR(10)&amp;Basic_Fundamental_Information_Concatenate("风电塔筒 22.32亿 97.92% 86.65% 11.18%
其他 4739.32万 2.08% 13.35% 81.14%")</f>
        <v>公司主营业务为风力发电设备制造。公司主要产品是常规陆塔、大直径分片式陆塔、低风速柔性高塔、海塔、单桩、群桩、导管架、海上升压站等风电设备及相关零部件。
市值135.26664亿, 利润4.25亿; PE33.53; 平均PE37.65; 平均PEG.92, PB1.94; ROIC10.9267%; ROE13.4833%; 股利率.8581%; 毛利21.0567%; 净利10.56%; 上一年度营收增-15.3%, 利润增-5.56%; 当季营收增-45.85%, 利润增-29.12%; 过往5年营收增40.84%, 利润增68.24%
Income profile:
风电塔筒 22.32亿 97.92% 86.65% 11.18%
其他 4739.32万 2.08% 13.35% 81.14%</v>
      </c>
      <c r="D4" t="s">
        <v>324</v>
      </c>
      <c r="E4" t="s">
        <v>325</v>
      </c>
      <c r="F4">
        <v>21.21</v>
      </c>
      <c r="G4">
        <v>-1.94</v>
      </c>
      <c r="H4" t="s">
        <v>985</v>
      </c>
      <c r="I4">
        <v>13526664000</v>
      </c>
      <c r="J4">
        <v>33.53</v>
      </c>
      <c r="K4">
        <v>1.94</v>
      </c>
      <c r="L4" t="s">
        <v>502</v>
      </c>
      <c r="M4" t="s">
        <v>400</v>
      </c>
      <c r="N4" t="s">
        <v>986</v>
      </c>
      <c r="O4" t="s">
        <v>261</v>
      </c>
      <c r="P4">
        <v>-45.83</v>
      </c>
      <c r="Q4" t="s">
        <v>760</v>
      </c>
      <c r="R4">
        <v>52982634</v>
      </c>
      <c r="S4" s="6">
        <v>-0.29120000000000001</v>
      </c>
      <c r="T4" t="s">
        <v>109</v>
      </c>
      <c r="U4">
        <v>630580350</v>
      </c>
      <c r="V4">
        <v>637749350</v>
      </c>
      <c r="W4">
        <v>1.44</v>
      </c>
      <c r="X4">
        <v>0.05</v>
      </c>
      <c r="Y4">
        <v>11.44</v>
      </c>
      <c r="Z4" t="s">
        <v>160</v>
      </c>
      <c r="AA4" t="s">
        <v>151</v>
      </c>
      <c r="AB4" t="s">
        <v>987</v>
      </c>
      <c r="AC4" t="s">
        <v>988</v>
      </c>
      <c r="AD4" t="s">
        <v>2</v>
      </c>
      <c r="AE4">
        <v>15438747</v>
      </c>
      <c r="AF4" t="s">
        <v>761</v>
      </c>
      <c r="AG4" t="s">
        <v>989</v>
      </c>
      <c r="AH4" t="s">
        <v>762</v>
      </c>
      <c r="AI4" t="s">
        <v>866</v>
      </c>
      <c r="AJ4" t="s">
        <v>763</v>
      </c>
      <c r="AK4" t="s">
        <v>990</v>
      </c>
      <c r="AL4" t="s">
        <v>764</v>
      </c>
      <c r="AM4" t="s">
        <v>2</v>
      </c>
      <c r="AN4" t="s">
        <v>556</v>
      </c>
      <c r="AO4" t="s">
        <v>991</v>
      </c>
      <c r="AP4" t="s">
        <v>298</v>
      </c>
      <c r="AQ4" t="s">
        <v>714</v>
      </c>
      <c r="AR4" t="s">
        <v>2</v>
      </c>
      <c r="AS4" t="s">
        <v>992</v>
      </c>
      <c r="AT4" t="s">
        <v>2</v>
      </c>
      <c r="AU4" t="s">
        <v>993</v>
      </c>
      <c r="AV4" t="s">
        <v>92</v>
      </c>
      <c r="AW4" t="s">
        <v>994</v>
      </c>
      <c r="AX4" t="s">
        <v>668</v>
      </c>
      <c r="AY4" t="s">
        <v>445</v>
      </c>
      <c r="AZ4" t="s">
        <v>326</v>
      </c>
      <c r="BA4" t="s">
        <v>327</v>
      </c>
      <c r="BB4" t="s">
        <v>328</v>
      </c>
      <c r="BC4" t="s">
        <v>165</v>
      </c>
      <c r="BD4" t="s">
        <v>260</v>
      </c>
      <c r="BE4" t="s">
        <v>42</v>
      </c>
      <c r="BF4" t="s">
        <v>152</v>
      </c>
      <c r="BG4" t="s">
        <v>329</v>
      </c>
      <c r="BH4" t="s">
        <v>760</v>
      </c>
      <c r="BI4" t="s">
        <v>112</v>
      </c>
      <c r="BJ4" t="s">
        <v>668</v>
      </c>
      <c r="BK4" t="s">
        <v>109</v>
      </c>
      <c r="BL4" t="s">
        <v>765</v>
      </c>
      <c r="BM4" t="s">
        <v>165</v>
      </c>
      <c r="BN4">
        <v>5.71</v>
      </c>
      <c r="BO4">
        <v>7.96</v>
      </c>
      <c r="BP4">
        <v>19.11</v>
      </c>
      <c r="BQ4">
        <v>6.07</v>
      </c>
      <c r="BR4">
        <v>12.94</v>
      </c>
      <c r="BS4">
        <v>21.44</v>
      </c>
      <c r="BT4" t="s">
        <v>766</v>
      </c>
      <c r="BU4" t="s">
        <v>965</v>
      </c>
      <c r="BV4">
        <v>23.44</v>
      </c>
      <c r="BW4">
        <v>16.72</v>
      </c>
      <c r="BX4">
        <v>23.01</v>
      </c>
      <c r="BY4">
        <v>9.83</v>
      </c>
      <c r="BZ4">
        <v>8.82</v>
      </c>
      <c r="CA4">
        <v>13.03</v>
      </c>
      <c r="CB4">
        <v>-7.3</v>
      </c>
      <c r="CC4">
        <v>-10.27</v>
      </c>
      <c r="CD4" t="s">
        <v>995</v>
      </c>
      <c r="CE4" t="s">
        <v>250</v>
      </c>
      <c r="CF4" s="9">
        <v>-0.45847953216374276</v>
      </c>
      <c r="CG4" s="10">
        <v>-0.2911946348589684</v>
      </c>
      <c r="CH4" s="9">
        <v>-0.1529572457075119</v>
      </c>
      <c r="CI4" s="9">
        <v>0.15207578241825104</v>
      </c>
      <c r="CJ4" s="9">
        <v>0.33293235301971436</v>
      </c>
      <c r="CK4" s="9">
        <v>0.97095423936843872</v>
      </c>
      <c r="CL4" s="9">
        <v>0.73917531967163086</v>
      </c>
      <c r="CM4" s="10">
        <v>-5.55555559694767E-2</v>
      </c>
      <c r="CN4" s="10">
        <v>-0.22010397911071777</v>
      </c>
      <c r="CO4" s="10">
        <v>0.24086020886898041</v>
      </c>
      <c r="CP4" s="10">
        <v>1.6420454978942871</v>
      </c>
      <c r="CQ4" s="10">
        <v>1.8049640655517578</v>
      </c>
      <c r="CR4">
        <v>37.648214476483524</v>
      </c>
      <c r="CS4">
        <v>0.92176512852106929</v>
      </c>
      <c r="CT4">
        <v>0.85808580858085803</v>
      </c>
      <c r="CU4" s="9">
        <v>0.40843608975410461</v>
      </c>
      <c r="CV4" s="10">
        <v>0.68244204744696613</v>
      </c>
      <c r="CW4">
        <v>0.06</v>
      </c>
      <c r="CX4">
        <v>17.479385433020489</v>
      </c>
      <c r="CY4">
        <v>564703149.19386268</v>
      </c>
      <c r="CZ4">
        <v>0.40843608975410461</v>
      </c>
      <c r="DA4">
        <v>4.4075840198200522</v>
      </c>
      <c r="DB4">
        <v>2239472680.6371779</v>
      </c>
      <c r="DC4">
        <v>0.38801428526639936</v>
      </c>
      <c r="DD4">
        <v>1.4830471704115151</v>
      </c>
      <c r="DE4">
        <v>6655664227.632823</v>
      </c>
      <c r="DF4">
        <v>0.35942375898361206</v>
      </c>
      <c r="DG4">
        <v>0.55346380454544897</v>
      </c>
      <c r="DH4">
        <v>17834344213.541878</v>
      </c>
      <c r="DI4">
        <v>0.32674887180328371</v>
      </c>
      <c r="DJ4">
        <v>8.7462908674168546E-2</v>
      </c>
      <c r="DK4">
        <v>112855428085.19949</v>
      </c>
      <c r="DL4">
        <v>0.28590526282787321</v>
      </c>
      <c r="DM4">
        <v>425000000</v>
      </c>
      <c r="DN4">
        <v>0.40843608975410461</v>
      </c>
      <c r="DO4">
        <v>9870664000</v>
      </c>
      <c r="DP4">
        <v>4332133800</v>
      </c>
      <c r="DQ4">
        <v>985</v>
      </c>
      <c r="DR4">
        <v>-0.86691562191784732</v>
      </c>
      <c r="DS4">
        <v>-0.97363668230593459</v>
      </c>
      <c r="DT4" s="11">
        <v>0.10999999999999995</v>
      </c>
      <c r="DU4">
        <v>0.51833333333333331</v>
      </c>
      <c r="DV4">
        <v>0.6283333333333333</v>
      </c>
      <c r="DW4">
        <v>-9.7108081791626102</v>
      </c>
      <c r="DX4">
        <v>0.31848050541516215</v>
      </c>
      <c r="DY4">
        <v>-9.1410815666534262</v>
      </c>
      <c r="DZ4">
        <v>543</v>
      </c>
      <c r="EA4">
        <v>-9.126089924639178</v>
      </c>
      <c r="EB4">
        <v>9</v>
      </c>
      <c r="EC4">
        <v>8.6208006327250661E-2</v>
      </c>
      <c r="ED4">
        <v>0.43433991739858302</v>
      </c>
      <c r="EE4" s="12">
        <v>1.0599999999999998E-2</v>
      </c>
      <c r="EF4">
        <v>1.5410000000000002E-2</v>
      </c>
      <c r="EG4">
        <v>12.198480505415162</v>
      </c>
      <c r="EH4">
        <v>-1</v>
      </c>
      <c r="EI4">
        <v>0</v>
      </c>
      <c r="EJ4">
        <v>1</v>
      </c>
      <c r="EK4" s="13">
        <v>45470</v>
      </c>
      <c r="EL4">
        <v>3.79</v>
      </c>
      <c r="EM4">
        <v>0.08</v>
      </c>
      <c r="EN4">
        <v>-2.5</v>
      </c>
      <c r="EO4">
        <v>2.2599999999999998</v>
      </c>
      <c r="EP4">
        <v>-2.6</v>
      </c>
    </row>
    <row r="5" spans="1:146" ht="192" x14ac:dyDescent="0.25">
      <c r="A5" s="8" t="s">
        <v>418</v>
      </c>
      <c r="B5" s="8" t="s">
        <v>419</v>
      </c>
      <c r="C5" s="8" t="str">
        <f>"公司业务主要分为三部分，一部分为塔筒业务，今年产能60万吨，从未来五年来看，公司希望通过现有的陆上及海上风电的布局，成为世界塔筒龙头制造企业。第二部分为叶片业务，2020年底共有14条叶片生产线和4条模具生产线；2021年初濮阳将新投产6条叶片生产线，明年商都新建6条生产线，同时太仓基地还会增加2条模具生产线。第三部分为风电场运营，目前总并网容量860WM左右，公司目前储备资源接近3GW；"&amp;CHAR(10)&amp;Basic_Fundamental_Information_Constructure(F5)&amp;CHAR(10)&amp;Basic_Fundamental_Information_Concatenate("风塔及相关产品 9.53亿 46.66% 17.34% 8.87%
发电 5.23亿 25.61% 73.91% 68.92%
叶片 5.03亿 24.62% 6.91% 6.70%")</f>
        <v>公司业务主要分为三部分，一部分为塔筒业务，今年产能60万吨，从未来五年来看，公司希望通过现有的陆上及海上风电的布局，成为世界塔筒龙头制造企业。第二部分为叶片业务，2020年底共有14条叶片生产线和4条模具生产线；2021年初濮阳将新投产6条叶片生产线，明年商都新建6条生产线，同时太仓基地还会增加2条模具生产线。第三部分为风电场运营，目前总并网容量860WM左右，公司目前储备资源接近3GW；
市值155.07063亿, 利润7.95亿; PE20.78; 平均PE18.6; 平均PEG.98, PB1.72; ROIC7.5633%; ROE11.4733%; 股利率.8691%; 毛利21.12%; 净利11.74%; 上一年度营收增14.68%, 利润增26.39%; 当季营收增-22.67%, 利润增-24.68%; 过往5年营收增18.95%, 利润增19.73%
Income profile:
风塔及相关产品 9.53亿 46.66% 17.34% 8.87%
发电 5.23亿 25.61% 73.91% 68.92%
叶片 5.03亿 24.62% 6.91% 6.70%</v>
      </c>
      <c r="D5" t="s">
        <v>330</v>
      </c>
      <c r="E5" t="s">
        <v>331</v>
      </c>
      <c r="F5">
        <v>8.6300000000000008</v>
      </c>
      <c r="G5">
        <v>0.12</v>
      </c>
      <c r="H5" t="s">
        <v>996</v>
      </c>
      <c r="I5">
        <v>15507063000</v>
      </c>
      <c r="J5">
        <v>20.78</v>
      </c>
      <c r="K5">
        <v>1.72</v>
      </c>
      <c r="L5" t="s">
        <v>502</v>
      </c>
      <c r="M5" t="s">
        <v>768</v>
      </c>
      <c r="N5" t="s">
        <v>997</v>
      </c>
      <c r="O5" t="s">
        <v>267</v>
      </c>
      <c r="P5">
        <v>-22.67</v>
      </c>
      <c r="Q5" t="s">
        <v>769</v>
      </c>
      <c r="R5">
        <v>148375880</v>
      </c>
      <c r="S5" s="6">
        <v>-0.24829999999999999</v>
      </c>
      <c r="T5" t="s">
        <v>431</v>
      </c>
      <c r="U5">
        <v>1786866100</v>
      </c>
      <c r="V5">
        <v>1796878700</v>
      </c>
      <c r="W5">
        <v>2.75</v>
      </c>
      <c r="X5">
        <v>0.04</v>
      </c>
      <c r="Y5">
        <v>14.12</v>
      </c>
      <c r="Z5" t="s">
        <v>998</v>
      </c>
      <c r="AA5" t="s">
        <v>493</v>
      </c>
      <c r="AB5" t="s">
        <v>999</v>
      </c>
      <c r="AC5" t="s">
        <v>1000</v>
      </c>
      <c r="AD5" t="s">
        <v>2</v>
      </c>
      <c r="AE5">
        <v>91878245</v>
      </c>
      <c r="AF5" t="s">
        <v>770</v>
      </c>
      <c r="AG5" t="s">
        <v>1001</v>
      </c>
      <c r="AH5" t="s">
        <v>771</v>
      </c>
      <c r="AI5" t="s">
        <v>548</v>
      </c>
      <c r="AJ5" t="s">
        <v>772</v>
      </c>
      <c r="AK5" t="s">
        <v>138</v>
      </c>
      <c r="AL5" t="s">
        <v>773</v>
      </c>
      <c r="AM5" t="s">
        <v>2</v>
      </c>
      <c r="AN5" t="s">
        <v>283</v>
      </c>
      <c r="AO5" t="s">
        <v>1002</v>
      </c>
      <c r="AP5" t="s">
        <v>468</v>
      </c>
      <c r="AQ5" t="s">
        <v>1003</v>
      </c>
      <c r="AR5" t="s">
        <v>2</v>
      </c>
      <c r="AS5" t="s">
        <v>1004</v>
      </c>
      <c r="AT5" t="s">
        <v>1005</v>
      </c>
      <c r="AU5" t="s">
        <v>37</v>
      </c>
      <c r="AV5" t="s">
        <v>1006</v>
      </c>
      <c r="AW5" t="s">
        <v>1007</v>
      </c>
      <c r="AX5" t="s">
        <v>549</v>
      </c>
      <c r="AY5" t="s">
        <v>547</v>
      </c>
      <c r="AZ5" t="s">
        <v>551</v>
      </c>
      <c r="BA5" t="s">
        <v>332</v>
      </c>
      <c r="BB5" t="s">
        <v>333</v>
      </c>
      <c r="BC5" t="s">
        <v>273</v>
      </c>
      <c r="BD5" t="s">
        <v>446</v>
      </c>
      <c r="BE5" t="s">
        <v>314</v>
      </c>
      <c r="BF5" t="s">
        <v>190</v>
      </c>
      <c r="BG5" t="s">
        <v>287</v>
      </c>
      <c r="BH5" t="s">
        <v>769</v>
      </c>
      <c r="BI5" t="s">
        <v>494</v>
      </c>
      <c r="BJ5" t="s">
        <v>549</v>
      </c>
      <c r="BK5" t="s">
        <v>431</v>
      </c>
      <c r="BL5" t="s">
        <v>224</v>
      </c>
      <c r="BM5" t="s">
        <v>273</v>
      </c>
      <c r="BN5">
        <v>5.27</v>
      </c>
      <c r="BO5">
        <v>5.66</v>
      </c>
      <c r="BP5">
        <v>11.76</v>
      </c>
      <c r="BQ5">
        <v>8.51</v>
      </c>
      <c r="BR5">
        <v>7.84</v>
      </c>
      <c r="BS5">
        <v>18.07</v>
      </c>
      <c r="BT5" t="s">
        <v>539</v>
      </c>
      <c r="BU5" t="s">
        <v>965</v>
      </c>
      <c r="BV5">
        <v>22.81</v>
      </c>
      <c r="BW5">
        <v>18.98</v>
      </c>
      <c r="BX5">
        <v>21.57</v>
      </c>
      <c r="BY5">
        <v>10.119999999999999</v>
      </c>
      <c r="BZ5">
        <v>9.14</v>
      </c>
      <c r="CA5">
        <v>15.96</v>
      </c>
      <c r="CB5">
        <v>-3.47</v>
      </c>
      <c r="CC5">
        <v>-18.04</v>
      </c>
      <c r="CD5" t="s">
        <v>1008</v>
      </c>
      <c r="CE5" t="s">
        <v>255</v>
      </c>
      <c r="CF5" s="9">
        <v>-0.22670579603815122</v>
      </c>
      <c r="CG5" s="10">
        <v>-0.24682294416243655</v>
      </c>
      <c r="CH5" s="9">
        <v>0.14677949249744415</v>
      </c>
      <c r="CI5" s="9">
        <v>-0.17487144470214844</v>
      </c>
      <c r="CJ5" s="9">
        <v>1.4283980242908001E-2</v>
      </c>
      <c r="CK5" s="9">
        <v>0.34925419092178345</v>
      </c>
      <c r="CL5" s="9">
        <v>0.6118314266204834</v>
      </c>
      <c r="CM5" s="10">
        <v>0.26391097903251648</v>
      </c>
      <c r="CN5" s="10">
        <v>-0.5198473334312439</v>
      </c>
      <c r="CO5" s="10">
        <v>0.24761904776096344</v>
      </c>
      <c r="CP5" s="10">
        <v>0.40562248229980469</v>
      </c>
      <c r="CQ5" s="10">
        <v>0.58936172723770142</v>
      </c>
      <c r="CR5">
        <v>18.604754649070188</v>
      </c>
      <c r="CS5">
        <v>0.98201170141989413</v>
      </c>
      <c r="CT5">
        <v>0.86906141367323286</v>
      </c>
      <c r="CU5" s="9">
        <v>0.18945552911609412</v>
      </c>
      <c r="CV5" s="10">
        <v>0.19733338057994843</v>
      </c>
      <c r="CW5">
        <v>0.06</v>
      </c>
      <c r="CX5">
        <v>24.420207360128739</v>
      </c>
      <c r="CY5">
        <v>892091646.8370707</v>
      </c>
      <c r="CZ5">
        <v>0.18945552911609412</v>
      </c>
      <c r="DA5">
        <v>7.3429042811081269</v>
      </c>
      <c r="DB5">
        <v>2966818327.7356286</v>
      </c>
      <c r="DC5">
        <v>0.1799827526602894</v>
      </c>
      <c r="DD5">
        <v>3.2211789283219665</v>
      </c>
      <c r="DE5">
        <v>6763071373.7931538</v>
      </c>
      <c r="DF5">
        <v>0.16672086562216282</v>
      </c>
      <c r="DG5">
        <v>1.6891232991205936</v>
      </c>
      <c r="DH5">
        <v>12897260378.41165</v>
      </c>
      <c r="DI5">
        <v>0.15156442329287531</v>
      </c>
      <c r="DJ5">
        <v>0.63583342845349067</v>
      </c>
      <c r="DK5">
        <v>34262217154.871582</v>
      </c>
      <c r="DL5">
        <v>0.13261887038126588</v>
      </c>
      <c r="DM5">
        <v>795000000</v>
      </c>
      <c r="DN5">
        <v>0.18945552911609412</v>
      </c>
      <c r="DO5">
        <v>21785063000</v>
      </c>
      <c r="DP5">
        <v>1231863200.000001</v>
      </c>
      <c r="DQ5">
        <v>1024</v>
      </c>
      <c r="DR5">
        <v>-0.41616132515424531</v>
      </c>
      <c r="DS5">
        <v>-0.44415632474238498</v>
      </c>
      <c r="DT5" s="11">
        <v>-0.27333333333333337</v>
      </c>
      <c r="DU5">
        <v>0.14666666666666661</v>
      </c>
      <c r="DV5">
        <v>-0.12666666666666676</v>
      </c>
      <c r="DW5">
        <v>-8.1923503325942342</v>
      </c>
      <c r="DX5">
        <v>0.26004140127388553</v>
      </c>
      <c r="DY5">
        <v>-8.0250135067860526</v>
      </c>
      <c r="DZ5">
        <v>2018</v>
      </c>
      <c r="EA5">
        <v>-8.0151353743605629</v>
      </c>
      <c r="EB5">
        <v>8</v>
      </c>
      <c r="EC5">
        <v>3.4086608072097464E-2</v>
      </c>
      <c r="ED5">
        <v>0.26212119938869555</v>
      </c>
      <c r="EE5" s="12">
        <v>-1.0415099999999999</v>
      </c>
      <c r="EF5">
        <v>-1.07341</v>
      </c>
      <c r="EG5">
        <v>13.130041401273886</v>
      </c>
      <c r="EH5" t="s">
        <v>530</v>
      </c>
      <c r="EI5">
        <v>0</v>
      </c>
      <c r="EJ5">
        <v>0</v>
      </c>
      <c r="EK5" s="13">
        <v>45470</v>
      </c>
      <c r="EL5">
        <v>-1.4</v>
      </c>
      <c r="EM5">
        <v>-1.42</v>
      </c>
      <c r="EN5">
        <v>-0.22</v>
      </c>
      <c r="EO5">
        <v>1</v>
      </c>
      <c r="EP5">
        <v>-3.19</v>
      </c>
    </row>
    <row r="6" spans="1:146" ht="156" x14ac:dyDescent="0.25">
      <c r="A6" s="8" t="s">
        <v>414</v>
      </c>
      <c r="B6" s="8"/>
      <c r="C6" s="8" t="str">
        <f>"公司的主营业务为风力发电设备、辅件、零件及各类海洋工程设备的生产、销售。公司主要产品为自主品牌的陆上风电塔架和海上风电塔架、导管架、管桩、升压站平台及相关辅件、零件。"&amp;CHAR(10)&amp;Basic_Fundamental_Information_Constructure(F6)&amp;CHAR(10)&amp;Basic_Fundamental_Information_Concatenate("陆上风电装备 11.45亿 89.62% 75.42% 13.65%
海上风电装备 9723.54万 7.61% 13.94% 29.71%
其他业务 2137.61万 1.67% 7.49% 72.57%
风力发电 1402.29万 1.10% 3.15% 46.56%")</f>
        <v>公司的主营业务为风力发电设备、辅件、零件及各类海洋工程设备的生产、销售。公司主要产品为自主品牌的陆上风电塔架和海上风电塔架、导管架、管桩、升压站平台及相关辅件、零件。
市值61.42288亿, 利润2.92亿; PE23.95; 平均PE27.51; 平均PEG.89, PB1.41; ROIC7.67%; ROE7.73%; 股利率.761%; 毛利17.5833%; 净利7.11%; 上一年度营收增53.92%, 利润增6.18%; 当季营收增-18.39%, 利润增-39.69%; 过往5年营收增31.01%, 利润增295.11%
Income profile:
陆上风电装备 11.45亿 89.62% 75.42% 13.65%
海上风电装备 9723.54万 7.61% 13.94% 29.71%
其他业务 2137.61万 1.67% 7.49% 72.57%
风力发电 1402.29万 1.10% 3.15% 46.56%</v>
      </c>
      <c r="D6" t="s">
        <v>334</v>
      </c>
      <c r="E6" t="s">
        <v>335</v>
      </c>
      <c r="F6">
        <v>6.57</v>
      </c>
      <c r="G6">
        <v>1.08</v>
      </c>
      <c r="H6" t="s">
        <v>1009</v>
      </c>
      <c r="I6">
        <v>6142288000</v>
      </c>
      <c r="J6">
        <v>23.95</v>
      </c>
      <c r="K6">
        <v>1.41</v>
      </c>
      <c r="L6" t="s">
        <v>502</v>
      </c>
      <c r="M6" t="s">
        <v>779</v>
      </c>
      <c r="N6" t="s">
        <v>1010</v>
      </c>
      <c r="O6" t="s">
        <v>725</v>
      </c>
      <c r="P6">
        <v>-18.38</v>
      </c>
      <c r="Q6" t="s">
        <v>720</v>
      </c>
      <c r="R6">
        <v>54653890</v>
      </c>
      <c r="S6" s="6">
        <v>-0.39689999999999998</v>
      </c>
      <c r="T6" t="s">
        <v>513</v>
      </c>
      <c r="U6">
        <v>648768180</v>
      </c>
      <c r="V6">
        <v>934899230</v>
      </c>
      <c r="W6">
        <v>1.84</v>
      </c>
      <c r="X6">
        <v>0.08</v>
      </c>
      <c r="Y6">
        <v>8.4700000000000006</v>
      </c>
      <c r="Z6" t="s">
        <v>239</v>
      </c>
      <c r="AA6" t="s">
        <v>670</v>
      </c>
      <c r="AB6" t="s">
        <v>1011</v>
      </c>
      <c r="AC6" t="s">
        <v>1012</v>
      </c>
      <c r="AD6" t="s">
        <v>2</v>
      </c>
      <c r="AE6">
        <v>6087201</v>
      </c>
      <c r="AF6" t="s">
        <v>780</v>
      </c>
      <c r="AG6" t="s">
        <v>1013</v>
      </c>
      <c r="AH6" t="s">
        <v>781</v>
      </c>
      <c r="AI6" t="s">
        <v>141</v>
      </c>
      <c r="AJ6" t="s">
        <v>782</v>
      </c>
      <c r="AK6" t="s">
        <v>130</v>
      </c>
      <c r="AL6" t="s">
        <v>783</v>
      </c>
      <c r="AM6" t="s">
        <v>2</v>
      </c>
      <c r="AN6" t="s">
        <v>1014</v>
      </c>
      <c r="AO6" t="s">
        <v>282</v>
      </c>
      <c r="AP6" t="s">
        <v>430</v>
      </c>
      <c r="AQ6" t="s">
        <v>69</v>
      </c>
      <c r="AR6" t="s">
        <v>2</v>
      </c>
      <c r="AS6" t="s">
        <v>1015</v>
      </c>
      <c r="AT6" t="s">
        <v>224</v>
      </c>
      <c r="AU6" t="s">
        <v>1016</v>
      </c>
      <c r="AV6" t="s">
        <v>1017</v>
      </c>
      <c r="AW6" t="s">
        <v>442</v>
      </c>
      <c r="AX6" t="s">
        <v>518</v>
      </c>
      <c r="AY6" t="s">
        <v>449</v>
      </c>
      <c r="AZ6" t="s">
        <v>401</v>
      </c>
      <c r="BA6" t="s">
        <v>336</v>
      </c>
      <c r="BB6" t="s">
        <v>36</v>
      </c>
      <c r="BC6" t="s">
        <v>25</v>
      </c>
      <c r="BD6" t="s">
        <v>277</v>
      </c>
      <c r="BE6" t="s">
        <v>230</v>
      </c>
      <c r="BF6" t="s">
        <v>62</v>
      </c>
      <c r="BG6" t="s">
        <v>405</v>
      </c>
      <c r="BH6" t="s">
        <v>720</v>
      </c>
      <c r="BI6" t="s">
        <v>24</v>
      </c>
      <c r="BJ6" t="s">
        <v>518</v>
      </c>
      <c r="BK6" t="s">
        <v>513</v>
      </c>
      <c r="BL6" t="s">
        <v>784</v>
      </c>
      <c r="BM6" t="s">
        <v>25</v>
      </c>
      <c r="BN6">
        <v>5.88</v>
      </c>
      <c r="BO6">
        <v>7.67</v>
      </c>
      <c r="BP6">
        <v>9.4600000000000009</v>
      </c>
      <c r="BQ6">
        <v>5.69</v>
      </c>
      <c r="BR6">
        <v>7.86</v>
      </c>
      <c r="BS6">
        <v>9.64</v>
      </c>
      <c r="BT6" t="s">
        <v>523</v>
      </c>
      <c r="BU6" t="s">
        <v>965</v>
      </c>
      <c r="BV6">
        <v>18.09</v>
      </c>
      <c r="BW6">
        <v>18.37</v>
      </c>
      <c r="BX6">
        <v>16.29</v>
      </c>
      <c r="BY6">
        <v>6.11</v>
      </c>
      <c r="BZ6">
        <v>8.64</v>
      </c>
      <c r="CA6">
        <v>6.58</v>
      </c>
      <c r="CB6">
        <v>-3.67</v>
      </c>
      <c r="CC6">
        <v>-12.4</v>
      </c>
      <c r="CD6" t="s">
        <v>1018</v>
      </c>
      <c r="CE6" t="s">
        <v>143</v>
      </c>
      <c r="CF6" s="9">
        <v>-0.18385093167701874</v>
      </c>
      <c r="CG6" s="10">
        <v>-0.39694455263973838</v>
      </c>
      <c r="CH6" s="9">
        <v>0.53917497396469116</v>
      </c>
      <c r="CI6" s="9">
        <v>-0.18842457234859467</v>
      </c>
      <c r="CJ6" s="9">
        <v>6.9089882075786591E-2</v>
      </c>
      <c r="CK6" s="9">
        <v>0.62415498495101929</v>
      </c>
      <c r="CL6" s="9">
        <v>0.50644952058792114</v>
      </c>
      <c r="CM6" s="10">
        <v>6.1818182468414307E-2</v>
      </c>
      <c r="CN6" s="10">
        <v>6.1776060611009598E-2</v>
      </c>
      <c r="CO6" s="10">
        <v>-0.25787964463233948</v>
      </c>
      <c r="CP6" s="10">
        <v>1.2662338018417358</v>
      </c>
      <c r="CQ6" s="10">
        <v>13.623631477355957</v>
      </c>
      <c r="CR6">
        <v>27.512413487438028</v>
      </c>
      <c r="CS6">
        <v>0.8872426054295991</v>
      </c>
      <c r="CT6">
        <v>0.76103500761035003</v>
      </c>
      <c r="CU6" s="9">
        <v>0.31008895784616469</v>
      </c>
      <c r="CV6" s="10">
        <v>2.9511159755289555</v>
      </c>
      <c r="CW6">
        <v>0.06</v>
      </c>
      <c r="CX6">
        <v>14.578549074853171</v>
      </c>
      <c r="CY6">
        <v>360892429.89724541</v>
      </c>
      <c r="CZ6">
        <v>0.31008895784616469</v>
      </c>
      <c r="DA6">
        <v>3.9734891821446316</v>
      </c>
      <c r="DB6">
        <v>1324097728.4252472</v>
      </c>
      <c r="DC6">
        <v>0.29458450995385643</v>
      </c>
      <c r="DD6">
        <v>1.5079138680661892</v>
      </c>
      <c r="DE6">
        <v>3489117058.6203918</v>
      </c>
      <c r="DF6">
        <v>0.27287828290462496</v>
      </c>
      <c r="DG6">
        <v>0.6588920116334015</v>
      </c>
      <c r="DH6">
        <v>7985053555.2209864</v>
      </c>
      <c r="DI6">
        <v>0.24807116627693176</v>
      </c>
      <c r="DJ6">
        <v>0.15653990334976869</v>
      </c>
      <c r="DK6">
        <v>33609884044.992126</v>
      </c>
      <c r="DL6">
        <v>0.21706227049231527</v>
      </c>
      <c r="DM6">
        <v>292000000</v>
      </c>
      <c r="DN6">
        <v>0.31008895784616469</v>
      </c>
      <c r="DO6">
        <v>5261288000</v>
      </c>
      <c r="DP6">
        <v>3059566100</v>
      </c>
      <c r="DQ6">
        <v>1619</v>
      </c>
      <c r="DR6">
        <v>-0.49393988952318346</v>
      </c>
      <c r="DS6">
        <v>-3.3480605281686939</v>
      </c>
      <c r="DT6" s="11">
        <v>-9.0000000000000011E-2</v>
      </c>
      <c r="DU6">
        <v>0.38999999999999996</v>
      </c>
      <c r="DV6">
        <v>0.29999999999999993</v>
      </c>
      <c r="DW6">
        <v>-8.2959677419354847</v>
      </c>
      <c r="DX6">
        <v>0.39328053691275033</v>
      </c>
      <c r="DY6">
        <v>-8.0335273847153061</v>
      </c>
      <c r="DZ6">
        <v>1045</v>
      </c>
      <c r="EA6">
        <v>-8.026671001735366</v>
      </c>
      <c r="EB6">
        <v>8</v>
      </c>
      <c r="EC6">
        <v>3.610827661073162E-2</v>
      </c>
      <c r="ED6">
        <v>0.31875093104954211</v>
      </c>
      <c r="EE6" s="12">
        <v>2.7900000000000001E-2</v>
      </c>
      <c r="EF6">
        <v>6.6000000000000017E-3</v>
      </c>
      <c r="EG6">
        <v>28.11328053691275</v>
      </c>
      <c r="EH6" t="s">
        <v>467</v>
      </c>
      <c r="EI6">
        <v>0</v>
      </c>
      <c r="EJ6">
        <v>1</v>
      </c>
      <c r="EK6" s="13">
        <v>45470</v>
      </c>
      <c r="EL6">
        <v>-0.28000000000000003</v>
      </c>
      <c r="EM6">
        <v>-4.08</v>
      </c>
      <c r="EN6">
        <v>-0.44</v>
      </c>
      <c r="EO6">
        <v>3.69</v>
      </c>
      <c r="EP6">
        <v>-2.13</v>
      </c>
    </row>
    <row r="7" spans="1:146" ht="192" x14ac:dyDescent="0.25">
      <c r="A7" s="8" t="s">
        <v>415</v>
      </c>
      <c r="B7" s="8"/>
      <c r="C7" s="8" t="str">
        <f>"公司主营业务为大型锻件、铸件、结构件的研发、制造及销售。公司主要产品包括风电主轴、管模、压力容器锻件、其他锻件、锻件坯料(钢锭)、冶金设备、粉末冶金产品、铸件、核电业务、风电装备模块化业务。"&amp;CHAR(10)&amp;Basic_Fundamental_Information_Constructure(F7)&amp;CHAR(10)&amp;Basic_Fundamental_Information_Concatenate("其他锻件 5.58亿 19.40% 32.76% 23.62%
其他业务 4.88亿 16.96% 14.26% 11.76%
风电装备模块化业务 4.44亿 15.43% 4.39% 3.98%
风电主轴（含锻造、铸造主轴） 4.17亿 14.51% 25.17% 24.26%
铸件 3.30亿 11.46% 6.83% 8.33%
锻件坯料 2.48亿 8.61% 5.04% 8.18%")</f>
        <v>公司主营业务为大型锻件、铸件、结构件的研发、制造及销售。公司主要产品包括风电主轴、管模、压力容器锻件、其他锻件、锻件坯料(钢锭)、冶金设备、粉末冶金产品、铸件、核电业务、风电装备模块化业务。
市值70.534451亿, 利润2.04亿; PE54.83; 平均PE26.99; 平均PEG2.35, PB1.05; ROIC3.3667%; ROE3.9367%; 股利率1.3812%; 毛利16.8267%; 净利4.3367%; 上一年度营收增-1.76%, 利润增-17.07%; 当季营收增-2.1%, 利润增-87.8%; 过往5年营收增11.47%, 利润增2.89%
Income profile:
其他锻件 5.58亿 19.40% 32.76% 23.62%
其他业务 4.88亿 16.96% 14.26% 11.76%
风电装备模块化业务 4.44亿 15.43% 4.39% 3.98%
风电主轴（含锻造、铸造主轴） 4.17亿 14.51% 25.17% 24.26%
铸件 3.30亿 11.46% 6.83% 8.33%
锻件坯料 2.48亿 8.61% 5.04% 8.18%</v>
      </c>
      <c r="D7" t="s">
        <v>337</v>
      </c>
      <c r="E7" t="s">
        <v>338</v>
      </c>
      <c r="F7">
        <v>1.81</v>
      </c>
      <c r="G7">
        <v>5.85</v>
      </c>
      <c r="H7" t="s">
        <v>1019</v>
      </c>
      <c r="I7">
        <v>7053445100</v>
      </c>
      <c r="J7">
        <v>54.83</v>
      </c>
      <c r="K7">
        <v>1.05</v>
      </c>
      <c r="L7" t="s">
        <v>502</v>
      </c>
      <c r="M7" t="s">
        <v>785</v>
      </c>
      <c r="N7" t="s">
        <v>1020</v>
      </c>
      <c r="O7" t="s">
        <v>281</v>
      </c>
      <c r="P7">
        <v>-2.14</v>
      </c>
      <c r="Q7" t="s">
        <v>786</v>
      </c>
      <c r="R7">
        <v>10496142</v>
      </c>
      <c r="S7" s="6">
        <v>-0.878</v>
      </c>
      <c r="T7" t="s">
        <v>246</v>
      </c>
      <c r="U7">
        <v>3673372800</v>
      </c>
      <c r="V7">
        <v>3896931000</v>
      </c>
      <c r="W7">
        <v>2.19</v>
      </c>
      <c r="X7">
        <v>0.09</v>
      </c>
      <c r="Y7">
        <v>0.8</v>
      </c>
      <c r="Z7" t="s">
        <v>430</v>
      </c>
      <c r="AA7" t="s">
        <v>757</v>
      </c>
      <c r="AB7" t="s">
        <v>1021</v>
      </c>
      <c r="AC7" t="s">
        <v>1022</v>
      </c>
      <c r="AD7" t="s">
        <v>2</v>
      </c>
      <c r="AE7">
        <v>38020341</v>
      </c>
      <c r="AF7" t="s">
        <v>787</v>
      </c>
      <c r="AG7" t="s">
        <v>794</v>
      </c>
      <c r="AH7" t="s">
        <v>788</v>
      </c>
      <c r="AI7" t="s">
        <v>248</v>
      </c>
      <c r="AJ7" t="s">
        <v>789</v>
      </c>
      <c r="AK7" t="s">
        <v>669</v>
      </c>
      <c r="AL7" t="s">
        <v>790</v>
      </c>
      <c r="AM7" t="s">
        <v>2</v>
      </c>
      <c r="AN7" t="s">
        <v>244</v>
      </c>
      <c r="AO7" t="s">
        <v>767</v>
      </c>
      <c r="AP7" t="s">
        <v>178</v>
      </c>
      <c r="AQ7" t="s">
        <v>3</v>
      </c>
      <c r="AR7" t="s">
        <v>2</v>
      </c>
      <c r="AS7" t="s">
        <v>1023</v>
      </c>
      <c r="AT7" t="s">
        <v>305</v>
      </c>
      <c r="AU7" t="s">
        <v>1024</v>
      </c>
      <c r="AV7" t="s">
        <v>1025</v>
      </c>
      <c r="AW7" t="s">
        <v>91</v>
      </c>
      <c r="AX7" t="s">
        <v>554</v>
      </c>
      <c r="AY7" t="s">
        <v>437</v>
      </c>
      <c r="AZ7" t="s">
        <v>251</v>
      </c>
      <c r="BA7" t="s">
        <v>304</v>
      </c>
      <c r="BB7" t="s">
        <v>339</v>
      </c>
      <c r="BC7" t="s">
        <v>184</v>
      </c>
      <c r="BD7" t="s">
        <v>269</v>
      </c>
      <c r="BE7" t="s">
        <v>80</v>
      </c>
      <c r="BF7" t="s">
        <v>89</v>
      </c>
      <c r="BG7" t="s">
        <v>286</v>
      </c>
      <c r="BH7" t="s">
        <v>786</v>
      </c>
      <c r="BI7" t="s">
        <v>690</v>
      </c>
      <c r="BJ7" t="s">
        <v>554</v>
      </c>
      <c r="BK7" t="s">
        <v>246</v>
      </c>
      <c r="BL7" t="s">
        <v>791</v>
      </c>
      <c r="BM7" t="s">
        <v>184</v>
      </c>
      <c r="BN7">
        <v>2.56</v>
      </c>
      <c r="BO7">
        <v>3.28</v>
      </c>
      <c r="BP7">
        <v>4.26</v>
      </c>
      <c r="BQ7">
        <v>3.6</v>
      </c>
      <c r="BR7">
        <v>3.71</v>
      </c>
      <c r="BS7">
        <v>4.5</v>
      </c>
      <c r="BT7" t="s">
        <v>522</v>
      </c>
      <c r="BU7" t="s">
        <v>965</v>
      </c>
      <c r="BV7">
        <v>17.28</v>
      </c>
      <c r="BW7">
        <v>15.75</v>
      </c>
      <c r="BX7">
        <v>17.45</v>
      </c>
      <c r="BY7">
        <v>3.57</v>
      </c>
      <c r="BZ7">
        <v>4.2300000000000004</v>
      </c>
      <c r="CA7">
        <v>5.21</v>
      </c>
      <c r="CB7">
        <v>5.23</v>
      </c>
      <c r="CC7">
        <v>-14.01</v>
      </c>
      <c r="CD7" t="s">
        <v>133</v>
      </c>
      <c r="CE7" t="s">
        <v>1026</v>
      </c>
      <c r="CF7" s="9">
        <v>-2.1023125437981779E-2</v>
      </c>
      <c r="CG7" s="10">
        <v>-0.87799482275430862</v>
      </c>
      <c r="CH7" s="9">
        <v>-1.7588363960385323E-2</v>
      </c>
      <c r="CI7" s="9">
        <v>2.8526654466986656E-2</v>
      </c>
      <c r="CJ7" s="9">
        <v>1.0724365711212158E-2</v>
      </c>
      <c r="CK7" s="9">
        <v>0.41246584057807922</v>
      </c>
      <c r="CL7" s="9">
        <v>0.13917963206768036</v>
      </c>
      <c r="CM7" s="10">
        <v>-0.17073170840740204</v>
      </c>
      <c r="CN7" s="10">
        <v>-0.13684210181236267</v>
      </c>
      <c r="CO7" s="10">
        <v>-0.25196850299835205</v>
      </c>
      <c r="CP7" s="10">
        <v>0.6212766170501709</v>
      </c>
      <c r="CQ7" s="10">
        <v>8.2949310541152954E-2</v>
      </c>
      <c r="CR7">
        <v>26.990223596938776</v>
      </c>
      <c r="CS7">
        <v>2.3539020500581014</v>
      </c>
      <c r="CT7">
        <v>1.3812154696132597</v>
      </c>
      <c r="CU7" s="9">
        <v>0.11466162577271462</v>
      </c>
      <c r="CV7" s="10">
        <v>2.893672287464142E-2</v>
      </c>
      <c r="CW7">
        <v>0.06</v>
      </c>
      <c r="CX7">
        <v>40.837469220112091</v>
      </c>
      <c r="CY7">
        <v>214519784.58267337</v>
      </c>
      <c r="CZ7">
        <v>0.11466162577271462</v>
      </c>
      <c r="DA7">
        <v>13.070271863572755</v>
      </c>
      <c r="DB7">
        <v>670257297.73958468</v>
      </c>
      <c r="DC7">
        <v>0.10892854448407888</v>
      </c>
      <c r="DD7">
        <v>6.2558621825440222</v>
      </c>
      <c r="DE7">
        <v>1400357751.5573494</v>
      </c>
      <c r="DF7">
        <v>0.10090223067998887</v>
      </c>
      <c r="DG7">
        <v>3.6382178089843524</v>
      </c>
      <c r="DH7">
        <v>2407894623.1219654</v>
      </c>
      <c r="DI7">
        <v>9.1729300618171694E-2</v>
      </c>
      <c r="DJ7">
        <v>1.7495705837134847</v>
      </c>
      <c r="DK7">
        <v>5007197298.3255405</v>
      </c>
      <c r="DL7">
        <v>8.0263138040900225E-2</v>
      </c>
      <c r="DM7">
        <v>204000000</v>
      </c>
      <c r="DN7">
        <v>0.11466162577271462</v>
      </c>
      <c r="DO7">
        <v>8760445100</v>
      </c>
      <c r="DP7">
        <v>1481284500</v>
      </c>
      <c r="DQ7">
        <v>1673</v>
      </c>
      <c r="DR7">
        <v>-0.1356847512106964</v>
      </c>
      <c r="DS7">
        <v>-0.90693154562895006</v>
      </c>
      <c r="DT7" s="11">
        <v>-0.32333333333333336</v>
      </c>
      <c r="DU7">
        <v>-0.50666666666666671</v>
      </c>
      <c r="DV7">
        <v>-0.83000000000000007</v>
      </c>
      <c r="DW7">
        <v>6.2718295218295221</v>
      </c>
      <c r="DX7">
        <v>0.76501706484641407</v>
      </c>
      <c r="DY7">
        <v>6.0584479859223883</v>
      </c>
      <c r="DZ7">
        <v>3386</v>
      </c>
      <c r="EA7">
        <v>6.0197190465225434</v>
      </c>
      <c r="EB7">
        <v>6</v>
      </c>
      <c r="EC7">
        <v>4.8499703997838296E-2</v>
      </c>
      <c r="ED7">
        <v>0.22556211541851778</v>
      </c>
      <c r="EE7" s="12">
        <v>2.401E-2</v>
      </c>
      <c r="EF7">
        <v>6.2910000000000008E-2</v>
      </c>
      <c r="EG7">
        <v>55.215017064846414</v>
      </c>
      <c r="EH7">
        <v>-1</v>
      </c>
      <c r="EI7">
        <v>0</v>
      </c>
      <c r="EJ7">
        <v>0</v>
      </c>
      <c r="EK7" s="13">
        <v>45470</v>
      </c>
      <c r="EL7">
        <v>-0.54</v>
      </c>
      <c r="EM7">
        <v>-5.41</v>
      </c>
      <c r="EN7">
        <v>0</v>
      </c>
      <c r="EO7">
        <v>2.86</v>
      </c>
      <c r="EP7">
        <v>-3.89</v>
      </c>
    </row>
    <row r="8" spans="1:146" ht="168" x14ac:dyDescent="0.25">
      <c r="A8" s="8" t="s">
        <v>416</v>
      </c>
      <c r="B8" s="8"/>
      <c r="C8" s="8" t="str">
        <f>"公司主营业务为研发、生产和销售风力发电机主轴及各类大型铸锻件。公司主导产品为1.5MW至8MW的风电主轴，作为全球最大、最专业的风电主轴制造商之一，公司已与维斯塔斯、西门子歌美飒、GE、恩德安信能、远景能源、运达股份、上海电气、海装风电、东方电气、国电联合动力、山东中车等全球高端风电整机制造商建立了良好的战略合作关系"&amp;CHAR(10)&amp;Basic_Fundamental_Information_Constructure(F8)&amp;CHAR(10)&amp;Basic_Fundamental_Information_Concatenate("风机锻造主轴 5.23亿 81.60% 88.53% 28.54%
其他精密轴类 7050.97万 10.99% 11.47% 27.45%")</f>
        <v>公司主营业务为研发、生产和销售风力发电机主轴及各类大型铸锻件。公司主导产品为1.5MW至8MW的风电主轴，作为全球最大、最专业的风电主轴制造商之一，公司已与维斯塔斯、西门子歌美飒、GE、恩德安信能、远景能源、运达股份、上海电气、海装风电、东方电气、国电联合动力、山东中车等全球高端风电整机制造商建立了良好的战略合作关系
市值46.73518亿, 利润4.12亿; PE13.71; 平均PE13.33; 平均PEG.65, PB.76; ROIC10.0433%; ROE11.29%; 股利率1.8344%; 毛利34.0567%; 净利23.56%; 上一年度营收增7.4%, 利润增17.05%; 当季营收增-41.65%, 利润增-70.75%; 过往5年营收增20.52%, 利润增42.88%
Income profile:
风机锻造主轴 5.23亿 81.60% 88.53% 28.54%
其他精密轴类 7050.97万 10.99% 11.47% 27.45%</v>
      </c>
      <c r="D8" t="s">
        <v>340</v>
      </c>
      <c r="E8" t="s">
        <v>341</v>
      </c>
      <c r="F8">
        <v>14.36</v>
      </c>
      <c r="G8">
        <v>-0.28000000000000003</v>
      </c>
      <c r="H8" t="s">
        <v>1027</v>
      </c>
      <c r="I8">
        <v>4673518000</v>
      </c>
      <c r="J8">
        <v>13.71</v>
      </c>
      <c r="K8">
        <v>0.76</v>
      </c>
      <c r="L8" t="s">
        <v>502</v>
      </c>
      <c r="M8" t="s">
        <v>555</v>
      </c>
      <c r="N8" t="s">
        <v>1028</v>
      </c>
      <c r="O8" t="s">
        <v>129</v>
      </c>
      <c r="P8">
        <v>-41.56</v>
      </c>
      <c r="Q8" t="s">
        <v>708</v>
      </c>
      <c r="R8">
        <v>29246776</v>
      </c>
      <c r="S8" s="6">
        <v>-0.70799999999999996</v>
      </c>
      <c r="T8" t="s">
        <v>263</v>
      </c>
      <c r="U8">
        <v>248093350</v>
      </c>
      <c r="V8">
        <v>325453900</v>
      </c>
      <c r="W8">
        <v>1.1200000000000001</v>
      </c>
      <c r="X8">
        <v>0.04</v>
      </c>
      <c r="Y8">
        <v>11.43</v>
      </c>
      <c r="Z8" t="s">
        <v>126</v>
      </c>
      <c r="AA8" t="s">
        <v>26</v>
      </c>
      <c r="AB8" t="s">
        <v>1029</v>
      </c>
      <c r="AC8" t="s">
        <v>1030</v>
      </c>
      <c r="AD8" t="s">
        <v>2</v>
      </c>
      <c r="AE8">
        <v>-7704125</v>
      </c>
      <c r="AF8" t="s">
        <v>793</v>
      </c>
      <c r="AG8" t="s">
        <v>1031</v>
      </c>
      <c r="AH8" t="s">
        <v>795</v>
      </c>
      <c r="AI8" t="s">
        <v>692</v>
      </c>
      <c r="AJ8" t="s">
        <v>796</v>
      </c>
      <c r="AK8" t="s">
        <v>183</v>
      </c>
      <c r="AL8" t="s">
        <v>797</v>
      </c>
      <c r="AM8" t="s">
        <v>2</v>
      </c>
      <c r="AN8" t="s">
        <v>132</v>
      </c>
      <c r="AO8" t="s">
        <v>50</v>
      </c>
      <c r="AP8" t="s">
        <v>702</v>
      </c>
      <c r="AQ8" t="s">
        <v>113</v>
      </c>
      <c r="AR8" t="s">
        <v>1032</v>
      </c>
      <c r="AS8" t="s">
        <v>271</v>
      </c>
      <c r="AT8" t="s">
        <v>2</v>
      </c>
      <c r="AU8" t="s">
        <v>1033</v>
      </c>
      <c r="AV8" t="s">
        <v>1034</v>
      </c>
      <c r="AW8" t="s">
        <v>715</v>
      </c>
      <c r="AX8" t="s">
        <v>441</v>
      </c>
      <c r="AY8" t="s">
        <v>438</v>
      </c>
      <c r="AZ8" t="s">
        <v>264</v>
      </c>
      <c r="BA8" t="s">
        <v>284</v>
      </c>
      <c r="BB8" t="s">
        <v>32</v>
      </c>
      <c r="BC8" t="s">
        <v>295</v>
      </c>
      <c r="BD8" t="s">
        <v>285</v>
      </c>
      <c r="BE8" t="s">
        <v>179</v>
      </c>
      <c r="BF8" t="s">
        <v>259</v>
      </c>
      <c r="BG8" t="s">
        <v>72</v>
      </c>
      <c r="BH8" t="s">
        <v>708</v>
      </c>
      <c r="BI8" t="s">
        <v>96</v>
      </c>
      <c r="BJ8" t="s">
        <v>441</v>
      </c>
      <c r="BK8" t="s">
        <v>263</v>
      </c>
      <c r="BL8" t="s">
        <v>53</v>
      </c>
      <c r="BM8" t="s">
        <v>295</v>
      </c>
      <c r="BN8">
        <v>5.71</v>
      </c>
      <c r="BO8">
        <v>8.7899999999999991</v>
      </c>
      <c r="BP8">
        <v>15.63</v>
      </c>
      <c r="BQ8">
        <v>7.28</v>
      </c>
      <c r="BR8">
        <v>10.28</v>
      </c>
      <c r="BS8">
        <v>16.309999999999999</v>
      </c>
      <c r="BT8" t="s">
        <v>1035</v>
      </c>
      <c r="BU8" t="s">
        <v>965</v>
      </c>
      <c r="BV8">
        <v>33.04</v>
      </c>
      <c r="BW8">
        <v>29.98</v>
      </c>
      <c r="BX8">
        <v>39.15</v>
      </c>
      <c r="BY8">
        <v>21.16</v>
      </c>
      <c r="BZ8">
        <v>19.45</v>
      </c>
      <c r="CA8">
        <v>30.07</v>
      </c>
      <c r="CB8">
        <v>-6.33</v>
      </c>
      <c r="CC8">
        <v>-23.07</v>
      </c>
      <c r="CD8" t="s">
        <v>1036</v>
      </c>
      <c r="CE8" t="s">
        <v>135</v>
      </c>
      <c r="CF8" s="9">
        <v>-0.41647597254004581</v>
      </c>
      <c r="CG8" s="10">
        <v>-0.70753224000000003</v>
      </c>
      <c r="CH8" s="9">
        <v>7.3951438069343567E-2</v>
      </c>
      <c r="CI8" s="9">
        <v>9.7516611218452454E-2</v>
      </c>
      <c r="CJ8" s="9">
        <v>0.11780645698308945</v>
      </c>
      <c r="CK8" s="9">
        <v>0.3140568733215332</v>
      </c>
      <c r="CL8" s="9">
        <v>0.42278480529785156</v>
      </c>
      <c r="CM8" s="10">
        <v>0.17045454680919647</v>
      </c>
      <c r="CN8" s="10">
        <v>-0.29032257199287415</v>
      </c>
      <c r="CO8" s="10">
        <v>-4.9808427691459656E-2</v>
      </c>
      <c r="CP8" s="10">
        <v>1.5463414192199707</v>
      </c>
      <c r="CQ8" s="10">
        <v>0.76724135875701904</v>
      </c>
      <c r="CR8">
        <v>13.333860199714694</v>
      </c>
      <c r="CS8">
        <v>0.64972468011215401</v>
      </c>
      <c r="CT8">
        <v>1.834366295264624</v>
      </c>
      <c r="CU8" s="9">
        <v>0.20522323697805406</v>
      </c>
      <c r="CV8" s="10">
        <v>0.42878126502037051</v>
      </c>
      <c r="CW8">
        <v>0.06</v>
      </c>
      <c r="CX8" t="s">
        <v>955</v>
      </c>
      <c r="CY8">
        <v>468445258.14618701</v>
      </c>
      <c r="CZ8">
        <v>0.20522323697805406</v>
      </c>
      <c r="DA8" t="s">
        <v>955</v>
      </c>
      <c r="DB8">
        <v>1578307977.0415063</v>
      </c>
      <c r="DC8">
        <v>0.19496207512915134</v>
      </c>
      <c r="DD8" t="s">
        <v>955</v>
      </c>
      <c r="DE8">
        <v>3665728093.0190983</v>
      </c>
      <c r="DF8">
        <v>0.18059644854068757</v>
      </c>
      <c r="DG8" t="s">
        <v>955</v>
      </c>
      <c r="DH8">
        <v>7152406336.2088051</v>
      </c>
      <c r="DI8">
        <v>0.16417858958244325</v>
      </c>
      <c r="DJ8" t="s">
        <v>955</v>
      </c>
      <c r="DK8">
        <v>20100400709.139507</v>
      </c>
      <c r="DL8">
        <v>0.14365626588463784</v>
      </c>
      <c r="DM8">
        <v>412000000</v>
      </c>
      <c r="DN8">
        <v>0.20522323697805406</v>
      </c>
      <c r="DO8">
        <v>-597482000</v>
      </c>
      <c r="DP8">
        <v>3240916000</v>
      </c>
      <c r="DQ8">
        <v>1914</v>
      </c>
      <c r="DR8">
        <v>-0.62169920951809987</v>
      </c>
      <c r="DS8">
        <v>-1.1363135050203705</v>
      </c>
      <c r="DT8" s="11">
        <v>-0.22333333333333338</v>
      </c>
      <c r="DU8">
        <v>9.999999999999936E-3</v>
      </c>
      <c r="DV8">
        <v>-0.21333333333333346</v>
      </c>
      <c r="DW8">
        <v>-9.2743823146944084</v>
      </c>
      <c r="DX8">
        <v>0.42964188034188039</v>
      </c>
      <c r="DY8">
        <v>-9.038315262356484</v>
      </c>
      <c r="DZ8">
        <v>2241</v>
      </c>
      <c r="EA8">
        <v>-9.0215120328181513</v>
      </c>
      <c r="EB8">
        <v>9</v>
      </c>
      <c r="EC8">
        <v>5.0200965482361713E-2</v>
      </c>
      <c r="ED8">
        <v>0.35949791967464517</v>
      </c>
      <c r="EE8" s="12">
        <v>-6.0366</v>
      </c>
      <c r="EF8">
        <v>-6.0073999999999996</v>
      </c>
      <c r="EG8">
        <v>29.13964188034188</v>
      </c>
      <c r="EH8" t="s">
        <v>744</v>
      </c>
      <c r="EI8">
        <v>0</v>
      </c>
      <c r="EJ8">
        <v>0</v>
      </c>
      <c r="EK8" s="13">
        <v>45470</v>
      </c>
      <c r="EL8">
        <v>-0.32</v>
      </c>
      <c r="EM8">
        <v>-4.17</v>
      </c>
      <c r="EN8">
        <v>-0.4</v>
      </c>
      <c r="EO8">
        <v>4.37</v>
      </c>
      <c r="EP8">
        <v>-2.92</v>
      </c>
    </row>
    <row r="9" spans="1:146" ht="156" x14ac:dyDescent="0.25">
      <c r="A9" s="8"/>
      <c r="B9" s="8" t="s">
        <v>426</v>
      </c>
      <c r="C9" s="8" t="str">
        <f>"公司主营业务为风机塔架及其相关产品的制造和销售，新能源(风力，光伏)发电项目的开发投资，建设和运营业务等。核心产品主要为风机塔架、光伏发电、风力发电。公司是国内风机塔架生产的龙头企业之一。"&amp;CHAR(10)&amp;Basic_Fundamental_Information_Constructure(F9)&amp;CHAR(10)&amp;Basic_Fundamental_Information_Concatenate("塔筒等风电设备制造 9.16亿 75.26% 34.06% 12.15%
新能源发电 2.84亿 23.34% 60.91% 70.09%
其他业务 1701.06万 1.40% 5.03% 96.61%")</f>
        <v>公司主营业务为风机塔架及其相关产品的制造和销售，新能源(风力，光伏)发电项目的开发投资，建设和运营业务等。核心产品主要为风机塔架、光伏发电、风力发电。公司是国内风机塔架生产的龙头企业之一。
市值41.725132亿, 利润2.51亿; PE17.33; 平均PE14.44; 平均PEG.52, PB.747; ROIC5.6233%; ROE7.82%; 股利率1.8137%; 毛利20.73%; 净利7.06%; 上一年度营收增1.24%, 利润增9.61%; 当季营收增2.36%, 利润增-19.77%; 过往5年营收增27.79%, 利润增37.82%
Income profile:
塔筒等风电设备制造 9.16亿 75.26% 34.06% 12.15%
新能源发电 2.84亿 23.34% 60.91% 70.09%
其他业务 1701.06万 1.40% 5.03% 96.61%</v>
      </c>
      <c r="D9" t="s">
        <v>342</v>
      </c>
      <c r="E9" t="s">
        <v>343</v>
      </c>
      <c r="F9">
        <v>4.08</v>
      </c>
      <c r="G9">
        <v>0.99</v>
      </c>
      <c r="H9" t="s">
        <v>1037</v>
      </c>
      <c r="I9">
        <v>4172513200</v>
      </c>
      <c r="J9">
        <v>17.329999999999998</v>
      </c>
      <c r="K9">
        <v>0.747</v>
      </c>
      <c r="L9" t="s">
        <v>502</v>
      </c>
      <c r="M9" t="s">
        <v>798</v>
      </c>
      <c r="N9" t="s">
        <v>777</v>
      </c>
      <c r="O9" t="s">
        <v>669</v>
      </c>
      <c r="P9">
        <v>2.36</v>
      </c>
      <c r="Q9" t="s">
        <v>799</v>
      </c>
      <c r="R9">
        <v>43316367</v>
      </c>
      <c r="S9" s="6">
        <v>-0.19769999999999999</v>
      </c>
      <c r="T9" t="s">
        <v>138</v>
      </c>
      <c r="U9">
        <v>934250830</v>
      </c>
      <c r="V9">
        <v>1022674810</v>
      </c>
      <c r="W9">
        <v>2.15</v>
      </c>
      <c r="X9">
        <v>0.04</v>
      </c>
      <c r="Y9">
        <v>8.43</v>
      </c>
      <c r="Z9" t="s">
        <v>231</v>
      </c>
      <c r="AA9" t="s">
        <v>684</v>
      </c>
      <c r="AB9" t="s">
        <v>1038</v>
      </c>
      <c r="AC9" t="s">
        <v>1039</v>
      </c>
      <c r="AD9" t="s">
        <v>2</v>
      </c>
      <c r="AE9">
        <v>46264531</v>
      </c>
      <c r="AF9" t="s">
        <v>19</v>
      </c>
      <c r="AG9" t="s">
        <v>703</v>
      </c>
      <c r="AH9" t="s">
        <v>800</v>
      </c>
      <c r="AI9" t="s">
        <v>1040</v>
      </c>
      <c r="AJ9" t="s">
        <v>801</v>
      </c>
      <c r="AK9" t="s">
        <v>115</v>
      </c>
      <c r="AL9" t="s">
        <v>802</v>
      </c>
      <c r="AM9" t="s">
        <v>2</v>
      </c>
      <c r="AN9" t="s">
        <v>225</v>
      </c>
      <c r="AO9" t="s">
        <v>712</v>
      </c>
      <c r="AP9" t="s">
        <v>140</v>
      </c>
      <c r="AQ9" t="s">
        <v>273</v>
      </c>
      <c r="AR9" t="s">
        <v>2</v>
      </c>
      <c r="AS9" t="s">
        <v>300</v>
      </c>
      <c r="AT9" t="s">
        <v>707</v>
      </c>
      <c r="AU9" t="s">
        <v>67</v>
      </c>
      <c r="AV9" t="s">
        <v>1041</v>
      </c>
      <c r="AW9" t="s">
        <v>87</v>
      </c>
      <c r="AX9" t="s">
        <v>558</v>
      </c>
      <c r="AY9" t="s">
        <v>559</v>
      </c>
      <c r="AZ9" t="s">
        <v>402</v>
      </c>
      <c r="BA9" t="s">
        <v>344</v>
      </c>
      <c r="BB9" t="s">
        <v>345</v>
      </c>
      <c r="BC9" t="s">
        <v>48</v>
      </c>
      <c r="BD9" t="s">
        <v>256</v>
      </c>
      <c r="BE9" t="s">
        <v>85</v>
      </c>
      <c r="BF9" t="s">
        <v>59</v>
      </c>
      <c r="BG9" t="s">
        <v>91</v>
      </c>
      <c r="BH9" t="s">
        <v>799</v>
      </c>
      <c r="BI9" t="s">
        <v>204</v>
      </c>
      <c r="BJ9" t="s">
        <v>558</v>
      </c>
      <c r="BK9" t="s">
        <v>138</v>
      </c>
      <c r="BL9" t="s">
        <v>803</v>
      </c>
      <c r="BM9" t="s">
        <v>48</v>
      </c>
      <c r="BN9">
        <v>3.55</v>
      </c>
      <c r="BO9">
        <v>4.93</v>
      </c>
      <c r="BP9">
        <v>8.39</v>
      </c>
      <c r="BQ9">
        <v>4.49</v>
      </c>
      <c r="BR9">
        <v>5.82</v>
      </c>
      <c r="BS9">
        <v>13.15</v>
      </c>
      <c r="BT9" t="s">
        <v>804</v>
      </c>
      <c r="BU9" t="s">
        <v>965</v>
      </c>
      <c r="BV9">
        <v>20.11</v>
      </c>
      <c r="BW9">
        <v>18.829999999999998</v>
      </c>
      <c r="BX9">
        <v>23.25</v>
      </c>
      <c r="BY9">
        <v>5.84</v>
      </c>
      <c r="BZ9">
        <v>5.6</v>
      </c>
      <c r="CA9">
        <v>9.74</v>
      </c>
      <c r="CB9">
        <v>-1.92</v>
      </c>
      <c r="CC9">
        <v>-18.5</v>
      </c>
      <c r="CD9" t="s">
        <v>1042</v>
      </c>
      <c r="CE9" t="s">
        <v>250</v>
      </c>
      <c r="CF9" s="9">
        <v>2.3622047244094488E-2</v>
      </c>
      <c r="CG9" s="10">
        <v>-0.19765338386392306</v>
      </c>
      <c r="CH9" s="9">
        <v>1.2431269511580467E-2</v>
      </c>
      <c r="CI9" s="9">
        <v>9.4112120568752289E-3</v>
      </c>
      <c r="CJ9" s="9">
        <v>0.209927037358284</v>
      </c>
      <c r="CK9" s="9">
        <v>0.39001619815826416</v>
      </c>
      <c r="CL9" s="9">
        <v>0.76757532358169556</v>
      </c>
      <c r="CM9" s="10">
        <v>9.6069872379302979E-2</v>
      </c>
      <c r="CN9" s="10">
        <v>-0.49670329689979553</v>
      </c>
      <c r="CO9" s="10">
        <v>6.3084110617637634E-2</v>
      </c>
      <c r="CP9" s="10">
        <v>0.59107804298400879</v>
      </c>
      <c r="CQ9" s="10">
        <v>1.6372549533843994</v>
      </c>
      <c r="CR9">
        <v>14.437761937716264</v>
      </c>
      <c r="CS9">
        <v>0.51958279795970641</v>
      </c>
      <c r="CT9">
        <v>1.8137254901960784</v>
      </c>
      <c r="CU9" s="9">
        <v>0.2778722081333399</v>
      </c>
      <c r="CV9" s="10">
        <v>0.37815673649311066</v>
      </c>
      <c r="CW9">
        <v>0.06</v>
      </c>
      <c r="CX9">
        <v>18.389583611854409</v>
      </c>
      <c r="CY9">
        <v>302590494.56742287</v>
      </c>
      <c r="CZ9">
        <v>0.2778722081333399</v>
      </c>
      <c r="DA9">
        <v>5.143893988211067</v>
      </c>
      <c r="DB9">
        <v>1081770583.2882483</v>
      </c>
      <c r="DC9">
        <v>0.26397859772667287</v>
      </c>
      <c r="DD9">
        <v>2.0298880377076705</v>
      </c>
      <c r="DE9">
        <v>2741290700.0939527</v>
      </c>
      <c r="DF9">
        <v>0.24452754315733913</v>
      </c>
      <c r="DG9">
        <v>0.9326197164611707</v>
      </c>
      <c r="DH9">
        <v>5966540382.7345276</v>
      </c>
      <c r="DI9">
        <v>0.22229776650667193</v>
      </c>
      <c r="DJ9">
        <v>0.25200131032626233</v>
      </c>
      <c r="DK9">
        <v>22081286771.071579</v>
      </c>
      <c r="DL9">
        <v>0.19451054569333792</v>
      </c>
      <c r="DM9">
        <v>250999999.99999997</v>
      </c>
      <c r="DN9">
        <v>0.2778722081333399</v>
      </c>
      <c r="DO9">
        <v>5564513200</v>
      </c>
      <c r="DP9">
        <v>3117408400</v>
      </c>
      <c r="DQ9">
        <v>2037</v>
      </c>
      <c r="DR9">
        <v>-0.2542501608892454</v>
      </c>
      <c r="DS9">
        <v>-0.57581012035703372</v>
      </c>
      <c r="DT9" s="11">
        <v>1.0000000000000011E-2</v>
      </c>
      <c r="DU9">
        <v>-5.3333333333333365E-2</v>
      </c>
      <c r="DV9">
        <v>-4.3333333333333356E-2</v>
      </c>
      <c r="DW9">
        <v>-3.0282738095238093</v>
      </c>
      <c r="DX9">
        <v>0.33830541516245316</v>
      </c>
      <c r="DY9">
        <v>-3.0033449447739384</v>
      </c>
      <c r="DZ9">
        <v>1819</v>
      </c>
      <c r="EA9">
        <v>-3.0021542491684992</v>
      </c>
      <c r="EB9">
        <v>3</v>
      </c>
      <c r="EC9">
        <v>3.2044008202372756E-2</v>
      </c>
      <c r="ED9">
        <v>0.270858338634546</v>
      </c>
      <c r="EE9" s="12">
        <v>-5.0575099999999997</v>
      </c>
      <c r="EF9">
        <v>-5.0811099999999998</v>
      </c>
      <c r="EG9">
        <v>22.118305415162453</v>
      </c>
      <c r="EH9" t="s">
        <v>742</v>
      </c>
      <c r="EI9">
        <v>0</v>
      </c>
      <c r="EJ9">
        <v>0</v>
      </c>
      <c r="EK9" s="13">
        <v>45470</v>
      </c>
      <c r="EL9">
        <v>-1.1499999999999999</v>
      </c>
      <c r="EM9">
        <v>-4.67</v>
      </c>
      <c r="EN9">
        <v>0.98</v>
      </c>
      <c r="EO9">
        <v>2.91</v>
      </c>
      <c r="EP9">
        <v>-2.36</v>
      </c>
    </row>
    <row r="10" spans="1:146" ht="168" x14ac:dyDescent="0.25">
      <c r="C10" s="8" t="str">
        <f>"公司是一家集复合材料产品研发、设计、生产、销售和服务于一体的现代化高新技术企业。主要产品涵盖大型非金属模具加工领域、风电领域、工程和农用机械领域、游艇及船舶领域、轨道交通及公共交通领域等。公司主要产品为风电机舱罩类产品（产品规格涵盖750KW-7MW级别）、大型非金属模具、工程及农用机械设备覆盖件"&amp;CHAR(10)&amp;Basic_Fundamental_Information_Constructure(F10)&amp;CHAR(10)&amp;Basic_Fundamental_Information_Concatenate("风电配套类 1.86亿 46.86% 58.70% 23.29%
非金属模具类 1.59亿 39.99% 41.30% 19.20%")</f>
        <v>公司是一家集复合材料产品研发、设计、生产、销售和服务于一体的现代化高新技术企业。主要产品涵盖大型非金属模具加工领域、风电领域、工程和农用机械领域、游艇及船舶领域、轨道交通及公共交通领域等。公司主要产品为风电机舱罩类产品（产品规格涵盖750KW-7MW级别）、大型非金属模具、工程及农用机械设备覆盖件
市值28.919526亿, 利润8793.88万; PE34.4; 平均PE19.68; 平均PEG1.4, PB2.03; ROIC7.0733%; ROE7.6267%; 股利率1.2007%; 毛利25.62%; 净利11.48%; 上一年度营收增-27.35%, 利润增7.34%; 当季营收增8.26%, 利润增-56.17%; 过往5年营收增14.02%, 利润增18.67%
Income profile:
风电配套类 1.86亿 46.86% 58.70% 23.29%
非金属模具类 1.59亿 39.99% 41.30% 19.20%</v>
      </c>
      <c r="D10" t="s">
        <v>347</v>
      </c>
      <c r="E10" t="s">
        <v>348</v>
      </c>
      <c r="F10">
        <v>17.489999999999998</v>
      </c>
      <c r="G10">
        <v>-0.34</v>
      </c>
      <c r="H10" t="s">
        <v>1043</v>
      </c>
      <c r="I10">
        <v>2891952600</v>
      </c>
      <c r="J10">
        <v>34.4</v>
      </c>
      <c r="K10">
        <v>2.0299999999999998</v>
      </c>
      <c r="L10" t="s">
        <v>502</v>
      </c>
      <c r="M10" t="s">
        <v>274</v>
      </c>
      <c r="N10" t="s">
        <v>805</v>
      </c>
      <c r="O10" t="s">
        <v>40</v>
      </c>
      <c r="P10">
        <v>7.69</v>
      </c>
      <c r="Q10" t="s">
        <v>542</v>
      </c>
      <c r="R10">
        <v>3021090</v>
      </c>
      <c r="S10" s="6">
        <v>-0.56169999999999998</v>
      </c>
      <c r="T10" t="s">
        <v>807</v>
      </c>
      <c r="U10">
        <v>109571708</v>
      </c>
      <c r="V10">
        <v>165348920</v>
      </c>
      <c r="W10">
        <v>1.26</v>
      </c>
      <c r="X10">
        <v>7.0000000000000007E-2</v>
      </c>
      <c r="Y10">
        <v>2.29</v>
      </c>
      <c r="Z10" t="s">
        <v>20</v>
      </c>
      <c r="AA10" t="s">
        <v>91</v>
      </c>
      <c r="AB10" t="s">
        <v>1044</v>
      </c>
      <c r="AC10" t="s">
        <v>1045</v>
      </c>
      <c r="AD10" t="s">
        <v>2</v>
      </c>
      <c r="AE10">
        <v>-1049823</v>
      </c>
      <c r="AF10" t="s">
        <v>808</v>
      </c>
      <c r="AG10" t="s">
        <v>1046</v>
      </c>
      <c r="AH10" t="s">
        <v>809</v>
      </c>
      <c r="AI10" t="s">
        <v>93</v>
      </c>
      <c r="AJ10" t="s">
        <v>810</v>
      </c>
      <c r="AK10" t="s">
        <v>95</v>
      </c>
      <c r="AL10" t="s">
        <v>811</v>
      </c>
      <c r="AM10" t="s">
        <v>2</v>
      </c>
      <c r="AN10" t="s">
        <v>1047</v>
      </c>
      <c r="AO10" t="s">
        <v>192</v>
      </c>
      <c r="AP10" t="s">
        <v>2</v>
      </c>
      <c r="AQ10" t="s">
        <v>79</v>
      </c>
      <c r="AR10">
        <v>1208.1500000000001</v>
      </c>
      <c r="AS10" t="s">
        <v>229</v>
      </c>
      <c r="AT10" t="s">
        <v>2</v>
      </c>
      <c r="AU10" t="s">
        <v>1048</v>
      </c>
      <c r="AV10" t="s">
        <v>1049</v>
      </c>
      <c r="AW10" t="s">
        <v>1050</v>
      </c>
      <c r="AX10" t="s">
        <v>297</v>
      </c>
      <c r="AY10" t="s">
        <v>448</v>
      </c>
      <c r="AZ10" t="s">
        <v>182</v>
      </c>
      <c r="BA10" t="s">
        <v>30</v>
      </c>
      <c r="BB10" t="s">
        <v>34</v>
      </c>
      <c r="BC10" t="s">
        <v>812</v>
      </c>
      <c r="BD10" t="s">
        <v>111</v>
      </c>
      <c r="BE10" t="s">
        <v>70</v>
      </c>
      <c r="BF10" t="s">
        <v>44</v>
      </c>
      <c r="BG10" t="s">
        <v>406</v>
      </c>
      <c r="BH10" t="s">
        <v>542</v>
      </c>
      <c r="BI10" t="s">
        <v>39</v>
      </c>
      <c r="BJ10" t="s">
        <v>297</v>
      </c>
      <c r="BK10" t="s">
        <v>807</v>
      </c>
      <c r="BL10" t="s">
        <v>813</v>
      </c>
      <c r="BM10" t="s">
        <v>812</v>
      </c>
      <c r="BN10">
        <v>4.26</v>
      </c>
      <c r="BO10">
        <v>5.73</v>
      </c>
      <c r="BP10">
        <v>11.23</v>
      </c>
      <c r="BQ10">
        <v>5.01</v>
      </c>
      <c r="BR10">
        <v>6.12</v>
      </c>
      <c r="BS10">
        <v>11.75</v>
      </c>
      <c r="BT10" t="s">
        <v>575</v>
      </c>
      <c r="BU10" t="s">
        <v>965</v>
      </c>
      <c r="BV10">
        <v>26.54</v>
      </c>
      <c r="BW10">
        <v>21.06</v>
      </c>
      <c r="BX10">
        <v>29.26</v>
      </c>
      <c r="BY10">
        <v>11.71</v>
      </c>
      <c r="BZ10">
        <v>7.82</v>
      </c>
      <c r="CA10">
        <v>14.91</v>
      </c>
      <c r="CB10">
        <v>-6.92</v>
      </c>
      <c r="CC10">
        <v>-25.7</v>
      </c>
      <c r="CD10" t="s">
        <v>1051</v>
      </c>
      <c r="CE10" t="s">
        <v>126</v>
      </c>
      <c r="CF10" s="9">
        <v>8.2644628099173556E-2</v>
      </c>
      <c r="CG10" s="10">
        <v>-0.561678080204283</v>
      </c>
      <c r="CH10" s="9">
        <v>-0.27352085709571838</v>
      </c>
      <c r="CI10" s="9">
        <v>2.8942115604877472E-2</v>
      </c>
      <c r="CJ10" s="9">
        <v>-0.28017240762710571</v>
      </c>
      <c r="CK10" s="9">
        <v>0.68115943670272827</v>
      </c>
      <c r="CL10" s="9">
        <v>0.54477614164352417</v>
      </c>
      <c r="CM10" s="10">
        <v>7.3436245322227478E-2</v>
      </c>
      <c r="CN10" s="10">
        <v>-0.45384863018989563</v>
      </c>
      <c r="CO10" s="10">
        <v>-0.53416150808334351</v>
      </c>
      <c r="CP10" s="10">
        <v>1.1184210777282715</v>
      </c>
      <c r="CQ10" s="10">
        <v>0.72952711582183838</v>
      </c>
      <c r="CR10">
        <v>19.678796225855315</v>
      </c>
      <c r="CS10">
        <v>1.4032539375919237</v>
      </c>
      <c r="CT10">
        <v>1.2006861063464838</v>
      </c>
      <c r="CU10" s="9">
        <v>0.14023688584566116</v>
      </c>
      <c r="CV10" s="10">
        <v>0.18667486011981965</v>
      </c>
      <c r="CW10">
        <v>0.06</v>
      </c>
      <c r="CX10">
        <v>19.281632101458914</v>
      </c>
      <c r="CY10">
        <v>94595342.883966416</v>
      </c>
      <c r="CZ10">
        <v>0.14023688584566116</v>
      </c>
      <c r="DA10">
        <v>6.0401184193909323</v>
      </c>
      <c r="DB10">
        <v>301972986.84483773</v>
      </c>
      <c r="DC10">
        <v>0.13322504155337808</v>
      </c>
      <c r="DD10">
        <v>2.80695069063179</v>
      </c>
      <c r="DE10">
        <v>649798589.65369415</v>
      </c>
      <c r="DF10">
        <v>0.12340845954418182</v>
      </c>
      <c r="DG10">
        <v>1.5772544766568173</v>
      </c>
      <c r="DH10">
        <v>1156409841.9083834</v>
      </c>
      <c r="DI10">
        <v>0.11218950867652894</v>
      </c>
      <c r="DJ10">
        <v>0.70065620972310727</v>
      </c>
      <c r="DK10">
        <v>2603206215.3860149</v>
      </c>
      <c r="DL10">
        <v>9.8165820091962799E-2</v>
      </c>
      <c r="DM10">
        <v>87938799.999999985</v>
      </c>
      <c r="DN10">
        <v>0.14023688584566116</v>
      </c>
      <c r="DO10">
        <v>1823952600</v>
      </c>
      <c r="DP10">
        <v>884265320</v>
      </c>
      <c r="DQ10">
        <v>2156</v>
      </c>
      <c r="DR10">
        <v>-5.7592257746487602E-2</v>
      </c>
      <c r="DS10">
        <v>-0.74835294032410271</v>
      </c>
      <c r="DT10" s="11">
        <v>-0.40666666666666668</v>
      </c>
      <c r="DU10">
        <v>-7.0000000000000076E-2</v>
      </c>
      <c r="DV10">
        <v>-0.47666666666666674</v>
      </c>
      <c r="DW10">
        <v>-9.2692607003891059</v>
      </c>
      <c r="DX10">
        <v>0.28138846153846259</v>
      </c>
      <c r="DY10">
        <v>-9.0272999281652204</v>
      </c>
      <c r="DZ10">
        <v>2849</v>
      </c>
      <c r="EA10">
        <v>-9.0120792832840628</v>
      </c>
      <c r="EB10">
        <v>9</v>
      </c>
      <c r="EC10">
        <v>0.14348385220780394</v>
      </c>
      <c r="ED10">
        <v>1.4151891648279287</v>
      </c>
      <c r="EE10" s="12">
        <v>-2.0693999999999999</v>
      </c>
      <c r="EF10">
        <v>-2.0358000000000001</v>
      </c>
      <c r="EG10">
        <v>18.101388461538463</v>
      </c>
      <c r="EH10" t="s">
        <v>537</v>
      </c>
      <c r="EI10">
        <v>0</v>
      </c>
      <c r="EJ10">
        <v>0</v>
      </c>
      <c r="EK10" s="13">
        <v>45470</v>
      </c>
      <c r="EL10">
        <v>-2.04</v>
      </c>
      <c r="EM10">
        <v>-5.95</v>
      </c>
      <c r="EN10">
        <v>-1.08</v>
      </c>
      <c r="EO10">
        <v>2.35</v>
      </c>
      <c r="EP10">
        <v>-3.36</v>
      </c>
    </row>
    <row r="11" spans="1:146" ht="132" x14ac:dyDescent="0.25">
      <c r="A11" s="8" t="s">
        <v>492</v>
      </c>
      <c r="B11" s="8"/>
      <c r="C11" s="8" t="str">
        <f>"公司的主营业务为大型风力发电机组的研发、生产和销售。公司产品主要为1.5MW、2.0MW和2.5MW系列风电机组。"&amp;CHAR(10)&amp;Basic_Fundamental_Information_Constructure(F11)&amp;CHAR(10)&amp;Basic_Fundamental_Information_Concatenate("风电机组 65.24亿 96.28% 93.40% 18.44%
风力发电 1.31亿 1.93% 4.05% 39.84%
其他业务 1.21亿 1.79% 2.55% 27.14%")</f>
        <v>公司的主营业务为大型风力发电机组的研发、生产和销售。公司产品主要为1.5MW、2.0MW和2.5MW系列风电机组。
市值64.352415亿, 利润4.14亿; PE15.66; 平均PE19.14; 平均PEG.4, PB1.22; ROIC9.5333%; ROE15.5567%; 股利率.5453%; 毛利16.1033%; 净利2.9467%; 上一年度营收增7.73%, 利润增-32.9%; 当季营收增7.75%, 利润增-4.21%; 过往5年营收增47.29%, 利润增52.39%
Income profile:
风电机组 65.24亿 96.28% 93.40% 18.44%
风力发电 1.31亿 1.93% 4.05% 39.84%
其他业务 1.21亿 1.79% 2.55% 27.14%</v>
      </c>
      <c r="D11" t="s">
        <v>349</v>
      </c>
      <c r="E11" t="s">
        <v>350</v>
      </c>
      <c r="F11">
        <v>9.17</v>
      </c>
      <c r="G11">
        <v>-1.5</v>
      </c>
      <c r="H11" t="s">
        <v>1052</v>
      </c>
      <c r="I11">
        <v>6435241500</v>
      </c>
      <c r="J11">
        <v>15.66</v>
      </c>
      <c r="K11">
        <v>1.22</v>
      </c>
      <c r="L11" t="s">
        <v>502</v>
      </c>
      <c r="M11" t="s">
        <v>814</v>
      </c>
      <c r="N11" t="s">
        <v>778</v>
      </c>
      <c r="O11" t="s">
        <v>815</v>
      </c>
      <c r="P11">
        <v>7.77</v>
      </c>
      <c r="Q11" t="s">
        <v>816</v>
      </c>
      <c r="R11">
        <v>70659553</v>
      </c>
      <c r="S11" s="6">
        <v>-4.2099999999999999E-2</v>
      </c>
      <c r="T11" t="s">
        <v>552</v>
      </c>
      <c r="U11">
        <v>694847180</v>
      </c>
      <c r="V11">
        <v>701771160</v>
      </c>
      <c r="W11">
        <v>6.14</v>
      </c>
      <c r="X11">
        <v>0.11</v>
      </c>
      <c r="Y11">
        <v>1.88</v>
      </c>
      <c r="Z11" t="s">
        <v>1053</v>
      </c>
      <c r="AA11" t="s">
        <v>902</v>
      </c>
      <c r="AB11" t="s">
        <v>105</v>
      </c>
      <c r="AC11" t="s">
        <v>1054</v>
      </c>
      <c r="AD11" t="s">
        <v>2</v>
      </c>
      <c r="AE11">
        <v>-7623920</v>
      </c>
      <c r="AF11" t="s">
        <v>817</v>
      </c>
      <c r="AG11" t="s">
        <v>1055</v>
      </c>
      <c r="AH11" t="s">
        <v>818</v>
      </c>
      <c r="AI11" t="s">
        <v>1056</v>
      </c>
      <c r="AJ11" t="s">
        <v>819</v>
      </c>
      <c r="AK11" t="s">
        <v>2</v>
      </c>
      <c r="AL11" t="s">
        <v>820</v>
      </c>
      <c r="AM11" t="s">
        <v>2</v>
      </c>
      <c r="AN11" t="s">
        <v>303</v>
      </c>
      <c r="AO11" t="s">
        <v>172</v>
      </c>
      <c r="AP11" t="s">
        <v>1057</v>
      </c>
      <c r="AQ11" t="s">
        <v>1058</v>
      </c>
      <c r="AR11" t="s">
        <v>2</v>
      </c>
      <c r="AS11" t="s">
        <v>1059</v>
      </c>
      <c r="AT11" t="s">
        <v>1060</v>
      </c>
      <c r="AU11" t="s">
        <v>1061</v>
      </c>
      <c r="AV11" t="s">
        <v>515</v>
      </c>
      <c r="AW11" t="s">
        <v>180</v>
      </c>
      <c r="AX11" t="s">
        <v>560</v>
      </c>
      <c r="AY11" t="s">
        <v>561</v>
      </c>
      <c r="AZ11" t="s">
        <v>403</v>
      </c>
      <c r="BA11" t="s">
        <v>351</v>
      </c>
      <c r="BB11" t="s">
        <v>352</v>
      </c>
      <c r="BC11" t="s">
        <v>203</v>
      </c>
      <c r="BD11" t="s">
        <v>148</v>
      </c>
      <c r="BE11" t="s">
        <v>79</v>
      </c>
      <c r="BF11" t="s">
        <v>95</v>
      </c>
      <c r="BG11" t="s">
        <v>74</v>
      </c>
      <c r="BH11" t="s">
        <v>816</v>
      </c>
      <c r="BI11" t="s">
        <v>821</v>
      </c>
      <c r="BJ11" t="s">
        <v>560</v>
      </c>
      <c r="BK11" t="s">
        <v>552</v>
      </c>
      <c r="BL11" t="s">
        <v>822</v>
      </c>
      <c r="BM11" t="s">
        <v>203</v>
      </c>
      <c r="BN11">
        <v>3.21</v>
      </c>
      <c r="BO11">
        <v>10.82</v>
      </c>
      <c r="BP11">
        <v>14.57</v>
      </c>
      <c r="BQ11">
        <v>5.03</v>
      </c>
      <c r="BR11">
        <v>19.29</v>
      </c>
      <c r="BS11">
        <v>22.35</v>
      </c>
      <c r="BT11" t="s">
        <v>523</v>
      </c>
      <c r="BU11" t="s">
        <v>983</v>
      </c>
      <c r="BV11">
        <v>13.7</v>
      </c>
      <c r="BW11">
        <v>17.77</v>
      </c>
      <c r="BX11">
        <v>16.84</v>
      </c>
      <c r="BY11">
        <v>2.2200000000000002</v>
      </c>
      <c r="BZ11">
        <v>3.55</v>
      </c>
      <c r="CA11">
        <v>3.07</v>
      </c>
      <c r="CB11">
        <v>-4.4800000000000004</v>
      </c>
      <c r="CC11">
        <v>-11.32</v>
      </c>
      <c r="CD11" t="s">
        <v>1062</v>
      </c>
      <c r="CE11" t="s">
        <v>223</v>
      </c>
      <c r="CF11" s="9">
        <v>7.7541642734061028E-2</v>
      </c>
      <c r="CG11" s="10">
        <v>-4.2068026343973774E-2</v>
      </c>
      <c r="CH11" s="9">
        <v>7.7254980802536011E-2</v>
      </c>
      <c r="CI11" s="9">
        <v>7.5675949454307556E-2</v>
      </c>
      <c r="CJ11" s="9">
        <v>0.40799799561500549</v>
      </c>
      <c r="CK11" s="9">
        <v>1.2910178899765015</v>
      </c>
      <c r="CL11" s="9">
        <v>0.51268112659454346</v>
      </c>
      <c r="CM11" s="10">
        <v>-0.32901135087013245</v>
      </c>
      <c r="CN11" s="10">
        <v>5.2901022136211395E-2</v>
      </c>
      <c r="CO11" s="10">
        <v>2.3872833251953125</v>
      </c>
      <c r="CP11" s="10">
        <v>0.61682242155075073</v>
      </c>
      <c r="CQ11" s="10">
        <v>-0.10833333432674408</v>
      </c>
      <c r="CR11">
        <v>19.14300892414477</v>
      </c>
      <c r="CS11">
        <v>0.40477845542940155</v>
      </c>
      <c r="CT11">
        <v>0.54525627044711011</v>
      </c>
      <c r="CU11" s="9">
        <v>0.4729255884885788</v>
      </c>
      <c r="CV11" s="10">
        <v>0.52393241673707958</v>
      </c>
      <c r="CW11">
        <v>0.06</v>
      </c>
      <c r="CX11">
        <v>52.577040017453783</v>
      </c>
      <c r="CY11">
        <v>575274710.9757278</v>
      </c>
      <c r="CZ11">
        <v>0.4729255884885788</v>
      </c>
      <c r="DA11">
        <v>12.612672766168091</v>
      </c>
      <c r="DB11">
        <v>2398083424.5642004</v>
      </c>
      <c r="DC11">
        <v>0.44927930906414981</v>
      </c>
      <c r="DD11">
        <v>3.9205206645354571</v>
      </c>
      <c r="DE11">
        <v>7714853226.9205322</v>
      </c>
      <c r="DF11">
        <v>0.41617451786994936</v>
      </c>
      <c r="DG11">
        <v>1.3161946953015651</v>
      </c>
      <c r="DH11">
        <v>22980066405.04657</v>
      </c>
      <c r="DI11">
        <v>0.37834047079086308</v>
      </c>
      <c r="DJ11">
        <v>0.15825680362170466</v>
      </c>
      <c r="DK11">
        <v>191121271299.65475</v>
      </c>
      <c r="DL11">
        <v>0.33104791194200511</v>
      </c>
      <c r="DM11">
        <v>413999999.99999994</v>
      </c>
      <c r="DN11">
        <v>0.4729255884885788</v>
      </c>
      <c r="DO11">
        <v>30246241500</v>
      </c>
      <c r="DP11">
        <v>-2269725000</v>
      </c>
      <c r="DQ11">
        <v>2230</v>
      </c>
      <c r="DR11">
        <v>-0.39538394575451774</v>
      </c>
      <c r="DS11">
        <v>-0.56600044308105335</v>
      </c>
      <c r="DT11" s="11">
        <v>2.6666666666666616E-2</v>
      </c>
      <c r="DU11">
        <v>0.44999999999999996</v>
      </c>
      <c r="DV11">
        <v>0.47666666666666657</v>
      </c>
      <c r="DW11">
        <v>-8.3957597173144869</v>
      </c>
      <c r="DX11">
        <v>0.40323320312499916</v>
      </c>
      <c r="DY11">
        <v>-8.0368979461130738</v>
      </c>
      <c r="DZ11">
        <v>3791</v>
      </c>
      <c r="EA11">
        <v>-8.0095241469516925</v>
      </c>
      <c r="EB11">
        <v>8</v>
      </c>
      <c r="EC11">
        <v>3.4010659543204938E-2</v>
      </c>
      <c r="ED11">
        <v>0.36479128039402475</v>
      </c>
      <c r="EE11" s="12">
        <v>-2.0148000000000001</v>
      </c>
      <c r="EF11">
        <v>-2.0078999999999998</v>
      </c>
      <c r="EG11">
        <v>31.093233203124999</v>
      </c>
      <c r="EH11" t="s">
        <v>537</v>
      </c>
      <c r="EI11">
        <v>0</v>
      </c>
      <c r="EJ11">
        <v>0</v>
      </c>
      <c r="EK11" s="13">
        <v>45470</v>
      </c>
      <c r="EL11">
        <v>-0.46</v>
      </c>
      <c r="EM11">
        <v>-4.6900000000000004</v>
      </c>
      <c r="EN11">
        <v>-0.36</v>
      </c>
      <c r="EO11">
        <v>5.0599999999999996</v>
      </c>
      <c r="EP11">
        <v>-0.69</v>
      </c>
    </row>
    <row r="12" spans="1:146" ht="144" x14ac:dyDescent="0.25">
      <c r="A12" s="8"/>
      <c r="B12" s="8"/>
      <c r="C12" s="8" t="str">
        <f>"公司主营业务为从事大型回转支承和工业锻件的研发、生产和销售。公司的主要产品包括风电主轴轴承、偏航轴承、变桨轴承,盾构机轴承及关键零部件,海工装备起重机回转支承和锻件等。"&amp;CHAR(10)&amp;Basic_Fundamental_Information_Constructure(F12)&amp;CHAR(10)&amp;Basic_Fundamental_Information_Concatenate("回转支承 10.54亿 83.50% 99.38% 33.72%
锁紧盘 1.26亿 9.97%
锻件 5730.90万 4.54%")</f>
        <v>公司主营业务为从事大型回转支承和工业锻件的研发、生产和销售。公司的主要产品包括风电主轴轴承、偏航轴承、变桨轴承,盾构机轴承及关键零部件,海工装备起重机回转支承和锻件等。
市值52.34044亿, 利润8496.29万; PE18.78; 平均PE20.98; 平均PEG.52, PB1.08; ROIC11.1633%; ROE13.3933%; 股利率.7128%; 毛利28.3267%; 净利15.7%; 上一年度营收增-86.43%, 利润增-73.11%; 当季营收增1069.07%, 利润增-39032.76%; 过往5年营收增40.48%, 利润增62.05%
Income profile:
回转支承 10.54亿 83.50% 99.38% 33.72%
锁紧盘 1.26亿 9.97%
锻件 5730.90万 4.54%</v>
      </c>
      <c r="D12" t="s">
        <v>353</v>
      </c>
      <c r="E12" t="s">
        <v>354</v>
      </c>
      <c r="F12">
        <v>14.59</v>
      </c>
      <c r="G12">
        <v>0.41</v>
      </c>
      <c r="H12" t="s">
        <v>1063</v>
      </c>
      <c r="I12">
        <v>5234044000</v>
      </c>
      <c r="J12">
        <v>18.78</v>
      </c>
      <c r="K12">
        <v>1.08</v>
      </c>
      <c r="L12" t="s">
        <v>502</v>
      </c>
      <c r="M12" t="s">
        <v>823</v>
      </c>
      <c r="N12" t="s">
        <v>1064</v>
      </c>
      <c r="O12" t="s">
        <v>265</v>
      </c>
      <c r="P12">
        <v>-11.76</v>
      </c>
      <c r="Q12" t="s">
        <v>258</v>
      </c>
      <c r="R12">
        <v>-51772643</v>
      </c>
      <c r="S12" s="6">
        <v>-2.1680000000000001</v>
      </c>
      <c r="T12" t="s">
        <v>1065</v>
      </c>
      <c r="U12">
        <v>245442740</v>
      </c>
      <c r="V12">
        <v>358741880</v>
      </c>
      <c r="W12">
        <v>1.92</v>
      </c>
      <c r="X12">
        <v>0.05</v>
      </c>
      <c r="Y12">
        <v>-11.29</v>
      </c>
      <c r="Z12" t="s">
        <v>243</v>
      </c>
      <c r="AA12" t="s">
        <v>145</v>
      </c>
      <c r="AB12" t="s">
        <v>1066</v>
      </c>
      <c r="AC12" t="s">
        <v>1067</v>
      </c>
      <c r="AD12" t="s">
        <v>2</v>
      </c>
      <c r="AE12">
        <v>26639174</v>
      </c>
      <c r="AF12" t="s">
        <v>825</v>
      </c>
      <c r="AG12">
        <v>10000</v>
      </c>
      <c r="AH12" t="s">
        <v>826</v>
      </c>
      <c r="AI12" t="s">
        <v>792</v>
      </c>
      <c r="AJ12" t="s">
        <v>827</v>
      </c>
      <c r="AK12" t="s">
        <v>150</v>
      </c>
      <c r="AL12" t="s">
        <v>828</v>
      </c>
      <c r="AM12" t="s">
        <v>2</v>
      </c>
      <c r="AN12" t="s">
        <v>131</v>
      </c>
      <c r="AO12" t="s">
        <v>1068</v>
      </c>
      <c r="AP12" t="s">
        <v>346</v>
      </c>
      <c r="AQ12" t="s">
        <v>180</v>
      </c>
      <c r="AR12" t="s">
        <v>2</v>
      </c>
      <c r="AS12" t="s">
        <v>1069</v>
      </c>
      <c r="AT12" t="s">
        <v>204</v>
      </c>
      <c r="AU12" t="s">
        <v>99</v>
      </c>
      <c r="AV12" t="s">
        <v>1070</v>
      </c>
      <c r="AW12" t="s">
        <v>221</v>
      </c>
      <c r="AX12" t="s">
        <v>562</v>
      </c>
      <c r="AY12" t="s">
        <v>514</v>
      </c>
      <c r="AZ12" t="s">
        <v>404</v>
      </c>
      <c r="BA12" t="s">
        <v>290</v>
      </c>
      <c r="BB12" t="s">
        <v>46</v>
      </c>
      <c r="BC12" t="s">
        <v>117</v>
      </c>
      <c r="BD12" t="s">
        <v>312</v>
      </c>
      <c r="BE12" t="s">
        <v>109</v>
      </c>
      <c r="BF12" t="s">
        <v>407</v>
      </c>
      <c r="BG12" t="s">
        <v>408</v>
      </c>
      <c r="BH12" t="s">
        <v>824</v>
      </c>
      <c r="BI12" t="s">
        <v>1071</v>
      </c>
      <c r="BJ12" t="s">
        <v>562</v>
      </c>
      <c r="BK12" t="s">
        <v>280</v>
      </c>
      <c r="BL12" t="s">
        <v>1072</v>
      </c>
      <c r="BM12" t="s">
        <v>117</v>
      </c>
      <c r="BN12">
        <v>5.34</v>
      </c>
      <c r="BO12">
        <v>7.93</v>
      </c>
      <c r="BP12">
        <v>20.22</v>
      </c>
      <c r="BQ12">
        <v>8.44</v>
      </c>
      <c r="BR12">
        <v>8.67</v>
      </c>
      <c r="BS12">
        <v>23.07</v>
      </c>
      <c r="BT12" t="s">
        <v>829</v>
      </c>
      <c r="BU12" t="s">
        <v>965</v>
      </c>
      <c r="BV12">
        <v>26.66</v>
      </c>
      <c r="BW12">
        <v>27.5</v>
      </c>
      <c r="BX12">
        <v>30.82</v>
      </c>
      <c r="BY12">
        <v>13.93</v>
      </c>
      <c r="BZ12">
        <v>12.38</v>
      </c>
      <c r="CA12">
        <v>20.79</v>
      </c>
      <c r="CB12">
        <v>-2.86</v>
      </c>
      <c r="CC12">
        <v>-25.49</v>
      </c>
      <c r="CD12" t="s">
        <v>1073</v>
      </c>
      <c r="CE12" t="s">
        <v>181</v>
      </c>
      <c r="CF12" s="9">
        <v>10.690706280812334</v>
      </c>
      <c r="CG12" s="10">
        <v>-390.32761148904007</v>
      </c>
      <c r="CH12" s="9">
        <v>-0.86430454254150391</v>
      </c>
      <c r="CI12" s="9">
        <v>7.1053698658943176E-2</v>
      </c>
      <c r="CJ12" s="9">
        <v>0.20009687542915344</v>
      </c>
      <c r="CK12" s="9">
        <v>2.2099533081054687</v>
      </c>
      <c r="CL12" s="9">
        <v>0.40700218081474304</v>
      </c>
      <c r="CM12" s="10">
        <v>-0.73113000392913818</v>
      </c>
      <c r="CN12" s="10">
        <v>-0.38521400094032288</v>
      </c>
      <c r="CO12" s="10">
        <v>0.20941177010536194</v>
      </c>
      <c r="CP12" s="10">
        <v>3.257216215133667</v>
      </c>
      <c r="CQ12" s="10">
        <v>0.75215607881546021</v>
      </c>
      <c r="CR12">
        <v>20.981367067147026</v>
      </c>
      <c r="CS12">
        <v>0.51836523628827791</v>
      </c>
      <c r="CT12">
        <v>0.71281699794379716</v>
      </c>
      <c r="CU12" s="9">
        <v>0.40476030409336089</v>
      </c>
      <c r="CV12" s="10">
        <v>0.62048801183700564</v>
      </c>
      <c r="CW12">
        <v>0.06</v>
      </c>
      <c r="CX12">
        <v>40.667654755487156</v>
      </c>
      <c r="CY12">
        <v>112596706.8308055</v>
      </c>
      <c r="CZ12">
        <v>0.40476030409336089</v>
      </c>
      <c r="DA12">
        <v>10.284188221153043</v>
      </c>
      <c r="DB12">
        <v>445250894.0454424</v>
      </c>
      <c r="DC12">
        <v>0.38452228888869283</v>
      </c>
      <c r="DD12">
        <v>3.4760378942623791</v>
      </c>
      <c r="DE12">
        <v>1317317054.4424345</v>
      </c>
      <c r="DF12">
        <v>0.35618906760215757</v>
      </c>
      <c r="DG12">
        <v>1.3050274209581958</v>
      </c>
      <c r="DH12">
        <v>3508772249.8872166</v>
      </c>
      <c r="DI12">
        <v>0.32380824327468871</v>
      </c>
      <c r="DJ12">
        <v>0.20945228591428802</v>
      </c>
      <c r="DK12">
        <v>21861991049.712555</v>
      </c>
      <c r="DL12">
        <v>0.2833322128653526</v>
      </c>
      <c r="DM12">
        <v>84962900.000000015</v>
      </c>
      <c r="DN12">
        <v>0.40476030409336089</v>
      </c>
      <c r="DO12">
        <v>4579044000</v>
      </c>
      <c r="DP12">
        <v>1169340700</v>
      </c>
      <c r="DQ12">
        <v>2307</v>
      </c>
      <c r="DR12">
        <v>10.285945976718972</v>
      </c>
      <c r="DS12">
        <v>-390.94809950087705</v>
      </c>
      <c r="DT12" s="11">
        <v>-0.1100000000000001</v>
      </c>
      <c r="DU12">
        <v>-0.63333333333333341</v>
      </c>
      <c r="DV12">
        <v>-0.74333333333333351</v>
      </c>
      <c r="DW12">
        <v>-8.1122008630835616</v>
      </c>
      <c r="DX12">
        <v>0.29011703296703206</v>
      </c>
      <c r="DY12">
        <v>-8.0145992434007738</v>
      </c>
      <c r="DZ12">
        <v>4494</v>
      </c>
      <c r="EA12">
        <v>-8.0017599087935185</v>
      </c>
      <c r="EB12">
        <v>8</v>
      </c>
      <c r="EC12">
        <v>6.6012086461720049E-2</v>
      </c>
      <c r="ED12">
        <v>0.50732855611951411</v>
      </c>
      <c r="EE12" s="12">
        <v>-2.0200999999999998</v>
      </c>
      <c r="EF12">
        <v>-2.0169000000000001</v>
      </c>
      <c r="EG12">
        <v>16.130117032967032</v>
      </c>
      <c r="EH12" t="s">
        <v>537</v>
      </c>
      <c r="EI12">
        <v>0</v>
      </c>
      <c r="EJ12">
        <v>0</v>
      </c>
      <c r="EK12" s="13">
        <v>45470</v>
      </c>
      <c r="EL12">
        <v>0.33</v>
      </c>
      <c r="EM12">
        <v>-0.65</v>
      </c>
      <c r="EN12">
        <v>1.63</v>
      </c>
      <c r="EO12">
        <v>1.2</v>
      </c>
      <c r="EP12">
        <v>-0.32</v>
      </c>
    </row>
    <row r="13" spans="1:146" ht="96" x14ac:dyDescent="0.25">
      <c r="C13" s="8" t="str">
        <f>""&amp;CHAR(10)&amp;Basic_Fundamental_Information_Constructure(F13)&amp;CHAR(10)&amp;Basic_Fundamental_Information_Concatenate("")</f>
        <v xml:space="preserve">
市值29.315209亿, 利润9948.78万; PE99.78; 平均PE55.42; 平均PEG.39, PB3.51; ROIC14.8067%; ROE17.475%; 股利率1.3827%; 毛利23.22%; 净利9.48%; 上一年度营收增93.38%, 利润增45.75%; 当季营收增-84.49%, 利润增-160.22%; 过往5年营收增143.87%, 利润增267.86%
Income profile:
</v>
      </c>
      <c r="D13" t="s">
        <v>694</v>
      </c>
      <c r="E13" t="s">
        <v>695</v>
      </c>
      <c r="F13">
        <v>40.5</v>
      </c>
      <c r="G13">
        <v>3.85</v>
      </c>
      <c r="H13" t="s">
        <v>1074</v>
      </c>
      <c r="I13">
        <v>2931520900</v>
      </c>
      <c r="J13">
        <v>99.78</v>
      </c>
      <c r="K13">
        <v>3.51</v>
      </c>
      <c r="L13" t="s">
        <v>502</v>
      </c>
      <c r="M13" t="s">
        <v>718</v>
      </c>
      <c r="N13" t="s">
        <v>200</v>
      </c>
      <c r="O13" t="s">
        <v>830</v>
      </c>
      <c r="P13" s="6">
        <v>-70.150000000000006</v>
      </c>
      <c r="Q13" t="s">
        <v>233</v>
      </c>
      <c r="R13">
        <v>-7773413</v>
      </c>
      <c r="S13">
        <v>-2.92</v>
      </c>
      <c r="T13" t="s">
        <v>1075</v>
      </c>
      <c r="U13">
        <v>18096000</v>
      </c>
      <c r="V13">
        <v>72383232</v>
      </c>
      <c r="W13">
        <v>1.79</v>
      </c>
      <c r="X13">
        <v>0.02</v>
      </c>
      <c r="Y13">
        <v>-27.09</v>
      </c>
      <c r="Z13" t="s">
        <v>1076</v>
      </c>
      <c r="AA13" t="s">
        <v>1077</v>
      </c>
      <c r="AB13" t="s">
        <v>1078</v>
      </c>
      <c r="AC13" t="s">
        <v>1079</v>
      </c>
      <c r="AD13" t="s">
        <v>2</v>
      </c>
      <c r="AE13">
        <v>2777166</v>
      </c>
      <c r="AF13" t="s">
        <v>832</v>
      </c>
      <c r="AG13" t="s">
        <v>1080</v>
      </c>
      <c r="AH13" t="s">
        <v>833</v>
      </c>
      <c r="AI13" t="s">
        <v>88</v>
      </c>
      <c r="AJ13" t="s">
        <v>834</v>
      </c>
      <c r="AK13" t="s">
        <v>1081</v>
      </c>
      <c r="AL13" t="s">
        <v>835</v>
      </c>
      <c r="AM13" t="s">
        <v>2</v>
      </c>
      <c r="AN13" t="s">
        <v>1082</v>
      </c>
      <c r="AO13" t="s">
        <v>62</v>
      </c>
      <c r="AP13" t="s">
        <v>1083</v>
      </c>
      <c r="AQ13" t="s">
        <v>55</v>
      </c>
      <c r="AR13" t="s">
        <v>1084</v>
      </c>
      <c r="AS13" t="s">
        <v>249</v>
      </c>
      <c r="AT13" t="s">
        <v>40</v>
      </c>
      <c r="AU13" t="s">
        <v>1085</v>
      </c>
      <c r="AV13" t="s">
        <v>1086</v>
      </c>
      <c r="AW13" t="s">
        <v>1087</v>
      </c>
      <c r="AX13" t="s">
        <v>127</v>
      </c>
      <c r="AY13" t="s">
        <v>149</v>
      </c>
      <c r="AZ13" t="s">
        <v>691</v>
      </c>
      <c r="BA13" t="s">
        <v>696</v>
      </c>
      <c r="BB13" t="s">
        <v>697</v>
      </c>
      <c r="BC13" t="s">
        <v>836</v>
      </c>
      <c r="BD13" t="s">
        <v>698</v>
      </c>
      <c r="BE13" t="s">
        <v>699</v>
      </c>
      <c r="BF13" t="s">
        <v>700</v>
      </c>
      <c r="BG13" t="s">
        <v>701</v>
      </c>
      <c r="BH13" t="s">
        <v>186</v>
      </c>
      <c r="BI13" t="s">
        <v>55</v>
      </c>
      <c r="BJ13" t="s">
        <v>127</v>
      </c>
      <c r="BK13" t="s">
        <v>831</v>
      </c>
      <c r="BL13" t="s">
        <v>1088</v>
      </c>
      <c r="BM13" t="s">
        <v>836</v>
      </c>
      <c r="BN13">
        <v>3.92</v>
      </c>
      <c r="BO13">
        <v>16.04</v>
      </c>
      <c r="BP13">
        <v>24.46</v>
      </c>
      <c r="BQ13">
        <v>7.03</v>
      </c>
      <c r="BR13">
        <v>27.92</v>
      </c>
      <c r="BS13" t="s">
        <v>2</v>
      </c>
      <c r="BT13" t="s">
        <v>806</v>
      </c>
      <c r="BU13" t="s">
        <v>965</v>
      </c>
      <c r="BV13">
        <v>22.03</v>
      </c>
      <c r="BW13">
        <v>23.06</v>
      </c>
      <c r="BX13">
        <v>24.57</v>
      </c>
      <c r="BY13">
        <v>7.45</v>
      </c>
      <c r="BZ13">
        <v>11.02</v>
      </c>
      <c r="CA13">
        <v>9.9700000000000006</v>
      </c>
      <c r="CB13">
        <v>1.33</v>
      </c>
      <c r="CC13" s="9">
        <v>-11.65</v>
      </c>
      <c r="CD13" s="10" t="s">
        <v>1089</v>
      </c>
      <c r="CE13" s="9" t="s">
        <v>1090</v>
      </c>
      <c r="CF13" s="9">
        <v>-0.84489189189189184</v>
      </c>
      <c r="CG13" s="9">
        <v>-1.6022166873256896</v>
      </c>
      <c r="CH13" s="9">
        <v>0.93376404047012329</v>
      </c>
      <c r="CI13" s="9">
        <v>-3.1298905611038208E-2</v>
      </c>
      <c r="CJ13" s="10">
        <v>0.28571429848670959</v>
      </c>
      <c r="CK13" s="10">
        <v>4.3854842185974121</v>
      </c>
      <c r="CL13" s="10">
        <v>1.6199644804000854</v>
      </c>
      <c r="CM13" s="10">
        <v>0.45754292607307434</v>
      </c>
      <c r="CN13" s="10">
        <v>7.0916198194026947E-2</v>
      </c>
      <c r="CO13">
        <v>-0.20272491872310638</v>
      </c>
      <c r="CP13">
        <v>8.5676908493041992</v>
      </c>
      <c r="CQ13">
        <v>4.4994344711303711</v>
      </c>
      <c r="CR13" s="9">
        <v>55.417339148609976</v>
      </c>
      <c r="CS13" s="10">
        <v>0.38518351330567058</v>
      </c>
      <c r="CT13">
        <v>1.382716049382716</v>
      </c>
      <c r="CU13">
        <v>1.4387256264686585</v>
      </c>
      <c r="CV13">
        <v>2.6785719051957129</v>
      </c>
      <c r="CW13">
        <v>0.06</v>
      </c>
      <c r="CX13">
        <v>12.04299166276274</v>
      </c>
      <c r="CY13">
        <v>228890044.69904587</v>
      </c>
      <c r="CZ13">
        <v>1.4387256264686585</v>
      </c>
      <c r="DA13">
        <v>1.5099251522835693</v>
      </c>
      <c r="DB13">
        <v>1825601021.2367902</v>
      </c>
      <c r="DC13">
        <v>1.3667893451452255</v>
      </c>
      <c r="DD13">
        <v>0.15611732036486678</v>
      </c>
      <c r="DE13">
        <v>17656726963.783691</v>
      </c>
      <c r="DF13">
        <v>1.2660785512924195</v>
      </c>
      <c r="DG13">
        <v>1.1880450019004134E-2</v>
      </c>
      <c r="DH13">
        <v>232021589720.13943</v>
      </c>
      <c r="DI13">
        <v>1.1509805011749268</v>
      </c>
      <c r="DJ13">
        <v>3.7249820118950428E-5</v>
      </c>
      <c r="DK13">
        <v>74000918425849.016</v>
      </c>
      <c r="DL13">
        <v>1.007107938528061</v>
      </c>
      <c r="DM13">
        <v>99487800</v>
      </c>
      <c r="DN13">
        <v>1.4387256264686585</v>
      </c>
      <c r="DO13">
        <v>2756520900</v>
      </c>
      <c r="DP13">
        <v>301621110.00000006</v>
      </c>
      <c r="DQ13" s="11">
        <v>2360</v>
      </c>
      <c r="DR13">
        <v>-2.2836175183605505</v>
      </c>
      <c r="DS13">
        <v>-4.280788592521402</v>
      </c>
      <c r="DT13">
        <v>0.72333333333333349</v>
      </c>
      <c r="DU13">
        <v>9.2000000000000012E-2</v>
      </c>
      <c r="DV13">
        <v>0.81533333333333347</v>
      </c>
      <c r="DW13">
        <v>-2.1164999999999998</v>
      </c>
      <c r="DX13">
        <v>0.64267758810572895</v>
      </c>
      <c r="DY13">
        <v>-2.0236119390143172</v>
      </c>
      <c r="DZ13">
        <v>4219</v>
      </c>
      <c r="EA13">
        <v>-2.0041170719494632</v>
      </c>
      <c r="EB13" s="12">
        <v>2</v>
      </c>
      <c r="EC13" s="12">
        <v>8.9494484026355722E-2</v>
      </c>
      <c r="ED13">
        <v>0.44156082999996465</v>
      </c>
      <c r="EE13">
        <v>-2.0476999999999999</v>
      </c>
      <c r="EF13">
        <v>-2.04251</v>
      </c>
      <c r="EG13">
        <v>44.202677588105729</v>
      </c>
      <c r="EH13" s="13" t="s">
        <v>538</v>
      </c>
      <c r="EI13">
        <v>0</v>
      </c>
      <c r="EJ13">
        <v>0</v>
      </c>
      <c r="EK13">
        <v>45470</v>
      </c>
      <c r="EL13">
        <v>-12.45</v>
      </c>
      <c r="EM13">
        <v>19.95</v>
      </c>
      <c r="EN13">
        <v>-3.12</v>
      </c>
      <c r="EO13">
        <v>2.25</v>
      </c>
      <c r="EP13">
        <v>-9.02</v>
      </c>
    </row>
    <row r="14" spans="1:146" ht="96" x14ac:dyDescent="0.25">
      <c r="A14" s="8"/>
      <c r="B14" s="8"/>
      <c r="C14" s="8" t="str">
        <f>""&amp;CHAR(10)&amp;Basic_Fundamental_Information_Constructure(F14)&amp;CHAR(10)&amp;Basic_Fundamental_Information_Concatenate("")</f>
        <v xml:space="preserve">
市值9.5600471亿, 利润3963.77万; PE; 平均PE14.65; 平均PEG3.69, PB1.03; ROIC3.8633%; ROE4.58%; 股利率0%; 毛利9.7333%; 净利1.81%; 上一年度营收增-38.96%, 利润增-.11%; 当季营收增3.36%, 利润增-566.66%; 过往5年营收增3.97%, 利润增22.74%
Income profile:
</v>
      </c>
      <c r="D14" t="s">
        <v>355</v>
      </c>
      <c r="E14" t="s">
        <v>356</v>
      </c>
      <c r="F14">
        <v>9.56</v>
      </c>
      <c r="G14">
        <v>1.1599999999999999</v>
      </c>
      <c r="H14" t="s">
        <v>1091</v>
      </c>
      <c r="I14">
        <v>956004710</v>
      </c>
      <c r="K14">
        <v>1.03</v>
      </c>
      <c r="L14" t="s">
        <v>502</v>
      </c>
      <c r="M14" t="s">
        <v>153</v>
      </c>
      <c r="N14" t="s">
        <v>234</v>
      </c>
      <c r="O14" t="s">
        <v>62</v>
      </c>
      <c r="P14">
        <v>-7.01</v>
      </c>
      <c r="Q14" t="s">
        <v>282</v>
      </c>
      <c r="R14">
        <v>-18579196</v>
      </c>
      <c r="S14" s="6">
        <v>-5.5049999999999999</v>
      </c>
      <c r="T14" t="s">
        <v>1092</v>
      </c>
      <c r="U14">
        <v>69619893</v>
      </c>
      <c r="V14">
        <v>100000493</v>
      </c>
      <c r="W14">
        <v>1.62</v>
      </c>
      <c r="X14">
        <v>0.09</v>
      </c>
      <c r="Y14">
        <v>-12.1</v>
      </c>
      <c r="Z14" t="s">
        <v>33</v>
      </c>
      <c r="AA14" t="s">
        <v>62</v>
      </c>
      <c r="AB14" t="s">
        <v>1093</v>
      </c>
      <c r="AC14" t="s">
        <v>1094</v>
      </c>
      <c r="AD14" t="s">
        <v>2</v>
      </c>
      <c r="AE14">
        <v>5378570</v>
      </c>
      <c r="AF14" t="s">
        <v>839</v>
      </c>
      <c r="AG14" t="s">
        <v>2</v>
      </c>
      <c r="AH14" t="s">
        <v>840</v>
      </c>
      <c r="AI14" t="s">
        <v>189</v>
      </c>
      <c r="AJ14" t="s">
        <v>841</v>
      </c>
      <c r="AK14" t="s">
        <v>1095</v>
      </c>
      <c r="AL14" t="s">
        <v>842</v>
      </c>
      <c r="AM14" t="s">
        <v>2</v>
      </c>
      <c r="AN14" t="s">
        <v>1096</v>
      </c>
      <c r="AO14" t="s">
        <v>2</v>
      </c>
      <c r="AP14" t="s">
        <v>35</v>
      </c>
      <c r="AQ14" t="s">
        <v>95</v>
      </c>
      <c r="AR14" t="s">
        <v>2</v>
      </c>
      <c r="AS14" t="s">
        <v>117</v>
      </c>
      <c r="AT14" t="s">
        <v>2</v>
      </c>
      <c r="AU14" t="s">
        <v>1097</v>
      </c>
      <c r="AV14" t="s">
        <v>1098</v>
      </c>
      <c r="AW14" t="s">
        <v>2</v>
      </c>
      <c r="AX14" t="s">
        <v>439</v>
      </c>
      <c r="AY14" t="s">
        <v>308</v>
      </c>
      <c r="AZ14" t="s">
        <v>139</v>
      </c>
      <c r="BA14" t="s">
        <v>279</v>
      </c>
      <c r="BB14" t="s">
        <v>268</v>
      </c>
      <c r="BC14" t="s">
        <v>843</v>
      </c>
      <c r="BD14" t="s">
        <v>452</v>
      </c>
      <c r="BE14" t="s">
        <v>194</v>
      </c>
      <c r="BF14" t="s">
        <v>409</v>
      </c>
      <c r="BG14" t="s">
        <v>410</v>
      </c>
      <c r="BH14" t="s">
        <v>837</v>
      </c>
      <c r="BI14" t="s">
        <v>28</v>
      </c>
      <c r="BJ14" t="s">
        <v>439</v>
      </c>
      <c r="BK14" t="s">
        <v>838</v>
      </c>
      <c r="BL14" t="s">
        <v>1099</v>
      </c>
      <c r="BM14" t="s">
        <v>843</v>
      </c>
      <c r="BN14">
        <v>0.16</v>
      </c>
      <c r="BO14">
        <v>2.42</v>
      </c>
      <c r="BP14">
        <v>9.01</v>
      </c>
      <c r="BQ14">
        <v>0.35</v>
      </c>
      <c r="BR14">
        <v>3.95</v>
      </c>
      <c r="BS14">
        <v>9.44</v>
      </c>
      <c r="BT14" t="s">
        <v>520</v>
      </c>
      <c r="BU14" t="s">
        <v>965</v>
      </c>
      <c r="BV14">
        <v>6.01</v>
      </c>
      <c r="BW14">
        <v>9.34</v>
      </c>
      <c r="BX14">
        <v>13.85</v>
      </c>
      <c r="BY14">
        <v>-5.15</v>
      </c>
      <c r="BZ14">
        <v>3.81</v>
      </c>
      <c r="CA14">
        <v>6.77</v>
      </c>
      <c r="CB14">
        <v>-3.53</v>
      </c>
      <c r="CC14">
        <v>-18.43</v>
      </c>
      <c r="CD14" t="s">
        <v>1100</v>
      </c>
      <c r="CE14" t="s">
        <v>1101</v>
      </c>
      <c r="CF14" s="9">
        <v>3.3557046979865772E-2</v>
      </c>
      <c r="CG14" s="10">
        <v>-5.6666154271217941</v>
      </c>
      <c r="CH14" s="9">
        <v>-0.38963532447814941</v>
      </c>
      <c r="CI14" s="9">
        <v>-2.5257250294089317E-2</v>
      </c>
      <c r="CJ14" s="9">
        <v>-2.5524100288748741E-2</v>
      </c>
      <c r="CK14" s="9">
        <v>0.37124991416931152</v>
      </c>
      <c r="CL14" s="9">
        <v>0.26782885193824768</v>
      </c>
      <c r="CM14" s="10">
        <v>-1.1415467597544193E-3</v>
      </c>
      <c r="CN14" s="10">
        <v>-0.45181047916412354</v>
      </c>
      <c r="CO14" s="10">
        <v>-0.45978209376335144</v>
      </c>
      <c r="CP14" s="10">
        <v>0.83875751495361328</v>
      </c>
      <c r="CQ14" s="10">
        <v>1.2111028432846069</v>
      </c>
      <c r="CR14">
        <v>14.649766718427559</v>
      </c>
      <c r="CS14">
        <v>3.6871067452404036</v>
      </c>
      <c r="CT14">
        <v>0</v>
      </c>
      <c r="CU14" s="9">
        <v>3.9732418209314349E-2</v>
      </c>
      <c r="CV14" s="10">
        <v>0.22742524771019818</v>
      </c>
      <c r="CW14">
        <v>0.06</v>
      </c>
      <c r="CX14">
        <v>14.840727538851548</v>
      </c>
      <c r="CY14">
        <v>38879812.899297491</v>
      </c>
      <c r="CZ14">
        <v>3.9732418209314349E-2</v>
      </c>
      <c r="DA14">
        <v>5.0619080248071606</v>
      </c>
      <c r="DB14">
        <v>113989568.19686221</v>
      </c>
      <c r="DC14">
        <v>3.7745797298848631E-2</v>
      </c>
      <c r="DD14">
        <v>2.6356594726268874</v>
      </c>
      <c r="DE14">
        <v>218922328.92472851</v>
      </c>
      <c r="DF14">
        <v>3.4964528024196626E-2</v>
      </c>
      <c r="DG14">
        <v>1.6834775545419307</v>
      </c>
      <c r="DH14">
        <v>342745710.17788303</v>
      </c>
      <c r="DI14">
        <v>3.1785934567451483E-2</v>
      </c>
      <c r="DJ14">
        <v>0.99040336474474122</v>
      </c>
      <c r="DK14">
        <v>582595668.12832117</v>
      </c>
      <c r="DL14">
        <v>2.7812692746520044E-2</v>
      </c>
      <c r="DM14">
        <v>39637700</v>
      </c>
      <c r="DN14">
        <v>3.9732418209314349E-2</v>
      </c>
      <c r="DO14">
        <v>577004709.99999988</v>
      </c>
      <c r="DP14">
        <v>621751690</v>
      </c>
      <c r="DQ14">
        <v>2488</v>
      </c>
      <c r="DR14">
        <v>-6.1753712294485771E-3</v>
      </c>
      <c r="DS14">
        <v>-5.8940406748319925</v>
      </c>
      <c r="DT14" s="11">
        <v>-0.39000000000000007</v>
      </c>
      <c r="DU14">
        <v>-0.74833333333333341</v>
      </c>
      <c r="DV14">
        <v>-1.1383333333333334</v>
      </c>
      <c r="DW14">
        <v>-8.1915355398806291</v>
      </c>
      <c r="DX14">
        <v>0.4062902342350323</v>
      </c>
      <c r="DY14">
        <v>-8.0241890681958576</v>
      </c>
      <c r="DZ14">
        <v>2477</v>
      </c>
      <c r="EA14">
        <v>-8.0124637605791964</v>
      </c>
      <c r="EB14">
        <v>8</v>
      </c>
      <c r="EC14">
        <v>8.0005605572364524E-2</v>
      </c>
      <c r="ED14">
        <v>0.63350587681602732</v>
      </c>
      <c r="EE14" s="12">
        <v>5.2410000000000005E-2</v>
      </c>
      <c r="EF14">
        <v>8.6809999999999998E-2</v>
      </c>
      <c r="EG14">
        <v>28.126290234235032</v>
      </c>
      <c r="EH14">
        <v>-1</v>
      </c>
      <c r="EI14">
        <v>0</v>
      </c>
      <c r="EJ14">
        <v>0</v>
      </c>
      <c r="EK14" s="13">
        <v>45470</v>
      </c>
      <c r="EL14">
        <v>0.99</v>
      </c>
      <c r="EM14">
        <v>-2.72</v>
      </c>
      <c r="EN14">
        <v>-0.34</v>
      </c>
      <c r="EO14">
        <v>1.01</v>
      </c>
      <c r="EP14">
        <v>-3.44</v>
      </c>
    </row>
    <row r="15" spans="1:146" ht="96" x14ac:dyDescent="0.25">
      <c r="A15" s="8"/>
      <c r="B15" s="8"/>
      <c r="C15" s="8" t="str">
        <f>""&amp;CHAR(10)&amp;Basic_Fundamental_Information_Constructure(F15)&amp;CHAR(10)&amp;Basic_Fundamental_Information_Concatenate("")</f>
        <v xml:space="preserve">
市值14.495705亿, 利润5961.59万; PE28.99; 平均PE19.07; 平均PEG1.34, PB.946; ROIC7.23%; ROE9.33%; 股利率1.0799%; 毛利14.8667%; 净利6.4933%; 上一年度营收增-48.41%, 利润增-34.97%; 当季营收增75.29%, 利润增-43.17%; 过往5年营收增14.24%, 利润增10.43%
Income profile:
</v>
      </c>
      <c r="D15" t="s">
        <v>357</v>
      </c>
      <c r="E15" t="s">
        <v>432</v>
      </c>
      <c r="F15">
        <v>13.89</v>
      </c>
      <c r="G15">
        <v>1.76</v>
      </c>
      <c r="H15" t="s">
        <v>1102</v>
      </c>
      <c r="I15">
        <v>1449570500</v>
      </c>
      <c r="J15">
        <v>28.99</v>
      </c>
      <c r="K15">
        <v>0.94599999999999995</v>
      </c>
      <c r="L15" t="s">
        <v>502</v>
      </c>
      <c r="M15" t="s">
        <v>128</v>
      </c>
      <c r="N15" t="s">
        <v>443</v>
      </c>
      <c r="O15" t="s">
        <v>143</v>
      </c>
      <c r="P15">
        <v>-1.93</v>
      </c>
      <c r="Q15" t="s">
        <v>470</v>
      </c>
      <c r="R15">
        <v>7043182</v>
      </c>
      <c r="S15" s="6">
        <v>-0.45229999999999998</v>
      </c>
      <c r="T15" t="s">
        <v>1103</v>
      </c>
      <c r="U15">
        <v>61133724</v>
      </c>
      <c r="V15">
        <v>104360724</v>
      </c>
      <c r="W15">
        <v>1.47</v>
      </c>
      <c r="X15">
        <v>0.13</v>
      </c>
      <c r="Y15">
        <v>2.36</v>
      </c>
      <c r="Z15" t="s">
        <v>146</v>
      </c>
      <c r="AA15" t="s">
        <v>116</v>
      </c>
      <c r="AB15" t="s">
        <v>1104</v>
      </c>
      <c r="AC15" t="s">
        <v>1105</v>
      </c>
      <c r="AD15" t="s">
        <v>2</v>
      </c>
      <c r="AE15">
        <v>-2312139</v>
      </c>
      <c r="AF15" t="s">
        <v>845</v>
      </c>
      <c r="AG15" t="s">
        <v>1106</v>
      </c>
      <c r="AH15" t="s">
        <v>846</v>
      </c>
      <c r="AI15" t="s">
        <v>260</v>
      </c>
      <c r="AJ15" t="s">
        <v>847</v>
      </c>
      <c r="AK15" t="s">
        <v>1107</v>
      </c>
      <c r="AL15" t="s">
        <v>848</v>
      </c>
      <c r="AM15" t="s">
        <v>2</v>
      </c>
      <c r="AN15" t="s">
        <v>41</v>
      </c>
      <c r="AO15" t="s">
        <v>183</v>
      </c>
      <c r="AP15" t="s">
        <v>104</v>
      </c>
      <c r="AQ15" t="s">
        <v>114</v>
      </c>
      <c r="AR15" t="s">
        <v>2</v>
      </c>
      <c r="AS15" t="s">
        <v>776</v>
      </c>
      <c r="AT15" t="s">
        <v>2</v>
      </c>
      <c r="AU15" t="s">
        <v>1108</v>
      </c>
      <c r="AV15" t="s">
        <v>1109</v>
      </c>
      <c r="AW15" t="s">
        <v>1110</v>
      </c>
      <c r="AX15" t="s">
        <v>563</v>
      </c>
      <c r="AY15" t="s">
        <v>453</v>
      </c>
      <c r="AZ15" t="s">
        <v>293</v>
      </c>
      <c r="BA15" t="s">
        <v>21</v>
      </c>
      <c r="BB15" t="s">
        <v>241</v>
      </c>
      <c r="BC15" t="s">
        <v>564</v>
      </c>
      <c r="BD15" t="s">
        <v>454</v>
      </c>
      <c r="BE15" t="s">
        <v>81</v>
      </c>
      <c r="BF15" t="s">
        <v>411</v>
      </c>
      <c r="BG15" t="s">
        <v>412</v>
      </c>
      <c r="BH15" t="s">
        <v>677</v>
      </c>
      <c r="BI15" t="s">
        <v>108</v>
      </c>
      <c r="BJ15" t="s">
        <v>563</v>
      </c>
      <c r="BK15" t="s">
        <v>844</v>
      </c>
      <c r="BL15" t="s">
        <v>1111</v>
      </c>
      <c r="BM15" t="s">
        <v>564</v>
      </c>
      <c r="BN15">
        <v>3.83</v>
      </c>
      <c r="BO15">
        <v>8.11</v>
      </c>
      <c r="BP15">
        <v>9.75</v>
      </c>
      <c r="BQ15">
        <v>4.9800000000000004</v>
      </c>
      <c r="BR15">
        <v>9.43</v>
      </c>
      <c r="BS15">
        <v>13.58</v>
      </c>
      <c r="BT15" t="s">
        <v>525</v>
      </c>
      <c r="BU15" t="s">
        <v>965</v>
      </c>
      <c r="BV15">
        <v>13.56</v>
      </c>
      <c r="BW15">
        <v>15.65</v>
      </c>
      <c r="BX15">
        <v>15.39</v>
      </c>
      <c r="BY15">
        <v>4.4400000000000004</v>
      </c>
      <c r="BZ15">
        <v>6.77</v>
      </c>
      <c r="CA15">
        <v>8.27</v>
      </c>
      <c r="CB15">
        <v>-3.14</v>
      </c>
      <c r="CC15">
        <v>-10.85</v>
      </c>
      <c r="CD15" t="s">
        <v>1112</v>
      </c>
      <c r="CE15" t="s">
        <v>1113</v>
      </c>
      <c r="CF15" s="9">
        <v>0.75294117647058822</v>
      </c>
      <c r="CG15" s="10">
        <v>-0.43174940497801445</v>
      </c>
      <c r="CH15" s="9">
        <v>-0.48410937190055847</v>
      </c>
      <c r="CI15" s="9">
        <v>0.2776203453540802</v>
      </c>
      <c r="CJ15" s="9">
        <v>4.4378697872161865E-2</v>
      </c>
      <c r="CK15" s="9">
        <v>0.5672333836555481</v>
      </c>
      <c r="CL15" s="9">
        <v>0.30707070231437683</v>
      </c>
      <c r="CM15" s="10">
        <v>-0.3496641218662262</v>
      </c>
      <c r="CN15" s="10">
        <v>4.681168869137764E-2</v>
      </c>
      <c r="CO15" s="10">
        <v>-0.16599908471107483</v>
      </c>
      <c r="CP15" s="10">
        <v>0.62003785371780396</v>
      </c>
      <c r="CQ15" s="10">
        <v>0.37047445774078369</v>
      </c>
      <c r="CR15">
        <v>19.07491491054175</v>
      </c>
      <c r="CS15">
        <v>1.3391661128127783</v>
      </c>
      <c r="CT15">
        <v>1.079913606911447</v>
      </c>
      <c r="CU15" s="9">
        <v>0.14243875145912172</v>
      </c>
      <c r="CV15" s="10">
        <v>0.10433215871453286</v>
      </c>
      <c r="CW15">
        <v>0.06</v>
      </c>
      <c r="CX15">
        <v>9.1758557898345554</v>
      </c>
      <c r="CY15">
        <v>64252372.040671557</v>
      </c>
      <c r="CZ15">
        <v>0.14243875145912172</v>
      </c>
      <c r="DA15">
        <v>2.8691161862325578</v>
      </c>
      <c r="DB15">
        <v>205488541.3246949</v>
      </c>
      <c r="DC15">
        <v>0.13531681388616562</v>
      </c>
      <c r="DD15">
        <v>1.3299261010488679</v>
      </c>
      <c r="DE15">
        <v>443310721.95291573</v>
      </c>
      <c r="DF15">
        <v>0.12534610128402712</v>
      </c>
      <c r="DG15">
        <v>0.74505164896361376</v>
      </c>
      <c r="DH15">
        <v>791314938.79666984</v>
      </c>
      <c r="DI15">
        <v>0.11395100116729738</v>
      </c>
      <c r="DJ15">
        <v>0.32864387909936527</v>
      </c>
      <c r="DK15">
        <v>1793949431.2679524</v>
      </c>
      <c r="DL15">
        <v>9.9707126021385192E-2</v>
      </c>
      <c r="DM15">
        <v>59615900</v>
      </c>
      <c r="DN15">
        <v>0.14243875145912172</v>
      </c>
      <c r="DO15">
        <v>589570500</v>
      </c>
      <c r="DP15">
        <v>879934500</v>
      </c>
      <c r="DQ15">
        <v>2509</v>
      </c>
      <c r="DR15">
        <v>0.61050242501146657</v>
      </c>
      <c r="DS15">
        <v>-0.53608156369254734</v>
      </c>
      <c r="DT15" s="11">
        <v>-0.24000000000000007</v>
      </c>
      <c r="DU15">
        <v>-0.18666666666666668</v>
      </c>
      <c r="DV15">
        <v>-0.42666666666666675</v>
      </c>
      <c r="DW15">
        <v>-8.2894009216589861</v>
      </c>
      <c r="DX15">
        <v>0.39258721364383264</v>
      </c>
      <c r="DY15">
        <v>-8.0354768526121312</v>
      </c>
      <c r="DZ15">
        <v>1581</v>
      </c>
      <c r="EA15">
        <v>-8.024500550463447</v>
      </c>
      <c r="EB15">
        <v>8</v>
      </c>
      <c r="EC15">
        <v>6.4494569815364652E-2</v>
      </c>
      <c r="ED15">
        <v>0.52611171996085426</v>
      </c>
      <c r="EE15" s="12">
        <v>5.441E-2</v>
      </c>
      <c r="EF15">
        <v>4.3610000000000003E-2</v>
      </c>
      <c r="EG15">
        <v>27.122587213643833</v>
      </c>
      <c r="EH15">
        <v>-1</v>
      </c>
      <c r="EI15">
        <v>0</v>
      </c>
      <c r="EJ15">
        <v>0</v>
      </c>
      <c r="EK15" s="13">
        <v>45470</v>
      </c>
      <c r="EL15">
        <v>0.28999999999999998</v>
      </c>
      <c r="EM15">
        <v>-3.61</v>
      </c>
      <c r="EN15">
        <v>-0.59</v>
      </c>
      <c r="EO15">
        <v>0.89</v>
      </c>
      <c r="EP15">
        <v>1.08</v>
      </c>
    </row>
    <row r="16" spans="1:146" ht="144" x14ac:dyDescent="0.25">
      <c r="A16" s="8" t="s">
        <v>529</v>
      </c>
      <c r="B16" s="8" t="s">
        <v>528</v>
      </c>
      <c r="C16" s="8" t="str">
        <f>"公司主营业务是风电设备零部件的研发、生产和销售。主要产品包括风电塔筒、桩基及导管架等，产品涵盖2MW至5MW等市场主流规格产品以及6.45MW、8MW等大功率等级产品。"&amp;CHAR(10)&amp;Basic_Fundamental_Information_Constructure(F16)&amp;CHAR(10)&amp;Basic_Fundamental_Information_Concatenate("桩基 5.33亿 82.00% 66.11% 9.56%
风电塔筒 7802.01万 12.00% 10.99% 10.85%
其他业务 3904.50万 6.00% 22.90% 45.22%")</f>
        <v>公司主营业务是风电设备零部件的研发、生产和销售。主要产品包括风电塔筒、桩基及导管架等，产品涵盖2MW至5MW等市场主流规格产品以及6.45MW、8MW等大功率等级产品。
市值84.543546亿, 利润6304.53万; PE; 平均PE23.01; 平均PEG.84, PB1.55; ROIC11.8933%; ROE21.06%; 股利率0%; 毛利17.8833%; 净利9.8%; 上一年度营收增-69.14%, 利润增-69.25%; 当季营收增36.24%, 利润增672.15%; 过往5年营收增27.46%, 利润增114.72%
Income profile:
桩基 5.33亿 82.00% 66.11% 9.56%
风电塔筒 7802.01万 12.00% 10.99% 10.85%
其他业务 3904.50万 6.00% 22.90% 45.22%</v>
      </c>
      <c r="D16" t="s">
        <v>433</v>
      </c>
      <c r="E16" t="s">
        <v>434</v>
      </c>
      <c r="F16">
        <v>38.89</v>
      </c>
      <c r="G16">
        <v>1.67</v>
      </c>
      <c r="H16" t="s">
        <v>1114</v>
      </c>
      <c r="I16">
        <v>8454354600</v>
      </c>
      <c r="K16">
        <v>1.55</v>
      </c>
      <c r="L16" t="s">
        <v>502</v>
      </c>
      <c r="M16" t="s">
        <v>729</v>
      </c>
      <c r="N16" t="s">
        <v>1115</v>
      </c>
      <c r="O16" t="s">
        <v>54</v>
      </c>
      <c r="P16">
        <v>-75.22</v>
      </c>
      <c r="Q16" t="s">
        <v>689</v>
      </c>
      <c r="R16">
        <v>73655368</v>
      </c>
      <c r="S16" s="6">
        <v>-0.1028</v>
      </c>
      <c r="T16" t="s">
        <v>1116</v>
      </c>
      <c r="U16">
        <v>88809282</v>
      </c>
      <c r="V16">
        <v>217391480</v>
      </c>
      <c r="W16">
        <v>1.4</v>
      </c>
      <c r="X16">
        <v>0.02</v>
      </c>
      <c r="Y16">
        <v>58.74</v>
      </c>
      <c r="Z16" t="s">
        <v>63</v>
      </c>
      <c r="AA16" t="s">
        <v>23</v>
      </c>
      <c r="AB16" t="s">
        <v>1117</v>
      </c>
      <c r="AC16" t="s">
        <v>1118</v>
      </c>
      <c r="AD16" t="s">
        <v>2</v>
      </c>
      <c r="AE16">
        <v>2558735</v>
      </c>
      <c r="AF16" t="s">
        <v>850</v>
      </c>
      <c r="AG16" t="s">
        <v>1119</v>
      </c>
      <c r="AH16" t="s">
        <v>851</v>
      </c>
      <c r="AI16" t="s">
        <v>239</v>
      </c>
      <c r="AJ16" t="s">
        <v>852</v>
      </c>
      <c r="AK16" t="s">
        <v>164</v>
      </c>
      <c r="AL16" t="s">
        <v>853</v>
      </c>
      <c r="AM16" t="s">
        <v>2</v>
      </c>
      <c r="AN16" t="s">
        <v>291</v>
      </c>
      <c r="AO16" t="s">
        <v>256</v>
      </c>
      <c r="AP16" t="s">
        <v>261</v>
      </c>
      <c r="AQ16" t="s">
        <v>713</v>
      </c>
      <c r="AR16" t="s">
        <v>2</v>
      </c>
      <c r="AS16" t="s">
        <v>309</v>
      </c>
      <c r="AT16" t="s">
        <v>2</v>
      </c>
      <c r="AU16" t="s">
        <v>1120</v>
      </c>
      <c r="AV16" t="s">
        <v>504</v>
      </c>
      <c r="AW16" t="s">
        <v>1121</v>
      </c>
      <c r="AX16" t="s">
        <v>534</v>
      </c>
      <c r="AY16" t="s">
        <v>455</v>
      </c>
      <c r="AZ16" t="s">
        <v>435</v>
      </c>
      <c r="BA16" t="s">
        <v>238</v>
      </c>
      <c r="BB16" t="s">
        <v>222</v>
      </c>
      <c r="BC16" t="s">
        <v>259</v>
      </c>
      <c r="BD16" t="s">
        <v>456</v>
      </c>
      <c r="BE16" t="s">
        <v>294</v>
      </c>
      <c r="BF16" t="s">
        <v>79</v>
      </c>
      <c r="BG16" t="s">
        <v>436</v>
      </c>
      <c r="BH16" t="s">
        <v>719</v>
      </c>
      <c r="BI16" t="s">
        <v>1122</v>
      </c>
      <c r="BJ16" t="s">
        <v>534</v>
      </c>
      <c r="BK16" t="s">
        <v>849</v>
      </c>
      <c r="BL16" t="s">
        <v>1123</v>
      </c>
      <c r="BM16" t="s">
        <v>259</v>
      </c>
      <c r="BN16">
        <v>1.01</v>
      </c>
      <c r="BO16">
        <v>3.16</v>
      </c>
      <c r="BP16">
        <v>31.51</v>
      </c>
      <c r="BQ16">
        <v>1.19</v>
      </c>
      <c r="BR16">
        <v>3.8</v>
      </c>
      <c r="BS16">
        <v>58.19</v>
      </c>
      <c r="BT16" t="s">
        <v>520</v>
      </c>
      <c r="BU16" t="s">
        <v>965</v>
      </c>
      <c r="BV16">
        <v>9.77</v>
      </c>
      <c r="BW16">
        <v>14.75</v>
      </c>
      <c r="BX16">
        <v>29.13</v>
      </c>
      <c r="BY16">
        <v>-5.13</v>
      </c>
      <c r="BZ16">
        <v>12.98</v>
      </c>
      <c r="CA16">
        <v>21.55</v>
      </c>
      <c r="CB16">
        <v>-3.33</v>
      </c>
      <c r="CC16">
        <v>-21.89</v>
      </c>
      <c r="CD16" t="s">
        <v>1124</v>
      </c>
      <c r="CE16" t="s">
        <v>1125</v>
      </c>
      <c r="CF16" s="9">
        <v>0.36240380769889996</v>
      </c>
      <c r="CG16" s="10">
        <v>6.7214978509277703</v>
      </c>
      <c r="CH16" s="9">
        <v>-0.69136559963226318</v>
      </c>
      <c r="CI16" s="9">
        <v>-0.7008061408996582</v>
      </c>
      <c r="CJ16" s="9">
        <v>0.38915753364562988</v>
      </c>
      <c r="CK16" s="9">
        <v>1.713397741317749</v>
      </c>
      <c r="CL16" s="9">
        <v>0.6624569296836853</v>
      </c>
      <c r="CM16" s="10">
        <v>-0.69246196746826172</v>
      </c>
      <c r="CN16" s="10">
        <v>-0.81581312417984009</v>
      </c>
      <c r="CO16" s="10">
        <v>0.80975598096847534</v>
      </c>
      <c r="CP16" s="10">
        <v>2.5549132823944092</v>
      </c>
      <c r="CQ16" s="10">
        <v>3.8794798851013184</v>
      </c>
      <c r="CR16">
        <v>23.010265321400105</v>
      </c>
      <c r="CS16">
        <v>0.8380531432044892</v>
      </c>
      <c r="CT16">
        <v>0</v>
      </c>
      <c r="CU16" s="9">
        <v>0.27456809282302858</v>
      </c>
      <c r="CV16" s="10">
        <v>1.1471748113632203</v>
      </c>
      <c r="CW16">
        <v>0.06</v>
      </c>
      <c r="CX16">
        <v>64.589655736579971</v>
      </c>
      <c r="CY16">
        <v>75807101.681561962</v>
      </c>
      <c r="CZ16">
        <v>0.27456809282302858</v>
      </c>
      <c r="DA16">
        <v>18.115218119414585</v>
      </c>
      <c r="DB16">
        <v>270289574.63959211</v>
      </c>
      <c r="DC16">
        <v>0.26083968818187714</v>
      </c>
      <c r="DD16">
        <v>7.1772656713702609</v>
      </c>
      <c r="DE16">
        <v>682203338.17811751</v>
      </c>
      <c r="DF16">
        <v>0.24161992168426516</v>
      </c>
      <c r="DG16">
        <v>3.3143916922146253</v>
      </c>
      <c r="DH16">
        <v>1477301132.3620389</v>
      </c>
      <c r="DI16">
        <v>0.21965447425842288</v>
      </c>
      <c r="DJ16">
        <v>0.90729655896398675</v>
      </c>
      <c r="DK16">
        <v>5396641871.5298471</v>
      </c>
      <c r="DL16">
        <v>0.19219766497611998</v>
      </c>
      <c r="DM16">
        <v>63045300</v>
      </c>
      <c r="DN16">
        <v>0.27456809282302858</v>
      </c>
      <c r="DO16">
        <v>4896354600</v>
      </c>
      <c r="DP16">
        <v>1762983300</v>
      </c>
      <c r="DQ16">
        <v>2585</v>
      </c>
      <c r="DR16">
        <v>8.7835714875871385E-2</v>
      </c>
      <c r="DS16">
        <v>5.5743230395645504</v>
      </c>
      <c r="DT16" s="11">
        <v>-0.50666666666666671</v>
      </c>
      <c r="DU16">
        <v>0.94633333333333336</v>
      </c>
      <c r="DV16">
        <v>0.43966666666666665</v>
      </c>
      <c r="DW16">
        <v>-8.1521242576518951</v>
      </c>
      <c r="DX16">
        <v>0.39261916851228745</v>
      </c>
      <c r="DY16">
        <v>-8.0156108648307871</v>
      </c>
      <c r="DZ16">
        <v>1123</v>
      </c>
      <c r="EA16">
        <v>-8.0121801405245296</v>
      </c>
      <c r="EB16">
        <v>8</v>
      </c>
      <c r="EC16">
        <v>2.3892840694584718E-2</v>
      </c>
      <c r="ED16">
        <v>0.23283019187320497</v>
      </c>
      <c r="EE16" s="12">
        <v>5.0088999999999997</v>
      </c>
      <c r="EF16">
        <v>5.0522999999999998</v>
      </c>
      <c r="EG16">
        <v>29.102619168512287</v>
      </c>
      <c r="EH16" t="s">
        <v>743</v>
      </c>
      <c r="EI16">
        <v>0</v>
      </c>
      <c r="EJ16">
        <v>1</v>
      </c>
      <c r="EK16" s="13">
        <v>45470</v>
      </c>
      <c r="EL16">
        <v>1.19</v>
      </c>
      <c r="EM16">
        <v>-5.08</v>
      </c>
      <c r="EN16">
        <v>6.78</v>
      </c>
      <c r="EO16">
        <v>2.9</v>
      </c>
      <c r="EP16">
        <v>4.34</v>
      </c>
    </row>
    <row r="17" spans="1:146" ht="96" x14ac:dyDescent="0.25">
      <c r="A17" s="8"/>
      <c r="B17" s="8"/>
      <c r="C17" s="8" t="str">
        <f>""&amp;CHAR(10)&amp;Basic_Fundamental_Information_Constructure(F17)&amp;CHAR(10)&amp;Basic_Fundamental_Information_Concatenate("")</f>
        <v xml:space="preserve">
市值15.912亿, 利润4.01亿; PE37.33; 平均PE14.1; 平均PEG.05, PB1.42; ROIC6.11%; ROE7.0733%; 股利率1.2821%; 毛利17.19%; 净利7.1167%; 上一年度营收增1328.47%, 利润增685.34%; 当季营收增-93.91%, 利润增-91.09%; 过往5年营收增276.5%, 利润增149.11%
Income profile:
</v>
      </c>
      <c r="D17" t="s">
        <v>505</v>
      </c>
      <c r="E17" t="s">
        <v>506</v>
      </c>
      <c r="F17">
        <v>19.5</v>
      </c>
      <c r="G17">
        <v>1.35</v>
      </c>
      <c r="H17" t="s">
        <v>1126</v>
      </c>
      <c r="I17">
        <v>1591200000</v>
      </c>
      <c r="J17">
        <v>37.33</v>
      </c>
      <c r="K17">
        <v>1.42</v>
      </c>
      <c r="L17" t="s">
        <v>502</v>
      </c>
      <c r="M17" t="s">
        <v>168</v>
      </c>
      <c r="N17" t="s">
        <v>759</v>
      </c>
      <c r="O17" t="s">
        <v>40</v>
      </c>
      <c r="P17">
        <v>-34.700000000000003</v>
      </c>
      <c r="Q17" t="s">
        <v>1127</v>
      </c>
      <c r="R17">
        <v>10600896</v>
      </c>
      <c r="S17" s="6">
        <v>-0.36709999999999998</v>
      </c>
      <c r="T17" t="s">
        <v>101</v>
      </c>
      <c r="U17">
        <v>33447421</v>
      </c>
      <c r="V17">
        <v>81600000</v>
      </c>
      <c r="W17">
        <v>1.1599999999999999</v>
      </c>
      <c r="X17">
        <v>0.1</v>
      </c>
      <c r="Y17">
        <v>8.1</v>
      </c>
      <c r="Z17" t="s">
        <v>74</v>
      </c>
      <c r="AA17" t="s">
        <v>81</v>
      </c>
      <c r="AB17" t="s">
        <v>1128</v>
      </c>
      <c r="AC17" t="s">
        <v>1129</v>
      </c>
      <c r="AD17" t="s">
        <v>2</v>
      </c>
      <c r="AE17">
        <v>-1742337</v>
      </c>
      <c r="AF17" t="s">
        <v>19</v>
      </c>
      <c r="AG17">
        <v>2.23</v>
      </c>
      <c r="AH17" t="s">
        <v>855</v>
      </c>
      <c r="AI17" t="s">
        <v>146</v>
      </c>
      <c r="AJ17" t="s">
        <v>856</v>
      </c>
      <c r="AK17" t="s">
        <v>1130</v>
      </c>
      <c r="AL17" t="s">
        <v>857</v>
      </c>
      <c r="AM17" t="s">
        <v>2</v>
      </c>
      <c r="AN17" t="s">
        <v>1131</v>
      </c>
      <c r="AO17" t="s">
        <v>1132</v>
      </c>
      <c r="AP17" t="s">
        <v>1133</v>
      </c>
      <c r="AQ17" t="s">
        <v>1134</v>
      </c>
      <c r="AR17" t="s">
        <v>2</v>
      </c>
      <c r="AS17" t="s">
        <v>103</v>
      </c>
      <c r="AT17" t="s">
        <v>2</v>
      </c>
      <c r="AU17" t="s">
        <v>1135</v>
      </c>
      <c r="AV17" t="s">
        <v>1136</v>
      </c>
      <c r="AW17" t="s">
        <v>1137</v>
      </c>
      <c r="AX17" t="s">
        <v>262</v>
      </c>
      <c r="AY17" t="s">
        <v>257</v>
      </c>
      <c r="AZ17" t="s">
        <v>128</v>
      </c>
      <c r="BA17" t="s">
        <v>29</v>
      </c>
      <c r="BB17" t="s">
        <v>100</v>
      </c>
      <c r="BC17" t="s">
        <v>565</v>
      </c>
      <c r="BD17" t="s">
        <v>507</v>
      </c>
      <c r="BE17" t="s">
        <v>508</v>
      </c>
      <c r="BF17" t="s">
        <v>509</v>
      </c>
      <c r="BG17" t="s">
        <v>510</v>
      </c>
      <c r="BH17" t="s">
        <v>163</v>
      </c>
      <c r="BI17" t="s">
        <v>1138</v>
      </c>
      <c r="BJ17" t="s">
        <v>262</v>
      </c>
      <c r="BK17" t="s">
        <v>854</v>
      </c>
      <c r="BL17" t="s">
        <v>38</v>
      </c>
      <c r="BM17" t="s">
        <v>565</v>
      </c>
      <c r="BN17">
        <v>2.63</v>
      </c>
      <c r="BO17">
        <v>5.59</v>
      </c>
      <c r="BP17">
        <v>10.11</v>
      </c>
      <c r="BQ17">
        <v>3.3</v>
      </c>
      <c r="BR17">
        <v>5.65</v>
      </c>
      <c r="BS17">
        <v>12.27</v>
      </c>
      <c r="BT17" t="s">
        <v>524</v>
      </c>
      <c r="BU17" t="s">
        <v>965</v>
      </c>
      <c r="BV17">
        <v>17.97</v>
      </c>
      <c r="BW17">
        <v>15.2</v>
      </c>
      <c r="BX17">
        <v>18.399999999999999</v>
      </c>
      <c r="BY17">
        <v>7</v>
      </c>
      <c r="BZ17">
        <v>6.32</v>
      </c>
      <c r="CA17">
        <v>8.0299999999999994</v>
      </c>
      <c r="CB17">
        <v>-4.04</v>
      </c>
      <c r="CC17">
        <v>-17.48</v>
      </c>
      <c r="CD17" t="s">
        <v>1139</v>
      </c>
      <c r="CE17" t="s">
        <v>1140</v>
      </c>
      <c r="CF17" s="9">
        <v>-0.93912639405204457</v>
      </c>
      <c r="CG17" s="10">
        <v>-0.9109168403361344</v>
      </c>
      <c r="CH17" s="9">
        <v>13.284653663635254</v>
      </c>
      <c r="CI17" s="9">
        <v>6.8783067166805267E-2</v>
      </c>
      <c r="CJ17" s="9">
        <v>0.125</v>
      </c>
      <c r="CK17" s="9">
        <v>0.10163934528827667</v>
      </c>
      <c r="CL17" s="9">
        <v>0.24489796161651611</v>
      </c>
      <c r="CM17" s="10">
        <v>6.8533520698547363</v>
      </c>
      <c r="CN17" s="10">
        <v>-0.22231513261795044</v>
      </c>
      <c r="CO17" s="10">
        <v>-0.1404585987329483</v>
      </c>
      <c r="CP17" s="10">
        <v>0.58927130699157715</v>
      </c>
      <c r="CQ17" s="10">
        <v>0.3754095733165741</v>
      </c>
      <c r="CR17">
        <v>14.099820562238319</v>
      </c>
      <c r="CS17">
        <v>5.0994021846919348E-2</v>
      </c>
      <c r="CT17">
        <v>1.2820512820512822</v>
      </c>
      <c r="CU17" s="9">
        <v>2.7649948075413704</v>
      </c>
      <c r="CV17" s="10">
        <v>1.4910518437623979</v>
      </c>
      <c r="CW17">
        <v>0.06</v>
      </c>
      <c r="CX17">
        <v>0.48458734239838047</v>
      </c>
      <c r="CY17">
        <v>1424304639.4566882</v>
      </c>
      <c r="CZ17">
        <v>2.7649948075413704</v>
      </c>
      <c r="DA17">
        <v>3.1192019035250679E-2</v>
      </c>
      <c r="DB17">
        <v>22127455078.17215</v>
      </c>
      <c r="DC17">
        <v>2.6267450671643018</v>
      </c>
      <c r="DD17">
        <v>1.0315397496719386E-3</v>
      </c>
      <c r="DE17">
        <v>669096852757.73889</v>
      </c>
      <c r="DF17">
        <v>2.4331954306364061</v>
      </c>
      <c r="DG17">
        <v>1.766902533422296E-5</v>
      </c>
      <c r="DH17">
        <v>39062709286129.016</v>
      </c>
      <c r="DI17">
        <v>2.2119958460330964</v>
      </c>
      <c r="DJ17">
        <v>1.5622539400899022E-9</v>
      </c>
      <c r="DK17">
        <v>4.4179757354958662E+17</v>
      </c>
      <c r="DL17">
        <v>1.9354963652789592</v>
      </c>
      <c r="DM17">
        <v>401000000</v>
      </c>
      <c r="DN17">
        <v>2.7649948075413704</v>
      </c>
      <c r="DO17">
        <v>690200000</v>
      </c>
      <c r="DP17">
        <v>529483310</v>
      </c>
      <c r="DQ17">
        <v>2593</v>
      </c>
      <c r="DR17">
        <v>-3.7041212015934151</v>
      </c>
      <c r="DS17">
        <v>-2.4019686840985321</v>
      </c>
      <c r="DT17" s="11">
        <v>-4.0000000000000036E-2</v>
      </c>
      <c r="DU17">
        <v>-7.3333333333333403E-2</v>
      </c>
      <c r="DV17">
        <v>-0.11333333333333344</v>
      </c>
      <c r="DW17">
        <v>-8.2311212814645316</v>
      </c>
      <c r="DX17">
        <v>0.27302886878469879</v>
      </c>
      <c r="DY17">
        <v>-8.0307458026252974</v>
      </c>
      <c r="DZ17">
        <v>325</v>
      </c>
      <c r="EA17">
        <v>-8.0287903455111636</v>
      </c>
      <c r="EB17">
        <v>8</v>
      </c>
      <c r="EC17">
        <v>0.10112867647058824</v>
      </c>
      <c r="ED17">
        <v>0.76020098039215689</v>
      </c>
      <c r="EE17" s="12">
        <v>0.10820999999999999</v>
      </c>
      <c r="EF17">
        <v>0.11831</v>
      </c>
      <c r="EG17">
        <v>14.133028868784699</v>
      </c>
      <c r="EH17">
        <v>-1</v>
      </c>
      <c r="EI17">
        <v>0</v>
      </c>
      <c r="EJ17">
        <v>1</v>
      </c>
      <c r="EK17" s="13">
        <v>45470</v>
      </c>
      <c r="EL17">
        <v>-2.59</v>
      </c>
      <c r="EM17">
        <v>-0.28000000000000003</v>
      </c>
      <c r="EN17">
        <v>-5.17</v>
      </c>
      <c r="EO17">
        <v>2.17</v>
      </c>
      <c r="EP17">
        <v>-1.01</v>
      </c>
    </row>
    <row r="18" spans="1:146" ht="96" x14ac:dyDescent="0.25">
      <c r="C18" s="8" t="str">
        <f>""&amp;CHAR(10)&amp;Basic_Fundamental_Information_Constructure(F18)&amp;CHAR(10)&amp;Basic_Fundamental_Information_Concatenate("")</f>
        <v xml:space="preserve">
市值17.633087亿, 利润6403.01万; PE162.5; 平均PE21.55; 平均PEG.68, PB1.16; ROIC8.4267%; ROE10.01%; 股利率.8525%; 毛利17.7833%; 净利5.9367%; 上一年度营收增-74.63%, 利润增-28.58%; 当季营收增240.92%, 利润增-281.15%; 过往5年营收增31.7%, 利润增35.69%
Income profile:
</v>
      </c>
      <c r="D18" s="6" t="s">
        <v>679</v>
      </c>
      <c r="E18" t="s">
        <v>680</v>
      </c>
      <c r="F18">
        <v>23.46</v>
      </c>
      <c r="G18">
        <v>-0.93</v>
      </c>
      <c r="H18" t="s">
        <v>1141</v>
      </c>
      <c r="I18">
        <v>1763308700</v>
      </c>
      <c r="J18">
        <v>162.5</v>
      </c>
      <c r="K18">
        <v>1.1599999999999999</v>
      </c>
      <c r="L18" t="s">
        <v>502</v>
      </c>
      <c r="M18" t="s">
        <v>240</v>
      </c>
      <c r="N18" t="s">
        <v>1142</v>
      </c>
      <c r="O18" t="s">
        <v>177</v>
      </c>
      <c r="P18" s="6">
        <v>-14.37</v>
      </c>
      <c r="Q18" t="s">
        <v>159</v>
      </c>
      <c r="R18">
        <v>-24665699</v>
      </c>
      <c r="S18">
        <v>-2.1890000000000001</v>
      </c>
      <c r="T18" t="s">
        <v>1143</v>
      </c>
      <c r="U18">
        <v>43757265</v>
      </c>
      <c r="V18">
        <v>75162347</v>
      </c>
      <c r="W18">
        <v>1.99</v>
      </c>
      <c r="X18">
        <v>0.08</v>
      </c>
      <c r="Y18">
        <v>-11.25</v>
      </c>
      <c r="Z18" t="s">
        <v>277</v>
      </c>
      <c r="AA18" t="s">
        <v>286</v>
      </c>
      <c r="AB18" t="s">
        <v>1144</v>
      </c>
      <c r="AC18" t="s">
        <v>1145</v>
      </c>
      <c r="AD18" t="s">
        <v>2</v>
      </c>
      <c r="AE18">
        <v>7575336</v>
      </c>
      <c r="AF18" t="s">
        <v>860</v>
      </c>
      <c r="AG18">
        <v>9413.6200000000008</v>
      </c>
      <c r="AH18" t="s">
        <v>861</v>
      </c>
      <c r="AI18" t="s">
        <v>236</v>
      </c>
      <c r="AJ18" t="s">
        <v>862</v>
      </c>
      <c r="AK18" t="s">
        <v>1146</v>
      </c>
      <c r="AL18" t="s">
        <v>863</v>
      </c>
      <c r="AM18" t="s">
        <v>2</v>
      </c>
      <c r="AN18" t="s">
        <v>1147</v>
      </c>
      <c r="AO18" t="s">
        <v>118</v>
      </c>
      <c r="AP18" t="s">
        <v>229</v>
      </c>
      <c r="AQ18" t="s">
        <v>116</v>
      </c>
      <c r="AR18">
        <v>10000</v>
      </c>
      <c r="AS18" t="s">
        <v>722</v>
      </c>
      <c r="AT18" t="s">
        <v>181</v>
      </c>
      <c r="AU18" t="s">
        <v>1148</v>
      </c>
      <c r="AV18" t="s">
        <v>1149</v>
      </c>
      <c r="AW18" t="s">
        <v>1150</v>
      </c>
      <c r="AX18" t="s">
        <v>156</v>
      </c>
      <c r="AY18" t="s">
        <v>704</v>
      </c>
      <c r="AZ18" t="s">
        <v>675</v>
      </c>
      <c r="BA18" t="s">
        <v>198</v>
      </c>
      <c r="BB18" t="s">
        <v>144</v>
      </c>
      <c r="BC18" t="s">
        <v>864</v>
      </c>
      <c r="BD18" t="s">
        <v>681</v>
      </c>
      <c r="BE18" t="s">
        <v>83</v>
      </c>
      <c r="BF18" t="s">
        <v>705</v>
      </c>
      <c r="BG18" t="s">
        <v>706</v>
      </c>
      <c r="BH18" t="s">
        <v>858</v>
      </c>
      <c r="BI18" t="s">
        <v>1151</v>
      </c>
      <c r="BJ18" t="s">
        <v>156</v>
      </c>
      <c r="BK18" t="s">
        <v>859</v>
      </c>
      <c r="BL18" t="s">
        <v>1152</v>
      </c>
      <c r="BM18" t="s">
        <v>864</v>
      </c>
      <c r="BN18">
        <v>4.62</v>
      </c>
      <c r="BO18">
        <v>9.8000000000000007</v>
      </c>
      <c r="BP18">
        <v>10.86</v>
      </c>
      <c r="BQ18">
        <v>5.75</v>
      </c>
      <c r="BR18">
        <v>14.27</v>
      </c>
      <c r="BS18" t="s">
        <v>2</v>
      </c>
      <c r="BT18" t="s">
        <v>865</v>
      </c>
      <c r="BU18" t="s">
        <v>965</v>
      </c>
      <c r="BV18">
        <v>17.03</v>
      </c>
      <c r="BW18">
        <v>18.55</v>
      </c>
      <c r="BX18">
        <v>17.77</v>
      </c>
      <c r="BY18">
        <v>3.85</v>
      </c>
      <c r="BZ18">
        <v>7</v>
      </c>
      <c r="CA18">
        <v>6.96</v>
      </c>
      <c r="CB18">
        <v>-13.81</v>
      </c>
      <c r="CC18" s="9">
        <v>-14.89</v>
      </c>
      <c r="CD18" s="10" t="s">
        <v>1153</v>
      </c>
      <c r="CE18" s="9" t="s">
        <v>1154</v>
      </c>
      <c r="CF18" s="9">
        <v>2.4091560190225176</v>
      </c>
      <c r="CG18" s="9">
        <v>-2.8115231345475911</v>
      </c>
      <c r="CH18" s="9">
        <v>-0.746268630027771</v>
      </c>
      <c r="CI18" s="9">
        <v>0.18584071099758148</v>
      </c>
      <c r="CJ18" s="10">
        <v>-5.5183947086334229E-2</v>
      </c>
      <c r="CK18" s="10">
        <v>1.2737642526626587</v>
      </c>
      <c r="CL18" s="10">
        <v>0.92673993110656738</v>
      </c>
      <c r="CM18" s="10">
        <v>-0.2858167290687561</v>
      </c>
      <c r="CN18" s="10">
        <v>0.14644959568977356</v>
      </c>
      <c r="CO18">
        <v>-0.51123559474945068</v>
      </c>
      <c r="CP18">
        <v>1.4138227701187134</v>
      </c>
      <c r="CQ18">
        <v>1.0213863849639893</v>
      </c>
      <c r="CR18" s="9">
        <v>21.549136077362888</v>
      </c>
      <c r="CS18" s="10">
        <v>0.67982965900415671</v>
      </c>
      <c r="CT18">
        <v>0.85251491901108267</v>
      </c>
      <c r="CU18">
        <v>0.31697846353054049</v>
      </c>
      <c r="CV18">
        <v>0.35692128539085388</v>
      </c>
      <c r="CW18">
        <v>0.06</v>
      </c>
      <c r="CX18">
        <v>21.561814355353949</v>
      </c>
      <c r="CY18">
        <v>79553078.035572499</v>
      </c>
      <c r="CZ18">
        <v>0.31697846353054049</v>
      </c>
      <c r="DA18">
        <v>5.8444961604587631</v>
      </c>
      <c r="DB18">
        <v>293491287.00006831</v>
      </c>
      <c r="DC18">
        <v>0.30112954035401346</v>
      </c>
      <c r="DD18">
        <v>2.1994281569981418</v>
      </c>
      <c r="DE18">
        <v>779888488.07915354</v>
      </c>
      <c r="DF18">
        <v>0.27894104790687563</v>
      </c>
      <c r="DG18">
        <v>0.95068747848391288</v>
      </c>
      <c r="DH18">
        <v>1804282415.4320927</v>
      </c>
      <c r="DI18">
        <v>0.25358277082443242</v>
      </c>
      <c r="DJ18">
        <v>0.21964588598185586</v>
      </c>
      <c r="DK18">
        <v>7809427853.9853706</v>
      </c>
      <c r="DL18">
        <v>0.22188492447137834</v>
      </c>
      <c r="DM18">
        <v>64030100</v>
      </c>
      <c r="DN18">
        <v>0.31697846353054049</v>
      </c>
      <c r="DO18">
        <v>1715308700</v>
      </c>
      <c r="DP18">
        <v>1167029500</v>
      </c>
      <c r="DQ18" s="11">
        <v>2654</v>
      </c>
      <c r="DR18">
        <v>2.0921775554919773</v>
      </c>
      <c r="DS18">
        <v>-3.1684444199384449</v>
      </c>
      <c r="DT18">
        <v>-0.19000000000000009</v>
      </c>
      <c r="DU18">
        <v>-0.76500000000000012</v>
      </c>
      <c r="DV18">
        <v>-0.95500000000000018</v>
      </c>
      <c r="DW18">
        <v>-9.9274680993955684</v>
      </c>
      <c r="DX18">
        <v>0.25094600673382284</v>
      </c>
      <c r="DY18">
        <v>-9.0936242010069908</v>
      </c>
      <c r="DZ18">
        <v>4257</v>
      </c>
      <c r="EA18">
        <v>-9.0156284625164318</v>
      </c>
      <c r="EB18" s="12">
        <v>9</v>
      </c>
      <c r="EC18" s="12">
        <v>9.8526726420610569E-2</v>
      </c>
      <c r="ED18">
        <v>0.9760339176210131</v>
      </c>
      <c r="EE18">
        <v>9.1600000000000015E-2</v>
      </c>
      <c r="EF18">
        <v>1.0126999999999999</v>
      </c>
      <c r="EG18">
        <v>15.100946006733823</v>
      </c>
      <c r="EH18" s="13" t="s">
        <v>527</v>
      </c>
      <c r="EI18">
        <v>0</v>
      </c>
      <c r="EJ18">
        <v>0</v>
      </c>
      <c r="EK18">
        <v>45470</v>
      </c>
      <c r="EL18">
        <v>-3.6</v>
      </c>
      <c r="EM18">
        <v>-6.32</v>
      </c>
      <c r="EN18">
        <v>2.44</v>
      </c>
      <c r="EO18">
        <v>20</v>
      </c>
      <c r="EP18">
        <v>7.11</v>
      </c>
    </row>
    <row r="19" spans="1:146" ht="96" x14ac:dyDescent="0.25">
      <c r="C19" s="8" t="str">
        <f>""&amp;CHAR(10)&amp;Basic_Fundamental_Information_Constructure(F19)&amp;CHAR(10)&amp;Basic_Fundamental_Information_Concatenate("")</f>
        <v xml:space="preserve">
市值37.146051亿, 利润1.38亿; PE39.15; 平均PE37.74; 平均PEG.6, PB1.77; ROIC16.27%; ROE12.27%; 股利率.8%; 毛利51.05%; 净利33.5%; 上一年度营收增133.82%, 利润增27.78%; 当季营收增-53.66%, 利润增-59.54%; 过往5年营收增62.59%, 利润增2462.8%
Income profile:
</v>
      </c>
      <c r="D19" s="6" t="s">
        <v>682</v>
      </c>
      <c r="E19" t="s">
        <v>683</v>
      </c>
      <c r="F19">
        <v>25</v>
      </c>
      <c r="G19">
        <v>-5.23</v>
      </c>
      <c r="H19" t="s">
        <v>1155</v>
      </c>
      <c r="I19">
        <v>3714605100</v>
      </c>
      <c r="J19">
        <v>39.15</v>
      </c>
      <c r="K19">
        <v>1.77</v>
      </c>
      <c r="L19" t="s">
        <v>502</v>
      </c>
      <c r="M19" t="s">
        <v>62</v>
      </c>
      <c r="N19" t="s">
        <v>717</v>
      </c>
      <c r="O19" t="s">
        <v>867</v>
      </c>
      <c r="P19" s="6">
        <v>-6.55</v>
      </c>
      <c r="Q19" t="s">
        <v>169</v>
      </c>
      <c r="R19">
        <v>13227538</v>
      </c>
      <c r="S19">
        <v>-0.54500000000000004</v>
      </c>
      <c r="T19" t="s">
        <v>27</v>
      </c>
      <c r="U19">
        <v>36576239</v>
      </c>
      <c r="V19">
        <v>148584210</v>
      </c>
      <c r="W19">
        <v>1.07</v>
      </c>
      <c r="X19">
        <v>0.04</v>
      </c>
      <c r="Y19">
        <v>16.13</v>
      </c>
      <c r="Z19" t="s">
        <v>1156</v>
      </c>
      <c r="AA19" t="s">
        <v>1157</v>
      </c>
      <c r="AB19" t="s">
        <v>1158</v>
      </c>
      <c r="AC19" t="s">
        <v>1159</v>
      </c>
      <c r="AD19" t="s">
        <v>2</v>
      </c>
      <c r="AE19">
        <v>-3752190</v>
      </c>
      <c r="AF19" t="s">
        <v>868</v>
      </c>
      <c r="AG19">
        <v>1.55</v>
      </c>
      <c r="AH19" t="s">
        <v>869</v>
      </c>
      <c r="AI19" t="s">
        <v>259</v>
      </c>
      <c r="AJ19" t="s">
        <v>870</v>
      </c>
      <c r="AK19" t="s">
        <v>1160</v>
      </c>
      <c r="AL19" t="s">
        <v>871</v>
      </c>
      <c r="AM19" t="s">
        <v>2</v>
      </c>
      <c r="AN19" t="s">
        <v>1161</v>
      </c>
      <c r="AO19" t="s">
        <v>1162</v>
      </c>
      <c r="AP19" t="s">
        <v>1163</v>
      </c>
      <c r="AQ19" t="s">
        <v>1164</v>
      </c>
      <c r="AR19" t="s">
        <v>2</v>
      </c>
      <c r="AS19" t="s">
        <v>98</v>
      </c>
      <c r="AT19" t="s">
        <v>2</v>
      </c>
      <c r="AU19" t="s">
        <v>1165</v>
      </c>
      <c r="AV19" t="s">
        <v>147</v>
      </c>
      <c r="AW19" t="s">
        <v>1166</v>
      </c>
      <c r="AX19" t="s">
        <v>253</v>
      </c>
      <c r="AY19" t="s">
        <v>64</v>
      </c>
      <c r="AZ19" t="s">
        <v>225</v>
      </c>
      <c r="BA19" t="s">
        <v>201</v>
      </c>
      <c r="BB19" t="s">
        <v>709</v>
      </c>
      <c r="BC19" t="s">
        <v>61</v>
      </c>
      <c r="BD19" t="s">
        <v>98</v>
      </c>
      <c r="BE19" t="s">
        <v>107</v>
      </c>
      <c r="BF19" t="s">
        <v>710</v>
      </c>
      <c r="BG19" t="s">
        <v>711</v>
      </c>
      <c r="BH19" t="s">
        <v>299</v>
      </c>
      <c r="BI19" t="s">
        <v>66</v>
      </c>
      <c r="BJ19" t="s">
        <v>253</v>
      </c>
      <c r="BK19" t="s">
        <v>195</v>
      </c>
      <c r="BL19" t="s">
        <v>1167</v>
      </c>
      <c r="BM19" t="s">
        <v>61</v>
      </c>
      <c r="BN19">
        <v>5.15</v>
      </c>
      <c r="BO19">
        <v>16.940000000000001</v>
      </c>
      <c r="BP19">
        <v>26.72</v>
      </c>
      <c r="BQ19">
        <v>7.5</v>
      </c>
      <c r="BR19">
        <v>17.04</v>
      </c>
      <c r="BS19" t="s">
        <v>2</v>
      </c>
      <c r="BT19" t="s">
        <v>521</v>
      </c>
      <c r="BU19" t="s">
        <v>965</v>
      </c>
      <c r="BV19">
        <v>44.37</v>
      </c>
      <c r="BW19">
        <v>50.18</v>
      </c>
      <c r="BX19">
        <v>58.6</v>
      </c>
      <c r="BY19">
        <v>27.05</v>
      </c>
      <c r="BZ19">
        <v>31.52</v>
      </c>
      <c r="CA19">
        <v>41.93</v>
      </c>
      <c r="CB19">
        <v>-4.18</v>
      </c>
      <c r="CC19" s="9">
        <v>7.43</v>
      </c>
      <c r="CD19" s="10" t="s">
        <v>1168</v>
      </c>
      <c r="CE19" s="9" t="s">
        <v>82</v>
      </c>
      <c r="CF19" s="9">
        <v>-0.53659999999999997</v>
      </c>
      <c r="CG19" s="9">
        <v>-0.59541637354637822</v>
      </c>
      <c r="CH19" s="9">
        <v>1.3381924629211426</v>
      </c>
      <c r="CI19" s="9">
        <v>4.8929665237665176E-2</v>
      </c>
      <c r="CJ19" s="10">
        <v>-6.0344826430082321E-2</v>
      </c>
      <c r="CK19" s="10">
        <v>0.83157896995544434</v>
      </c>
      <c r="CL19" s="10">
        <v>0.97128349542617798</v>
      </c>
      <c r="CM19" s="10">
        <v>0.27777779102325439</v>
      </c>
      <c r="CN19" s="10">
        <v>-0.21167883276939392</v>
      </c>
      <c r="CO19">
        <v>-0.13291139900684357</v>
      </c>
      <c r="CP19">
        <v>2.2146031856536865</v>
      </c>
      <c r="CQ19">
        <v>120.9923095703125</v>
      </c>
      <c r="CR19" s="9">
        <v>37.740233232004684</v>
      </c>
      <c r="CS19" s="10">
        <v>0.60294851868608057</v>
      </c>
      <c r="CT19">
        <v>0.8</v>
      </c>
      <c r="CU19">
        <v>0.62592795342206953</v>
      </c>
      <c r="CV19">
        <v>24.628020063042641</v>
      </c>
      <c r="CW19">
        <v>0.06</v>
      </c>
      <c r="CX19">
        <v>8.3788113077619801</v>
      </c>
      <c r="CY19">
        <v>211677412.80400527</v>
      </c>
      <c r="CZ19">
        <v>0.62592795342206953</v>
      </c>
      <c r="DA19">
        <v>1.7919791666596727</v>
      </c>
      <c r="DB19">
        <v>989746495.38257587</v>
      </c>
      <c r="DC19">
        <v>0.59463155575096605</v>
      </c>
      <c r="DD19">
        <v>0.46186851688137803</v>
      </c>
      <c r="DE19">
        <v>3840064943.1048274</v>
      </c>
      <c r="DF19">
        <v>0.55081659901142122</v>
      </c>
      <c r="DG19">
        <v>0.12036116197447325</v>
      </c>
      <c r="DH19">
        <v>14735692734.307055</v>
      </c>
      <c r="DI19">
        <v>0.5007423627376556</v>
      </c>
      <c r="DJ19">
        <v>7.5831044267369975E-3</v>
      </c>
      <c r="DK19">
        <v>233889051263.29382</v>
      </c>
      <c r="DL19">
        <v>0.43814956739544864</v>
      </c>
      <c r="DM19">
        <v>138000000</v>
      </c>
      <c r="DN19">
        <v>0.62592795342206953</v>
      </c>
      <c r="DO19">
        <v>1773605100</v>
      </c>
      <c r="DP19">
        <v>1772080300</v>
      </c>
      <c r="DQ19" s="11">
        <v>2795</v>
      </c>
      <c r="DR19">
        <v>-1.1625279534220696</v>
      </c>
      <c r="DS19">
        <v>-25.223436436589019</v>
      </c>
      <c r="DT19">
        <v>0.32666666666666661</v>
      </c>
      <c r="DU19">
        <v>0.75016666666666654</v>
      </c>
      <c r="DV19">
        <v>1.0768333333333331</v>
      </c>
      <c r="DW19">
        <v>-6.3600344530577093</v>
      </c>
      <c r="DX19">
        <v>0.50746732673267247</v>
      </c>
      <c r="DY19">
        <v>-6.1323008979967764</v>
      </c>
      <c r="DZ19">
        <v>1558</v>
      </c>
      <c r="EA19">
        <v>-6.0919633639304402</v>
      </c>
      <c r="EB19" s="12">
        <v>6</v>
      </c>
      <c r="EC19" s="12">
        <v>0.24978562661537185</v>
      </c>
      <c r="ED19">
        <v>0.67974921426711488</v>
      </c>
      <c r="EE19">
        <v>4.8710000000000003E-2</v>
      </c>
      <c r="EF19">
        <v>1.6409999999999998E-2</v>
      </c>
      <c r="EG19">
        <v>14.367467326732672</v>
      </c>
      <c r="EH19" s="13">
        <v>-1</v>
      </c>
      <c r="EI19">
        <v>0</v>
      </c>
      <c r="EJ19">
        <v>0</v>
      </c>
      <c r="EK19">
        <v>45470</v>
      </c>
      <c r="EL19">
        <v>-1.92</v>
      </c>
      <c r="EM19">
        <v>-5.67</v>
      </c>
      <c r="EN19">
        <v>1.64</v>
      </c>
      <c r="EO19">
        <v>4.78</v>
      </c>
      <c r="EP19">
        <v>3.23</v>
      </c>
    </row>
    <row r="20" spans="1:146" ht="96" x14ac:dyDescent="0.25">
      <c r="C20" s="8" t="str">
        <f>""&amp;CHAR(10)&amp;Basic_Fundamental_Information_Constructure(F20)&amp;CHAR(10)&amp;Basic_Fundamental_Information_Concatenate("")</f>
        <v xml:space="preserve">
市值194.04亿, 利润2.26亿; PE189.5; 平均PE73.08; 平均PEG9.63, PB1.79; ROIC1.0967%; ROE2.0733%; 股利率.2562%; 毛利13.7733%; 净利2.5233%; 上一年度营收增18.94%, 利润增-25.9%; 当季营收增-85.97%, 利润增-148.65%; 过往5年营收增-7.59%, 利润增-25.9%
Income profile:
</v>
      </c>
      <c r="D20" t="s">
        <v>872</v>
      </c>
      <c r="E20" t="s">
        <v>873</v>
      </c>
      <c r="F20">
        <v>12.88</v>
      </c>
      <c r="G20">
        <v>-0.23</v>
      </c>
      <c r="H20" t="s">
        <v>1169</v>
      </c>
      <c r="I20">
        <v>19404000000</v>
      </c>
      <c r="J20">
        <v>189.5</v>
      </c>
      <c r="K20">
        <v>1.79</v>
      </c>
      <c r="L20" t="s">
        <v>502</v>
      </c>
      <c r="M20" t="s">
        <v>874</v>
      </c>
      <c r="N20" t="s">
        <v>1170</v>
      </c>
      <c r="O20" t="s">
        <v>199</v>
      </c>
      <c r="P20" s="6">
        <v>-74.87</v>
      </c>
      <c r="Q20" t="s">
        <v>1171</v>
      </c>
      <c r="R20">
        <v>-97780878</v>
      </c>
      <c r="S20">
        <v>-1.55</v>
      </c>
      <c r="T20" t="s">
        <v>106</v>
      </c>
      <c r="U20">
        <v>736249880</v>
      </c>
      <c r="V20">
        <v>1506521700</v>
      </c>
      <c r="W20">
        <v>4.32</v>
      </c>
      <c r="X20" t="s">
        <v>2</v>
      </c>
      <c r="Y20">
        <v>-11.84</v>
      </c>
      <c r="Z20" t="s">
        <v>2</v>
      </c>
      <c r="AA20" t="s">
        <v>2</v>
      </c>
      <c r="AB20" t="s">
        <v>2</v>
      </c>
      <c r="AC20" t="s">
        <v>2</v>
      </c>
      <c r="AD20" t="s">
        <v>2</v>
      </c>
      <c r="AE20">
        <v>69689764</v>
      </c>
      <c r="AF20" t="s">
        <v>876</v>
      </c>
      <c r="AG20" t="s">
        <v>1172</v>
      </c>
      <c r="AH20" t="s">
        <v>877</v>
      </c>
      <c r="AI20" t="s">
        <v>1173</v>
      </c>
      <c r="AJ20" t="s">
        <v>878</v>
      </c>
      <c r="AK20" t="s">
        <v>2</v>
      </c>
      <c r="AL20" t="s">
        <v>879</v>
      </c>
      <c r="AM20" t="s">
        <v>2</v>
      </c>
      <c r="AN20" t="s">
        <v>1174</v>
      </c>
      <c r="AO20" t="s">
        <v>2</v>
      </c>
      <c r="AP20" t="s">
        <v>726</v>
      </c>
      <c r="AQ20" t="s">
        <v>1175</v>
      </c>
      <c r="AR20" t="s">
        <v>1176</v>
      </c>
      <c r="AS20" t="s">
        <v>2</v>
      </c>
      <c r="AT20" t="s">
        <v>2</v>
      </c>
      <c r="AU20" t="s">
        <v>1177</v>
      </c>
      <c r="AV20" t="s">
        <v>1178</v>
      </c>
      <c r="AW20" t="s">
        <v>728</v>
      </c>
      <c r="AX20" t="s">
        <v>880</v>
      </c>
      <c r="AY20" t="s">
        <v>2</v>
      </c>
      <c r="AZ20" t="s">
        <v>731</v>
      </c>
      <c r="BA20" t="s">
        <v>746</v>
      </c>
      <c r="BB20" t="s">
        <v>671</v>
      </c>
      <c r="BC20" t="s">
        <v>289</v>
      </c>
      <c r="BD20" t="s">
        <v>2</v>
      </c>
      <c r="BE20" t="s">
        <v>2</v>
      </c>
      <c r="BF20" t="s">
        <v>2</v>
      </c>
      <c r="BG20" t="s">
        <v>2</v>
      </c>
      <c r="BH20" t="s">
        <v>875</v>
      </c>
      <c r="BI20" t="s">
        <v>1179</v>
      </c>
      <c r="BJ20" t="s">
        <v>880</v>
      </c>
      <c r="BK20" t="s">
        <v>88</v>
      </c>
      <c r="BL20" t="s">
        <v>167</v>
      </c>
      <c r="BM20" t="s">
        <v>289</v>
      </c>
      <c r="BN20">
        <v>1.32</v>
      </c>
      <c r="BO20">
        <v>0.75</v>
      </c>
      <c r="BP20">
        <v>1.22</v>
      </c>
      <c r="BQ20">
        <v>1.43</v>
      </c>
      <c r="BR20">
        <v>2.76</v>
      </c>
      <c r="BS20">
        <v>2.0299999999999998</v>
      </c>
      <c r="BT20" t="s">
        <v>881</v>
      </c>
      <c r="BU20" t="s">
        <v>983</v>
      </c>
      <c r="BV20">
        <v>15.46</v>
      </c>
      <c r="BW20">
        <v>11.82</v>
      </c>
      <c r="BX20">
        <v>14.04</v>
      </c>
      <c r="BY20">
        <v>0.98</v>
      </c>
      <c r="BZ20">
        <v>3.25</v>
      </c>
      <c r="CA20">
        <v>3.34</v>
      </c>
      <c r="CB20">
        <v>-4.7300000000000004</v>
      </c>
      <c r="CC20" s="9">
        <v>-19.100000000000001</v>
      </c>
      <c r="CD20" s="10" t="s">
        <v>1180</v>
      </c>
      <c r="CE20" s="9" t="s">
        <v>254</v>
      </c>
      <c r="CF20" s="9">
        <v>-0.85972850678733037</v>
      </c>
      <c r="CG20" s="9">
        <v>-1.4864720298507466</v>
      </c>
      <c r="CH20" s="9">
        <v>0.18941771984100342</v>
      </c>
      <c r="CI20" s="9" t="s">
        <v>2</v>
      </c>
      <c r="CJ20" s="10" t="s">
        <v>2</v>
      </c>
      <c r="CK20" s="10">
        <v>-0.43659853935241699</v>
      </c>
      <c r="CL20" s="10">
        <v>1.9607843831181526E-2</v>
      </c>
      <c r="CM20" s="10">
        <v>-0.25901639461517334</v>
      </c>
      <c r="CN20" s="10" t="s">
        <v>2</v>
      </c>
      <c r="CO20" t="s">
        <v>2</v>
      </c>
      <c r="CP20" t="s">
        <v>2</v>
      </c>
      <c r="CQ20" t="s">
        <v>2</v>
      </c>
      <c r="CR20" s="9">
        <v>73.084745762711862</v>
      </c>
      <c r="CS20" s="10">
        <v>9.6344584251609326</v>
      </c>
      <c r="CT20">
        <v>0.25621118012422361</v>
      </c>
      <c r="CU20">
        <v>-7.5857658560077354E-2</v>
      </c>
      <c r="CV20">
        <v>-0.25901639461517334</v>
      </c>
      <c r="CW20">
        <v>0.06</v>
      </c>
      <c r="CX20" t="e">
        <v>#VALUE!</v>
      </c>
      <c r="CY20" t="s">
        <v>469</v>
      </c>
      <c r="CZ20">
        <v>-7.5857658560077354E-2</v>
      </c>
      <c r="DA20">
        <v>66.112094395280238</v>
      </c>
      <c r="DB20" t="s">
        <v>1181</v>
      </c>
      <c r="DC20">
        <v>-7.2064775632073488E-2</v>
      </c>
      <c r="DD20">
        <v>33.056047197640119</v>
      </c>
      <c r="DE20" t="s">
        <v>1182</v>
      </c>
      <c r="DF20">
        <v>-6.6754739532868076E-2</v>
      </c>
      <c r="DG20">
        <v>19.833628318584072</v>
      </c>
      <c r="DH20" t="s">
        <v>1183</v>
      </c>
      <c r="DI20">
        <v>-6.0686126848061885E-2</v>
      </c>
      <c r="DJ20">
        <v>9.916814159292036</v>
      </c>
      <c r="DK20" t="s">
        <v>1184</v>
      </c>
      <c r="DL20">
        <v>-5.3100360992054146E-2</v>
      </c>
      <c r="DM20">
        <v>225999999.99999997</v>
      </c>
      <c r="DN20">
        <v>-7.5857658560077354E-2</v>
      </c>
      <c r="DO20">
        <v>44824000000</v>
      </c>
      <c r="DP20">
        <v>27968902000</v>
      </c>
      <c r="DQ20" s="11">
        <v>2898</v>
      </c>
      <c r="DR20">
        <v>-0.78387084822725306</v>
      </c>
      <c r="DS20">
        <v>-1.2274556352355732</v>
      </c>
      <c r="DT20">
        <v>-0.41000000000000003</v>
      </c>
      <c r="DU20">
        <v>-3.1949999999999998</v>
      </c>
      <c r="DV20">
        <v>-3.605</v>
      </c>
      <c r="DW20">
        <v>-8.2476439790575924</v>
      </c>
      <c r="DX20">
        <v>0.31343924528301997</v>
      </c>
      <c r="DY20">
        <v>-8.030568985873753</v>
      </c>
      <c r="DZ20">
        <v>4470</v>
      </c>
      <c r="EA20">
        <v>-8.0038286009704898</v>
      </c>
      <c r="EB20" s="12">
        <v>8</v>
      </c>
      <c r="EC20" s="12">
        <v>2.1713195369173904E-2</v>
      </c>
      <c r="ED20">
        <v>0.17590188047075592</v>
      </c>
      <c r="EE20">
        <v>-1.0205</v>
      </c>
      <c r="EF20">
        <v>-1.0012099999999999</v>
      </c>
      <c r="EG20">
        <v>19.12343924528302</v>
      </c>
      <c r="EH20" s="13" t="s">
        <v>530</v>
      </c>
      <c r="EI20">
        <v>0</v>
      </c>
      <c r="EJ20">
        <v>0</v>
      </c>
      <c r="EK20">
        <v>45470</v>
      </c>
      <c r="EL20">
        <v>0.64</v>
      </c>
      <c r="EM20">
        <v>-5.59</v>
      </c>
      <c r="EN20">
        <v>-1.83</v>
      </c>
      <c r="EO20">
        <v>3.17</v>
      </c>
      <c r="EP20">
        <v>-2.17</v>
      </c>
    </row>
    <row r="21" spans="1:146" ht="144" x14ac:dyDescent="0.25">
      <c r="A21" s="8" t="s">
        <v>531</v>
      </c>
      <c r="B21" s="8"/>
      <c r="C21" s="8" t="str">
        <f>"公司致力于从事轨道交通、风力发电、汽车、高性能高分子材料等产业领域系列产品的研制、生产与销售。公司的主要产品为轨道交通、风力发电、汽车、高分子新材料、特种装备及其它。"&amp;CHAR(10)&amp;Basic_Fundamental_Information_Constructure(F21)&amp;CHAR(10)&amp;Basic_Fundamental_Information_Concatenate("汽车零部件 40.73亿 38.61%
风电叶片 34.24亿 32.46%
轨道交通、工业与工程零部件 26.48亿 25.10%")</f>
        <v>公司致力于从事轨道交通、风力发电、汽车、高性能高分子材料等产业领域系列产品的研制、生产与销售。公司的主要产品为轨道交通、风力发电、汽车、高分子新材料、特种装备及其它。
市值81.794185亿, 利润4.68亿; PE20.56; 平均PE49.27; 平均PEG1.09, PB1.38; ROIC3.4667%; ROE5.1767%; 股利率1.8649%; 毛利14.0533%; 净利1.6933%; 上一年度营收增199.87%, 利润增31.09%; 当季营收增-58.31%, 利润增-24.06%; 过往5年营收增45.21%, 利润增93.54%
Income profile:
汽车零部件 40.73亿 38.61%
风电叶片 34.24亿 32.46%
轨道交通、工业与工程零部件 26.48亿 25.10%</v>
      </c>
      <c r="D21" t="s">
        <v>358</v>
      </c>
      <c r="E21" t="s">
        <v>359</v>
      </c>
      <c r="F21">
        <v>9.92</v>
      </c>
      <c r="G21">
        <v>0.2</v>
      </c>
      <c r="H21" t="s">
        <v>1185</v>
      </c>
      <c r="I21">
        <v>8179418500</v>
      </c>
      <c r="J21">
        <v>20.56</v>
      </c>
      <c r="K21">
        <v>1.38</v>
      </c>
      <c r="L21" t="s">
        <v>502</v>
      </c>
      <c r="M21" t="s">
        <v>882</v>
      </c>
      <c r="N21" t="s">
        <v>1186</v>
      </c>
      <c r="O21" t="s">
        <v>721</v>
      </c>
      <c r="P21">
        <v>4.76</v>
      </c>
      <c r="Q21" t="s">
        <v>1187</v>
      </c>
      <c r="R21">
        <v>119980933</v>
      </c>
      <c r="S21" s="6">
        <v>0.10730000000000001</v>
      </c>
      <c r="T21" t="s">
        <v>512</v>
      </c>
      <c r="U21">
        <v>802798150</v>
      </c>
      <c r="V21">
        <v>824538150</v>
      </c>
      <c r="W21">
        <v>2.8</v>
      </c>
      <c r="X21">
        <v>0.23</v>
      </c>
      <c r="Y21">
        <v>3.11</v>
      </c>
      <c r="Z21" t="s">
        <v>1188</v>
      </c>
      <c r="AA21" t="s">
        <v>1189</v>
      </c>
      <c r="AB21" t="s">
        <v>58</v>
      </c>
      <c r="AC21" t="s">
        <v>133</v>
      </c>
      <c r="AD21" t="s">
        <v>2</v>
      </c>
      <c r="AE21">
        <v>8333411</v>
      </c>
      <c r="AF21" t="s">
        <v>884</v>
      </c>
      <c r="AG21" t="s">
        <v>1190</v>
      </c>
      <c r="AH21" t="s">
        <v>885</v>
      </c>
      <c r="AI21" t="s">
        <v>1191</v>
      </c>
      <c r="AJ21" t="s">
        <v>886</v>
      </c>
      <c r="AK21" t="s">
        <v>288</v>
      </c>
      <c r="AL21" t="s">
        <v>887</v>
      </c>
      <c r="AM21" t="s">
        <v>2</v>
      </c>
      <c r="AN21" t="s">
        <v>94</v>
      </c>
      <c r="AO21" t="s">
        <v>311</v>
      </c>
      <c r="AP21" t="s">
        <v>193</v>
      </c>
      <c r="AQ21" t="s">
        <v>1192</v>
      </c>
      <c r="AR21" t="s">
        <v>1193</v>
      </c>
      <c r="AS21" t="s">
        <v>1194</v>
      </c>
      <c r="AT21" t="s">
        <v>235</v>
      </c>
      <c r="AU21" t="s">
        <v>1195</v>
      </c>
      <c r="AV21" t="s">
        <v>672</v>
      </c>
      <c r="AW21" t="s">
        <v>247</v>
      </c>
      <c r="AX21" t="s">
        <v>567</v>
      </c>
      <c r="AY21" t="s">
        <v>457</v>
      </c>
      <c r="AZ21" t="s">
        <v>360</v>
      </c>
      <c r="BA21" t="s">
        <v>361</v>
      </c>
      <c r="BB21" t="s">
        <v>362</v>
      </c>
      <c r="BC21" t="s">
        <v>162</v>
      </c>
      <c r="BD21" t="s">
        <v>35</v>
      </c>
      <c r="BE21" t="s">
        <v>64</v>
      </c>
      <c r="BF21" t="s">
        <v>363</v>
      </c>
      <c r="BG21" t="s">
        <v>364</v>
      </c>
      <c r="BH21" t="s">
        <v>883</v>
      </c>
      <c r="BI21" t="s">
        <v>1196</v>
      </c>
      <c r="BJ21" t="s">
        <v>567</v>
      </c>
      <c r="BK21" t="s">
        <v>275</v>
      </c>
      <c r="BL21" t="s">
        <v>107</v>
      </c>
      <c r="BM21" t="s">
        <v>162</v>
      </c>
      <c r="BN21">
        <v>2.73</v>
      </c>
      <c r="BO21">
        <v>3.87</v>
      </c>
      <c r="BP21">
        <v>3.8</v>
      </c>
      <c r="BQ21">
        <v>4.88</v>
      </c>
      <c r="BR21">
        <v>6.86</v>
      </c>
      <c r="BS21">
        <v>3.79</v>
      </c>
      <c r="BT21" t="s">
        <v>888</v>
      </c>
      <c r="BU21" t="s">
        <v>965</v>
      </c>
      <c r="BV21">
        <v>16.350000000000001</v>
      </c>
      <c r="BW21">
        <v>12.14</v>
      </c>
      <c r="BX21">
        <v>13.67</v>
      </c>
      <c r="BY21">
        <v>1.86</v>
      </c>
      <c r="BZ21">
        <v>1.67</v>
      </c>
      <c r="CA21">
        <v>1.55</v>
      </c>
      <c r="CB21">
        <v>-1.78</v>
      </c>
      <c r="CC21">
        <v>-11.11</v>
      </c>
      <c r="CD21" t="s">
        <v>1197</v>
      </c>
      <c r="CE21" t="s">
        <v>33</v>
      </c>
      <c r="CF21" s="9">
        <v>-0.58308546500099145</v>
      </c>
      <c r="CG21" s="10">
        <v>-0.24062700632911393</v>
      </c>
      <c r="CH21" s="9">
        <v>1.9987363815307617</v>
      </c>
      <c r="CI21" s="9">
        <v>7.0030562579631805E-2</v>
      </c>
      <c r="CJ21" s="9">
        <v>-6.8236082792282104E-2</v>
      </c>
      <c r="CK21" s="9">
        <v>0.27021569013595581</v>
      </c>
      <c r="CL21" s="9">
        <v>-1.03368004783988E-2</v>
      </c>
      <c r="CM21" s="10">
        <v>0.31092438101768494</v>
      </c>
      <c r="CN21" s="10">
        <v>0.97237569093704224</v>
      </c>
      <c r="CO21" s="10">
        <v>-0.44648319482803345</v>
      </c>
      <c r="CP21" s="10">
        <v>2.6290950775146484</v>
      </c>
      <c r="CQ21" s="10">
        <v>1.2110189199447632</v>
      </c>
      <c r="CR21">
        <v>49.268406516541276</v>
      </c>
      <c r="CS21">
        <v>1.0898114046640301</v>
      </c>
      <c r="CT21">
        <v>1.8649193548387097</v>
      </c>
      <c r="CU21" s="9">
        <v>0.4520819501951337</v>
      </c>
      <c r="CV21" s="10">
        <v>0.93538617491722109</v>
      </c>
      <c r="CW21">
        <v>0.06</v>
      </c>
      <c r="CX21">
        <v>20.643044509321033</v>
      </c>
      <c r="CY21">
        <v>641107879.89747405</v>
      </c>
      <c r="CZ21">
        <v>0.4520819501951337</v>
      </c>
      <c r="DA21">
        <v>5.0320419924866044</v>
      </c>
      <c r="DB21">
        <v>2630029423.3952045</v>
      </c>
      <c r="DC21">
        <v>0.42947785268537697</v>
      </c>
      <c r="DD21">
        <v>1.6047504586608559</v>
      </c>
      <c r="DE21">
        <v>8247025840.4188004</v>
      </c>
      <c r="DF21">
        <v>0.39783211617171765</v>
      </c>
      <c r="DG21">
        <v>0.55756509306642388</v>
      </c>
      <c r="DH21">
        <v>23736095864.995903</v>
      </c>
      <c r="DI21">
        <v>0.36166556015610696</v>
      </c>
      <c r="DJ21">
        <v>7.3246184327638034E-2</v>
      </c>
      <c r="DK21">
        <v>180684067320.16275</v>
      </c>
      <c r="DL21">
        <v>0.31645736513659356</v>
      </c>
      <c r="DM21">
        <v>468000000</v>
      </c>
      <c r="DN21">
        <v>0.4520819501951337</v>
      </c>
      <c r="DO21">
        <v>13234418500</v>
      </c>
      <c r="DP21">
        <v>3225484800</v>
      </c>
      <c r="DQ21">
        <v>3190</v>
      </c>
      <c r="DR21">
        <v>-1.0351674151961252</v>
      </c>
      <c r="DS21">
        <v>-1.176013181246335</v>
      </c>
      <c r="DT21" s="11">
        <v>-2.3333333333333355E-2</v>
      </c>
      <c r="DU21">
        <v>0.79666666666666652</v>
      </c>
      <c r="DV21">
        <v>0.77333333333333321</v>
      </c>
      <c r="DW21">
        <v>-2.1111</v>
      </c>
      <c r="DX21">
        <v>0.29586034482758594</v>
      </c>
      <c r="DY21">
        <v>-2.0162050843103447</v>
      </c>
      <c r="DZ21">
        <v>559</v>
      </c>
      <c r="EA21">
        <v>-2.0144323559092716</v>
      </c>
      <c r="EB21">
        <v>2</v>
      </c>
      <c r="EC21">
        <v>3.0780504213176789E-2</v>
      </c>
      <c r="ED21">
        <v>0.21102722778806535</v>
      </c>
      <c r="EE21" s="12">
        <v>-2.0350999999999999</v>
      </c>
      <c r="EF21">
        <v>-2.0026999999999999</v>
      </c>
      <c r="EG21">
        <v>15.145860344827586</v>
      </c>
      <c r="EH21" t="s">
        <v>537</v>
      </c>
      <c r="EI21">
        <v>0</v>
      </c>
      <c r="EJ21">
        <v>1</v>
      </c>
      <c r="EK21" s="13">
        <v>45470</v>
      </c>
      <c r="EL21">
        <v>-0.19</v>
      </c>
      <c r="EM21">
        <v>-2.69</v>
      </c>
      <c r="EN21">
        <v>-0.32</v>
      </c>
      <c r="EO21">
        <v>2.4900000000000002</v>
      </c>
      <c r="EP21">
        <v>-3.24</v>
      </c>
    </row>
    <row r="22" spans="1:146" ht="156" x14ac:dyDescent="0.25">
      <c r="A22" s="8"/>
      <c r="B22" s="8"/>
      <c r="C22" s="8" t="str">
        <f>"公司的主营业务是研发和生产大型风力发电机组用零部件及对风电场投资与开发，主要产品包括风力发电机组用轮毂、底座、轴、轴承座。公司在风电铸造领域的生产技术及工艺水平居世界领先地位"&amp;CHAR(10)&amp;Basic_Fundamental_Information_Constructure(F22)&amp;CHAR(10)&amp;Basic_Fundamental_Information_Concatenate("轮毂、底座等主产品 16.30亿 87.68% 59.10% 14.79%
风力发电 1.96亿 10.54% 35.40% 73.71%
其他业务 3309.01万 1.78% 5.50% 67.81%")</f>
        <v>公司的主营业务是研发和生产大型风力发电机组用零部件及对风电场投资与开发，主要产品包括风力发电机组用轮毂、底座、轴、轴承座。公司在风电铸造领域的生产技术及工艺水平居世界领先地位
市值26.38159亿, 利润10.31亿; PE19.77; 平均PE9.68; 平均PEG.15, PB.906; ROIC5.16%; ROE5.57%; 股利率3.7037%; 毛利21.21%; 净利9.8067%; 上一年度营收增290.01%, 利润增565.16%; 当季营收增-77.75%, 利润增-93.74%; 过往5年营收增66.07%, 利润增199.36%
Income profile:
轮毂、底座等主产品 16.30亿 87.68% 59.10% 14.79%
风力发电 1.96亿 10.54% 35.40% 73.71%
其他业务 3309.01万 1.78% 5.50% 67.81%</v>
      </c>
      <c r="D22" t="s">
        <v>365</v>
      </c>
      <c r="E22" t="s">
        <v>366</v>
      </c>
      <c r="F22">
        <v>2.7</v>
      </c>
      <c r="G22">
        <v>0.75</v>
      </c>
      <c r="H22" t="s">
        <v>1198</v>
      </c>
      <c r="I22">
        <v>2638159000</v>
      </c>
      <c r="J22">
        <v>19.77</v>
      </c>
      <c r="K22">
        <v>0.90600000000000003</v>
      </c>
      <c r="L22" t="s">
        <v>502</v>
      </c>
      <c r="M22" t="s">
        <v>667</v>
      </c>
      <c r="N22" t="s">
        <v>1199</v>
      </c>
      <c r="O22" t="s">
        <v>22</v>
      </c>
      <c r="P22">
        <v>0.41</v>
      </c>
      <c r="Q22" t="s">
        <v>1200</v>
      </c>
      <c r="R22">
        <v>12338149</v>
      </c>
      <c r="S22" s="6">
        <v>0.20710000000000001</v>
      </c>
      <c r="T22" t="s">
        <v>297</v>
      </c>
      <c r="U22">
        <v>976003240</v>
      </c>
      <c r="V22">
        <v>977095930</v>
      </c>
      <c r="W22">
        <v>1.29</v>
      </c>
      <c r="X22">
        <v>0.06</v>
      </c>
      <c r="Y22">
        <v>5.2</v>
      </c>
      <c r="Z22" t="s">
        <v>71</v>
      </c>
      <c r="AA22" t="s">
        <v>26</v>
      </c>
      <c r="AB22" t="s">
        <v>1201</v>
      </c>
      <c r="AC22" t="s">
        <v>1202</v>
      </c>
      <c r="AD22" t="s">
        <v>2</v>
      </c>
      <c r="AE22">
        <v>4892325</v>
      </c>
      <c r="AF22" t="s">
        <v>889</v>
      </c>
      <c r="AG22" t="s">
        <v>1203</v>
      </c>
      <c r="AH22" t="s">
        <v>890</v>
      </c>
      <c r="AI22" t="s">
        <v>73</v>
      </c>
      <c r="AJ22" t="s">
        <v>891</v>
      </c>
      <c r="AK22" t="s">
        <v>1204</v>
      </c>
      <c r="AL22" t="s">
        <v>892</v>
      </c>
      <c r="AM22" t="s">
        <v>2</v>
      </c>
      <c r="AN22" t="s">
        <v>1205</v>
      </c>
      <c r="AO22" t="s">
        <v>74</v>
      </c>
      <c r="AP22" t="s">
        <v>1206</v>
      </c>
      <c r="AQ22" t="s">
        <v>97</v>
      </c>
      <c r="AR22" t="s">
        <v>2</v>
      </c>
      <c r="AS22" t="s">
        <v>166</v>
      </c>
      <c r="AT22" t="s">
        <v>2</v>
      </c>
      <c r="AU22" t="s">
        <v>1207</v>
      </c>
      <c r="AV22" t="s">
        <v>1208</v>
      </c>
      <c r="AW22" t="s">
        <v>1209</v>
      </c>
      <c r="AX22" t="s">
        <v>516</v>
      </c>
      <c r="AY22" t="s">
        <v>458</v>
      </c>
      <c r="AZ22" t="s">
        <v>367</v>
      </c>
      <c r="BA22" t="s">
        <v>137</v>
      </c>
      <c r="BB22" t="s">
        <v>368</v>
      </c>
      <c r="BC22" t="s">
        <v>63</v>
      </c>
      <c r="BD22" t="s">
        <v>171</v>
      </c>
      <c r="BE22" t="s">
        <v>126</v>
      </c>
      <c r="BF22" t="s">
        <v>369</v>
      </c>
      <c r="BG22" t="s">
        <v>370</v>
      </c>
      <c r="BH22" t="s">
        <v>673</v>
      </c>
      <c r="BI22" t="s">
        <v>686</v>
      </c>
      <c r="BJ22" t="s">
        <v>516</v>
      </c>
      <c r="BK22" t="s">
        <v>40</v>
      </c>
      <c r="BL22" t="s">
        <v>224</v>
      </c>
      <c r="BM22" t="s">
        <v>63</v>
      </c>
      <c r="BN22">
        <v>2.96</v>
      </c>
      <c r="BO22">
        <v>5.31</v>
      </c>
      <c r="BP22">
        <v>7.21</v>
      </c>
      <c r="BQ22">
        <v>3.28</v>
      </c>
      <c r="BR22">
        <v>5.64</v>
      </c>
      <c r="BS22">
        <v>7.79</v>
      </c>
      <c r="BT22" t="s">
        <v>519</v>
      </c>
      <c r="BU22" t="s">
        <v>965</v>
      </c>
      <c r="BV22">
        <v>23.9</v>
      </c>
      <c r="BW22">
        <v>17.78</v>
      </c>
      <c r="BX22">
        <v>21.95</v>
      </c>
      <c r="BY22">
        <v>9.44</v>
      </c>
      <c r="BZ22">
        <v>8.7799999999999994</v>
      </c>
      <c r="CA22">
        <v>11.2</v>
      </c>
      <c r="CB22">
        <v>-3.23</v>
      </c>
      <c r="CC22">
        <v>-17.18</v>
      </c>
      <c r="CD22" t="s">
        <v>1210</v>
      </c>
      <c r="CE22" t="s">
        <v>237</v>
      </c>
      <c r="CF22" s="9">
        <v>-0.77746478873239433</v>
      </c>
      <c r="CG22" s="10">
        <v>-0.93736980203045683</v>
      </c>
      <c r="CH22" s="9">
        <v>2.900113582611084</v>
      </c>
      <c r="CI22" s="9">
        <v>-5.2178625017404556E-2</v>
      </c>
      <c r="CJ22" s="9">
        <v>-9.2728100717067719E-2</v>
      </c>
      <c r="CK22" s="9">
        <v>0.36873748898506165</v>
      </c>
      <c r="CL22" s="9">
        <v>0.17966903746128082</v>
      </c>
      <c r="CM22" s="10">
        <v>5.6516127586364746</v>
      </c>
      <c r="CN22" s="10">
        <v>-0.2583732008934021</v>
      </c>
      <c r="CO22" s="10">
        <v>-0.10683760792016983</v>
      </c>
      <c r="CP22" s="10">
        <v>2.5781731605529785</v>
      </c>
      <c r="CQ22" s="10">
        <v>2.1035745143890381</v>
      </c>
      <c r="CR22">
        <v>9.6805021375263998</v>
      </c>
      <c r="CS22">
        <v>0.14651384732842473</v>
      </c>
      <c r="CT22">
        <v>3.7037037037037033</v>
      </c>
      <c r="CU22" s="9">
        <v>0.66072267666459084</v>
      </c>
      <c r="CV22" s="10">
        <v>1.9936299249529839</v>
      </c>
      <c r="CW22">
        <v>0.06</v>
      </c>
      <c r="CX22">
        <v>0.34740496163266338</v>
      </c>
      <c r="CY22">
        <v>1615287810.9822576</v>
      </c>
      <c r="CZ22">
        <v>0.66072267666459084</v>
      </c>
      <c r="DA22">
        <v>7.2434384140766833E-2</v>
      </c>
      <c r="DB22">
        <v>7747135654.6562233</v>
      </c>
      <c r="DC22">
        <v>0.62768654283136127</v>
      </c>
      <c r="DD22">
        <v>1.7897271584245956E-2</v>
      </c>
      <c r="DE22">
        <v>31354444020.057186</v>
      </c>
      <c r="DF22">
        <v>0.58143595546483995</v>
      </c>
      <c r="DG22">
        <v>4.403699960034424E-3</v>
      </c>
      <c r="DH22">
        <v>127428981332.23712</v>
      </c>
      <c r="DI22">
        <v>0.52857814133167269</v>
      </c>
      <c r="DJ22">
        <v>2.400834905068552E-4</v>
      </c>
      <c r="DK22">
        <v>2337349389644.8369</v>
      </c>
      <c r="DL22">
        <v>0.46250587366521356</v>
      </c>
      <c r="DM22">
        <v>1031000000</v>
      </c>
      <c r="DN22">
        <v>0.66072267666459084</v>
      </c>
      <c r="DO22">
        <v>561159000</v>
      </c>
      <c r="DP22">
        <v>1363579300</v>
      </c>
      <c r="DQ22">
        <v>3695</v>
      </c>
      <c r="DR22">
        <v>-1.4381874653969851</v>
      </c>
      <c r="DS22">
        <v>-2.9309997269834405</v>
      </c>
      <c r="DT22" s="11">
        <v>7.6666666666666591E-2</v>
      </c>
      <c r="DU22">
        <v>0.62849999999999995</v>
      </c>
      <c r="DV22">
        <v>0.7051666666666665</v>
      </c>
      <c r="DW22">
        <v>-8.188009313154831</v>
      </c>
      <c r="DX22">
        <v>0.35645284552845524</v>
      </c>
      <c r="DY22">
        <v>-8.0200141263711817</v>
      </c>
      <c r="DZ22">
        <v>1773</v>
      </c>
      <c r="EA22">
        <v>-8.0130698903523747</v>
      </c>
      <c r="EB22">
        <v>8</v>
      </c>
      <c r="EC22">
        <v>4.0201886830088421E-2</v>
      </c>
      <c r="ED22">
        <v>0.3776497155197443</v>
      </c>
      <c r="EE22" s="12">
        <v>2.0857000000000001</v>
      </c>
      <c r="EF22">
        <v>2.0724</v>
      </c>
      <c r="EG22">
        <v>25.106452845528455</v>
      </c>
      <c r="EH22" t="s">
        <v>536</v>
      </c>
      <c r="EI22">
        <v>0</v>
      </c>
      <c r="EJ22">
        <v>0</v>
      </c>
      <c r="EK22" s="13">
        <v>45470</v>
      </c>
      <c r="EL22">
        <v>-0.27</v>
      </c>
      <c r="EM22">
        <v>-0.8</v>
      </c>
      <c r="EN22">
        <v>0.54</v>
      </c>
      <c r="EO22">
        <v>0.54</v>
      </c>
      <c r="EP22">
        <v>-1.33</v>
      </c>
    </row>
    <row r="23" spans="1:146" ht="156" x14ac:dyDescent="0.25">
      <c r="A23" s="8" t="s">
        <v>420</v>
      </c>
      <c r="B23" s="8" t="s">
        <v>421</v>
      </c>
      <c r="C23" s="8" t="str">
        <f>"公司主要从事新能源高端装备制造，新能源电站投资运营及智能管理业务。公司主要产品为风电机组制造、风电运营及风机运维、光伏高效电池片及组件、建筑光伏一体化、新能源电站EPC、配售电。"&amp;CHAR(10)&amp;Basic_Fundamental_Information_Constructure(F23)&amp;CHAR(10)&amp;Basic_Fundamental_Information_Concatenate("风机及配件收入 252.47亿 92.96% 83.09% 19.16%
风电场发电 14.10亿 5.19% 15.85% 65.41%
其他业务 3.61亿 1.33% 1.01% 16.23%")</f>
        <v>公司主要从事新能源高端装备制造，新能源电站投资运营及智能管理业务。公司主要产品为风电机组制造、风电运营及风机运维、光伏高效电池片及组件、建筑光伏一体化、新能源电站EPC、配售电。
市值204.44348亿, 利润1461.57万; PE22.62; 平均PE13.43; 平均PEG.65, PB.754; ROIC8.4967%; ROE12.4133%; 股利率3.3789%; 毛利17.54%; 净利7.8267%; 上一年度营收增-97.54%, 利润增-99.58%; 当季营收增2816.67%, 利润增18769.93%; 过往5年营收增20.54%, 利润增39.89%
Income profile:
风机及配件收入 252.47亿 92.96% 83.09% 19.16%
风电场发电 14.10亿 5.19% 15.85% 65.41%
其他业务 3.61亿 1.33% 1.01% 16.23%</v>
      </c>
      <c r="D23" t="s">
        <v>371</v>
      </c>
      <c r="E23" t="s">
        <v>1211</v>
      </c>
      <c r="F23">
        <v>9</v>
      </c>
      <c r="G23">
        <v>0.22</v>
      </c>
      <c r="H23" t="s">
        <v>1212</v>
      </c>
      <c r="I23">
        <v>20444348000</v>
      </c>
      <c r="J23">
        <v>22.62</v>
      </c>
      <c r="K23">
        <v>0.754</v>
      </c>
      <c r="L23" t="s">
        <v>502</v>
      </c>
      <c r="M23" t="s">
        <v>893</v>
      </c>
      <c r="N23" t="s">
        <v>1213</v>
      </c>
      <c r="O23" t="s">
        <v>894</v>
      </c>
      <c r="P23">
        <v>84.6</v>
      </c>
      <c r="Q23" t="s">
        <v>154</v>
      </c>
      <c r="R23">
        <v>304183270</v>
      </c>
      <c r="S23" s="6">
        <v>2.3380000000000001</v>
      </c>
      <c r="T23" t="s">
        <v>900</v>
      </c>
      <c r="U23">
        <v>2264097900</v>
      </c>
      <c r="V23">
        <v>2271594200</v>
      </c>
      <c r="W23">
        <v>2.98</v>
      </c>
      <c r="X23">
        <v>0.06</v>
      </c>
      <c r="Y23">
        <v>6.19</v>
      </c>
      <c r="Z23" t="s">
        <v>1214</v>
      </c>
      <c r="AA23" t="s">
        <v>1215</v>
      </c>
      <c r="AB23" t="s">
        <v>187</v>
      </c>
      <c r="AC23" t="s">
        <v>142</v>
      </c>
      <c r="AD23" t="s">
        <v>2</v>
      </c>
      <c r="AE23">
        <v>51327825</v>
      </c>
      <c r="AF23" t="s">
        <v>896</v>
      </c>
      <c r="AG23" t="s">
        <v>1216</v>
      </c>
      <c r="AH23" t="s">
        <v>897</v>
      </c>
      <c r="AI23" t="s">
        <v>1217</v>
      </c>
      <c r="AJ23" t="s">
        <v>898</v>
      </c>
      <c r="AK23" t="s">
        <v>1218</v>
      </c>
      <c r="AL23" t="s">
        <v>899</v>
      </c>
      <c r="AM23" t="s">
        <v>2</v>
      </c>
      <c r="AN23" t="s">
        <v>1219</v>
      </c>
      <c r="AO23" t="s">
        <v>693</v>
      </c>
      <c r="AP23" t="s">
        <v>1220</v>
      </c>
      <c r="AQ23" t="s">
        <v>1221</v>
      </c>
      <c r="AR23" t="s">
        <v>2</v>
      </c>
      <c r="AS23" t="s">
        <v>1222</v>
      </c>
      <c r="AT23" t="s">
        <v>1223</v>
      </c>
      <c r="AU23" t="s">
        <v>1224</v>
      </c>
      <c r="AV23" t="s">
        <v>1225</v>
      </c>
      <c r="AW23" t="s">
        <v>1226</v>
      </c>
      <c r="AX23" t="s">
        <v>568</v>
      </c>
      <c r="AY23" t="s">
        <v>569</v>
      </c>
      <c r="AZ23" t="s">
        <v>372</v>
      </c>
      <c r="BA23" t="s">
        <v>373</v>
      </c>
      <c r="BB23" t="s">
        <v>374</v>
      </c>
      <c r="BC23" t="s">
        <v>727</v>
      </c>
      <c r="BD23" t="s">
        <v>503</v>
      </c>
      <c r="BE23" t="s">
        <v>266</v>
      </c>
      <c r="BF23" t="s">
        <v>306</v>
      </c>
      <c r="BG23" t="s">
        <v>65</v>
      </c>
      <c r="BH23" t="s">
        <v>895</v>
      </c>
      <c r="BI23" t="s">
        <v>33</v>
      </c>
      <c r="BJ23" t="s">
        <v>568</v>
      </c>
      <c r="BK23" t="s">
        <v>220</v>
      </c>
      <c r="BL23" t="s">
        <v>901</v>
      </c>
      <c r="BM23" t="s">
        <v>727</v>
      </c>
      <c r="BN23">
        <v>3.13</v>
      </c>
      <c r="BO23">
        <v>10.59</v>
      </c>
      <c r="BP23">
        <v>11.77</v>
      </c>
      <c r="BQ23">
        <v>4.2699999999999996</v>
      </c>
      <c r="BR23">
        <v>14.57</v>
      </c>
      <c r="BS23">
        <v>18.399999999999999</v>
      </c>
      <c r="BT23" t="s">
        <v>570</v>
      </c>
      <c r="BU23" t="s">
        <v>983</v>
      </c>
      <c r="BV23">
        <v>11.2</v>
      </c>
      <c r="BW23">
        <v>19.989999999999998</v>
      </c>
      <c r="BX23">
        <v>21.43</v>
      </c>
      <c r="BY23">
        <v>1.36</v>
      </c>
      <c r="BZ23">
        <v>11.22</v>
      </c>
      <c r="CA23">
        <v>10.9</v>
      </c>
      <c r="CB23">
        <v>-1.49</v>
      </c>
      <c r="CC23">
        <v>-11.03</v>
      </c>
      <c r="CD23" t="s">
        <v>43</v>
      </c>
      <c r="CE23" t="s">
        <v>234</v>
      </c>
      <c r="CF23" s="9">
        <v>28.166666666666668</v>
      </c>
      <c r="CG23" s="10">
        <v>187.69929900744418</v>
      </c>
      <c r="CH23" s="9">
        <v>-0.97538048028945923</v>
      </c>
      <c r="CI23" s="9">
        <v>0.12977656722068787</v>
      </c>
      <c r="CJ23" s="9">
        <v>0.21191614866256714</v>
      </c>
      <c r="CK23" s="9">
        <v>1.1401888132095337</v>
      </c>
      <c r="CL23" s="9">
        <v>0.52028387784957886</v>
      </c>
      <c r="CM23" s="10">
        <v>-0.99575740098953247</v>
      </c>
      <c r="CN23" s="10">
        <v>9.0880237519741058E-2</v>
      </c>
      <c r="CO23" s="10">
        <v>1.2983989715576172</v>
      </c>
      <c r="CP23" s="10">
        <v>0.92706871032714844</v>
      </c>
      <c r="CQ23" s="10">
        <v>0.67370891571044922</v>
      </c>
      <c r="CR23">
        <v>13.434591053919837</v>
      </c>
      <c r="CS23">
        <v>0.65420667489313611</v>
      </c>
      <c r="CT23">
        <v>3.3788888888888886</v>
      </c>
      <c r="CU23" s="9">
        <v>0.20535698533058167</v>
      </c>
      <c r="CV23" s="10">
        <v>0.39885988682508466</v>
      </c>
      <c r="CW23">
        <v>0.06</v>
      </c>
      <c r="CX23">
        <v>2863.3887267983996</v>
      </c>
      <c r="CY23">
        <v>16619939.708015267</v>
      </c>
      <c r="CZ23">
        <v>0.20535698533058167</v>
      </c>
      <c r="DA23">
        <v>849.76641834481438</v>
      </c>
      <c r="DB23">
        <v>56002857.92970629</v>
      </c>
      <c r="DC23">
        <v>0.19508913606405257</v>
      </c>
      <c r="DD23">
        <v>365.8154605286112</v>
      </c>
      <c r="DE23">
        <v>130091133.74058157</v>
      </c>
      <c r="DF23">
        <v>0.18071414709091185</v>
      </c>
      <c r="DG23">
        <v>187.44989802459173</v>
      </c>
      <c r="DH23">
        <v>253877694.79478034</v>
      </c>
      <c r="DI23">
        <v>0.16428558826446535</v>
      </c>
      <c r="DJ23">
        <v>66.668823541486432</v>
      </c>
      <c r="DK23">
        <v>713817125.78723204</v>
      </c>
      <c r="DL23">
        <v>0.14374988973140715</v>
      </c>
      <c r="DM23">
        <v>14615700</v>
      </c>
      <c r="DN23">
        <v>0.20535698533058167</v>
      </c>
      <c r="DO23">
        <v>47589348000</v>
      </c>
      <c r="DP23">
        <v>8228450000</v>
      </c>
      <c r="DQ23">
        <v>3751</v>
      </c>
      <c r="DR23">
        <v>27.961309681336086</v>
      </c>
      <c r="DS23">
        <v>187.3004391206191</v>
      </c>
      <c r="DT23" s="11">
        <v>-0.3066666666666667</v>
      </c>
      <c r="DU23">
        <v>0.58666666666666656</v>
      </c>
      <c r="DV23">
        <v>0.27999999999999986</v>
      </c>
      <c r="DW23">
        <v>-2.1103000000000001</v>
      </c>
      <c r="DX23">
        <v>0.29186092066601305</v>
      </c>
      <c r="DY23">
        <v>-2.0112352595494611</v>
      </c>
      <c r="DZ23">
        <v>937</v>
      </c>
      <c r="EA23">
        <v>-2.0091750955185717</v>
      </c>
      <c r="EB23">
        <v>2</v>
      </c>
      <c r="EC23">
        <v>4.5782825119028744E-2</v>
      </c>
      <c r="ED23">
        <v>0.44946408121661874</v>
      </c>
      <c r="EE23" s="12">
        <v>0.12201000000000001</v>
      </c>
      <c r="EF23">
        <v>0.14651</v>
      </c>
      <c r="EG23">
        <v>19.101860920666013</v>
      </c>
      <c r="EH23">
        <v>-1</v>
      </c>
      <c r="EI23">
        <v>0</v>
      </c>
      <c r="EJ23">
        <v>1</v>
      </c>
      <c r="EK23" s="13">
        <v>45470</v>
      </c>
      <c r="EL23">
        <v>1.95</v>
      </c>
      <c r="EM23">
        <v>-2.87</v>
      </c>
      <c r="EN23">
        <v>-1.85</v>
      </c>
      <c r="EO23">
        <v>2.5099999999999998</v>
      </c>
      <c r="EP23">
        <v>-2.4500000000000002</v>
      </c>
    </row>
    <row r="24" spans="1:146" ht="180" x14ac:dyDescent="0.25">
      <c r="A24" s="8"/>
      <c r="B24" s="8"/>
      <c r="C24" s="8" t="str">
        <f>"公司主要业务包括风电变流器、太阳能光伏逆变器、通用型和工程型变频器等电力电子设备的研发、制造、销售和服务，以技术平台为基础，公司根据产品类别的不同，建立了以中小功率变流器,兆瓦级低压变流器,IGCT中压变流器和级联中压变流器为核心的四大产品平台"&amp;CHAR(10)&amp;Basic_Fundamental_Information_Constructure(F24)&amp;CHAR(10)&amp;Basic_Fundamental_Information_Concatenate("新能源电控业务 13.73亿 78.25% 66.32% 24.98%
其他 1.78亿 10.13% 13.65% 39.71%
工程传动业务 1.66亿 9.44% 13.65% 42.61%
其他业务 3828.89万 2.18% 6.37% 86.06%")</f>
        <v>公司主要业务包括风电变流器、太阳能光伏逆变器、通用型和工程型变频器等电力电子设备的研发、制造、销售和服务，以技术平台为基础，公司根据产品类别的不同，建立了以中小功率变流器,兆瓦级低压变流器,IGCT中压变流器和级联中压变流器为核心的四大产品平台
市值63.20417亿, 利润7510.25万; PE13.19; 平均PE37.58; 平均PEG3.35, PB1.58; ROIC8.7867%; ROE9.56%; 股利率1.4025%; 毛利33.8033%; 净利12.1033%; 上一年度营收增-49.56%, 利润增-71.87%; 当季营收增17.81%, 利润增23.31%; 过往5年营收增11.22%, 利润增50.86%
Income profile:
新能源电控业务 13.73亿 78.25% 66.32% 24.98%
其他 1.78亿 10.13% 13.65% 39.71%
工程传动业务 1.66亿 9.44% 13.65% 42.61%
其他业务 3828.89万 2.18% 6.37% 86.06%</v>
      </c>
      <c r="D24" t="s">
        <v>375</v>
      </c>
      <c r="E24" t="s">
        <v>1227</v>
      </c>
      <c r="F24">
        <v>14.26</v>
      </c>
      <c r="G24">
        <v>1.35</v>
      </c>
      <c r="H24" t="s">
        <v>1228</v>
      </c>
      <c r="I24">
        <v>6320417000</v>
      </c>
      <c r="J24">
        <v>13.19</v>
      </c>
      <c r="K24">
        <v>1.58</v>
      </c>
      <c r="L24" t="s">
        <v>502</v>
      </c>
      <c r="M24" t="s">
        <v>902</v>
      </c>
      <c r="N24" t="s">
        <v>1229</v>
      </c>
      <c r="O24" t="s">
        <v>161</v>
      </c>
      <c r="P24">
        <v>-10.039999999999999</v>
      </c>
      <c r="Q24" t="s">
        <v>1230</v>
      </c>
      <c r="R24">
        <v>55351171</v>
      </c>
      <c r="S24" s="6">
        <v>-0.29459999999999997</v>
      </c>
      <c r="T24" t="s">
        <v>1231</v>
      </c>
      <c r="U24">
        <v>443227000</v>
      </c>
      <c r="V24">
        <v>443227000</v>
      </c>
      <c r="W24">
        <v>1.77</v>
      </c>
      <c r="X24">
        <v>0.08</v>
      </c>
      <c r="Y24">
        <v>11.38</v>
      </c>
      <c r="Z24" t="s">
        <v>444</v>
      </c>
      <c r="AA24" t="s">
        <v>86</v>
      </c>
      <c r="AB24" t="s">
        <v>1232</v>
      </c>
      <c r="AC24" t="s">
        <v>1233</v>
      </c>
      <c r="AD24" t="s">
        <v>2</v>
      </c>
      <c r="AE24">
        <v>7592999</v>
      </c>
      <c r="AF24" t="s">
        <v>903</v>
      </c>
      <c r="AG24" t="s">
        <v>1234</v>
      </c>
      <c r="AH24" t="s">
        <v>904</v>
      </c>
      <c r="AI24" t="s">
        <v>495</v>
      </c>
      <c r="AJ24" t="s">
        <v>905</v>
      </c>
      <c r="AK24" t="s">
        <v>1235</v>
      </c>
      <c r="AL24" t="s">
        <v>906</v>
      </c>
      <c r="AM24" t="s">
        <v>2</v>
      </c>
      <c r="AN24" t="s">
        <v>158</v>
      </c>
      <c r="AO24" t="s">
        <v>246</v>
      </c>
      <c r="AP24" t="s">
        <v>496</v>
      </c>
      <c r="AQ24" t="s">
        <v>724</v>
      </c>
      <c r="AR24" t="s">
        <v>2</v>
      </c>
      <c r="AS24" t="s">
        <v>685</v>
      </c>
      <c r="AT24" t="s">
        <v>191</v>
      </c>
      <c r="AU24" t="s">
        <v>775</v>
      </c>
      <c r="AV24" t="s">
        <v>511</v>
      </c>
      <c r="AW24" t="s">
        <v>95</v>
      </c>
      <c r="AX24" t="s">
        <v>517</v>
      </c>
      <c r="AY24" t="s">
        <v>459</v>
      </c>
      <c r="AZ24" t="s">
        <v>292</v>
      </c>
      <c r="BA24" t="s">
        <v>376</v>
      </c>
      <c r="BB24" t="s">
        <v>245</v>
      </c>
      <c r="BC24" t="s">
        <v>142</v>
      </c>
      <c r="BD24" t="s">
        <v>228</v>
      </c>
      <c r="BE24" t="s">
        <v>142</v>
      </c>
      <c r="BF24" t="s">
        <v>377</v>
      </c>
      <c r="BG24" t="s">
        <v>378</v>
      </c>
      <c r="BH24" t="s">
        <v>815</v>
      </c>
      <c r="BI24" t="s">
        <v>56</v>
      </c>
      <c r="BJ24" t="s">
        <v>517</v>
      </c>
      <c r="BK24" t="s">
        <v>18</v>
      </c>
      <c r="BL24" t="s">
        <v>1236</v>
      </c>
      <c r="BM24" t="s">
        <v>142</v>
      </c>
      <c r="BN24">
        <v>9.9700000000000006</v>
      </c>
      <c r="BO24">
        <v>7.46</v>
      </c>
      <c r="BP24">
        <v>8.93</v>
      </c>
      <c r="BQ24">
        <v>11.07</v>
      </c>
      <c r="BR24">
        <v>8.14</v>
      </c>
      <c r="BS24">
        <v>9.4700000000000006</v>
      </c>
      <c r="BT24" t="s">
        <v>521</v>
      </c>
      <c r="BU24" t="s">
        <v>965</v>
      </c>
      <c r="BV24">
        <v>35.76</v>
      </c>
      <c r="BW24">
        <v>30.3</v>
      </c>
      <c r="BX24">
        <v>35.35</v>
      </c>
      <c r="BY24">
        <v>13.47</v>
      </c>
      <c r="BZ24">
        <v>9.5299999999999994</v>
      </c>
      <c r="CA24">
        <v>13.31</v>
      </c>
      <c r="CB24">
        <v>-6.98</v>
      </c>
      <c r="CC24">
        <v>-21.52</v>
      </c>
      <c r="CD24" t="s">
        <v>1237</v>
      </c>
      <c r="CE24" t="s">
        <v>167</v>
      </c>
      <c r="CF24" s="9">
        <v>0.17811158798283261</v>
      </c>
      <c r="CG24" s="10">
        <v>0.23305110760621614</v>
      </c>
      <c r="CH24" s="9">
        <v>-0.49555003643035889</v>
      </c>
      <c r="CI24" s="9">
        <v>0.33507600426673889</v>
      </c>
      <c r="CJ24" s="9">
        <v>-0.10047031193971634</v>
      </c>
      <c r="CK24" s="9">
        <v>0.30963048338890076</v>
      </c>
      <c r="CL24" s="9">
        <v>0.51227784156799316</v>
      </c>
      <c r="CM24" s="10">
        <v>-0.71871721744537354</v>
      </c>
      <c r="CN24" s="10">
        <v>-4.642857238650322E-2</v>
      </c>
      <c r="CO24" s="10">
        <v>4.8689138144254684E-2</v>
      </c>
      <c r="CP24" s="10">
        <v>3.0246908664703369</v>
      </c>
      <c r="CQ24" s="10">
        <v>0.23487596213817596</v>
      </c>
      <c r="CR24">
        <v>37.578083830460294</v>
      </c>
      <c r="CS24">
        <v>3.3494203828632481</v>
      </c>
      <c r="CT24">
        <v>1.4025245441795231</v>
      </c>
      <c r="CU24" s="9">
        <v>0.11219279617071151</v>
      </c>
      <c r="CV24" s="10">
        <v>0.50862203538417816</v>
      </c>
      <c r="CW24">
        <v>0.06</v>
      </c>
      <c r="CX24">
        <v>69.256179946335621</v>
      </c>
      <c r="CY24">
        <v>78800433.466425329</v>
      </c>
      <c r="CZ24">
        <v>0.11219279617071151</v>
      </c>
      <c r="DA24">
        <v>22.21198545446321</v>
      </c>
      <c r="DB24">
        <v>245696946.41608018</v>
      </c>
      <c r="DC24">
        <v>0.10658315636217593</v>
      </c>
      <c r="DD24">
        <v>10.661511064607009</v>
      </c>
      <c r="DE24">
        <v>511880254.77148104</v>
      </c>
      <c r="DF24">
        <v>9.8729660630226132E-2</v>
      </c>
      <c r="DG24">
        <v>6.2206513265887633</v>
      </c>
      <c r="DH24">
        <v>877306364.47561502</v>
      </c>
      <c r="DI24">
        <v>8.9754236936569212E-2</v>
      </c>
      <c r="DJ24">
        <v>3.0136134423158381</v>
      </c>
      <c r="DK24">
        <v>1810921375.4389811</v>
      </c>
      <c r="DL24">
        <v>7.8534957319498055E-2</v>
      </c>
      <c r="DM24">
        <v>75102500</v>
      </c>
      <c r="DN24">
        <v>0.11219279617071151</v>
      </c>
      <c r="DO24">
        <v>5457417000</v>
      </c>
      <c r="DP24">
        <v>2724861400</v>
      </c>
      <c r="DQ24">
        <v>3899</v>
      </c>
      <c r="DR24">
        <v>6.5918791812121097E-2</v>
      </c>
      <c r="DS24">
        <v>-0.27557092777796199</v>
      </c>
      <c r="DT24" s="11">
        <v>-0.24000000000000007</v>
      </c>
      <c r="DU24">
        <v>0.40333333333333327</v>
      </c>
      <c r="DV24">
        <v>0.16333333333333319</v>
      </c>
      <c r="DW24">
        <v>-9.324349442379182</v>
      </c>
      <c r="DX24">
        <v>0.33740796019900376</v>
      </c>
      <c r="DY24">
        <v>-9.0542986785403841</v>
      </c>
      <c r="DZ24">
        <v>2283</v>
      </c>
      <c r="EA24">
        <v>-9.0300396016112856</v>
      </c>
      <c r="EB24">
        <v>9</v>
      </c>
      <c r="EC24">
        <v>7.5918208953876909E-2</v>
      </c>
      <c r="ED24">
        <v>0.45349222858715732</v>
      </c>
      <c r="EE24" s="12">
        <v>6.0979000000000001</v>
      </c>
      <c r="EF24">
        <v>6.0796000000000001</v>
      </c>
      <c r="EG24">
        <v>17.167407960199004</v>
      </c>
      <c r="EH24" t="s">
        <v>939</v>
      </c>
      <c r="EI24">
        <v>0</v>
      </c>
      <c r="EJ24">
        <v>0</v>
      </c>
      <c r="EK24" s="13">
        <v>45470</v>
      </c>
      <c r="EL24">
        <v>-1.1599999999999999</v>
      </c>
      <c r="EM24">
        <v>-8.27</v>
      </c>
      <c r="EN24">
        <v>4.3099999999999996</v>
      </c>
      <c r="EO24">
        <v>0.2</v>
      </c>
      <c r="EP24">
        <v>-1.83</v>
      </c>
    </row>
    <row r="25" spans="1:146" ht="144" x14ac:dyDescent="0.25">
      <c r="A25" s="8"/>
      <c r="B25" s="8"/>
      <c r="C25" s="8" t="str">
        <f>"公司的主营业务是大型重工装备铸件的研发、生产及销售，主要从事大型重工装备铸件的研发、生产及销售，产品包括风电铸件、塑料机械铸件和柴油机铸件、加工中心铸件等其他铸件。"&amp;CHAR(10)&amp;Basic_Fundamental_Information_Constructure(F25)&amp;CHAR(10)&amp;Basic_Fundamental_Information_Concatenate("风电行业 37.40亿 79.36% 29.83亿 79.41% 79.17% 20.24%
塑机行业 8.21亿 17.42% 6.59亿 17.55% 16.87% 19.66%
其他 1.26亿 2.68% 9202.69万 2.45% 3.58% 27.11%")</f>
        <v>公司的主营业务是大型重工装备铸件的研发、生产及销售，主要从事大型重工装备铸件的研发、生产及销售，产品包括风电铸件、塑料机械铸件和柴油机铸件、加工中心铸件等其他铸件。
市值98.843435亿, 利润2.61亿; PE22.63; 平均PE19.53; 平均PEG2.14, PB.999; ROIC4.1267%; ROE5.13%; 股利率2.9197%; 毛利17.2633%; 净利10.4933%; 上一年度营收增-44.65%, 利润增-24.13%; 当季营收增67.39%, 利润增242.82%; 过往5年营收增9.14%, 利润增13.83%
Income profile:
风电行业 37.40亿 79.36% 29.83亿 79.41% 79.17% 20.24%
塑机行业 8.21亿 17.42% 6.59亿 17.55% 16.87% 19.66%
其他 1.26亿 2.68% 9202.69万 2.45% 3.58% 27.11%</v>
      </c>
      <c r="D25" t="s">
        <v>379</v>
      </c>
      <c r="E25" t="s">
        <v>380</v>
      </c>
      <c r="F25">
        <v>9.59</v>
      </c>
      <c r="G25">
        <v>-0.52</v>
      </c>
      <c r="H25" t="s">
        <v>1238</v>
      </c>
      <c r="I25">
        <v>9884343500</v>
      </c>
      <c r="J25">
        <v>22.63</v>
      </c>
      <c r="K25">
        <v>0.999</v>
      </c>
      <c r="L25" t="s">
        <v>502</v>
      </c>
      <c r="M25" t="s">
        <v>747</v>
      </c>
      <c r="N25" t="s">
        <v>1239</v>
      </c>
      <c r="O25" t="s">
        <v>470</v>
      </c>
      <c r="P25">
        <v>-34.950000000000003</v>
      </c>
      <c r="Q25" t="s">
        <v>1240</v>
      </c>
      <c r="R25">
        <v>86803385</v>
      </c>
      <c r="S25" s="6">
        <v>-0.33979999999999999</v>
      </c>
      <c r="T25" t="s">
        <v>102</v>
      </c>
      <c r="U25">
        <v>1026856500</v>
      </c>
      <c r="V25">
        <v>1030692750</v>
      </c>
      <c r="W25">
        <v>1.41</v>
      </c>
      <c r="X25">
        <v>0.05</v>
      </c>
      <c r="Y25">
        <v>12.28</v>
      </c>
      <c r="Z25" t="s">
        <v>127</v>
      </c>
      <c r="AA25" t="s">
        <v>276</v>
      </c>
      <c r="AB25" t="s">
        <v>1241</v>
      </c>
      <c r="AC25" t="s">
        <v>1242</v>
      </c>
      <c r="AD25" t="s">
        <v>2</v>
      </c>
      <c r="AE25">
        <v>-13666554</v>
      </c>
      <c r="AF25" t="s">
        <v>908</v>
      </c>
      <c r="AG25" t="s">
        <v>1243</v>
      </c>
      <c r="AH25" t="s">
        <v>909</v>
      </c>
      <c r="AI25" t="s">
        <v>197</v>
      </c>
      <c r="AJ25" t="s">
        <v>910</v>
      </c>
      <c r="AK25" t="s">
        <v>202</v>
      </c>
      <c r="AL25" t="s">
        <v>911</v>
      </c>
      <c r="AM25" t="s">
        <v>2</v>
      </c>
      <c r="AN25" t="s">
        <v>249</v>
      </c>
      <c r="AO25" t="s">
        <v>550</v>
      </c>
      <c r="AP25" t="s">
        <v>32</v>
      </c>
      <c r="AQ25" t="s">
        <v>307</v>
      </c>
      <c r="AR25" t="s">
        <v>75</v>
      </c>
      <c r="AS25" t="s">
        <v>758</v>
      </c>
      <c r="AT25" t="s">
        <v>557</v>
      </c>
      <c r="AU25" t="s">
        <v>1244</v>
      </c>
      <c r="AV25" t="s">
        <v>1245</v>
      </c>
      <c r="AW25" t="s">
        <v>204</v>
      </c>
      <c r="AX25" t="s">
        <v>571</v>
      </c>
      <c r="AY25" t="s">
        <v>460</v>
      </c>
      <c r="AZ25" t="s">
        <v>381</v>
      </c>
      <c r="BA25" t="s">
        <v>382</v>
      </c>
      <c r="BB25" t="s">
        <v>383</v>
      </c>
      <c r="BC25" t="s">
        <v>150</v>
      </c>
      <c r="BD25" t="s">
        <v>429</v>
      </c>
      <c r="BE25" t="s">
        <v>131</v>
      </c>
      <c r="BF25" t="s">
        <v>191</v>
      </c>
      <c r="BG25" t="s">
        <v>99</v>
      </c>
      <c r="BH25" t="s">
        <v>907</v>
      </c>
      <c r="BI25" t="s">
        <v>134</v>
      </c>
      <c r="BJ25" t="s">
        <v>571</v>
      </c>
      <c r="BK25" t="s">
        <v>745</v>
      </c>
      <c r="BL25" t="s">
        <v>1246</v>
      </c>
      <c r="BM25" t="s">
        <v>150</v>
      </c>
      <c r="BN25">
        <v>2.78</v>
      </c>
      <c r="BO25">
        <v>2.7</v>
      </c>
      <c r="BP25">
        <v>6.9</v>
      </c>
      <c r="BQ25">
        <v>3.65</v>
      </c>
      <c r="BR25">
        <v>3.9</v>
      </c>
      <c r="BS25">
        <v>7.84</v>
      </c>
      <c r="BT25" t="s">
        <v>912</v>
      </c>
      <c r="BU25" t="s">
        <v>965</v>
      </c>
      <c r="BV25">
        <v>18.66</v>
      </c>
      <c r="BW25">
        <v>12.84</v>
      </c>
      <c r="BX25">
        <v>20.29</v>
      </c>
      <c r="BY25">
        <v>10.28</v>
      </c>
      <c r="BZ25">
        <v>7.07</v>
      </c>
      <c r="CA25">
        <v>14.13</v>
      </c>
      <c r="CB25">
        <v>-6.62</v>
      </c>
      <c r="CC25">
        <v>-22.16</v>
      </c>
      <c r="CD25" t="s">
        <v>1247</v>
      </c>
      <c r="CE25" t="s">
        <v>144</v>
      </c>
      <c r="CF25" s="9">
        <v>0.67386091127098324</v>
      </c>
      <c r="CG25" s="10">
        <v>2.4281589766475649</v>
      </c>
      <c r="CH25" s="9">
        <v>-0.446454256772995</v>
      </c>
      <c r="CI25" s="9">
        <v>3.2470274716615677E-2</v>
      </c>
      <c r="CJ25" s="9">
        <v>-7.8066922724246979E-2</v>
      </c>
      <c r="CK25" s="9">
        <v>0.46615028381347656</v>
      </c>
      <c r="CL25" s="9">
        <v>0.4827733039855957</v>
      </c>
      <c r="CM25" s="10">
        <v>-0.24127906560897827</v>
      </c>
      <c r="CN25" s="10">
        <v>-0.48425787687301636</v>
      </c>
      <c r="CO25" s="10">
        <v>-0.31869253516197205</v>
      </c>
      <c r="CP25" s="10">
        <v>0.93861383199691772</v>
      </c>
      <c r="CQ25" s="10">
        <v>0.79715299606323242</v>
      </c>
      <c r="CR25">
        <v>19.527843595653604</v>
      </c>
      <c r="CS25">
        <v>2.1371209443556487</v>
      </c>
      <c r="CT25">
        <v>2.9197080291970803</v>
      </c>
      <c r="CU25" s="9">
        <v>9.1374536603689188E-2</v>
      </c>
      <c r="CV25" s="10">
        <v>0.13830747008323668</v>
      </c>
      <c r="CW25">
        <v>0.06</v>
      </c>
      <c r="CX25">
        <v>14.689143099475197</v>
      </c>
      <c r="CY25">
        <v>268725239.67317247</v>
      </c>
      <c r="CZ25">
        <v>9.1374536603689188E-2</v>
      </c>
      <c r="DA25">
        <v>4.7946918508976673</v>
      </c>
      <c r="DB25">
        <v>823273658.19369066</v>
      </c>
      <c r="DC25">
        <v>8.680580977350473E-2</v>
      </c>
      <c r="DD25">
        <v>2.3566432837608096</v>
      </c>
      <c r="DE25">
        <v>1674985572.5728242</v>
      </c>
      <c r="DF25">
        <v>8.0409592211246481E-2</v>
      </c>
      <c r="DG25">
        <v>1.4127203598876648</v>
      </c>
      <c r="DH25">
        <v>2794143563.0713787</v>
      </c>
      <c r="DI25">
        <v>7.3099629282951356E-2</v>
      </c>
      <c r="DJ25">
        <v>0.7269767493246696</v>
      </c>
      <c r="DK25">
        <v>5429807079.3418274</v>
      </c>
      <c r="DL25">
        <v>6.3962175622582426E-2</v>
      </c>
      <c r="DM25">
        <v>261000000</v>
      </c>
      <c r="DN25">
        <v>9.1374536603689188E-2</v>
      </c>
      <c r="DO25">
        <v>3947343500</v>
      </c>
      <c r="DP25">
        <v>4957773500</v>
      </c>
      <c r="DQ25">
        <v>4018</v>
      </c>
      <c r="DR25">
        <v>0.58248637466729403</v>
      </c>
      <c r="DS25">
        <v>2.2898515065643283</v>
      </c>
      <c r="DT25" s="11">
        <v>-0.39000000000000007</v>
      </c>
      <c r="DU25">
        <v>-1.6666666666666736E-2</v>
      </c>
      <c r="DV25">
        <v>-0.40666666666666679</v>
      </c>
      <c r="DW25">
        <v>-9.2987364620938635</v>
      </c>
      <c r="DX25">
        <v>0.44170769230769052</v>
      </c>
      <c r="DY25">
        <v>-9.042333254651485</v>
      </c>
      <c r="DZ25">
        <v>1887</v>
      </c>
      <c r="EA25">
        <v>-9.0267006026891856</v>
      </c>
      <c r="EB25">
        <v>9</v>
      </c>
      <c r="EC25">
        <v>3.7534173011307202E-2</v>
      </c>
      <c r="ED25">
        <v>0.26487039905927351</v>
      </c>
      <c r="EE25" s="12">
        <v>-5.0561999999999996</v>
      </c>
      <c r="EF25">
        <v>-5.0319000000000003</v>
      </c>
      <c r="EG25">
        <v>30.141707692307691</v>
      </c>
      <c r="EH25" t="s">
        <v>741</v>
      </c>
      <c r="EI25">
        <v>0</v>
      </c>
      <c r="EJ25">
        <v>0</v>
      </c>
      <c r="EK25" s="13">
        <v>45470</v>
      </c>
      <c r="EL25">
        <v>-7.0000000000000007E-2</v>
      </c>
      <c r="EM25">
        <v>-3.93</v>
      </c>
      <c r="EN25">
        <v>0.72</v>
      </c>
      <c r="EO25">
        <v>2.85</v>
      </c>
      <c r="EP25">
        <v>-2.4300000000000002</v>
      </c>
    </row>
    <row r="26" spans="1:146" ht="240" x14ac:dyDescent="0.25">
      <c r="A26" s="8" t="s">
        <v>533</v>
      </c>
      <c r="B26" s="8"/>
      <c r="C26" s="8" t="str">
        <f>"公司主营业务为风电设备、光伏/光热设备零部件；紧固件的设计、加工与销售；海上风电安装及运维服务。公司主要产品包括机舱罩、转子房、定子段、塔筒等风电设备产品，固定/可调式光伏支架、追踪式光伏支架等光伏设备产品以及光热设备产品；紧固件主要为汽车、风电光伏、铁路、工程机械、电子等行业提供具有防松性能的高品质紧固件。"&amp;CHAR(10)&amp;Basic_Fundamental_Information_Constructure(F26)&amp;CHAR(10)&amp;Basic_Fundamental_Information_Concatenate("其他业务 7.89亿 32.54% 25.99% 18.01%
转子类 3.89亿 16.05% 25.17% 35.35%
塔筒 2.84亿 11.71% 13.31% 25.63%
光伏支架 2.48亿 10.21% 2.96% 6.54%
定子类 2.37亿 9.79% 8.36% 19.25%
紧固件 1.78亿 7.33% 10.19% 31.38%
机舱罩 1.24亿 5.11% -0.96% -4.25%
风电租赁服务 1.05亿 4.31% 14.19% 74.19%")</f>
        <v>公司主营业务为风电设备、光伏/光热设备零部件；紧固件的设计、加工与销售；海上风电安装及运维服务。公司主要产品包括机舱罩、转子房、定子段、塔筒等风电设备产品，固定/可调式光伏支架、追踪式光伏支架等光伏设备产品以及光热设备产品；紧固件主要为汽车、风电光伏、铁路、工程机械、电子等行业提供具有防松性能的高品质紧固件。
市值42.481452亿, 利润4.12亿; PE21.26; 平均PE29.94; 平均PEG1.96, PB1.72; ROIC6.1933%; ROE7.4767%; 股利率1.3039%; 毛利18.92%; 净利5.5633%; 上一年度营收增-59.37%, 利润增334.16%; 当季营收增261.96%, 利润增-30.42%; 过往5年营收增15.27%, 利润增98.9%
Income profile:
其他业务 7.89亿 32.54% 25.99% 18.01%
转子类 3.89亿 16.05% 25.17% 35.35%
塔筒 2.84亿 11.71% 13.31% 25.63%
光伏支架 2.48亿 10.21% 2.96% 6.54%
定子类 2.37亿 9.79% 8.36% 19.25%
紧固件 1.78亿 7.33% 10.19% 31.38%
机舱罩 1.24亿 5.11% -0.96% -4.25%
风电租赁服务 1.05亿 4.31% 14.19% 74.19%</v>
      </c>
      <c r="D26" t="s">
        <v>384</v>
      </c>
      <c r="E26" t="s">
        <v>385</v>
      </c>
      <c r="F26">
        <v>29.91</v>
      </c>
      <c r="G26">
        <v>1.84</v>
      </c>
      <c r="H26" t="s">
        <v>1248</v>
      </c>
      <c r="I26">
        <v>4248145200</v>
      </c>
      <c r="J26">
        <v>21.26</v>
      </c>
      <c r="K26">
        <v>1.72</v>
      </c>
      <c r="L26" t="s">
        <v>502</v>
      </c>
      <c r="M26" t="s">
        <v>716</v>
      </c>
      <c r="N26" t="s">
        <v>196</v>
      </c>
      <c r="O26" t="s">
        <v>687</v>
      </c>
      <c r="P26">
        <v>4.6500000000000004</v>
      </c>
      <c r="Q26" t="s">
        <v>1249</v>
      </c>
      <c r="R26">
        <v>63325206</v>
      </c>
      <c r="S26" s="6">
        <v>0.3417</v>
      </c>
      <c r="T26" t="s">
        <v>263</v>
      </c>
      <c r="U26">
        <v>142030930</v>
      </c>
      <c r="V26">
        <v>142030930</v>
      </c>
      <c r="W26">
        <v>2.56</v>
      </c>
      <c r="X26">
        <v>0.15</v>
      </c>
      <c r="Y26">
        <v>6.81</v>
      </c>
      <c r="Z26" t="s">
        <v>170</v>
      </c>
      <c r="AA26" t="s">
        <v>1250</v>
      </c>
      <c r="AB26" t="s">
        <v>1251</v>
      </c>
      <c r="AC26" t="s">
        <v>1252</v>
      </c>
      <c r="AD26" t="s">
        <v>2</v>
      </c>
      <c r="AE26">
        <v>39045939</v>
      </c>
      <c r="AF26" t="s">
        <v>914</v>
      </c>
      <c r="AG26" t="s">
        <v>1253</v>
      </c>
      <c r="AH26" t="s">
        <v>915</v>
      </c>
      <c r="AI26" t="s">
        <v>76</v>
      </c>
      <c r="AJ26" t="s">
        <v>916</v>
      </c>
      <c r="AK26" t="s">
        <v>1254</v>
      </c>
      <c r="AL26" t="s">
        <v>917</v>
      </c>
      <c r="AM26" t="s">
        <v>2</v>
      </c>
      <c r="AN26" t="s">
        <v>136</v>
      </c>
      <c r="AO26" t="s">
        <v>723</v>
      </c>
      <c r="AP26" t="s">
        <v>49</v>
      </c>
      <c r="AQ26" t="s">
        <v>270</v>
      </c>
      <c r="AR26" t="s">
        <v>2</v>
      </c>
      <c r="AS26" t="s">
        <v>451</v>
      </c>
      <c r="AT26" t="s">
        <v>1255</v>
      </c>
      <c r="AU26" t="s">
        <v>1256</v>
      </c>
      <c r="AV26" t="s">
        <v>774</v>
      </c>
      <c r="AW26" t="s">
        <v>1257</v>
      </c>
      <c r="AX26" t="s">
        <v>541</v>
      </c>
      <c r="AY26" t="s">
        <v>461</v>
      </c>
      <c r="AZ26" t="s">
        <v>313</v>
      </c>
      <c r="BA26" t="s">
        <v>376</v>
      </c>
      <c r="BB26" t="s">
        <v>157</v>
      </c>
      <c r="BC26" t="s">
        <v>918</v>
      </c>
      <c r="BD26" t="s">
        <v>252</v>
      </c>
      <c r="BE26" t="s">
        <v>386</v>
      </c>
      <c r="BF26" t="s">
        <v>387</v>
      </c>
      <c r="BG26" t="s">
        <v>388</v>
      </c>
      <c r="BH26" t="s">
        <v>913</v>
      </c>
      <c r="BI26" t="s">
        <v>132</v>
      </c>
      <c r="BJ26" t="s">
        <v>541</v>
      </c>
      <c r="BK26" t="s">
        <v>90</v>
      </c>
      <c r="BL26" t="s">
        <v>1258</v>
      </c>
      <c r="BM26" t="s">
        <v>918</v>
      </c>
      <c r="BN26">
        <v>4.72</v>
      </c>
      <c r="BO26">
        <v>5.21</v>
      </c>
      <c r="BP26">
        <v>8.65</v>
      </c>
      <c r="BQ26">
        <v>5.5</v>
      </c>
      <c r="BR26">
        <v>5.17</v>
      </c>
      <c r="BS26">
        <v>11.76</v>
      </c>
      <c r="BT26" t="s">
        <v>919</v>
      </c>
      <c r="BU26" t="s">
        <v>965</v>
      </c>
      <c r="BV26">
        <v>20.29</v>
      </c>
      <c r="BW26">
        <v>13.92</v>
      </c>
      <c r="BX26">
        <v>22.55</v>
      </c>
      <c r="BY26">
        <v>5.31</v>
      </c>
      <c r="BZ26">
        <v>3.64</v>
      </c>
      <c r="CA26">
        <v>7.74</v>
      </c>
      <c r="CB26">
        <v>-8.8699999999999992</v>
      </c>
      <c r="CC26">
        <v>-8.11</v>
      </c>
      <c r="CD26" t="s">
        <v>1259</v>
      </c>
      <c r="CE26" t="s">
        <v>45</v>
      </c>
      <c r="CF26" s="9">
        <v>2.6195652173913042</v>
      </c>
      <c r="CG26" s="10">
        <v>-0.3042050163001736</v>
      </c>
      <c r="CH26" s="9">
        <v>-0.59366393089294434</v>
      </c>
      <c r="CI26" s="9">
        <v>0.19752579927444458</v>
      </c>
      <c r="CJ26" s="9">
        <v>0.25582599639892578</v>
      </c>
      <c r="CK26" s="9">
        <v>8.1186972558498383E-2</v>
      </c>
      <c r="CL26" s="9">
        <v>0.8224489688873291</v>
      </c>
      <c r="CM26" s="10">
        <v>3.3416130542755127</v>
      </c>
      <c r="CN26" s="10">
        <v>-0.46985697746276855</v>
      </c>
      <c r="CO26" s="10">
        <v>1.6578091382980347</v>
      </c>
      <c r="CP26" s="10">
        <v>0.7992280125617981</v>
      </c>
      <c r="CQ26" s="10">
        <v>-0.38382422924041748</v>
      </c>
      <c r="CR26">
        <v>29.936712232618909</v>
      </c>
      <c r="CS26">
        <v>1.9609444896407109</v>
      </c>
      <c r="CT26">
        <v>1.3039117352056169</v>
      </c>
      <c r="CU26" s="9">
        <v>0.15266476124525069</v>
      </c>
      <c r="CV26" s="10">
        <v>0.98899379968643186</v>
      </c>
      <c r="CW26">
        <v>0.06</v>
      </c>
      <c r="CX26">
        <v>12.412803130915966</v>
      </c>
      <c r="CY26">
        <v>448016869.46513522</v>
      </c>
      <c r="CZ26">
        <v>0.15266476124525069</v>
      </c>
      <c r="DA26">
        <v>3.8482305334927691</v>
      </c>
      <c r="DB26">
        <v>1445117477.1363134</v>
      </c>
      <c r="DC26">
        <v>0.14503152318298815</v>
      </c>
      <c r="DD26">
        <v>1.7626745307220362</v>
      </c>
      <c r="DE26">
        <v>3154947270.7942367</v>
      </c>
      <c r="DF26">
        <v>0.13434498989582061</v>
      </c>
      <c r="DG26">
        <v>0.97366864232455486</v>
      </c>
      <c r="DH26">
        <v>5711537743.1928148</v>
      </c>
      <c r="DI26">
        <v>0.12213180899620056</v>
      </c>
      <c r="DJ26">
        <v>0.41545403806113218</v>
      </c>
      <c r="DK26">
        <v>13385705013.130003</v>
      </c>
      <c r="DL26">
        <v>0.10686533287167548</v>
      </c>
      <c r="DM26">
        <v>412000000</v>
      </c>
      <c r="DN26">
        <v>0.15266476124525069</v>
      </c>
      <c r="DO26">
        <v>5561145200</v>
      </c>
      <c r="DP26">
        <v>500340400</v>
      </c>
      <c r="DQ26">
        <v>4162</v>
      </c>
      <c r="DR26">
        <v>2.4669004561460537</v>
      </c>
      <c r="DS26">
        <v>-1.2931988159866055</v>
      </c>
      <c r="DT26" s="11">
        <v>-0.12333333333333336</v>
      </c>
      <c r="DU26">
        <v>0.32999999999999996</v>
      </c>
      <c r="DV26">
        <v>0.20666666666666661</v>
      </c>
      <c r="DW26">
        <v>-5.9143179255918827</v>
      </c>
      <c r="DX26">
        <v>0.33814375000000008</v>
      </c>
      <c r="DY26">
        <v>-5.1720232032130777</v>
      </c>
      <c r="DZ26">
        <v>1362</v>
      </c>
      <c r="EA26">
        <v>-5.1261727917108839</v>
      </c>
      <c r="EB26">
        <v>5</v>
      </c>
      <c r="EC26">
        <v>0.1695574337223589</v>
      </c>
      <c r="ED26">
        <v>0.90121215146588141</v>
      </c>
      <c r="EE26" s="12">
        <v>3.0609000000000002</v>
      </c>
      <c r="EF26">
        <v>3.0245000000000002</v>
      </c>
      <c r="EG26">
        <v>15.18814375</v>
      </c>
      <c r="EH26" t="s">
        <v>535</v>
      </c>
      <c r="EI26">
        <v>0</v>
      </c>
      <c r="EJ26">
        <v>1</v>
      </c>
      <c r="EK26" s="13">
        <v>45470</v>
      </c>
      <c r="EL26">
        <v>1.1000000000000001</v>
      </c>
      <c r="EM26">
        <v>-3.9</v>
      </c>
      <c r="EN26">
        <v>-0.27</v>
      </c>
      <c r="EO26">
        <v>1.3</v>
      </c>
      <c r="EP26">
        <v>-3.64</v>
      </c>
    </row>
    <row r="27" spans="1:146" ht="204" x14ac:dyDescent="0.25">
      <c r="A27" s="8" t="s">
        <v>532</v>
      </c>
      <c r="B27" s="8"/>
      <c r="C27" s="8" t="str">
        <f>"公司是主要从事辗制环形锻件、锻制法兰及其他自由锻件等产品的研发、生产和销售，产品主要应用于风电行业、石化行业、金属压力容器行业、机械行业、船舶、核电等多种行业。 公司是辗制环形锻件和锻制法兰行业重要供应商，在国内同行业中具备较强装备工艺优势及研发优势。"&amp;CHAR(10)&amp;Basic_Fundamental_Information_Constructure(F27)&amp;CHAR(10)&amp;Basic_Fundamental_Information_Concatenate("辗制法兰 7.24亿 60.73% 利润占比71.87% 39.82%
其他业务 2.40亿 20.14% 利润占比14.24% 23.78%
锻制法兰 1.51亿 12.71% 利润占比8.97% 23.76%
真空腔体及其配件 6135.40万 5.15% 利润占比3.38% 22.06%
其他自由锻件 1393.88万 1.17% 利润占比1.52% 43.59%
其他辗制锻件 123.58万 0.10% 利润占比0.03% 9.90%")</f>
        <v>公司是主要从事辗制环形锻件、锻制法兰及其他自由锻件等产品的研发、生产和销售，产品主要应用于风电行业、石化行业、金属压力容器行业、机械行业、船舶、核电等多种行业。 公司是辗制环形锻件和锻制法兰行业重要供应商，在国内同行业中具备较强装备工艺优势及研发优势。
市值49.376096亿, 利润1.61亿; PE; 平均PE21.64; 平均PEG.41, PB1.48; ROIC6.8667%; ROE8.6367%; 股利率0%; 毛利14.4867%; 净利7.3633%; 上一年度营收增196.2%, 利润增69.84%; 当季营收增-74.65%, 利润增-108.47%; 过往5年营收增52.92%, 利润增82.29%
Income profile:
辗制法兰 7.24亿 60.73% 利润占比71.87% 39.82%
其他业务 2.40亿 20.14% 利润占比14.24% 23.78%
锻制法兰 1.51亿 12.71% 利润占比8.97% 23.76%
真空腔体及其配件 6135.40万 5.15% 利润占比3.38% 22.06%
其他自由锻件 1393.88万 1.17% 利润占比1.52% 43.59%
其他辗制锻件 123.58万 0.10% 利润占比0.03% 9.90%</v>
      </c>
      <c r="D27" t="s">
        <v>389</v>
      </c>
      <c r="E27" t="s">
        <v>390</v>
      </c>
      <c r="F27">
        <v>11.2</v>
      </c>
      <c r="G27">
        <v>-0.09</v>
      </c>
      <c r="H27" t="s">
        <v>1260</v>
      </c>
      <c r="I27">
        <v>4937609600</v>
      </c>
      <c r="K27">
        <v>1.48</v>
      </c>
      <c r="L27" t="s">
        <v>502</v>
      </c>
      <c r="M27" t="s">
        <v>540</v>
      </c>
      <c r="N27" t="s">
        <v>296</v>
      </c>
      <c r="O27" t="s">
        <v>159</v>
      </c>
      <c r="P27">
        <v>-21.49</v>
      </c>
      <c r="Q27" t="s">
        <v>1261</v>
      </c>
      <c r="R27">
        <v>-12701732</v>
      </c>
      <c r="S27" s="6">
        <v>-1.4339999999999999</v>
      </c>
      <c r="T27" t="s">
        <v>103</v>
      </c>
      <c r="U27">
        <v>440858000</v>
      </c>
      <c r="V27">
        <v>440858000</v>
      </c>
      <c r="W27">
        <v>1.44</v>
      </c>
      <c r="X27">
        <v>7.0000000000000007E-2</v>
      </c>
      <c r="Y27">
        <v>-3.84</v>
      </c>
      <c r="Z27" t="s">
        <v>57</v>
      </c>
      <c r="AA27" t="s">
        <v>155</v>
      </c>
      <c r="AB27" t="s">
        <v>1262</v>
      </c>
      <c r="AC27" t="s">
        <v>1263</v>
      </c>
      <c r="AD27" t="s">
        <v>2</v>
      </c>
      <c r="AE27">
        <v>5498131</v>
      </c>
      <c r="AF27" t="s">
        <v>19</v>
      </c>
      <c r="AG27" t="s">
        <v>1264</v>
      </c>
      <c r="AH27" t="s">
        <v>921</v>
      </c>
      <c r="AI27" t="s">
        <v>163</v>
      </c>
      <c r="AJ27" t="s">
        <v>922</v>
      </c>
      <c r="AK27" t="s">
        <v>1265</v>
      </c>
      <c r="AL27" t="s">
        <v>923</v>
      </c>
      <c r="AM27" t="s">
        <v>2</v>
      </c>
      <c r="AN27" t="s">
        <v>526</v>
      </c>
      <c r="AO27" t="s">
        <v>222</v>
      </c>
      <c r="AP27" t="s">
        <v>223</v>
      </c>
      <c r="AQ27" t="s">
        <v>115</v>
      </c>
      <c r="AR27" t="s">
        <v>1266</v>
      </c>
      <c r="AS27" t="s">
        <v>1267</v>
      </c>
      <c r="AT27" t="s">
        <v>2</v>
      </c>
      <c r="AU27" t="s">
        <v>1268</v>
      </c>
      <c r="AV27" t="s">
        <v>1269</v>
      </c>
      <c r="AW27" t="s">
        <v>1270</v>
      </c>
      <c r="AX27" t="s">
        <v>566</v>
      </c>
      <c r="AY27" t="s">
        <v>462</v>
      </c>
      <c r="AZ27" t="s">
        <v>391</v>
      </c>
      <c r="BA27" t="s">
        <v>272</v>
      </c>
      <c r="BB27" t="s">
        <v>176</v>
      </c>
      <c r="BC27" t="s">
        <v>572</v>
      </c>
      <c r="BD27" t="s">
        <v>47</v>
      </c>
      <c r="BE27" t="s">
        <v>261</v>
      </c>
      <c r="BF27" t="s">
        <v>392</v>
      </c>
      <c r="BG27" t="s">
        <v>221</v>
      </c>
      <c r="BH27" t="s">
        <v>730</v>
      </c>
      <c r="BI27" t="s">
        <v>1271</v>
      </c>
      <c r="BJ27" t="s">
        <v>566</v>
      </c>
      <c r="BK27" t="s">
        <v>920</v>
      </c>
      <c r="BL27" t="s">
        <v>111</v>
      </c>
      <c r="BM27" t="s">
        <v>572</v>
      </c>
      <c r="BN27">
        <v>1.31</v>
      </c>
      <c r="BO27">
        <v>2.6</v>
      </c>
      <c r="BP27">
        <v>16.690000000000001</v>
      </c>
      <c r="BQ27">
        <v>1.7</v>
      </c>
      <c r="BR27">
        <v>2.82</v>
      </c>
      <c r="BS27">
        <v>21.39</v>
      </c>
      <c r="BT27" t="s">
        <v>520</v>
      </c>
      <c r="BU27" t="s">
        <v>965</v>
      </c>
      <c r="BV27">
        <v>8.24</v>
      </c>
      <c r="BW27">
        <v>10.93</v>
      </c>
      <c r="BX27">
        <v>24.29</v>
      </c>
      <c r="BY27">
        <v>-1.95</v>
      </c>
      <c r="BZ27">
        <v>4.87</v>
      </c>
      <c r="CA27">
        <v>19.170000000000002</v>
      </c>
      <c r="CB27">
        <v>-5.88</v>
      </c>
      <c r="CC27">
        <v>-29.07</v>
      </c>
      <c r="CD27" t="s">
        <v>1272</v>
      </c>
      <c r="CE27" t="s">
        <v>286</v>
      </c>
      <c r="CF27" s="9">
        <v>-0.74645786726323637</v>
      </c>
      <c r="CG27" s="10">
        <v>-1.0846782133333333</v>
      </c>
      <c r="CH27" s="9">
        <v>1.9619537591934204</v>
      </c>
      <c r="CI27" s="9">
        <v>-0.15176625549793243</v>
      </c>
      <c r="CJ27" s="9">
        <v>-3.8574423640966415E-2</v>
      </c>
      <c r="CK27" s="9">
        <v>0.66666656732559204</v>
      </c>
      <c r="CL27" s="9">
        <v>0.20759505033493042</v>
      </c>
      <c r="CM27" s="10">
        <v>0.69837671518325806</v>
      </c>
      <c r="CN27" s="10">
        <v>-0.78552848100662231</v>
      </c>
      <c r="CO27" s="10">
        <v>-4.5356370508670807E-2</v>
      </c>
      <c r="CP27" s="10">
        <v>4.5834732055664062</v>
      </c>
      <c r="CQ27" s="10">
        <v>-0.33661362528800964</v>
      </c>
      <c r="CR27">
        <v>21.644795205329476</v>
      </c>
      <c r="CS27">
        <v>0.40902910527134467</v>
      </c>
      <c r="CT27">
        <v>0</v>
      </c>
      <c r="CU27" s="9">
        <v>0.52917493954300876</v>
      </c>
      <c r="CV27" s="10">
        <v>0.82287028878927226</v>
      </c>
      <c r="CW27">
        <v>0.06</v>
      </c>
      <c r="CX27">
        <v>13.771589012127386</v>
      </c>
      <c r="CY27">
        <v>232261476.66643813</v>
      </c>
      <c r="CZ27">
        <v>0.52917493954300876</v>
      </c>
      <c r="DA27">
        <v>3.1652991300771816</v>
      </c>
      <c r="DB27">
        <v>1010523640.4377385</v>
      </c>
      <c r="DC27">
        <v>0.50271619256585831</v>
      </c>
      <c r="DD27">
        <v>0.91822933967598563</v>
      </c>
      <c r="DE27">
        <v>3483453927.8920116</v>
      </c>
      <c r="DF27">
        <v>0.46567394679784774</v>
      </c>
      <c r="DG27">
        <v>0.28088112104388935</v>
      </c>
      <c r="DH27">
        <v>11387769986.506849</v>
      </c>
      <c r="DI27">
        <v>0.42333995163440702</v>
      </c>
      <c r="DJ27">
        <v>2.6596293404513482E-2</v>
      </c>
      <c r="DK27">
        <v>120265239646.40823</v>
      </c>
      <c r="DL27">
        <v>0.37042245768010612</v>
      </c>
      <c r="DM27">
        <v>161000000</v>
      </c>
      <c r="DN27">
        <v>0.52917493954300876</v>
      </c>
      <c r="DO27">
        <v>3198609600.0000005</v>
      </c>
      <c r="DP27">
        <v>764019500</v>
      </c>
      <c r="DQ27">
        <v>4414</v>
      </c>
      <c r="DR27">
        <v>-1.2756328068062452</v>
      </c>
      <c r="DS27">
        <v>-1.9075485021226055</v>
      </c>
      <c r="DT27" s="11">
        <v>4.33333333333333E-2</v>
      </c>
      <c r="DU27">
        <v>-0.5116666666666666</v>
      </c>
      <c r="DV27">
        <v>-0.46833333333333332</v>
      </c>
      <c r="DW27">
        <v>-8.2022703818369447</v>
      </c>
      <c r="DX27">
        <v>0.34422488479262836</v>
      </c>
      <c r="DY27">
        <v>-8.0251270148806544</v>
      </c>
      <c r="DZ27">
        <v>1160</v>
      </c>
      <c r="EA27">
        <v>-8.0194230349860245</v>
      </c>
      <c r="EB27">
        <v>8</v>
      </c>
      <c r="EC27">
        <v>6.1146219417590242E-2</v>
      </c>
      <c r="ED27">
        <v>0.4922219853104628</v>
      </c>
      <c r="EE27" s="12">
        <v>-2.0476100000000002</v>
      </c>
      <c r="EF27">
        <v>-2.0369100000000002</v>
      </c>
      <c r="EG27">
        <v>22.124224884792628</v>
      </c>
      <c r="EH27" t="s">
        <v>538</v>
      </c>
      <c r="EI27">
        <v>0</v>
      </c>
      <c r="EJ27">
        <v>1</v>
      </c>
      <c r="EK27" s="13">
        <v>45470</v>
      </c>
      <c r="EL27">
        <v>1.61</v>
      </c>
      <c r="EM27">
        <v>-2.17</v>
      </c>
      <c r="EN27">
        <v>-2.7</v>
      </c>
      <c r="EO27">
        <v>3.61</v>
      </c>
      <c r="EP27">
        <v>1.07</v>
      </c>
    </row>
    <row r="28" spans="1:146" ht="144" x14ac:dyDescent="0.25">
      <c r="A28" s="8"/>
      <c r="B28" s="8"/>
      <c r="C28" s="8" t="str">
        <f>"公司的主营业务为风电机组的研发、制造与销售，风电场设计、建设、运营管理以及光伏电站运营管理业务。公司主要产品及服务为风机产品及运维服务、新能源电站业务。"&amp;CHAR(10)&amp;Basic_Fundamental_Information_Constructure(F28)&amp;CHAR(10)&amp;Basic_Fundamental_Information_Concatenate("风机及配件收入 88.61亿 87.09% 79.84% 26.18%
发电收入 6.17亿 6.06% 15.85% 74.65%
风电建设服务 5.59亿 5.50% 3.86% 20.02%")</f>
        <v>公司的主营业务为风电机组的研发、制造与销售，风电场设计、建设、运营管理以及光伏电站运营管理业务。公司主要产品及服务为风机产品及运维服务、新能源电站业务。
市值300.41584亿, 利润2720.76万; PE16.78; 平均PE40.61; 平均PEG.39, PB2.34; ROIC15.0333%; ROE28.13%; 股利率2.3676%; 毛利23.0467%; 净利14.16%; 上一年度营收增-86.69%, 利润增-98.35%; 当季营收增365.77%, 利润增1873.18%; 过往5年营收增103.1%, 利润增209.49%
Income profile:
风机及配件收入 88.61亿 87.09% 79.84% 26.18%
发电收入 6.17亿 6.06% 15.85% 74.65%
风电建设服务 5.59亿 5.50% 3.86% 20.02%</v>
      </c>
      <c r="D28" t="s">
        <v>497</v>
      </c>
      <c r="E28" t="s">
        <v>498</v>
      </c>
      <c r="F28">
        <v>24.92</v>
      </c>
      <c r="G28">
        <v>-0.64</v>
      </c>
      <c r="H28" t="s">
        <v>1273</v>
      </c>
      <c r="I28">
        <v>30041584000</v>
      </c>
      <c r="J28">
        <v>16.78</v>
      </c>
      <c r="K28">
        <v>2.34</v>
      </c>
      <c r="L28" t="s">
        <v>502</v>
      </c>
      <c r="M28" t="s">
        <v>924</v>
      </c>
      <c r="N28" t="s">
        <v>1274</v>
      </c>
      <c r="O28" t="s">
        <v>185</v>
      </c>
      <c r="P28">
        <v>10.5</v>
      </c>
      <c r="Q28" t="s">
        <v>1275</v>
      </c>
      <c r="R28">
        <v>265775000</v>
      </c>
      <c r="S28" s="6">
        <v>-0.44919999999999999</v>
      </c>
      <c r="T28" t="s">
        <v>1276</v>
      </c>
      <c r="U28">
        <v>188285720</v>
      </c>
      <c r="V28">
        <v>1205521020</v>
      </c>
      <c r="W28">
        <v>2.68</v>
      </c>
      <c r="X28">
        <v>0.05</v>
      </c>
      <c r="Y28">
        <v>15.38</v>
      </c>
      <c r="Z28" t="s">
        <v>1277</v>
      </c>
      <c r="AA28" t="s">
        <v>1278</v>
      </c>
      <c r="AB28" t="s">
        <v>181</v>
      </c>
      <c r="AC28" t="s">
        <v>68</v>
      </c>
      <c r="AD28" t="s">
        <v>2</v>
      </c>
      <c r="AE28">
        <v>-66214000</v>
      </c>
      <c r="AF28" t="s">
        <v>927</v>
      </c>
      <c r="AG28" t="s">
        <v>1279</v>
      </c>
      <c r="AH28" t="s">
        <v>928</v>
      </c>
      <c r="AI28" t="s">
        <v>1280</v>
      </c>
      <c r="AJ28" t="s">
        <v>929</v>
      </c>
      <c r="AK28" t="s">
        <v>310</v>
      </c>
      <c r="AL28" t="s">
        <v>930</v>
      </c>
      <c r="AM28" t="s">
        <v>2</v>
      </c>
      <c r="AN28" t="s">
        <v>174</v>
      </c>
      <c r="AO28" t="s">
        <v>188</v>
      </c>
      <c r="AP28" t="s">
        <v>1281</v>
      </c>
      <c r="AQ28" t="s">
        <v>1282</v>
      </c>
      <c r="AR28" t="s">
        <v>162</v>
      </c>
      <c r="AS28" t="s">
        <v>1283</v>
      </c>
      <c r="AT28" t="s">
        <v>1284</v>
      </c>
      <c r="AU28" t="s">
        <v>1285</v>
      </c>
      <c r="AV28" t="s">
        <v>1286</v>
      </c>
      <c r="AW28" t="s">
        <v>553</v>
      </c>
      <c r="AX28" t="s">
        <v>573</v>
      </c>
      <c r="AY28" t="s">
        <v>574</v>
      </c>
      <c r="AZ28" t="s">
        <v>499</v>
      </c>
      <c r="BA28" t="s">
        <v>315</v>
      </c>
      <c r="BB28" t="s">
        <v>242</v>
      </c>
      <c r="BC28" t="s">
        <v>676</v>
      </c>
      <c r="BD28" t="s">
        <v>399</v>
      </c>
      <c r="BE28" t="s">
        <v>447</v>
      </c>
      <c r="BF28" t="s">
        <v>77</v>
      </c>
      <c r="BG28" t="s">
        <v>500</v>
      </c>
      <c r="BH28" t="s">
        <v>925</v>
      </c>
      <c r="BI28" t="s">
        <v>310</v>
      </c>
      <c r="BJ28" t="s">
        <v>573</v>
      </c>
      <c r="BK28" t="s">
        <v>926</v>
      </c>
      <c r="BL28" t="s">
        <v>1287</v>
      </c>
      <c r="BM28" t="s">
        <v>676</v>
      </c>
      <c r="BN28">
        <v>5.87</v>
      </c>
      <c r="BO28">
        <v>13.96</v>
      </c>
      <c r="BP28">
        <v>25.27</v>
      </c>
      <c r="BQ28">
        <v>8.9499999999999993</v>
      </c>
      <c r="BR28">
        <v>21.86</v>
      </c>
      <c r="BS28">
        <v>53.58</v>
      </c>
      <c r="BT28" t="s">
        <v>931</v>
      </c>
      <c r="BU28" t="s">
        <v>983</v>
      </c>
      <c r="BV28">
        <v>17.03</v>
      </c>
      <c r="BW28">
        <v>23.55</v>
      </c>
      <c r="BX28">
        <v>28.56</v>
      </c>
      <c r="BY28">
        <v>13.43</v>
      </c>
      <c r="BZ28">
        <v>13.41</v>
      </c>
      <c r="CA28">
        <v>15.64</v>
      </c>
      <c r="CB28">
        <v>0.32</v>
      </c>
      <c r="CC28">
        <v>-8.31</v>
      </c>
      <c r="CD28" t="s">
        <v>1288</v>
      </c>
      <c r="CE28" t="s">
        <v>1289</v>
      </c>
      <c r="CF28" s="9">
        <v>3.6576819407008085</v>
      </c>
      <c r="CG28" s="10">
        <v>18.731762365064515</v>
      </c>
      <c r="CH28" s="9">
        <v>-0.86693710088729858</v>
      </c>
      <c r="CI28" s="9">
        <v>0.20892591774463654</v>
      </c>
      <c r="CJ28" s="9">
        <v>9.4941556453704834E-2</v>
      </c>
      <c r="CK28" s="9">
        <v>5.2869682312011719</v>
      </c>
      <c r="CL28" s="9">
        <v>0.43091779947280884</v>
      </c>
      <c r="CM28" s="10">
        <v>-0.98349058628082275</v>
      </c>
      <c r="CN28" s="10">
        <v>2.8072323650121689E-2</v>
      </c>
      <c r="CO28" s="10">
        <v>0.16836740076541901</v>
      </c>
      <c r="CP28" s="10">
        <v>9.8888893127441406</v>
      </c>
      <c r="CQ28" s="10">
        <v>1.3727810382843018</v>
      </c>
      <c r="CR28">
        <v>40.613130399758681</v>
      </c>
      <c r="CS28">
        <v>0.39393382049806835</v>
      </c>
      <c r="CT28">
        <v>2.3675762439807384</v>
      </c>
      <c r="CU28" s="9">
        <v>1.0309632807970046</v>
      </c>
      <c r="CV28" s="10">
        <v>2.0949238978326319</v>
      </c>
      <c r="CW28">
        <v>0.06</v>
      </c>
      <c r="CX28">
        <v>725.29629452190761</v>
      </c>
      <c r="CY28">
        <v>52129845.810011871</v>
      </c>
      <c r="CZ28">
        <v>1.0309632807970046</v>
      </c>
      <c r="DA28">
        <v>117.11227695889079</v>
      </c>
      <c r="DB28">
        <v>322849021.31372672</v>
      </c>
      <c r="DC28">
        <v>0.97941511675715431</v>
      </c>
      <c r="DD28">
        <v>18.745584414723513</v>
      </c>
      <c r="DE28">
        <v>2016986142.6300948</v>
      </c>
      <c r="DF28">
        <v>0.90724768710136405</v>
      </c>
      <c r="DG28">
        <v>2.5592612542937041</v>
      </c>
      <c r="DH28">
        <v>14773632014.537943</v>
      </c>
      <c r="DI28">
        <v>0.82477062463760376</v>
      </c>
      <c r="DJ28">
        <v>3.271364404644439E-2</v>
      </c>
      <c r="DK28">
        <v>1155774145684.3137</v>
      </c>
      <c r="DL28">
        <v>0.72167429655790316</v>
      </c>
      <c r="DM28">
        <v>27207600.000000004</v>
      </c>
      <c r="DN28">
        <v>1.0309632807970046</v>
      </c>
      <c r="DO28">
        <v>37809584000</v>
      </c>
      <c r="DP28">
        <v>5030910000</v>
      </c>
      <c r="DQ28">
        <v>4842</v>
      </c>
      <c r="DR28">
        <v>2.6267186599038039</v>
      </c>
      <c r="DS28">
        <v>16.636838467231883</v>
      </c>
      <c r="DT28" s="11">
        <v>-9.1666666666666716E-2</v>
      </c>
      <c r="DU28">
        <v>1.03</v>
      </c>
      <c r="DV28">
        <v>0.93833333333333335</v>
      </c>
      <c r="DW28">
        <v>-2.0831</v>
      </c>
      <c r="DX28">
        <v>0.24032476383747514</v>
      </c>
      <c r="DY28">
        <v>-2.0099989878748943</v>
      </c>
      <c r="DZ28">
        <v>1997</v>
      </c>
      <c r="EA28">
        <v>-2.0060913599323964</v>
      </c>
      <c r="EB28">
        <v>2</v>
      </c>
      <c r="EC28">
        <v>5.8725645447476309E-3</v>
      </c>
      <c r="ED28">
        <v>4.8805951139698919E-2</v>
      </c>
      <c r="EE28" s="12">
        <v>-4.0251999999999999</v>
      </c>
      <c r="EF28">
        <v>-4.0147000000000004</v>
      </c>
      <c r="EG28">
        <v>12.120324763837475</v>
      </c>
      <c r="EH28" t="s">
        <v>1290</v>
      </c>
      <c r="EI28">
        <v>0</v>
      </c>
      <c r="EJ28">
        <v>0</v>
      </c>
      <c r="EK28" s="13">
        <v>45470</v>
      </c>
      <c r="EL28">
        <v>-1.83</v>
      </c>
      <c r="EM28">
        <v>-5.94</v>
      </c>
      <c r="EN28">
        <v>1.17</v>
      </c>
      <c r="EO28">
        <v>2.3199999999999998</v>
      </c>
      <c r="EP28">
        <v>-1.05</v>
      </c>
    </row>
    <row r="29" spans="1:146" ht="168" x14ac:dyDescent="0.25">
      <c r="A29" s="8"/>
      <c r="B29" s="8"/>
      <c r="C29" s="8" t="str">
        <f>"公司主营业务为风力发电设备设计、研发、制造和销售以及后市场配套服务。公司主要产品包括2.0MW陆上风电机组、2.1MW陆上风电机组、2.5MW陆上风电机组、3.45MW陆上风电机组、3.6MW海上风电机组、4.0MW海上风电机组、6.X/7.X海上风电机组、8.0MW海上风电机组。"&amp;CHAR(10)&amp;Basic_Fundamental_Information_Constructure(F29)&amp;CHAR(10)&amp;Basic_Fundamental_Information_Concatenate("风机及零部件销售 235.76亿 98.35% 97.55% 16.31%
提供服务 1.71亿 0.71% 1.05% 24.29%
其他业务-销售材料 8819.87万 0.37% 0.67% 29.76%")</f>
        <v>公司主营业务为风力发电设备设计、研发、制造和销售以及后市场配套服务。公司主要产品包括2.0MW陆上风电机组、2.1MW陆上风电机组、2.5MW陆上风电机组、3.45MW陆上风电机组、3.6MW海上风电机组、4.0MW海上风电机组、6.X/7.X海上风电机组、8.0MW海上风电机组。
市值38.666669亿, 利润-2093.91万; PE; 平均PE30.34; 平均PEG4.25, PB.684; ROIC6.56%; ROE-1.9767%; 股利率0%; 毛利12.42%; 净利-4.4167%; 上一年度营收增-97.63%, 利润增93.8%; 当季营收增991.18%, 利润增-2859.27%; 过往5年营收增7.14%, 利润增119.19%
Income profile:
风机及零部件销售 235.76亿 98.35% 97.55% 16.31%
提供服务 1.71亿 0.71% 1.05% 24.29%
其他业务-销售材料 8819.87万 0.37% 0.67% 29.76%</v>
      </c>
      <c r="D29" t="s">
        <v>393</v>
      </c>
      <c r="E29" t="s">
        <v>394</v>
      </c>
      <c r="F29">
        <v>2.9</v>
      </c>
      <c r="G29">
        <v>1.05</v>
      </c>
      <c r="H29" t="s">
        <v>1291</v>
      </c>
      <c r="I29">
        <v>3866666900</v>
      </c>
      <c r="K29">
        <v>0.68400000000000005</v>
      </c>
      <c r="L29" t="s">
        <v>502</v>
      </c>
      <c r="M29" t="s">
        <v>932</v>
      </c>
      <c r="N29" t="s">
        <v>1292</v>
      </c>
      <c r="O29" t="s">
        <v>232</v>
      </c>
      <c r="P29">
        <v>-66.13</v>
      </c>
      <c r="Q29" t="s">
        <v>78</v>
      </c>
      <c r="R29">
        <v>-211942690</v>
      </c>
      <c r="S29" s="6">
        <v>-0.27250000000000002</v>
      </c>
      <c r="T29" t="s">
        <v>1293</v>
      </c>
      <c r="U29">
        <v>1333333400</v>
      </c>
      <c r="V29">
        <v>1333333400</v>
      </c>
      <c r="W29">
        <v>4.45</v>
      </c>
      <c r="X29">
        <v>0.02</v>
      </c>
      <c r="Y29">
        <v>-45.17</v>
      </c>
      <c r="Z29" t="s">
        <v>84</v>
      </c>
      <c r="AA29" t="s">
        <v>175</v>
      </c>
      <c r="AB29" t="s">
        <v>1294</v>
      </c>
      <c r="AC29" t="s">
        <v>1295</v>
      </c>
      <c r="AD29" t="s">
        <v>2</v>
      </c>
      <c r="AE29">
        <v>30248785</v>
      </c>
      <c r="AF29" t="s">
        <v>935</v>
      </c>
      <c r="AG29" t="s">
        <v>1296</v>
      </c>
      <c r="AH29" t="s">
        <v>936</v>
      </c>
      <c r="AI29" t="s">
        <v>450</v>
      </c>
      <c r="AJ29" t="s">
        <v>937</v>
      </c>
      <c r="AK29" t="s">
        <v>74</v>
      </c>
      <c r="AL29" t="s">
        <v>938</v>
      </c>
      <c r="AM29" t="s">
        <v>2</v>
      </c>
      <c r="AN29" t="s">
        <v>1297</v>
      </c>
      <c r="AO29" t="s">
        <v>37</v>
      </c>
      <c r="AP29" t="s">
        <v>1298</v>
      </c>
      <c r="AQ29" t="s">
        <v>1299</v>
      </c>
      <c r="AR29" t="s">
        <v>2</v>
      </c>
      <c r="AS29" t="s">
        <v>1300</v>
      </c>
      <c r="AT29" t="s">
        <v>1275</v>
      </c>
      <c r="AU29" t="s">
        <v>1301</v>
      </c>
      <c r="AV29" t="s">
        <v>1302</v>
      </c>
      <c r="AW29" t="s">
        <v>1303</v>
      </c>
      <c r="AX29" t="s">
        <v>576</v>
      </c>
      <c r="AY29" t="s">
        <v>577</v>
      </c>
      <c r="AZ29" t="s">
        <v>395</v>
      </c>
      <c r="BA29" t="s">
        <v>396</v>
      </c>
      <c r="BB29" t="s">
        <v>397</v>
      </c>
      <c r="BC29" t="s">
        <v>500</v>
      </c>
      <c r="BD29" t="s">
        <v>301</v>
      </c>
      <c r="BE29" t="s">
        <v>134</v>
      </c>
      <c r="BF29" t="s">
        <v>50</v>
      </c>
      <c r="BG29" t="s">
        <v>398</v>
      </c>
      <c r="BH29" t="s">
        <v>933</v>
      </c>
      <c r="BI29" t="s">
        <v>1304</v>
      </c>
      <c r="BJ29" t="s">
        <v>576</v>
      </c>
      <c r="BK29" t="s">
        <v>934</v>
      </c>
      <c r="BL29" t="s">
        <v>1305</v>
      </c>
      <c r="BM29" t="s">
        <v>500</v>
      </c>
      <c r="BN29" t="s">
        <v>2</v>
      </c>
      <c r="BO29" t="s">
        <v>2</v>
      </c>
      <c r="BP29">
        <v>6.56</v>
      </c>
      <c r="BQ29">
        <v>-9.58</v>
      </c>
      <c r="BR29">
        <v>-4.53</v>
      </c>
      <c r="BS29">
        <v>8.18</v>
      </c>
      <c r="BT29" t="s">
        <v>520</v>
      </c>
      <c r="BU29" t="s">
        <v>983</v>
      </c>
      <c r="BV29">
        <v>6.6</v>
      </c>
      <c r="BW29">
        <v>14.21</v>
      </c>
      <c r="BX29">
        <v>16.45</v>
      </c>
      <c r="BY29">
        <v>-12.57</v>
      </c>
      <c r="BZ29">
        <v>-2.8</v>
      </c>
      <c r="CA29">
        <v>2.12</v>
      </c>
      <c r="CB29">
        <v>0.69</v>
      </c>
      <c r="CC29">
        <v>-15.2</v>
      </c>
      <c r="CD29" t="s">
        <v>1306</v>
      </c>
      <c r="CE29" t="s">
        <v>133</v>
      </c>
      <c r="CF29" s="9">
        <v>9.9117982364300516</v>
      </c>
      <c r="CG29" s="10">
        <v>-28.592668249092434</v>
      </c>
      <c r="CH29" s="9">
        <v>-0.97631466388702393</v>
      </c>
      <c r="CI29" s="9">
        <v>-0.48612648248672485</v>
      </c>
      <c r="CJ29" s="9">
        <v>0.13599224388599396</v>
      </c>
      <c r="CK29" s="9">
        <v>1.0409473180770874</v>
      </c>
      <c r="CL29" s="9">
        <v>0.64235949516296387</v>
      </c>
      <c r="CM29" s="10">
        <v>0.93804997205734253</v>
      </c>
      <c r="CN29" s="10">
        <v>-1.6666666269302368</v>
      </c>
      <c r="CO29" s="10">
        <v>0.2158273309469223</v>
      </c>
      <c r="CP29" s="10">
        <v>0.6547619104385376</v>
      </c>
      <c r="CQ29" s="10">
        <v>5.817655086517334</v>
      </c>
      <c r="CR29">
        <v>30.336582267771842</v>
      </c>
      <c r="CS29">
        <v>4.2505127886641114</v>
      </c>
      <c r="CT29">
        <v>0</v>
      </c>
      <c r="CU29" s="9">
        <v>7.1371582150459287E-2</v>
      </c>
      <c r="CV29" s="10">
        <v>1.1919255346059798</v>
      </c>
      <c r="CW29">
        <v>0.06</v>
      </c>
      <c r="CX29" t="e">
        <v>#VALUE!</v>
      </c>
      <c r="CY29" t="s">
        <v>427</v>
      </c>
      <c r="CZ29">
        <v>7.1371582150459287E-2</v>
      </c>
      <c r="DA29" t="e">
        <v>#VALUE!</v>
      </c>
      <c r="DB29" t="s">
        <v>428</v>
      </c>
      <c r="DC29">
        <v>6.7803003042936322E-2</v>
      </c>
      <c r="DD29" t="e">
        <v>#VALUE!</v>
      </c>
      <c r="DE29" t="s">
        <v>428</v>
      </c>
      <c r="DF29">
        <v>6.2806992292404176E-2</v>
      </c>
      <c r="DG29" t="e">
        <v>#VALUE!</v>
      </c>
      <c r="DH29" t="s">
        <v>428</v>
      </c>
      <c r="DI29">
        <v>5.7097265720367434E-2</v>
      </c>
      <c r="DJ29" t="e">
        <v>#VALUE!</v>
      </c>
      <c r="DK29" t="s">
        <v>428</v>
      </c>
      <c r="DL29">
        <v>4.9960107505321497E-2</v>
      </c>
      <c r="DM29">
        <v>-20939100</v>
      </c>
      <c r="DN29">
        <v>7.1371582150459287E-2</v>
      </c>
      <c r="DO29">
        <v>18184666900</v>
      </c>
      <c r="DP29">
        <v>-815457000</v>
      </c>
      <c r="DQ29">
        <v>5047</v>
      </c>
      <c r="DR29">
        <v>9.8404266542795931</v>
      </c>
      <c r="DS29">
        <v>-29.784593783698412</v>
      </c>
      <c r="DT29" s="11">
        <v>-0.49000000000000005</v>
      </c>
      <c r="DU29">
        <v>-0.875</v>
      </c>
      <c r="DV29">
        <v>-1.365</v>
      </c>
      <c r="DW29">
        <v>-2.1520000000000001</v>
      </c>
      <c r="DX29">
        <v>0.29204814814814767</v>
      </c>
      <c r="DY29">
        <v>-2.0170313185185185</v>
      </c>
      <c r="DZ29">
        <v>3287</v>
      </c>
      <c r="EA29">
        <v>-2.0060759478785242</v>
      </c>
      <c r="EB29">
        <v>2</v>
      </c>
      <c r="EC29">
        <v>1.5882824205858789E-2</v>
      </c>
      <c r="ED29">
        <v>0.14174999291250034</v>
      </c>
      <c r="EE29" s="12">
        <v>-1.01901</v>
      </c>
      <c r="EF29">
        <v>-1.03871</v>
      </c>
      <c r="EG29">
        <v>18.112048148148148</v>
      </c>
      <c r="EH29" t="s">
        <v>530</v>
      </c>
      <c r="EI29">
        <v>0</v>
      </c>
      <c r="EJ29">
        <v>0</v>
      </c>
      <c r="EK29" s="13">
        <v>45470</v>
      </c>
      <c r="EL29">
        <v>-0.09</v>
      </c>
      <c r="EM29">
        <v>-7.01</v>
      </c>
      <c r="EN29">
        <v>-8.44</v>
      </c>
      <c r="EO29">
        <v>2.87</v>
      </c>
      <c r="EP29">
        <v>-1.97</v>
      </c>
    </row>
    <row r="30" spans="1:146" x14ac:dyDescent="0.25">
      <c r="A30" s="8"/>
      <c r="B30" s="8"/>
      <c r="C30" s="8"/>
      <c r="D30"/>
      <c r="S30" s="6"/>
    </row>
    <row r="31" spans="1:146" x14ac:dyDescent="0.25">
      <c r="A31" s="8"/>
      <c r="B31" s="8"/>
      <c r="C31" s="8"/>
      <c r="D31"/>
      <c r="S31" s="6"/>
    </row>
    <row r="32" spans="1:146" x14ac:dyDescent="0.25">
      <c r="A32" s="8"/>
      <c r="B32" s="8"/>
      <c r="C32" s="8"/>
      <c r="D32"/>
      <c r="S32" s="6"/>
    </row>
    <row r="33" spans="1:19" x14ac:dyDescent="0.25">
      <c r="A33" s="8"/>
      <c r="B33" s="8"/>
      <c r="C33" s="8"/>
      <c r="D33"/>
      <c r="S33" s="6"/>
    </row>
    <row r="34" spans="1:19" x14ac:dyDescent="0.25">
      <c r="A34" s="8"/>
      <c r="B34" s="8"/>
      <c r="C34" s="8"/>
      <c r="D34"/>
      <c r="S34" s="6"/>
    </row>
    <row r="35" spans="1:19" x14ac:dyDescent="0.25">
      <c r="A35" s="8"/>
      <c r="B35" s="8"/>
      <c r="C35" s="8"/>
      <c r="D35"/>
      <c r="S35" s="6"/>
    </row>
  </sheetData>
  <autoFilter ref="BU1:BU35"/>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风电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471</v>
      </c>
      <c r="B1" t="s">
        <v>472</v>
      </c>
      <c r="C1" t="s">
        <v>473</v>
      </c>
      <c r="D1" t="s">
        <v>474</v>
      </c>
      <c r="E1" t="s">
        <v>475</v>
      </c>
      <c r="F1" t="s">
        <v>476</v>
      </c>
      <c r="G1" t="s">
        <v>477</v>
      </c>
      <c r="H1" t="s">
        <v>478</v>
      </c>
      <c r="I1" t="s">
        <v>479</v>
      </c>
      <c r="J1" t="s">
        <v>480</v>
      </c>
      <c r="K1" t="s">
        <v>481</v>
      </c>
      <c r="L1" t="s">
        <v>482</v>
      </c>
      <c r="M1" t="s">
        <v>483</v>
      </c>
      <c r="N1" t="s">
        <v>484</v>
      </c>
      <c r="O1" t="s">
        <v>485</v>
      </c>
      <c r="P1" t="s">
        <v>486</v>
      </c>
      <c r="S1" t="s">
        <v>472</v>
      </c>
      <c r="T1" t="s">
        <v>473</v>
      </c>
      <c r="U1" t="s">
        <v>474</v>
      </c>
      <c r="V1" t="s">
        <v>475</v>
      </c>
      <c r="W1" t="s">
        <v>476</v>
      </c>
      <c r="X1" t="s">
        <v>477</v>
      </c>
      <c r="Y1" t="s">
        <v>478</v>
      </c>
      <c r="Z1" t="s">
        <v>479</v>
      </c>
      <c r="AA1" t="s">
        <v>480</v>
      </c>
      <c r="AB1" t="s">
        <v>481</v>
      </c>
      <c r="AC1" t="s">
        <v>482</v>
      </c>
      <c r="AD1" t="s">
        <v>483</v>
      </c>
      <c r="AE1" t="s">
        <v>487</v>
      </c>
      <c r="AF1" t="s">
        <v>488</v>
      </c>
      <c r="AG1" t="s">
        <v>489</v>
      </c>
    </row>
    <row r="2" spans="1:33" x14ac:dyDescent="0.25">
      <c r="A2" t="s">
        <v>490</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491</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732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733</v>
      </c>
    </row>
    <row r="5" spans="1:30" x14ac:dyDescent="0.25">
      <c r="A5" s="14">
        <v>1</v>
      </c>
      <c r="B5" s="14">
        <f>A5*$A$4+A5</f>
        <v>1.43</v>
      </c>
      <c r="C5" s="14">
        <f t="shared" ref="C5:AD5" si="1">B5*$A$4+B5</f>
        <v>2.0449000000000002</v>
      </c>
      <c r="D5" s="14">
        <f t="shared" si="1"/>
        <v>2.924207</v>
      </c>
      <c r="E5" s="14">
        <f t="shared" si="1"/>
        <v>4.1816160099999999</v>
      </c>
      <c r="F5" s="14">
        <f t="shared" si="1"/>
        <v>5.9797108943000001</v>
      </c>
      <c r="G5" s="14">
        <f t="shared" si="1"/>
        <v>8.5509865788490007</v>
      </c>
      <c r="H5" s="14">
        <f t="shared" si="1"/>
        <v>12.227910807754071</v>
      </c>
      <c r="I5" s="14">
        <f t="shared" si="1"/>
        <v>17.485912455088322</v>
      </c>
      <c r="J5" s="14">
        <f t="shared" si="1"/>
        <v>25.004854810776301</v>
      </c>
      <c r="K5" s="14">
        <f t="shared" si="1"/>
        <v>35.756942379410113</v>
      </c>
      <c r="L5" s="14">
        <f t="shared" si="1"/>
        <v>51.132427602556461</v>
      </c>
      <c r="M5" s="14">
        <f t="shared" si="1"/>
        <v>73.119371471655739</v>
      </c>
      <c r="N5" s="14">
        <f t="shared" si="1"/>
        <v>104.5607012044677</v>
      </c>
      <c r="O5" s="14">
        <f t="shared" si="1"/>
        <v>149.52180272238883</v>
      </c>
      <c r="P5">
        <f t="shared" si="1"/>
        <v>213.816177893016</v>
      </c>
      <c r="Q5">
        <f t="shared" si="1"/>
        <v>305.75713438701291</v>
      </c>
      <c r="R5">
        <f t="shared" si="1"/>
        <v>437.23270217342849</v>
      </c>
      <c r="S5" s="14">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734</v>
      </c>
    </row>
    <row r="7" spans="1:30" x14ac:dyDescent="0.25">
      <c r="A7" s="15">
        <f>SUM($A$5:A5)</f>
        <v>1</v>
      </c>
      <c r="B7" s="15">
        <f>SUM($A$5:B5)</f>
        <v>2.4299999999999997</v>
      </c>
      <c r="C7" s="15">
        <f>SUM($A$5:C5)</f>
        <v>4.4748999999999999</v>
      </c>
      <c r="D7" s="15">
        <f>SUM($A$5:D5)</f>
        <v>7.3991069999999999</v>
      </c>
      <c r="E7" s="15">
        <f>SUM($A$5:E5)</f>
        <v>11.58072301</v>
      </c>
      <c r="F7" s="15">
        <f>SUM($A$5:F5)</f>
        <v>17.560433904299998</v>
      </c>
      <c r="G7" s="15">
        <f>SUM($A$5:G5)</f>
        <v>26.111420483148997</v>
      </c>
      <c r="H7" s="15">
        <f>SUM($A$5:H5)</f>
        <v>38.339331290903068</v>
      </c>
      <c r="I7" s="15">
        <f>SUM($A$5:I5)</f>
        <v>55.825243745991386</v>
      </c>
      <c r="J7" s="15">
        <f>SUM($A$5:J5)</f>
        <v>80.830098556767695</v>
      </c>
      <c r="K7" s="15">
        <f>SUM($A$5:K5)</f>
        <v>116.5870409361778</v>
      </c>
      <c r="L7" s="15">
        <f>SUM($A$5:L5)</f>
        <v>167.71946853873425</v>
      </c>
      <c r="M7" s="15">
        <f>SUM($A$5:M5)</f>
        <v>240.83884001038999</v>
      </c>
      <c r="N7" s="15">
        <f>SUM($A$5:N5)</f>
        <v>345.39954121485766</v>
      </c>
      <c r="O7" s="15">
        <f>SUM($A$5:O5)</f>
        <v>494.92134393724649</v>
      </c>
      <c r="P7" s="15">
        <f>SUM($A$5:P5)</f>
        <v>708.73752183026249</v>
      </c>
      <c r="Q7" s="15">
        <f>SUM($A$5:Q5)</f>
        <v>1014.4946562172754</v>
      </c>
      <c r="R7" s="15">
        <f>SUM($A$5:R5)</f>
        <v>1451.727358390704</v>
      </c>
      <c r="S7" s="15">
        <f>SUM($A$5:S5)</f>
        <v>2076.9701224987066</v>
      </c>
      <c r="T7" s="15">
        <f>SUM($A$5:T5)</f>
        <v>2971.0672751731508</v>
      </c>
      <c r="U7" s="15">
        <f>SUM($A$5:U5)</f>
        <v>4249.6262034976062</v>
      </c>
      <c r="V7" s="15">
        <f>SUM($A$5:V5)</f>
        <v>6077.9654710015766</v>
      </c>
      <c r="W7" s="15">
        <f>SUM($A$5:W5)</f>
        <v>8692.4906235322542</v>
      </c>
      <c r="X7" s="15">
        <f>SUM($A$5:X5)</f>
        <v>12431.261591651124</v>
      </c>
      <c r="Y7" s="15">
        <f>SUM($A$5:Y5)</f>
        <v>17777.704076061105</v>
      </c>
      <c r="Z7" s="15">
        <f>SUM($A$5:Z5)</f>
        <v>25423.116828767379</v>
      </c>
      <c r="AA7" s="15">
        <f>SUM($A$5:AA5)</f>
        <v>36356.057065137356</v>
      </c>
      <c r="AB7" s="15">
        <f>SUM($A$5:AB5)</f>
        <v>51990.161603146422</v>
      </c>
      <c r="AC7" s="15">
        <f>SUM($A$5:AC5)</f>
        <v>74346.931092499377</v>
      </c>
      <c r="AD7" s="15">
        <f>SUM($A$5:AD5)</f>
        <v>106317.1114622741</v>
      </c>
    </row>
    <row r="8" spans="1:30" x14ac:dyDescent="0.25">
      <c r="A8" s="1" t="s">
        <v>735</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736</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737</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738</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739</v>
      </c>
      <c r="B14">
        <v>0.3</v>
      </c>
      <c r="C14" t="s">
        <v>740</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2024-07-09T14:25:28Z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