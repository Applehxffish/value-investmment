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力设备\"/>
    </mc:Choice>
  </mc:AlternateContent>
  <bookViews>
    <workbookView xWindow="-120" yWindow="-120" windowWidth="29040" windowHeight="15720"/>
  </bookViews>
  <sheets>
    <sheet name="电力设备" sheetId="7" r:id="rId1"/>
    <sheet name="利基分析" sheetId="15" r:id="rId2"/>
    <sheet name="估值-增速与年化收益" sheetId="14" r:id="rId3"/>
  </sheets>
  <functionGroups builtInGroupCount="18"/>
  <definedNames>
    <definedName name="_xlnm._FilterDatabase" localSheetId="0" hidden="1">电力设备!$BU$1:$BU$125</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 i="14" l="1"/>
  <c r="D13" i="14" s="1"/>
  <c r="E13" i="14" s="1"/>
  <c r="F13" i="14" s="1"/>
  <c r="G13" i="14" s="1"/>
  <c r="H13" i="14" s="1"/>
  <c r="I13" i="14" s="1"/>
  <c r="J13" i="14" s="1"/>
  <c r="K13" i="14" s="1"/>
  <c r="L13" i="14" s="1"/>
  <c r="M13" i="14" s="1"/>
  <c r="N13" i="14" s="1"/>
  <c r="O13" i="14" s="1"/>
  <c r="P13" i="14" s="1"/>
  <c r="Q13" i="14" s="1"/>
  <c r="R13" i="14" s="1"/>
  <c r="S13" i="14" s="1"/>
  <c r="T13" i="14" s="1"/>
  <c r="C12" i="14"/>
  <c r="C11" i="14" s="1"/>
  <c r="B11"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5" i="7"/>
  <c r="C13" i="7"/>
  <c r="C85" i="7"/>
  <c r="C32" i="7"/>
  <c r="A9" i="14" l="1"/>
  <c r="C5" i="14"/>
  <c r="D12" i="14"/>
  <c r="B7" i="14"/>
  <c r="B9" i="14" s="1"/>
  <c r="C7" i="14"/>
  <c r="C9" i="14" s="1"/>
  <c r="AD3" i="15"/>
  <c r="AC3" i="15"/>
  <c r="AB3" i="15"/>
  <c r="AA3" i="15"/>
  <c r="Z3" i="15"/>
  <c r="Y3" i="15"/>
  <c r="X3" i="15"/>
  <c r="W3" i="15"/>
  <c r="V3" i="15"/>
  <c r="U3" i="15"/>
  <c r="T3" i="15"/>
  <c r="S3" i="15"/>
  <c r="M3" i="15"/>
  <c r="L3" i="15"/>
  <c r="K3" i="15"/>
  <c r="J3" i="15"/>
  <c r="I3" i="15"/>
  <c r="H3" i="15"/>
  <c r="B3" i="15"/>
  <c r="C3" i="15"/>
  <c r="D3" i="15"/>
  <c r="E3" i="15"/>
  <c r="F3" i="15"/>
  <c r="G3" i="15"/>
  <c r="Z2" i="15"/>
  <c r="AD2" i="15"/>
  <c r="AC2" i="15"/>
  <c r="AB2" i="15"/>
  <c r="AA2" i="15"/>
  <c r="Y2" i="15"/>
  <c r="I2" i="15"/>
  <c r="T2" i="15"/>
  <c r="C2" i="15"/>
  <c r="X2" i="15"/>
  <c r="W2" i="15"/>
  <c r="V2" i="15"/>
  <c r="U2" i="15"/>
  <c r="S2" i="15"/>
  <c r="M2" i="15"/>
  <c r="L2" i="15"/>
  <c r="K2" i="15"/>
  <c r="J2" i="15"/>
  <c r="H2" i="15"/>
  <c r="G2" i="15"/>
  <c r="F2" i="15"/>
  <c r="E2" i="15"/>
  <c r="D2" i="15"/>
  <c r="B2" i="15"/>
  <c r="C65" i="7"/>
  <c r="C11" i="7"/>
  <c r="C91" i="7"/>
  <c r="C50" i="7"/>
  <c r="C5" i="7"/>
  <c r="C96" i="7"/>
  <c r="C71" i="7"/>
  <c r="C66" i="7"/>
  <c r="C112" i="7"/>
  <c r="C69" i="7"/>
  <c r="D11" i="14" l="1"/>
  <c r="E12" i="14"/>
  <c r="D5" i="14"/>
  <c r="AE3" i="15"/>
  <c r="AF3" i="15" s="1"/>
  <c r="N3" i="15"/>
  <c r="O3" i="15" s="1"/>
  <c r="AE2" i="15"/>
  <c r="E5" i="14" l="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F12" i="14"/>
  <c r="E11" i="14"/>
  <c r="D7" i="14"/>
  <c r="D9" i="14" s="1"/>
  <c r="AG3" i="15"/>
  <c r="P3" i="15"/>
  <c r="AG2" i="15"/>
  <c r="AF2" i="15"/>
  <c r="N2" i="15"/>
  <c r="C108" i="7"/>
  <c r="C118" i="7"/>
  <c r="C105" i="7"/>
  <c r="C100" i="7"/>
  <c r="C95" i="7"/>
  <c r="C84" i="7"/>
  <c r="C79" i="7"/>
  <c r="C76" i="7"/>
  <c r="C72" i="7"/>
  <c r="C67" i="7"/>
  <c r="C64" i="7"/>
  <c r="C62" i="7"/>
  <c r="C61" i="7"/>
  <c r="C54" i="7"/>
  <c r="C49" i="7"/>
  <c r="C44" i="7"/>
  <c r="C39" i="7"/>
  <c r="C35" i="7"/>
  <c r="C30" i="7"/>
  <c r="C28" i="7"/>
  <c r="C19" i="7"/>
  <c r="C7" i="7"/>
  <c r="C21" i="7"/>
  <c r="C16" i="7"/>
  <c r="C68" i="7"/>
  <c r="C52" i="7"/>
  <c r="C45" i="7"/>
  <c r="C40" i="7"/>
  <c r="C29" i="7"/>
  <c r="C22" i="7"/>
  <c r="C14" i="7"/>
  <c r="C2" i="7"/>
  <c r="C117" i="7"/>
  <c r="C113" i="7"/>
  <c r="C110" i="7"/>
  <c r="C104" i="7"/>
  <c r="C99" i="7"/>
  <c r="C97" i="7"/>
  <c r="C94" i="7"/>
  <c r="C90" i="7"/>
  <c r="C87" i="7"/>
  <c r="C83" i="7"/>
  <c r="C81" i="7"/>
  <c r="C75" i="7"/>
  <c r="C73" i="7"/>
  <c r="C60" i="7"/>
  <c r="C56" i="7"/>
  <c r="C53" i="7"/>
  <c r="C51" i="7"/>
  <c r="C47" i="7"/>
  <c r="C41" i="7"/>
  <c r="C34" i="7"/>
  <c r="C26" i="7"/>
  <c r="C24" i="7"/>
  <c r="C17" i="7"/>
  <c r="C10" i="7"/>
  <c r="C4" i="7"/>
  <c r="C23" i="7"/>
  <c r="C12" i="7"/>
  <c r="C3" i="7"/>
  <c r="C119" i="7"/>
  <c r="C109" i="7"/>
  <c r="C107" i="7"/>
  <c r="C101" i="7"/>
  <c r="C88" i="7"/>
  <c r="C48" i="7"/>
  <c r="C31" i="7"/>
  <c r="C20" i="7"/>
  <c r="C6" i="7"/>
  <c r="C116" i="7"/>
  <c r="C114" i="7"/>
  <c r="C111" i="7"/>
  <c r="C103" i="7"/>
  <c r="C102" i="7"/>
  <c r="C98" i="7"/>
  <c r="C93" i="7"/>
  <c r="C92" i="7"/>
  <c r="C89" i="7"/>
  <c r="C86" i="7"/>
  <c r="C82" i="7"/>
  <c r="C80" i="7"/>
  <c r="C74" i="7"/>
  <c r="C70" i="7"/>
  <c r="C59" i="7"/>
  <c r="C58" i="7"/>
  <c r="C46" i="7"/>
  <c r="C38" i="7"/>
  <c r="C33" i="7"/>
  <c r="C18" i="7"/>
  <c r="C9" i="7"/>
  <c r="C115" i="7"/>
  <c r="C63" i="7"/>
  <c r="C57" i="7"/>
  <c r="C43" i="7"/>
  <c r="C42" i="7"/>
  <c r="C25" i="7"/>
  <c r="C8" i="7"/>
  <c r="F7" i="14" l="1"/>
  <c r="F9" i="14" s="1"/>
  <c r="AA7" i="14"/>
  <c r="AA9" i="14" s="1"/>
  <c r="F11" i="14"/>
  <c r="G12" i="14"/>
  <c r="T7" i="14"/>
  <c r="T9" i="14" s="1"/>
  <c r="R7" i="14"/>
  <c r="R9" i="14" s="1"/>
  <c r="Z7" i="14"/>
  <c r="Z9" i="14" s="1"/>
  <c r="S7" i="14"/>
  <c r="S9" i="14" s="1"/>
  <c r="G7" i="14"/>
  <c r="G9" i="14" s="1"/>
  <c r="H7" i="14"/>
  <c r="H9" i="14" s="1"/>
  <c r="Q7" i="14"/>
  <c r="Q9" i="14" s="1"/>
  <c r="L7" i="14"/>
  <c r="L9" i="14" s="1"/>
  <c r="O7" i="14"/>
  <c r="O9" i="14" s="1"/>
  <c r="J7" i="14"/>
  <c r="J9" i="14" s="1"/>
  <c r="X7" i="14"/>
  <c r="X9" i="14" s="1"/>
  <c r="M7" i="14"/>
  <c r="M9" i="14" s="1"/>
  <c r="U7" i="14"/>
  <c r="U9" i="14" s="1"/>
  <c r="V7" i="14"/>
  <c r="V9" i="14" s="1"/>
  <c r="Y7" i="14"/>
  <c r="Y9" i="14" s="1"/>
  <c r="AC7" i="14"/>
  <c r="AC9" i="14" s="1"/>
  <c r="AD7" i="14"/>
  <c r="AD9" i="14" s="1"/>
  <c r="K7" i="14"/>
  <c r="K9" i="14" s="1"/>
  <c r="E7" i="14"/>
  <c r="E9" i="14" s="1"/>
  <c r="I7" i="14"/>
  <c r="I9" i="14" s="1"/>
  <c r="W7" i="14"/>
  <c r="W9" i="14" s="1"/>
  <c r="P7" i="14"/>
  <c r="P9" i="14" s="1"/>
  <c r="AB7" i="14"/>
  <c r="AB9" i="14" s="1"/>
  <c r="N7" i="14"/>
  <c r="N9" i="14" s="1"/>
  <c r="O2" i="15"/>
  <c r="P2" i="15"/>
  <c r="H12" i="14" l="1"/>
  <c r="G11" i="14"/>
  <c r="H11" i="14" l="1"/>
  <c r="I12" i="14"/>
  <c r="J12" i="14" l="1"/>
  <c r="I11" i="14"/>
  <c r="J11" i="14" l="1"/>
  <c r="K12" i="14"/>
  <c r="K11" i="14" l="1"/>
  <c r="L12" i="14"/>
  <c r="L11" i="14" l="1"/>
  <c r="M12" i="14"/>
  <c r="N12" i="14" l="1"/>
  <c r="M11" i="14"/>
  <c r="O12" i="14" l="1"/>
  <c r="N11" i="14"/>
  <c r="P12" i="14" l="1"/>
  <c r="O11" i="14"/>
  <c r="P11" i="14" l="1"/>
  <c r="Q12" i="14"/>
  <c r="R12" i="14" l="1"/>
  <c r="Q11" i="14"/>
  <c r="R11" i="14" l="1"/>
  <c r="S12" i="14"/>
  <c r="S11" i="14" l="1"/>
  <c r="T12" i="14"/>
  <c r="T11" i="14" s="1"/>
</calcChain>
</file>

<file path=xl/sharedStrings.xml><?xml version="1.0" encoding="utf-8"?>
<sst xmlns="http://schemas.openxmlformats.org/spreadsheetml/2006/main" count="6698" uniqueCount="4318">
  <si>
    <t>现价</t>
  </si>
  <si>
    <t>市净率</t>
  </si>
  <si>
    <t>--</t>
  </si>
  <si>
    <t>9.33亿</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</si>
  <si>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</si>
  <si>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</si>
  <si>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</si>
  <si>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</si>
  <si>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</si>
  <si>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</si>
  <si>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</si>
  <si>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</si>
  <si>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</si>
  <si>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</si>
  <si>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</si>
  <si>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</si>
  <si>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</si>
  <si>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</si>
  <si>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2.78亿</t>
  </si>
  <si>
    <t>3.33亿</t>
  </si>
  <si>
    <t>5.02亿</t>
  </si>
  <si>
    <t>3.53亿</t>
  </si>
  <si>
    <t>3.31亿</t>
  </si>
  <si>
    <t>0亿</t>
  </si>
  <si>
    <t>12.43亿</t>
  </si>
  <si>
    <t>1.23亿</t>
  </si>
  <si>
    <t>3.03亿</t>
  </si>
  <si>
    <t>1.53亿</t>
  </si>
  <si>
    <t>9.84亿</t>
  </si>
  <si>
    <t>9.14亿</t>
  </si>
  <si>
    <t>11.09亿</t>
  </si>
  <si>
    <t>2.37亿</t>
  </si>
  <si>
    <t>6.99亿</t>
  </si>
  <si>
    <t>1.18亿</t>
  </si>
  <si>
    <t>7.79亿</t>
  </si>
  <si>
    <t>4.11亿</t>
  </si>
  <si>
    <t>2.75亿</t>
  </si>
  <si>
    <t>1.94亿</t>
  </si>
  <si>
    <t>1.38亿</t>
  </si>
  <si>
    <t>5.85亿</t>
  </si>
  <si>
    <t>1.66亿</t>
  </si>
  <si>
    <t>1.95亿</t>
  </si>
  <si>
    <t>1.49亿</t>
  </si>
  <si>
    <t>3.30亿</t>
  </si>
  <si>
    <t>8.28亿</t>
  </si>
  <si>
    <t>2.22亿</t>
  </si>
  <si>
    <t>7.51亿</t>
  </si>
  <si>
    <t>1.74亿</t>
  </si>
  <si>
    <t>14.59亿</t>
  </si>
  <si>
    <t>1.03亿</t>
  </si>
  <si>
    <t>26.15亿</t>
  </si>
  <si>
    <t>3.51亿</t>
  </si>
  <si>
    <t>1.81亿</t>
  </si>
  <si>
    <t>1.29亿</t>
  </si>
  <si>
    <t>7.55亿</t>
  </si>
  <si>
    <t>1.71亿</t>
  </si>
  <si>
    <t>4.29亿</t>
  </si>
  <si>
    <t>5.00亿</t>
  </si>
  <si>
    <t>1.19亿</t>
  </si>
  <si>
    <t>1.21亿</t>
  </si>
  <si>
    <t>7.37亿</t>
  </si>
  <si>
    <t>1.44亿</t>
  </si>
  <si>
    <t>3.34亿</t>
  </si>
  <si>
    <t>8.04亿</t>
  </si>
  <si>
    <t>7.24亿</t>
  </si>
  <si>
    <t>7.21亿</t>
  </si>
  <si>
    <t>2.11亿</t>
  </si>
  <si>
    <t>1.31亿</t>
  </si>
  <si>
    <t>1.12亿</t>
  </si>
  <si>
    <t>1.33亿</t>
  </si>
  <si>
    <t>2.63亿</t>
  </si>
  <si>
    <t>4.21亿</t>
  </si>
  <si>
    <t>1.27亿</t>
  </si>
  <si>
    <t>4.65亿</t>
  </si>
  <si>
    <t>20.19亿</t>
  </si>
  <si>
    <t>1.56亿</t>
  </si>
  <si>
    <t>2.64亿</t>
  </si>
  <si>
    <t>1.04亿</t>
  </si>
  <si>
    <t>1.52亿</t>
  </si>
  <si>
    <t>5.17亿</t>
  </si>
  <si>
    <t>4.64亿</t>
  </si>
  <si>
    <t>2.68亿</t>
  </si>
  <si>
    <t>1.28亿</t>
  </si>
  <si>
    <t>4.57亿</t>
  </si>
  <si>
    <t>2.29亿</t>
  </si>
  <si>
    <t>1.80亿</t>
  </si>
  <si>
    <t>1.59亿</t>
  </si>
  <si>
    <t>1.22亿</t>
  </si>
  <si>
    <t>25.69亿</t>
  </si>
  <si>
    <t>3.93亿</t>
  </si>
  <si>
    <t>2.49亿</t>
  </si>
  <si>
    <t>2.52亿</t>
  </si>
  <si>
    <t>1.72亿</t>
  </si>
  <si>
    <t>1.93亿</t>
  </si>
  <si>
    <t>4.77亿</t>
  </si>
  <si>
    <t>4.15亿</t>
  </si>
  <si>
    <t>3.68亿</t>
  </si>
  <si>
    <t>1.41亿</t>
  </si>
  <si>
    <t>2.60亿</t>
  </si>
  <si>
    <t>1.10亿</t>
  </si>
  <si>
    <t>1.00亿</t>
  </si>
  <si>
    <t>2.02亿</t>
  </si>
  <si>
    <t>1.24亿</t>
  </si>
  <si>
    <t>1.85亿</t>
  </si>
  <si>
    <t>4.66亿</t>
  </si>
  <si>
    <t>3.66亿</t>
  </si>
  <si>
    <t>1.40亿</t>
  </si>
  <si>
    <t>1.14亿</t>
  </si>
  <si>
    <t>5.12亿</t>
  </si>
  <si>
    <t>1.08亿</t>
  </si>
  <si>
    <t>2.88亿</t>
  </si>
  <si>
    <t>2.84亿</t>
  </si>
  <si>
    <t>4.60亿</t>
  </si>
  <si>
    <t>1.54亿</t>
  </si>
  <si>
    <t>1.06亿</t>
  </si>
  <si>
    <t>5.21亿</t>
  </si>
  <si>
    <t>1.55亿</t>
  </si>
  <si>
    <t>2.31亿</t>
  </si>
  <si>
    <t>3.96亿</t>
  </si>
  <si>
    <t>3.27亿</t>
  </si>
  <si>
    <t>4.26亿</t>
  </si>
  <si>
    <t>1.77亿</t>
  </si>
  <si>
    <t>1.46亿</t>
  </si>
  <si>
    <t>1.64亿</t>
  </si>
  <si>
    <t>1.30亿</t>
  </si>
  <si>
    <t>1.35亿</t>
  </si>
  <si>
    <t>5.54亿</t>
  </si>
  <si>
    <t>3.22亿</t>
  </si>
  <si>
    <t>2.18亿</t>
  </si>
  <si>
    <t>2.71亿</t>
  </si>
  <si>
    <t>1.69亿</t>
  </si>
  <si>
    <t>1.16亿</t>
  </si>
  <si>
    <t>3.23亿</t>
  </si>
  <si>
    <t>2.91亿</t>
  </si>
  <si>
    <t>1.20亿</t>
  </si>
  <si>
    <t>2.40亿</t>
  </si>
  <si>
    <t>1.26亿</t>
  </si>
  <si>
    <t>4.73亿</t>
  </si>
  <si>
    <t>5.87亿</t>
  </si>
  <si>
    <t>2.86亿</t>
  </si>
  <si>
    <t>3.37亿</t>
  </si>
  <si>
    <t>1.73亿</t>
  </si>
  <si>
    <t>3.81亿</t>
  </si>
  <si>
    <t>3.88亿</t>
  </si>
  <si>
    <t>1.05亿</t>
  </si>
  <si>
    <t>2.58亿</t>
  </si>
  <si>
    <t>2.94亿</t>
  </si>
  <si>
    <t>1.88亿</t>
  </si>
  <si>
    <t>1.01亿</t>
  </si>
  <si>
    <t>1.60亿</t>
  </si>
  <si>
    <t>3.56亿</t>
  </si>
  <si>
    <t>1.15亿</t>
  </si>
  <si>
    <t>6.62亿</t>
  </si>
  <si>
    <t>6.02亿</t>
  </si>
  <si>
    <t>4.28亿</t>
  </si>
  <si>
    <t>3.47亿</t>
  </si>
  <si>
    <t>3.07亿</t>
  </si>
  <si>
    <t>1.57亿</t>
  </si>
  <si>
    <t>7.94亿</t>
  </si>
  <si>
    <t>2.32亿</t>
  </si>
  <si>
    <t>1.36亿</t>
  </si>
  <si>
    <t>2.70亿</t>
  </si>
  <si>
    <t>2.79亿</t>
  </si>
  <si>
    <t>2.30亿</t>
  </si>
  <si>
    <t>4.58亿</t>
  </si>
  <si>
    <t>1.62亿</t>
  </si>
  <si>
    <t>2.35亿</t>
  </si>
  <si>
    <t>2.44亿</t>
  </si>
  <si>
    <t>1.84亿</t>
  </si>
  <si>
    <t>1.02亿</t>
  </si>
  <si>
    <t>2.10亿</t>
  </si>
  <si>
    <t>8.48亿</t>
  </si>
  <si>
    <t>3.14亿</t>
  </si>
  <si>
    <t>4.23亿</t>
  </si>
  <si>
    <t>1.65亿</t>
  </si>
  <si>
    <t>7.16亿</t>
  </si>
  <si>
    <t>4.30亿</t>
  </si>
  <si>
    <t>1.07亿</t>
  </si>
  <si>
    <t>4.32亿</t>
  </si>
  <si>
    <t>4.37亿</t>
  </si>
  <si>
    <t>2.48亿</t>
  </si>
  <si>
    <t>1.51亿</t>
  </si>
  <si>
    <t>5.84亿</t>
  </si>
  <si>
    <t>1.42亿</t>
  </si>
  <si>
    <t>9.93亿</t>
  </si>
  <si>
    <t>2.97亿</t>
  </si>
  <si>
    <t>2.36亿</t>
  </si>
  <si>
    <t>1.37亿</t>
  </si>
  <si>
    <t>2.95亿</t>
  </si>
  <si>
    <t>2.81亿</t>
  </si>
  <si>
    <t>3.65亿</t>
  </si>
  <si>
    <t>2.00亿</t>
  </si>
  <si>
    <t>5.29亿</t>
  </si>
  <si>
    <t>2.43亿</t>
  </si>
  <si>
    <t>6.07亿</t>
  </si>
  <si>
    <t>4.90亿</t>
  </si>
  <si>
    <t>4.01亿</t>
  </si>
  <si>
    <t>2.61亿</t>
  </si>
  <si>
    <t>1.61亿</t>
  </si>
  <si>
    <t>2.12亿</t>
  </si>
  <si>
    <t>3.21亿</t>
  </si>
  <si>
    <t>13.07亿</t>
  </si>
  <si>
    <t>3.25亿</t>
  </si>
  <si>
    <t>2.26亿</t>
  </si>
  <si>
    <t>6.06亿</t>
  </si>
  <si>
    <t>1.58亿</t>
  </si>
  <si>
    <t>2.24亿</t>
  </si>
  <si>
    <t>1.70亿</t>
  </si>
  <si>
    <t>3.15亿</t>
  </si>
  <si>
    <t>5.60亿</t>
  </si>
  <si>
    <t>4.25亿</t>
  </si>
  <si>
    <t>3.38亿</t>
  </si>
  <si>
    <t>3.42亿</t>
  </si>
  <si>
    <t>1.50亿</t>
  </si>
  <si>
    <t>5.42亿</t>
  </si>
  <si>
    <t>2.28亿</t>
  </si>
  <si>
    <t>1.45亿</t>
  </si>
  <si>
    <t>3.82亿</t>
  </si>
  <si>
    <t>9.02亿</t>
  </si>
  <si>
    <t>5.69亿</t>
  </si>
  <si>
    <t>1.75亿</t>
  </si>
  <si>
    <t>2.39亿</t>
  </si>
  <si>
    <t>2.45亿</t>
  </si>
  <si>
    <t>1.09亿</t>
  </si>
  <si>
    <t>4.93亿</t>
  </si>
  <si>
    <t>2.23亿</t>
  </si>
  <si>
    <t>6.37亿</t>
  </si>
  <si>
    <t>2.27亿</t>
  </si>
  <si>
    <t>1.43亿</t>
  </si>
  <si>
    <t>10.38亿</t>
  </si>
  <si>
    <t>2.72亿</t>
  </si>
  <si>
    <t>2.19亿</t>
  </si>
  <si>
    <t>9.56亿</t>
  </si>
  <si>
    <t>1.98亿</t>
  </si>
  <si>
    <t>3.10亿</t>
  </si>
  <si>
    <t>流动资产</t>
  </si>
  <si>
    <t>营业收入[20191231]</t>
  </si>
  <si>
    <t>营业收入[20181231]</t>
  </si>
  <si>
    <t>营业收入[20171231]</t>
  </si>
  <si>
    <t>净利润[20191231]</t>
  </si>
  <si>
    <t>净利润[20181231]</t>
  </si>
  <si>
    <t>净利润[20171231]</t>
  </si>
  <si>
    <t>2.96亿</t>
  </si>
  <si>
    <t>6.92亿</t>
  </si>
  <si>
    <t>2.34亿</t>
  </si>
  <si>
    <t>6.19亿</t>
  </si>
  <si>
    <t>6.70亿</t>
  </si>
  <si>
    <t>36.81亿</t>
  </si>
  <si>
    <t>3.26亿</t>
  </si>
  <si>
    <t>-2.46亿</t>
  </si>
  <si>
    <t>3.01亿</t>
  </si>
  <si>
    <t>2.55亿</t>
  </si>
  <si>
    <t>1.87亿</t>
  </si>
  <si>
    <t>2.06亿</t>
  </si>
  <si>
    <t>1.68亿</t>
  </si>
  <si>
    <t>-2.79亿</t>
  </si>
  <si>
    <t>4.44亿</t>
  </si>
  <si>
    <t>5.34亿</t>
  </si>
  <si>
    <t>12.95亿</t>
  </si>
  <si>
    <t>1.83亿</t>
  </si>
  <si>
    <t>3.11亿</t>
  </si>
  <si>
    <t>12.31亿</t>
  </si>
  <si>
    <t>3.18亿</t>
  </si>
  <si>
    <t>6.01亿</t>
  </si>
  <si>
    <t>2.76亿</t>
  </si>
  <si>
    <t>1.89亿</t>
  </si>
  <si>
    <t>4.17亿</t>
  </si>
  <si>
    <t>7.26亿</t>
  </si>
  <si>
    <t>6.61亿</t>
  </si>
  <si>
    <t>1.17亿</t>
  </si>
  <si>
    <t>10.53亿</t>
  </si>
  <si>
    <t>6.68亿</t>
  </si>
  <si>
    <t>4.83亿</t>
  </si>
  <si>
    <t>1.78亿</t>
  </si>
  <si>
    <t>6.63亿</t>
  </si>
  <si>
    <t>3.85亿</t>
  </si>
  <si>
    <t>2.51亿</t>
  </si>
  <si>
    <t>6.95亿</t>
  </si>
  <si>
    <t>5.44亿</t>
  </si>
  <si>
    <t>1.63亿</t>
  </si>
  <si>
    <t>5.82亿</t>
  </si>
  <si>
    <t>5.58亿</t>
  </si>
  <si>
    <t>12.80亿</t>
  </si>
  <si>
    <t>4.76亿</t>
  </si>
  <si>
    <t>10.97亿</t>
  </si>
  <si>
    <t>5.47亿</t>
  </si>
  <si>
    <t>3.91亿</t>
  </si>
  <si>
    <t>3.87亿</t>
  </si>
  <si>
    <t>6.14亿</t>
  </si>
  <si>
    <t>5.71亿</t>
  </si>
  <si>
    <t>2.07亿</t>
  </si>
  <si>
    <t>7.05亿</t>
  </si>
  <si>
    <t>-1.75亿</t>
  </si>
  <si>
    <t>2.25亿</t>
  </si>
  <si>
    <t>7.02亿</t>
  </si>
  <si>
    <t>16.52亿</t>
  </si>
  <si>
    <t>2.03亿</t>
  </si>
  <si>
    <t>6.52亿</t>
  </si>
  <si>
    <t>4.10亿</t>
  </si>
  <si>
    <t>9.34亿</t>
  </si>
  <si>
    <t>4.43亿</t>
  </si>
  <si>
    <t>2.93亿</t>
  </si>
  <si>
    <t>5.96亿</t>
  </si>
  <si>
    <t>2.67亿</t>
  </si>
  <si>
    <t>2.98亿</t>
  </si>
  <si>
    <t>2.73亿</t>
  </si>
  <si>
    <t>18.36亿</t>
  </si>
  <si>
    <t>2.89亿</t>
  </si>
  <si>
    <t>2.66亿</t>
  </si>
  <si>
    <t>1.32亿</t>
  </si>
  <si>
    <t>13.11亿</t>
  </si>
  <si>
    <t>9.96亿</t>
  </si>
  <si>
    <t>1.96亿</t>
  </si>
  <si>
    <t>6.39亿</t>
  </si>
  <si>
    <t>2.13亿</t>
  </si>
  <si>
    <t>8.96亿</t>
  </si>
  <si>
    <t>3.44亿</t>
  </si>
  <si>
    <t>5.32亿</t>
  </si>
  <si>
    <t>6.69亿</t>
  </si>
  <si>
    <t>4.02亿</t>
  </si>
  <si>
    <t>3.17亿</t>
  </si>
  <si>
    <t>5.68亿</t>
  </si>
  <si>
    <t>2.41亿</t>
  </si>
  <si>
    <t>1.76亿</t>
  </si>
  <si>
    <t>8.43亿</t>
  </si>
  <si>
    <t>4.03亿</t>
  </si>
  <si>
    <t>7.29亿</t>
  </si>
  <si>
    <t>11.40亿</t>
  </si>
  <si>
    <t>7.57亿</t>
  </si>
  <si>
    <t>4.35亿</t>
  </si>
  <si>
    <t>7.98亿</t>
  </si>
  <si>
    <t>15.75亿</t>
  </si>
  <si>
    <t>3.24亿</t>
  </si>
  <si>
    <t>1.99亿</t>
  </si>
  <si>
    <t>10.25亿</t>
  </si>
  <si>
    <t>13.40亿</t>
  </si>
  <si>
    <t>3.04亿</t>
  </si>
  <si>
    <t>9.80亿</t>
  </si>
  <si>
    <t>4.45亿</t>
  </si>
  <si>
    <t>10.30亿</t>
  </si>
  <si>
    <t>4.51亿</t>
  </si>
  <si>
    <t>3.63亿</t>
  </si>
  <si>
    <t>5.01亿</t>
  </si>
  <si>
    <t>3.06亿</t>
  </si>
  <si>
    <t>7.78亿</t>
  </si>
  <si>
    <t>5.93亿</t>
  </si>
  <si>
    <t>3.45亿</t>
  </si>
  <si>
    <t>8.39亿</t>
  </si>
  <si>
    <t>3.40亿</t>
  </si>
  <si>
    <t>4.54亿</t>
  </si>
  <si>
    <t>4.72亿</t>
  </si>
  <si>
    <t>4.06亿</t>
  </si>
  <si>
    <t>3.29亿</t>
  </si>
  <si>
    <t>11.95亿</t>
  </si>
  <si>
    <t>2.20亿</t>
  </si>
  <si>
    <t>5.49亿</t>
  </si>
  <si>
    <t>3.57亿</t>
  </si>
  <si>
    <t>6.97亿</t>
  </si>
  <si>
    <t>1.13亿</t>
  </si>
  <si>
    <t>6.00亿</t>
  </si>
  <si>
    <t>-1.99亿</t>
  </si>
  <si>
    <t>5.06亿</t>
  </si>
  <si>
    <t>6.84亿</t>
  </si>
  <si>
    <t>4.50亿</t>
  </si>
  <si>
    <t>4.52亿</t>
  </si>
  <si>
    <t>2.01亿</t>
  </si>
  <si>
    <t>9.72亿</t>
  </si>
  <si>
    <t>11.42亿</t>
  </si>
  <si>
    <t>2.21亿</t>
  </si>
  <si>
    <t>8.02亿</t>
  </si>
  <si>
    <t>5.41亿</t>
  </si>
  <si>
    <t>7.01亿</t>
  </si>
  <si>
    <t>8.87亿</t>
  </si>
  <si>
    <t>2.42亿</t>
  </si>
  <si>
    <t>4.38亿</t>
  </si>
  <si>
    <t>5.13亿</t>
  </si>
  <si>
    <t>2.09亿</t>
  </si>
  <si>
    <t>4.87亿</t>
  </si>
  <si>
    <t>3.83亿</t>
  </si>
  <si>
    <t>7.71亿</t>
  </si>
  <si>
    <t>19.04亿</t>
  </si>
  <si>
    <t>1.48亿</t>
  </si>
  <si>
    <t>7.66亿</t>
  </si>
  <si>
    <t>-1.48亿</t>
  </si>
  <si>
    <t>3.76亿</t>
  </si>
  <si>
    <t>2.38亿</t>
  </si>
  <si>
    <t>5.50亿</t>
  </si>
  <si>
    <t>5.22亿</t>
  </si>
  <si>
    <t>3.36亿</t>
  </si>
  <si>
    <t>11.59亿</t>
  </si>
  <si>
    <t>2.74亿</t>
  </si>
  <si>
    <t>1.82亿</t>
  </si>
  <si>
    <t>9.09亿</t>
  </si>
  <si>
    <t>3.59亿</t>
  </si>
  <si>
    <t>2.57亿</t>
  </si>
  <si>
    <t>2.46亿</t>
  </si>
  <si>
    <t>6.51亿</t>
  </si>
  <si>
    <t>3.08亿</t>
  </si>
  <si>
    <t>5.63亿</t>
  </si>
  <si>
    <t>22.85亿</t>
  </si>
  <si>
    <t>6.71亿</t>
  </si>
  <si>
    <t>6.85亿</t>
  </si>
  <si>
    <t>8.32亿</t>
  </si>
  <si>
    <t>5.75亿</t>
  </si>
  <si>
    <t>2.14亿</t>
  </si>
  <si>
    <t>2.47亿</t>
  </si>
  <si>
    <t>5.59亿</t>
  </si>
  <si>
    <t>3.62亿</t>
  </si>
  <si>
    <t>2.99亿</t>
  </si>
  <si>
    <t>5.05亿</t>
  </si>
  <si>
    <t>2000.00万</t>
  </si>
  <si>
    <t>8.56亿</t>
  </si>
  <si>
    <t>6.74亿</t>
  </si>
  <si>
    <t>4.27亿</t>
  </si>
  <si>
    <t>1.34亿</t>
  </si>
  <si>
    <t>1.39亿</t>
  </si>
  <si>
    <t>3.09亿</t>
  </si>
  <si>
    <t>20.83亿</t>
  </si>
  <si>
    <t>2.33亿</t>
  </si>
  <si>
    <t>4.91亿</t>
  </si>
  <si>
    <t>3.92亿</t>
  </si>
  <si>
    <t>7.68亿</t>
  </si>
  <si>
    <t>1.11亿</t>
  </si>
  <si>
    <t>4.41亿</t>
  </si>
  <si>
    <t>2.82亿</t>
  </si>
  <si>
    <t>25.46亿</t>
  </si>
  <si>
    <t>6.50亿</t>
  </si>
  <si>
    <t>6.35亿</t>
  </si>
  <si>
    <t>9.08亿</t>
  </si>
  <si>
    <t>5.26亿</t>
  </si>
  <si>
    <t>8.06亿</t>
  </si>
  <si>
    <t>11.98亿</t>
  </si>
  <si>
    <t>10.89亿</t>
  </si>
  <si>
    <t>3.77亿</t>
  </si>
  <si>
    <t>16.50亿</t>
  </si>
  <si>
    <t>1.90亿</t>
  </si>
  <si>
    <t>3.55亿</t>
  </si>
  <si>
    <t>3.80亿</t>
  </si>
  <si>
    <t>7.32亿</t>
  </si>
  <si>
    <t>12.21亿</t>
  </si>
  <si>
    <t>5.08亿</t>
  </si>
  <si>
    <t>6.04亿</t>
  </si>
  <si>
    <t>-1.01亿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</si>
  <si>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</si>
  <si>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</si>
  <si>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</si>
  <si>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</si>
  <si>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</si>
  <si>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</si>
  <si>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</si>
  <si>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</si>
  <si>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</si>
  <si>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</si>
  <si>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</si>
  <si>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</si>
  <si>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</si>
  <si>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</si>
  <si>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</si>
  <si>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4.33亿</t>
  </si>
  <si>
    <t>3.72亿</t>
  </si>
  <si>
    <t>1.25亿</t>
  </si>
  <si>
    <t>5.74亿</t>
  </si>
  <si>
    <t>8.71亿</t>
  </si>
  <si>
    <t>4.16亿</t>
  </si>
  <si>
    <t>2.56亿</t>
  </si>
  <si>
    <t>1.92亿</t>
  </si>
  <si>
    <t>3.41亿</t>
  </si>
  <si>
    <t>1.97亿</t>
  </si>
  <si>
    <t>3.48亿</t>
  </si>
  <si>
    <t>销售毛利率%[20201231]</t>
  </si>
  <si>
    <t>销售净利率%[20201231]</t>
  </si>
  <si>
    <t>5.57亿</t>
  </si>
  <si>
    <t>11.74亿</t>
  </si>
  <si>
    <t>1.86亿</t>
  </si>
  <si>
    <t>2.54亿</t>
  </si>
  <si>
    <t>5.10亿</t>
  </si>
  <si>
    <t>15.07亿</t>
  </si>
  <si>
    <t>3.02亿</t>
  </si>
  <si>
    <t>61.80亿</t>
  </si>
  <si>
    <t>12.50亿</t>
  </si>
  <si>
    <t>2.80亿</t>
  </si>
  <si>
    <t>3.49亿</t>
  </si>
  <si>
    <t>10.78亿</t>
  </si>
  <si>
    <t>4.98亿</t>
  </si>
  <si>
    <t>9.74亿</t>
  </si>
  <si>
    <t>4.86亿</t>
  </si>
  <si>
    <t>18.55亿</t>
  </si>
  <si>
    <t>5.61亿</t>
  </si>
  <si>
    <t>6.13亿</t>
  </si>
  <si>
    <t>11.97亿</t>
  </si>
  <si>
    <t>4.74亿</t>
  </si>
  <si>
    <t>6.56亿</t>
  </si>
  <si>
    <t>2.90亿</t>
  </si>
  <si>
    <t>3.69亿</t>
  </si>
  <si>
    <t>6.03亿</t>
  </si>
  <si>
    <t>5.18亿</t>
  </si>
  <si>
    <t>49.31亿</t>
  </si>
  <si>
    <t>73.73亿</t>
  </si>
  <si>
    <t>14.76亿</t>
  </si>
  <si>
    <t>2.87亿</t>
  </si>
  <si>
    <t>4.95亿</t>
  </si>
  <si>
    <t>2.62亿</t>
  </si>
  <si>
    <t>12.78亿</t>
  </si>
  <si>
    <t>10.92亿</t>
  </si>
  <si>
    <t>5.33亿</t>
  </si>
  <si>
    <t>10.35亿</t>
  </si>
  <si>
    <t>4.22亿</t>
  </si>
  <si>
    <t>5.37亿</t>
  </si>
  <si>
    <t>3.20亿</t>
  </si>
  <si>
    <t>10.10亿</t>
  </si>
  <si>
    <t>16.22亿</t>
  </si>
  <si>
    <t>12.20亿</t>
  </si>
  <si>
    <t>21.77亿</t>
  </si>
  <si>
    <t>5.31亿</t>
  </si>
  <si>
    <t>43.43亿</t>
  </si>
  <si>
    <t>7.03亿</t>
  </si>
  <si>
    <t>5.11亿</t>
  </si>
  <si>
    <t>7.43亿</t>
  </si>
  <si>
    <t>4.13亿</t>
  </si>
  <si>
    <t>15.40亿</t>
  </si>
  <si>
    <t>2.04亿</t>
  </si>
  <si>
    <t>8.94亿</t>
  </si>
  <si>
    <t>9.42亿</t>
  </si>
  <si>
    <t>29.40亿</t>
  </si>
  <si>
    <t>2.15亿</t>
  </si>
  <si>
    <t>30.25亿</t>
  </si>
  <si>
    <t>15.81亿</t>
  </si>
  <si>
    <t>3.73亿</t>
  </si>
  <si>
    <t>10.73亿</t>
  </si>
  <si>
    <t>10.63亿</t>
  </si>
  <si>
    <t>23.40亿</t>
  </si>
  <si>
    <t>14.93亿</t>
  </si>
  <si>
    <t>4.08亿</t>
  </si>
  <si>
    <t>2.50亿</t>
  </si>
  <si>
    <t>4.19亿</t>
  </si>
  <si>
    <t>37.91亿</t>
  </si>
  <si>
    <t>3.50亿</t>
  </si>
  <si>
    <t>13.12亿</t>
  </si>
  <si>
    <t>8.92亿</t>
  </si>
  <si>
    <t>12.22亿</t>
  </si>
  <si>
    <t>4.81亿</t>
  </si>
  <si>
    <t>5.43亿</t>
  </si>
  <si>
    <t>4.48亿</t>
  </si>
  <si>
    <t>2.77亿</t>
  </si>
  <si>
    <t>4.59亿</t>
  </si>
  <si>
    <t>10.04亿</t>
  </si>
  <si>
    <t>7.20亿</t>
  </si>
  <si>
    <t>2.16亿</t>
  </si>
  <si>
    <t>1.79亿</t>
  </si>
  <si>
    <t>3.43亿</t>
  </si>
  <si>
    <t>2.65亿</t>
  </si>
  <si>
    <t>8.70亿</t>
  </si>
  <si>
    <t>19.05亿</t>
  </si>
  <si>
    <t>4.71亿</t>
  </si>
  <si>
    <t>7.04亿</t>
  </si>
  <si>
    <t>17.01亿</t>
  </si>
  <si>
    <t>4.55亿</t>
  </si>
  <si>
    <t>2.05亿</t>
  </si>
  <si>
    <t>8.49亿</t>
  </si>
  <si>
    <t>5.77亿</t>
  </si>
  <si>
    <t>5.94亿</t>
  </si>
  <si>
    <t>4.67亿</t>
  </si>
  <si>
    <t>4.63亿</t>
  </si>
  <si>
    <t>3.54亿</t>
  </si>
  <si>
    <t>8.08亿</t>
  </si>
  <si>
    <t>3.94亿</t>
  </si>
  <si>
    <t>4.12亿</t>
  </si>
  <si>
    <t>2.83亿</t>
  </si>
  <si>
    <t>3.32亿</t>
  </si>
  <si>
    <t>9.58亿</t>
  </si>
  <si>
    <t>22.49亿</t>
  </si>
  <si>
    <t>5.38亿</t>
  </si>
  <si>
    <t>8.25亿</t>
  </si>
  <si>
    <t>13.32亿</t>
  </si>
  <si>
    <t>7.31亿</t>
  </si>
  <si>
    <t>3.67亿</t>
  </si>
  <si>
    <t>13.74亿</t>
  </si>
  <si>
    <t>6.31亿</t>
  </si>
  <si>
    <t>2.85亿</t>
  </si>
  <si>
    <t>10.00亿</t>
  </si>
  <si>
    <t>6.21亿</t>
  </si>
  <si>
    <t>4.84亿</t>
  </si>
  <si>
    <t>7.19亿</t>
  </si>
  <si>
    <t>4.20亿</t>
  </si>
  <si>
    <t>5.28亿</t>
  </si>
  <si>
    <t>1.67亿</t>
  </si>
  <si>
    <t>5.62亿</t>
  </si>
  <si>
    <t>8.26亿</t>
  </si>
  <si>
    <t>8.47亿</t>
  </si>
  <si>
    <t>6.29亿</t>
  </si>
  <si>
    <t>8.85亿</t>
  </si>
  <si>
    <t>13.96亿</t>
  </si>
  <si>
    <t>10.34亿</t>
  </si>
  <si>
    <t>30.17亿</t>
  </si>
  <si>
    <t>6.65亿</t>
  </si>
  <si>
    <t>7.73亿</t>
  </si>
  <si>
    <t>16.98亿</t>
  </si>
  <si>
    <t>15.21亿</t>
  </si>
  <si>
    <t>4.56亿</t>
  </si>
  <si>
    <t>3.28亿</t>
  </si>
  <si>
    <t>5.48亿</t>
  </si>
  <si>
    <t>13.80亿</t>
  </si>
  <si>
    <t>3.86亿</t>
  </si>
  <si>
    <t>6.22亿</t>
  </si>
  <si>
    <t>5.73亿</t>
  </si>
  <si>
    <t>5.46亿</t>
  </si>
  <si>
    <t>5.65亿</t>
  </si>
  <si>
    <t>11.20亿</t>
  </si>
  <si>
    <t>5.97亿</t>
  </si>
  <si>
    <t>2.59亿</t>
  </si>
  <si>
    <t>9.48亿</t>
  </si>
  <si>
    <t>9.21亿</t>
  </si>
  <si>
    <t>12.45亿</t>
  </si>
  <si>
    <t>6.60亿</t>
  </si>
  <si>
    <t>9.63亿</t>
  </si>
  <si>
    <t>7.07亿</t>
  </si>
  <si>
    <t>6.54亿</t>
  </si>
  <si>
    <t>9.50亿</t>
  </si>
  <si>
    <t>3.75亿</t>
  </si>
  <si>
    <t>5.52亿</t>
  </si>
  <si>
    <t>5.55亿</t>
  </si>
  <si>
    <t>-1.70亿</t>
  </si>
  <si>
    <t>9.10亿</t>
  </si>
  <si>
    <t>5.40亿</t>
  </si>
  <si>
    <t>8.44亿</t>
  </si>
  <si>
    <t>7.30亿</t>
  </si>
  <si>
    <t>17.60亿</t>
  </si>
  <si>
    <t>7.00亿</t>
  </si>
  <si>
    <t>13.03亿</t>
  </si>
  <si>
    <t>20.30亿</t>
  </si>
  <si>
    <t>3.97亿</t>
  </si>
  <si>
    <t>15.54亿</t>
  </si>
  <si>
    <t>7.10亿</t>
  </si>
  <si>
    <t>8.45亿</t>
  </si>
  <si>
    <t>15.02亿</t>
  </si>
  <si>
    <t>6.32亿</t>
  </si>
  <si>
    <t>4.96亿</t>
  </si>
  <si>
    <t>2.17亿</t>
  </si>
  <si>
    <t>7.80亿</t>
  </si>
  <si>
    <t>27.38亿</t>
  </si>
  <si>
    <t>12.10亿</t>
  </si>
  <si>
    <t>3.13亿</t>
  </si>
  <si>
    <t>20.54亿</t>
  </si>
  <si>
    <t>6.40亿</t>
  </si>
  <si>
    <t>16.41亿</t>
  </si>
  <si>
    <t>4.70亿</t>
  </si>
  <si>
    <t>-3.03亿</t>
  </si>
  <si>
    <t>16.07亿</t>
  </si>
  <si>
    <t>15.06亿</t>
  </si>
  <si>
    <t>7.77亿</t>
  </si>
  <si>
    <t>10.57亿</t>
  </si>
  <si>
    <t>3.64亿</t>
  </si>
  <si>
    <t>3.05亿</t>
  </si>
  <si>
    <t>10.61亿</t>
  </si>
  <si>
    <t>4.53亿</t>
  </si>
  <si>
    <t>36.90亿</t>
  </si>
  <si>
    <t>5.03亿</t>
  </si>
  <si>
    <t>19.37亿</t>
  </si>
  <si>
    <t>21.03亿</t>
  </si>
  <si>
    <t>19.48亿</t>
  </si>
  <si>
    <t>17.84亿</t>
  </si>
  <si>
    <t>11.15亿</t>
  </si>
  <si>
    <t>68.05亿</t>
  </si>
  <si>
    <t>-23.76亿</t>
  </si>
  <si>
    <t>10.14亿</t>
  </si>
  <si>
    <t>11.55亿</t>
  </si>
  <si>
    <t>10.85亿</t>
  </si>
  <si>
    <t>8.19亿</t>
  </si>
  <si>
    <t>10.37亿</t>
  </si>
  <si>
    <t>6.15亿</t>
  </si>
  <si>
    <t>8.80亿</t>
  </si>
  <si>
    <t>8.51亿</t>
  </si>
  <si>
    <t>-1.34亿</t>
  </si>
  <si>
    <t>7.85亿</t>
  </si>
  <si>
    <t>6.89亿</t>
  </si>
  <si>
    <t>11.73亿</t>
  </si>
  <si>
    <t>9.41亿</t>
  </si>
  <si>
    <t>9.53亿</t>
  </si>
  <si>
    <t>SZ000400</t>
  </si>
  <si>
    <t>许继电气</t>
  </si>
  <si>
    <t>111.91亿</t>
  </si>
  <si>
    <t>108.52亿</t>
  </si>
  <si>
    <t>82.17亿</t>
  </si>
  <si>
    <t>SZ000682</t>
  </si>
  <si>
    <t>东方电子</t>
  </si>
  <si>
    <t>34.19亿</t>
  </si>
  <si>
    <t>30.42亿</t>
  </si>
  <si>
    <t>SZ002090</t>
  </si>
  <si>
    <t>金智科技</t>
  </si>
  <si>
    <t>18.58亿</t>
  </si>
  <si>
    <t>6505.86万</t>
  </si>
  <si>
    <t>20.15亿</t>
  </si>
  <si>
    <t>16.76亿</t>
  </si>
  <si>
    <t>9842.40万</t>
  </si>
  <si>
    <t>9204.61万</t>
  </si>
  <si>
    <t>SZ002121</t>
  </si>
  <si>
    <t>科陆电子</t>
  </si>
  <si>
    <t>33.37亿</t>
  </si>
  <si>
    <t>31.95亿</t>
  </si>
  <si>
    <t>-12.20亿</t>
  </si>
  <si>
    <t>SZ002169</t>
  </si>
  <si>
    <t>智光电气</t>
  </si>
  <si>
    <t>21.43亿</t>
  </si>
  <si>
    <t>25.54亿</t>
  </si>
  <si>
    <t>27.03亿</t>
  </si>
  <si>
    <t>7892.27万</t>
  </si>
  <si>
    <t>SZ002339</t>
  </si>
  <si>
    <t>积成电子</t>
  </si>
  <si>
    <t>14.28亿</t>
  </si>
  <si>
    <t>20.85亿</t>
  </si>
  <si>
    <t>5875.34万</t>
  </si>
  <si>
    <t>11.32亿</t>
  </si>
  <si>
    <t>18.41亿</t>
  </si>
  <si>
    <t>19.62亿</t>
  </si>
  <si>
    <t>16.19亿</t>
  </si>
  <si>
    <t>5172.23万</t>
  </si>
  <si>
    <t>7339.89万</t>
  </si>
  <si>
    <t>SZ002546</t>
  </si>
  <si>
    <t>新联电子</t>
  </si>
  <si>
    <t>SZ002857</t>
  </si>
  <si>
    <t>三晖电气</t>
  </si>
  <si>
    <t>2342.43万</t>
  </si>
  <si>
    <t>3186.35万</t>
  </si>
  <si>
    <t>3677.17万</t>
  </si>
  <si>
    <t>SZ002980</t>
  </si>
  <si>
    <t>华盛昌</t>
  </si>
  <si>
    <t>9096.07万</t>
  </si>
  <si>
    <t>8478.63万</t>
  </si>
  <si>
    <t>SZ300018</t>
  </si>
  <si>
    <t>中元股份</t>
  </si>
  <si>
    <t>4579.44万</t>
  </si>
  <si>
    <t>4940.03万</t>
  </si>
  <si>
    <t>-4.47亿</t>
  </si>
  <si>
    <t>7.91亿</t>
  </si>
  <si>
    <t>SZ300222</t>
  </si>
  <si>
    <t>科大智能</t>
  </si>
  <si>
    <t>-2.80亿</t>
  </si>
  <si>
    <t>23.13亿</t>
  </si>
  <si>
    <t>35.94亿</t>
  </si>
  <si>
    <t>-26.43亿</t>
  </si>
  <si>
    <t>SZ300286</t>
  </si>
  <si>
    <t>安科瑞</t>
  </si>
  <si>
    <t>9709.98万</t>
  </si>
  <si>
    <t>4.09亿</t>
  </si>
  <si>
    <t>4.36亿</t>
  </si>
  <si>
    <t>SZ300360</t>
  </si>
  <si>
    <t>炬华科技</t>
  </si>
  <si>
    <t>8.72亿</t>
  </si>
  <si>
    <t>SZ300407</t>
  </si>
  <si>
    <t>凯发电气</t>
  </si>
  <si>
    <t>8516.61万</t>
  </si>
  <si>
    <t>18.09亿</t>
  </si>
  <si>
    <t>6823.34万</t>
  </si>
  <si>
    <t>1482.38万</t>
  </si>
  <si>
    <t>SZ300427</t>
  </si>
  <si>
    <t>6.80亿</t>
  </si>
  <si>
    <t>5.15亿</t>
  </si>
  <si>
    <t>SZ300510</t>
  </si>
  <si>
    <t>金冠股份</t>
  </si>
  <si>
    <t>5622.72万</t>
  </si>
  <si>
    <t>9.27亿</t>
  </si>
  <si>
    <t>12.42亿</t>
  </si>
  <si>
    <t>-12.05亿</t>
  </si>
  <si>
    <t>SZ300514</t>
  </si>
  <si>
    <t>友讯达</t>
  </si>
  <si>
    <t>3363.71万</t>
  </si>
  <si>
    <t>5322.50万</t>
  </si>
  <si>
    <t>5248.93万</t>
  </si>
  <si>
    <t>SZ300880</t>
  </si>
  <si>
    <t>迦南智能</t>
  </si>
  <si>
    <t>7892.63万</t>
  </si>
  <si>
    <t>7415.04万</t>
  </si>
  <si>
    <t>5561.76万</t>
  </si>
  <si>
    <t>SZ300882</t>
  </si>
  <si>
    <t>万胜智能</t>
  </si>
  <si>
    <t>8733.55万</t>
  </si>
  <si>
    <t>7527.54万</t>
  </si>
  <si>
    <t>6460.98万</t>
  </si>
  <si>
    <t>SH600268</t>
  </si>
  <si>
    <t>国电南自</t>
  </si>
  <si>
    <t>50.32亿</t>
  </si>
  <si>
    <t>49.47亿</t>
  </si>
  <si>
    <t>国电南瑞</t>
  </si>
  <si>
    <t>385.02亿</t>
  </si>
  <si>
    <t>48.52亿</t>
  </si>
  <si>
    <t>8.53亿</t>
  </si>
  <si>
    <t>324.24亿</t>
  </si>
  <si>
    <t>285.40亿</t>
  </si>
  <si>
    <t>41.62亿</t>
  </si>
  <si>
    <t>11.23亿</t>
  </si>
  <si>
    <t>SH601126</t>
  </si>
  <si>
    <t>38.63亿</t>
  </si>
  <si>
    <t>35.29亿</t>
  </si>
  <si>
    <t>SH601567</t>
  </si>
  <si>
    <t>三星医疗</t>
  </si>
  <si>
    <t>70.93亿</t>
  </si>
  <si>
    <t>23.53亿</t>
  </si>
  <si>
    <t>58.70亿</t>
  </si>
  <si>
    <t>SH603050</t>
  </si>
  <si>
    <t>科林电气</t>
  </si>
  <si>
    <t>17.53亿</t>
  </si>
  <si>
    <t>9031.55万</t>
  </si>
  <si>
    <t>8705.56万</t>
  </si>
  <si>
    <t>SH603556</t>
  </si>
  <si>
    <t>海兴电力</t>
  </si>
  <si>
    <t>28.06亿</t>
  </si>
  <si>
    <t>29.54亿</t>
  </si>
  <si>
    <t>25.53亿</t>
  </si>
  <si>
    <t>SH688191</t>
  </si>
  <si>
    <t>智洋创新</t>
  </si>
  <si>
    <t>9217.70万</t>
  </si>
  <si>
    <t>8527.77万</t>
  </si>
  <si>
    <t>3997.39万</t>
  </si>
  <si>
    <t>SH688330</t>
  </si>
  <si>
    <t>宏力达</t>
  </si>
  <si>
    <t>9747.38万</t>
  </si>
  <si>
    <t>SH688597</t>
  </si>
  <si>
    <t>煜邦电力</t>
  </si>
  <si>
    <t>6237.79万</t>
  </si>
  <si>
    <t>5.83亿</t>
  </si>
  <si>
    <t>5550.50万</t>
  </si>
  <si>
    <t>3116.68万</t>
  </si>
  <si>
    <t>SH688611</t>
  </si>
  <si>
    <t>杭州柯林</t>
  </si>
  <si>
    <t>8950.36万</t>
  </si>
  <si>
    <t>6925.97万</t>
  </si>
  <si>
    <t>SH688616</t>
  </si>
  <si>
    <t>西力科技</t>
  </si>
  <si>
    <t>7372.11万</t>
  </si>
  <si>
    <t>6218.20万</t>
  </si>
  <si>
    <t>3003.41万</t>
  </si>
  <si>
    <t>SH688681</t>
  </si>
  <si>
    <t>科汇股份</t>
  </si>
  <si>
    <t>5532.34万</t>
  </si>
  <si>
    <t>4118.85万</t>
  </si>
  <si>
    <t>1776.58万</t>
  </si>
  <si>
    <t>SZ000533</t>
  </si>
  <si>
    <t>顺钠股份</t>
  </si>
  <si>
    <t>14.78亿</t>
  </si>
  <si>
    <t>8592.82万</t>
  </si>
  <si>
    <t>95.59亿</t>
  </si>
  <si>
    <t>292.44万</t>
  </si>
  <si>
    <t>-9.68亿</t>
  </si>
  <si>
    <t>19.02亿</t>
  </si>
  <si>
    <t>SZ002028</t>
  </si>
  <si>
    <t>思源电气</t>
  </si>
  <si>
    <t>-1.78亿</t>
  </si>
  <si>
    <t>63.80亿</t>
  </si>
  <si>
    <t>48.07亿</t>
  </si>
  <si>
    <t>SZ002112</t>
  </si>
  <si>
    <t>三变科技</t>
  </si>
  <si>
    <t>3172.36万</t>
  </si>
  <si>
    <t>1001.23万</t>
  </si>
  <si>
    <t>628.60万</t>
  </si>
  <si>
    <t>SZ002270</t>
  </si>
  <si>
    <t>华明装备</t>
  </si>
  <si>
    <t>13.68亿</t>
  </si>
  <si>
    <t>12.03亿</t>
  </si>
  <si>
    <t>SZ002346</t>
  </si>
  <si>
    <t>柘中股份</t>
  </si>
  <si>
    <t>9466.38万</t>
  </si>
  <si>
    <t>5826.77万</t>
  </si>
  <si>
    <t>SZ002350</t>
  </si>
  <si>
    <t>北京科锐</t>
  </si>
  <si>
    <t>21.83亿</t>
  </si>
  <si>
    <t>5477.46万</t>
  </si>
  <si>
    <t>24.21亿</t>
  </si>
  <si>
    <t>25.80亿</t>
  </si>
  <si>
    <t>8237.91万</t>
  </si>
  <si>
    <t>SZ002358</t>
  </si>
  <si>
    <t>-9.89亿</t>
  </si>
  <si>
    <t>16.27亿</t>
  </si>
  <si>
    <t>28.74亿</t>
  </si>
  <si>
    <t>932.76万</t>
  </si>
  <si>
    <t>SZ002441</t>
  </si>
  <si>
    <t>众业达</t>
  </si>
  <si>
    <t>107.41亿</t>
  </si>
  <si>
    <t>99.25亿</t>
  </si>
  <si>
    <t>85.55亿</t>
  </si>
  <si>
    <t>SZ002452</t>
  </si>
  <si>
    <t>15.62亿</t>
  </si>
  <si>
    <t>SZ002706</t>
  </si>
  <si>
    <t>良信股份</t>
  </si>
  <si>
    <t>20.39亿</t>
  </si>
  <si>
    <t>15.74亿</t>
  </si>
  <si>
    <t>SZ002927</t>
  </si>
  <si>
    <t>泰永长征</t>
  </si>
  <si>
    <t>9.43亿</t>
  </si>
  <si>
    <t>8423.62万</t>
  </si>
  <si>
    <t>7358.76万</t>
  </si>
  <si>
    <t>7314.42万</t>
  </si>
  <si>
    <t>SZ300001</t>
  </si>
  <si>
    <t>特锐德</t>
  </si>
  <si>
    <t>51.05亿</t>
  </si>
  <si>
    <t>SZ300062</t>
  </si>
  <si>
    <t>中能电气</t>
  </si>
  <si>
    <t>1367.84万</t>
  </si>
  <si>
    <t>2621.19万</t>
  </si>
  <si>
    <t>1672.09万</t>
  </si>
  <si>
    <t>SZ300141</t>
  </si>
  <si>
    <t>和顺电气</t>
  </si>
  <si>
    <t>-5892.04万</t>
  </si>
  <si>
    <t>635.93万</t>
  </si>
  <si>
    <t>840.65万</t>
  </si>
  <si>
    <t>SZ300283</t>
  </si>
  <si>
    <t>温州宏丰</t>
  </si>
  <si>
    <t>3493.28万</t>
  </si>
  <si>
    <t>10.05亿</t>
  </si>
  <si>
    <t>2610.82万</t>
  </si>
  <si>
    <t>2097.17万</t>
  </si>
  <si>
    <t>SZ300423</t>
  </si>
  <si>
    <t>昇辉科技</t>
  </si>
  <si>
    <t>41.94亿</t>
  </si>
  <si>
    <t>30.31亿</t>
  </si>
  <si>
    <t>SZ300444</t>
  </si>
  <si>
    <t>双杰电气</t>
  </si>
  <si>
    <t>18.98亿</t>
  </si>
  <si>
    <t>3221.84万</t>
  </si>
  <si>
    <t>-6.29亿</t>
  </si>
  <si>
    <t>SZ300670</t>
  </si>
  <si>
    <t>大烨智能</t>
  </si>
  <si>
    <t>6327.81万</t>
  </si>
  <si>
    <t>3321.35万</t>
  </si>
  <si>
    <t>3579.62万</t>
  </si>
  <si>
    <t>SZ300932</t>
  </si>
  <si>
    <t>三友联众</t>
  </si>
  <si>
    <t>7601.21万</t>
  </si>
  <si>
    <t>SZ301012</t>
  </si>
  <si>
    <t>扬电科技</t>
  </si>
  <si>
    <t>4907.21万</t>
  </si>
  <si>
    <t>4587.32万</t>
  </si>
  <si>
    <t>5024.10万</t>
  </si>
  <si>
    <t>9.04亿</t>
  </si>
  <si>
    <t>SH600112</t>
  </si>
  <si>
    <t>-8.46亿</t>
  </si>
  <si>
    <t>1200.65万</t>
  </si>
  <si>
    <t>SH600192</t>
  </si>
  <si>
    <t>长城电工</t>
  </si>
  <si>
    <t>20.65亿</t>
  </si>
  <si>
    <t>19.17亿</t>
  </si>
  <si>
    <t>10.86亿</t>
  </si>
  <si>
    <t>SH600312</t>
  </si>
  <si>
    <t>平高电气</t>
  </si>
  <si>
    <t>97.81亿</t>
  </si>
  <si>
    <t>111.60亿</t>
  </si>
  <si>
    <t>108.16亿</t>
  </si>
  <si>
    <t>SH600379</t>
  </si>
  <si>
    <t>4616.81万</t>
  </si>
  <si>
    <t>4417.14万</t>
  </si>
  <si>
    <t>3846.55万</t>
  </si>
  <si>
    <t>SH600468</t>
  </si>
  <si>
    <t>百利电气</t>
  </si>
  <si>
    <t>21.99亿</t>
  </si>
  <si>
    <t>15.69亿</t>
  </si>
  <si>
    <t>13.57亿</t>
  </si>
  <si>
    <t>5631.12万</t>
  </si>
  <si>
    <t>4712.55万</t>
  </si>
  <si>
    <t>SH600525</t>
  </si>
  <si>
    <t>长园集团</t>
  </si>
  <si>
    <t>61.88亿</t>
  </si>
  <si>
    <t>64.15亿</t>
  </si>
  <si>
    <t>71.37亿</t>
  </si>
  <si>
    <t>-8.77亿</t>
  </si>
  <si>
    <t>SH600550</t>
  </si>
  <si>
    <t>保变电气</t>
  </si>
  <si>
    <t>40.85亿</t>
  </si>
  <si>
    <t>2112.63万</t>
  </si>
  <si>
    <t>35.18亿</t>
  </si>
  <si>
    <t>31.87亿</t>
  </si>
  <si>
    <t>40.27亿</t>
  </si>
  <si>
    <t>1520.77万</t>
  </si>
  <si>
    <t>-8.17亿</t>
  </si>
  <si>
    <t>SH600885</t>
  </si>
  <si>
    <t>宏发股份</t>
  </si>
  <si>
    <t>78.19亿</t>
  </si>
  <si>
    <t>6.82亿</t>
  </si>
  <si>
    <t>11.39亿</t>
  </si>
  <si>
    <t>70.81亿</t>
  </si>
  <si>
    <t>68.80亿</t>
  </si>
  <si>
    <t>SH601179</t>
  </si>
  <si>
    <t>中国西电</t>
  </si>
  <si>
    <t>152.83亿</t>
  </si>
  <si>
    <t>136.90亿</t>
  </si>
  <si>
    <t>SH601616</t>
  </si>
  <si>
    <t>广电电气</t>
  </si>
  <si>
    <t>7569.05万</t>
  </si>
  <si>
    <t>SH601877</t>
  </si>
  <si>
    <t>正泰电器</t>
  </si>
  <si>
    <t>332.53亿</t>
  </si>
  <si>
    <t>64.27亿</t>
  </si>
  <si>
    <t>302.26亿</t>
  </si>
  <si>
    <t>274.21亿</t>
  </si>
  <si>
    <t>37.62亿</t>
  </si>
  <si>
    <t>35.92亿</t>
  </si>
  <si>
    <t>21.85亿</t>
  </si>
  <si>
    <t>SH603016</t>
  </si>
  <si>
    <t>新宏泰</t>
  </si>
  <si>
    <t>6207.85万</t>
  </si>
  <si>
    <t>5993.26万</t>
  </si>
  <si>
    <t>6126.33万</t>
  </si>
  <si>
    <t>SH603829</t>
  </si>
  <si>
    <t>洛凯股份</t>
  </si>
  <si>
    <t>6390.71万</t>
  </si>
  <si>
    <t>4827.96万</t>
  </si>
  <si>
    <t>6017.90万</t>
  </si>
  <si>
    <t>SH603861</t>
  </si>
  <si>
    <t>白云电器</t>
  </si>
  <si>
    <t>30.28亿</t>
  </si>
  <si>
    <t>9417.35万</t>
  </si>
  <si>
    <t>28.61亿</t>
  </si>
  <si>
    <t>25.76亿</t>
  </si>
  <si>
    <t>12.17亿</t>
  </si>
  <si>
    <t>SH605066</t>
  </si>
  <si>
    <t>天正电气</t>
  </si>
  <si>
    <t>24.73亿</t>
  </si>
  <si>
    <t>22.01亿</t>
  </si>
  <si>
    <t>SH688517</t>
  </si>
  <si>
    <t>7402.85万</t>
  </si>
  <si>
    <t>6414.45万</t>
  </si>
  <si>
    <t>4612.28万</t>
  </si>
  <si>
    <t>SH688663</t>
  </si>
  <si>
    <t>新风光</t>
  </si>
  <si>
    <t>8865.35万</t>
  </si>
  <si>
    <t>SH688676</t>
  </si>
  <si>
    <t>24.23亿</t>
  </si>
  <si>
    <t>22.44亿</t>
  </si>
  <si>
    <t>SZ001208</t>
  </si>
  <si>
    <t>华菱线缆</t>
  </si>
  <si>
    <t>9362.87万</t>
  </si>
  <si>
    <t>15.03亿</t>
  </si>
  <si>
    <t>12.13亿</t>
  </si>
  <si>
    <t>7592.13万</t>
  </si>
  <si>
    <t>5389.83万</t>
  </si>
  <si>
    <t>SZ002276</t>
  </si>
  <si>
    <t>万马股份</t>
  </si>
  <si>
    <t>93.22亿</t>
  </si>
  <si>
    <t>97.45亿</t>
  </si>
  <si>
    <t>87.40亿</t>
  </si>
  <si>
    <t>SZ002300</t>
  </si>
  <si>
    <t>太阳电缆</t>
  </si>
  <si>
    <t>79.41亿</t>
  </si>
  <si>
    <t>69.75亿</t>
  </si>
  <si>
    <t>SZ002451</t>
  </si>
  <si>
    <t>摩恩电气</t>
  </si>
  <si>
    <t>746.13万</t>
  </si>
  <si>
    <t>3652.42万</t>
  </si>
  <si>
    <t>838.34万</t>
  </si>
  <si>
    <t>SZ002471</t>
  </si>
  <si>
    <t>中超控股</t>
  </si>
  <si>
    <t>54.35亿</t>
  </si>
  <si>
    <t>73.81亿</t>
  </si>
  <si>
    <t>76.34亿</t>
  </si>
  <si>
    <t>-4.63亿</t>
  </si>
  <si>
    <t>8544.02万</t>
  </si>
  <si>
    <t>7.13亿</t>
  </si>
  <si>
    <t>SZ002498</t>
  </si>
  <si>
    <t>汉缆股份</t>
  </si>
  <si>
    <t>69.52亿</t>
  </si>
  <si>
    <t>27.66亿</t>
  </si>
  <si>
    <t>55.68亿</t>
  </si>
  <si>
    <t>SZ002533</t>
  </si>
  <si>
    <t>金杯电工</t>
  </si>
  <si>
    <t>77.96亿</t>
  </si>
  <si>
    <t>58.44亿</t>
  </si>
  <si>
    <t>47.39亿</t>
  </si>
  <si>
    <t>SZ002560</t>
  </si>
  <si>
    <t>通达股份</t>
  </si>
  <si>
    <t>23.98亿</t>
  </si>
  <si>
    <t>9573.72万</t>
  </si>
  <si>
    <t>-1155.58万</t>
  </si>
  <si>
    <t>SZ002606</t>
  </si>
  <si>
    <t>大连电瓷</t>
  </si>
  <si>
    <t>4646.24万</t>
  </si>
  <si>
    <t>-1894.14万</t>
  </si>
  <si>
    <t>SZ002692</t>
  </si>
  <si>
    <t>26.50亿</t>
  </si>
  <si>
    <t>27.93亿</t>
  </si>
  <si>
    <t>30.00亿</t>
  </si>
  <si>
    <t>848.18万</t>
  </si>
  <si>
    <t>-4.11亿</t>
  </si>
  <si>
    <t>SZ002879</t>
  </si>
  <si>
    <t>长缆科技</t>
  </si>
  <si>
    <t>SZ002882</t>
  </si>
  <si>
    <t>金龙羽</t>
  </si>
  <si>
    <t>31.99亿</t>
  </si>
  <si>
    <t>38.47亿</t>
  </si>
  <si>
    <t>33.18亿</t>
  </si>
  <si>
    <t>SZ002953</t>
  </si>
  <si>
    <t>日丰股份</t>
  </si>
  <si>
    <t>11.93亿</t>
  </si>
  <si>
    <t>16.29亿</t>
  </si>
  <si>
    <t>SZ300069</t>
  </si>
  <si>
    <t>金利华电</t>
  </si>
  <si>
    <t>1733.20万</t>
  </si>
  <si>
    <t>SZ300265</t>
  </si>
  <si>
    <t>通光线缆</t>
  </si>
  <si>
    <t>14.67亿</t>
  </si>
  <si>
    <t>5927.00万</t>
  </si>
  <si>
    <t>2709.90万</t>
  </si>
  <si>
    <t>3731.87万</t>
  </si>
  <si>
    <t>SZ300617</t>
  </si>
  <si>
    <t>安靠智电</t>
  </si>
  <si>
    <t>6361.64万</t>
  </si>
  <si>
    <t>7527.53万</t>
  </si>
  <si>
    <t>SZ300933</t>
  </si>
  <si>
    <t>中辰股份</t>
  </si>
  <si>
    <t>9158.90万</t>
  </si>
  <si>
    <t>20.94亿</t>
  </si>
  <si>
    <t>9733.60万</t>
  </si>
  <si>
    <t>8876.89万</t>
  </si>
  <si>
    <t>SZ301082</t>
  </si>
  <si>
    <t>久盛电气</t>
  </si>
  <si>
    <t>8140.88万</t>
  </si>
  <si>
    <t>12.56亿</t>
  </si>
  <si>
    <t>8000.44万</t>
  </si>
  <si>
    <t>6479.33万</t>
  </si>
  <si>
    <t>SH600577</t>
  </si>
  <si>
    <t>124.47亿</t>
  </si>
  <si>
    <t>119.97亿</t>
  </si>
  <si>
    <t>118.98亿</t>
  </si>
  <si>
    <t>SH600869</t>
  </si>
  <si>
    <t>远东股份</t>
  </si>
  <si>
    <t>198.04亿</t>
  </si>
  <si>
    <t>-16.91亿</t>
  </si>
  <si>
    <t>171.55亿</t>
  </si>
  <si>
    <t>175.12亿</t>
  </si>
  <si>
    <t>4489.93万</t>
  </si>
  <si>
    <t>SH600973</t>
  </si>
  <si>
    <t>宝胜股份</t>
  </si>
  <si>
    <t>332.83亿</t>
  </si>
  <si>
    <t>321.84亿</t>
  </si>
  <si>
    <t>SH601700</t>
  </si>
  <si>
    <t>风范股份</t>
  </si>
  <si>
    <t>26.01亿</t>
  </si>
  <si>
    <t>19.94亿</t>
  </si>
  <si>
    <t>22.07亿</t>
  </si>
  <si>
    <t>3122.58万</t>
  </si>
  <si>
    <t>SH603333</t>
  </si>
  <si>
    <t>尚纬股份</t>
  </si>
  <si>
    <t>14.94亿</t>
  </si>
  <si>
    <t>1652.48万</t>
  </si>
  <si>
    <t>-3.31亿</t>
  </si>
  <si>
    <t>20.34亿</t>
  </si>
  <si>
    <t>5797.68万</t>
  </si>
  <si>
    <t>SH603530</t>
  </si>
  <si>
    <t>神马电力</t>
  </si>
  <si>
    <t>SH603577</t>
  </si>
  <si>
    <t>汇金通</t>
  </si>
  <si>
    <t>16.18亿</t>
  </si>
  <si>
    <t>5902.76万</t>
  </si>
  <si>
    <t>3174.98万</t>
  </si>
  <si>
    <t>SH603606</t>
  </si>
  <si>
    <t>50.52亿</t>
  </si>
  <si>
    <t>30.24亿</t>
  </si>
  <si>
    <t>SH603618</t>
  </si>
  <si>
    <t>杭电股份</t>
  </si>
  <si>
    <t>49.09亿</t>
  </si>
  <si>
    <t>43.77亿</t>
  </si>
  <si>
    <t>SH603897</t>
  </si>
  <si>
    <t>长城科技</t>
  </si>
  <si>
    <t>62.73亿</t>
  </si>
  <si>
    <t>49.71亿</t>
  </si>
  <si>
    <t>49.79亿</t>
  </si>
  <si>
    <t>SH605196</t>
  </si>
  <si>
    <t>华通线缆</t>
  </si>
  <si>
    <t>33.76亿</t>
  </si>
  <si>
    <t>3.71亿</t>
  </si>
  <si>
    <t>29.55亿</t>
  </si>
  <si>
    <t>8894.74万</t>
  </si>
  <si>
    <t>SH605222</t>
  </si>
  <si>
    <t>起帆电缆</t>
  </si>
  <si>
    <t>97.36亿</t>
  </si>
  <si>
    <t>76.47亿</t>
  </si>
  <si>
    <t>63.23亿</t>
  </si>
  <si>
    <t>SH688226</t>
  </si>
  <si>
    <t>威腾电气</t>
  </si>
  <si>
    <t>4748.46万</t>
  </si>
  <si>
    <t>9.35亿</t>
  </si>
  <si>
    <t>5470.18万</t>
  </si>
  <si>
    <t>5067.07万</t>
  </si>
  <si>
    <t>SZ002309</t>
  </si>
  <si>
    <t>90.33亿</t>
  </si>
  <si>
    <t>-29.20亿</t>
  </si>
  <si>
    <t>10.72亿</t>
  </si>
  <si>
    <t>8.66亿</t>
  </si>
  <si>
    <t>19.54亿</t>
  </si>
  <si>
    <t>5.14亿</t>
  </si>
  <si>
    <t>8.10亿</t>
  </si>
  <si>
    <t>5.23亿</t>
  </si>
  <si>
    <t>21.34亿</t>
  </si>
  <si>
    <t>25.27亿</t>
  </si>
  <si>
    <t>15.82亿</t>
  </si>
  <si>
    <t>18.07亿</t>
  </si>
  <si>
    <t>45.85亿</t>
  </si>
  <si>
    <t>9.19亿</t>
  </si>
  <si>
    <t>9.46亿</t>
  </si>
  <si>
    <t>12.29亿</t>
  </si>
  <si>
    <t>32.17亿</t>
  </si>
  <si>
    <t>22.19亿</t>
  </si>
  <si>
    <t>13.94亿</t>
  </si>
  <si>
    <t>7.38亿</t>
  </si>
  <si>
    <t>16.96亿</t>
  </si>
  <si>
    <t>61.99亿</t>
  </si>
  <si>
    <t>13.49亿</t>
  </si>
  <si>
    <t>17.86亿</t>
  </si>
  <si>
    <t>-1.13亿</t>
  </si>
  <si>
    <t>16.46亿</t>
  </si>
  <si>
    <t>59.45亿</t>
  </si>
  <si>
    <t>15.22亿</t>
  </si>
  <si>
    <t>6.27亿</t>
  </si>
  <si>
    <t>29.86亿</t>
  </si>
  <si>
    <t>47.99亿</t>
  </si>
  <si>
    <t>10.99亿</t>
  </si>
  <si>
    <t>8.20亿</t>
  </si>
  <si>
    <t>24.50亿</t>
  </si>
  <si>
    <t>26.39亿</t>
  </si>
  <si>
    <t>-6.43亿</t>
  </si>
  <si>
    <t>-8.62亿</t>
  </si>
  <si>
    <t>19.36亿</t>
  </si>
  <si>
    <t>39.42亿</t>
  </si>
  <si>
    <t>代码</t>
  </si>
  <si>
    <t xml:space="preserve">1.电线电缆产品的主要原材料为铜、铝，其占产品成本的80%左右，导致其对上游产业的依赖较强。
</t>
    <phoneticPr fontId="1" type="noConversion"/>
  </si>
  <si>
    <t>1.在实施低碳战略中，最核心的是依靠底层数据的数字化，经传输至智能云平台，结合能效管理，才能达到较为理想的目标；2.问：公司的毛利率较高的原因是什么？答：公司双电源在国内有较高的品牌优势和技术优势;</t>
    <phoneticPr fontId="1" type="noConversion"/>
  </si>
  <si>
    <t>1.中低压电器行业是一个充分竞争、市场化程度较高的行业，内部竞争激烈，国际低压电器行业领先企业垄断国内高端市场，国内优秀企业则以产品定位、销售渠道、服务能力等竞争因素在中端及大众市场进行差异化竞争</t>
    <phoneticPr fontId="1" type="noConversion"/>
  </si>
  <si>
    <r>
      <t>1.公司产品主要为橡套电缆，橡套电缆相比于塑料电缆具有性能方面的优势，主要体现在以下几方面：（1）柔韧性更强，可进行频繁的弯曲和扭转；（2）耐磨性更强，可适应频繁拖动；（3）机械特性较好，可抵抗一定强度的机械外力破坏；（4）阻燃性更好，不易引起燃烧；（5）电气性能更好，具有较好的电气强度和良好的绝缘性；2.报告期内，公司收购天津有容蒂康通讯技术公司100%股权，成为公司的全资子公司，其</t>
    </r>
    <r>
      <rPr>
        <sz val="9"/>
        <color rgb="FFFF0000"/>
        <rFont val="宋体"/>
        <family val="3"/>
        <charset val="134"/>
        <scheme val="minor"/>
      </rPr>
      <t>主要从事通信电缆的研发、生产和销售</t>
    </r>
    <r>
      <rPr>
        <sz val="9"/>
        <color theme="1"/>
        <rFont val="宋体"/>
        <family val="2"/>
        <charset val="134"/>
        <scheme val="minor"/>
      </rPr>
      <t>，产品主要包括低损耗同轴电缆组件、基站用D型电源线组件、5G光电缆组件，广泛应用于通信用数字传输设备、通信基站天线、5G基站天线、RRU及BBU及相关通信设备。</t>
    </r>
    <phoneticPr fontId="1" type="noConversion"/>
  </si>
  <si>
    <r>
      <t>1.问：（一）公司目前市场占有率情况。
　　答：公司专用电线电缆主要有空调连接线组件、小家电电源线组件（橡套类）、工程机械电缆、通信装备电缆等。其中：1、空调连接线组件，主要客户为美的、格力等，</t>
    </r>
    <r>
      <rPr>
        <sz val="9"/>
        <color rgb="FFFF0000"/>
        <rFont val="宋体"/>
        <family val="3"/>
        <charset val="134"/>
        <scheme val="minor"/>
      </rPr>
      <t>已成为细分市场行业第一，市场占有率约达40%</t>
    </r>
    <r>
      <rPr>
        <sz val="9"/>
        <color theme="1"/>
        <rFont val="宋体"/>
        <family val="2"/>
        <charset val="134"/>
        <scheme val="minor"/>
      </rPr>
      <t>。2、小家电电源线组件，主要用于微波炉、电烤箱、电火锅、电压力锅等加热类电器上，</t>
    </r>
    <r>
      <rPr>
        <sz val="9"/>
        <color rgb="FFFF0000"/>
        <rFont val="宋体"/>
        <family val="3"/>
        <charset val="134"/>
        <scheme val="minor"/>
      </rPr>
      <t>市场占有率约30%</t>
    </r>
    <r>
      <rPr>
        <sz val="9"/>
        <color theme="1"/>
        <rFont val="宋体"/>
        <family val="2"/>
        <charset val="134"/>
        <scheme val="minor"/>
      </rPr>
      <t>。3、工程机械电缆，</t>
    </r>
    <r>
      <rPr>
        <sz val="9"/>
        <color rgb="FFFF0000"/>
        <rFont val="宋体"/>
        <family val="3"/>
        <charset val="134"/>
        <scheme val="minor"/>
      </rPr>
      <t>市场占有率约占20%</t>
    </r>
    <r>
      <rPr>
        <sz val="9"/>
        <color theme="1"/>
        <rFont val="宋体"/>
        <family val="2"/>
        <charset val="134"/>
        <scheme val="minor"/>
      </rPr>
      <t>，拥有专利产品，其中施工升降机电缆行业第一。4、通信装备电缆，主要客户为华为、中兴、烽火等，</t>
    </r>
    <r>
      <rPr>
        <sz val="9"/>
        <color rgb="FFFF0000"/>
        <rFont val="宋体"/>
        <family val="3"/>
        <charset val="134"/>
        <scheme val="minor"/>
      </rPr>
      <t>分别约占10%-20</t>
    </r>
    <r>
      <rPr>
        <sz val="9"/>
        <color theme="1"/>
        <rFont val="宋体"/>
        <family val="2"/>
        <charset val="134"/>
        <scheme val="minor"/>
      </rPr>
      <t>%。5、PVC电源线组件，行业供应商分散，集中度低，公司将利用客户资源嵌入市场，这部分未来市场空间大。</t>
    </r>
    <phoneticPr fontId="1" type="noConversion"/>
  </si>
  <si>
    <t>1.2021Q2的营收和利润都下滑；</t>
    <phoneticPr fontId="1" type="noConversion"/>
  </si>
  <si>
    <t>公司业务处于充分竞争市场，市场容量大，竞争对手多，主要的业绩驱动因素是科技创新和产品升级
高中低压电器产品 9.33亿 42.40%（毛利36.07%）
电磁线产品 8.47亿 38.51%（毛利16.13%）
泵类产品 1.98亿 8.99%（毛利44.33%）
铁精粉及焦炭等 1.97亿 8.96%（毛利2.51%）
其他业务 2483.96万 1.13%（毛利31.35%）
超导产品 31.31万 0.01%（毛利63.86%）</t>
    <phoneticPr fontId="1" type="noConversion"/>
  </si>
  <si>
    <t>1.2021 年上半年度，研发系统主要聚焦在前沿技术的研究和行业产品开发方面，完成了AC1140V 框架断路器、AC800V 塑壳断路器产品开发，可满足风电、光伏、储能新能源等特殊行业应用新需求，助力高端智能配电领域，为实现双碳目标下的数字化智能配电转型提供强大支持；2.低压电器大部分都在传统行业，进口品牌市场规模约300-400亿，以三大外资品牌为主，具有较大国产替代空间</t>
    <phoneticPr fontId="1" type="noConversion"/>
  </si>
  <si>
    <t>1.跨国公司掌握了低压电器行业中较为先进的技术，而本土优势企业通过不断的技术和管理创新以提升市场竞争力，行业竞争趋于激烈</t>
    <phoneticPr fontId="1" type="noConversion"/>
  </si>
  <si>
    <t>公司是国内低压电器行业综合实力最强的企业之一，主要从事配电电器、控制电器、终端
电器、电源电器、仪表电器等低压电器产品的研发、生产和销售；
直销方面，公司将各重点行业龙头企业作为目标客户，努力通过“铁三角”的营销模式与这部分“长期价值客户”建立“组织型的客户关系”；分销方面，公司持续推进“百城千县万店”行动；
配电电器 10.68亿 43.19%（毛利29.10%）
终端电器 6.71亿 27.14%（毛利27.71%）
控制电器 3.00亿 12.12%（毛利21.22%）
电源电器 2.13亿 8.61%（毛利25.77%）
其他 1.39亿 5.64%（毛利28.22%）
仪器仪表 7324.18万 2.96%（毛利36.50%）
其他业务 833.03万 0.34%（毛利71.67%）</t>
    <phoneticPr fontId="1" type="noConversion"/>
  </si>
  <si>
    <t>公司主要致力于高压及超高压电缆连接件、GIL、智慧模块化变电站及相关产品的研发和生产，为客户提供地下智能输变电系统整体解决方案、智慧模块化变电站系统服务、城市电力架空线迁改与入地、电力工程勘察设计及施工服务等。
2021H1:
GIL产品及系统服务 1.65亿 34.72% 利润占比37.54% 毛利52.43%
110(66)kV电缆连接件 8083.42万 17.02% 利润占比18.45% 毛利52.56%
智能电力系统服务 6090.77万 12.83% 利润占比9.96% 毛利37.65%
其他电缆连接件 5114.52万 10.77% 利润占比7.61% 毛利34.26%
220kV电缆连接件 3741.86万 7.88% 利润占比10.52% 毛利64.73%
330kV-500kV电缆连接件 3635.86万 7.66% 利润占比12.10% 毛利76.64%
智慧模块化变电站 2263.59万 4.77% 利润占比3.41% 毛利34.70%</t>
    <phoneticPr fontId="1" type="noConversion"/>
  </si>
  <si>
    <t>11.89亿</t>
  </si>
  <si>
    <t>涨幅%</t>
  </si>
  <si>
    <t>流通股本</t>
  </si>
  <si>
    <t>投入资本回报率roic%[20201231]</t>
  </si>
  <si>
    <t>净资产收益率%[20201231]</t>
  </si>
  <si>
    <t>亏损</t>
  </si>
  <si>
    <t>扭亏</t>
  </si>
  <si>
    <t>17.66亿</t>
  </si>
  <si>
    <t>127.67亿</t>
  </si>
  <si>
    <t>18.89亿</t>
  </si>
  <si>
    <t>1095.01万</t>
  </si>
  <si>
    <t>10.75亿</t>
  </si>
  <si>
    <t>21.60亿</t>
  </si>
  <si>
    <t>16.01亿</t>
  </si>
  <si>
    <t>14.13亿</t>
  </si>
  <si>
    <t>22.89亿</t>
  </si>
  <si>
    <t>29.22亿</t>
  </si>
  <si>
    <t>15.83亿</t>
  </si>
  <si>
    <t>74.64亿</t>
  </si>
  <si>
    <t>67.41亿</t>
  </si>
  <si>
    <t>58.74亿</t>
  </si>
  <si>
    <t>-1.33亿</t>
  </si>
  <si>
    <t>23.44亿</t>
  </si>
  <si>
    <t>7.36亿</t>
  </si>
  <si>
    <t>26.91亿</t>
  </si>
  <si>
    <t>25.31亿</t>
  </si>
  <si>
    <t>19.00亿</t>
  </si>
  <si>
    <t>6.90亿</t>
  </si>
  <si>
    <t>7.95亿</t>
  </si>
  <si>
    <t>SZ301120</t>
  </si>
  <si>
    <t>8299.43万</t>
  </si>
  <si>
    <t>SZ301179</t>
  </si>
  <si>
    <t>泽宇智能</t>
  </si>
  <si>
    <t>5950.90万</t>
  </si>
  <si>
    <t>3.90亿</t>
  </si>
  <si>
    <t>5.51亿</t>
  </si>
  <si>
    <t>342.84亿</t>
  </si>
  <si>
    <t>4.78亿</t>
  </si>
  <si>
    <t>SH603070</t>
  </si>
  <si>
    <t>16.89亿</t>
  </si>
  <si>
    <t>15.17亿</t>
  </si>
  <si>
    <t>10.42亿</t>
  </si>
  <si>
    <t>线缆部件及其他</t>
  </si>
  <si>
    <t>92.73亿</t>
  </si>
  <si>
    <t>净利润[20201231]</t>
  </si>
  <si>
    <t>119.91亿</t>
  </si>
  <si>
    <t>-1275.98万</t>
  </si>
  <si>
    <t>44.86亿</t>
  </si>
  <si>
    <t>37.57亿</t>
  </si>
  <si>
    <t>25.43亿</t>
  </si>
  <si>
    <t>86.95亿</t>
  </si>
  <si>
    <t>10.58亿</t>
  </si>
  <si>
    <t>1856.45万</t>
  </si>
  <si>
    <t>31.98亿</t>
  </si>
  <si>
    <t>-6.65亿</t>
  </si>
  <si>
    <t>6.81亿</t>
  </si>
  <si>
    <t>10.17亿</t>
  </si>
  <si>
    <t>15.32亿</t>
  </si>
  <si>
    <t>112.25亿</t>
  </si>
  <si>
    <t>20.38亿</t>
  </si>
  <si>
    <t>-4532.39万</t>
  </si>
  <si>
    <t>23.33亿</t>
  </si>
  <si>
    <t>17.08亿</t>
  </si>
  <si>
    <t>-4.90亿</t>
  </si>
  <si>
    <t>4.85亿</t>
  </si>
  <si>
    <t>125.58亿</t>
  </si>
  <si>
    <t>1284.90万</t>
  </si>
  <si>
    <t>58.80亿</t>
  </si>
  <si>
    <t>2739.43万</t>
  </si>
  <si>
    <t>89.81亿</t>
  </si>
  <si>
    <t>4.61亿</t>
  </si>
  <si>
    <t>13.10亿</t>
  </si>
  <si>
    <t>128.32亿</t>
  </si>
  <si>
    <t>2441.28万</t>
  </si>
  <si>
    <t>-1.28亿</t>
  </si>
  <si>
    <t>30.01亿</t>
  </si>
  <si>
    <t>4599.62万</t>
  </si>
  <si>
    <t>35.13亿</t>
  </si>
  <si>
    <t>5.27亿</t>
  </si>
  <si>
    <t>1950.50万</t>
  </si>
  <si>
    <t>-1.79亿</t>
  </si>
  <si>
    <t>45.90亿</t>
  </si>
  <si>
    <t>5160.66万</t>
  </si>
  <si>
    <t>12.54亿</t>
  </si>
  <si>
    <t>9582.16万</t>
  </si>
  <si>
    <t>7.40亿</t>
  </si>
  <si>
    <t>94.41亿</t>
  </si>
  <si>
    <t>8960.97万</t>
  </si>
  <si>
    <t>2263.01万</t>
  </si>
  <si>
    <t>10.02亿</t>
  </si>
  <si>
    <t>38.53亿</t>
  </si>
  <si>
    <t>899.70万</t>
  </si>
  <si>
    <t>14.70亿</t>
  </si>
  <si>
    <t>9.16亿</t>
  </si>
  <si>
    <t>28.89亿</t>
  </si>
  <si>
    <t>-9980.65万</t>
  </si>
  <si>
    <t>19.23亿</t>
  </si>
  <si>
    <t>4493.70万</t>
  </si>
  <si>
    <t>6033.43万</t>
  </si>
  <si>
    <t>17.12亿</t>
  </si>
  <si>
    <t>6738.48万</t>
  </si>
  <si>
    <t>27.10亿</t>
  </si>
  <si>
    <t>11.71亿</t>
  </si>
  <si>
    <t>10.74亿</t>
  </si>
  <si>
    <t>3161.41万</t>
  </si>
  <si>
    <t>5756.46万</t>
  </si>
  <si>
    <t>11.50亿</t>
  </si>
  <si>
    <t>4181.76万</t>
  </si>
  <si>
    <t>893.48万</t>
  </si>
  <si>
    <t>6517.81万</t>
  </si>
  <si>
    <t>16.92亿</t>
  </si>
  <si>
    <t>8169.69万</t>
  </si>
  <si>
    <t>5155.44万</t>
  </si>
  <si>
    <t>10.59亿</t>
  </si>
  <si>
    <t>8793.48万</t>
  </si>
  <si>
    <t>新特电气</t>
  </si>
  <si>
    <t>8429.42万</t>
  </si>
  <si>
    <t>11.13亿</t>
  </si>
  <si>
    <t>11.27亿</t>
  </si>
  <si>
    <t>-1.27亿</t>
  </si>
  <si>
    <t>7077.42万</t>
  </si>
  <si>
    <t>5078.41万</t>
  </si>
  <si>
    <t>424.11亿</t>
  </si>
  <si>
    <t>56.42亿</t>
  </si>
  <si>
    <t>60.63亿</t>
  </si>
  <si>
    <t>41.40亿</t>
  </si>
  <si>
    <t>4340.95万</t>
  </si>
  <si>
    <t>183.30亿</t>
  </si>
  <si>
    <t>208.71亿</t>
  </si>
  <si>
    <t>100.23亿</t>
  </si>
  <si>
    <t>-7.63亿</t>
  </si>
  <si>
    <t>42.98亿</t>
  </si>
  <si>
    <t>70.23亿</t>
  </si>
  <si>
    <t>7443.62万</t>
  </si>
  <si>
    <t>9334.40万</t>
  </si>
  <si>
    <t>5298.12万</t>
  </si>
  <si>
    <t>8861.28万</t>
  </si>
  <si>
    <t>21.04亿</t>
  </si>
  <si>
    <t>SH603097</t>
  </si>
  <si>
    <t>江苏华辰</t>
  </si>
  <si>
    <t>7841.66万</t>
  </si>
  <si>
    <t>8273.75万</t>
  </si>
  <si>
    <t>11.38亿</t>
  </si>
  <si>
    <t>-3089.67万</t>
  </si>
  <si>
    <t>16.10亿</t>
  </si>
  <si>
    <t>26.47亿</t>
  </si>
  <si>
    <t>79.32亿</t>
  </si>
  <si>
    <t>74.43亿</t>
  </si>
  <si>
    <t>9951.41万</t>
  </si>
  <si>
    <t>7232.98万</t>
  </si>
  <si>
    <t>5610.40万</t>
  </si>
  <si>
    <t>107.27亿</t>
  </si>
  <si>
    <t>43.97亿</t>
  </si>
  <si>
    <t>188.78亿</t>
  </si>
  <si>
    <t>7046.79万</t>
  </si>
  <si>
    <t>5978.09万</t>
  </si>
  <si>
    <t>24.15亿</t>
  </si>
  <si>
    <t>6914.72万</t>
  </si>
  <si>
    <t>3632.36万</t>
  </si>
  <si>
    <t>7028.35万</t>
  </si>
  <si>
    <t>33.03亿</t>
  </si>
  <si>
    <t>5461.76万</t>
  </si>
  <si>
    <t xml:space="preserve">    名称</t>
  </si>
  <si>
    <t>净利润?</t>
  </si>
  <si>
    <t>投入资本回报率roic%[20211231]</t>
  </si>
  <si>
    <t>净资产收益率%[20211231]</t>
  </si>
  <si>
    <t/>
  </si>
  <si>
    <t>3.98亿</t>
  </si>
  <si>
    <t>9.59亿</t>
  </si>
  <si>
    <t>6.64亿</t>
  </si>
  <si>
    <t>开始亏损</t>
  </si>
  <si>
    <t>-1.44亿</t>
  </si>
  <si>
    <t>6801.96万</t>
  </si>
  <si>
    <t>3000.00万</t>
  </si>
  <si>
    <t>10.80亿</t>
  </si>
  <si>
    <t>6885.74万</t>
  </si>
  <si>
    <t>利基</t>
    <phoneticPr fontId="1" type="noConversion"/>
  </si>
  <si>
    <t>营收[~-18%]</t>
  </si>
  <si>
    <t>营收[-18%~0]</t>
  </si>
  <si>
    <t>营收[0~10%]</t>
  </si>
  <si>
    <t>营收[10%~30%]</t>
  </si>
  <si>
    <t>营收[30%~80%]</t>
  </si>
  <si>
    <t>营收[80%~]</t>
  </si>
  <si>
    <t>利润[~-18%]</t>
  </si>
  <si>
    <t>利润[-18%~0]</t>
  </si>
  <si>
    <t>利润[0~10%]</t>
  </si>
  <si>
    <t>利润[10%~30%]</t>
  </si>
  <si>
    <t>利润[30%~80%]</t>
  </si>
  <si>
    <t>利润[80%~]</t>
  </si>
  <si>
    <t>Total</t>
    <phoneticPr fontId="1" type="noConversion"/>
  </si>
  <si>
    <t>营收top</t>
    <phoneticPr fontId="1" type="noConversion"/>
  </si>
  <si>
    <t>利润top</t>
    <phoneticPr fontId="1" type="noConversion"/>
  </si>
  <si>
    <t>Total</t>
  </si>
  <si>
    <t>营收top</t>
  </si>
  <si>
    <t>利润top</t>
  </si>
  <si>
    <t>光伏</t>
    <phoneticPr fontId="1" type="noConversion"/>
  </si>
  <si>
    <t>风能</t>
    <phoneticPr fontId="1" type="noConversion"/>
  </si>
  <si>
    <r>
      <t>1.中国积极实施“双循环”战略。在此背景下，我国特高压、农村电网建设，城市轨道交通、新能源汽车、清洁能源等新产业景气度不断提升，给电线电缆行业未来持续发展带来广阔前景；2.半年报各细分项增速表明</t>
    </r>
    <r>
      <rPr>
        <b/>
        <sz val="9"/>
        <color rgb="FFFF0000"/>
        <rFont val="宋体"/>
        <family val="3"/>
        <charset val="134"/>
        <scheme val="minor"/>
      </rPr>
      <t>现阶段的渗透力度</t>
    </r>
    <r>
      <rPr>
        <sz val="9"/>
        <color theme="1"/>
        <rFont val="宋体"/>
        <family val="2"/>
        <charset val="134"/>
        <scheme val="minor"/>
      </rPr>
      <t>：电气装备用电线63.31%；电力电缆65.07%；特种电线电缆99.23%；裸导线463.07%；电磁线175.52%；电器开关83.08%；其他线缆产品564.20%；新能源业务39.58%；燃油车-30.29%；冷链业务138.10%；</t>
    </r>
    <phoneticPr fontId="1" type="noConversion"/>
  </si>
  <si>
    <t>1.2020 年，纳入行业投资统计体系的主要电力企业合计完成投资 9944 亿，同比增长 9.6%。电源工程建设完成投资 5244 亿元，同比增长29.2%，其中风电、太阳能发电、水电投资分别增长 70.6%、66.4%、19.0%</t>
    <phoneticPr fontId="1" type="noConversion"/>
  </si>
  <si>
    <t>7.60亿</t>
  </si>
  <si>
    <t>长高电新</t>
  </si>
  <si>
    <t>5.19亿</t>
  </si>
  <si>
    <t>7.86亿</t>
  </si>
  <si>
    <t>9.36亿</t>
  </si>
  <si>
    <t>5708.56万</t>
  </si>
  <si>
    <t>4.88亿</t>
  </si>
  <si>
    <t>17.71亿</t>
  </si>
  <si>
    <t>6.12亿</t>
  </si>
  <si>
    <t>5032.39万</t>
  </si>
  <si>
    <t>25.79亿</t>
  </si>
  <si>
    <t>公司主要从事电网自动化及工业控制、电力自动化信息通信、继电保护及柔性输电、发电及水利环保等业务的技术和产品研发、设计、制造、销售及与之相关的系统集成和工程总包业务。公司的主要产品包括发电、输电、变电、配电、供电控制系统设备;计算机及外部设备;通信交换、通信终端及通信设备。
市值1958亿，利润56.42亿；pe33.64,pb5.09;毛利27.49%，净利14.05%；2021营收增10.15%，利润增16.28%；2022Q1营收增16.94%，利润增88.6%；过往5年营收增9.22%，利润增12.66%；
2021：
电网自动化及工业控制 238.59亿 56.26% 53.49% 25.55%
电力自动化信息通信 76.11亿 17.95% 13.96% 20.91%
继电保护及柔性输电 61.42亿 14.48% 21.24% 39.42%
发电及水利环保 25.23亿 5.95% 3.27% 14.78%
集成及其他 21.76亿 5.13% 7.49% 39.23%
其他业务 1.00亿 0.24% 0.56% 63.26%</t>
    <phoneticPr fontId="1" type="noConversion"/>
  </si>
  <si>
    <t>细分行业</t>
  </si>
  <si>
    <t>电气自控设备</t>
  </si>
  <si>
    <t>输变电设备</t>
  </si>
  <si>
    <t>10.20亿</t>
  </si>
  <si>
    <t>7.99亿</t>
  </si>
  <si>
    <t>16.36亿</t>
  </si>
  <si>
    <t>18.72亿</t>
  </si>
  <si>
    <t>8.86亿</t>
  </si>
  <si>
    <t>10.19亿</t>
  </si>
  <si>
    <t>-1.31亿</t>
  </si>
  <si>
    <t>33.10亿</t>
  </si>
  <si>
    <t>-1.83亿</t>
  </si>
  <si>
    <t>18.82亿</t>
  </si>
  <si>
    <t>21.61亿</t>
  </si>
  <si>
    <t>8.42亿</t>
  </si>
  <si>
    <t>6.18亿</t>
  </si>
  <si>
    <t>SH600406</t>
  </si>
  <si>
    <t>21.47亿</t>
  </si>
  <si>
    <t>4.68亿</t>
  </si>
  <si>
    <t>7.59亿</t>
  </si>
  <si>
    <t>8.22亿</t>
  </si>
  <si>
    <t>3.74亿</t>
  </si>
  <si>
    <t>2.92亿</t>
  </si>
  <si>
    <t>12.72亿</t>
  </si>
  <si>
    <t>12.23亿</t>
  </si>
  <si>
    <t>-1.20亿</t>
  </si>
  <si>
    <t>5.79亿</t>
  </si>
  <si>
    <t>19.53亿</t>
  </si>
  <si>
    <t>8.64亿</t>
  </si>
  <si>
    <t>7.96亿</t>
  </si>
  <si>
    <t>6.91亿</t>
  </si>
  <si>
    <t>30.15亿</t>
  </si>
  <si>
    <r>
      <t>1.公司有</t>
    </r>
    <r>
      <rPr>
        <b/>
        <sz val="9"/>
        <color rgb="FFFF0000"/>
        <rFont val="宋体"/>
        <family val="3"/>
        <charset val="134"/>
        <scheme val="minor"/>
      </rPr>
      <t>军用水密封电缆（耐水压10 兆帕）</t>
    </r>
    <r>
      <rPr>
        <sz val="9"/>
        <color theme="1"/>
        <rFont val="宋体"/>
        <family val="2"/>
        <charset val="134"/>
        <scheme val="minor"/>
      </rPr>
      <t>产品，并具有相关的军工服务资质；2.公司线缆产品有运用于风电项目，如中标亿联科技启东海上风电项目</t>
    </r>
    <r>
      <rPr>
        <b/>
        <sz val="9"/>
        <color rgb="FFFF0000"/>
        <rFont val="宋体"/>
        <family val="3"/>
        <charset val="134"/>
        <scheme val="minor"/>
      </rPr>
      <t>35kV海缆；</t>
    </r>
    <r>
      <rPr>
        <sz val="9"/>
        <rFont val="宋体"/>
        <family val="3"/>
        <charset val="134"/>
        <scheme val="minor"/>
      </rPr>
      <t>2.公司海缆业务发展势头较好，主要包括海底电缆、海底光电复合缆等产品，公司现有2条海缆生产线，其中高压海缆立式成缆-铠装生产线预计今年六月底完成调试，全部投产后预计实现年产能超13亿元，现有海缆生产线处于满产状态，且能生产的海缆最高电压等级为330KV。3.，起帆电缆的高柔性机器人电缆（耐弯折达2000万次）、军用水密封电缆（耐水压10兆帕）、耐寒电缆（零下80摄氏度）等高端特种电缆达到国内领先水平；</t>
    </r>
    <phoneticPr fontId="1" type="noConversion"/>
  </si>
  <si>
    <r>
      <t xml:space="preserve">产品覆盖电磁线、电气装备用电线、特种电线电缆、电力电缆、裸导线等五大类别，能够生产数百个品种近10,000个规格的产品
电气装备用电线 30.01亿 38.50%（毛利11.28%）
特种电线电缆 20.40亿 26.16%（毛利18.61%）
电磁线 12.00亿 15.40%（毛利16.58%）
电力电缆 9.23亿 11.84%（毛利12.48%）
冷链物流业务 3.26亿 4.18%（毛利13.17%）
新能源业务 1.56亿 2.00%（毛利14.44%）
燃油车 5991.31万 0.77%（毛利1.72%）
其他 5952.63万 0.76%（毛利11.94%）
电器开关 2111.13万 0.27%（毛利24.82%）
裸导线 926.50万 0.12%（毛利18.37%）
</t>
    </r>
    <r>
      <rPr>
        <b/>
        <sz val="9"/>
        <color theme="1"/>
        <rFont val="宋体"/>
        <family val="3"/>
        <charset val="134"/>
        <scheme val="minor"/>
      </rPr>
      <t>按行业分:</t>
    </r>
    <r>
      <rPr>
        <sz val="9"/>
        <color theme="1"/>
        <rFont val="宋体"/>
        <family val="2"/>
        <charset val="134"/>
        <scheme val="minor"/>
      </rPr>
      <t xml:space="preserve">
电线电缆行业 74.80亿 95.95%（毛利14.02%）
冷链行业 3.26亿 4.19%（毛利11.11%）
新能源行业 2.18亿 2.79%(毛利10.79%）</t>
    </r>
    <phoneticPr fontId="1" type="noConversion"/>
  </si>
  <si>
    <r>
      <t>提供了从终端数据采集、网络平台、能源管理及运维软件平台；公司专注于中低压电器领域，坚持中高端品牌战略，持续深耕细分行业，已经在轨道交通、通讯数据、场馆建筑、医院、精密制造等公共基础设施建设、大型工业企业高端客户市场逐步实现进口替代。
配电电器 1.55亿 35.60%（毛利40.61%，</t>
    </r>
    <r>
      <rPr>
        <b/>
        <sz val="9"/>
        <color rgb="FFFF0000"/>
        <rFont val="宋体"/>
        <family val="3"/>
        <charset val="134"/>
        <scheme val="minor"/>
      </rPr>
      <t>增速50.99%</t>
    </r>
    <r>
      <rPr>
        <sz val="9"/>
        <color theme="1"/>
        <rFont val="宋体"/>
        <family val="2"/>
        <charset val="134"/>
        <scheme val="minor"/>
      </rPr>
      <t>）
变压器设备 1.42亿 32.61%（毛利21.44%，增速7.37%）
电源电器 6884.48万 15.79%（毛利59.53%，</t>
    </r>
    <r>
      <rPr>
        <sz val="9"/>
        <color rgb="FFFF0000"/>
        <rFont val="宋体"/>
        <family val="3"/>
        <charset val="134"/>
        <scheme val="minor"/>
      </rPr>
      <t>增速32.59%</t>
    </r>
    <r>
      <rPr>
        <sz val="9"/>
        <color theme="1"/>
        <rFont val="宋体"/>
        <family val="2"/>
        <charset val="134"/>
        <scheme val="minor"/>
      </rPr>
      <t>）
成套设备 6820.83万 15.65%（毛利22.63%，</t>
    </r>
    <r>
      <rPr>
        <b/>
        <sz val="9"/>
        <color rgb="FFFF0000"/>
        <rFont val="宋体"/>
        <family val="3"/>
        <charset val="134"/>
        <scheme val="minor"/>
      </rPr>
      <t>增速65.47%</t>
    </r>
    <r>
      <rPr>
        <sz val="9"/>
        <color theme="1"/>
        <rFont val="宋体"/>
        <family val="2"/>
        <charset val="134"/>
        <scheme val="minor"/>
      </rPr>
      <t>）
其他 152.76万 0.35%（毛利39.73%，增速116.80%）</t>
    </r>
    <phoneticPr fontId="1" type="noConversion"/>
  </si>
  <si>
    <r>
      <t>2019年5月上市，2020年2月底~3月底有过一次12~35的拉升，随后一年半收敛于目前的14元左右；对应14元的估值pe和pb在上市后的底部，略低于2020年2月拉升前的估值；但再线缆细分行业中处于中间位置（28在14~60）</t>
    </r>
    <r>
      <rPr>
        <sz val="9"/>
        <color theme="1"/>
        <rFont val="宋体"/>
        <family val="2"/>
        <charset val="134"/>
        <scheme val="minor"/>
      </rPr>
      <t xml:space="preserve">
公司多年来专注于橡套电缆的研发、生产与销售，在橡套电缆领域积累了丰富的经验，树立了较高的知名度，具有较强的规模优势；
空调连接线组件 7.13亿 43.78% 毛利19.64% 增速56.41%
特种装备电缆 4.50亿 27.61% 毛利15.07% 增速35.13%
小家电配线组件 4.12亿 25.32% 毛利16.46% 增速45.68%
其他 5367.01万 3.29% 毛利-1.40% 增速241.92%
2021H1新增了这项业务：
</t>
    </r>
    <r>
      <rPr>
        <b/>
        <sz val="9"/>
        <color rgb="FFFF0000"/>
        <rFont val="宋体"/>
        <family val="3"/>
        <charset val="134"/>
        <scheme val="minor"/>
      </rPr>
      <t>通信装备组件 401,993,341.34 26.58%</t>
    </r>
    <phoneticPr fontId="1" type="noConversion"/>
  </si>
  <si>
    <t>12.06亿</t>
  </si>
  <si>
    <t xml:space="preserve">
</t>
    <phoneticPr fontId="1" type="noConversion"/>
  </si>
  <si>
    <r>
      <t>1.问：与中天科技、东方电缆等头部企业相比，公司在海缆上的研发投入、产品竞争力有哪些提升？（比如东方电缆的脐带缆）答：公司注重科研投入，在即墨女岛投资扩大海缆产能。公司</t>
    </r>
    <r>
      <rPr>
        <sz val="9"/>
        <color rgb="FFFF0000"/>
        <rFont val="宋体"/>
        <family val="3"/>
        <charset val="134"/>
        <scheme val="minor"/>
      </rPr>
      <t>在高压、超高压、交联电缆领域技术优势明显</t>
    </r>
    <r>
      <rPr>
        <sz val="9"/>
        <color theme="1"/>
        <rFont val="宋体"/>
        <family val="3"/>
        <charset val="134"/>
        <scheme val="minor"/>
      </rPr>
      <t>，其中110Kv-500Kv交联电缆、110kv-220kv电缆附件等产品在行业内有绝对的技术领先优势，公司是国内少数提供高压及超高压电缆、附件生产、安装、竣工检验的供应商之一。</t>
    </r>
    <phoneticPr fontId="1" type="noConversion"/>
  </si>
  <si>
    <r>
      <t>1.海缆市场</t>
    </r>
    <r>
      <rPr>
        <sz val="9"/>
        <color rgb="FFFF0000"/>
        <rFont val="宋体"/>
        <family val="3"/>
        <charset val="134"/>
        <scheme val="minor"/>
      </rPr>
      <t>竞争一直很激烈</t>
    </r>
    <r>
      <rPr>
        <sz val="9"/>
        <color theme="1"/>
        <rFont val="宋体"/>
        <family val="3"/>
        <charset val="134"/>
        <scheme val="minor"/>
      </rPr>
      <t>。海缆产品目前整体毛利较高，但产品结构设计、工艺路线制定、产品制造和发运、施工等过程都有较高的专业要求，占用公司各项服务和资源也较高。而且由于交货周期较长，期间的材料价格波动、施工环境变化等也影响了不同工程项目的海缆产品毛利水平有所波动;</t>
    </r>
    <phoneticPr fontId="1" type="noConversion"/>
  </si>
  <si>
    <t>-1.87亿</t>
  </si>
  <si>
    <t>12.48亿</t>
  </si>
  <si>
    <t>12.73亿</t>
  </si>
  <si>
    <t>6.49亿</t>
  </si>
  <si>
    <t>7.63亿</t>
  </si>
  <si>
    <t>9.89亿</t>
  </si>
  <si>
    <t>70.08亿</t>
  </si>
  <si>
    <t>12.84亿</t>
  </si>
  <si>
    <t>-1.67亿</t>
  </si>
  <si>
    <t>16.91亿</t>
  </si>
  <si>
    <t>15.79亿</t>
  </si>
  <si>
    <t>34.65亿</t>
  </si>
  <si>
    <t>SZ301359</t>
  </si>
  <si>
    <t>东南电子</t>
  </si>
  <si>
    <t>6028.48万</t>
  </si>
  <si>
    <t>6389.50万</t>
  </si>
  <si>
    <t>5725.18万</t>
  </si>
  <si>
    <t>5265.95万</t>
  </si>
  <si>
    <t>SZ301361</t>
  </si>
  <si>
    <t>众智科技</t>
  </si>
  <si>
    <t>6812.43万</t>
  </si>
  <si>
    <t>6050.56万</t>
  </si>
  <si>
    <t>4983.27万</t>
  </si>
  <si>
    <t>3684.77万</t>
  </si>
  <si>
    <t>SZ301388</t>
  </si>
  <si>
    <t>欣灵电气</t>
  </si>
  <si>
    <t>8214.87万</t>
  </si>
  <si>
    <t>8351.64万</t>
  </si>
  <si>
    <t>4850.84万</t>
  </si>
  <si>
    <t>5411.89万</t>
  </si>
  <si>
    <t>17.54亿</t>
  </si>
  <si>
    <t>26.03亿</t>
  </si>
  <si>
    <t>19.28亿</t>
  </si>
  <si>
    <t>17.74亿</t>
  </si>
  <si>
    <t>131.03亿</t>
  </si>
  <si>
    <t>32.03亿</t>
  </si>
  <si>
    <t>17.57亿</t>
  </si>
  <si>
    <t>10派1元(含税)</t>
  </si>
  <si>
    <t>不分配不转增</t>
  </si>
  <si>
    <t>10派0.6元(含税)</t>
  </si>
  <si>
    <t>10派0.8元(含税)</t>
  </si>
  <si>
    <t>10派0.3元(含税)</t>
  </si>
  <si>
    <t>10派2元(含税)</t>
  </si>
  <si>
    <t>10派0.2元(含税)</t>
  </si>
  <si>
    <t>10派0.5元(含税)</t>
  </si>
  <si>
    <t>10派2.5元(含税)</t>
  </si>
  <si>
    <t>10派0.1元(含税)</t>
  </si>
  <si>
    <t>10派3.5元(含税)</t>
  </si>
  <si>
    <t>10派0.7元(含税)</t>
  </si>
  <si>
    <t>10派0.36元(含税)</t>
  </si>
  <si>
    <t>10派3元(含税)</t>
  </si>
  <si>
    <t>10派1.2元(含税)</t>
  </si>
  <si>
    <t>10派1.6元(含税)</t>
  </si>
  <si>
    <t>10派2.2元(含税)</t>
  </si>
  <si>
    <t>10派1.5元(含税)</t>
  </si>
  <si>
    <t>10派0.4元(含税)</t>
  </si>
  <si>
    <t>10派5元(含税)</t>
  </si>
  <si>
    <t>10派0.55元(含税)</t>
  </si>
  <si>
    <t>10派4.5元(含税)</t>
  </si>
  <si>
    <t>10派1.8元(含税)</t>
  </si>
  <si>
    <t>10派6元(含税)</t>
  </si>
  <si>
    <t>6.11亿</t>
  </si>
  <si>
    <t>10派4元(含税)</t>
  </si>
  <si>
    <t>10派6.0元(含税)</t>
  </si>
  <si>
    <t>1-0</t>
  </si>
  <si>
    <t>-1-0</t>
  </si>
  <si>
    <t>1-1</t>
  </si>
  <si>
    <t>-1-1</t>
  </si>
  <si>
    <t>3-0</t>
  </si>
  <si>
    <t>2-0</t>
  </si>
  <si>
    <t>-2-0</t>
  </si>
  <si>
    <t>2-1</t>
  </si>
  <si>
    <t>-2-1</t>
  </si>
  <si>
    <t>SZ301386</t>
  </si>
  <si>
    <t>未来电器</t>
  </si>
  <si>
    <t>8241.79万</t>
  </si>
  <si>
    <t>9702.44万</t>
  </si>
  <si>
    <t>SZ301439</t>
  </si>
  <si>
    <t>泓淋电力</t>
  </si>
  <si>
    <t>3-1</t>
  </si>
  <si>
    <t>10派6.5元(含税)</t>
  </si>
  <si>
    <t>54.60亿</t>
  </si>
  <si>
    <t>SZ000720</t>
  </si>
  <si>
    <t>新能泰山</t>
  </si>
  <si>
    <t>39.84亿</t>
  </si>
  <si>
    <t>41.81亿</t>
  </si>
  <si>
    <t>35.80亿</t>
  </si>
  <si>
    <t>10.98亿</t>
  </si>
  <si>
    <t>10转4股派5元(含税)</t>
  </si>
  <si>
    <t>7.49亿</t>
  </si>
  <si>
    <t>105.37亿</t>
  </si>
  <si>
    <t>15.28亿</t>
  </si>
  <si>
    <t>3002.01万</t>
  </si>
  <si>
    <t>4268.22万</t>
  </si>
  <si>
    <t>35.39亿</t>
  </si>
  <si>
    <t>21.00亿</t>
  </si>
  <si>
    <t>SZ002168</t>
  </si>
  <si>
    <t>惠程科技</t>
  </si>
  <si>
    <t>-2.23亿</t>
  </si>
  <si>
    <t>-11.85亿</t>
  </si>
  <si>
    <t>23.52亿</t>
  </si>
  <si>
    <t>4227.88万</t>
  </si>
  <si>
    <t>-2.10亿</t>
  </si>
  <si>
    <t>22.22亿</t>
  </si>
  <si>
    <t>9.40亿</t>
  </si>
  <si>
    <t>146.75亿</t>
  </si>
  <si>
    <t>81.66亿</t>
  </si>
  <si>
    <t>103.82亿</t>
  </si>
  <si>
    <t>100.34亿</t>
  </si>
  <si>
    <t>150.70亿</t>
  </si>
  <si>
    <t>-41.88亿</t>
  </si>
  <si>
    <t>-3.74亿</t>
  </si>
  <si>
    <t>-2789.22万</t>
  </si>
  <si>
    <t>5.64亿</t>
  </si>
  <si>
    <t>1564.13万</t>
  </si>
  <si>
    <t>森源电气</t>
  </si>
  <si>
    <t>24.07亿</t>
  </si>
  <si>
    <t>3816.85万</t>
  </si>
  <si>
    <t>16.09亿</t>
  </si>
  <si>
    <t>121.28亿</t>
  </si>
  <si>
    <t>1466.69万</t>
  </si>
  <si>
    <t>58.91亿</t>
  </si>
  <si>
    <t>98.42亿</t>
  </si>
  <si>
    <t>3.00亿</t>
  </si>
  <si>
    <t>39.73亿</t>
  </si>
  <si>
    <t>132.03亿</t>
  </si>
  <si>
    <t>1116.31万</t>
  </si>
  <si>
    <t>23.55亿</t>
  </si>
  <si>
    <t>76.13亿</t>
  </si>
  <si>
    <t>31.68亿</t>
  </si>
  <si>
    <t>-2.55亿</t>
  </si>
  <si>
    <t>-1.30亿</t>
  </si>
  <si>
    <t>30.18亿</t>
  </si>
  <si>
    <t>6795.70万</t>
  </si>
  <si>
    <t>41.57亿</t>
  </si>
  <si>
    <t>8.63亿</t>
  </si>
  <si>
    <t>1294.47万</t>
  </si>
  <si>
    <t>10.27亿</t>
  </si>
  <si>
    <t>35.26亿</t>
  </si>
  <si>
    <t>8387.45万</t>
  </si>
  <si>
    <t>10.22亿</t>
  </si>
  <si>
    <t>9824.27万</t>
  </si>
  <si>
    <t>116.30亿</t>
  </si>
  <si>
    <t>35.09亿</t>
  </si>
  <si>
    <t>-2.92亿</t>
  </si>
  <si>
    <t>-1017.88万</t>
  </si>
  <si>
    <t>33.32亿</t>
  </si>
  <si>
    <t>8171.40万</t>
  </si>
  <si>
    <t>3032.57万</t>
  </si>
  <si>
    <t>19.14亿</t>
  </si>
  <si>
    <t>-9.81亿</t>
  </si>
  <si>
    <t>-1.72亿</t>
  </si>
  <si>
    <t>11.66亿</t>
  </si>
  <si>
    <t>7.22亿</t>
  </si>
  <si>
    <t>9876.06万</t>
  </si>
  <si>
    <t>-2.37亿</t>
  </si>
  <si>
    <t>29.00亿</t>
  </si>
  <si>
    <t>6.79亿</t>
  </si>
  <si>
    <t>18.52亿</t>
  </si>
  <si>
    <t>7585.88万</t>
  </si>
  <si>
    <t>10派1.3元(含税)</t>
  </si>
  <si>
    <t>7628.72万</t>
  </si>
  <si>
    <t>6593.56万</t>
  </si>
  <si>
    <t>1100.00万</t>
  </si>
  <si>
    <t>19.11亿</t>
  </si>
  <si>
    <t>7900.38万</t>
  </si>
  <si>
    <t>9754.20万</t>
  </si>
  <si>
    <t>19.45亿</t>
  </si>
  <si>
    <t>51.93亿</t>
  </si>
  <si>
    <t>5995.58万</t>
  </si>
  <si>
    <t>6097.24万</t>
  </si>
  <si>
    <t>4049.25万</t>
  </si>
  <si>
    <t>6051.90万</t>
  </si>
  <si>
    <t>5612.91万</t>
  </si>
  <si>
    <t>92.74亿</t>
  </si>
  <si>
    <t>468.29亿</t>
  </si>
  <si>
    <t>64.46亿</t>
  </si>
  <si>
    <t>10派1.35元(含税)</t>
  </si>
  <si>
    <t>22.33亿</t>
  </si>
  <si>
    <t>-11.47亿</t>
  </si>
  <si>
    <t>34.46亿</t>
  </si>
  <si>
    <t>175.42亿</t>
  </si>
  <si>
    <t>10转4股派5.5元(含税)</t>
  </si>
  <si>
    <t>216.80亿</t>
  </si>
  <si>
    <t>414.82亿</t>
  </si>
  <si>
    <t>429.89亿</t>
  </si>
  <si>
    <t>50.78亿</t>
  </si>
  <si>
    <t>141.81亿</t>
  </si>
  <si>
    <t>158.06亿</t>
  </si>
  <si>
    <t>90.98亿</t>
  </si>
  <si>
    <t>5936.45万</t>
  </si>
  <si>
    <t>27.39亿</t>
  </si>
  <si>
    <t>3224.80万</t>
  </si>
  <si>
    <t>390.33亿</t>
  </si>
  <si>
    <t>33.68亿</t>
  </si>
  <si>
    <t>6710.12万</t>
  </si>
  <si>
    <t>26.23亿</t>
  </si>
  <si>
    <t>20.17亿</t>
  </si>
  <si>
    <t>9125.69万</t>
  </si>
  <si>
    <t>4912.62万</t>
  </si>
  <si>
    <t>-1.86亿</t>
  </si>
  <si>
    <t>36.09亿</t>
  </si>
  <si>
    <t>9.97亿</t>
  </si>
  <si>
    <t>32.14亿</t>
  </si>
  <si>
    <t>7124.98万</t>
  </si>
  <si>
    <t>70.09亿</t>
  </si>
  <si>
    <t>81.41亿</t>
  </si>
  <si>
    <t>29.59亿</t>
  </si>
  <si>
    <t>7536.01万</t>
  </si>
  <si>
    <t>13.01亿</t>
  </si>
  <si>
    <t>7429.93万</t>
  </si>
  <si>
    <t>3567.38万</t>
  </si>
  <si>
    <t>100.26亿</t>
  </si>
  <si>
    <t>24.37亿</t>
  </si>
  <si>
    <t>4512.60万</t>
  </si>
  <si>
    <t>206.44亿</t>
  </si>
  <si>
    <t>18.42亿</t>
  </si>
  <si>
    <t>2799.30万</t>
  </si>
  <si>
    <t>6991.30万</t>
  </si>
  <si>
    <t>12.19亿</t>
  </si>
  <si>
    <t>7925.93万</t>
  </si>
  <si>
    <t>6363.84万</t>
  </si>
  <si>
    <t>47.46亿</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</si>
  <si>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</si>
  <si>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</si>
  <si>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</si>
  <si>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</si>
  <si>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</si>
  <si>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</si>
  <si>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</si>
  <si>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</si>
  <si>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</si>
  <si>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</si>
  <si>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</si>
  <si>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</si>
  <si>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</si>
  <si>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</si>
  <si>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</si>
  <si>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</si>
  <si>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</si>
  <si>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</si>
  <si>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</si>
  <si>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</si>
  <si>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</si>
  <si>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</si>
  <si>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</si>
  <si>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</si>
  <si>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</si>
  <si>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</si>
  <si>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</si>
  <si>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</si>
  <si>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</si>
  <si>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</si>
  <si>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</si>
  <si>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</si>
  <si>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</si>
  <si>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</si>
  <si>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</si>
  <si>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</si>
  <si>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</si>
  <si>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</si>
  <si>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</si>
  <si>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</si>
  <si>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</si>
  <si>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</si>
  <si>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</si>
  <si>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</si>
  <si>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</si>
  <si>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</si>
  <si>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</si>
  <si>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</si>
  <si>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</si>
  <si>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</si>
  <si>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</si>
  <si>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</si>
  <si>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</si>
  <si>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</si>
  <si>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</si>
  <si>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</si>
  <si>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</si>
  <si>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</si>
  <si>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</si>
  <si>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</si>
  <si>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</si>
  <si>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</si>
  <si>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</si>
  <si>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</si>
  <si>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</si>
  <si>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</si>
  <si>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</si>
  <si>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</si>
  <si>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</si>
  <si>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</si>
  <si>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</si>
  <si>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</si>
  <si>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</si>
  <si>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</si>
  <si>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</si>
  <si>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</si>
  <si>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</si>
  <si>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</si>
  <si>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</si>
  <si>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</si>
  <si>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</si>
  <si>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</si>
  <si>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</si>
  <si>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</si>
  <si>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</si>
  <si>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</si>
  <si>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</si>
  <si>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</si>
  <si>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</si>
  <si>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6.87亿</t>
  </si>
  <si>
    <t>8.88亿</t>
  </si>
  <si>
    <t>12.86亿</t>
  </si>
  <si>
    <t>10.41亿</t>
  </si>
  <si>
    <t>5.20亿</t>
  </si>
  <si>
    <t>16.65亿</t>
  </si>
  <si>
    <t>27.76亿</t>
  </si>
  <si>
    <t>11.28亿</t>
  </si>
  <si>
    <t>4111.40万</t>
  </si>
  <si>
    <t>-1.57亿</t>
  </si>
  <si>
    <t>8.18亿</t>
  </si>
  <si>
    <t>17.24亿</t>
  </si>
  <si>
    <t>7.23亿</t>
  </si>
  <si>
    <t>18.15万</t>
  </si>
  <si>
    <t>14.02亿</t>
  </si>
  <si>
    <t>8.73亿</t>
  </si>
  <si>
    <t>9.95亿</t>
  </si>
  <si>
    <t>36.50亿</t>
  </si>
  <si>
    <t>459.74亿</t>
  </si>
  <si>
    <t>东方电缆</t>
  </si>
  <si>
    <t>-1.10亿</t>
  </si>
  <si>
    <t>-3.91亿</t>
  </si>
  <si>
    <t>9.12亿</t>
  </si>
  <si>
    <t>16.17亿</t>
  </si>
  <si>
    <t>金盘科技</t>
  </si>
  <si>
    <t>4-0</t>
  </si>
  <si>
    <t>-3-0</t>
  </si>
  <si>
    <t>4-1</t>
  </si>
  <si>
    <t>SZ301291</t>
  </si>
  <si>
    <t>明阳电气</t>
  </si>
  <si>
    <t>32.36亿</t>
  </si>
  <si>
    <t>SZ301295</t>
  </si>
  <si>
    <t>美硕科技</t>
  </si>
  <si>
    <t>SH688450</t>
  </si>
  <si>
    <t>光格科技</t>
  </si>
  <si>
    <t>6606.24万</t>
  </si>
  <si>
    <t>42.00亿</t>
  </si>
  <si>
    <t>-3-1</t>
  </si>
  <si>
    <t>-1.08亿</t>
  </si>
  <si>
    <t>22.92亿</t>
  </si>
  <si>
    <t>19.61亿</t>
  </si>
  <si>
    <t>10.93亿</t>
  </si>
  <si>
    <t>5.89亿</t>
  </si>
  <si>
    <t>9.03亿</t>
  </si>
  <si>
    <t>-1.14亿</t>
  </si>
  <si>
    <t>30.75亿</t>
  </si>
  <si>
    <t>-3.90亿</t>
  </si>
  <si>
    <t>12.38亿</t>
  </si>
  <si>
    <t>-1.24亿</t>
  </si>
  <si>
    <t>900.00万</t>
  </si>
  <si>
    <t>8.52亿</t>
  </si>
  <si>
    <t>4.94亿</t>
  </si>
  <si>
    <t>12.30亿</t>
  </si>
  <si>
    <t>15.93亿</t>
  </si>
  <si>
    <t>27.99亿</t>
  </si>
  <si>
    <t>15.59亿</t>
  </si>
  <si>
    <t>16.72亿</t>
  </si>
  <si>
    <t>15.52亿</t>
  </si>
  <si>
    <t>16.25亿</t>
  </si>
  <si>
    <t>9.32亿</t>
  </si>
  <si>
    <t>14.45亿</t>
  </si>
  <si>
    <t>-4.26亿</t>
  </si>
  <si>
    <t>12.18亿</t>
  </si>
  <si>
    <t>32.07亿</t>
  </si>
  <si>
    <t>15.76亿</t>
  </si>
  <si>
    <t>17.22亿</t>
  </si>
  <si>
    <t>19.77亿</t>
  </si>
  <si>
    <t>10.49亿</t>
  </si>
  <si>
    <t>*ST红相</t>
  </si>
  <si>
    <t>48.01亿</t>
  </si>
  <si>
    <t>7.27亿</t>
  </si>
  <si>
    <t>11.79亿</t>
  </si>
  <si>
    <t>5.91亿</t>
  </si>
  <si>
    <t>20.67亿</t>
  </si>
  <si>
    <t>20.01亿</t>
  </si>
  <si>
    <t>5.88亿</t>
  </si>
  <si>
    <t>9.17亿</t>
  </si>
  <si>
    <t>5.90亿</t>
  </si>
  <si>
    <t>13.02亿</t>
  </si>
  <si>
    <t>-7854.82万</t>
  </si>
  <si>
    <t>1990.12万</t>
  </si>
  <si>
    <t>18.54亿</t>
  </si>
  <si>
    <t>16.60亿</t>
  </si>
  <si>
    <t>6690.34万</t>
  </si>
  <si>
    <t>6714.73万</t>
  </si>
  <si>
    <t>5988.23万</t>
  </si>
  <si>
    <t>3119.05万</t>
  </si>
  <si>
    <t>11.77亿</t>
  </si>
  <si>
    <t>20.02亿</t>
  </si>
  <si>
    <t>40.51亿</t>
  </si>
  <si>
    <t>16.14亿</t>
  </si>
  <si>
    <t>42.96亿</t>
  </si>
  <si>
    <t>13.54亿</t>
  </si>
  <si>
    <t>11.69亿</t>
  </si>
  <si>
    <t>8.30亿</t>
  </si>
  <si>
    <t>24.96亿</t>
  </si>
  <si>
    <t>18.08亿</t>
  </si>
  <si>
    <t>-1.40亿</t>
  </si>
  <si>
    <t>12.68亿</t>
  </si>
  <si>
    <t>8.46亿</t>
  </si>
  <si>
    <t>21.21亿</t>
  </si>
  <si>
    <t>16.16亿</t>
  </si>
  <si>
    <t>3524.31万</t>
  </si>
  <si>
    <t>1638.17万</t>
  </si>
  <si>
    <t>7.52亿</t>
  </si>
  <si>
    <t>9.07亿</t>
  </si>
  <si>
    <t>10.56亿</t>
  </si>
  <si>
    <t>10.62亿</t>
  </si>
  <si>
    <t>20.43亿</t>
  </si>
  <si>
    <t>10.96亿</t>
  </si>
  <si>
    <t>12.12亿</t>
  </si>
  <si>
    <t>-1.37亿</t>
  </si>
  <si>
    <t>16.85亿</t>
  </si>
  <si>
    <t>23.87亿</t>
  </si>
  <si>
    <t>14.96亿</t>
  </si>
  <si>
    <t>12.90亿</t>
  </si>
  <si>
    <t>20.04亿</t>
  </si>
  <si>
    <t>18.38亿</t>
  </si>
  <si>
    <t>25.12亿</t>
  </si>
  <si>
    <t>17.63亿</t>
  </si>
  <si>
    <t>-2.12亿</t>
  </si>
  <si>
    <t>39.45亿</t>
  </si>
  <si>
    <t>17.65亿</t>
  </si>
  <si>
    <t>9.82亿</t>
  </si>
  <si>
    <t>28.71亿</t>
  </si>
  <si>
    <t>24.79亿</t>
  </si>
  <si>
    <t>-1.43亿</t>
  </si>
  <si>
    <t>远程股份</t>
  </si>
  <si>
    <t>28.79亿</t>
  </si>
  <si>
    <t>22.18亿</t>
  </si>
  <si>
    <t>19.64亿</t>
  </si>
  <si>
    <t>17.30亿</t>
  </si>
  <si>
    <t>4153.35万</t>
  </si>
  <si>
    <t>35.22亿</t>
  </si>
  <si>
    <t>12.74亿</t>
  </si>
  <si>
    <t>84.86亿</t>
  </si>
  <si>
    <t>36.72亿</t>
  </si>
  <si>
    <t>9.66亿</t>
  </si>
  <si>
    <t>22.11亿</t>
  </si>
  <si>
    <t>20.93亿</t>
  </si>
  <si>
    <t>33.09亿</t>
  </si>
  <si>
    <t>2951.26万</t>
  </si>
  <si>
    <t>29.47亿</t>
  </si>
  <si>
    <t>-1.91亿</t>
  </si>
  <si>
    <t>14.22亿</t>
  </si>
  <si>
    <t>6825.52万</t>
  </si>
  <si>
    <t>20.90亿</t>
  </si>
  <si>
    <t>9.85亿</t>
  </si>
  <si>
    <t>24.51亿</t>
  </si>
  <si>
    <t>11.46亿</t>
  </si>
  <si>
    <t>500.00万</t>
  </si>
  <si>
    <t>8.98亿</t>
  </si>
  <si>
    <t>10.08亿</t>
  </si>
  <si>
    <t>2022.00万</t>
  </si>
  <si>
    <t>4.34亿</t>
  </si>
  <si>
    <t>15.10亿</t>
  </si>
  <si>
    <t>19.81亿</t>
  </si>
  <si>
    <t>11.17亿</t>
  </si>
  <si>
    <t>9.77亿</t>
  </si>
  <si>
    <t>69.01亿</t>
  </si>
  <si>
    <t>26.09亿</t>
  </si>
  <si>
    <t>14.66亿</t>
  </si>
  <si>
    <t>-2.18亿</t>
  </si>
  <si>
    <t>37.65亿</t>
  </si>
  <si>
    <t>-1.93亿</t>
  </si>
  <si>
    <t>17.41亿</t>
  </si>
  <si>
    <t>31.02亿</t>
  </si>
  <si>
    <t>SH603312</t>
  </si>
  <si>
    <t>西典新能</t>
  </si>
  <si>
    <t>-4-1</t>
  </si>
  <si>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</si>
  <si>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</si>
  <si>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</si>
  <si>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</si>
  <si>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</si>
  <si>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</si>
  <si>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</si>
  <si>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</si>
  <si>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</si>
  <si>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-5-1</t>
  </si>
  <si>
    <t>-6-1</t>
  </si>
  <si>
    <t>SH601096</t>
  </si>
  <si>
    <t>宏盛华源</t>
  </si>
  <si>
    <t>87.71亿</t>
  </si>
  <si>
    <t>-1.16亿</t>
  </si>
  <si>
    <r>
      <t>0.2019年5月，公司收购在分接开关行业享有极高知名度也是国内最大 竞争对手的贵州长征电气有限公司，成为分接开关行业国内第一、全球第二大公司。1.分接开关是特高压领域</t>
    </r>
    <r>
      <rPr>
        <b/>
        <sz val="9"/>
        <color rgb="FFFF0000"/>
        <rFont val="宋体"/>
        <family val="3"/>
        <charset val="134"/>
        <scheme val="minor"/>
      </rPr>
      <t>最后待完成国产化</t>
    </r>
    <r>
      <rPr>
        <sz val="9"/>
        <color theme="1"/>
        <rFont val="宋体"/>
        <family val="3"/>
        <charset val="134"/>
        <scheme val="minor"/>
      </rPr>
      <t>的产品（特别在特高压，超高压有赖于从</t>
    </r>
    <r>
      <rPr>
        <sz val="9"/>
        <color rgb="FFFF0000"/>
        <rFont val="宋体"/>
        <family val="3"/>
        <charset val="134"/>
        <scheme val="minor"/>
      </rPr>
      <t xml:space="preserve"> MR、ABB</t>
    </r>
    <r>
      <rPr>
        <sz val="9"/>
        <color theme="1"/>
        <rFont val="宋体"/>
        <family val="3"/>
        <charset val="134"/>
        <scheme val="minor"/>
      </rPr>
      <t xml:space="preserve"> 等企业进口）。</t>
    </r>
    <phoneticPr fontId="1" type="noConversion"/>
  </si>
  <si>
    <t>0.分接开关用于稳定电网电压，是变压器的关键核心组件。1.华明装备是中国电力变压器分接开关生产企业，是国内唯一拥有两大分接开关生 产基地的专业厂家。2.海外市场，以及检修，自动化改进是新的增长曲线；</t>
    <phoneticPr fontId="1" type="noConversion"/>
  </si>
  <si>
    <t>5-0</t>
  </si>
  <si>
    <t>-6-0</t>
  </si>
  <si>
    <t>-7-1</t>
  </si>
  <si>
    <t>24.66亿</t>
  </si>
  <si>
    <t>SZ002298</t>
  </si>
  <si>
    <t>中电兴发</t>
  </si>
  <si>
    <t>-8.60亿</t>
  </si>
  <si>
    <t>27.71亿</t>
  </si>
  <si>
    <t>27.56亿</t>
  </si>
  <si>
    <t>24.56亿</t>
  </si>
  <si>
    <t>*ST中利</t>
  </si>
  <si>
    <t>14.90亿</t>
  </si>
  <si>
    <t>102.10亿</t>
  </si>
  <si>
    <t>28.10亿</t>
  </si>
  <si>
    <t>170.61亿</t>
  </si>
  <si>
    <t>226186亿</t>
  </si>
  <si>
    <t>226092360亿</t>
  </si>
  <si>
    <t>7316834600亿</t>
  </si>
  <si>
    <t>18224174000亿</t>
  </si>
  <si>
    <t>150.30亿</t>
  </si>
  <si>
    <t>10派2.96元(含税)</t>
  </si>
  <si>
    <t>6437.41万</t>
  </si>
  <si>
    <t>13766730亿</t>
  </si>
  <si>
    <t>1265559410亿</t>
  </si>
  <si>
    <t>2065821800亿</t>
  </si>
  <si>
    <t>3150.87万</t>
  </si>
  <si>
    <t>1031.92万</t>
  </si>
  <si>
    <t>064374100</t>
  </si>
  <si>
    <t>0193122300</t>
  </si>
  <si>
    <t>0386244600</t>
  </si>
  <si>
    <t>0643741000</t>
  </si>
  <si>
    <t>01287482000</t>
  </si>
  <si>
    <t>61.12亿</t>
  </si>
  <si>
    <t>64.78亿</t>
  </si>
  <si>
    <t>1163274亿</t>
  </si>
  <si>
    <t>96187427亿</t>
  </si>
  <si>
    <t>1261574400亿</t>
  </si>
  <si>
    <t>9218433600亿</t>
  </si>
  <si>
    <t>7679.89万</t>
  </si>
  <si>
    <t>27.00亿</t>
  </si>
  <si>
    <t>14.57亿</t>
  </si>
  <si>
    <t>-6588.40万</t>
  </si>
  <si>
    <t>-11319235亿</t>
  </si>
  <si>
    <t>1272730970亿</t>
  </si>
  <si>
    <t>115.40万</t>
  </si>
  <si>
    <t>4728789000亿</t>
  </si>
  <si>
    <t>-2065.72万</t>
  </si>
  <si>
    <t>21.13亿</t>
  </si>
  <si>
    <t>45.59亿</t>
  </si>
  <si>
    <t>24.36亿</t>
  </si>
  <si>
    <t>34.70亿</t>
  </si>
  <si>
    <t>8650.30万</t>
  </si>
  <si>
    <t>6019222亿</t>
  </si>
  <si>
    <t>13883882亿</t>
  </si>
  <si>
    <t>1269918270亿</t>
  </si>
  <si>
    <t>2907193700亿</t>
  </si>
  <si>
    <t>1853.14万</t>
  </si>
  <si>
    <t>21.72亿</t>
  </si>
  <si>
    <t>25.62亿</t>
  </si>
  <si>
    <t>10派8元(含税)</t>
  </si>
  <si>
    <t>80.67亿</t>
  </si>
  <si>
    <t>26.58亿</t>
  </si>
  <si>
    <t>124.60亿</t>
  </si>
  <si>
    <t>8532407亿</t>
  </si>
  <si>
    <t>340905860亿</t>
  </si>
  <si>
    <t>4174610100亿</t>
  </si>
  <si>
    <t>14534124000亿</t>
  </si>
  <si>
    <t>6049.59万</t>
  </si>
  <si>
    <t>264753亿</t>
  </si>
  <si>
    <t>17594058亿</t>
  </si>
  <si>
    <t>745485650亿</t>
  </si>
  <si>
    <t>2196049600亿</t>
  </si>
  <si>
    <t>913.29万</t>
  </si>
  <si>
    <t>060495900</t>
  </si>
  <si>
    <t>0181487700</t>
  </si>
  <si>
    <t>0362975400</t>
  </si>
  <si>
    <t>0604959000</t>
  </si>
  <si>
    <t>01209918000</t>
  </si>
  <si>
    <t>8938.96万</t>
  </si>
  <si>
    <t>-1590007亿</t>
  </si>
  <si>
    <t>25453339亿</t>
  </si>
  <si>
    <t>518756460亿</t>
  </si>
  <si>
    <t>1643696800亿</t>
  </si>
  <si>
    <t>670.13万</t>
  </si>
  <si>
    <t>69.29亿</t>
  </si>
  <si>
    <t>10.44亿</t>
  </si>
  <si>
    <t>-5.29亿</t>
  </si>
  <si>
    <t>-5773879亿</t>
  </si>
  <si>
    <t>-17091632亿</t>
  </si>
  <si>
    <t>1183448900亿</t>
  </si>
  <si>
    <t>3197411200亿</t>
  </si>
  <si>
    <t>-4162.00万</t>
  </si>
  <si>
    <t>28.48亿</t>
  </si>
  <si>
    <t>10派2.6元(含税)</t>
  </si>
  <si>
    <t>3124.47万</t>
  </si>
  <si>
    <t>189.73万</t>
  </si>
  <si>
    <t>-347559亿</t>
  </si>
  <si>
    <t>-37215351亿</t>
  </si>
  <si>
    <t>187394920亿</t>
  </si>
  <si>
    <t>357329390亿</t>
  </si>
  <si>
    <t>4546.56万</t>
  </si>
  <si>
    <t>-2095.29万</t>
  </si>
  <si>
    <t>05691900</t>
  </si>
  <si>
    <t>011383800</t>
  </si>
  <si>
    <t>018973000</t>
  </si>
  <si>
    <t>037946000</t>
  </si>
  <si>
    <t>49.99亿</t>
  </si>
  <si>
    <t>27.34亿</t>
  </si>
  <si>
    <t>28.03亿</t>
  </si>
  <si>
    <t>88310亿</t>
  </si>
  <si>
    <t>-47020462亿</t>
  </si>
  <si>
    <t>1297960890亿</t>
  </si>
  <si>
    <t>3868307900亿</t>
  </si>
  <si>
    <t>22.65亿</t>
  </si>
  <si>
    <t>33.63亿</t>
  </si>
  <si>
    <t>4098334亿</t>
  </si>
  <si>
    <t>126368251亿</t>
  </si>
  <si>
    <t>670319650亿</t>
  </si>
  <si>
    <t>3135149100亿</t>
  </si>
  <si>
    <t>6004.58万</t>
  </si>
  <si>
    <t>10派5.5元(含税)</t>
  </si>
  <si>
    <t>83.37亿</t>
  </si>
  <si>
    <t>38.01亿</t>
  </si>
  <si>
    <t>151.21亿</t>
  </si>
  <si>
    <t>8540139亿</t>
  </si>
  <si>
    <t>51712605亿</t>
  </si>
  <si>
    <t>4887427800亿</t>
  </si>
  <si>
    <t>10217101600亿</t>
  </si>
  <si>
    <t>9171.49万</t>
  </si>
  <si>
    <t>30.87亿</t>
  </si>
  <si>
    <t>22.38亿</t>
  </si>
  <si>
    <t>-5.90亿</t>
  </si>
  <si>
    <t>-12635亿</t>
  </si>
  <si>
    <t>30730736亿</t>
  </si>
  <si>
    <t>1598785100亿</t>
  </si>
  <si>
    <t>4187672000亿</t>
  </si>
  <si>
    <t>-2636.74万</t>
  </si>
  <si>
    <t>135.45亿</t>
  </si>
  <si>
    <t>1021400亿</t>
  </si>
  <si>
    <t>24396340亿</t>
  </si>
  <si>
    <t>1603952400亿</t>
  </si>
  <si>
    <t>3854081200亿</t>
  </si>
  <si>
    <t>3436.90万</t>
  </si>
  <si>
    <t>82.77亿</t>
  </si>
  <si>
    <t>8.40亿</t>
  </si>
  <si>
    <t>-14.97亿</t>
  </si>
  <si>
    <t>-18684亿</t>
  </si>
  <si>
    <t>-181426950亿</t>
  </si>
  <si>
    <t>922268670亿</t>
  </si>
  <si>
    <t>3183600700亿</t>
  </si>
  <si>
    <t>53.56万</t>
  </si>
  <si>
    <t>-4.76亿</t>
  </si>
  <si>
    <t>11.22亿</t>
  </si>
  <si>
    <t>3094.34万</t>
  </si>
  <si>
    <t>6286118亿</t>
  </si>
  <si>
    <t>-82953594亿</t>
  </si>
  <si>
    <t>1129097440亿</t>
  </si>
  <si>
    <t>3039948700亿</t>
  </si>
  <si>
    <t>-7238.94万</t>
  </si>
  <si>
    <t>9.65亿</t>
  </si>
  <si>
    <t>-32541284亿</t>
  </si>
  <si>
    <t>2181744亿</t>
  </si>
  <si>
    <t>494898130亿</t>
  </si>
  <si>
    <t>832007720亿</t>
  </si>
  <si>
    <t>3393.70万</t>
  </si>
  <si>
    <t>10派2.0元(含税)</t>
  </si>
  <si>
    <t>186203亿</t>
  </si>
  <si>
    <t>-18865174亿</t>
  </si>
  <si>
    <t>493339280亿</t>
  </si>
  <si>
    <t>1484770800亿</t>
  </si>
  <si>
    <t>21.04万</t>
  </si>
  <si>
    <t>-3477.21万</t>
  </si>
  <si>
    <t>31.77亿</t>
  </si>
  <si>
    <t>26.37亿</t>
  </si>
  <si>
    <t>7389.84万</t>
  </si>
  <si>
    <t>27583170亿</t>
  </si>
  <si>
    <t>3179350900亿</t>
  </si>
  <si>
    <t>3925699700亿</t>
  </si>
  <si>
    <t>92.87万</t>
  </si>
  <si>
    <t>20.45亿</t>
  </si>
  <si>
    <t>31.31亿</t>
  </si>
  <si>
    <t>8.29万</t>
  </si>
  <si>
    <t>1345.12万</t>
  </si>
  <si>
    <t>19.12亿</t>
  </si>
  <si>
    <t>23.02亿</t>
  </si>
  <si>
    <t>119.15亿</t>
  </si>
  <si>
    <t>-1228724亿</t>
  </si>
  <si>
    <t>135188760亿</t>
  </si>
  <si>
    <t>1663931700亿</t>
  </si>
  <si>
    <t>5789413800亿</t>
  </si>
  <si>
    <t>1900.00万</t>
  </si>
  <si>
    <t>1616.28万</t>
  </si>
  <si>
    <t>3624605亿</t>
  </si>
  <si>
    <t>-801699亿</t>
  </si>
  <si>
    <t>491772490亿</t>
  </si>
  <si>
    <t>1040193210亿</t>
  </si>
  <si>
    <t>651.99万</t>
  </si>
  <si>
    <t>22.61亿</t>
  </si>
  <si>
    <t>2728829亿</t>
  </si>
  <si>
    <t>25762893亿</t>
  </si>
  <si>
    <t>790993680亿</t>
  </si>
  <si>
    <t>2145917100亿</t>
  </si>
  <si>
    <t>5796.84万</t>
  </si>
  <si>
    <t>2040.50万</t>
  </si>
  <si>
    <t>39.91亿</t>
  </si>
  <si>
    <t>61.11亿</t>
  </si>
  <si>
    <t>-34485亿</t>
  </si>
  <si>
    <t>-28354180亿</t>
  </si>
  <si>
    <t>2114113400亿</t>
  </si>
  <si>
    <t>3895773100亿</t>
  </si>
  <si>
    <t>18.76亿</t>
  </si>
  <si>
    <t>-4789.83万</t>
  </si>
  <si>
    <t>-4414.02万</t>
  </si>
  <si>
    <t>10派0.31元(含税)</t>
  </si>
  <si>
    <t>0753000000</t>
  </si>
  <si>
    <t>01506000000</t>
  </si>
  <si>
    <t>02510000000</t>
  </si>
  <si>
    <t>05020000000</t>
  </si>
  <si>
    <t>26.08亿</t>
  </si>
  <si>
    <t>96.58亿</t>
  </si>
  <si>
    <t>29188069亿</t>
  </si>
  <si>
    <t>186992810亿</t>
  </si>
  <si>
    <t>3480428200亿</t>
  </si>
  <si>
    <t>7471980400亿</t>
  </si>
  <si>
    <t>36.37亿</t>
  </si>
  <si>
    <t>11.48亿</t>
  </si>
  <si>
    <t>46.47亿</t>
  </si>
  <si>
    <t>152.93亿</t>
  </si>
  <si>
    <t>4460132亿</t>
  </si>
  <si>
    <t>124369057亿</t>
  </si>
  <si>
    <t>2259298600亿</t>
  </si>
  <si>
    <t>5745571600亿</t>
  </si>
  <si>
    <t>6190.72万</t>
  </si>
  <si>
    <t>-23666623亿</t>
  </si>
  <si>
    <t>29754451亿</t>
  </si>
  <si>
    <t>165357180亿</t>
  </si>
  <si>
    <t>3037985400亿</t>
  </si>
  <si>
    <t>8444.56万</t>
  </si>
  <si>
    <t>0185721600</t>
  </si>
  <si>
    <t>0371443200</t>
  </si>
  <si>
    <t>0619072000</t>
  </si>
  <si>
    <t>01238144000</t>
  </si>
  <si>
    <t>17.80亿</t>
  </si>
  <si>
    <t>55.73亿</t>
  </si>
  <si>
    <t>8263.67万</t>
  </si>
  <si>
    <t>1542935亿</t>
  </si>
  <si>
    <t>12045451亿</t>
  </si>
  <si>
    <t>1473403600亿</t>
  </si>
  <si>
    <t>3312471800亿</t>
  </si>
  <si>
    <t>-2.13亿</t>
  </si>
  <si>
    <t>54.99亿</t>
  </si>
  <si>
    <t>3465.35万</t>
  </si>
  <si>
    <t>-1.64亿</t>
  </si>
  <si>
    <t>5234.67万</t>
  </si>
  <si>
    <t>-446629亿</t>
  </si>
  <si>
    <t>7085440亿</t>
  </si>
  <si>
    <t>379103060亿</t>
  </si>
  <si>
    <t>1455891100亿</t>
  </si>
  <si>
    <t>2073.43万</t>
  </si>
  <si>
    <t>10派0.13元(含税)</t>
  </si>
  <si>
    <t>46.62亿</t>
  </si>
  <si>
    <t>32.01亿</t>
  </si>
  <si>
    <t>5112.47万</t>
  </si>
  <si>
    <t>-1051822亿</t>
  </si>
  <si>
    <t>13889858亿</t>
  </si>
  <si>
    <t>1464584700亿</t>
  </si>
  <si>
    <t>2131400600亿</t>
  </si>
  <si>
    <t>549.76万</t>
  </si>
  <si>
    <t>2408455亿</t>
  </si>
  <si>
    <t>86686247亿</t>
  </si>
  <si>
    <t>502851960亿</t>
  </si>
  <si>
    <t>3055144500亿</t>
  </si>
  <si>
    <t>8503.77万</t>
  </si>
  <si>
    <t>18.02亿</t>
  </si>
  <si>
    <t>10派15元(含税)</t>
  </si>
  <si>
    <t>5380.58万</t>
  </si>
  <si>
    <t>591.12万</t>
  </si>
  <si>
    <t>-1266729亿</t>
  </si>
  <si>
    <t>-4556635亿</t>
  </si>
  <si>
    <t>128621913亿</t>
  </si>
  <si>
    <t>88.90万</t>
  </si>
  <si>
    <t>542252680亿</t>
  </si>
  <si>
    <t>3174.53万</t>
  </si>
  <si>
    <t>-297.56万</t>
  </si>
  <si>
    <t>8.16亿</t>
  </si>
  <si>
    <t>7213.26万</t>
  </si>
  <si>
    <t>-595543亿</t>
  </si>
  <si>
    <t>10638870亿</t>
  </si>
  <si>
    <t>509392810亿</t>
  </si>
  <si>
    <t>1478757000亿</t>
  </si>
  <si>
    <t>2970.99万</t>
  </si>
  <si>
    <t>506.45万</t>
  </si>
  <si>
    <t>39.32亿</t>
  </si>
  <si>
    <t>797638亿</t>
  </si>
  <si>
    <t>35716870亿</t>
  </si>
  <si>
    <t>1102582520亿</t>
  </si>
  <si>
    <t>2882364800亿</t>
  </si>
  <si>
    <t>7.11亿</t>
  </si>
  <si>
    <t>4262.85万</t>
  </si>
  <si>
    <t>7032.43万</t>
  </si>
  <si>
    <t>9.64亿</t>
  </si>
  <si>
    <t>-15963亿</t>
  </si>
  <si>
    <t>14359945亿</t>
  </si>
  <si>
    <t>598295980亿</t>
  </si>
  <si>
    <t>1164645990亿</t>
  </si>
  <si>
    <t>1446.38万</t>
  </si>
  <si>
    <t>13.42亿</t>
  </si>
  <si>
    <t>-1145016亿</t>
  </si>
  <si>
    <t>31549421亿</t>
  </si>
  <si>
    <t>1140841180亿</t>
  </si>
  <si>
    <t>2250784400亿</t>
  </si>
  <si>
    <t>2889.09万</t>
  </si>
  <si>
    <t>10转3股派1元(含税)</t>
  </si>
  <si>
    <t>619034亿</t>
  </si>
  <si>
    <t>24085795亿</t>
  </si>
  <si>
    <t>111997251亿</t>
  </si>
  <si>
    <t>886294140亿</t>
  </si>
  <si>
    <t>2106.20万</t>
  </si>
  <si>
    <t>56.82亿</t>
  </si>
  <si>
    <t>161.81亿</t>
  </si>
  <si>
    <t>146.02亿</t>
  </si>
  <si>
    <t>10789813亿</t>
  </si>
  <si>
    <t>47332563亿</t>
  </si>
  <si>
    <t>7401405700亿</t>
  </si>
  <si>
    <t>14174311000亿</t>
  </si>
  <si>
    <t>2031.65万</t>
  </si>
  <si>
    <t>8149.56万</t>
  </si>
  <si>
    <t>6011.33万</t>
  </si>
  <si>
    <t>764284亿</t>
  </si>
  <si>
    <t>8173291亿</t>
  </si>
  <si>
    <t>148175850亿</t>
  </si>
  <si>
    <t>984996630亿</t>
  </si>
  <si>
    <t>883.92万</t>
  </si>
  <si>
    <t>6970.07万</t>
  </si>
  <si>
    <t>1287.63万</t>
  </si>
  <si>
    <t>38.46亿</t>
  </si>
  <si>
    <t>13.30亿</t>
  </si>
  <si>
    <t>5220.37万</t>
  </si>
  <si>
    <t>5485737亿</t>
  </si>
  <si>
    <t>9562019亿</t>
  </si>
  <si>
    <t>935318000亿</t>
  </si>
  <si>
    <t>2221525900亿</t>
  </si>
  <si>
    <t>1090.92万</t>
  </si>
  <si>
    <t>10派0.65元(含税)</t>
  </si>
  <si>
    <t>2740.73万</t>
  </si>
  <si>
    <t>766.10万</t>
  </si>
  <si>
    <t>26608亿</t>
  </si>
  <si>
    <t>-5456699亿</t>
  </si>
  <si>
    <t>44667518亿</t>
  </si>
  <si>
    <t>20.00万</t>
  </si>
  <si>
    <t>177541810亿</t>
  </si>
  <si>
    <t>4790.00万</t>
  </si>
  <si>
    <t>-2780.41万</t>
  </si>
  <si>
    <t>-3832.66万</t>
  </si>
  <si>
    <t>-6117.60万</t>
  </si>
  <si>
    <t>1105.61万</t>
  </si>
  <si>
    <t>-483.87万</t>
  </si>
  <si>
    <t>6980.18万</t>
  </si>
  <si>
    <t>689.67万</t>
  </si>
  <si>
    <t>456332亿</t>
  </si>
  <si>
    <t>325999亿</t>
  </si>
  <si>
    <t>270263300亿</t>
  </si>
  <si>
    <t>668357850亿</t>
  </si>
  <si>
    <t>5290.34万</t>
  </si>
  <si>
    <t>-219.37万</t>
  </si>
  <si>
    <t>10派0.12元(含税)</t>
  </si>
  <si>
    <t>06896700</t>
  </si>
  <si>
    <t>020690100</t>
  </si>
  <si>
    <t>041380200</t>
  </si>
  <si>
    <t>068967000</t>
  </si>
  <si>
    <t>0137934000</t>
  </si>
  <si>
    <t>48.05亿</t>
  </si>
  <si>
    <t>11.19亿</t>
  </si>
  <si>
    <t>37.76亿</t>
  </si>
  <si>
    <t>9775095亿</t>
  </si>
  <si>
    <t>-4773853亿</t>
  </si>
  <si>
    <t>1338746030亿</t>
  </si>
  <si>
    <t>3526774800亿</t>
  </si>
  <si>
    <t>-2138.98万</t>
  </si>
  <si>
    <t>10.09亿</t>
  </si>
  <si>
    <t>23.47亿</t>
  </si>
  <si>
    <t>-1799317亿</t>
  </si>
  <si>
    <t>6425519亿</t>
  </si>
  <si>
    <t>1103830980亿</t>
  </si>
  <si>
    <t>2181553100亿</t>
  </si>
  <si>
    <t>-1.45亿</t>
  </si>
  <si>
    <t>3503.68万</t>
  </si>
  <si>
    <t>2112.07万</t>
  </si>
  <si>
    <t>29.46亿</t>
  </si>
  <si>
    <t>-2881亿</t>
  </si>
  <si>
    <t>-16775167亿</t>
  </si>
  <si>
    <t>334032730亿</t>
  </si>
  <si>
    <t>1390576500亿</t>
  </si>
  <si>
    <t>1000.00万</t>
  </si>
  <si>
    <t>-2.06亿</t>
  </si>
  <si>
    <t>388.68万</t>
  </si>
  <si>
    <t>1529985亿</t>
  </si>
  <si>
    <t>39905360亿</t>
  </si>
  <si>
    <t>186394630亿</t>
  </si>
  <si>
    <t>1362865200亿</t>
  </si>
  <si>
    <t>4181.78万</t>
  </si>
  <si>
    <t>32.48亿</t>
  </si>
  <si>
    <t>107336亿</t>
  </si>
  <si>
    <t>137718360亿</t>
  </si>
  <si>
    <t>502266840亿</t>
  </si>
  <si>
    <t>3286381700亿</t>
  </si>
  <si>
    <t>13.93亿</t>
  </si>
  <si>
    <t>11.26亿</t>
  </si>
  <si>
    <t>9630.73万</t>
  </si>
  <si>
    <t>-273000亿</t>
  </si>
  <si>
    <t>19131341亿</t>
  </si>
  <si>
    <t>590562370亿</t>
  </si>
  <si>
    <t>2492452700亿</t>
  </si>
  <si>
    <t>-1.23亿</t>
  </si>
  <si>
    <t>8899.33万</t>
  </si>
  <si>
    <t>1195.45万</t>
  </si>
  <si>
    <t>10派1.27元(含税)</t>
  </si>
  <si>
    <t>-16.96亿</t>
  </si>
  <si>
    <t>-276931亿</t>
  </si>
  <si>
    <t>5596062亿</t>
  </si>
  <si>
    <t>1073976190亿</t>
  </si>
  <si>
    <t>2279399600亿</t>
  </si>
  <si>
    <t>5188.57万</t>
  </si>
  <si>
    <t>6496.14万</t>
  </si>
  <si>
    <t>11.54亿</t>
  </si>
  <si>
    <t>-4.59亿</t>
  </si>
  <si>
    <t>-32950782亿</t>
  </si>
  <si>
    <t>424371410亿</t>
  </si>
  <si>
    <t>1812771800亿</t>
  </si>
  <si>
    <t>7578.39万</t>
  </si>
  <si>
    <t>4236.15万</t>
  </si>
  <si>
    <t>35.96亿</t>
  </si>
  <si>
    <t>31.40亿</t>
  </si>
  <si>
    <t>-2326850亿</t>
  </si>
  <si>
    <t>81287558亿</t>
  </si>
  <si>
    <t>1401722300亿</t>
  </si>
  <si>
    <t>3178549400亿</t>
  </si>
  <si>
    <t>7764.32万</t>
  </si>
  <si>
    <t>26.34亿</t>
  </si>
  <si>
    <t>16.73亿</t>
  </si>
  <si>
    <t>16.49亿</t>
  </si>
  <si>
    <t>2550.62万</t>
  </si>
  <si>
    <t>80062亿</t>
  </si>
  <si>
    <t>-17834253亿</t>
  </si>
  <si>
    <t>761829470亿</t>
  </si>
  <si>
    <t>2285278700亿</t>
  </si>
  <si>
    <t>4854.06万</t>
  </si>
  <si>
    <t>1224.68万</t>
  </si>
  <si>
    <t>8.84亿</t>
  </si>
  <si>
    <t>1701194亿</t>
  </si>
  <si>
    <t>28027501亿</t>
  </si>
  <si>
    <t>211423730亿</t>
  </si>
  <si>
    <t>681941340亿</t>
  </si>
  <si>
    <t>2172.00万</t>
  </si>
  <si>
    <t>22.94亿</t>
  </si>
  <si>
    <t>7693429亿</t>
  </si>
  <si>
    <t>40753970亿</t>
  </si>
  <si>
    <t>876014150亿</t>
  </si>
  <si>
    <t>3021982600亿</t>
  </si>
  <si>
    <t>1142.50万</t>
  </si>
  <si>
    <t>8052.25万</t>
  </si>
  <si>
    <t>14.20亿</t>
  </si>
  <si>
    <t>1958979亿</t>
  </si>
  <si>
    <t>-18352418亿</t>
  </si>
  <si>
    <t>292047370亿</t>
  </si>
  <si>
    <t>640493450亿</t>
  </si>
  <si>
    <t>4993.60万</t>
  </si>
  <si>
    <t>-1986.83万</t>
  </si>
  <si>
    <t>10派11元(含税)</t>
  </si>
  <si>
    <t>11.92亿</t>
  </si>
  <si>
    <t>21.45亿</t>
  </si>
  <si>
    <t>18.35亿</t>
  </si>
  <si>
    <t>15.29亿</t>
  </si>
  <si>
    <t>116250亿</t>
  </si>
  <si>
    <t>25323261亿</t>
  </si>
  <si>
    <t>366386280亿</t>
  </si>
  <si>
    <t>1153480330亿</t>
  </si>
  <si>
    <t>768341亿</t>
  </si>
  <si>
    <t>41280389亿</t>
  </si>
  <si>
    <t>291750620亿</t>
  </si>
  <si>
    <t>1198231570亿</t>
  </si>
  <si>
    <t>10转4股派6元(含税)</t>
  </si>
  <si>
    <t>4639.45万</t>
  </si>
  <si>
    <t>-2476亿</t>
  </si>
  <si>
    <t>6260931亿</t>
  </si>
  <si>
    <t>621025830亿</t>
  </si>
  <si>
    <t>1442422000亿</t>
  </si>
  <si>
    <t>10转3股派2.2元(含税)</t>
  </si>
  <si>
    <t>6635.30万</t>
  </si>
  <si>
    <t>5495329亿</t>
  </si>
  <si>
    <t>9627223亿</t>
  </si>
  <si>
    <t>1391286200亿</t>
  </si>
  <si>
    <t>3247698000亿</t>
  </si>
  <si>
    <t>560.90万</t>
  </si>
  <si>
    <t>1655.27万</t>
  </si>
  <si>
    <t>14.43亿</t>
  </si>
  <si>
    <t>676.60万</t>
  </si>
  <si>
    <t>-152561亿</t>
  </si>
  <si>
    <t>12562731亿</t>
  </si>
  <si>
    <t>503558880亿</t>
  </si>
  <si>
    <t>1166047340亿</t>
  </si>
  <si>
    <t>6.25亿</t>
  </si>
  <si>
    <t>15.45亿</t>
  </si>
  <si>
    <t>5067.54万</t>
  </si>
  <si>
    <t>6324702亿</t>
  </si>
  <si>
    <t>1775605300亿</t>
  </si>
  <si>
    <t>2724692400亿</t>
  </si>
  <si>
    <t>10转4股派1.8元(含税)</t>
  </si>
  <si>
    <t>7513.63万</t>
  </si>
  <si>
    <t>7348.66万</t>
  </si>
  <si>
    <t>6936.21万</t>
  </si>
  <si>
    <t>3173500亿</t>
  </si>
  <si>
    <t>1160040亿</t>
  </si>
  <si>
    <t>252035540亿</t>
  </si>
  <si>
    <t>1311553360亿</t>
  </si>
  <si>
    <t>2362.79万</t>
  </si>
  <si>
    <t>-133.28万</t>
  </si>
  <si>
    <t>24.43亿</t>
  </si>
  <si>
    <t>13.05亿</t>
  </si>
  <si>
    <t>941729亿</t>
  </si>
  <si>
    <t>7142711亿</t>
  </si>
  <si>
    <t>212996830亿</t>
  </si>
  <si>
    <t>3251046500亿</t>
  </si>
  <si>
    <t>37.85亿</t>
  </si>
  <si>
    <t>-6.39亿</t>
  </si>
  <si>
    <t>49.48亿</t>
  </si>
  <si>
    <t>89209366亿</t>
  </si>
  <si>
    <t>2121460100亿</t>
  </si>
  <si>
    <t>6677511000亿</t>
  </si>
  <si>
    <t>10派6.4元(含税)</t>
  </si>
  <si>
    <t>3162.27万</t>
  </si>
  <si>
    <t>3122.84万</t>
  </si>
  <si>
    <t>4338.53万</t>
  </si>
  <si>
    <t>-186072亿</t>
  </si>
  <si>
    <t>8733094亿</t>
  </si>
  <si>
    <t>159681690亿</t>
  </si>
  <si>
    <t>998858140亿</t>
  </si>
  <si>
    <t>6569.61万</t>
  </si>
  <si>
    <t>5465.11万</t>
  </si>
  <si>
    <t>6032.12万</t>
  </si>
  <si>
    <t>3906.17万</t>
  </si>
  <si>
    <t>10168846亿</t>
  </si>
  <si>
    <t>88356711亿</t>
  </si>
  <si>
    <t>694775810亿</t>
  </si>
  <si>
    <t>3941.70万</t>
  </si>
  <si>
    <t>4630.58万</t>
  </si>
  <si>
    <t>10.83亿</t>
  </si>
  <si>
    <t>4343.27万</t>
  </si>
  <si>
    <t>7316.88万</t>
  </si>
  <si>
    <t>1891469亿</t>
  </si>
  <si>
    <t>9461588亿</t>
  </si>
  <si>
    <t>35324910亿</t>
  </si>
  <si>
    <t>846930320亿</t>
  </si>
  <si>
    <t>1367166亿</t>
  </si>
  <si>
    <t>17361870亿</t>
  </si>
  <si>
    <t>142827110亿</t>
  </si>
  <si>
    <t>1545019200亿</t>
  </si>
  <si>
    <t>8053.56万</t>
  </si>
  <si>
    <t>9051.89万</t>
  </si>
  <si>
    <t>4281.20万</t>
  </si>
  <si>
    <t>11029亿</t>
  </si>
  <si>
    <t>2510746亿</t>
  </si>
  <si>
    <t>143242070亿</t>
  </si>
  <si>
    <t>880804740亿</t>
  </si>
  <si>
    <t>1019289亿</t>
  </si>
  <si>
    <t>42123212亿</t>
  </si>
  <si>
    <t>892091790亿</t>
  </si>
  <si>
    <t>2891752800亿</t>
  </si>
  <si>
    <t>3999.50万</t>
  </si>
  <si>
    <t>14.82亿</t>
  </si>
  <si>
    <t>-1.97亿</t>
  </si>
  <si>
    <t>10派0.33元(含税)</t>
  </si>
  <si>
    <t>*ST天成</t>
  </si>
  <si>
    <t>13.52亿</t>
  </si>
  <si>
    <t>2037.56万</t>
  </si>
  <si>
    <t>215902亿</t>
  </si>
  <si>
    <t>-22159941亿</t>
  </si>
  <si>
    <t>155996160亿</t>
  </si>
  <si>
    <t>34.77亿</t>
  </si>
  <si>
    <t>-37809亿</t>
  </si>
  <si>
    <t>-32171342亿</t>
  </si>
  <si>
    <t>1511779300亿</t>
  </si>
  <si>
    <t>3566814400亿</t>
  </si>
  <si>
    <t>1143.07万</t>
  </si>
  <si>
    <t>-2.14亿</t>
  </si>
  <si>
    <t>59.19亿</t>
  </si>
  <si>
    <t>76.23亿</t>
  </si>
  <si>
    <t>-6112858亿</t>
  </si>
  <si>
    <t>-19779368亿</t>
  </si>
  <si>
    <t>3714813400亿</t>
  </si>
  <si>
    <t>7255562300亿</t>
  </si>
  <si>
    <t>10转2股派0.9元(含税)</t>
  </si>
  <si>
    <t>96.70亿</t>
  </si>
  <si>
    <t>20.44亿</t>
  </si>
  <si>
    <t>110.77亿</t>
  </si>
  <si>
    <t>7769361亿</t>
  </si>
  <si>
    <t>227622500亿</t>
  </si>
  <si>
    <t>6700818400亿</t>
  </si>
  <si>
    <t>14883320000亿</t>
  </si>
  <si>
    <t>10派2.12元(含税)</t>
  </si>
  <si>
    <t>7062.92万</t>
  </si>
  <si>
    <t>16046208亿</t>
  </si>
  <si>
    <t>509566800亿</t>
  </si>
  <si>
    <t>1330977360亿</t>
  </si>
  <si>
    <t>5758.12万</t>
  </si>
  <si>
    <t>357.54亿</t>
  </si>
  <si>
    <t>76.99亿</t>
  </si>
  <si>
    <t>515.73亿</t>
  </si>
  <si>
    <t>71.84亿</t>
  </si>
  <si>
    <t>4905514亿</t>
  </si>
  <si>
    <t>548072590亿</t>
  </si>
  <si>
    <t>24423394000亿</t>
  </si>
  <si>
    <t>64732551000亿</t>
  </si>
  <si>
    <t>10派5.4元(含税)</t>
  </si>
  <si>
    <t>17.04亿</t>
  </si>
  <si>
    <t>20.35亿</t>
  </si>
  <si>
    <t>8391409亿</t>
  </si>
  <si>
    <t>32379995亿</t>
  </si>
  <si>
    <t>1136078090亿</t>
  </si>
  <si>
    <t>2569575800亿</t>
  </si>
  <si>
    <t>-6.78亿</t>
  </si>
  <si>
    <t>97.14亿</t>
  </si>
  <si>
    <t>8553.98万</t>
  </si>
  <si>
    <t>-4843949亿</t>
  </si>
  <si>
    <t>5762718亿</t>
  </si>
  <si>
    <t>3502544200亿</t>
  </si>
  <si>
    <t>9605013800亿</t>
  </si>
  <si>
    <t>34.62亿</t>
  </si>
  <si>
    <t>721385亿</t>
  </si>
  <si>
    <t>1211784亿</t>
  </si>
  <si>
    <t>1943755900亿</t>
  </si>
  <si>
    <t>4960068500亿</t>
  </si>
  <si>
    <t>精达股份</t>
  </si>
  <si>
    <t>59.29亿</t>
  </si>
  <si>
    <t>45.30亿</t>
  </si>
  <si>
    <t>179.06亿</t>
  </si>
  <si>
    <t>-67797亿</t>
  </si>
  <si>
    <t>100598507亿</t>
  </si>
  <si>
    <t>3200430600亿</t>
  </si>
  <si>
    <t>8792562200亿</t>
  </si>
  <si>
    <t>153.24亿</t>
  </si>
  <si>
    <t>48.11亿</t>
  </si>
  <si>
    <t>244.65亿</t>
  </si>
  <si>
    <t>114268亿</t>
  </si>
  <si>
    <t>5793000亿</t>
  </si>
  <si>
    <t>4952247800亿</t>
  </si>
  <si>
    <t>14636275000亿</t>
  </si>
  <si>
    <t>33.86亿</t>
  </si>
  <si>
    <t>66.66亿</t>
  </si>
  <si>
    <t>34.53亿</t>
  </si>
  <si>
    <t>129.30亿</t>
  </si>
  <si>
    <t>-9441233亿</t>
  </si>
  <si>
    <t>333148700亿</t>
  </si>
  <si>
    <t>3725915500亿</t>
  </si>
  <si>
    <t>10797173600亿</t>
  </si>
  <si>
    <t>26.61亿</t>
  </si>
  <si>
    <t>116.46亿</t>
  </si>
  <si>
    <t>10派4.39元(含税)</t>
  </si>
  <si>
    <t>174.21亿</t>
  </si>
  <si>
    <t>100.43亿</t>
  </si>
  <si>
    <t>437.98亿</t>
  </si>
  <si>
    <t>3102.45万</t>
  </si>
  <si>
    <t>-5497484亿</t>
  </si>
  <si>
    <t>18621201亿</t>
  </si>
  <si>
    <t>6855163100亿</t>
  </si>
  <si>
    <t>14984175000亿</t>
  </si>
  <si>
    <t>6533.88万</t>
  </si>
  <si>
    <t>92.95亿</t>
  </si>
  <si>
    <t>-1190367亿</t>
  </si>
  <si>
    <t>35632039亿</t>
  </si>
  <si>
    <t>2837026200亿</t>
  </si>
  <si>
    <t>7970671500亿</t>
  </si>
  <si>
    <t>9980.00万</t>
  </si>
  <si>
    <t>71.62亿</t>
  </si>
  <si>
    <t>61.07亿</t>
  </si>
  <si>
    <t>80.03亿</t>
  </si>
  <si>
    <t>10派0.1393元(含税)</t>
  </si>
  <si>
    <t>四方股份</t>
  </si>
  <si>
    <t>52.71亿</t>
  </si>
  <si>
    <t>57.51亿</t>
  </si>
  <si>
    <t>-145820亿</t>
  </si>
  <si>
    <t>179144790亿</t>
  </si>
  <si>
    <t>1118831980亿</t>
  </si>
  <si>
    <t>8744175700亿</t>
  </si>
  <si>
    <t>193.52亿</t>
  </si>
  <si>
    <t>46.82亿</t>
  </si>
  <si>
    <t>208.48亿</t>
  </si>
  <si>
    <t>12941795亿</t>
  </si>
  <si>
    <t>190154930亿</t>
  </si>
  <si>
    <t>10884575100亿</t>
  </si>
  <si>
    <t>30805648000亿</t>
  </si>
  <si>
    <t>32.39亿</t>
  </si>
  <si>
    <t>185.54亿</t>
  </si>
  <si>
    <t>10派0.66元(含税)</t>
  </si>
  <si>
    <t>32.95亿</t>
  </si>
  <si>
    <t>103.60亿</t>
  </si>
  <si>
    <t>114.63亿</t>
  </si>
  <si>
    <t>63420213亿</t>
  </si>
  <si>
    <t>375247740亿</t>
  </si>
  <si>
    <t>2304701600亿</t>
  </si>
  <si>
    <t>11885676100亿</t>
  </si>
  <si>
    <t>50.75亿</t>
  </si>
  <si>
    <t>1461.57万</t>
  </si>
  <si>
    <t>2413263亿</t>
  </si>
  <si>
    <t>11038124亿</t>
  </si>
  <si>
    <t>354849600亿</t>
  </si>
  <si>
    <t>1817111000亿</t>
  </si>
  <si>
    <t>46.75亿</t>
  </si>
  <si>
    <t>34.24亿</t>
  </si>
  <si>
    <t>6875.85万</t>
  </si>
  <si>
    <t>-1255631亿</t>
  </si>
  <si>
    <t>65306801亿</t>
  </si>
  <si>
    <t>1515567700亿</t>
  </si>
  <si>
    <t>5590571900亿</t>
  </si>
  <si>
    <t>23.52万</t>
  </si>
  <si>
    <t>17.56亿</t>
  </si>
  <si>
    <t>53.65亿</t>
  </si>
  <si>
    <t>742.98亿</t>
  </si>
  <si>
    <t>159.17亿</t>
  </si>
  <si>
    <t>572.51亿</t>
  </si>
  <si>
    <t>36.86亿</t>
  </si>
  <si>
    <t>81027107亿</t>
  </si>
  <si>
    <t>1032409840亿</t>
  </si>
  <si>
    <t>17569154000亿</t>
  </si>
  <si>
    <t>72005451000亿</t>
  </si>
  <si>
    <t>40.19亿</t>
  </si>
  <si>
    <t>6871.94万</t>
  </si>
  <si>
    <t>1618560亿</t>
  </si>
  <si>
    <t>14694512亿</t>
  </si>
  <si>
    <t>149040110亿</t>
  </si>
  <si>
    <t>883460260亿</t>
  </si>
  <si>
    <t>10派3.72元(含税)</t>
  </si>
  <si>
    <t>52.68亿</t>
  </si>
  <si>
    <t>-7.75亿</t>
  </si>
  <si>
    <t>39.05亿</t>
  </si>
  <si>
    <t>-10185亿</t>
  </si>
  <si>
    <t>56547136亿</t>
  </si>
  <si>
    <t>1965530400亿</t>
  </si>
  <si>
    <t>4327583800亿</t>
  </si>
  <si>
    <t>10转2股派4元(含税)</t>
  </si>
  <si>
    <t>-336561亿</t>
  </si>
  <si>
    <t>5944529亿</t>
  </si>
  <si>
    <t>858399610亿</t>
  </si>
  <si>
    <t>2513410000亿</t>
  </si>
  <si>
    <t>389504亿</t>
  </si>
  <si>
    <t>21997555亿</t>
  </si>
  <si>
    <t>706399740亿</t>
  </si>
  <si>
    <t>1362078900亿</t>
  </si>
  <si>
    <t>37.87亿</t>
  </si>
  <si>
    <t>-385134亿</t>
  </si>
  <si>
    <t>48739674亿</t>
  </si>
  <si>
    <t>507253630亿</t>
  </si>
  <si>
    <t>2057939800亿</t>
  </si>
  <si>
    <t>8034.19万</t>
  </si>
  <si>
    <t>2236.14万</t>
  </si>
  <si>
    <t>2826.81万</t>
  </si>
  <si>
    <t>10派1.0元(含税)</t>
  </si>
  <si>
    <t>2044.34万</t>
  </si>
  <si>
    <t>-841029亿</t>
  </si>
  <si>
    <t>-17101032亿</t>
  </si>
  <si>
    <t>1040389290亿</t>
  </si>
  <si>
    <t>2312402300亿</t>
  </si>
  <si>
    <t>1826.51万</t>
  </si>
  <si>
    <t>46145亿</t>
  </si>
  <si>
    <t>62063645亿</t>
  </si>
  <si>
    <t>409068250亿</t>
  </si>
  <si>
    <t>1111908880亿</t>
  </si>
  <si>
    <t>8298058亿</t>
  </si>
  <si>
    <t>214517730亿</t>
  </si>
  <si>
    <t>1029028540亿</t>
  </si>
  <si>
    <t>6937650300亿</t>
  </si>
  <si>
    <t>40.94亿</t>
  </si>
  <si>
    <t>2617.28万</t>
  </si>
  <si>
    <t>13826007亿</t>
  </si>
  <si>
    <t>1380301800亿</t>
  </si>
  <si>
    <t>4758032100亿</t>
  </si>
  <si>
    <t>3935.46万</t>
  </si>
  <si>
    <t>43.49亿</t>
  </si>
  <si>
    <t>73.10亿</t>
  </si>
  <si>
    <t>-641174亿</t>
  </si>
  <si>
    <t>193256020亿</t>
  </si>
  <si>
    <t>2726987600亿</t>
  </si>
  <si>
    <t>8357520800亿</t>
  </si>
  <si>
    <t>73.66亿</t>
  </si>
  <si>
    <t>-9134455亿</t>
  </si>
  <si>
    <t>23313667亿</t>
  </si>
  <si>
    <t>3200359900亿</t>
  </si>
  <si>
    <t>7415868500亿</t>
  </si>
  <si>
    <t>247.86万</t>
  </si>
  <si>
    <t>-338342亿</t>
  </si>
  <si>
    <t>14634795亿</t>
  </si>
  <si>
    <t>998916140亿</t>
  </si>
  <si>
    <t>1667084600亿</t>
  </si>
  <si>
    <t>58.29亿</t>
  </si>
  <si>
    <t>43.30亿</t>
  </si>
  <si>
    <t>11200571亿</t>
  </si>
  <si>
    <t>35320314亿</t>
  </si>
  <si>
    <t>1733638000亿</t>
  </si>
  <si>
    <t>5283656900亿</t>
  </si>
  <si>
    <t>10派0.84元(含税)</t>
  </si>
  <si>
    <t>110.79亿</t>
  </si>
  <si>
    <t>-13670557亿</t>
  </si>
  <si>
    <t>54885573亿</t>
  </si>
  <si>
    <t>2469176300亿</t>
  </si>
  <si>
    <t>5741492100亿</t>
  </si>
  <si>
    <t>87.29亿</t>
  </si>
  <si>
    <t>-896356亿</t>
  </si>
  <si>
    <t>30291204亿</t>
  </si>
  <si>
    <t>799744100亿</t>
  </si>
  <si>
    <t>2413653100亿</t>
  </si>
  <si>
    <t>10转2.5股派2.5元(含税)</t>
  </si>
  <si>
    <t>20.81亿</t>
  </si>
  <si>
    <t>26.77亿</t>
  </si>
  <si>
    <t>53.64亿</t>
  </si>
  <si>
    <t>-285629亿</t>
  </si>
  <si>
    <t>88104104亿</t>
  </si>
  <si>
    <t>1623859100亿</t>
  </si>
  <si>
    <t>4220199000亿</t>
  </si>
  <si>
    <t>10派0.71元(含税)</t>
  </si>
  <si>
    <t>89.71亿</t>
  </si>
  <si>
    <t>233.48亿</t>
  </si>
  <si>
    <t>80850631亿</t>
  </si>
  <si>
    <t>3867613900亿</t>
  </si>
  <si>
    <t>11071754100亿</t>
  </si>
  <si>
    <t>51.19亿</t>
  </si>
  <si>
    <t>25.77亿</t>
  </si>
  <si>
    <t>49.28万</t>
  </si>
  <si>
    <t>52.38亿</t>
  </si>
  <si>
    <t>1367344亿</t>
  </si>
  <si>
    <t>-3821172亿</t>
  </si>
  <si>
    <t>358552180亿</t>
  </si>
  <si>
    <t>1055235680亿</t>
  </si>
  <si>
    <t>5003.51万</t>
  </si>
  <si>
    <t>-1169947亿</t>
  </si>
  <si>
    <t>33210998亿</t>
  </si>
  <si>
    <t>1702049400亿</t>
  </si>
  <si>
    <t>2769260300亿</t>
  </si>
  <si>
    <t>2438201亿</t>
  </si>
  <si>
    <t>32156262亿</t>
  </si>
  <si>
    <t>1062964720亿</t>
  </si>
  <si>
    <t>3292746500亿</t>
  </si>
  <si>
    <t>10派3.49元(含税)</t>
  </si>
  <si>
    <t>50.91亿</t>
  </si>
  <si>
    <t>873.11万</t>
  </si>
  <si>
    <t>4695.19万</t>
  </si>
  <si>
    <t>3436125亿</t>
  </si>
  <si>
    <t>-13851758亿</t>
  </si>
  <si>
    <t>298758050亿</t>
  </si>
  <si>
    <t>825081340亿</t>
  </si>
  <si>
    <t>6914.96万</t>
  </si>
  <si>
    <t>15.34亿</t>
  </si>
  <si>
    <t>6.78亿</t>
  </si>
  <si>
    <t>8082.53万</t>
  </si>
  <si>
    <t>526802亿</t>
  </si>
  <si>
    <t>18075463亿</t>
  </si>
  <si>
    <t>437120990亿</t>
  </si>
  <si>
    <t>978351480亿</t>
  </si>
  <si>
    <t>7882.83万</t>
  </si>
  <si>
    <t>9536.99万</t>
  </si>
  <si>
    <t>3763.87万</t>
  </si>
  <si>
    <t>-8819270亿</t>
  </si>
  <si>
    <t>175600810亿</t>
  </si>
  <si>
    <t>1019727470亿</t>
  </si>
  <si>
    <t>5400.00万</t>
  </si>
  <si>
    <t>-1.19亿</t>
  </si>
  <si>
    <t>9625.83万</t>
  </si>
  <si>
    <t>3143.09万</t>
  </si>
  <si>
    <t>4720.60万</t>
  </si>
  <si>
    <t>23538亿</t>
  </si>
  <si>
    <t>3896920亿</t>
  </si>
  <si>
    <t>105757615亿</t>
  </si>
  <si>
    <t>630409940亿</t>
  </si>
  <si>
    <t>5699.63万</t>
  </si>
  <si>
    <t>10转4股派2.50元(含税)</t>
  </si>
  <si>
    <t>7445.68万</t>
  </si>
  <si>
    <t>234728亿</t>
  </si>
  <si>
    <t>12888899亿</t>
  </si>
  <si>
    <t>167015430亿</t>
  </si>
  <si>
    <t>561274070亿</t>
  </si>
  <si>
    <t>10转2股派3元(含税)</t>
  </si>
  <si>
    <t>10.88亿</t>
  </si>
  <si>
    <t>180470亿</t>
  </si>
  <si>
    <t>38938420亿</t>
  </si>
  <si>
    <t>828454760亿</t>
  </si>
  <si>
    <t>2296612700亿</t>
  </si>
  <si>
    <t>52.32亿</t>
  </si>
  <si>
    <t>66.68亿</t>
  </si>
  <si>
    <t>-3080亿</t>
  </si>
  <si>
    <t>101270312亿</t>
  </si>
  <si>
    <t>2682829400亿</t>
  </si>
  <si>
    <t>5925293800亿</t>
  </si>
  <si>
    <t>6293.48万</t>
  </si>
  <si>
    <t>1271.85万</t>
  </si>
  <si>
    <t>560262亿</t>
  </si>
  <si>
    <t>-5899767亿</t>
  </si>
  <si>
    <t>166582820亿</t>
  </si>
  <si>
    <t>502514630亿</t>
  </si>
  <si>
    <t>-743.39万</t>
  </si>
  <si>
    <t>43.92亿</t>
  </si>
  <si>
    <t>12.11亿</t>
  </si>
  <si>
    <t>账面净赚</t>
  </si>
  <si>
    <t>6.24亿</t>
  </si>
  <si>
    <t>10.29亿</t>
  </si>
  <si>
    <t>6.05亿</t>
  </si>
  <si>
    <t>10.23亿</t>
  </si>
  <si>
    <t>21.29亿</t>
  </si>
  <si>
    <t>43.38万</t>
  </si>
  <si>
    <t>7.06亿</t>
  </si>
  <si>
    <t>1126.42万</t>
  </si>
  <si>
    <t>电网设备</t>
  </si>
  <si>
    <t>119.73亿</t>
  </si>
  <si>
    <t>22.96亿</t>
  </si>
  <si>
    <t>6633.69万</t>
  </si>
  <si>
    <t>713.65万</t>
  </si>
  <si>
    <t>71.57亿</t>
  </si>
  <si>
    <t>156.46万</t>
  </si>
  <si>
    <t>100.67亿</t>
  </si>
  <si>
    <t>-2673.54万</t>
  </si>
  <si>
    <t>-124.97万</t>
  </si>
  <si>
    <t>9355.92万</t>
  </si>
  <si>
    <t>780.01万</t>
  </si>
  <si>
    <t>2735.17万</t>
  </si>
  <si>
    <t>2485.56万</t>
  </si>
  <si>
    <t>34.02万</t>
  </si>
  <si>
    <t>7227.78万</t>
  </si>
  <si>
    <t>9403.83万</t>
  </si>
  <si>
    <t>4811.00万</t>
  </si>
  <si>
    <t>15.53亿</t>
  </si>
  <si>
    <t>4431.17万</t>
  </si>
  <si>
    <t>4204.69万</t>
  </si>
  <si>
    <t>-1339.96万</t>
  </si>
  <si>
    <t>4036.17万</t>
  </si>
  <si>
    <t>4195.30万</t>
  </si>
  <si>
    <t>1248.98万</t>
  </si>
  <si>
    <t>7265.51万</t>
  </si>
  <si>
    <t>54.74万</t>
  </si>
  <si>
    <t>30.40亿</t>
  </si>
  <si>
    <t>1574.87万</t>
  </si>
  <si>
    <t>441.76万</t>
  </si>
  <si>
    <t>57.90亿</t>
  </si>
  <si>
    <t>-3130.55万</t>
  </si>
  <si>
    <t>-9353.40万</t>
  </si>
  <si>
    <t>1184.49万</t>
  </si>
  <si>
    <t>416.65万</t>
  </si>
  <si>
    <t>1317.30万</t>
  </si>
  <si>
    <t>3.04万</t>
  </si>
  <si>
    <t>7868.06万</t>
  </si>
  <si>
    <t>686.19万</t>
  </si>
  <si>
    <t>22.86亿</t>
  </si>
  <si>
    <t>-61.98万</t>
  </si>
  <si>
    <t>-9464.58万</t>
  </si>
  <si>
    <t>5129.94万</t>
  </si>
  <si>
    <t>2612.44万</t>
  </si>
  <si>
    <t>8.79亿</t>
  </si>
  <si>
    <t>3782.69万</t>
  </si>
  <si>
    <t>1328.14万</t>
  </si>
  <si>
    <t>5.06万</t>
  </si>
  <si>
    <t>9516.15万</t>
  </si>
  <si>
    <t>-1761.85万</t>
  </si>
  <si>
    <t>6567.81万</t>
  </si>
  <si>
    <t>645.23万</t>
  </si>
  <si>
    <t>110.63亿</t>
  </si>
  <si>
    <t>22.88亿</t>
  </si>
  <si>
    <t>7931.06万</t>
  </si>
  <si>
    <t>121.51万</t>
  </si>
  <si>
    <t>72.43亿</t>
  </si>
  <si>
    <t>-11.08亿</t>
  </si>
  <si>
    <t>1028.42万</t>
  </si>
  <si>
    <t>10派3.999160元(含税)</t>
  </si>
  <si>
    <t>5418.84万</t>
  </si>
  <si>
    <t>338.13万</t>
  </si>
  <si>
    <t>3045.53万</t>
  </si>
  <si>
    <t>2018.29万</t>
  </si>
  <si>
    <t>13.64万</t>
  </si>
  <si>
    <t>6.33亿</t>
  </si>
  <si>
    <t>832.16万</t>
  </si>
  <si>
    <t>4527.01万</t>
  </si>
  <si>
    <t>3115.52万</t>
  </si>
  <si>
    <t>12.51亿</t>
  </si>
  <si>
    <t>435.79万</t>
  </si>
  <si>
    <t>2474.32万</t>
  </si>
  <si>
    <t>666.09万</t>
  </si>
  <si>
    <t>5.66亿</t>
  </si>
  <si>
    <t>2281.58万</t>
  </si>
  <si>
    <t>1000.64万</t>
  </si>
  <si>
    <t>5.17万</t>
  </si>
  <si>
    <t>356.78万</t>
  </si>
  <si>
    <t>6.86亿</t>
  </si>
  <si>
    <t>8811.23万</t>
  </si>
  <si>
    <t>-5916.74万</t>
  </si>
  <si>
    <t>3341.75万</t>
  </si>
  <si>
    <t>5433.33万</t>
  </si>
  <si>
    <t>5911.85万</t>
  </si>
  <si>
    <t>564.93万</t>
  </si>
  <si>
    <t>9.92亿</t>
  </si>
  <si>
    <t>8834.58万</t>
  </si>
  <si>
    <t>7961.75万</t>
  </si>
  <si>
    <t>2363.47万</t>
  </si>
  <si>
    <t>2561.67万</t>
  </si>
  <si>
    <t>7155.28万</t>
  </si>
  <si>
    <t>58.79亿</t>
  </si>
  <si>
    <t>3562.77万</t>
  </si>
  <si>
    <t>-1691.01万</t>
  </si>
  <si>
    <t>3789.02万</t>
  </si>
  <si>
    <t>695.43万</t>
  </si>
  <si>
    <t>737.88万</t>
  </si>
  <si>
    <t>6731.54万</t>
  </si>
  <si>
    <t>2761.85万</t>
  </si>
  <si>
    <t>320.39万</t>
  </si>
  <si>
    <t>2571.88万</t>
  </si>
  <si>
    <t>4.85万</t>
  </si>
  <si>
    <t>4835.41万</t>
  </si>
  <si>
    <t>62.99万</t>
  </si>
  <si>
    <t>1573.00万</t>
  </si>
  <si>
    <t>488.55万</t>
  </si>
  <si>
    <t>-1518.98万</t>
  </si>
  <si>
    <t>-374.16万</t>
  </si>
  <si>
    <t>-420.63万</t>
  </si>
  <si>
    <t>4208.39万</t>
  </si>
  <si>
    <t>381.87万</t>
  </si>
  <si>
    <t>3396.53万</t>
  </si>
  <si>
    <t>4262.48万</t>
  </si>
  <si>
    <t>11.87万</t>
  </si>
  <si>
    <t>15.42亿</t>
  </si>
  <si>
    <t>36.87亿</t>
  </si>
  <si>
    <t>2564.70万</t>
  </si>
  <si>
    <t>1594.49万</t>
  </si>
  <si>
    <t>34.92亿</t>
  </si>
  <si>
    <t>3027.28万</t>
  </si>
  <si>
    <t>36.62万</t>
  </si>
  <si>
    <t>1995.88万</t>
  </si>
  <si>
    <t>-637.13万</t>
  </si>
  <si>
    <t>-2688.72万</t>
  </si>
  <si>
    <t>7681.08万</t>
  </si>
  <si>
    <t>966.49万</t>
  </si>
  <si>
    <t>55.06亿</t>
  </si>
  <si>
    <t>37.80亿</t>
  </si>
  <si>
    <t>33.23亿</t>
  </si>
  <si>
    <t>8486.39万</t>
  </si>
  <si>
    <t>412.89万</t>
  </si>
  <si>
    <t>20.99亿</t>
  </si>
  <si>
    <t>45.02亿</t>
  </si>
  <si>
    <t>66.63亿</t>
  </si>
  <si>
    <t>-6584.71万</t>
  </si>
  <si>
    <t>5086.77万</t>
  </si>
  <si>
    <t>1363.35万</t>
  </si>
  <si>
    <t>37.82亿</t>
  </si>
  <si>
    <t>3367.46万</t>
  </si>
  <si>
    <t>3366.43万</t>
  </si>
  <si>
    <t>730.76万</t>
  </si>
  <si>
    <t>324.07万</t>
  </si>
  <si>
    <t>256.45万</t>
  </si>
  <si>
    <t>6782.50万</t>
  </si>
  <si>
    <t>-2383.75万</t>
  </si>
  <si>
    <t>7687.75万</t>
  </si>
  <si>
    <t>340.77万</t>
  </si>
  <si>
    <t>23.50亿</t>
  </si>
  <si>
    <t>27.69亿</t>
  </si>
  <si>
    <t>26.98亿</t>
  </si>
  <si>
    <t>2082.25万</t>
  </si>
  <si>
    <t>2523.41万</t>
  </si>
  <si>
    <t>29.28亿</t>
  </si>
  <si>
    <t>-1.66亿</t>
  </si>
  <si>
    <t>-8828.90万</t>
  </si>
  <si>
    <t>2007.00万</t>
  </si>
  <si>
    <t>529.64万</t>
  </si>
  <si>
    <t>-7.24亿</t>
  </si>
  <si>
    <t>10.24亿</t>
  </si>
  <si>
    <t>4989.68万</t>
  </si>
  <si>
    <t>386.65万</t>
  </si>
  <si>
    <t>28.76亿</t>
  </si>
  <si>
    <t>62.78亿</t>
  </si>
  <si>
    <t>-4599.44万</t>
  </si>
  <si>
    <t>-708.94万</t>
  </si>
  <si>
    <t>-5399.06万</t>
  </si>
  <si>
    <t>3814.97万</t>
  </si>
  <si>
    <t>1109.78万</t>
  </si>
  <si>
    <t>6522.80万</t>
  </si>
  <si>
    <t>5812.90万</t>
  </si>
  <si>
    <t>70.82万</t>
  </si>
  <si>
    <t>6101.21万</t>
  </si>
  <si>
    <t>5211.71万</t>
  </si>
  <si>
    <t>14.16亿</t>
  </si>
  <si>
    <t>-181.41万</t>
  </si>
  <si>
    <t>-934.78万</t>
  </si>
  <si>
    <t>7296.73万</t>
  </si>
  <si>
    <t>101.51万</t>
  </si>
  <si>
    <t>733.98万</t>
  </si>
  <si>
    <t>2264.78万</t>
  </si>
  <si>
    <t>4886.96万</t>
  </si>
  <si>
    <t>9838.38万</t>
  </si>
  <si>
    <t>3774.41万</t>
  </si>
  <si>
    <t>1017.23万</t>
  </si>
  <si>
    <t>-7045.41万</t>
  </si>
  <si>
    <t>-6090.99万</t>
  </si>
  <si>
    <t>461.20万</t>
  </si>
  <si>
    <t>4015.55万</t>
  </si>
  <si>
    <t>2092.45万</t>
  </si>
  <si>
    <t>17.33亿</t>
  </si>
  <si>
    <t>2755.63万</t>
  </si>
  <si>
    <t>2855.19万</t>
  </si>
  <si>
    <t>25.66万</t>
  </si>
  <si>
    <t>1124.90万</t>
  </si>
  <si>
    <t>8507.66万</t>
  </si>
  <si>
    <t>4.05万</t>
  </si>
  <si>
    <t>8.95亿</t>
  </si>
  <si>
    <t>-3928.43万</t>
  </si>
  <si>
    <t>17.58万</t>
  </si>
  <si>
    <t>-4859.11万</t>
  </si>
  <si>
    <t>843.33万</t>
  </si>
  <si>
    <t>1383.98万</t>
  </si>
  <si>
    <t>4268.63万</t>
  </si>
  <si>
    <t>25.54万</t>
  </si>
  <si>
    <t>9129.91万</t>
  </si>
  <si>
    <t>5731.16万</t>
  </si>
  <si>
    <t>20.36亿</t>
  </si>
  <si>
    <t>30.53亿</t>
  </si>
  <si>
    <t>605.71万</t>
  </si>
  <si>
    <t>-99.51万</t>
  </si>
  <si>
    <t>-1371.54万</t>
  </si>
  <si>
    <t>4585.42万</t>
  </si>
  <si>
    <t>335.30万</t>
  </si>
  <si>
    <t>47.43亿</t>
  </si>
  <si>
    <t>4761.50万</t>
  </si>
  <si>
    <t>47.86万</t>
  </si>
  <si>
    <t>2260.79万</t>
  </si>
  <si>
    <t>1328.57万</t>
  </si>
  <si>
    <t>4643.15万</t>
  </si>
  <si>
    <t>9256.08万</t>
  </si>
  <si>
    <t>-692.22万</t>
  </si>
  <si>
    <t>1620.65万</t>
  </si>
  <si>
    <t>781.04万</t>
  </si>
  <si>
    <t>571.69万</t>
  </si>
  <si>
    <t>523.45万</t>
  </si>
  <si>
    <t>4979.02万</t>
  </si>
  <si>
    <t>7479.75万</t>
  </si>
  <si>
    <t>3.79亿</t>
  </si>
  <si>
    <t>5683.65万</t>
  </si>
  <si>
    <t>28.00万</t>
  </si>
  <si>
    <t>7648.44万</t>
  </si>
  <si>
    <t>108.52万</t>
  </si>
  <si>
    <t>-1033.67万</t>
  </si>
  <si>
    <t>1385.41万</t>
  </si>
  <si>
    <t>8110.35万</t>
  </si>
  <si>
    <t>1728.43万</t>
  </si>
  <si>
    <t>2317.94万</t>
  </si>
  <si>
    <t>2538.41万</t>
  </si>
  <si>
    <t>19.71万</t>
  </si>
  <si>
    <t>3941.83万</t>
  </si>
  <si>
    <t>182.67万</t>
  </si>
  <si>
    <t>6139.24万</t>
  </si>
  <si>
    <t>21.39万</t>
  </si>
  <si>
    <t>1027.12万</t>
  </si>
  <si>
    <t>-2743.85万</t>
  </si>
  <si>
    <t>-8686.77万</t>
  </si>
  <si>
    <t>1860.97万</t>
  </si>
  <si>
    <t>4119.39万</t>
  </si>
  <si>
    <t>4776.21万</t>
  </si>
  <si>
    <t>12.10万</t>
  </si>
  <si>
    <t>491.35万</t>
  </si>
  <si>
    <t>-3674.53万</t>
  </si>
  <si>
    <t>-1281.75万</t>
  </si>
  <si>
    <t>1294.87万</t>
  </si>
  <si>
    <t>80.28亿</t>
  </si>
  <si>
    <t>14.49亿</t>
  </si>
  <si>
    <t>4764.21万</t>
  </si>
  <si>
    <t>4390.91万</t>
  </si>
  <si>
    <t>4.53万</t>
  </si>
  <si>
    <t>1666.40万</t>
  </si>
  <si>
    <t>23.46亿</t>
  </si>
  <si>
    <t>-5.79亿</t>
  </si>
  <si>
    <t>-9602.35万</t>
  </si>
  <si>
    <t>6629.80万</t>
  </si>
  <si>
    <t>931.29万</t>
  </si>
  <si>
    <t>44.09亿</t>
  </si>
  <si>
    <t>31.54亿</t>
  </si>
  <si>
    <t>6566.22万</t>
  </si>
  <si>
    <t>4513.76万</t>
  </si>
  <si>
    <t>50.84万</t>
  </si>
  <si>
    <t>7594.42万</t>
  </si>
  <si>
    <t>788.96万</t>
  </si>
  <si>
    <t>29.75亿</t>
  </si>
  <si>
    <t>7.87亿</t>
  </si>
  <si>
    <t>-10.41亿</t>
  </si>
  <si>
    <t>-5660.55万</t>
  </si>
  <si>
    <t>6393.30万</t>
  </si>
  <si>
    <t>650.54万</t>
  </si>
  <si>
    <t>31.79亿</t>
  </si>
  <si>
    <t>509.97万</t>
  </si>
  <si>
    <t>697.75万</t>
  </si>
  <si>
    <t>75.99万</t>
  </si>
  <si>
    <t>512.29万</t>
  </si>
  <si>
    <t>2402.51万</t>
  </si>
  <si>
    <t>7672.55万</t>
  </si>
  <si>
    <t>250.77万</t>
  </si>
  <si>
    <t>1789.50万</t>
  </si>
  <si>
    <t>-2.30亿</t>
  </si>
  <si>
    <t>-22.14万</t>
  </si>
  <si>
    <t>5301.15万</t>
  </si>
  <si>
    <t>446.30万</t>
  </si>
  <si>
    <t>1525.11万</t>
  </si>
  <si>
    <t>1869.32万</t>
  </si>
  <si>
    <t>25.47万</t>
  </si>
  <si>
    <t>5551.50万</t>
  </si>
  <si>
    <t>8795.58万</t>
  </si>
  <si>
    <t>109.00万</t>
  </si>
  <si>
    <t>15.50亿</t>
  </si>
  <si>
    <t>-2495.43万</t>
  </si>
  <si>
    <t>3351.93万</t>
  </si>
  <si>
    <t>1188.53万</t>
  </si>
  <si>
    <t>627.00万</t>
  </si>
  <si>
    <t>1999.91万</t>
  </si>
  <si>
    <t>15.10万</t>
  </si>
  <si>
    <t>91.69万</t>
  </si>
  <si>
    <t>2637.47万</t>
  </si>
  <si>
    <t>-1.82亿</t>
  </si>
  <si>
    <t>-5050.48万</t>
  </si>
  <si>
    <t>8855.71万</t>
  </si>
  <si>
    <t>342.49万</t>
  </si>
  <si>
    <t>3916.03万</t>
  </si>
  <si>
    <t>1230.73万</t>
  </si>
  <si>
    <t>56.26万</t>
  </si>
  <si>
    <t>8519.15万</t>
  </si>
  <si>
    <t>2422.96万</t>
  </si>
  <si>
    <t>1765.62万</t>
  </si>
  <si>
    <t>9.90亿</t>
  </si>
  <si>
    <t>9394.37万</t>
  </si>
  <si>
    <t>-9475.01万</t>
  </si>
  <si>
    <t>-1177.67万</t>
  </si>
  <si>
    <t>1315.10万</t>
  </si>
  <si>
    <t>2360.32万</t>
  </si>
  <si>
    <t>1072.65万</t>
  </si>
  <si>
    <t>42.37亿</t>
  </si>
  <si>
    <t>8442.87万</t>
  </si>
  <si>
    <t>5308.01万</t>
  </si>
  <si>
    <t>8.87万</t>
  </si>
  <si>
    <t>5138.08万</t>
  </si>
  <si>
    <t>13.19亿</t>
  </si>
  <si>
    <t>2882.65万</t>
  </si>
  <si>
    <t>-5676.53万</t>
  </si>
  <si>
    <t>5680.21万</t>
  </si>
  <si>
    <t>2251.64万</t>
  </si>
  <si>
    <t>5830.18万</t>
  </si>
  <si>
    <t>3813.58万</t>
  </si>
  <si>
    <t>692.86万</t>
  </si>
  <si>
    <t>732.69万</t>
  </si>
  <si>
    <t>46.62万</t>
  </si>
  <si>
    <t>693.71万</t>
  </si>
  <si>
    <t>2124.97万</t>
  </si>
  <si>
    <t>-2918.07万</t>
  </si>
  <si>
    <t>4.37万</t>
  </si>
  <si>
    <t>9726.05万</t>
  </si>
  <si>
    <t>138.08万</t>
  </si>
  <si>
    <t>3193.10万</t>
  </si>
  <si>
    <t>2641.18万</t>
  </si>
  <si>
    <t>7.43万</t>
  </si>
  <si>
    <t>2783.89万</t>
  </si>
  <si>
    <t>19.70万</t>
  </si>
  <si>
    <t>1015.49万</t>
  </si>
  <si>
    <t>-2629.71万</t>
  </si>
  <si>
    <t>-9887.84万</t>
  </si>
  <si>
    <t>1126.27万</t>
  </si>
  <si>
    <t>6450.84万</t>
  </si>
  <si>
    <t>385.73万</t>
  </si>
  <si>
    <t>21.32亿</t>
  </si>
  <si>
    <t>5.98亿</t>
  </si>
  <si>
    <t>1603.84万</t>
  </si>
  <si>
    <t>1506.47万</t>
  </si>
  <si>
    <t>4.03万</t>
  </si>
  <si>
    <t>293.69万</t>
  </si>
  <si>
    <t>5320.62万</t>
  </si>
  <si>
    <t>2289.03万</t>
  </si>
  <si>
    <t>272.44万</t>
  </si>
  <si>
    <t>11.03亿</t>
  </si>
  <si>
    <t>2411.74万</t>
  </si>
  <si>
    <t>1241.90万</t>
  </si>
  <si>
    <t>2.67万</t>
  </si>
  <si>
    <t>2468.58万</t>
  </si>
  <si>
    <t>3001.88万</t>
  </si>
  <si>
    <t>-759.45万</t>
  </si>
  <si>
    <t>483.42万</t>
  </si>
  <si>
    <t>377.91万</t>
  </si>
  <si>
    <t>2532.33万</t>
  </si>
  <si>
    <t>333.67万</t>
  </si>
  <si>
    <t>17.98亿</t>
  </si>
  <si>
    <t>8.82亿</t>
  </si>
  <si>
    <t>1106.58万</t>
  </si>
  <si>
    <t>2881.72万</t>
  </si>
  <si>
    <t>124.09万</t>
  </si>
  <si>
    <t>582.60万</t>
  </si>
  <si>
    <t>-4196.43万</t>
  </si>
  <si>
    <t>-6863.62万</t>
  </si>
  <si>
    <t>3768.54万</t>
  </si>
  <si>
    <t>1774.88万</t>
  </si>
  <si>
    <t>72.83万</t>
  </si>
  <si>
    <t>8736.38万</t>
  </si>
  <si>
    <t>1343.69万</t>
  </si>
  <si>
    <t>837.78万</t>
  </si>
  <si>
    <t>2.23万</t>
  </si>
  <si>
    <t>5838.21万</t>
  </si>
  <si>
    <t>1270.96万</t>
  </si>
  <si>
    <t>-6995.32万</t>
  </si>
  <si>
    <t>362.30万</t>
  </si>
  <si>
    <t>2831.54万</t>
  </si>
  <si>
    <t>684.30万</t>
  </si>
  <si>
    <t>75.52亿</t>
  </si>
  <si>
    <t>417.33万</t>
  </si>
  <si>
    <t>20.33亿</t>
  </si>
  <si>
    <t>48.22亿</t>
  </si>
  <si>
    <t>3384.13万</t>
  </si>
  <si>
    <t>121.11亿</t>
  </si>
  <si>
    <t>-5.52亿</t>
  </si>
  <si>
    <t>5392.61万</t>
  </si>
  <si>
    <t>4388.08万</t>
  </si>
  <si>
    <t>428.11万</t>
  </si>
  <si>
    <t>7387.71万</t>
  </si>
  <si>
    <t>4885.21万</t>
  </si>
  <si>
    <t>836.67万</t>
  </si>
  <si>
    <t>828.09万</t>
  </si>
  <si>
    <t>55.69万</t>
  </si>
  <si>
    <t>246.17万</t>
  </si>
  <si>
    <t>6635.72万</t>
  </si>
  <si>
    <t>2388.60万</t>
  </si>
  <si>
    <t>1416.05万</t>
  </si>
  <si>
    <t>2872.76万</t>
  </si>
  <si>
    <t>643.38万</t>
  </si>
  <si>
    <t>13.43亿</t>
  </si>
  <si>
    <t>1699.57万</t>
  </si>
  <si>
    <t>1728.02万</t>
  </si>
  <si>
    <t>1787.02万</t>
  </si>
  <si>
    <t>11.37亿</t>
  </si>
  <si>
    <t>9094.00万</t>
  </si>
  <si>
    <t>-8522.29万</t>
  </si>
  <si>
    <t>6253.56万</t>
  </si>
  <si>
    <t>321.35万</t>
  </si>
  <si>
    <t>3319.16万</t>
  </si>
  <si>
    <t>2082.30万</t>
  </si>
  <si>
    <t>439.13万</t>
  </si>
  <si>
    <t>578.12万</t>
  </si>
  <si>
    <t>18.14万</t>
  </si>
  <si>
    <t>5650.46万</t>
  </si>
  <si>
    <t>606.38万</t>
  </si>
  <si>
    <t>650.00万</t>
  </si>
  <si>
    <t>476.00万</t>
  </si>
  <si>
    <t>4394.89万</t>
  </si>
  <si>
    <t>7368.28万</t>
  </si>
  <si>
    <t>-1087.22万</t>
  </si>
  <si>
    <t>-1322.44万</t>
  </si>
  <si>
    <t>579.67万</t>
  </si>
  <si>
    <t>3160.87万</t>
  </si>
  <si>
    <t>1791.14万</t>
  </si>
  <si>
    <t>6965.26万</t>
  </si>
  <si>
    <t>5203.42万</t>
  </si>
  <si>
    <t>455.07万</t>
  </si>
  <si>
    <t>740.56万</t>
  </si>
  <si>
    <t>38.14万</t>
  </si>
  <si>
    <t>7.44万</t>
  </si>
  <si>
    <t>84.46万</t>
  </si>
  <si>
    <t>8000.00万</t>
  </si>
  <si>
    <t>4836.96万</t>
  </si>
  <si>
    <t>2807.23万</t>
  </si>
  <si>
    <t>684.40万</t>
  </si>
  <si>
    <t>1440.71万</t>
  </si>
  <si>
    <t>9742.90万</t>
  </si>
  <si>
    <t>453.36万</t>
  </si>
  <si>
    <t>5518.41万</t>
  </si>
  <si>
    <t>3437.16万</t>
  </si>
  <si>
    <t>45.35万</t>
  </si>
  <si>
    <t>12.07万</t>
  </si>
  <si>
    <t>9.75亿</t>
  </si>
  <si>
    <t>26.17亿</t>
  </si>
  <si>
    <t>3752.34万</t>
  </si>
  <si>
    <t>-6047.23万</t>
  </si>
  <si>
    <t>2744.87万</t>
  </si>
  <si>
    <t>3196.40万</t>
  </si>
  <si>
    <t>23.08亿</t>
  </si>
  <si>
    <t>2392.13万</t>
  </si>
  <si>
    <t>2127.72万</t>
  </si>
  <si>
    <t>18.76万</t>
  </si>
  <si>
    <t>4800.88万</t>
  </si>
  <si>
    <t>9.24亿</t>
  </si>
  <si>
    <t>3160.17万</t>
  </si>
  <si>
    <t>-7266.92万</t>
  </si>
  <si>
    <t>-2.38亿</t>
  </si>
  <si>
    <t>6676.36万</t>
  </si>
  <si>
    <t>3190.58万</t>
  </si>
  <si>
    <t>366.73万</t>
  </si>
  <si>
    <t>2566.59万</t>
  </si>
  <si>
    <t>1.72万</t>
  </si>
  <si>
    <t>167.38万</t>
  </si>
  <si>
    <t>-5416.70万</t>
  </si>
  <si>
    <t>183.79万</t>
  </si>
  <si>
    <t>2587.54万</t>
  </si>
  <si>
    <t>1571.98万</t>
  </si>
  <si>
    <t>2.79万</t>
  </si>
  <si>
    <t>274.06万</t>
  </si>
  <si>
    <t>629.31万</t>
  </si>
  <si>
    <t>8915.50万</t>
  </si>
  <si>
    <t>5281.04万</t>
  </si>
  <si>
    <t>2475.81万</t>
  </si>
  <si>
    <t>1133.98万</t>
  </si>
  <si>
    <t>1019.01万</t>
  </si>
  <si>
    <t>37.72亿</t>
  </si>
  <si>
    <t>1353.72万</t>
  </si>
  <si>
    <t>1427.94万</t>
  </si>
  <si>
    <t>24.95万</t>
  </si>
  <si>
    <t>2691.52万</t>
  </si>
  <si>
    <t>2061.37万</t>
  </si>
  <si>
    <t>9372.00万</t>
  </si>
  <si>
    <t>914.57万</t>
  </si>
  <si>
    <t>-4278.80万</t>
  </si>
  <si>
    <t>-4818.29万</t>
  </si>
  <si>
    <t>-225.46万</t>
  </si>
  <si>
    <t>5091.95万</t>
  </si>
  <si>
    <t>512.44万</t>
  </si>
  <si>
    <t>2431.22万</t>
  </si>
  <si>
    <t>5377.32万</t>
  </si>
  <si>
    <t>10.05万</t>
  </si>
  <si>
    <t>866.21万</t>
  </si>
  <si>
    <t>9334.65万</t>
  </si>
  <si>
    <t>10.77亿</t>
  </si>
  <si>
    <t>2947.30万</t>
  </si>
  <si>
    <t>-4118.27万</t>
  </si>
  <si>
    <t>-2213.55万</t>
  </si>
  <si>
    <t>-4199.47万</t>
  </si>
  <si>
    <t>3550.08万</t>
  </si>
  <si>
    <t>900.57万</t>
  </si>
  <si>
    <t>1265.87万</t>
  </si>
  <si>
    <t>1892.17万</t>
  </si>
  <si>
    <t>68.34万</t>
  </si>
  <si>
    <t>4494.08万</t>
  </si>
  <si>
    <t>2523.47万</t>
  </si>
  <si>
    <t>18.00亿</t>
  </si>
  <si>
    <t>35.28万</t>
  </si>
  <si>
    <t>-3402.05万</t>
  </si>
  <si>
    <t>-2997.28万</t>
  </si>
  <si>
    <t>-2211.89万</t>
  </si>
  <si>
    <t>7490.95万</t>
  </si>
  <si>
    <t>10.01亿</t>
  </si>
  <si>
    <t>297.37万</t>
  </si>
  <si>
    <t>4250.91万</t>
  </si>
  <si>
    <t>1450.51万</t>
  </si>
  <si>
    <t>2349.18万</t>
  </si>
  <si>
    <t>1467.01万</t>
  </si>
  <si>
    <t>3010.04万</t>
  </si>
  <si>
    <t>5897.42万</t>
  </si>
  <si>
    <t>-1259.40万</t>
  </si>
  <si>
    <t>-1.39亿</t>
  </si>
  <si>
    <t>1895.13万</t>
  </si>
  <si>
    <t>1515.63万</t>
  </si>
  <si>
    <t>3090.58万</t>
  </si>
  <si>
    <t>4985.20万</t>
  </si>
  <si>
    <t>1.31万</t>
  </si>
  <si>
    <t>27.47亿</t>
  </si>
  <si>
    <t>-7979.71万</t>
  </si>
  <si>
    <t>9261.21万</t>
  </si>
  <si>
    <t>571.07万</t>
  </si>
  <si>
    <t>2518.21万</t>
  </si>
  <si>
    <t>1939.43万</t>
  </si>
  <si>
    <t>4699.61万</t>
  </si>
  <si>
    <t>8381.40万</t>
  </si>
  <si>
    <t>-337.70万</t>
  </si>
  <si>
    <t>-4553.88万</t>
  </si>
  <si>
    <t>5026.82万</t>
  </si>
  <si>
    <t>598.39万</t>
  </si>
  <si>
    <t>2235.51万</t>
  </si>
  <si>
    <t>1363.69万</t>
  </si>
  <si>
    <t>20.21万</t>
  </si>
  <si>
    <t>1190.44万</t>
  </si>
  <si>
    <t>-3629.16万</t>
  </si>
  <si>
    <t>-441.87万</t>
  </si>
  <si>
    <t>22.11万</t>
  </si>
  <si>
    <t>3105.15万</t>
  </si>
  <si>
    <t>202.23万</t>
  </si>
  <si>
    <t>28.07亿</t>
  </si>
  <si>
    <t>1069.59万</t>
  </si>
  <si>
    <t>1230.47万</t>
  </si>
  <si>
    <t>107.19万</t>
  </si>
  <si>
    <t>-5010.34万</t>
  </si>
  <si>
    <t>1306.30万</t>
  </si>
  <si>
    <t>840.26万</t>
  </si>
  <si>
    <t>9765.39万</t>
  </si>
  <si>
    <t>292.94万</t>
  </si>
  <si>
    <t>1272.28万</t>
  </si>
  <si>
    <t>3576.79万</t>
  </si>
  <si>
    <t>5054.21万</t>
  </si>
  <si>
    <t>4812.57万</t>
  </si>
  <si>
    <t>-3570.13万</t>
  </si>
  <si>
    <t>-6027.96万</t>
  </si>
  <si>
    <t>8314.75万</t>
  </si>
  <si>
    <t>8157.47万</t>
  </si>
  <si>
    <t>459.13万</t>
  </si>
  <si>
    <t>576.19万</t>
  </si>
  <si>
    <t>881.51万</t>
  </si>
  <si>
    <t>282.08万</t>
  </si>
  <si>
    <t>4057.56万</t>
  </si>
  <si>
    <t>935.86万</t>
  </si>
  <si>
    <t>2011.58万</t>
  </si>
  <si>
    <t>3002.96万</t>
  </si>
  <si>
    <t>513.35万</t>
  </si>
  <si>
    <t>-707.39万</t>
  </si>
  <si>
    <t>1224.85万</t>
  </si>
  <si>
    <t>2.64万</t>
  </si>
  <si>
    <t>1365.47万</t>
  </si>
  <si>
    <t>-5869.08万</t>
  </si>
  <si>
    <t>1888.54万</t>
  </si>
  <si>
    <t>2999.28万</t>
  </si>
  <si>
    <t>533.07万</t>
  </si>
  <si>
    <t>3921.37万</t>
  </si>
  <si>
    <t>937.60万</t>
  </si>
  <si>
    <t>1610.92万</t>
  </si>
  <si>
    <t>2726.06万</t>
  </si>
  <si>
    <t>66.46万</t>
  </si>
  <si>
    <t>1257.03万</t>
  </si>
  <si>
    <t>4984.10万</t>
  </si>
  <si>
    <t>-2773.58万</t>
  </si>
  <si>
    <t>-1028.60万</t>
  </si>
  <si>
    <t>9494.31万</t>
  </si>
  <si>
    <t>1112.49万</t>
  </si>
  <si>
    <t>16.74亿</t>
  </si>
  <si>
    <t>-4018.93万</t>
  </si>
  <si>
    <t>2248.90万</t>
  </si>
  <si>
    <t>1427.15万</t>
  </si>
  <si>
    <t>23.92万</t>
  </si>
  <si>
    <t>1384.08万</t>
  </si>
  <si>
    <t>7113.68万</t>
  </si>
  <si>
    <t>995.52万</t>
  </si>
  <si>
    <t>6123.10万</t>
  </si>
  <si>
    <t>2242.61万</t>
  </si>
  <si>
    <t>-1635.92万</t>
  </si>
  <si>
    <t>533.12万</t>
  </si>
  <si>
    <t>-3773.40万</t>
  </si>
  <si>
    <t>400.62万</t>
  </si>
  <si>
    <t>545.70万</t>
  </si>
  <si>
    <t>447.40万</t>
  </si>
  <si>
    <t>2642.49万</t>
  </si>
  <si>
    <t>1792.79万</t>
  </si>
  <si>
    <t>-1610.95万</t>
  </si>
  <si>
    <t>-1252.99万</t>
  </si>
  <si>
    <t>8317.06万</t>
  </si>
  <si>
    <t>397.26万</t>
  </si>
  <si>
    <t>3804.55万</t>
  </si>
  <si>
    <t>755.36万</t>
  </si>
  <si>
    <t>3518.58万</t>
  </si>
  <si>
    <t>1698.65万</t>
  </si>
  <si>
    <t>1023.73万</t>
  </si>
  <si>
    <t>1.88万</t>
  </si>
  <si>
    <t>9284.76万</t>
  </si>
  <si>
    <t>1322.72万</t>
  </si>
  <si>
    <t>16.88亿</t>
  </si>
  <si>
    <t>-1178.80万</t>
  </si>
  <si>
    <t>-647.27万</t>
  </si>
  <si>
    <t>3170.48万</t>
  </si>
  <si>
    <t>7669.27万</t>
  </si>
  <si>
    <t>631.62万</t>
  </si>
  <si>
    <t>5415.43万</t>
  </si>
  <si>
    <t>035185800</t>
  </si>
  <si>
    <t>0105557400</t>
  </si>
  <si>
    <t>0211114800</t>
  </si>
  <si>
    <t>0351858000</t>
  </si>
  <si>
    <t>0703716000</t>
  </si>
  <si>
    <t>1226.05万</t>
  </si>
  <si>
    <t>7380.33万</t>
  </si>
  <si>
    <t>4957.99万</t>
  </si>
  <si>
    <t>485.72万</t>
  </si>
  <si>
    <t>872.87万</t>
  </si>
  <si>
    <t>9.65万</t>
  </si>
  <si>
    <t>8763.07万</t>
  </si>
  <si>
    <t>518.86万</t>
  </si>
  <si>
    <t>4580.74万</t>
  </si>
  <si>
    <t>7260.19万</t>
  </si>
  <si>
    <t>344.32万</t>
  </si>
  <si>
    <t>5050.65万</t>
  </si>
  <si>
    <t>-2296.39万</t>
  </si>
  <si>
    <t>-7-0</t>
  </si>
  <si>
    <t>319.21万</t>
  </si>
  <si>
    <t>2508.45万</t>
  </si>
  <si>
    <t>1229.13万</t>
  </si>
  <si>
    <t>1627.13万</t>
  </si>
  <si>
    <t>1545.83万</t>
  </si>
  <si>
    <t>6559.71万</t>
  </si>
  <si>
    <t>-4364.41万</t>
  </si>
  <si>
    <t>946.61万</t>
  </si>
  <si>
    <t>2433.81万</t>
  </si>
  <si>
    <t>1269.72万</t>
  </si>
  <si>
    <t>6095.50万</t>
  </si>
  <si>
    <t>2867.48万</t>
  </si>
  <si>
    <t>2.37万</t>
  </si>
  <si>
    <t>27.73亿</t>
  </si>
  <si>
    <t>484.49万</t>
  </si>
  <si>
    <t>34.64亿</t>
  </si>
  <si>
    <t>3184.00万</t>
  </si>
  <si>
    <t>4299.96万</t>
  </si>
  <si>
    <t>392.12万</t>
  </si>
  <si>
    <t>17.37亿</t>
  </si>
  <si>
    <t>593.16万</t>
  </si>
  <si>
    <t>560.91万</t>
  </si>
  <si>
    <t>605.16万</t>
  </si>
  <si>
    <t>1965.58万</t>
  </si>
  <si>
    <t>3003.03万</t>
  </si>
  <si>
    <t>6642.41万</t>
  </si>
  <si>
    <t>-3820.58万</t>
  </si>
  <si>
    <t>-305.58万</t>
  </si>
  <si>
    <t>2992.13万</t>
  </si>
  <si>
    <t>4182.09万</t>
  </si>
  <si>
    <t>3428.88万</t>
  </si>
  <si>
    <t>9-1</t>
  </si>
  <si>
    <t>291.56万</t>
  </si>
  <si>
    <t>4420.69万</t>
  </si>
  <si>
    <t>4938.27万</t>
  </si>
  <si>
    <t>4308.03万</t>
  </si>
  <si>
    <t>144.96万</t>
  </si>
  <si>
    <t>388.19万</t>
  </si>
  <si>
    <t>67.53万</t>
  </si>
  <si>
    <t>315.15万</t>
  </si>
  <si>
    <t>3147.98万</t>
  </si>
  <si>
    <t>157.46万</t>
  </si>
  <si>
    <t>4606.52万</t>
  </si>
  <si>
    <t>789.08万</t>
  </si>
  <si>
    <t>-579.14万</t>
  </si>
  <si>
    <t>2929.06万</t>
  </si>
  <si>
    <t>-649.15万</t>
  </si>
  <si>
    <t>2017.37万</t>
  </si>
  <si>
    <t>740.71万</t>
  </si>
  <si>
    <t>3255.62万</t>
  </si>
  <si>
    <t>1904.82万</t>
  </si>
  <si>
    <t>281.53万</t>
  </si>
  <si>
    <t>572.04万</t>
  </si>
  <si>
    <t>5.22万</t>
  </si>
  <si>
    <t>999.24万</t>
  </si>
  <si>
    <t>21.42万</t>
  </si>
  <si>
    <t>1404.68万</t>
  </si>
  <si>
    <t>3044.91万</t>
  </si>
  <si>
    <t>-691.18万</t>
  </si>
  <si>
    <t>-4855.28万</t>
  </si>
  <si>
    <t>4483.94万</t>
  </si>
  <si>
    <t>4548.29万</t>
  </si>
  <si>
    <t>99.01万</t>
  </si>
  <si>
    <t>10.07亿</t>
  </si>
  <si>
    <t>9084.18万</t>
  </si>
  <si>
    <t>350.48万</t>
  </si>
  <si>
    <t>619.87万</t>
  </si>
  <si>
    <t>116.28万</t>
  </si>
  <si>
    <t>8309.35万</t>
  </si>
  <si>
    <t>7388.30万</t>
  </si>
  <si>
    <t>1401.21万</t>
  </si>
  <si>
    <t>7707.01万</t>
  </si>
  <si>
    <t>-1.60万</t>
  </si>
  <si>
    <t>2541.27万</t>
  </si>
  <si>
    <t>1052.08万</t>
  </si>
  <si>
    <t>6855.83万</t>
  </si>
  <si>
    <t>1151.28万</t>
  </si>
  <si>
    <t>9676.27万</t>
  </si>
  <si>
    <t>8840.38万</t>
  </si>
  <si>
    <t>7273.40万</t>
  </si>
  <si>
    <t>415.10万</t>
  </si>
  <si>
    <t>770.50万</t>
  </si>
  <si>
    <t>5.49万</t>
  </si>
  <si>
    <t>2850.58万</t>
  </si>
  <si>
    <t>3221.63万</t>
  </si>
  <si>
    <t>8400.00万</t>
  </si>
  <si>
    <t>9713.88万</t>
  </si>
  <si>
    <t>-132.56万</t>
  </si>
  <si>
    <t>-2345.58万</t>
  </si>
  <si>
    <t>2326.24万</t>
  </si>
  <si>
    <t>4765.19万</t>
  </si>
  <si>
    <t>1925.04万</t>
  </si>
  <si>
    <t>7528.89万</t>
  </si>
  <si>
    <t>096762700</t>
  </si>
  <si>
    <t>0290288100</t>
  </si>
  <si>
    <t>0580576200</t>
  </si>
  <si>
    <t>0967627000</t>
  </si>
  <si>
    <t>01935254000</t>
  </si>
  <si>
    <t>122.40万</t>
  </si>
  <si>
    <t>7805.90万</t>
  </si>
  <si>
    <t>1356.75万</t>
  </si>
  <si>
    <t>1750.74万</t>
  </si>
  <si>
    <t>1.62万</t>
  </si>
  <si>
    <t>847.03万</t>
  </si>
  <si>
    <t>9653.02万</t>
  </si>
  <si>
    <t>188.80万</t>
  </si>
  <si>
    <t>-3.36亿</t>
  </si>
  <si>
    <t>-72.27万</t>
  </si>
  <si>
    <t>2225.03万</t>
  </si>
  <si>
    <t>1332.91万</t>
  </si>
  <si>
    <t>078059000</t>
  </si>
  <si>
    <t>0234177000</t>
  </si>
  <si>
    <t>0468354000</t>
  </si>
  <si>
    <t>0780590000</t>
  </si>
  <si>
    <t>01561180000</t>
  </si>
  <si>
    <t>914.70万</t>
  </si>
  <si>
    <t>-1.90亿</t>
  </si>
  <si>
    <t>4254.68万</t>
  </si>
  <si>
    <t>1497.81万</t>
  </si>
  <si>
    <t>265.59万</t>
  </si>
  <si>
    <t>670.15万</t>
  </si>
  <si>
    <t>1283.24万</t>
  </si>
  <si>
    <t>401.66万</t>
  </si>
  <si>
    <t>7666.00万</t>
  </si>
  <si>
    <t>-221.17万</t>
  </si>
  <si>
    <t>-132.87万</t>
  </si>
  <si>
    <t>295.86万</t>
  </si>
  <si>
    <t>2617.90万</t>
  </si>
  <si>
    <t>6468.37万</t>
  </si>
  <si>
    <t>1044.06万</t>
  </si>
  <si>
    <t>-2113.52万</t>
  </si>
  <si>
    <t>12.97万</t>
  </si>
  <si>
    <t>-2792.50万</t>
  </si>
  <si>
    <t>-1111.87万</t>
  </si>
  <si>
    <t>2956.62万</t>
  </si>
  <si>
    <t>157.65万</t>
  </si>
  <si>
    <t>9762.54万</t>
  </si>
  <si>
    <t>1587.54万</t>
  </si>
  <si>
    <t>39.87亿</t>
  </si>
  <si>
    <t>74.92亿</t>
  </si>
  <si>
    <t>37.87万</t>
  </si>
  <si>
    <t>38.40亿</t>
  </si>
  <si>
    <t>-1470.92万</t>
  </si>
  <si>
    <t>15.56亿</t>
  </si>
  <si>
    <t>8312.75万</t>
  </si>
  <si>
    <t>9.25亿</t>
  </si>
  <si>
    <t>2853.96万</t>
  </si>
  <si>
    <t>107.57亿</t>
  </si>
  <si>
    <t>67.61亿</t>
  </si>
  <si>
    <t>8755.51万</t>
  </si>
  <si>
    <t>6563.87万</t>
  </si>
  <si>
    <t>216.12万</t>
  </si>
  <si>
    <t>6989.32万</t>
  </si>
  <si>
    <t>8661.70万</t>
  </si>
  <si>
    <t>18.53亿</t>
  </si>
  <si>
    <t>94.99亿</t>
  </si>
  <si>
    <t>8994.40万</t>
  </si>
  <si>
    <t>117.69万</t>
  </si>
  <si>
    <t>-4574.60万</t>
  </si>
  <si>
    <t>3910.65万</t>
  </si>
  <si>
    <t>12.04亿</t>
  </si>
  <si>
    <t>0127000000</t>
  </si>
  <si>
    <t>0381000000</t>
  </si>
  <si>
    <t>0762000000</t>
  </si>
  <si>
    <t>01270000000</t>
  </si>
  <si>
    <t>02540000000</t>
  </si>
  <si>
    <t>XD宝光股</t>
  </si>
  <si>
    <t>189.88万</t>
  </si>
  <si>
    <t>166.46亿</t>
  </si>
  <si>
    <t>1064.77万</t>
  </si>
  <si>
    <t>2558.21万</t>
  </si>
  <si>
    <t>6.98万</t>
  </si>
  <si>
    <t>3887.57万</t>
  </si>
  <si>
    <t>2167.24万</t>
  </si>
  <si>
    <t>-6977.58万</t>
  </si>
  <si>
    <t>-107.67万</t>
  </si>
  <si>
    <t>2896.33万</t>
  </si>
  <si>
    <t>1077.91万</t>
  </si>
  <si>
    <t>2472.34万</t>
  </si>
  <si>
    <t>509.23亿</t>
  </si>
  <si>
    <t>100.06亿</t>
  </si>
  <si>
    <t>72.27亿</t>
  </si>
  <si>
    <t>57.99亿</t>
  </si>
  <si>
    <t>1003.41万</t>
  </si>
  <si>
    <t>148.91亿</t>
  </si>
  <si>
    <t>7731.59万</t>
  </si>
  <si>
    <t>224.61亿</t>
  </si>
  <si>
    <t>5003.29万</t>
  </si>
  <si>
    <t>316.07亿</t>
  </si>
  <si>
    <t>4110.00万</t>
  </si>
  <si>
    <t>-9.00亿</t>
  </si>
  <si>
    <t>751.02万</t>
  </si>
  <si>
    <t>22.79亿</t>
  </si>
  <si>
    <t>57.39亿</t>
  </si>
  <si>
    <t>2377.88万</t>
  </si>
  <si>
    <t>3148.51万</t>
  </si>
  <si>
    <t>52.22万</t>
  </si>
  <si>
    <t>-6569.10万</t>
  </si>
  <si>
    <t>-2830.69万</t>
  </si>
  <si>
    <t>2241.31万</t>
  </si>
  <si>
    <t>12.71亿</t>
  </si>
  <si>
    <t>5100.08万</t>
  </si>
  <si>
    <t>4769.36万</t>
  </si>
  <si>
    <t>471.09万</t>
  </si>
  <si>
    <t>57.79亿</t>
  </si>
  <si>
    <t>43.53亿</t>
  </si>
  <si>
    <t>16.68亿</t>
  </si>
  <si>
    <t>137.41万</t>
  </si>
  <si>
    <t>101.56亿</t>
  </si>
  <si>
    <t>-9398.12万</t>
  </si>
  <si>
    <t>3057.55万</t>
  </si>
  <si>
    <t>2541.91万</t>
  </si>
  <si>
    <t>0229000000</t>
  </si>
  <si>
    <t>0687000000</t>
  </si>
  <si>
    <t>01374000000</t>
  </si>
  <si>
    <t>02290000000</t>
  </si>
  <si>
    <t>04580000000</t>
  </si>
  <si>
    <t>3968.64万</t>
  </si>
  <si>
    <t>86.43亿</t>
  </si>
  <si>
    <t>3443.12万</t>
  </si>
  <si>
    <t>4386.61万</t>
  </si>
  <si>
    <t>70.63万</t>
  </si>
  <si>
    <t>6416.89万</t>
  </si>
  <si>
    <t>1210.18万</t>
  </si>
  <si>
    <t>5.71万</t>
  </si>
  <si>
    <t>50.23亿</t>
  </si>
  <si>
    <t>-1350.64万</t>
  </si>
  <si>
    <t>8674.81万</t>
  </si>
  <si>
    <t>1824.55万</t>
  </si>
  <si>
    <t>328.78亿</t>
  </si>
  <si>
    <t>8.78亿</t>
  </si>
  <si>
    <t>42.42亿</t>
  </si>
  <si>
    <t>2259.90万</t>
  </si>
  <si>
    <t>5460.40万</t>
  </si>
  <si>
    <t>151.87万</t>
  </si>
  <si>
    <t>16.28亿</t>
  </si>
  <si>
    <t>13.91亿</t>
  </si>
  <si>
    <t>8382.70万</t>
  </si>
  <si>
    <t>53.86亿</t>
  </si>
  <si>
    <t>7675.67万</t>
  </si>
  <si>
    <t>-5.09亿</t>
  </si>
  <si>
    <t>85.77亿</t>
  </si>
  <si>
    <t>902.38万</t>
  </si>
  <si>
    <t>47.78亿</t>
  </si>
  <si>
    <t>799.81亿</t>
  </si>
  <si>
    <t>42.89亿</t>
  </si>
  <si>
    <t>3.30万</t>
  </si>
  <si>
    <t>33.95亿</t>
  </si>
  <si>
    <t>1278.37万</t>
  </si>
  <si>
    <t>54.44亿</t>
  </si>
  <si>
    <t>52.20亿</t>
  </si>
  <si>
    <t>145.26亿</t>
  </si>
  <si>
    <t>179.42亿</t>
  </si>
  <si>
    <t>5708.23万</t>
  </si>
  <si>
    <t>695.51万</t>
  </si>
  <si>
    <t>115.03亿</t>
  </si>
  <si>
    <t>567.12亿</t>
  </si>
  <si>
    <t>67.05亿</t>
  </si>
  <si>
    <t>22.46亿</t>
  </si>
  <si>
    <t>65.29万</t>
  </si>
  <si>
    <t>78.89万</t>
  </si>
  <si>
    <t>-2.42亿</t>
  </si>
  <si>
    <t>132.56亿</t>
  </si>
  <si>
    <t>3286.47万</t>
  </si>
  <si>
    <t>786.55万</t>
  </si>
  <si>
    <t>50.20亿</t>
  </si>
  <si>
    <t>56.32亿</t>
  </si>
  <si>
    <t>-12.03亿</t>
  </si>
  <si>
    <t>100.49亿</t>
  </si>
  <si>
    <t>95.60亿</t>
  </si>
  <si>
    <t>8354.90万</t>
  </si>
  <si>
    <t>53.59万</t>
  </si>
  <si>
    <t>28.90亿</t>
  </si>
  <si>
    <t>132.33万</t>
  </si>
  <si>
    <t>135.22亿</t>
  </si>
  <si>
    <t>-10.82亿</t>
  </si>
  <si>
    <t>-9259.31万</t>
  </si>
  <si>
    <t>-2.28亿</t>
  </si>
  <si>
    <t>3687.91万</t>
  </si>
  <si>
    <t>1558.26万</t>
  </si>
  <si>
    <t>42.74亿</t>
  </si>
  <si>
    <t>136.13亿</t>
  </si>
  <si>
    <t>24.55亿</t>
  </si>
  <si>
    <t>3453.28万</t>
  </si>
  <si>
    <t>3451.58万</t>
  </si>
  <si>
    <t>191.40万</t>
  </si>
  <si>
    <t>9954.64万</t>
  </si>
  <si>
    <t>1391.60万</t>
  </si>
  <si>
    <t>47.97亿</t>
  </si>
  <si>
    <t>2616.63万</t>
  </si>
  <si>
    <t>-1284.55万</t>
  </si>
  <si>
    <t>-2.61亿</t>
  </si>
  <si>
    <t>26.64亿</t>
  </si>
  <si>
    <t>8650.06万</t>
  </si>
  <si>
    <t>2491.18万</t>
  </si>
  <si>
    <t>44.37亿</t>
  </si>
  <si>
    <t>358.42亿</t>
  </si>
  <si>
    <t>-24.50亿</t>
  </si>
  <si>
    <t>6781.02万</t>
  </si>
  <si>
    <t>241.36万</t>
  </si>
  <si>
    <t>30.56亿</t>
  </si>
  <si>
    <t>8477.28万</t>
  </si>
  <si>
    <t>2869.24万</t>
  </si>
  <si>
    <t>8537.03万</t>
  </si>
  <si>
    <t>-6.25亿</t>
  </si>
  <si>
    <t>9401.66万</t>
  </si>
  <si>
    <t>246.34亿</t>
  </si>
  <si>
    <t>11379.93亿</t>
  </si>
  <si>
    <t>260.97亿</t>
  </si>
  <si>
    <t>44.71亿</t>
  </si>
  <si>
    <t>559.70万</t>
  </si>
  <si>
    <t>88.75亿</t>
  </si>
  <si>
    <t>65.62亿</t>
  </si>
  <si>
    <t>170.94亿</t>
  </si>
  <si>
    <t>-3.48亿</t>
  </si>
  <si>
    <t>2735.39亿</t>
  </si>
  <si>
    <t>59.08亿</t>
  </si>
  <si>
    <t>37.96亿</t>
  </si>
  <si>
    <t>852.30万</t>
  </si>
  <si>
    <t>113.22亿</t>
  </si>
  <si>
    <t>109.67亿</t>
  </si>
  <si>
    <t>26.40亿</t>
  </si>
  <si>
    <t>349.43万</t>
  </si>
  <si>
    <t>51.56亿</t>
  </si>
  <si>
    <t>563.65万</t>
  </si>
  <si>
    <t>64.38亿</t>
  </si>
  <si>
    <t>9934.74万</t>
  </si>
  <si>
    <t>25.39亿</t>
  </si>
  <si>
    <t>6606.06万</t>
  </si>
  <si>
    <t>1035.56万</t>
  </si>
  <si>
    <t>26.43亿</t>
  </si>
  <si>
    <t>6338.70亿</t>
  </si>
  <si>
    <t>86.70亿</t>
  </si>
  <si>
    <t>1298.66万</t>
  </si>
  <si>
    <t>3059.90万</t>
  </si>
  <si>
    <t>1.83万</t>
  </si>
  <si>
    <t>2725.86万</t>
  </si>
  <si>
    <t>4823.14万</t>
  </si>
  <si>
    <t>324.51万</t>
  </si>
  <si>
    <t>1351.26万</t>
  </si>
  <si>
    <t>-5992.05万</t>
  </si>
  <si>
    <t>-1277.28万</t>
  </si>
  <si>
    <t>1444.53亿</t>
  </si>
  <si>
    <t>33.72亿</t>
  </si>
  <si>
    <t>8567.75万</t>
  </si>
  <si>
    <t>641.44万</t>
  </si>
  <si>
    <t>92.91亿</t>
  </si>
  <si>
    <t>8.99亿</t>
  </si>
  <si>
    <t>8.13亿</t>
  </si>
  <si>
    <t>950.40万</t>
  </si>
  <si>
    <t>3552.09万</t>
  </si>
  <si>
    <t>33.04万</t>
  </si>
  <si>
    <t>162.36万</t>
  </si>
  <si>
    <t>46.28亿</t>
  </si>
  <si>
    <t>-2.34亿</t>
  </si>
  <si>
    <t>-7383.42万</t>
  </si>
  <si>
    <t>19.97亿</t>
  </si>
  <si>
    <t>3914.84万</t>
  </si>
  <si>
    <t>589.45万</t>
  </si>
  <si>
    <t>481.16亿</t>
  </si>
  <si>
    <t>176.38亿</t>
  </si>
  <si>
    <t>141.65亿</t>
  </si>
  <si>
    <t>122.65亿</t>
  </si>
  <si>
    <t>598.40万</t>
  </si>
  <si>
    <t>89.88亿</t>
  </si>
  <si>
    <t>28.46亿</t>
  </si>
  <si>
    <t>21.28亿</t>
  </si>
  <si>
    <t>62.80亿</t>
  </si>
  <si>
    <t>22.34亿</t>
  </si>
  <si>
    <t>164.13亿</t>
  </si>
  <si>
    <t>1268.31万</t>
  </si>
  <si>
    <t>469.28亿</t>
  </si>
  <si>
    <t>121.42亿</t>
  </si>
  <si>
    <t>-11.71亿</t>
  </si>
  <si>
    <t>-10.72亿</t>
  </si>
  <si>
    <t>4798.43万</t>
  </si>
  <si>
    <t>01754000000</t>
  </si>
  <si>
    <t>05262000000</t>
  </si>
  <si>
    <t>010524000000</t>
  </si>
  <si>
    <t>017540000000</t>
  </si>
  <si>
    <t>035080000000</t>
  </si>
  <si>
    <t>47.81万</t>
  </si>
  <si>
    <t>9801.59万</t>
  </si>
  <si>
    <t>424.55万</t>
  </si>
  <si>
    <t>1546.90万</t>
  </si>
  <si>
    <t>3904.92万</t>
  </si>
  <si>
    <t>470.00万</t>
  </si>
  <si>
    <t>9863.52万</t>
  </si>
  <si>
    <t>3358.82万</t>
  </si>
  <si>
    <t>-1.21亿</t>
  </si>
  <si>
    <t>2929.07万</t>
  </si>
  <si>
    <t>359.33万</t>
  </si>
  <si>
    <t>4659.22万</t>
  </si>
  <si>
    <t>810.52万</t>
  </si>
  <si>
    <t>16.78亿</t>
  </si>
  <si>
    <t>29.51亿</t>
  </si>
  <si>
    <t>-8630.99万</t>
  </si>
  <si>
    <t>4494.19万</t>
  </si>
  <si>
    <t>2502.09万</t>
  </si>
  <si>
    <t>102.57万</t>
  </si>
  <si>
    <t>148.90万</t>
  </si>
  <si>
    <t>853.05万</t>
  </si>
  <si>
    <t>23.78亿</t>
  </si>
  <si>
    <t>-1338.76万</t>
  </si>
  <si>
    <t>-1706.83万</t>
  </si>
  <si>
    <t>8684.14万</t>
  </si>
  <si>
    <t>-3505.73万</t>
  </si>
  <si>
    <t>4377.15万</t>
  </si>
  <si>
    <t>万控智造</t>
  </si>
  <si>
    <t>523.82万</t>
  </si>
  <si>
    <t>443.27亿</t>
  </si>
  <si>
    <t>2754.89万</t>
  </si>
  <si>
    <t>4573.93万</t>
  </si>
  <si>
    <t>10.85万</t>
  </si>
  <si>
    <t>5055.06万</t>
  </si>
  <si>
    <t>-1047.78万</t>
  </si>
  <si>
    <t>119.27亿</t>
  </si>
  <si>
    <t>3537.41万</t>
  </si>
  <si>
    <t>9179.22万</t>
  </si>
  <si>
    <t>208.24万</t>
  </si>
  <si>
    <t>35.15亿</t>
  </si>
  <si>
    <t>5780.12万</t>
  </si>
  <si>
    <t>1781.10万</t>
  </si>
  <si>
    <t>855.64万</t>
  </si>
  <si>
    <t>73.16万</t>
  </si>
  <si>
    <t>202.85万</t>
  </si>
  <si>
    <t>1509.01万</t>
  </si>
  <si>
    <t>6189.15万</t>
  </si>
  <si>
    <t>1500.00万</t>
  </si>
  <si>
    <t>-4717.51万</t>
  </si>
  <si>
    <t>2360.64万</t>
  </si>
  <si>
    <t>3904.83万</t>
  </si>
  <si>
    <t>2278.77万</t>
  </si>
  <si>
    <t>1538.21万</t>
  </si>
  <si>
    <t>338.42万</t>
  </si>
  <si>
    <t>79.76亿</t>
  </si>
  <si>
    <t>216.14万</t>
  </si>
  <si>
    <t>749.85万</t>
  </si>
  <si>
    <t>7236.19万</t>
  </si>
  <si>
    <t>1581.43万</t>
  </si>
  <si>
    <t>600.61万</t>
  </si>
  <si>
    <t>583.76万</t>
  </si>
  <si>
    <t>3958.89万</t>
  </si>
  <si>
    <t>-1.09亿</t>
  </si>
  <si>
    <t>16.99亿</t>
  </si>
  <si>
    <t>1677.35万</t>
  </si>
  <si>
    <t>1148.19万</t>
  </si>
  <si>
    <t>5559.35万</t>
  </si>
  <si>
    <t>617.28万</t>
  </si>
  <si>
    <t>21.53亿</t>
  </si>
  <si>
    <t>-1.49亿</t>
  </si>
  <si>
    <t>1906.42万</t>
  </si>
  <si>
    <t>2143.87万</t>
  </si>
  <si>
    <t>22.62万</t>
  </si>
  <si>
    <t>4200.00万</t>
  </si>
  <si>
    <t>20.19万</t>
  </si>
  <si>
    <t>1075.37万</t>
  </si>
  <si>
    <t>-1481.27万</t>
  </si>
  <si>
    <t>4642.38万</t>
  </si>
  <si>
    <t>-2894.79万</t>
  </si>
  <si>
    <t>4264.92万</t>
  </si>
  <si>
    <t>393.53万</t>
  </si>
  <si>
    <t>27.78亿</t>
  </si>
  <si>
    <t>3484.43万</t>
  </si>
  <si>
    <t>1297.17万</t>
  </si>
  <si>
    <t>1648.33万</t>
  </si>
  <si>
    <t>2.68万</t>
  </si>
  <si>
    <t>2374.06万</t>
  </si>
  <si>
    <t>3451.57万</t>
  </si>
  <si>
    <t>1030.00万</t>
  </si>
  <si>
    <t>-1399.91万</t>
  </si>
  <si>
    <t>1665.05万</t>
  </si>
  <si>
    <t>-6062.56万</t>
  </si>
  <si>
    <t>666.88万</t>
  </si>
  <si>
    <t>2735.32万</t>
  </si>
  <si>
    <t>259.60万</t>
  </si>
  <si>
    <t>68.53亿</t>
  </si>
  <si>
    <t>-6.56亿</t>
  </si>
  <si>
    <t>7038.56万</t>
  </si>
  <si>
    <t>3632.00万</t>
  </si>
  <si>
    <t>100.06万</t>
  </si>
  <si>
    <t>44.66亿</t>
  </si>
  <si>
    <t>486.32万</t>
  </si>
  <si>
    <t>1325.67万</t>
  </si>
  <si>
    <t>3654.48万</t>
  </si>
  <si>
    <t>20.23亿</t>
  </si>
  <si>
    <t>-9.65亿</t>
  </si>
  <si>
    <t>8375.71万</t>
  </si>
  <si>
    <t>-3224.27万</t>
  </si>
  <si>
    <t>2009.75万</t>
  </si>
  <si>
    <t>376.51万</t>
  </si>
  <si>
    <t>1043.40万</t>
  </si>
  <si>
    <t>1629.77万</t>
  </si>
  <si>
    <t>363.22万</t>
  </si>
  <si>
    <t>941.53万</t>
  </si>
  <si>
    <t>23.12亿</t>
  </si>
  <si>
    <t>9863.89万</t>
  </si>
  <si>
    <t>86.88万</t>
  </si>
  <si>
    <t>-8711.74万</t>
  </si>
  <si>
    <t>-1607.98万</t>
  </si>
  <si>
    <t>8825.49万</t>
  </si>
  <si>
    <t>4093.14万</t>
  </si>
  <si>
    <t>1645.25万</t>
  </si>
  <si>
    <t>428.90万</t>
  </si>
  <si>
    <t>9335.76万</t>
  </si>
  <si>
    <t>3629.75万</t>
  </si>
  <si>
    <t>3510.49万</t>
  </si>
  <si>
    <t>14.19万</t>
  </si>
  <si>
    <t>5.05万</t>
  </si>
  <si>
    <t>14.12亿</t>
  </si>
  <si>
    <t>17.14万</t>
  </si>
  <si>
    <t>40.42亿</t>
  </si>
  <si>
    <t>306.66万</t>
  </si>
  <si>
    <t>2733.72万</t>
  </si>
  <si>
    <t>3859.28万</t>
  </si>
  <si>
    <t>4770.60万</t>
  </si>
  <si>
    <t>30.58亿</t>
  </si>
  <si>
    <t>37.32亿</t>
  </si>
  <si>
    <t>7930.99万</t>
  </si>
  <si>
    <t>3006.77万</t>
  </si>
  <si>
    <t>2.12万</t>
  </si>
  <si>
    <t>6088.98万</t>
  </si>
  <si>
    <t>28.78亿</t>
  </si>
  <si>
    <t>34.51万</t>
  </si>
  <si>
    <t>-3.35亿</t>
  </si>
  <si>
    <t>3872.34万</t>
  </si>
  <si>
    <t>923.56万</t>
  </si>
  <si>
    <t>227.82亿</t>
  </si>
  <si>
    <t>30.36亿</t>
  </si>
  <si>
    <t>1757.37万</t>
  </si>
  <si>
    <t>2221.75万</t>
  </si>
  <si>
    <t>11.47万</t>
  </si>
  <si>
    <t>4022.64万</t>
  </si>
  <si>
    <t>5161.91万</t>
  </si>
  <si>
    <t>9420.00万</t>
  </si>
  <si>
    <t>194.67万</t>
  </si>
  <si>
    <t>1901.29万</t>
  </si>
  <si>
    <t>-5586.25万</t>
  </si>
  <si>
    <t>-1171.12万</t>
  </si>
  <si>
    <t>11.29万</t>
  </si>
  <si>
    <t>35.70亿</t>
  </si>
  <si>
    <t>6384.34万</t>
  </si>
  <si>
    <t>5776.63万</t>
  </si>
  <si>
    <t>4019.16万</t>
  </si>
  <si>
    <t>4226.88万</t>
  </si>
  <si>
    <t>22.58亿</t>
  </si>
  <si>
    <t>46.21亿</t>
  </si>
  <si>
    <t>-9367.85万</t>
  </si>
  <si>
    <t>6275.72万</t>
  </si>
  <si>
    <t>4333.44万</t>
  </si>
  <si>
    <t>-2601.44万</t>
  </si>
  <si>
    <t>1664.36万</t>
  </si>
  <si>
    <t>240.44万</t>
  </si>
  <si>
    <t>28.32亿</t>
  </si>
  <si>
    <t>25.50亿</t>
  </si>
  <si>
    <t>25.08亿</t>
  </si>
  <si>
    <t>463.83万</t>
  </si>
  <si>
    <t>1031.15万</t>
  </si>
  <si>
    <t>260.60万</t>
  </si>
  <si>
    <t>7.62亿</t>
  </si>
  <si>
    <t>24.41亿</t>
  </si>
  <si>
    <t>39.18亿</t>
  </si>
  <si>
    <t>-561.52万</t>
  </si>
  <si>
    <t>1200.78万</t>
  </si>
  <si>
    <t>1178.26万</t>
  </si>
  <si>
    <t>1705.41万</t>
  </si>
  <si>
    <t>18.65亿</t>
  </si>
  <si>
    <t>9.06亿</t>
  </si>
  <si>
    <t>5508.26万</t>
  </si>
  <si>
    <t>7480.44万</t>
  </si>
  <si>
    <t>3593.95万</t>
  </si>
  <si>
    <t>4.90万</t>
  </si>
  <si>
    <t>8406.06万</t>
  </si>
  <si>
    <t>703.20万</t>
  </si>
  <si>
    <t>10.33亿</t>
  </si>
  <si>
    <t>-537.79万</t>
  </si>
  <si>
    <t>-1493.51万</t>
  </si>
  <si>
    <t>67.09万</t>
  </si>
  <si>
    <t>-569.15万</t>
  </si>
  <si>
    <t>055082600</t>
  </si>
  <si>
    <t>0165247800</t>
  </si>
  <si>
    <t>0330495600</t>
  </si>
  <si>
    <t>0550826000</t>
  </si>
  <si>
    <t>01101652000</t>
  </si>
  <si>
    <t>661.76万</t>
  </si>
  <si>
    <t>29.31亿</t>
  </si>
  <si>
    <t>8.76亿</t>
  </si>
  <si>
    <t>2664.89万</t>
  </si>
  <si>
    <t>5069.78万</t>
  </si>
  <si>
    <t>7.03万</t>
  </si>
  <si>
    <t>3114.59万</t>
  </si>
  <si>
    <t>-8605.43万</t>
  </si>
  <si>
    <t>6191.23万</t>
  </si>
  <si>
    <t>3786.39万</t>
  </si>
  <si>
    <t>0256000000</t>
  </si>
  <si>
    <t>0768000000</t>
  </si>
  <si>
    <t>01536000000</t>
  </si>
  <si>
    <t>02560000000</t>
  </si>
  <si>
    <t>05120000000</t>
  </si>
  <si>
    <t>173.93万</t>
  </si>
  <si>
    <t>16.38亿</t>
  </si>
  <si>
    <t>5477.42万</t>
  </si>
  <si>
    <t>46.89亿</t>
  </si>
  <si>
    <t>44.83亿</t>
  </si>
  <si>
    <t>8787.92万</t>
  </si>
  <si>
    <t>4267.07万</t>
  </si>
  <si>
    <t>164.01万</t>
  </si>
  <si>
    <t>9.78亿</t>
  </si>
  <si>
    <t>-5.18亿</t>
  </si>
  <si>
    <t>211.41万</t>
  </si>
  <si>
    <t>1119.14万</t>
  </si>
  <si>
    <t>7789.90万</t>
  </si>
  <si>
    <t>34.81万</t>
  </si>
  <si>
    <t>9128.86万</t>
  </si>
  <si>
    <t>7227.83万</t>
  </si>
  <si>
    <t>1278.82万</t>
  </si>
  <si>
    <t>1571.97万</t>
  </si>
  <si>
    <t>12.34万</t>
  </si>
  <si>
    <t>8701.47万</t>
  </si>
  <si>
    <t>633.26万</t>
  </si>
  <si>
    <t>7061.89万</t>
  </si>
  <si>
    <t>-778.05万</t>
  </si>
  <si>
    <t>-19.17万</t>
  </si>
  <si>
    <t>-2.40亿</t>
  </si>
  <si>
    <t>358.30万</t>
  </si>
  <si>
    <t>4486.97万</t>
  </si>
  <si>
    <t>n/a</t>
  </si>
  <si>
    <t>237.47万</t>
  </si>
  <si>
    <t>-1068.04万</t>
  </si>
  <si>
    <t>3468.79万</t>
  </si>
  <si>
    <t>2510.70万</t>
  </si>
  <si>
    <t>13.05万</t>
  </si>
  <si>
    <t>-5532.15万</t>
  </si>
  <si>
    <t>5851.35万</t>
  </si>
  <si>
    <t>-1604.45万</t>
  </si>
  <si>
    <t>10派2.3324元(含税)</t>
  </si>
  <si>
    <t>1818.21万</t>
  </si>
  <si>
    <t>-4-0</t>
  </si>
  <si>
    <t>62.27万</t>
  </si>
  <si>
    <t>-15.11亿</t>
  </si>
  <si>
    <t>1425.42万</t>
  </si>
  <si>
    <t>1177.60万</t>
  </si>
  <si>
    <t>2933.59万</t>
  </si>
  <si>
    <t>1746.70万</t>
  </si>
  <si>
    <t>980.87万</t>
  </si>
  <si>
    <t>2943.55万</t>
  </si>
  <si>
    <t>-2344.62万</t>
  </si>
  <si>
    <t>-7779.13万</t>
  </si>
  <si>
    <t>-6593.78万</t>
  </si>
  <si>
    <t>-3.24亿</t>
  </si>
  <si>
    <t>369.08万</t>
  </si>
  <si>
    <t>2915.71万</t>
  </si>
  <si>
    <t>74.83万</t>
  </si>
  <si>
    <t>-7792.91万</t>
  </si>
  <si>
    <t>3525.86万</t>
  </si>
  <si>
    <t>491.19万</t>
  </si>
  <si>
    <t>1245.15万</t>
  </si>
  <si>
    <t>382.51万</t>
  </si>
  <si>
    <t>1.77万</t>
  </si>
  <si>
    <t>182.11万</t>
  </si>
  <si>
    <t>7547.12万</t>
  </si>
  <si>
    <t>813.69万</t>
  </si>
  <si>
    <t>5370.59万</t>
  </si>
  <si>
    <t>-1404.15万</t>
  </si>
  <si>
    <t>1376.51万</t>
  </si>
  <si>
    <t>1016.16万</t>
  </si>
  <si>
    <t>-2566.06万</t>
  </si>
  <si>
    <t>392.25万</t>
  </si>
  <si>
    <t>3671.99万</t>
  </si>
  <si>
    <t>金冠电气</t>
  </si>
  <si>
    <t>411.24万</t>
  </si>
  <si>
    <t>35.12亿</t>
  </si>
  <si>
    <t>8092.52万</t>
  </si>
  <si>
    <t>499.72万</t>
  </si>
  <si>
    <t>1034.34万</t>
  </si>
  <si>
    <t>14.25万</t>
  </si>
  <si>
    <t>898.55万</t>
  </si>
  <si>
    <t>3020.73万</t>
  </si>
  <si>
    <t>9759.98万</t>
  </si>
  <si>
    <t>-35.60万</t>
  </si>
  <si>
    <t>-1237.95万</t>
  </si>
  <si>
    <t>-2109.78万</t>
  </si>
  <si>
    <t>8802.79万</t>
  </si>
  <si>
    <t>2560.36万</t>
  </si>
  <si>
    <t>105.31万</t>
  </si>
  <si>
    <t>6474.46万</t>
  </si>
  <si>
    <t>953.49万</t>
  </si>
  <si>
    <t>1631.87万</t>
  </si>
  <si>
    <t>1237.77万</t>
  </si>
  <si>
    <t>2132.42万</t>
  </si>
  <si>
    <t>1528.09万</t>
  </si>
  <si>
    <t>-1569.95万</t>
  </si>
  <si>
    <t>136.21万</t>
  </si>
  <si>
    <t>10派0.514元(含税)</t>
  </si>
  <si>
    <t>1361.09万</t>
  </si>
  <si>
    <t>40.98万</t>
  </si>
  <si>
    <t>55.23亿</t>
  </si>
  <si>
    <t>2928.43万</t>
  </si>
  <si>
    <t>756.44万</t>
  </si>
  <si>
    <t>583.98万</t>
  </si>
  <si>
    <t>560.03万</t>
  </si>
  <si>
    <t>8029.34万</t>
  </si>
  <si>
    <t>1700.00万</t>
  </si>
  <si>
    <t>1668.58万</t>
  </si>
  <si>
    <t>5835.51万</t>
  </si>
  <si>
    <t>717.78万</t>
  </si>
  <si>
    <t>-2.07亿</t>
  </si>
  <si>
    <t>-698.35万</t>
  </si>
  <si>
    <t>8815.74万</t>
  </si>
  <si>
    <t>134.39万</t>
  </si>
  <si>
    <t>1859.65万</t>
  </si>
  <si>
    <t>171.01万</t>
  </si>
  <si>
    <t>9324.52万</t>
  </si>
  <si>
    <t>6753.60万</t>
  </si>
  <si>
    <t>547.88万</t>
  </si>
  <si>
    <t>1100.62万</t>
  </si>
  <si>
    <t>149.24万</t>
  </si>
  <si>
    <t>451.17万</t>
  </si>
  <si>
    <t>169.70万</t>
  </si>
  <si>
    <t>-794.00万</t>
  </si>
  <si>
    <t>-2154.91万</t>
  </si>
  <si>
    <t>926.09万</t>
  </si>
  <si>
    <t>5114.92万</t>
  </si>
  <si>
    <t>101.74万</t>
  </si>
  <si>
    <t>3038.03万</t>
  </si>
  <si>
    <t>1038.18万</t>
  </si>
  <si>
    <t>1.03万</t>
  </si>
  <si>
    <t>4409.51万</t>
  </si>
  <si>
    <t>-8580.69万</t>
  </si>
  <si>
    <t>475.10万</t>
  </si>
  <si>
    <t>3878.35万</t>
  </si>
  <si>
    <t>601.77万</t>
  </si>
  <si>
    <t>4756.18万</t>
  </si>
  <si>
    <t>589.23万</t>
  </si>
  <si>
    <t>34.22亿</t>
  </si>
  <si>
    <t>6300.48万</t>
  </si>
  <si>
    <t>7500.69万</t>
  </si>
  <si>
    <t>172.64万</t>
  </si>
  <si>
    <t>8625.82万</t>
  </si>
  <si>
    <t>33.94亿</t>
  </si>
  <si>
    <t>4846.41万</t>
  </si>
  <si>
    <t>4246.61万</t>
  </si>
  <si>
    <t>132.80万</t>
  </si>
  <si>
    <t>2711.25万</t>
  </si>
  <si>
    <t>7081.89万</t>
  </si>
  <si>
    <t>3553.60万</t>
  </si>
  <si>
    <t>1726.49万</t>
  </si>
  <si>
    <t>864.02万</t>
  </si>
  <si>
    <t>4.92万</t>
  </si>
  <si>
    <t>7018.90万</t>
  </si>
  <si>
    <t>3941.22万</t>
  </si>
  <si>
    <t>1012.89万</t>
  </si>
  <si>
    <t>810.00万</t>
  </si>
  <si>
    <t>1705.14万</t>
  </si>
  <si>
    <t>7853.00万</t>
  </si>
  <si>
    <t>63.43万</t>
  </si>
  <si>
    <t>-943.48万</t>
  </si>
  <si>
    <t>-414.53万</t>
  </si>
  <si>
    <t>7618.30万</t>
  </si>
  <si>
    <t>419.01万</t>
  </si>
  <si>
    <t>7045.95万</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</si>
</sst>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3"/>
      <charset val="134"/>
      <scheme val="minor"/>
    </font>
    <font>
      <sz val="9"/>
      <color theme="1"/>
      <name val="宋体"/>
      <family val="2"/>
      <charset val="134"/>
      <scheme val="minor"/>
    </font>
    <font>
      <b/>
      <sz val="9"/>
      <color rgb="FFFF0000"/>
      <name val="宋体"/>
      <family val="3"/>
      <charset val="134"/>
      <scheme val="minor"/>
    </font>
    <font>
      <b/>
      <sz val="9"/>
      <color theme="1"/>
      <name val="宋体"/>
      <family val="3"/>
      <charset val="134"/>
      <scheme val="minor"/>
    </font>
    <font>
      <sz val="9"/>
      <color rgb="FFFF0000"/>
      <name val="宋体"/>
      <family val="3"/>
      <charset val="134"/>
      <scheme val="minor"/>
    </font>
    <font>
      <sz val="9"/>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2" borderId="0" xfId="0" applyFill="1">
      <alignment vertical="center"/>
    </xf>
    <xf numFmtId="0" fontId="3" fillId="0" borderId="0" xfId="0" applyFont="1">
      <alignment vertical="center"/>
    </xf>
    <xf numFmtId="0" fontId="0" fillId="0" borderId="0" xfId="0" applyAlignment="1">
      <alignment vertical="center" wrapText="1"/>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4" fillId="0" borderId="0" xfId="0" applyFont="1" applyAlignment="1">
      <alignment vertical="center" wrapText="1"/>
    </xf>
    <xf numFmtId="0" fontId="5" fillId="0" borderId="0" xfId="0" applyFont="1" applyAlignment="1">
      <alignment vertical="center" wrapText="1"/>
    </xf>
    <xf numFmtId="0" fontId="0" fillId="4" borderId="0" xfId="0" applyFill="1">
      <alignment vertical="center"/>
    </xf>
    <xf numFmtId="0" fontId="0" fillId="5" borderId="0" xfId="0" applyFill="1">
      <alignment vertical="center"/>
    </xf>
    <xf numFmtId="0" fontId="11" fillId="0" borderId="0" xfId="0" applyFont="1">
      <alignment vertical="center"/>
    </xf>
    <xf numFmtId="0" fontId="10" fillId="0" borderId="0" xfId="0" applyFont="1">
      <alignment vertical="center"/>
    </xf>
    <xf numFmtId="14" fontId="0" fillId="0" borderId="0" xfId="0" applyNumberFormat="1">
      <alignment vertical="center"/>
    </xf>
    <xf numFmtId="0" fontId="0" fillId="0" borderId="0" xfId="0" applyFill="1">
      <alignment vertical="center"/>
    </xf>
    <xf numFmtId="0" fontId="11"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412750</xdr:colOff>
          <xdr:row>0</xdr:row>
          <xdr:rowOff>50800</xdr:rowOff>
        </xdr:from>
        <xdr:to>
          <xdr:col>147</xdr:col>
          <xdr:colOff>1593850</xdr:colOff>
          <xdr:row>1</xdr:row>
          <xdr:rowOff>0</xdr:rowOff>
        </xdr:to>
        <xdr:sp macro="" textlink="">
          <xdr:nvSpPr>
            <xdr:cNvPr id="1025" name="Button 1" descr="更新基本面按钮&#10;"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25"/>
  <sheetViews>
    <sheetView tabSelected="1" zoomScale="85" zoomScaleNormal="85" workbookViewId="0">
      <pane xSplit="5" ySplit="1" topLeftCell="F2" activePane="bottomRight" state="frozen"/>
      <selection pane="topRight" activeCell="F1" sqref="F1"/>
      <selection pane="bottomLeft" activeCell="A2" sqref="A2"/>
      <selection pane="bottomRight" activeCell="C14" sqref="C14:C15"/>
    </sheetView>
  </sheetViews>
  <sheetFormatPr defaultRowHeight="14" x14ac:dyDescent="0.25"/>
  <cols>
    <col min="1" max="1" width="41.81640625" customWidth="1"/>
    <col min="2" max="2" width="38.36328125" customWidth="1"/>
    <col min="3" max="3" width="47.36328125" customWidth="1"/>
    <col min="4" max="4" width="12.08984375" style="3" customWidth="1"/>
    <col min="9" max="9" width="10.90625" customWidth="1"/>
    <col min="148" max="148" width="24.90625" customWidth="1"/>
  </cols>
  <sheetData>
    <row r="1" spans="1:146" s="2" customFormat="1" ht="50.25" customHeight="1" x14ac:dyDescent="0.25">
      <c r="A1" s="4" t="s">
        <v>4</v>
      </c>
      <c r="B1" s="5" t="s">
        <v>5</v>
      </c>
      <c r="C1" s="4" t="s">
        <v>6</v>
      </c>
      <c r="D1" t="s">
        <v>1220</v>
      </c>
      <c r="E1" t="s">
        <v>1394</v>
      </c>
      <c r="F1" t="s">
        <v>0</v>
      </c>
      <c r="G1" t="s">
        <v>1233</v>
      </c>
      <c r="H1" t="s">
        <v>1706</v>
      </c>
      <c r="I1" t="s">
        <v>7</v>
      </c>
      <c r="J1" t="s">
        <v>8</v>
      </c>
      <c r="K1" t="s">
        <v>1</v>
      </c>
      <c r="L1" t="s">
        <v>9</v>
      </c>
      <c r="M1" t="s">
        <v>10</v>
      </c>
      <c r="N1" t="s">
        <v>11</v>
      </c>
      <c r="O1" t="s">
        <v>12</v>
      </c>
      <c r="P1" t="s">
        <v>1707</v>
      </c>
      <c r="Q1" t="s">
        <v>1708</v>
      </c>
      <c r="R1" t="s">
        <v>1395</v>
      </c>
      <c r="S1" t="s">
        <v>13</v>
      </c>
      <c r="T1" t="s">
        <v>1709</v>
      </c>
      <c r="U1" t="s">
        <v>1234</v>
      </c>
      <c r="V1" t="s">
        <v>14</v>
      </c>
      <c r="W1" t="s">
        <v>1710</v>
      </c>
      <c r="X1" t="s">
        <v>1711</v>
      </c>
      <c r="Y1" t="s">
        <v>1712</v>
      </c>
      <c r="Z1" t="s">
        <v>1713</v>
      </c>
      <c r="AA1" t="s">
        <v>1714</v>
      </c>
      <c r="AB1" t="s">
        <v>1715</v>
      </c>
      <c r="AC1" t="s">
        <v>1716</v>
      </c>
      <c r="AD1" t="s">
        <v>1717</v>
      </c>
      <c r="AE1" t="s">
        <v>15</v>
      </c>
      <c r="AF1" t="s">
        <v>16</v>
      </c>
      <c r="AG1" t="s">
        <v>1718</v>
      </c>
      <c r="AH1" t="s">
        <v>1719</v>
      </c>
      <c r="AI1" t="s">
        <v>1720</v>
      </c>
      <c r="AJ1" t="s">
        <v>17</v>
      </c>
      <c r="AK1" t="s">
        <v>1721</v>
      </c>
      <c r="AL1" t="s">
        <v>235</v>
      </c>
      <c r="AM1" t="s">
        <v>1722</v>
      </c>
      <c r="AN1" t="s">
        <v>1723</v>
      </c>
      <c r="AO1" t="s">
        <v>1724</v>
      </c>
      <c r="AP1" t="s">
        <v>1725</v>
      </c>
      <c r="AQ1" t="s">
        <v>1726</v>
      </c>
      <c r="AR1" t="s">
        <v>1727</v>
      </c>
      <c r="AS1" t="s">
        <v>1728</v>
      </c>
      <c r="AT1" t="s">
        <v>1729</v>
      </c>
      <c r="AU1" t="s">
        <v>1730</v>
      </c>
      <c r="AV1" t="s">
        <v>1731</v>
      </c>
      <c r="AW1" t="s">
        <v>1732</v>
      </c>
      <c r="AX1" t="s">
        <v>1733</v>
      </c>
      <c r="AY1" t="s">
        <v>1734</v>
      </c>
      <c r="AZ1" t="s">
        <v>236</v>
      </c>
      <c r="BA1" t="s">
        <v>237</v>
      </c>
      <c r="BB1" t="s">
        <v>238</v>
      </c>
      <c r="BC1" t="s">
        <v>1735</v>
      </c>
      <c r="BD1" t="s">
        <v>1276</v>
      </c>
      <c r="BE1" t="s">
        <v>239</v>
      </c>
      <c r="BF1" t="s">
        <v>240</v>
      </c>
      <c r="BG1" t="s">
        <v>241</v>
      </c>
      <c r="BH1" t="s">
        <v>1736</v>
      </c>
      <c r="BI1" t="s">
        <v>1737</v>
      </c>
      <c r="BJ1" t="s">
        <v>1738</v>
      </c>
      <c r="BK1" t="s">
        <v>1739</v>
      </c>
      <c r="BL1" t="s">
        <v>1740</v>
      </c>
      <c r="BM1" t="s">
        <v>1741</v>
      </c>
      <c r="BN1" t="s">
        <v>1742</v>
      </c>
      <c r="BO1" t="s">
        <v>1396</v>
      </c>
      <c r="BP1" t="s">
        <v>1235</v>
      </c>
      <c r="BQ1" t="s">
        <v>1743</v>
      </c>
      <c r="BR1" t="s">
        <v>1397</v>
      </c>
      <c r="BS1" t="s">
        <v>1236</v>
      </c>
      <c r="BT1" t="s">
        <v>1744</v>
      </c>
      <c r="BU1" t="s">
        <v>1443</v>
      </c>
      <c r="BV1" t="s">
        <v>1745</v>
      </c>
      <c r="BW1" t="s">
        <v>1746</v>
      </c>
      <c r="BX1" t="s">
        <v>469</v>
      </c>
      <c r="BY1" t="s">
        <v>1747</v>
      </c>
      <c r="BZ1" t="s">
        <v>1748</v>
      </c>
      <c r="CA1" t="s">
        <v>470</v>
      </c>
      <c r="CB1" t="s">
        <v>1749</v>
      </c>
      <c r="CC1" t="s">
        <v>1750</v>
      </c>
      <c r="CD1" t="s">
        <v>1751</v>
      </c>
      <c r="CE1" t="s">
        <v>1752</v>
      </c>
      <c r="CF1" t="s">
        <v>443</v>
      </c>
      <c r="CG1" t="s">
        <v>444</v>
      </c>
      <c r="CH1" t="s">
        <v>445</v>
      </c>
      <c r="CI1" t="s">
        <v>446</v>
      </c>
      <c r="CJ1" t="s">
        <v>447</v>
      </c>
      <c r="CK1" t="s">
        <v>448</v>
      </c>
      <c r="CL1" t="s">
        <v>449</v>
      </c>
      <c r="CM1" t="s">
        <v>450</v>
      </c>
      <c r="CN1" t="s">
        <v>451</v>
      </c>
      <c r="CO1" t="s">
        <v>452</v>
      </c>
      <c r="CP1" t="s">
        <v>453</v>
      </c>
      <c r="CQ1" t="s">
        <v>454</v>
      </c>
      <c r="CR1" t="s">
        <v>1753</v>
      </c>
      <c r="CS1" t="s">
        <v>1754</v>
      </c>
      <c r="CT1" t="s">
        <v>1755</v>
      </c>
      <c r="CU1" t="s">
        <v>1756</v>
      </c>
      <c r="CV1" t="s">
        <v>1757</v>
      </c>
      <c r="CW1" t="s">
        <v>1758</v>
      </c>
      <c r="CX1">
        <v>1</v>
      </c>
      <c r="CY1" t="s">
        <v>1759</v>
      </c>
      <c r="CZ1" t="s">
        <v>1760</v>
      </c>
      <c r="DA1">
        <v>3</v>
      </c>
      <c r="DB1" t="s">
        <v>1761</v>
      </c>
      <c r="DC1" t="s">
        <v>1762</v>
      </c>
      <c r="DD1">
        <v>6</v>
      </c>
      <c r="DE1" t="s">
        <v>1763</v>
      </c>
      <c r="DF1" t="s">
        <v>1764</v>
      </c>
      <c r="DG1">
        <v>10</v>
      </c>
      <c r="DH1" t="s">
        <v>1765</v>
      </c>
      <c r="DI1" t="s">
        <v>1766</v>
      </c>
      <c r="DJ1">
        <v>20</v>
      </c>
      <c r="DK1" t="s">
        <v>1767</v>
      </c>
      <c r="DL1" t="s">
        <v>455</v>
      </c>
      <c r="DM1" t="s">
        <v>456</v>
      </c>
      <c r="DN1" s="1" t="s">
        <v>457</v>
      </c>
      <c r="DO1" t="s">
        <v>1768</v>
      </c>
      <c r="DP1" t="s">
        <v>1769</v>
      </c>
      <c r="DQ1" s="12" t="s">
        <v>1770</v>
      </c>
      <c r="DR1" t="s">
        <v>1771</v>
      </c>
      <c r="DS1" t="s">
        <v>1772</v>
      </c>
      <c r="DT1" t="s">
        <v>1773</v>
      </c>
      <c r="DU1" t="s">
        <v>1774</v>
      </c>
      <c r="DV1" t="s">
        <v>1775</v>
      </c>
      <c r="DW1" t="s">
        <v>1776</v>
      </c>
      <c r="DX1" t="s">
        <v>1777</v>
      </c>
      <c r="DY1" t="s">
        <v>1778</v>
      </c>
      <c r="DZ1" t="s">
        <v>1779</v>
      </c>
      <c r="EA1" t="s">
        <v>1780</v>
      </c>
      <c r="EB1" t="s">
        <v>1781</v>
      </c>
      <c r="EC1" t="s">
        <v>1782</v>
      </c>
      <c r="ED1" t="s">
        <v>1783</v>
      </c>
      <c r="EE1" t="s">
        <v>1784</v>
      </c>
      <c r="EF1" t="s">
        <v>1785</v>
      </c>
      <c r="EG1" t="s">
        <v>1786</v>
      </c>
      <c r="EH1" t="s">
        <v>1787</v>
      </c>
      <c r="EI1" t="s">
        <v>1788</v>
      </c>
      <c r="EJ1"/>
      <c r="EK1" s="14" t="s">
        <v>1789</v>
      </c>
      <c r="EL1" t="s">
        <v>1790</v>
      </c>
      <c r="EM1" t="s">
        <v>1791</v>
      </c>
      <c r="EN1" t="s">
        <v>1792</v>
      </c>
      <c r="EO1" t="s">
        <v>1793</v>
      </c>
      <c r="EP1" t="s">
        <v>1794</v>
      </c>
    </row>
    <row r="2" spans="1:146" ht="96" x14ac:dyDescent="0.25">
      <c r="A2" s="8"/>
      <c r="B2" s="8"/>
      <c r="C2" s="8" t="str">
        <f>""&amp;CHAR(10)&amp;Basic_Fundamental_Information_Constructure(F2)&amp;CHAR(10)&amp;Basic_Fundamental_Information_Concatenate("")</f>
        <v xml:space="preserve">
市值333.41985亿, 利润10.05亿; PE30.83; 平均PE51.28; 平均PEG3.16, PB3.04; ROIC8.0033%; ROE7.7367%; 股利率.9046%; 毛利19.2067%; 净利6.8667%; 上一年度营收增13.51%, 利润增28.03%; 当季营收增-15.08%, 利润增47.3%; 过往5年营收增16.24%, 利润增45.02%
Income profile:
</v>
      </c>
      <c r="D2" t="s">
        <v>678</v>
      </c>
      <c r="E2" t="s">
        <v>679</v>
      </c>
      <c r="F2">
        <v>32.72</v>
      </c>
      <c r="G2">
        <v>-0.27</v>
      </c>
      <c r="H2" t="s">
        <v>2890</v>
      </c>
      <c r="I2">
        <v>33341985000</v>
      </c>
      <c r="J2">
        <v>30.83</v>
      </c>
      <c r="K2">
        <v>3.04</v>
      </c>
      <c r="L2" t="s">
        <v>2891</v>
      </c>
      <c r="M2" t="s">
        <v>1994</v>
      </c>
      <c r="N2" t="s">
        <v>2892</v>
      </c>
      <c r="O2" t="s">
        <v>1995</v>
      </c>
      <c r="P2">
        <v>-15.09</v>
      </c>
      <c r="Q2" t="s">
        <v>1996</v>
      </c>
      <c r="R2">
        <v>237156160</v>
      </c>
      <c r="S2" s="6">
        <v>0.47389999999999999</v>
      </c>
      <c r="T2" t="s">
        <v>907</v>
      </c>
      <c r="U2">
        <v>1008322060</v>
      </c>
      <c r="V2">
        <v>1019009310</v>
      </c>
      <c r="W2">
        <v>1.87</v>
      </c>
      <c r="X2">
        <v>0.13</v>
      </c>
      <c r="Y2">
        <v>9.3800000000000008</v>
      </c>
      <c r="Z2" t="s">
        <v>2040</v>
      </c>
      <c r="AA2" t="s">
        <v>2893</v>
      </c>
      <c r="AB2" t="s">
        <v>2894</v>
      </c>
      <c r="AC2" t="s">
        <v>33</v>
      </c>
      <c r="AD2" t="s">
        <v>2</v>
      </c>
      <c r="AE2">
        <v>-14707304</v>
      </c>
      <c r="AF2" t="s">
        <v>1997</v>
      </c>
      <c r="AG2" t="s">
        <v>2895</v>
      </c>
      <c r="AH2" t="s">
        <v>1998</v>
      </c>
      <c r="AI2" t="s">
        <v>2809</v>
      </c>
      <c r="AJ2" t="s">
        <v>1999</v>
      </c>
      <c r="AK2" t="s">
        <v>70</v>
      </c>
      <c r="AL2" t="s">
        <v>2000</v>
      </c>
      <c r="AM2" t="s">
        <v>2</v>
      </c>
      <c r="AN2" t="s">
        <v>99</v>
      </c>
      <c r="AO2" t="s">
        <v>2</v>
      </c>
      <c r="AP2" t="s">
        <v>388</v>
      </c>
      <c r="AQ2" t="s">
        <v>2896</v>
      </c>
      <c r="AR2" t="s">
        <v>2897</v>
      </c>
      <c r="AS2" t="s">
        <v>2898</v>
      </c>
      <c r="AT2" t="s">
        <v>2</v>
      </c>
      <c r="AU2" t="s">
        <v>98</v>
      </c>
      <c r="AV2" t="s">
        <v>2899</v>
      </c>
      <c r="AW2" t="s">
        <v>2900</v>
      </c>
      <c r="AX2" t="s">
        <v>2001</v>
      </c>
      <c r="AY2" t="s">
        <v>1277</v>
      </c>
      <c r="AZ2" t="s">
        <v>680</v>
      </c>
      <c r="BA2" t="s">
        <v>681</v>
      </c>
      <c r="BB2" t="s">
        <v>682</v>
      </c>
      <c r="BC2" t="s">
        <v>673</v>
      </c>
      <c r="BD2" t="s">
        <v>64</v>
      </c>
      <c r="BE2" t="s">
        <v>175</v>
      </c>
      <c r="BF2" t="s">
        <v>553</v>
      </c>
      <c r="BG2" t="s">
        <v>191</v>
      </c>
      <c r="BH2" t="s">
        <v>1996</v>
      </c>
      <c r="BI2" t="s">
        <v>1935</v>
      </c>
      <c r="BJ2" t="s">
        <v>2001</v>
      </c>
      <c r="BK2" t="s">
        <v>907</v>
      </c>
      <c r="BL2" t="s">
        <v>198</v>
      </c>
      <c r="BM2" t="s">
        <v>673</v>
      </c>
      <c r="BN2">
        <v>7.33</v>
      </c>
      <c r="BO2">
        <v>8.4499999999999993</v>
      </c>
      <c r="BP2">
        <v>8.23</v>
      </c>
      <c r="BQ2">
        <v>7.38</v>
      </c>
      <c r="BR2">
        <v>7.79</v>
      </c>
      <c r="BS2">
        <v>8.0399999999999991</v>
      </c>
      <c r="BT2" t="s">
        <v>2002</v>
      </c>
      <c r="BU2" t="s">
        <v>1444</v>
      </c>
      <c r="BV2">
        <v>18</v>
      </c>
      <c r="BW2">
        <v>19.04</v>
      </c>
      <c r="BX2">
        <v>20.58</v>
      </c>
      <c r="BY2">
        <v>6.95</v>
      </c>
      <c r="BZ2">
        <v>6.5</v>
      </c>
      <c r="CA2">
        <v>7.15</v>
      </c>
      <c r="CB2">
        <v>-4.91</v>
      </c>
      <c r="CC2">
        <v>22.07</v>
      </c>
      <c r="CD2" t="s">
        <v>2901</v>
      </c>
      <c r="CE2" t="s">
        <v>138</v>
      </c>
      <c r="CF2" s="10">
        <v>-0.15080084617709291</v>
      </c>
      <c r="CG2" s="11">
        <v>0.47301962732919256</v>
      </c>
      <c r="CH2" s="10">
        <v>0.13512977957725525</v>
      </c>
      <c r="CI2" s="10">
        <v>0.25344005227088928</v>
      </c>
      <c r="CJ2" s="10">
        <v>7.1486018598079681E-2</v>
      </c>
      <c r="CK2" s="10">
        <v>3.1238511204719543E-2</v>
      </c>
      <c r="CL2" s="10">
        <v>0.32067662477493286</v>
      </c>
      <c r="CM2" s="11">
        <v>0.2802547812461853</v>
      </c>
      <c r="CN2" s="11">
        <v>8.4254145622253418E-2</v>
      </c>
      <c r="CO2" s="11">
        <v>1.1173184029757977E-2</v>
      </c>
      <c r="CP2" s="11">
        <v>0.52016985416412354</v>
      </c>
      <c r="CQ2" s="11">
        <v>1.3550000190734863</v>
      </c>
      <c r="CR2">
        <v>51.282212253268398</v>
      </c>
      <c r="CS2">
        <v>3.1578845248524074</v>
      </c>
      <c r="CT2">
        <v>0.9046454767726162</v>
      </c>
      <c r="CU2" s="10">
        <v>0.16239419728517532</v>
      </c>
      <c r="CV2" s="11">
        <v>0.45017039682716131</v>
      </c>
      <c r="CW2">
        <v>0.06</v>
      </c>
      <c r="CX2">
        <v>28.653952537783173</v>
      </c>
      <c r="CY2">
        <v>1102081290.8222651</v>
      </c>
      <c r="CZ2">
        <v>0.16239419728517532</v>
      </c>
      <c r="DA2">
        <v>8.8115861753045586</v>
      </c>
      <c r="DB2">
        <v>3583802549.4778209</v>
      </c>
      <c r="DC2">
        <v>0.15427448742091654</v>
      </c>
      <c r="DD2">
        <v>3.9905058990716644</v>
      </c>
      <c r="DE2">
        <v>7913529211.2577534</v>
      </c>
      <c r="DF2">
        <v>0.14290689361095429</v>
      </c>
      <c r="DG2">
        <v>2.1745923382376655</v>
      </c>
      <c r="DH2">
        <v>14521795393.426365</v>
      </c>
      <c r="DI2">
        <v>0.12991535782814026</v>
      </c>
      <c r="DJ2">
        <v>0.89839961793824163</v>
      </c>
      <c r="DK2">
        <v>35150265393.557663</v>
      </c>
      <c r="DL2">
        <v>0.11367593809962272</v>
      </c>
      <c r="DM2">
        <v>1005000000.0000001</v>
      </c>
      <c r="DN2">
        <v>0.16239419728517532</v>
      </c>
      <c r="DO2">
        <v>31578985000</v>
      </c>
      <c r="DP2">
        <v>8157174000</v>
      </c>
      <c r="DQ2">
        <v>68</v>
      </c>
      <c r="DR2">
        <v>-0.31319504346226823</v>
      </c>
      <c r="DS2">
        <v>2.2849230502031248E-2</v>
      </c>
      <c r="DT2" s="12">
        <v>-0.19000000000000003</v>
      </c>
      <c r="DU2">
        <v>0.70333333333333325</v>
      </c>
      <c r="DV2">
        <v>0.5133333333333332</v>
      </c>
      <c r="DW2">
        <v>-6.1819866567828017</v>
      </c>
      <c r="DX2">
        <v>0.28938534923339099</v>
      </c>
      <c r="DY2">
        <v>-6.0290060068471441</v>
      </c>
      <c r="DZ2">
        <v>693</v>
      </c>
      <c r="EA2">
        <v>-6.0250723155076003</v>
      </c>
      <c r="EB2">
        <v>6</v>
      </c>
      <c r="EC2">
        <v>9.18138814649299E-2</v>
      </c>
      <c r="ED2">
        <v>0.57604969281389584</v>
      </c>
      <c r="EE2" s="13">
        <v>1.0181</v>
      </c>
      <c r="EF2">
        <v>1.0004999999999999</v>
      </c>
      <c r="EG2">
        <v>13.159385349233391</v>
      </c>
      <c r="EH2" t="s">
        <v>1547</v>
      </c>
      <c r="EI2">
        <v>0</v>
      </c>
      <c r="EJ2">
        <v>1</v>
      </c>
      <c r="EK2" s="14">
        <v>45470</v>
      </c>
      <c r="EL2">
        <v>-0.52</v>
      </c>
      <c r="EM2">
        <v>0.57999999999999996</v>
      </c>
      <c r="EN2">
        <v>-1.07</v>
      </c>
      <c r="EO2">
        <v>-0.12</v>
      </c>
      <c r="EP2">
        <v>-1.76</v>
      </c>
    </row>
    <row r="3" spans="1:146" ht="96" x14ac:dyDescent="0.25">
      <c r="A3" s="8"/>
      <c r="B3" s="8"/>
      <c r="C3" s="8" t="str">
        <f>""&amp;CHAR(10)&amp;Basic_Fundamental_Information_Constructure(F3)&amp;CHAR(10)&amp;Basic_Fundamental_Information_Concatenate("")</f>
        <v xml:space="preserve">
市值22.244275亿, 利润6437.41万; PE32.68; 平均PE-16.77; 平均PEG-2.03, PB2.82; ROIC5.995%; ROE3.0667%; 股利率0%; 毛利21.6133%; 净利1.9533%; 上一年度营收增16.52%, 利润增104.31%; 当季营收增12.41%, 利润增35.87%; 过往5年营收增-8.25%, 利润增655%
Income profile:
</v>
      </c>
      <c r="D3" t="s">
        <v>836</v>
      </c>
      <c r="E3" t="s">
        <v>837</v>
      </c>
      <c r="F3">
        <v>3.22</v>
      </c>
      <c r="G3">
        <v>0.94</v>
      </c>
      <c r="H3" t="s">
        <v>2902</v>
      </c>
      <c r="I3">
        <v>2224427500</v>
      </c>
      <c r="J3">
        <v>32.68</v>
      </c>
      <c r="K3">
        <v>2.82</v>
      </c>
      <c r="L3" t="s">
        <v>2891</v>
      </c>
      <c r="M3" t="s">
        <v>1960</v>
      </c>
      <c r="N3" t="s">
        <v>1587</v>
      </c>
      <c r="O3" t="s">
        <v>654</v>
      </c>
      <c r="P3">
        <v>12.41</v>
      </c>
      <c r="Q3" t="s">
        <v>1868</v>
      </c>
      <c r="R3">
        <v>14020758</v>
      </c>
      <c r="S3" s="6">
        <v>0.35870000000000002</v>
      </c>
      <c r="T3" t="s">
        <v>2003</v>
      </c>
      <c r="U3">
        <v>684902400</v>
      </c>
      <c r="V3">
        <v>690816000</v>
      </c>
      <c r="W3">
        <v>2.91</v>
      </c>
      <c r="X3">
        <v>0.17</v>
      </c>
      <c r="Y3">
        <v>4.84</v>
      </c>
      <c r="Z3" t="s">
        <v>120</v>
      </c>
      <c r="AA3" t="s">
        <v>536</v>
      </c>
      <c r="AB3" t="s">
        <v>2903</v>
      </c>
      <c r="AC3" t="s">
        <v>2904</v>
      </c>
      <c r="AD3" t="s">
        <v>2</v>
      </c>
      <c r="AE3">
        <v>1676011</v>
      </c>
      <c r="AF3" t="s">
        <v>23</v>
      </c>
      <c r="AG3" t="s">
        <v>2905</v>
      </c>
      <c r="AH3" t="s">
        <v>2004</v>
      </c>
      <c r="AI3" t="s">
        <v>464</v>
      </c>
      <c r="AJ3" t="s">
        <v>2005</v>
      </c>
      <c r="AK3" t="s">
        <v>2906</v>
      </c>
      <c r="AL3" t="s">
        <v>2006</v>
      </c>
      <c r="AM3" t="s">
        <v>2</v>
      </c>
      <c r="AN3" t="s">
        <v>2907</v>
      </c>
      <c r="AO3" t="s">
        <v>293</v>
      </c>
      <c r="AP3" t="s">
        <v>2908</v>
      </c>
      <c r="AQ3" t="s">
        <v>1469</v>
      </c>
      <c r="AR3" t="s">
        <v>2</v>
      </c>
      <c r="AS3" t="s">
        <v>2909</v>
      </c>
      <c r="AT3" t="s">
        <v>2910</v>
      </c>
      <c r="AU3" t="s">
        <v>2911</v>
      </c>
      <c r="AV3" t="s">
        <v>2912</v>
      </c>
      <c r="AW3" t="s">
        <v>2913</v>
      </c>
      <c r="AX3" t="s">
        <v>1516</v>
      </c>
      <c r="AY3" t="s">
        <v>48</v>
      </c>
      <c r="AZ3" t="s">
        <v>838</v>
      </c>
      <c r="BA3" t="s">
        <v>576</v>
      </c>
      <c r="BB3" t="s">
        <v>840</v>
      </c>
      <c r="BC3" t="s">
        <v>2007</v>
      </c>
      <c r="BD3" t="s">
        <v>1278</v>
      </c>
      <c r="BE3" t="s">
        <v>839</v>
      </c>
      <c r="BF3" t="s">
        <v>841</v>
      </c>
      <c r="BG3" t="s">
        <v>842</v>
      </c>
      <c r="BH3" t="s">
        <v>1868</v>
      </c>
      <c r="BI3" t="s">
        <v>325</v>
      </c>
      <c r="BJ3" t="s">
        <v>1516</v>
      </c>
      <c r="BK3" t="s">
        <v>2003</v>
      </c>
      <c r="BL3" t="s">
        <v>2008</v>
      </c>
      <c r="BM3" t="s">
        <v>2007</v>
      </c>
      <c r="BN3">
        <v>6.63</v>
      </c>
      <c r="BO3">
        <v>5.36</v>
      </c>
      <c r="BP3" t="s">
        <v>2</v>
      </c>
      <c r="BQ3">
        <v>6.54</v>
      </c>
      <c r="BR3">
        <v>4.51</v>
      </c>
      <c r="BS3">
        <v>-1.85</v>
      </c>
      <c r="BT3" t="s">
        <v>1521</v>
      </c>
      <c r="BU3" t="s">
        <v>1445</v>
      </c>
      <c r="BV3">
        <v>21.49</v>
      </c>
      <c r="BW3">
        <v>20.83</v>
      </c>
      <c r="BX3">
        <v>22.52</v>
      </c>
      <c r="BY3">
        <v>4.34</v>
      </c>
      <c r="BZ3">
        <v>2.91</v>
      </c>
      <c r="CA3">
        <v>-1.39</v>
      </c>
      <c r="CB3">
        <v>-2.13</v>
      </c>
      <c r="CC3">
        <v>-14.59</v>
      </c>
      <c r="CD3" t="s">
        <v>2914</v>
      </c>
      <c r="CE3" t="s">
        <v>118</v>
      </c>
      <c r="CF3" s="10">
        <v>0.12406947890818859</v>
      </c>
      <c r="CG3" s="11">
        <v>0.35870590743468483</v>
      </c>
      <c r="CH3" s="10">
        <v>0.16516350209712982</v>
      </c>
      <c r="CI3" s="10">
        <v>0.21590125560760498</v>
      </c>
      <c r="CJ3" s="10">
        <v>-1.285516656935215E-2</v>
      </c>
      <c r="CK3" s="10">
        <v>7.5691409409046173E-2</v>
      </c>
      <c r="CL3" s="10">
        <v>-0.85626107454299927</v>
      </c>
      <c r="CM3" s="11">
        <v>1.043057918548584</v>
      </c>
      <c r="CN3" s="11">
        <v>3.4693725109100342</v>
      </c>
      <c r="CO3" s="11">
        <v>-1.148493766784668</v>
      </c>
      <c r="CP3" s="11">
        <v>28.383190155029297</v>
      </c>
      <c r="CQ3" s="11">
        <v>1.0030211210250854</v>
      </c>
      <c r="CR3">
        <v>-16.766527508453258</v>
      </c>
      <c r="CS3">
        <v>-2.0329959864775105</v>
      </c>
      <c r="CT3">
        <v>0</v>
      </c>
      <c r="CU3" s="10">
        <v>-8.2472014799714083E-2</v>
      </c>
      <c r="CV3" s="11">
        <v>6.5500295877456667</v>
      </c>
      <c r="CW3">
        <v>0.06</v>
      </c>
      <c r="CX3">
        <v>46.997589092507702</v>
      </c>
      <c r="CY3" t="s">
        <v>2009</v>
      </c>
      <c r="CZ3">
        <v>-8.2472014799714083E-2</v>
      </c>
      <c r="DA3">
        <v>15.665863030835901</v>
      </c>
      <c r="DB3" t="s">
        <v>2010</v>
      </c>
      <c r="DC3">
        <v>-7.834841405972838E-2</v>
      </c>
      <c r="DD3">
        <v>7.8329315154179504</v>
      </c>
      <c r="DE3" t="s">
        <v>2011</v>
      </c>
      <c r="DF3">
        <v>-7.2575373023748391E-2</v>
      </c>
      <c r="DG3">
        <v>4.6997589092507699</v>
      </c>
      <c r="DH3" t="s">
        <v>2012</v>
      </c>
      <c r="DI3">
        <v>-6.5977611839771272E-2</v>
      </c>
      <c r="DJ3">
        <v>2.3498794546253849</v>
      </c>
      <c r="DK3" t="s">
        <v>2013</v>
      </c>
      <c r="DL3">
        <v>-5.7730410359799852E-2</v>
      </c>
      <c r="DM3">
        <v>64374100</v>
      </c>
      <c r="DN3">
        <v>-8.2472014799714083E-2</v>
      </c>
      <c r="DO3">
        <v>3025427500</v>
      </c>
      <c r="DP3">
        <v>512821800</v>
      </c>
      <c r="DQ3">
        <v>118</v>
      </c>
      <c r="DR3">
        <v>0.20654149370790267</v>
      </c>
      <c r="DS3">
        <v>-6.1913236803109815</v>
      </c>
      <c r="DT3" s="12">
        <v>-0.32333333333333331</v>
      </c>
      <c r="DU3">
        <v>0.87166666666666659</v>
      </c>
      <c r="DV3">
        <v>0.54833333333333334</v>
      </c>
      <c r="DW3">
        <v>-2.1459000000000001</v>
      </c>
      <c r="DX3">
        <v>0.32594191919192039</v>
      </c>
      <c r="DY3">
        <v>-2.015456926010101</v>
      </c>
      <c r="DZ3">
        <v>637</v>
      </c>
      <c r="EA3">
        <v>-2.0135301037266502</v>
      </c>
      <c r="EB3">
        <v>2</v>
      </c>
      <c r="EC3">
        <v>6.0729629886974244E-2</v>
      </c>
      <c r="ED3">
        <v>0.5732351306281267</v>
      </c>
      <c r="EE3" s="13">
        <v>9.2499999999999999E-2</v>
      </c>
      <c r="EF3">
        <v>7.1199999999999999E-2</v>
      </c>
      <c r="EG3">
        <v>22.10594191919192</v>
      </c>
      <c r="EH3" t="s">
        <v>1398</v>
      </c>
      <c r="EI3">
        <v>0</v>
      </c>
      <c r="EJ3">
        <v>1</v>
      </c>
      <c r="EK3" s="14">
        <v>45470</v>
      </c>
      <c r="EL3">
        <v>-0.61</v>
      </c>
      <c r="EM3">
        <v>-5.49</v>
      </c>
      <c r="EN3">
        <v>2.58</v>
      </c>
      <c r="EO3">
        <v>3.14</v>
      </c>
      <c r="EP3">
        <v>-2.13</v>
      </c>
    </row>
    <row r="4" spans="1:146" ht="96" x14ac:dyDescent="0.25">
      <c r="A4" s="8"/>
      <c r="B4" s="8"/>
      <c r="C4" s="8" t="str">
        <f>""&amp;CHAR(10)&amp;Basic_Fundamental_Information_Constructure(F4)&amp;CHAR(10)&amp;Basic_Fundamental_Information_Concatenate("")</f>
        <v xml:space="preserve">
市值141.98299亿, 利润5.41亿; PE25.09; 平均PE42.03; 平均PEG2.56, PB3.03; ROIC8.4133%; ROE9.5067%; 股利率.7554%; 毛利32.9667%; 净利9.25%; 上一年度营收增18.64%, 利润增23.52%; 当季营收增11.13%, 利润增32.04%; 过往5年营收增16.41%, 利润增26.28%
Income profile:
</v>
      </c>
      <c r="D4" t="s">
        <v>683</v>
      </c>
      <c r="E4" t="s">
        <v>684</v>
      </c>
      <c r="F4">
        <v>10.59</v>
      </c>
      <c r="G4">
        <v>-0.09</v>
      </c>
      <c r="H4" t="s">
        <v>2915</v>
      </c>
      <c r="I4">
        <v>14198299000</v>
      </c>
      <c r="J4">
        <v>25.09</v>
      </c>
      <c r="K4">
        <v>3.03</v>
      </c>
      <c r="L4" t="s">
        <v>2891</v>
      </c>
      <c r="M4" t="s">
        <v>2014</v>
      </c>
      <c r="N4" t="s">
        <v>2806</v>
      </c>
      <c r="O4" t="s">
        <v>502</v>
      </c>
      <c r="P4">
        <v>11.06</v>
      </c>
      <c r="Q4" t="s">
        <v>2015</v>
      </c>
      <c r="R4">
        <v>101407764</v>
      </c>
      <c r="S4" s="6">
        <v>0.32040000000000002</v>
      </c>
      <c r="T4" t="s">
        <v>370</v>
      </c>
      <c r="U4">
        <v>1340594660</v>
      </c>
      <c r="V4">
        <v>1340727010</v>
      </c>
      <c r="W4">
        <v>2.17</v>
      </c>
      <c r="X4">
        <v>0.11</v>
      </c>
      <c r="Y4">
        <v>6.98</v>
      </c>
      <c r="Z4" t="s">
        <v>353</v>
      </c>
      <c r="AA4" t="s">
        <v>1471</v>
      </c>
      <c r="AB4" t="s">
        <v>122</v>
      </c>
      <c r="AC4" t="s">
        <v>2916</v>
      </c>
      <c r="AD4" t="s">
        <v>2</v>
      </c>
      <c r="AE4">
        <v>-18076237</v>
      </c>
      <c r="AF4" t="s">
        <v>2016</v>
      </c>
      <c r="AG4" t="s">
        <v>2917</v>
      </c>
      <c r="AH4" t="s">
        <v>2017</v>
      </c>
      <c r="AI4" t="s">
        <v>2918</v>
      </c>
      <c r="AJ4" t="s">
        <v>2018</v>
      </c>
      <c r="AK4" t="s">
        <v>2919</v>
      </c>
      <c r="AL4" t="s">
        <v>2019</v>
      </c>
      <c r="AM4" t="s">
        <v>2</v>
      </c>
      <c r="AN4" t="s">
        <v>77</v>
      </c>
      <c r="AO4" t="s">
        <v>467</v>
      </c>
      <c r="AP4" t="s">
        <v>169</v>
      </c>
      <c r="AQ4" t="s">
        <v>1917</v>
      </c>
      <c r="AR4" t="s">
        <v>2920</v>
      </c>
      <c r="AS4" t="s">
        <v>2921</v>
      </c>
      <c r="AT4" t="s">
        <v>2</v>
      </c>
      <c r="AU4" t="s">
        <v>1906</v>
      </c>
      <c r="AV4" t="s">
        <v>2922</v>
      </c>
      <c r="AW4" t="s">
        <v>2923</v>
      </c>
      <c r="AX4" t="s">
        <v>1564</v>
      </c>
      <c r="AY4" t="s">
        <v>1279</v>
      </c>
      <c r="AZ4" t="s">
        <v>1280</v>
      </c>
      <c r="BA4" t="s">
        <v>685</v>
      </c>
      <c r="BB4" t="s">
        <v>686</v>
      </c>
      <c r="BC4" t="s">
        <v>374</v>
      </c>
      <c r="BD4" t="s">
        <v>468</v>
      </c>
      <c r="BE4" t="s">
        <v>424</v>
      </c>
      <c r="BF4" t="s">
        <v>405</v>
      </c>
      <c r="BG4" t="s">
        <v>55</v>
      </c>
      <c r="BH4" t="s">
        <v>2015</v>
      </c>
      <c r="BI4" t="s">
        <v>1338</v>
      </c>
      <c r="BJ4" t="s">
        <v>1564</v>
      </c>
      <c r="BK4" t="s">
        <v>370</v>
      </c>
      <c r="BL4" t="s">
        <v>2020</v>
      </c>
      <c r="BM4" t="s">
        <v>374</v>
      </c>
      <c r="BN4">
        <v>5.94</v>
      </c>
      <c r="BO4">
        <v>10.11</v>
      </c>
      <c r="BP4">
        <v>9.19</v>
      </c>
      <c r="BQ4">
        <v>8.0299999999999994</v>
      </c>
      <c r="BR4">
        <v>11.01</v>
      </c>
      <c r="BS4">
        <v>9.48</v>
      </c>
      <c r="BT4" t="s">
        <v>1523</v>
      </c>
      <c r="BU4" t="s">
        <v>1444</v>
      </c>
      <c r="BV4">
        <v>33.700000000000003</v>
      </c>
      <c r="BW4">
        <v>32.130000000000003</v>
      </c>
      <c r="BX4">
        <v>33.07</v>
      </c>
      <c r="BY4">
        <v>9.35</v>
      </c>
      <c r="BZ4">
        <v>9.0500000000000007</v>
      </c>
      <c r="CA4">
        <v>9.35</v>
      </c>
      <c r="CB4">
        <v>-4.08</v>
      </c>
      <c r="CC4">
        <v>-1.49</v>
      </c>
      <c r="CD4" t="s">
        <v>169</v>
      </c>
      <c r="CE4" t="s">
        <v>421</v>
      </c>
      <c r="CF4" s="10">
        <v>0.11130434782608696</v>
      </c>
      <c r="CG4" s="11">
        <v>0.32043250619475017</v>
      </c>
      <c r="CH4" s="10">
        <v>0.18644696474075317</v>
      </c>
      <c r="CI4" s="10">
        <v>0.21711984276771545</v>
      </c>
      <c r="CJ4" s="10">
        <v>0.19403785467147827</v>
      </c>
      <c r="CK4" s="10">
        <v>9.88592728972435E-2</v>
      </c>
      <c r="CL4" s="10">
        <v>0.12393169105052948</v>
      </c>
      <c r="CM4" s="11">
        <v>0.23515981435775757</v>
      </c>
      <c r="CN4" s="11">
        <v>0.25862067937850952</v>
      </c>
      <c r="CO4" s="11">
        <v>0.23404255509376526</v>
      </c>
      <c r="CP4" s="11">
        <v>0.14170040190219879</v>
      </c>
      <c r="CQ4" s="11">
        <v>0.4444444477558136</v>
      </c>
      <c r="CR4">
        <v>42.027525407005427</v>
      </c>
      <c r="CS4">
        <v>2.5614181785302783</v>
      </c>
      <c r="CT4">
        <v>0.75542965061378664</v>
      </c>
      <c r="CU4" s="10">
        <v>0.16407912522554396</v>
      </c>
      <c r="CV4" s="11">
        <v>0.26279357969760897</v>
      </c>
      <c r="CW4">
        <v>0.06</v>
      </c>
      <c r="CX4">
        <v>25.569427869939439</v>
      </c>
      <c r="CY4">
        <v>594119629.00662196</v>
      </c>
      <c r="CZ4">
        <v>0.16407912522554396</v>
      </c>
      <c r="DA4">
        <v>7.8520225495430056</v>
      </c>
      <c r="DB4">
        <v>1934698850.4107323</v>
      </c>
      <c r="DC4">
        <v>0.15587516896426676</v>
      </c>
      <c r="DD4">
        <v>3.5489386167068138</v>
      </c>
      <c r="DE4">
        <v>4280518949.6617851</v>
      </c>
      <c r="DF4">
        <v>0.1443896301984787</v>
      </c>
      <c r="DG4">
        <v>1.9293991287017529</v>
      </c>
      <c r="DH4">
        <v>7873590681.1681137</v>
      </c>
      <c r="DI4">
        <v>0.13126330018043517</v>
      </c>
      <c r="DJ4">
        <v>0.79260632832430344</v>
      </c>
      <c r="DK4">
        <v>19166260042.506645</v>
      </c>
      <c r="DL4">
        <v>0.11485538765788077</v>
      </c>
      <c r="DM4">
        <v>541000000</v>
      </c>
      <c r="DN4">
        <v>0.16407912522554396</v>
      </c>
      <c r="DO4">
        <v>15191299000</v>
      </c>
      <c r="DP4">
        <v>3428433600</v>
      </c>
      <c r="DQ4">
        <v>216</v>
      </c>
      <c r="DR4">
        <v>-5.2774777399457004E-2</v>
      </c>
      <c r="DS4">
        <v>5.7638926497141196E-2</v>
      </c>
      <c r="DT4" s="12">
        <v>1.0000000000000011E-2</v>
      </c>
      <c r="DU4">
        <v>0.77</v>
      </c>
      <c r="DV4">
        <v>0.78</v>
      </c>
      <c r="DW4">
        <v>-4.3651960784313726</v>
      </c>
      <c r="DX4">
        <v>0.2628125</v>
      </c>
      <c r="DY4">
        <v>-4.048502604166667</v>
      </c>
      <c r="DZ4">
        <v>371</v>
      </c>
      <c r="EA4">
        <v>-4.0449811822203197</v>
      </c>
      <c r="EB4">
        <v>4</v>
      </c>
      <c r="EC4">
        <v>7.6078127194588258E-2</v>
      </c>
      <c r="ED4">
        <v>0.57282354593572338</v>
      </c>
      <c r="EE4" s="13">
        <v>2.0518100000000001</v>
      </c>
      <c r="EF4">
        <v>2.08961</v>
      </c>
      <c r="EG4">
        <v>13.1328125</v>
      </c>
      <c r="EH4" t="s">
        <v>1554</v>
      </c>
      <c r="EI4">
        <v>0</v>
      </c>
      <c r="EJ4">
        <v>1</v>
      </c>
      <c r="EK4" s="14">
        <v>45470</v>
      </c>
      <c r="EL4">
        <v>1.07</v>
      </c>
      <c r="EM4">
        <v>-2.2999999999999998</v>
      </c>
      <c r="EN4">
        <v>-2.81</v>
      </c>
      <c r="EO4">
        <v>1.21</v>
      </c>
      <c r="EP4">
        <v>-3.78</v>
      </c>
    </row>
    <row r="5" spans="1:146" ht="96" x14ac:dyDescent="0.25">
      <c r="C5" s="8" t="str">
        <f>""&amp;CHAR(10)&amp;Basic_Fundamental_Information_Constructure(F5)&amp;CHAR(10)&amp;Basic_Fundamental_Information_Concatenate("")</f>
        <v xml:space="preserve">
市值33.298087亿, 利润-6588.40万; PE; 平均PE12.91; 平均PEG4.46, PB1.34; ROIC0%; ROE-3.5133%; 股利率0%; 毛利2.72%; 净利-3.21%; 上一年度营收增-63.43%, 利润增49.32%; 当季营收增-71.5%, 利润增45.31%; 过往5年营收增-2.89%, 利润增-43.85%
Income profile:
</v>
      </c>
      <c r="D5" t="s">
        <v>1565</v>
      </c>
      <c r="E5" t="s">
        <v>1566</v>
      </c>
      <c r="F5">
        <v>2.65</v>
      </c>
      <c r="G5">
        <v>9.9600000000000009</v>
      </c>
      <c r="H5" t="s">
        <v>2924</v>
      </c>
      <c r="I5">
        <v>3329808700</v>
      </c>
      <c r="K5">
        <v>1.34</v>
      </c>
      <c r="L5" t="s">
        <v>2891</v>
      </c>
      <c r="M5" t="s">
        <v>2021</v>
      </c>
      <c r="N5" t="s">
        <v>2807</v>
      </c>
      <c r="O5" t="s">
        <v>55</v>
      </c>
      <c r="P5" s="6">
        <v>-71.459999999999994</v>
      </c>
      <c r="Q5" t="s">
        <v>2022</v>
      </c>
      <c r="R5">
        <v>-11297722</v>
      </c>
      <c r="S5">
        <v>0.4531</v>
      </c>
      <c r="T5" t="s">
        <v>2023</v>
      </c>
      <c r="U5">
        <v>1256531570</v>
      </c>
      <c r="V5">
        <v>1256531570</v>
      </c>
      <c r="W5">
        <v>2.08</v>
      </c>
      <c r="X5">
        <v>0.03</v>
      </c>
      <c r="Y5">
        <v>-6.39</v>
      </c>
      <c r="Z5" t="s">
        <v>391</v>
      </c>
      <c r="AA5" t="s">
        <v>116</v>
      </c>
      <c r="AB5" t="s">
        <v>2925</v>
      </c>
      <c r="AC5" t="s">
        <v>2926</v>
      </c>
      <c r="AD5" t="s">
        <v>2</v>
      </c>
      <c r="AE5">
        <v>7651861</v>
      </c>
      <c r="AF5" t="s">
        <v>23</v>
      </c>
      <c r="AG5" t="s">
        <v>2927</v>
      </c>
      <c r="AH5" t="s">
        <v>2024</v>
      </c>
      <c r="AI5" t="s">
        <v>157</v>
      </c>
      <c r="AJ5" t="s">
        <v>2025</v>
      </c>
      <c r="AK5" t="s">
        <v>2026</v>
      </c>
      <c r="AL5" t="s">
        <v>2027</v>
      </c>
      <c r="AM5" t="s">
        <v>2</v>
      </c>
      <c r="AN5">
        <v>0</v>
      </c>
      <c r="AO5" t="s">
        <v>310</v>
      </c>
      <c r="AP5" t="s">
        <v>2928</v>
      </c>
      <c r="AQ5" t="s">
        <v>155</v>
      </c>
      <c r="AR5" t="s">
        <v>2929</v>
      </c>
      <c r="AS5" t="s">
        <v>2930</v>
      </c>
      <c r="AT5" t="s">
        <v>1296</v>
      </c>
      <c r="AU5" t="s">
        <v>1452</v>
      </c>
      <c r="AV5" t="s">
        <v>2931</v>
      </c>
      <c r="AW5" t="s">
        <v>47</v>
      </c>
      <c r="AX5" t="s">
        <v>1567</v>
      </c>
      <c r="AY5" t="s">
        <v>1568</v>
      </c>
      <c r="AZ5" t="s">
        <v>1322</v>
      </c>
      <c r="BA5" t="s">
        <v>1569</v>
      </c>
      <c r="BB5" t="s">
        <v>1514</v>
      </c>
      <c r="BC5" t="s">
        <v>1614</v>
      </c>
      <c r="BD5" t="s">
        <v>2932</v>
      </c>
      <c r="BE5" t="s">
        <v>162</v>
      </c>
      <c r="BF5" t="s">
        <v>485</v>
      </c>
      <c r="BG5" t="s">
        <v>528</v>
      </c>
      <c r="BH5" t="s">
        <v>2022</v>
      </c>
      <c r="BI5" t="s">
        <v>359</v>
      </c>
      <c r="BJ5" t="s">
        <v>1567</v>
      </c>
      <c r="BK5" t="s">
        <v>2023</v>
      </c>
      <c r="BL5" t="s">
        <v>2028</v>
      </c>
      <c r="BM5" t="s">
        <v>1614</v>
      </c>
      <c r="BN5" t="s">
        <v>2</v>
      </c>
      <c r="BO5" t="s">
        <v>2</v>
      </c>
      <c r="BP5" t="s">
        <v>2</v>
      </c>
      <c r="BQ5">
        <v>-1.98</v>
      </c>
      <c r="BR5">
        <v>-5.1100000000000003</v>
      </c>
      <c r="BS5">
        <v>-3.45</v>
      </c>
      <c r="BT5" t="s">
        <v>1521</v>
      </c>
      <c r="BU5" t="s">
        <v>1274</v>
      </c>
      <c r="BV5">
        <v>4.76</v>
      </c>
      <c r="BW5">
        <v>1.18</v>
      </c>
      <c r="BX5">
        <v>2.2200000000000002</v>
      </c>
      <c r="BY5">
        <v>-4.1399999999999997</v>
      </c>
      <c r="BZ5">
        <v>-3.4</v>
      </c>
      <c r="CA5">
        <v>-2.09</v>
      </c>
      <c r="CB5">
        <v>9.9600000000000009</v>
      </c>
      <c r="CC5" s="10">
        <v>-11.67</v>
      </c>
      <c r="CD5" s="11" t="s">
        <v>2933</v>
      </c>
      <c r="CE5" s="10" t="s">
        <v>145</v>
      </c>
      <c r="CF5" s="10">
        <v>-0.71499999999999997</v>
      </c>
      <c r="CG5" s="10">
        <v>0.45308551013690135</v>
      </c>
      <c r="CH5" s="10">
        <v>-0.63428717851638794</v>
      </c>
      <c r="CI5" s="10">
        <v>-4.7117900103330612E-2</v>
      </c>
      <c r="CJ5" s="11">
        <v>8.5128471255302429E-2</v>
      </c>
      <c r="CK5" s="11">
        <v>7.6256968080997467E-2</v>
      </c>
      <c r="CL5" s="11">
        <v>0.37533611059188843</v>
      </c>
      <c r="CM5" s="11">
        <v>0.49320000410079956</v>
      </c>
      <c r="CN5" s="11">
        <v>-0.3735421895980835</v>
      </c>
      <c r="CO5">
        <v>-1.3392322063446045</v>
      </c>
      <c r="CP5">
        <v>-0.42592594027519226</v>
      </c>
      <c r="CQ5">
        <v>-0.54706430435180664</v>
      </c>
      <c r="CR5" s="10">
        <v>12.910653917600481</v>
      </c>
      <c r="CS5" s="11">
        <v>4.4616875308337258</v>
      </c>
      <c r="CT5">
        <v>0</v>
      </c>
      <c r="CU5">
        <v>-2.8936705738306045E-2</v>
      </c>
      <c r="CV5">
        <v>-0.43851292729377744</v>
      </c>
      <c r="CW5">
        <v>0.06</v>
      </c>
      <c r="CX5" t="e">
        <v>#VALUE!</v>
      </c>
      <c r="CY5" t="s">
        <v>1237</v>
      </c>
      <c r="CZ5">
        <v>-2.8936705738306045E-2</v>
      </c>
      <c r="DA5" t="e">
        <v>#VALUE!</v>
      </c>
      <c r="DB5" t="s">
        <v>1238</v>
      </c>
      <c r="DC5">
        <v>-2.748987045139074E-2</v>
      </c>
      <c r="DD5" t="e">
        <v>#VALUE!</v>
      </c>
      <c r="DE5" t="s">
        <v>1238</v>
      </c>
      <c r="DF5">
        <v>-2.5464301049709318E-2</v>
      </c>
      <c r="DG5" t="e">
        <v>#VALUE!</v>
      </c>
      <c r="DH5" t="s">
        <v>1238</v>
      </c>
      <c r="DI5">
        <v>-2.3149364590644837E-2</v>
      </c>
      <c r="DJ5" t="e">
        <v>#VALUE!</v>
      </c>
      <c r="DK5" t="s">
        <v>1238</v>
      </c>
      <c r="DL5">
        <v>-2.0255694016814232E-2</v>
      </c>
      <c r="DM5">
        <v>-65884000</v>
      </c>
      <c r="DN5">
        <v>-2.8936705738306045E-2</v>
      </c>
      <c r="DO5">
        <v>3452808700</v>
      </c>
      <c r="DP5">
        <v>2442789000</v>
      </c>
      <c r="DQ5" s="12">
        <v>244</v>
      </c>
      <c r="DR5">
        <v>-0.68606329426169388</v>
      </c>
      <c r="DS5">
        <v>0.89159843743067879</v>
      </c>
      <c r="DT5">
        <v>-0.67333333333333334</v>
      </c>
      <c r="DU5">
        <v>-1.9550000000000001</v>
      </c>
      <c r="DV5">
        <v>-2.6283333333333334</v>
      </c>
      <c r="DW5">
        <v>7.4604715672676836</v>
      </c>
      <c r="DX5">
        <v>0.49883488372093082</v>
      </c>
      <c r="DY5">
        <v>7.0915578105344643</v>
      </c>
      <c r="DZ5">
        <v>4755</v>
      </c>
      <c r="EA5">
        <v>7.0063606698120813</v>
      </c>
      <c r="EB5" s="13">
        <v>7</v>
      </c>
      <c r="EC5" s="13">
        <v>4.0826192691680634E-2</v>
      </c>
      <c r="ED5">
        <v>0.20532711326942626</v>
      </c>
      <c r="EE5">
        <v>-1.1099000000000001</v>
      </c>
      <c r="EF5">
        <v>-1.0895999999999999</v>
      </c>
      <c r="EG5">
        <v>30.198834883720931</v>
      </c>
      <c r="EH5" s="14" t="s">
        <v>1548</v>
      </c>
      <c r="EI5">
        <v>1</v>
      </c>
      <c r="EJ5">
        <v>0</v>
      </c>
      <c r="EK5">
        <v>45470</v>
      </c>
      <c r="EL5">
        <v>-2.06</v>
      </c>
      <c r="EM5">
        <v>-4.62</v>
      </c>
      <c r="EN5">
        <v>10.130000000000001</v>
      </c>
      <c r="EO5">
        <v>-1.6</v>
      </c>
      <c r="EP5">
        <v>-2.0299999999999998</v>
      </c>
    </row>
    <row r="6" spans="1:146" ht="96" x14ac:dyDescent="0.25">
      <c r="A6" s="8"/>
      <c r="B6" s="8"/>
      <c r="C6" s="8" t="str">
        <f>""&amp;CHAR(10)&amp;Basic_Fundamental_Information_Constructure(F6)&amp;CHAR(10)&amp;Basic_Fundamental_Information_Concatenate("")</f>
        <v xml:space="preserve">
市值43.021132亿, 利润8650.30万; PE48.53; 平均PE46.51; 平均PEG1.93, PB2.75; ROIC6.08%; ROE7.8633%; 股利率.6211%; 毛利15.11%; 净利3.8067%; 上一年度营收增15.09%, 利润增-21.36%; 当季营收增10.39%, 利润增215.68%; 过往5年营收增24.06%, 利润增13.7%
Income profile:
</v>
      </c>
      <c r="D6" t="s">
        <v>1026</v>
      </c>
      <c r="E6" t="s">
        <v>1027</v>
      </c>
      <c r="F6">
        <v>8.0500000000000007</v>
      </c>
      <c r="G6">
        <v>9.9700000000000006</v>
      </c>
      <c r="H6" t="s">
        <v>2934</v>
      </c>
      <c r="I6">
        <v>4302113200</v>
      </c>
      <c r="J6">
        <v>48.53</v>
      </c>
      <c r="K6">
        <v>2.75</v>
      </c>
      <c r="L6" t="s">
        <v>2891</v>
      </c>
      <c r="M6" t="s">
        <v>2031</v>
      </c>
      <c r="N6" t="s">
        <v>880</v>
      </c>
      <c r="O6" t="s">
        <v>1838</v>
      </c>
      <c r="P6">
        <v>10.39</v>
      </c>
      <c r="Q6" t="s">
        <v>2032</v>
      </c>
      <c r="R6">
        <v>58500000</v>
      </c>
      <c r="S6" s="6">
        <v>0.1158</v>
      </c>
      <c r="T6" t="s">
        <v>2033</v>
      </c>
      <c r="U6">
        <v>248072750</v>
      </c>
      <c r="V6">
        <v>534424000</v>
      </c>
      <c r="W6">
        <v>2.72</v>
      </c>
      <c r="X6">
        <v>0.22</v>
      </c>
      <c r="Y6">
        <v>2.29</v>
      </c>
      <c r="Z6" t="s">
        <v>2935</v>
      </c>
      <c r="AA6" t="s">
        <v>733</v>
      </c>
      <c r="AB6" t="s">
        <v>2936</v>
      </c>
      <c r="AC6" t="s">
        <v>2937</v>
      </c>
      <c r="AD6" t="s">
        <v>2</v>
      </c>
      <c r="AE6">
        <v>5795273</v>
      </c>
      <c r="AF6" t="s">
        <v>2034</v>
      </c>
      <c r="AG6" t="s">
        <v>2938</v>
      </c>
      <c r="AH6" t="s">
        <v>2035</v>
      </c>
      <c r="AI6" t="s">
        <v>471</v>
      </c>
      <c r="AJ6" t="s">
        <v>2036</v>
      </c>
      <c r="AK6" t="s">
        <v>481</v>
      </c>
      <c r="AL6" t="s">
        <v>2037</v>
      </c>
      <c r="AM6" t="s">
        <v>2</v>
      </c>
      <c r="AN6" t="s">
        <v>2939</v>
      </c>
      <c r="AO6" t="s">
        <v>1473</v>
      </c>
      <c r="AP6" t="s">
        <v>1845</v>
      </c>
      <c r="AQ6" t="s">
        <v>145</v>
      </c>
      <c r="AR6" t="s">
        <v>2</v>
      </c>
      <c r="AS6" t="s">
        <v>2179</v>
      </c>
      <c r="AT6" t="s">
        <v>743</v>
      </c>
      <c r="AU6" t="s">
        <v>1815</v>
      </c>
      <c r="AV6" t="s">
        <v>2940</v>
      </c>
      <c r="AW6" t="s">
        <v>2941</v>
      </c>
      <c r="AX6" t="s">
        <v>1474</v>
      </c>
      <c r="AY6" t="s">
        <v>1281</v>
      </c>
      <c r="AZ6" t="s">
        <v>596</v>
      </c>
      <c r="BA6" t="s">
        <v>1029</v>
      </c>
      <c r="BB6" t="s">
        <v>1030</v>
      </c>
      <c r="BC6" t="s">
        <v>99</v>
      </c>
      <c r="BD6" t="s">
        <v>125</v>
      </c>
      <c r="BE6" t="s">
        <v>1028</v>
      </c>
      <c r="BF6" t="s">
        <v>1031</v>
      </c>
      <c r="BG6" t="s">
        <v>1032</v>
      </c>
      <c r="BH6" t="s">
        <v>2032</v>
      </c>
      <c r="BI6" t="s">
        <v>1805</v>
      </c>
      <c r="BJ6" t="s">
        <v>1474</v>
      </c>
      <c r="BK6" t="s">
        <v>2033</v>
      </c>
      <c r="BL6" t="s">
        <v>2038</v>
      </c>
      <c r="BM6" t="s">
        <v>99</v>
      </c>
      <c r="BN6">
        <v>3.31</v>
      </c>
      <c r="BO6">
        <v>6.03</v>
      </c>
      <c r="BP6">
        <v>8.9</v>
      </c>
      <c r="BQ6">
        <v>4.1399999999999997</v>
      </c>
      <c r="BR6">
        <v>7.67</v>
      </c>
      <c r="BS6">
        <v>11.78</v>
      </c>
      <c r="BT6" t="s">
        <v>1527</v>
      </c>
      <c r="BU6" t="s">
        <v>1274</v>
      </c>
      <c r="BV6">
        <v>12.76</v>
      </c>
      <c r="BW6">
        <v>14.13</v>
      </c>
      <c r="BX6">
        <v>18.440000000000001</v>
      </c>
      <c r="BY6">
        <v>2.4900000000000002</v>
      </c>
      <c r="BZ6">
        <v>3.64</v>
      </c>
      <c r="CA6">
        <v>5.29</v>
      </c>
      <c r="CB6">
        <v>6.2</v>
      </c>
      <c r="CC6">
        <v>4.2699999999999996</v>
      </c>
      <c r="CD6" t="s">
        <v>38</v>
      </c>
      <c r="CE6" t="s">
        <v>527</v>
      </c>
      <c r="CF6" s="10">
        <v>0.10391198044009765</v>
      </c>
      <c r="CG6" s="11">
        <v>2.1568041270492246</v>
      </c>
      <c r="CH6" s="10">
        <v>0.15091212093830109</v>
      </c>
      <c r="CI6" s="10">
        <v>0.18560755252838135</v>
      </c>
      <c r="CJ6" s="10">
        <v>0.4976443350315094</v>
      </c>
      <c r="CK6" s="10">
        <v>0.12974047660827637</v>
      </c>
      <c r="CL6" s="10">
        <v>0.23907679319381714</v>
      </c>
      <c r="CM6" s="11">
        <v>-0.21360908448696136</v>
      </c>
      <c r="CN6" s="11">
        <v>-0.18518517911434174</v>
      </c>
      <c r="CO6" s="11">
        <v>0.44186553359031677</v>
      </c>
      <c r="CP6" s="11">
        <v>0.2332337498664856</v>
      </c>
      <c r="CQ6" s="11">
        <v>0.40860280394554138</v>
      </c>
      <c r="CR6">
        <v>46.513413339152464</v>
      </c>
      <c r="CS6">
        <v>1.9332559108846703</v>
      </c>
      <c r="CT6">
        <v>0.6211180124223602</v>
      </c>
      <c r="CU6" s="10">
        <v>0.24059625566005707</v>
      </c>
      <c r="CV6" s="11">
        <v>0.13698156476020812</v>
      </c>
      <c r="CW6">
        <v>0.06</v>
      </c>
      <c r="CX6">
        <v>51.126727495466568</v>
      </c>
      <c r="CY6">
        <v>101240847.07864332</v>
      </c>
      <c r="CZ6">
        <v>0.24059625566005707</v>
      </c>
      <c r="DA6">
        <v>14.740715380043056</v>
      </c>
      <c r="DB6">
        <v>351143961.9143424</v>
      </c>
      <c r="DC6">
        <v>0.22856644287705422</v>
      </c>
      <c r="DD6">
        <v>6.0842293001197731</v>
      </c>
      <c r="DE6">
        <v>850742624.03261232</v>
      </c>
      <c r="DF6">
        <v>0.21172470498085022</v>
      </c>
      <c r="DG6">
        <v>2.9588230017348924</v>
      </c>
      <c r="DH6">
        <v>1749382506.8160582</v>
      </c>
      <c r="DI6">
        <v>0.19247700452804567</v>
      </c>
      <c r="DJ6">
        <v>0.92353511894459905</v>
      </c>
      <c r="DK6">
        <v>5604673925.0318689</v>
      </c>
      <c r="DL6">
        <v>0.16841737896203995</v>
      </c>
      <c r="DM6">
        <v>86503000</v>
      </c>
      <c r="DN6">
        <v>0.24059625566005707</v>
      </c>
      <c r="DO6">
        <v>5176113200</v>
      </c>
      <c r="DP6">
        <v>646193700</v>
      </c>
      <c r="DQ6">
        <v>434</v>
      </c>
      <c r="DR6">
        <v>-0.13668427521995941</v>
      </c>
      <c r="DS6">
        <v>2.0198225622890167</v>
      </c>
      <c r="DT6" s="12">
        <v>0.10999999999999995</v>
      </c>
      <c r="DU6">
        <v>0.47333333333333333</v>
      </c>
      <c r="DV6">
        <v>0.58333333333333326</v>
      </c>
      <c r="DW6">
        <v>5.6887096774193546</v>
      </c>
      <c r="DX6">
        <v>0.59997319034852437</v>
      </c>
      <c r="DY6">
        <v>5.2548041165787422</v>
      </c>
      <c r="DZ6">
        <v>1388</v>
      </c>
      <c r="EA6">
        <v>5.1855931354023639</v>
      </c>
      <c r="EB6">
        <v>5</v>
      </c>
      <c r="EC6">
        <v>0.25822193614059247</v>
      </c>
      <c r="ED6">
        <v>0.69794769695971737</v>
      </c>
      <c r="EE6" s="13">
        <v>1.0102</v>
      </c>
      <c r="EF6">
        <v>1.00691</v>
      </c>
      <c r="EG6">
        <v>23.369973190348524</v>
      </c>
      <c r="EH6" t="s">
        <v>1549</v>
      </c>
      <c r="EI6">
        <v>1</v>
      </c>
      <c r="EJ6">
        <v>1</v>
      </c>
      <c r="EK6" s="14">
        <v>45470</v>
      </c>
      <c r="EL6">
        <v>-0.85</v>
      </c>
      <c r="EM6">
        <v>-4.8600000000000003</v>
      </c>
      <c r="EN6">
        <v>1.5</v>
      </c>
      <c r="EO6">
        <v>3.85</v>
      </c>
      <c r="EP6">
        <v>-1.71</v>
      </c>
    </row>
    <row r="7" spans="1:146" ht="96" x14ac:dyDescent="0.25">
      <c r="A7" s="8"/>
      <c r="B7" s="8"/>
      <c r="C7" s="8" t="str">
        <f>""&amp;CHAR(10)&amp;Basic_Fundamental_Information_Constructure(F7)&amp;CHAR(10)&amp;Basic_Fundamental_Information_Concatenate("")</f>
        <v xml:space="preserve">
市值491.8577亿, 利润15.59亿; PE28.86; 平均PE51.2; 平均PEG2.42, PB4.56; ROIC14.0367%; ROE13.9167%; 股利率.6295%; 毛利28.77%; 净利13.2533%; 上一年度营收增18.25%, 利润增27.68%; 当季营收增22.38%, 利润增66.64%; 过往5年营收增21.13%, 利润增42.87%
Income profile:
</v>
      </c>
      <c r="D7" t="s">
        <v>844</v>
      </c>
      <c r="E7" t="s">
        <v>845</v>
      </c>
      <c r="F7">
        <v>63.53</v>
      </c>
      <c r="G7">
        <v>0.56999999999999995</v>
      </c>
      <c r="H7" t="s">
        <v>2942</v>
      </c>
      <c r="I7">
        <v>49185770000</v>
      </c>
      <c r="J7">
        <v>28.86</v>
      </c>
      <c r="K7">
        <v>4.5599999999999996</v>
      </c>
      <c r="L7" t="s">
        <v>2891</v>
      </c>
      <c r="M7" t="s">
        <v>2042</v>
      </c>
      <c r="N7" t="s">
        <v>2943</v>
      </c>
      <c r="O7" t="s">
        <v>2043</v>
      </c>
      <c r="P7">
        <v>22.36</v>
      </c>
      <c r="Q7" t="s">
        <v>2044</v>
      </c>
      <c r="R7">
        <v>363269780</v>
      </c>
      <c r="S7" s="6">
        <v>0.66320000000000001</v>
      </c>
      <c r="T7" t="s">
        <v>1850</v>
      </c>
      <c r="U7">
        <v>602636710</v>
      </c>
      <c r="V7">
        <v>774213280</v>
      </c>
      <c r="W7">
        <v>1.67</v>
      </c>
      <c r="X7">
        <v>0.14000000000000001</v>
      </c>
      <c r="Y7">
        <v>13.6</v>
      </c>
      <c r="Z7" t="s">
        <v>2944</v>
      </c>
      <c r="AA7" t="s">
        <v>1699</v>
      </c>
      <c r="AB7" t="s">
        <v>414</v>
      </c>
      <c r="AC7" t="s">
        <v>2945</v>
      </c>
      <c r="AD7" t="s">
        <v>2</v>
      </c>
      <c r="AE7">
        <v>6278185</v>
      </c>
      <c r="AF7" t="s">
        <v>2045</v>
      </c>
      <c r="AG7" t="s">
        <v>2946</v>
      </c>
      <c r="AH7" t="s">
        <v>2046</v>
      </c>
      <c r="AI7" t="s">
        <v>2887</v>
      </c>
      <c r="AJ7" t="s">
        <v>2047</v>
      </c>
      <c r="AK7" t="s">
        <v>1213</v>
      </c>
      <c r="AL7" t="s">
        <v>2048</v>
      </c>
      <c r="AM7" t="s">
        <v>2</v>
      </c>
      <c r="AN7" t="s">
        <v>296</v>
      </c>
      <c r="AO7" t="s">
        <v>144</v>
      </c>
      <c r="AP7" t="s">
        <v>1212</v>
      </c>
      <c r="AQ7" t="s">
        <v>2676</v>
      </c>
      <c r="AR7" t="s">
        <v>2</v>
      </c>
      <c r="AS7" t="s">
        <v>2947</v>
      </c>
      <c r="AT7" t="s">
        <v>1405</v>
      </c>
      <c r="AU7" t="s">
        <v>1815</v>
      </c>
      <c r="AV7" t="s">
        <v>2948</v>
      </c>
      <c r="AW7" t="s">
        <v>2949</v>
      </c>
      <c r="AX7" t="s">
        <v>1573</v>
      </c>
      <c r="AY7" t="s">
        <v>1282</v>
      </c>
      <c r="AZ7" t="s">
        <v>497</v>
      </c>
      <c r="BA7" t="s">
        <v>847</v>
      </c>
      <c r="BB7" t="s">
        <v>848</v>
      </c>
      <c r="BC7" t="s">
        <v>439</v>
      </c>
      <c r="BD7" t="s">
        <v>431</v>
      </c>
      <c r="BE7" t="s">
        <v>3</v>
      </c>
      <c r="BF7" t="s">
        <v>281</v>
      </c>
      <c r="BG7" t="s">
        <v>188</v>
      </c>
      <c r="BH7" t="s">
        <v>2044</v>
      </c>
      <c r="BI7" t="s">
        <v>2039</v>
      </c>
      <c r="BJ7" t="s">
        <v>1573</v>
      </c>
      <c r="BK7" t="s">
        <v>1850</v>
      </c>
      <c r="BL7" t="s">
        <v>128</v>
      </c>
      <c r="BM7" t="s">
        <v>439</v>
      </c>
      <c r="BN7">
        <v>11.72</v>
      </c>
      <c r="BO7">
        <v>14</v>
      </c>
      <c r="BP7">
        <v>16.39</v>
      </c>
      <c r="BQ7">
        <v>11.73</v>
      </c>
      <c r="BR7">
        <v>13.92</v>
      </c>
      <c r="BS7">
        <v>16.100000000000001</v>
      </c>
      <c r="BT7" t="s">
        <v>2950</v>
      </c>
      <c r="BU7" t="s">
        <v>1445</v>
      </c>
      <c r="BV7">
        <v>29.5</v>
      </c>
      <c r="BW7">
        <v>26.33</v>
      </c>
      <c r="BX7">
        <v>30.48</v>
      </c>
      <c r="BY7">
        <v>12.91</v>
      </c>
      <c r="BZ7">
        <v>12.22</v>
      </c>
      <c r="CA7">
        <v>14.63</v>
      </c>
      <c r="CB7">
        <v>-5.04</v>
      </c>
      <c r="CC7">
        <v>-7.26</v>
      </c>
      <c r="CD7" t="s">
        <v>2951</v>
      </c>
      <c r="CE7" t="s">
        <v>251</v>
      </c>
      <c r="CF7" s="10">
        <v>0.22375690607734808</v>
      </c>
      <c r="CG7" s="11">
        <v>0.6663751376146787</v>
      </c>
      <c r="CH7" s="10">
        <v>0.18249979615211487</v>
      </c>
      <c r="CI7" s="10">
        <v>0.21184587478637695</v>
      </c>
      <c r="CJ7" s="10">
        <v>0.17930284142494202</v>
      </c>
      <c r="CK7" s="10">
        <v>0.15564261376857758</v>
      </c>
      <c r="CL7" s="10">
        <v>0.32723116874694824</v>
      </c>
      <c r="CM7" s="11">
        <v>0.27682238817214966</v>
      </c>
      <c r="CN7" s="11">
        <v>1.9198611378669739E-2</v>
      </c>
      <c r="CO7" s="11">
        <v>0.28403002023696899</v>
      </c>
      <c r="CP7" s="11">
        <v>0.67204302549362183</v>
      </c>
      <c r="CQ7" s="11">
        <v>0.89152544736862183</v>
      </c>
      <c r="CR7">
        <v>51.199621790423322</v>
      </c>
      <c r="CS7">
        <v>2.423026094129372</v>
      </c>
      <c r="CT7">
        <v>0.62949157878167794</v>
      </c>
      <c r="CU7" s="10">
        <v>0.21130445897579192</v>
      </c>
      <c r="CV7" s="11">
        <v>0.42872389853000642</v>
      </c>
      <c r="CW7">
        <v>0.06</v>
      </c>
      <c r="CX7">
        <v>25.926997980557967</v>
      </c>
      <c r="CY7">
        <v>1781531746.7389243</v>
      </c>
      <c r="CZ7">
        <v>0.21130445897579192</v>
      </c>
      <c r="DA7">
        <v>7.6567716488913007</v>
      </c>
      <c r="DB7">
        <v>6032538531.6523409</v>
      </c>
      <c r="DC7">
        <v>0.2007392360270023</v>
      </c>
      <c r="DD7">
        <v>3.2729288398415801</v>
      </c>
      <c r="DE7">
        <v>14112671634.570499</v>
      </c>
      <c r="DF7">
        <v>0.18594792389869688</v>
      </c>
      <c r="DG7">
        <v>1.6625454827798962</v>
      </c>
      <c r="DH7">
        <v>27782560223.716324</v>
      </c>
      <c r="DI7">
        <v>0.16904356718063354</v>
      </c>
      <c r="DJ7">
        <v>0.5786757818721362</v>
      </c>
      <c r="DK7">
        <v>79819773778.274445</v>
      </c>
      <c r="DL7">
        <v>0.14791312128305434</v>
      </c>
      <c r="DM7">
        <v>1559000000</v>
      </c>
      <c r="DN7">
        <v>0.21130445897579192</v>
      </c>
      <c r="DO7">
        <v>46189770000</v>
      </c>
      <c r="DP7">
        <v>7291123999.999999</v>
      </c>
      <c r="DQ7">
        <v>546</v>
      </c>
      <c r="DR7">
        <v>1.2452447101556158E-2</v>
      </c>
      <c r="DS7">
        <v>0.23765123908467228</v>
      </c>
      <c r="DT7" s="12">
        <v>0.22666666666666657</v>
      </c>
      <c r="DU7">
        <v>1.1733333333333331</v>
      </c>
      <c r="DV7">
        <v>1.3999999999999997</v>
      </c>
      <c r="DW7">
        <v>-8.6942148760330582</v>
      </c>
      <c r="DX7">
        <v>0.3425035294117641</v>
      </c>
      <c r="DY7">
        <v>-8.1475231113271747</v>
      </c>
      <c r="DZ7">
        <v>69</v>
      </c>
      <c r="EA7">
        <v>-8.1455311162818571</v>
      </c>
      <c r="EB7">
        <v>8</v>
      </c>
      <c r="EC7">
        <v>6.9991566148284098E-2</v>
      </c>
      <c r="ED7">
        <v>0.32936660554311337</v>
      </c>
      <c r="EE7" s="13">
        <v>1.06891</v>
      </c>
      <c r="EF7">
        <v>1.0865100000000001</v>
      </c>
      <c r="EG7">
        <v>13.212503529411764</v>
      </c>
      <c r="EH7" t="s">
        <v>1549</v>
      </c>
      <c r="EI7">
        <v>0</v>
      </c>
      <c r="EJ7">
        <v>1</v>
      </c>
      <c r="EK7" s="14">
        <v>45470</v>
      </c>
      <c r="EL7">
        <v>0.69</v>
      </c>
      <c r="EM7">
        <v>0.19</v>
      </c>
      <c r="EN7">
        <v>-1.37</v>
      </c>
      <c r="EO7">
        <v>-1.38</v>
      </c>
      <c r="EP7">
        <v>-1.76</v>
      </c>
    </row>
    <row r="8" spans="1:146" ht="96" x14ac:dyDescent="0.25">
      <c r="A8" s="8"/>
      <c r="B8" s="8"/>
      <c r="C8" s="8" t="str">
        <f>""&amp;CHAR(10)&amp;Basic_Fundamental_Information_Constructure(F8)&amp;CHAR(10)&amp;Basic_Fundamental_Information_Concatenate("")</f>
        <v xml:space="preserve">
市值32.807262亿, 利润6049.59万; PE46.58; 平均PE40.09; 平均PEG540.34, PB2.24; ROIC3.9767%; ROE5.21%; 股利率.6105%; 毛利24.4367%; 净利5.19%; 上一年度营收增5.76%, 利润增101.52%; 当季营收增3.61%, 利润增223.01%; 过往5年营收增-.07%, 利润增23.63%
Income profile:
</v>
      </c>
      <c r="D8" t="s">
        <v>687</v>
      </c>
      <c r="E8" t="s">
        <v>688</v>
      </c>
      <c r="F8">
        <v>8.19</v>
      </c>
      <c r="G8">
        <v>0.74</v>
      </c>
      <c r="H8" t="s">
        <v>2952</v>
      </c>
      <c r="I8">
        <v>3280726200</v>
      </c>
      <c r="J8">
        <v>46.58</v>
      </c>
      <c r="K8">
        <v>2.2400000000000002</v>
      </c>
      <c r="L8" t="s">
        <v>2891</v>
      </c>
      <c r="M8" t="s">
        <v>1855</v>
      </c>
      <c r="N8" t="s">
        <v>1139</v>
      </c>
      <c r="O8" t="s">
        <v>319</v>
      </c>
      <c r="P8">
        <v>3.76</v>
      </c>
      <c r="Q8" t="s">
        <v>1896</v>
      </c>
      <c r="R8">
        <v>29500000</v>
      </c>
      <c r="S8" s="6">
        <v>1.089</v>
      </c>
      <c r="T8" t="s">
        <v>2049</v>
      </c>
      <c r="U8">
        <v>396017510</v>
      </c>
      <c r="V8">
        <v>400577070</v>
      </c>
      <c r="W8">
        <v>1.85</v>
      </c>
      <c r="X8">
        <v>0.14000000000000001</v>
      </c>
      <c r="Y8">
        <v>4.32</v>
      </c>
      <c r="Z8" t="s">
        <v>1266</v>
      </c>
      <c r="AA8" t="s">
        <v>652</v>
      </c>
      <c r="AB8" t="s">
        <v>2953</v>
      </c>
      <c r="AC8" t="s">
        <v>2954</v>
      </c>
      <c r="AD8" t="s">
        <v>2</v>
      </c>
      <c r="AE8">
        <v>-2788785</v>
      </c>
      <c r="AF8" t="s">
        <v>2050</v>
      </c>
      <c r="AG8" t="s">
        <v>2955</v>
      </c>
      <c r="AH8" t="s">
        <v>2051</v>
      </c>
      <c r="AI8" t="s">
        <v>2956</v>
      </c>
      <c r="AJ8" t="s">
        <v>2052</v>
      </c>
      <c r="AK8" t="s">
        <v>2957</v>
      </c>
      <c r="AL8" t="s">
        <v>2053</v>
      </c>
      <c r="AM8" t="s">
        <v>2</v>
      </c>
      <c r="AN8" t="s">
        <v>2958</v>
      </c>
      <c r="AO8" t="s">
        <v>168</v>
      </c>
      <c r="AP8" t="s">
        <v>2959</v>
      </c>
      <c r="AQ8" t="s">
        <v>504</v>
      </c>
      <c r="AR8" t="s">
        <v>2</v>
      </c>
      <c r="AS8" t="s">
        <v>2960</v>
      </c>
      <c r="AT8">
        <v>9000</v>
      </c>
      <c r="AU8" t="s">
        <v>1938</v>
      </c>
      <c r="AV8" t="s">
        <v>2961</v>
      </c>
      <c r="AW8" t="s">
        <v>25</v>
      </c>
      <c r="AX8" t="s">
        <v>1574</v>
      </c>
      <c r="AY8" t="s">
        <v>644</v>
      </c>
      <c r="AZ8" t="s">
        <v>689</v>
      </c>
      <c r="BA8" t="s">
        <v>691</v>
      </c>
      <c r="BB8" t="s">
        <v>692</v>
      </c>
      <c r="BC8" t="s">
        <v>1575</v>
      </c>
      <c r="BD8" t="s">
        <v>216</v>
      </c>
      <c r="BE8" t="s">
        <v>690</v>
      </c>
      <c r="BF8" t="s">
        <v>693</v>
      </c>
      <c r="BG8" t="s">
        <v>694</v>
      </c>
      <c r="BH8" t="s">
        <v>1896</v>
      </c>
      <c r="BI8" t="s">
        <v>143</v>
      </c>
      <c r="BJ8" t="s">
        <v>1574</v>
      </c>
      <c r="BK8" t="s">
        <v>2049</v>
      </c>
      <c r="BL8" t="s">
        <v>2054</v>
      </c>
      <c r="BM8" t="s">
        <v>1575</v>
      </c>
      <c r="BN8">
        <v>0.89</v>
      </c>
      <c r="BO8">
        <v>1.86</v>
      </c>
      <c r="BP8">
        <v>9.18</v>
      </c>
      <c r="BQ8">
        <v>1.73</v>
      </c>
      <c r="BR8">
        <v>2.4</v>
      </c>
      <c r="BS8">
        <v>11.5</v>
      </c>
      <c r="BT8" t="s">
        <v>1527</v>
      </c>
      <c r="BU8" t="s">
        <v>1444</v>
      </c>
      <c r="BV8">
        <v>24.37</v>
      </c>
      <c r="BW8">
        <v>25.56</v>
      </c>
      <c r="BX8">
        <v>23.38</v>
      </c>
      <c r="BY8">
        <v>3.87</v>
      </c>
      <c r="BZ8">
        <v>2.0699999999999998</v>
      </c>
      <c r="CA8">
        <v>9.6300000000000008</v>
      </c>
      <c r="CB8">
        <v>-5.21</v>
      </c>
      <c r="CC8">
        <v>-6.29</v>
      </c>
      <c r="CD8" t="s">
        <v>2962</v>
      </c>
      <c r="CE8" t="s">
        <v>543</v>
      </c>
      <c r="CF8" s="10">
        <v>3.6082474226803968E-2</v>
      </c>
      <c r="CG8" s="11">
        <v>2.2300802592823747</v>
      </c>
      <c r="CH8" s="10">
        <v>5.7591624557971954E-2</v>
      </c>
      <c r="CI8" s="10">
        <v>-6.8860411643981934E-2</v>
      </c>
      <c r="CJ8" s="10">
        <v>-0.11679228395223618</v>
      </c>
      <c r="CK8" s="10">
        <v>-7.7915601432323456E-2</v>
      </c>
      <c r="CL8" s="10">
        <v>0.20226725935935974</v>
      </c>
      <c r="CM8" s="11">
        <v>1.0151798725128174</v>
      </c>
      <c r="CN8" s="11">
        <v>-0.7929648756980896</v>
      </c>
      <c r="CO8" s="11">
        <v>1.2287598848342896</v>
      </c>
      <c r="CP8" s="11">
        <v>-0.33899658918380737</v>
      </c>
      <c r="CQ8" s="11">
        <v>6.9290325045585632E-2</v>
      </c>
      <c r="CR8">
        <v>40.086691089426282</v>
      </c>
      <c r="CS8">
        <v>540.33737801114751</v>
      </c>
      <c r="CT8">
        <v>0.61050061050061055</v>
      </c>
      <c r="CU8" s="10">
        <v>-7.418826222419739E-4</v>
      </c>
      <c r="CV8" s="11">
        <v>0.23625372350215912</v>
      </c>
      <c r="CW8">
        <v>0.06</v>
      </c>
      <c r="CX8">
        <v>53.420582221274501</v>
      </c>
      <c r="CY8" t="s">
        <v>2055</v>
      </c>
      <c r="CZ8">
        <v>-7.418826222419739E-4</v>
      </c>
      <c r="DA8">
        <v>17.806860740424835</v>
      </c>
      <c r="DB8" t="s">
        <v>2056</v>
      </c>
      <c r="DC8">
        <v>-7.0478849112987519E-4</v>
      </c>
      <c r="DD8">
        <v>8.9034303702124173</v>
      </c>
      <c r="DE8" t="s">
        <v>2057</v>
      </c>
      <c r="DF8">
        <v>-6.5285670757293704E-4</v>
      </c>
      <c r="DG8">
        <v>5.3420582221274495</v>
      </c>
      <c r="DH8" t="s">
        <v>2058</v>
      </c>
      <c r="DI8">
        <v>-5.9350609779357916E-4</v>
      </c>
      <c r="DJ8">
        <v>2.6710291110637248</v>
      </c>
      <c r="DK8" t="s">
        <v>2059</v>
      </c>
      <c r="DL8">
        <v>-5.1931783556938174E-4</v>
      </c>
      <c r="DM8">
        <v>60495900</v>
      </c>
      <c r="DN8">
        <v>-7.418826222419739E-4</v>
      </c>
      <c r="DO8">
        <v>3231726200</v>
      </c>
      <c r="DP8">
        <v>945049600</v>
      </c>
      <c r="DQ8">
        <v>604</v>
      </c>
      <c r="DR8">
        <v>3.682435684904594E-2</v>
      </c>
      <c r="DS8">
        <v>1.9938265357802156</v>
      </c>
      <c r="DT8" s="12">
        <v>-0.34</v>
      </c>
      <c r="DU8">
        <v>0.62333333333333341</v>
      </c>
      <c r="DV8">
        <v>0.28333333333333338</v>
      </c>
      <c r="DW8">
        <v>-8.8282988871224166</v>
      </c>
      <c r="DX8">
        <v>0.23932563176895236</v>
      </c>
      <c r="DY8">
        <v>-8.0739883213857304</v>
      </c>
      <c r="DZ8">
        <v>1557</v>
      </c>
      <c r="EA8">
        <v>-8.0514443260045994</v>
      </c>
      <c r="EB8">
        <v>8</v>
      </c>
      <c r="EC8">
        <v>6.1768887570124768E-2</v>
      </c>
      <c r="ED8">
        <v>0.69150238679413178</v>
      </c>
      <c r="EE8" s="13">
        <v>-4.0165100000000002</v>
      </c>
      <c r="EF8">
        <v>-4.0153100000000004</v>
      </c>
      <c r="EG8">
        <v>15.089325631768952</v>
      </c>
      <c r="EH8" t="s">
        <v>1964</v>
      </c>
      <c r="EI8">
        <v>0</v>
      </c>
      <c r="EJ8">
        <v>0</v>
      </c>
      <c r="EK8" s="14">
        <v>45470</v>
      </c>
      <c r="EL8">
        <v>-0.24</v>
      </c>
      <c r="EM8">
        <v>-3.67</v>
      </c>
      <c r="EN8">
        <v>0</v>
      </c>
      <c r="EO8">
        <v>2.95</v>
      </c>
      <c r="EP8">
        <v>0.12</v>
      </c>
    </row>
    <row r="9" spans="1:146" ht="96" x14ac:dyDescent="0.25">
      <c r="A9" s="8"/>
      <c r="B9" s="8"/>
      <c r="C9" s="8" t="str">
        <f>""&amp;CHAR(10)&amp;Basic_Fundamental_Information_Constructure(F9)&amp;CHAR(10)&amp;Basic_Fundamental_Information_Concatenate("")</f>
        <v xml:space="preserve">
市值22.617504亿, 利润8938.96万; PE20.87; 平均PE68.31; 平均PEG2.69, PB4; ROIC5.3733%; ROE7.1667%; 股利率.3476%; 毛利17.9%; 净利3.42%; 上一年度营收增31.75%, 利润增109.43%; 当季营收增37.29%, 利润增282.95%; 过往5年营收增25.43%, 利润增94.8%
Income profile:
</v>
      </c>
      <c r="D9" t="s">
        <v>849</v>
      </c>
      <c r="E9" t="s">
        <v>850</v>
      </c>
      <c r="F9">
        <v>8.6300000000000008</v>
      </c>
      <c r="G9">
        <v>1.29</v>
      </c>
      <c r="H9" t="s">
        <v>2963</v>
      </c>
      <c r="I9">
        <v>2261750400</v>
      </c>
      <c r="J9">
        <v>20.87</v>
      </c>
      <c r="K9">
        <v>4</v>
      </c>
      <c r="L9" t="s">
        <v>2891</v>
      </c>
      <c r="M9" t="s">
        <v>476</v>
      </c>
      <c r="N9" t="s">
        <v>2964</v>
      </c>
      <c r="O9" t="s">
        <v>332</v>
      </c>
      <c r="P9">
        <v>37.090000000000003</v>
      </c>
      <c r="Q9" t="s">
        <v>1860</v>
      </c>
      <c r="R9">
        <v>25662344</v>
      </c>
      <c r="S9" s="6">
        <v>2.8290000000000002</v>
      </c>
      <c r="T9" t="s">
        <v>2060</v>
      </c>
      <c r="U9">
        <v>262080000</v>
      </c>
      <c r="V9">
        <v>262080000</v>
      </c>
      <c r="W9">
        <v>3.59</v>
      </c>
      <c r="X9">
        <v>0.16</v>
      </c>
      <c r="Y9">
        <v>7.92</v>
      </c>
      <c r="Z9" t="s">
        <v>156</v>
      </c>
      <c r="AA9" t="s">
        <v>251</v>
      </c>
      <c r="AB9" t="s">
        <v>2965</v>
      </c>
      <c r="AC9" t="s">
        <v>2966</v>
      </c>
      <c r="AD9" t="s">
        <v>2</v>
      </c>
      <c r="AE9">
        <v>6782573</v>
      </c>
      <c r="AF9" t="s">
        <v>2061</v>
      </c>
      <c r="AG9" t="s">
        <v>2967</v>
      </c>
      <c r="AH9" t="s">
        <v>2062</v>
      </c>
      <c r="AI9" t="s">
        <v>354</v>
      </c>
      <c r="AJ9" t="s">
        <v>2063</v>
      </c>
      <c r="AK9" t="s">
        <v>2968</v>
      </c>
      <c r="AL9" t="s">
        <v>2064</v>
      </c>
      <c r="AM9" t="s">
        <v>2</v>
      </c>
      <c r="AN9">
        <v>0</v>
      </c>
      <c r="AO9" t="s">
        <v>2969</v>
      </c>
      <c r="AP9" t="s">
        <v>213</v>
      </c>
      <c r="AQ9" t="s">
        <v>146</v>
      </c>
      <c r="AR9" t="s">
        <v>2</v>
      </c>
      <c r="AS9" t="s">
        <v>2318</v>
      </c>
      <c r="AT9" t="s">
        <v>2970</v>
      </c>
      <c r="AU9" t="s">
        <v>2971</v>
      </c>
      <c r="AV9" t="s">
        <v>2972</v>
      </c>
      <c r="AW9" t="s">
        <v>2973</v>
      </c>
      <c r="AX9" t="s">
        <v>201</v>
      </c>
      <c r="AY9" t="s">
        <v>592</v>
      </c>
      <c r="AZ9" t="s">
        <v>509</v>
      </c>
      <c r="BA9" t="s">
        <v>632</v>
      </c>
      <c r="BB9" t="s">
        <v>289</v>
      </c>
      <c r="BC9" t="s">
        <v>1576</v>
      </c>
      <c r="BD9" t="s">
        <v>1284</v>
      </c>
      <c r="BE9" t="s">
        <v>851</v>
      </c>
      <c r="BF9" t="s">
        <v>852</v>
      </c>
      <c r="BG9" t="s">
        <v>853</v>
      </c>
      <c r="BH9" t="s">
        <v>1860</v>
      </c>
      <c r="BI9" t="s">
        <v>186</v>
      </c>
      <c r="BJ9" t="s">
        <v>201</v>
      </c>
      <c r="BK9" t="s">
        <v>2060</v>
      </c>
      <c r="BL9" t="s">
        <v>2065</v>
      </c>
      <c r="BM9" t="s">
        <v>1576</v>
      </c>
      <c r="BN9">
        <v>4.74</v>
      </c>
      <c r="BO9">
        <v>6.78</v>
      </c>
      <c r="BP9">
        <v>4.5999999999999996</v>
      </c>
      <c r="BQ9">
        <v>7.2</v>
      </c>
      <c r="BR9">
        <v>9.74</v>
      </c>
      <c r="BS9">
        <v>4.5599999999999996</v>
      </c>
      <c r="BT9" t="s">
        <v>1524</v>
      </c>
      <c r="BU9" t="s">
        <v>1445</v>
      </c>
      <c r="BV9">
        <v>19.809999999999999</v>
      </c>
      <c r="BW9">
        <v>17.510000000000002</v>
      </c>
      <c r="BX9">
        <v>16.38</v>
      </c>
      <c r="BY9">
        <v>5.19</v>
      </c>
      <c r="BZ9">
        <v>3.27</v>
      </c>
      <c r="CA9">
        <v>1.8</v>
      </c>
      <c r="CB9">
        <v>-2.82</v>
      </c>
      <c r="CC9">
        <v>-9.82</v>
      </c>
      <c r="CD9" t="s">
        <v>2974</v>
      </c>
      <c r="CE9" t="s">
        <v>176</v>
      </c>
      <c r="CF9" s="10">
        <v>0.3728813559322034</v>
      </c>
      <c r="CG9" s="11">
        <v>2.8294575679345799</v>
      </c>
      <c r="CH9" s="10">
        <v>0.31752097606658936</v>
      </c>
      <c r="CI9" s="10">
        <v>0.26402327418327332</v>
      </c>
      <c r="CJ9" s="10">
        <v>2.3762376978993416E-2</v>
      </c>
      <c r="CK9" s="10">
        <v>0.42253521084785461</v>
      </c>
      <c r="CL9" s="10">
        <v>0.24343258142471313</v>
      </c>
      <c r="CM9" s="11">
        <v>1.0943063497543335</v>
      </c>
      <c r="CN9" s="11">
        <v>1.2991300821304321</v>
      </c>
      <c r="CO9" s="11">
        <v>-0.41480475664138794</v>
      </c>
      <c r="CP9" s="11">
        <v>2.1684627532958984</v>
      </c>
      <c r="CQ9" s="11">
        <v>0.59279352426528931</v>
      </c>
      <c r="CR9">
        <v>68.310809219050611</v>
      </c>
      <c r="CS9">
        <v>2.6867058823476193</v>
      </c>
      <c r="CT9">
        <v>0.3476245654692931</v>
      </c>
      <c r="CU9" s="10">
        <v>0.25425488390028478</v>
      </c>
      <c r="CV9" s="11">
        <v>0.94797759056091313</v>
      </c>
      <c r="CW9">
        <v>0.06</v>
      </c>
      <c r="CX9">
        <v>30.280020487817453</v>
      </c>
      <c r="CY9">
        <v>105771077.70744611</v>
      </c>
      <c r="CZ9">
        <v>0.25425488390028478</v>
      </c>
      <c r="DA9">
        <v>8.633628133499629</v>
      </c>
      <c r="DB9">
        <v>370962282.65529543</v>
      </c>
      <c r="DC9">
        <v>0.24154213970527053</v>
      </c>
      <c r="DD9">
        <v>3.5055126242259647</v>
      </c>
      <c r="DE9">
        <v>913632539.18025291</v>
      </c>
      <c r="DF9">
        <v>0.22374429783225061</v>
      </c>
      <c r="DG9">
        <v>1.6699150204683804</v>
      </c>
      <c r="DH9">
        <v>1917912205.5574346</v>
      </c>
      <c r="DI9">
        <v>0.20340390712022782</v>
      </c>
      <c r="DJ9">
        <v>0.49472483643148241</v>
      </c>
      <c r="DK9">
        <v>6473801523.8973541</v>
      </c>
      <c r="DL9">
        <v>0.17797841873019934</v>
      </c>
      <c r="DM9">
        <v>89389599.999999985</v>
      </c>
      <c r="DN9">
        <v>0.25425488390028478</v>
      </c>
      <c r="DO9">
        <v>3202750400</v>
      </c>
      <c r="DP9">
        <v>313696800</v>
      </c>
      <c r="DQ9">
        <v>626</v>
      </c>
      <c r="DR9">
        <v>0.11862647203191862</v>
      </c>
      <c r="DS9">
        <v>1.8814799773736668</v>
      </c>
      <c r="DT9" s="12">
        <v>9.3333333333333268E-2</v>
      </c>
      <c r="DU9">
        <v>1.54</v>
      </c>
      <c r="DV9">
        <v>1.6333333333333333</v>
      </c>
      <c r="DW9">
        <v>-8.2871690427698574</v>
      </c>
      <c r="DX9">
        <v>0.25748488372092992</v>
      </c>
      <c r="DY9">
        <v>-8.0394814024534647</v>
      </c>
      <c r="DZ9">
        <v>35</v>
      </c>
      <c r="EA9">
        <v>-8.039210981888715</v>
      </c>
      <c r="EB9">
        <v>8</v>
      </c>
      <c r="EC9">
        <v>0.22557425213675214</v>
      </c>
      <c r="ED9">
        <v>1.6407203907203907</v>
      </c>
      <c r="EE9" s="13">
        <v>1.0327</v>
      </c>
      <c r="EF9">
        <v>1.0085</v>
      </c>
      <c r="EG9">
        <v>12.13748488372093</v>
      </c>
      <c r="EH9" t="s">
        <v>1547</v>
      </c>
      <c r="EI9">
        <v>0</v>
      </c>
      <c r="EJ9">
        <v>1</v>
      </c>
      <c r="EK9" s="14">
        <v>45470</v>
      </c>
      <c r="EL9">
        <v>0.45</v>
      </c>
      <c r="EM9">
        <v>-5.0599999999999996</v>
      </c>
      <c r="EN9">
        <v>0.59</v>
      </c>
      <c r="EO9">
        <v>2.2400000000000002</v>
      </c>
      <c r="EP9">
        <v>-2.42</v>
      </c>
    </row>
    <row r="10" spans="1:146" ht="84" x14ac:dyDescent="0.25">
      <c r="A10" s="8"/>
      <c r="B10" s="8"/>
      <c r="C10" s="8" t="str">
        <f>""&amp;CHAR(10)&amp;Basic_Fundamental_Information_Constructure(F10)&amp;CHAR(10)&amp;Basic_Fundamental_Information_Concatenate("")</f>
        <v xml:space="preserve">
市值60.951972亿, 利润-5.29亿; PE; 平均PE-7.77; 平均PEG-2.8, PB6.24; ROIC0%; ROE-27.54%; 股利率0%; 毛利28.14%; 净利-12.3%; 上一年度营收增18.68%, 利润增-423.76%; 当季营收增63.38%, 利润增116.93%; 过往5年营收增2.78%, 利润增-157.08%
Income profile:
</v>
      </c>
      <c r="D10" t="s">
        <v>695</v>
      </c>
      <c r="E10" t="s">
        <v>696</v>
      </c>
      <c r="F10">
        <v>3.67</v>
      </c>
      <c r="G10">
        <v>1.1000000000000001</v>
      </c>
      <c r="H10" t="s">
        <v>2975</v>
      </c>
      <c r="I10">
        <v>6095197200</v>
      </c>
      <c r="K10">
        <v>6.24</v>
      </c>
      <c r="L10" t="s">
        <v>2891</v>
      </c>
      <c r="M10" t="s">
        <v>2066</v>
      </c>
      <c r="N10" t="s">
        <v>2976</v>
      </c>
      <c r="O10" t="s">
        <v>2067</v>
      </c>
      <c r="P10">
        <v>63.53</v>
      </c>
      <c r="Q10" t="s">
        <v>1831</v>
      </c>
      <c r="R10">
        <v>7044861</v>
      </c>
      <c r="S10" s="6">
        <v>1.169</v>
      </c>
      <c r="T10" t="s">
        <v>2068</v>
      </c>
      <c r="U10">
        <v>1399922400</v>
      </c>
      <c r="V10">
        <v>1660816700</v>
      </c>
      <c r="W10">
        <v>7.69</v>
      </c>
      <c r="X10">
        <v>0.13</v>
      </c>
      <c r="Y10">
        <v>-3.65</v>
      </c>
      <c r="Z10" t="s">
        <v>1836</v>
      </c>
      <c r="AA10" t="s">
        <v>357</v>
      </c>
      <c r="AB10" t="s">
        <v>2977</v>
      </c>
      <c r="AC10" t="s">
        <v>2978</v>
      </c>
      <c r="AD10" t="s">
        <v>2</v>
      </c>
      <c r="AE10">
        <v>147845010</v>
      </c>
      <c r="AF10" t="s">
        <v>2069</v>
      </c>
      <c r="AG10" t="s">
        <v>2979</v>
      </c>
      <c r="AH10" t="s">
        <v>2070</v>
      </c>
      <c r="AI10" t="s">
        <v>2282</v>
      </c>
      <c r="AJ10" t="s">
        <v>2071</v>
      </c>
      <c r="AK10" t="s">
        <v>2980</v>
      </c>
      <c r="AL10" t="s">
        <v>2072</v>
      </c>
      <c r="AM10" t="s">
        <v>2</v>
      </c>
      <c r="AN10" t="s">
        <v>2981</v>
      </c>
      <c r="AO10" t="s">
        <v>1937</v>
      </c>
      <c r="AP10" t="s">
        <v>1486</v>
      </c>
      <c r="AQ10" t="s">
        <v>2862</v>
      </c>
      <c r="AR10" t="s">
        <v>2</v>
      </c>
      <c r="AS10" t="s">
        <v>2982</v>
      </c>
      <c r="AT10" t="s">
        <v>1837</v>
      </c>
      <c r="AU10" t="s">
        <v>114</v>
      </c>
      <c r="AV10" t="s">
        <v>2983</v>
      </c>
      <c r="AW10" t="s">
        <v>2984</v>
      </c>
      <c r="AX10" t="s">
        <v>1577</v>
      </c>
      <c r="AY10" t="s">
        <v>1285</v>
      </c>
      <c r="AZ10" t="s">
        <v>697</v>
      </c>
      <c r="BA10" t="s">
        <v>698</v>
      </c>
      <c r="BB10" t="s">
        <v>535</v>
      </c>
      <c r="BC10" t="s">
        <v>442</v>
      </c>
      <c r="BD10" t="s">
        <v>1286</v>
      </c>
      <c r="BE10" t="s">
        <v>103</v>
      </c>
      <c r="BF10" t="s">
        <v>663</v>
      </c>
      <c r="BG10" t="s">
        <v>699</v>
      </c>
      <c r="BH10" t="s">
        <v>1831</v>
      </c>
      <c r="BI10" t="s">
        <v>313</v>
      </c>
      <c r="BJ10" t="s">
        <v>1577</v>
      </c>
      <c r="BK10" t="s">
        <v>2068</v>
      </c>
      <c r="BL10" t="s">
        <v>2073</v>
      </c>
      <c r="BM10" t="s">
        <v>442</v>
      </c>
      <c r="BN10" t="s">
        <v>2</v>
      </c>
      <c r="BO10" t="s">
        <v>2</v>
      </c>
      <c r="BP10" t="s">
        <v>2</v>
      </c>
      <c r="BQ10">
        <v>-7.98</v>
      </c>
      <c r="BR10">
        <v>-14.14</v>
      </c>
      <c r="BS10">
        <v>-60.5</v>
      </c>
      <c r="BT10" t="s">
        <v>1521</v>
      </c>
      <c r="BU10" t="s">
        <v>1444</v>
      </c>
      <c r="BV10">
        <v>29.07</v>
      </c>
      <c r="BW10">
        <v>26.38</v>
      </c>
      <c r="BX10">
        <v>28.97</v>
      </c>
      <c r="BY10">
        <v>-12.72</v>
      </c>
      <c r="BZ10">
        <v>-3.37</v>
      </c>
      <c r="CA10">
        <v>-20.81</v>
      </c>
      <c r="CB10">
        <v>-3.17</v>
      </c>
      <c r="CC10">
        <v>-15.05</v>
      </c>
      <c r="CD10" t="s">
        <v>2985</v>
      </c>
      <c r="CE10" t="s">
        <v>549</v>
      </c>
      <c r="CF10" s="10">
        <v>0.63380281690140849</v>
      </c>
      <c r="CG10" s="11">
        <v>1.1692662421912543</v>
      </c>
      <c r="CH10" s="10">
        <v>0.18677590787410736</v>
      </c>
      <c r="CI10" s="10">
        <v>0.10662911832332611</v>
      </c>
      <c r="CJ10" s="10">
        <v>-4.1654124855995178E-2</v>
      </c>
      <c r="CK10" s="10">
        <v>4.4444404542446136E-2</v>
      </c>
      <c r="CL10" s="10">
        <v>-0.1572144478559494</v>
      </c>
      <c r="CM10" s="11">
        <v>-4.2376236915588379</v>
      </c>
      <c r="CN10" s="11">
        <v>0.84812027215957642</v>
      </c>
      <c r="CO10" s="11">
        <v>-4.5945944786071777</v>
      </c>
      <c r="CP10" s="11">
        <v>1.0778619050979614</v>
      </c>
      <c r="CQ10" s="11">
        <v>-0.9475409984588623</v>
      </c>
      <c r="CR10">
        <v>-7.7711821504462382</v>
      </c>
      <c r="CS10">
        <v>-2.7957742744990961</v>
      </c>
      <c r="CT10">
        <v>0</v>
      </c>
      <c r="CU10" s="10">
        <v>2.7796171605587006E-2</v>
      </c>
      <c r="CV10" s="11">
        <v>-1.5707553982734681</v>
      </c>
      <c r="CW10">
        <v>0.06</v>
      </c>
      <c r="CX10" t="e">
        <v>#VALUE!</v>
      </c>
      <c r="CY10" t="s">
        <v>1238</v>
      </c>
      <c r="CZ10">
        <v>2.7796171605587006E-2</v>
      </c>
      <c r="DA10" t="e">
        <v>#VALUE!</v>
      </c>
      <c r="DB10" t="s">
        <v>1238</v>
      </c>
      <c r="DC10">
        <v>2.6406363025307654E-2</v>
      </c>
      <c r="DD10" t="e">
        <v>#VALUE!</v>
      </c>
      <c r="DE10" t="s">
        <v>1238</v>
      </c>
      <c r="DF10">
        <v>2.4460631012916564E-2</v>
      </c>
      <c r="DG10" t="e">
        <v>#VALUE!</v>
      </c>
      <c r="DH10" t="s">
        <v>1238</v>
      </c>
      <c r="DI10">
        <v>2.2236937284469606E-2</v>
      </c>
      <c r="DJ10" t="e">
        <v>#VALUE!</v>
      </c>
      <c r="DK10" t="s">
        <v>1238</v>
      </c>
      <c r="DL10">
        <v>1.9457320123910903E-2</v>
      </c>
      <c r="DM10">
        <v>-529000000</v>
      </c>
      <c r="DN10">
        <v>2.7796171605587006E-2</v>
      </c>
      <c r="DO10">
        <v>12032197200</v>
      </c>
      <c r="DP10">
        <v>-2681588800</v>
      </c>
      <c r="DQ10">
        <v>633</v>
      </c>
      <c r="DR10">
        <v>0.60600664529582149</v>
      </c>
      <c r="DS10">
        <v>2.7400216404647226</v>
      </c>
      <c r="DT10" s="12">
        <v>-0.37333333333333335</v>
      </c>
      <c r="DU10">
        <v>-1.4933333333333334</v>
      </c>
      <c r="DV10">
        <v>-1.8666666666666667</v>
      </c>
      <c r="DW10">
        <v>-8.2106312292358812</v>
      </c>
      <c r="DX10">
        <v>0.28046705539358474</v>
      </c>
      <c r="DY10">
        <v>-8.023267811667619</v>
      </c>
      <c r="DZ10">
        <v>4308</v>
      </c>
      <c r="EA10">
        <v>-8.0036518170171096</v>
      </c>
      <c r="EB10">
        <v>8</v>
      </c>
      <c r="EC10">
        <v>2.2814197376507594E-2</v>
      </c>
      <c r="ED10">
        <v>0.20652489826240306</v>
      </c>
      <c r="EE10" s="13">
        <v>-6.0138999999999996</v>
      </c>
      <c r="EF10">
        <v>-6.0096100000000003</v>
      </c>
      <c r="EG10">
        <v>17.110467055393585</v>
      </c>
      <c r="EH10" t="s">
        <v>1975</v>
      </c>
      <c r="EI10">
        <v>0</v>
      </c>
      <c r="EJ10">
        <v>0</v>
      </c>
      <c r="EK10" s="14">
        <v>45470</v>
      </c>
      <c r="EL10">
        <v>0</v>
      </c>
      <c r="EM10">
        <v>-2.83</v>
      </c>
      <c r="EN10">
        <v>-0.53</v>
      </c>
      <c r="EO10">
        <v>1.86</v>
      </c>
      <c r="EP10">
        <v>-2.35</v>
      </c>
    </row>
    <row r="11" spans="1:146" ht="84" x14ac:dyDescent="0.25">
      <c r="C11" s="8" t="str">
        <f>""&amp;CHAR(10)&amp;Basic_Fundamental_Information_Constructure(F11)&amp;CHAR(10)&amp;Basic_Fundamental_Information_Concatenate("")</f>
        <v xml:space="preserve">
市值17.173178亿, 利润189.73万; PE; 平均PE-7.41; 平均PEG-.25, PB; ROIC0%; ROE-176.655%; 股利率0%; 毛利31.0133%; 净利-41.8%; 上一年度营收增4.1%, 利润增101.64%; 当季营收增-31.28%, 利润增-79.6%; 过往5年营收增-30.1%, 利润增-53.01%
Income profile:
</v>
      </c>
      <c r="D11" t="s">
        <v>1579</v>
      </c>
      <c r="E11" t="s">
        <v>1580</v>
      </c>
      <c r="F11">
        <v>2.19</v>
      </c>
      <c r="G11">
        <v>1.39</v>
      </c>
      <c r="H11" t="s">
        <v>2986</v>
      </c>
      <c r="I11">
        <v>1717317800</v>
      </c>
      <c r="L11" t="s">
        <v>2891</v>
      </c>
      <c r="M11" t="s">
        <v>1946</v>
      </c>
      <c r="N11" t="s">
        <v>2987</v>
      </c>
      <c r="O11" t="s">
        <v>2076</v>
      </c>
      <c r="P11" s="6">
        <v>-31.28</v>
      </c>
      <c r="Q11" t="s">
        <v>474</v>
      </c>
      <c r="R11">
        <v>-37631428</v>
      </c>
      <c r="S11">
        <v>-0.79600000000000004</v>
      </c>
      <c r="T11" t="s">
        <v>2077</v>
      </c>
      <c r="U11">
        <v>782322420</v>
      </c>
      <c r="V11">
        <v>784163370</v>
      </c>
      <c r="W11">
        <v>120.82</v>
      </c>
      <c r="X11">
        <v>0.03</v>
      </c>
      <c r="Y11">
        <v>-123.64</v>
      </c>
      <c r="Z11" t="s">
        <v>2988</v>
      </c>
      <c r="AA11" t="s">
        <v>2989</v>
      </c>
      <c r="AB11" t="s">
        <v>2990</v>
      </c>
      <c r="AC11" t="s">
        <v>2991</v>
      </c>
      <c r="AD11" t="s">
        <v>2</v>
      </c>
      <c r="AE11">
        <v>7006672</v>
      </c>
      <c r="AF11" t="s">
        <v>2078</v>
      </c>
      <c r="AG11" t="s">
        <v>2992</v>
      </c>
      <c r="AH11" t="s">
        <v>2079</v>
      </c>
      <c r="AI11" t="s">
        <v>2993</v>
      </c>
      <c r="AJ11" t="s">
        <v>2080</v>
      </c>
      <c r="AK11" t="s">
        <v>2</v>
      </c>
      <c r="AL11" t="s">
        <v>2081</v>
      </c>
      <c r="AM11" t="s">
        <v>2</v>
      </c>
      <c r="AN11" t="s">
        <v>2994</v>
      </c>
      <c r="AO11" t="s">
        <v>2995</v>
      </c>
      <c r="AP11" t="s">
        <v>2996</v>
      </c>
      <c r="AQ11" t="s">
        <v>170</v>
      </c>
      <c r="AR11">
        <v>1834.87</v>
      </c>
      <c r="AS11" t="s">
        <v>318</v>
      </c>
      <c r="AT11" t="s">
        <v>123</v>
      </c>
      <c r="AU11" t="s">
        <v>2997</v>
      </c>
      <c r="AV11" t="s">
        <v>2998</v>
      </c>
      <c r="AW11" t="s">
        <v>2999</v>
      </c>
      <c r="AX11" t="s">
        <v>167</v>
      </c>
      <c r="AY11" t="s">
        <v>43</v>
      </c>
      <c r="AZ11" t="s">
        <v>673</v>
      </c>
      <c r="BA11" t="s">
        <v>503</v>
      </c>
      <c r="BB11" t="s">
        <v>916</v>
      </c>
      <c r="BC11" t="s">
        <v>1979</v>
      </c>
      <c r="BD11" t="s">
        <v>1581</v>
      </c>
      <c r="BE11" t="s">
        <v>1454</v>
      </c>
      <c r="BF11" t="s">
        <v>1582</v>
      </c>
      <c r="BG11" t="s">
        <v>172</v>
      </c>
      <c r="BH11" t="s">
        <v>474</v>
      </c>
      <c r="BI11" t="s">
        <v>2082</v>
      </c>
      <c r="BJ11" t="s">
        <v>167</v>
      </c>
      <c r="BK11" t="s">
        <v>2077</v>
      </c>
      <c r="BL11" t="s">
        <v>2083</v>
      </c>
      <c r="BM11" t="s">
        <v>1979</v>
      </c>
      <c r="BN11" t="s">
        <v>2</v>
      </c>
      <c r="BO11" t="s">
        <v>2</v>
      </c>
      <c r="BP11" t="s">
        <v>2</v>
      </c>
      <c r="BQ11" t="s">
        <v>2</v>
      </c>
      <c r="BR11">
        <v>-256.14</v>
      </c>
      <c r="BS11">
        <v>-97.17</v>
      </c>
      <c r="BT11" t="s">
        <v>1521</v>
      </c>
      <c r="BU11" t="s">
        <v>1445</v>
      </c>
      <c r="BV11">
        <v>29.47</v>
      </c>
      <c r="BW11">
        <v>28.98</v>
      </c>
      <c r="BX11">
        <v>34.590000000000003</v>
      </c>
      <c r="BY11">
        <v>0.77</v>
      </c>
      <c r="BZ11">
        <v>-49.39</v>
      </c>
      <c r="CA11">
        <v>-76.78</v>
      </c>
      <c r="CB11">
        <v>-1.79</v>
      </c>
      <c r="CC11" s="10">
        <v>-22.06</v>
      </c>
      <c r="CD11" s="11" t="s">
        <v>3000</v>
      </c>
      <c r="CE11" s="10" t="s">
        <v>1166</v>
      </c>
      <c r="CF11" s="10">
        <v>-0.31278373099662182</v>
      </c>
      <c r="CG11" s="10">
        <v>-0.79600093543137229</v>
      </c>
      <c r="CH11" s="10">
        <v>4.098360612988472E-2</v>
      </c>
      <c r="CI11" s="10">
        <v>-0.26060605049133301</v>
      </c>
      <c r="CJ11" s="11">
        <v>-0.57961785793304443</v>
      </c>
      <c r="CK11" s="11">
        <v>-0.28113552927970886</v>
      </c>
      <c r="CL11" s="11">
        <v>-0.42465752363204956</v>
      </c>
      <c r="CM11" s="11">
        <v>1.0163559913635254</v>
      </c>
      <c r="CN11" s="11">
        <v>0.47982063889503479</v>
      </c>
      <c r="CO11">
        <v>-0.21857923269271851</v>
      </c>
      <c r="CP11">
        <v>0.84556961059570313</v>
      </c>
      <c r="CQ11">
        <v>-4.7738852500915527</v>
      </c>
      <c r="CR11" s="10">
        <v>-7.4070065423638383</v>
      </c>
      <c r="CS11" s="11">
        <v>-0.2460744978422347</v>
      </c>
      <c r="CT11">
        <v>0</v>
      </c>
      <c r="CU11">
        <v>-0.30100667104125023</v>
      </c>
      <c r="CV11">
        <v>-0.53014364838600159</v>
      </c>
      <c r="CW11">
        <v>0.06</v>
      </c>
      <c r="CX11" t="e">
        <v>#VALUE!</v>
      </c>
      <c r="CY11" t="s">
        <v>1402</v>
      </c>
      <c r="CZ11">
        <v>-0.30100667104125023</v>
      </c>
      <c r="DA11">
        <v>458.18426184578084</v>
      </c>
      <c r="DB11" t="s">
        <v>2084</v>
      </c>
      <c r="DC11">
        <v>-0.2859563374891877</v>
      </c>
      <c r="DD11">
        <v>229.09213092289042</v>
      </c>
      <c r="DE11" t="s">
        <v>2085</v>
      </c>
      <c r="DF11">
        <v>-0.26488587051630019</v>
      </c>
      <c r="DG11">
        <v>137.45527855373425</v>
      </c>
      <c r="DH11" t="s">
        <v>2086</v>
      </c>
      <c r="DI11">
        <v>-0.24080533683300021</v>
      </c>
      <c r="DJ11">
        <v>68.727639276867123</v>
      </c>
      <c r="DK11" t="s">
        <v>2087</v>
      </c>
      <c r="DL11">
        <v>-0.21070466972887514</v>
      </c>
      <c r="DM11">
        <v>1897300</v>
      </c>
      <c r="DN11">
        <v>-0.30100667104125023</v>
      </c>
      <c r="DO11">
        <v>2607939000</v>
      </c>
      <c r="DP11">
        <v>-311670610</v>
      </c>
      <c r="DQ11" s="12">
        <v>678</v>
      </c>
      <c r="DR11">
        <v>-1.1777059955371594E-2</v>
      </c>
      <c r="DS11">
        <v>-0.2658572870453707</v>
      </c>
      <c r="DT11">
        <v>-0.94</v>
      </c>
      <c r="DU11">
        <v>-1.9616666666666669</v>
      </c>
      <c r="DV11">
        <v>-2.9016666666666668</v>
      </c>
      <c r="DW11">
        <v>-3.0685357142857144</v>
      </c>
      <c r="DX11">
        <v>0.3034336927223707</v>
      </c>
      <c r="DY11">
        <v>-3.007774259154794</v>
      </c>
      <c r="DZ11">
        <v>4873</v>
      </c>
      <c r="EA11">
        <v>-3.0003605674011129</v>
      </c>
      <c r="EB11" s="13">
        <v>3</v>
      </c>
      <c r="EC11" s="13">
        <v>5.3667260688292542E-2</v>
      </c>
      <c r="ED11">
        <v>0.4731156978168975</v>
      </c>
      <c r="EE11">
        <v>-5.0682099999999997</v>
      </c>
      <c r="EF11">
        <v>-5.0860099999999999</v>
      </c>
      <c r="EG11">
        <v>19.113433692722371</v>
      </c>
      <c r="EH11" s="14" t="s">
        <v>1974</v>
      </c>
      <c r="EI11">
        <v>0</v>
      </c>
      <c r="EJ11">
        <v>0</v>
      </c>
      <c r="EK11">
        <v>45470</v>
      </c>
      <c r="EL11">
        <v>-0.89</v>
      </c>
      <c r="EM11">
        <v>-4.4800000000000004</v>
      </c>
      <c r="EN11">
        <v>1.88</v>
      </c>
      <c r="EO11">
        <v>3.69</v>
      </c>
      <c r="EP11">
        <v>-1.78</v>
      </c>
    </row>
    <row r="12" spans="1:146" ht="96" x14ac:dyDescent="0.25">
      <c r="A12" s="8"/>
      <c r="B12" s="8"/>
      <c r="C12" s="8" t="str">
        <f>""&amp;CHAR(10)&amp;Basic_Fundamental_Information_Constructure(F12)&amp;CHAR(10)&amp;Basic_Fundamental_Information_Concatenate("")</f>
        <v xml:space="preserve">
市值34.347731亿, 利润-1.57亿; PE; 平均PE31.55; 平均PEG21.63, PB1.14; ROIC3.1867%; ROE4.2933%; 股利率2.2936%; 毛利11.6067%; 净利3.3033%; 上一年度营收增16.24%, 利润增-471.34%; 当季营收增19.5%, 利润增-159.74%; 过往5年营收增1.46%, 利润增-72.64%
Income profile:
</v>
      </c>
      <c r="D12" t="s">
        <v>700</v>
      </c>
      <c r="E12" t="s">
        <v>701</v>
      </c>
      <c r="F12">
        <v>4.3600000000000003</v>
      </c>
      <c r="G12">
        <v>0.93</v>
      </c>
      <c r="H12" t="s">
        <v>3001</v>
      </c>
      <c r="I12">
        <v>3434773100</v>
      </c>
      <c r="K12">
        <v>1.1399999999999999</v>
      </c>
      <c r="L12" t="s">
        <v>2891</v>
      </c>
      <c r="M12" t="s">
        <v>2088</v>
      </c>
      <c r="N12" t="s">
        <v>2383</v>
      </c>
      <c r="O12" t="s">
        <v>1310</v>
      </c>
      <c r="P12">
        <v>19.579999999999998</v>
      </c>
      <c r="Q12" t="s">
        <v>2089</v>
      </c>
      <c r="R12">
        <v>-61533676</v>
      </c>
      <c r="S12" s="6">
        <v>-1.595</v>
      </c>
      <c r="T12" t="s">
        <v>1804</v>
      </c>
      <c r="U12">
        <v>763761870</v>
      </c>
      <c r="V12">
        <v>787791990</v>
      </c>
      <c r="W12">
        <v>2.61</v>
      </c>
      <c r="X12">
        <v>0.06</v>
      </c>
      <c r="Y12">
        <v>-11.78</v>
      </c>
      <c r="Z12" t="s">
        <v>819</v>
      </c>
      <c r="AA12" t="s">
        <v>544</v>
      </c>
      <c r="AB12" t="s">
        <v>3002</v>
      </c>
      <c r="AC12" t="s">
        <v>3003</v>
      </c>
      <c r="AD12" t="s">
        <v>2</v>
      </c>
      <c r="AE12">
        <v>16946097</v>
      </c>
      <c r="AF12" t="s">
        <v>2091</v>
      </c>
      <c r="AG12" t="s">
        <v>3004</v>
      </c>
      <c r="AH12" t="s">
        <v>2092</v>
      </c>
      <c r="AI12" t="s">
        <v>1400</v>
      </c>
      <c r="AJ12" t="s">
        <v>2093</v>
      </c>
      <c r="AK12" t="s">
        <v>637</v>
      </c>
      <c r="AL12" t="s">
        <v>2094</v>
      </c>
      <c r="AM12" t="s">
        <v>2</v>
      </c>
      <c r="AN12" t="s">
        <v>282</v>
      </c>
      <c r="AO12" t="s">
        <v>3005</v>
      </c>
      <c r="AP12" t="s">
        <v>308</v>
      </c>
      <c r="AQ12" t="s">
        <v>498</v>
      </c>
      <c r="AR12" t="s">
        <v>2</v>
      </c>
      <c r="AS12" t="s">
        <v>3006</v>
      </c>
      <c r="AT12" t="s">
        <v>1437</v>
      </c>
      <c r="AU12" t="s">
        <v>1585</v>
      </c>
      <c r="AV12" t="s">
        <v>1483</v>
      </c>
      <c r="AW12" t="s">
        <v>560</v>
      </c>
      <c r="AX12" t="s">
        <v>1583</v>
      </c>
      <c r="AY12" t="s">
        <v>1241</v>
      </c>
      <c r="AZ12" t="s">
        <v>702</v>
      </c>
      <c r="BA12" t="s">
        <v>703</v>
      </c>
      <c r="BB12" t="s">
        <v>704</v>
      </c>
      <c r="BC12" t="s">
        <v>1584</v>
      </c>
      <c r="BD12" t="s">
        <v>388</v>
      </c>
      <c r="BE12" t="s">
        <v>135</v>
      </c>
      <c r="BF12" t="s">
        <v>358</v>
      </c>
      <c r="BG12" t="s">
        <v>705</v>
      </c>
      <c r="BH12" t="s">
        <v>2089</v>
      </c>
      <c r="BI12" t="s">
        <v>423</v>
      </c>
      <c r="BJ12" t="s">
        <v>1583</v>
      </c>
      <c r="BK12" t="s">
        <v>1804</v>
      </c>
      <c r="BL12" t="s">
        <v>49</v>
      </c>
      <c r="BM12" t="s">
        <v>1584</v>
      </c>
      <c r="BN12">
        <v>1.5</v>
      </c>
      <c r="BO12">
        <v>1.08</v>
      </c>
      <c r="BP12">
        <v>6.98</v>
      </c>
      <c r="BQ12">
        <v>1.08</v>
      </c>
      <c r="BR12">
        <v>1.28</v>
      </c>
      <c r="BS12">
        <v>10.52</v>
      </c>
      <c r="BT12" t="s">
        <v>1520</v>
      </c>
      <c r="BU12" t="s">
        <v>1444</v>
      </c>
      <c r="BV12">
        <v>17.28</v>
      </c>
      <c r="BW12">
        <v>8.31</v>
      </c>
      <c r="BX12">
        <v>9.23</v>
      </c>
      <c r="BY12">
        <v>-5.8</v>
      </c>
      <c r="BZ12">
        <v>1.37</v>
      </c>
      <c r="CA12">
        <v>14.34</v>
      </c>
      <c r="CB12">
        <v>-1.1299999999999999</v>
      </c>
      <c r="CC12">
        <v>-14.34</v>
      </c>
      <c r="CD12" t="s">
        <v>3007</v>
      </c>
      <c r="CE12" t="s">
        <v>501</v>
      </c>
      <c r="CF12" s="10">
        <v>0.1950113378684806</v>
      </c>
      <c r="CG12" s="11">
        <v>-1.5974143300970873</v>
      </c>
      <c r="CH12" s="10">
        <v>0.1624150276184082</v>
      </c>
      <c r="CI12" s="10">
        <v>0.24510326981544495</v>
      </c>
      <c r="CJ12" s="10">
        <v>-0.11852549016475677</v>
      </c>
      <c r="CK12" s="10">
        <v>-0.16092397272586823</v>
      </c>
      <c r="CL12" s="10">
        <v>-5.5124007165431976E-2</v>
      </c>
      <c r="CM12" s="11">
        <v>-4.7134451866149902</v>
      </c>
      <c r="CN12" s="11">
        <v>-0.87417030334472656</v>
      </c>
      <c r="CO12" s="11">
        <v>0.40000000596046448</v>
      </c>
      <c r="CP12" s="11">
        <v>1.1238938570022583</v>
      </c>
      <c r="CQ12" s="11">
        <v>0.43178063631057739</v>
      </c>
      <c r="CR12">
        <v>31.550200971675661</v>
      </c>
      <c r="CS12">
        <v>21.626071447308195</v>
      </c>
      <c r="CT12">
        <v>2.2935779816513762</v>
      </c>
      <c r="CU12" s="10">
        <v>1.4588965475559235E-2</v>
      </c>
      <c r="CV12" s="11">
        <v>-0.72638819813728328</v>
      </c>
      <c r="CW12">
        <v>0.06</v>
      </c>
      <c r="CX12" t="e">
        <v>#VALUE!</v>
      </c>
      <c r="CY12" t="s">
        <v>1237</v>
      </c>
      <c r="CZ12">
        <v>1.4588965475559235E-2</v>
      </c>
      <c r="DA12" t="e">
        <v>#VALUE!</v>
      </c>
      <c r="DB12" t="s">
        <v>1238</v>
      </c>
      <c r="DC12">
        <v>1.3859517201781272E-2</v>
      </c>
      <c r="DD12" t="e">
        <v>#VALUE!</v>
      </c>
      <c r="DE12" t="s">
        <v>1238</v>
      </c>
      <c r="DF12">
        <v>1.2838289618492127E-2</v>
      </c>
      <c r="DG12" t="e">
        <v>#VALUE!</v>
      </c>
      <c r="DH12" t="s">
        <v>1238</v>
      </c>
      <c r="DI12">
        <v>1.1671172380447389E-2</v>
      </c>
      <c r="DJ12" t="e">
        <v>#VALUE!</v>
      </c>
      <c r="DK12" t="s">
        <v>1238</v>
      </c>
      <c r="DL12">
        <v>1.0212275832891464E-2</v>
      </c>
      <c r="DM12">
        <v>-157000000</v>
      </c>
      <c r="DN12">
        <v>1.4588965475559235E-2</v>
      </c>
      <c r="DO12">
        <v>5185773100</v>
      </c>
      <c r="DP12">
        <v>181307900.00000048</v>
      </c>
      <c r="DQ12">
        <v>679</v>
      </c>
      <c r="DR12">
        <v>0.18042237239292136</v>
      </c>
      <c r="DS12">
        <v>-0.87102613195980405</v>
      </c>
      <c r="DT12" s="12">
        <v>-0.24</v>
      </c>
      <c r="DU12">
        <v>-1.4816666666666667</v>
      </c>
      <c r="DV12">
        <v>-1.7216666666666667</v>
      </c>
      <c r="DW12">
        <v>-2.1434000000000002</v>
      </c>
      <c r="DX12">
        <v>0.26788931297709884</v>
      </c>
      <c r="DY12">
        <v>-2.0140373274809162</v>
      </c>
      <c r="DZ12">
        <v>4200</v>
      </c>
      <c r="EA12">
        <v>-2.0024997980445467</v>
      </c>
      <c r="EB12">
        <v>2</v>
      </c>
      <c r="EC12">
        <v>3.2555548070500186E-2</v>
      </c>
      <c r="ED12">
        <v>0.33257510018602754</v>
      </c>
      <c r="EE12" s="13">
        <v>-2.0177</v>
      </c>
      <c r="EF12">
        <v>-2.0070100000000002</v>
      </c>
      <c r="EG12">
        <v>17.097889312977099</v>
      </c>
      <c r="EH12" t="s">
        <v>1555</v>
      </c>
      <c r="EI12">
        <v>0</v>
      </c>
      <c r="EJ12">
        <v>0</v>
      </c>
      <c r="EK12" s="14">
        <v>45470</v>
      </c>
      <c r="EL12">
        <v>-2.16</v>
      </c>
      <c r="EM12">
        <v>-4.63</v>
      </c>
      <c r="EN12">
        <v>-0.92</v>
      </c>
      <c r="EO12">
        <v>3.96</v>
      </c>
      <c r="EP12">
        <v>-2.4700000000000002</v>
      </c>
    </row>
    <row r="13" spans="1:146" ht="168" x14ac:dyDescent="0.25">
      <c r="A13" s="8" t="s">
        <v>1981</v>
      </c>
      <c r="B13" s="8" t="s">
        <v>1980</v>
      </c>
      <c r="C13" s="8" t="str">
        <f>"公司是一家高新技术企业,公司主营业务有：1.电力设备—变压器分接开关的研发、生产、销售和全生命周期的运维检修；2.电力工程—新能源电站的承包、设计施工和运维；3.数控设备—成套数控设备的研发、生产和销售；其中变压器分接开关业务为公司核心业务。"&amp;CHAR(10)&amp;Basic_Fundamental_Information_Constructure(F13)&amp;CHAR(10)&amp;Basic_Fundamental_Information_Concatenate("电力设备 16.25亿 82.87% 9.51亿 92.79% 58.49%
数控设备 1.62亿 8.24% 3094.47万 3.02% 19.15%
电力工程 1.18亿 5.99% 847.10万 0.83% 7.21%")</f>
        <v>公司是一家高新技术企业,公司主营业务有：1.电力设备—变压器分接开关的研发、生产、销售和全生命周期的运维检修；2.电力工程—新能源电站的承包、设计施工和运维；3.数控设备—成套数控设备的研发、生产和销售；其中变压器分接开关业务为公司核心业务。
市值173.15075亿, 利润5.42亿; PE31.4; 平均PE54.11; 平均PEG4.85, PB4.98; ROIC11.73%; ROE13.1967%; 股利率2.8468%; 毛利49.9867%; 净利25.6033%; 上一年度营收增14.54%, 利润增50.97%; 当季营收增9.47%, 利润增7.56%; 过往5年营收增11.16%, 利润增32.9%
Income profile:
电力设备 16.25亿 82.87% 9.51亿 92.79% 58.49%
数控设备 1.62亿 8.24% 3094.47万 3.02% 19.15%
电力工程 1.18亿 5.99% 847.10万 0.83% 7.21%</v>
      </c>
      <c r="D13" t="s">
        <v>854</v>
      </c>
      <c r="E13" t="s">
        <v>855</v>
      </c>
      <c r="F13">
        <v>19.32</v>
      </c>
      <c r="G13">
        <v>-1.02</v>
      </c>
      <c r="H13" t="s">
        <v>3008</v>
      </c>
      <c r="I13">
        <v>17315075000</v>
      </c>
      <c r="J13">
        <v>31.4</v>
      </c>
      <c r="K13">
        <v>4.9800000000000004</v>
      </c>
      <c r="L13" t="s">
        <v>2891</v>
      </c>
      <c r="M13" t="s">
        <v>665</v>
      </c>
      <c r="N13" t="s">
        <v>3009</v>
      </c>
      <c r="O13" t="s">
        <v>340</v>
      </c>
      <c r="P13">
        <v>9.4</v>
      </c>
      <c r="Q13" t="s">
        <v>1835</v>
      </c>
      <c r="R13">
        <v>126917576</v>
      </c>
      <c r="S13" s="6">
        <v>7.5899999999999995E-2</v>
      </c>
      <c r="T13" t="s">
        <v>214</v>
      </c>
      <c r="U13">
        <v>759224690</v>
      </c>
      <c r="V13">
        <v>896225430</v>
      </c>
      <c r="W13">
        <v>1.33</v>
      </c>
      <c r="X13">
        <v>0.1</v>
      </c>
      <c r="Y13">
        <v>28.56</v>
      </c>
      <c r="Z13" t="s">
        <v>1606</v>
      </c>
      <c r="AA13" t="s">
        <v>524</v>
      </c>
      <c r="AB13" t="s">
        <v>2985</v>
      </c>
      <c r="AC13" t="s">
        <v>3010</v>
      </c>
      <c r="AD13" t="s">
        <v>2</v>
      </c>
      <c r="AE13">
        <v>-3338146</v>
      </c>
      <c r="AF13" t="s">
        <v>2097</v>
      </c>
      <c r="AG13" t="s">
        <v>3011</v>
      </c>
      <c r="AH13" t="s">
        <v>2098</v>
      </c>
      <c r="AI13" t="s">
        <v>2451</v>
      </c>
      <c r="AJ13" t="s">
        <v>2099</v>
      </c>
      <c r="AK13" t="s">
        <v>265</v>
      </c>
      <c r="AL13" t="s">
        <v>2100</v>
      </c>
      <c r="AM13" t="s">
        <v>2</v>
      </c>
      <c r="AN13" t="s">
        <v>3012</v>
      </c>
      <c r="AO13" t="s">
        <v>2101</v>
      </c>
      <c r="AP13" t="s">
        <v>323</v>
      </c>
      <c r="AQ13" t="s">
        <v>296</v>
      </c>
      <c r="AR13" t="s">
        <v>2</v>
      </c>
      <c r="AS13" t="s">
        <v>379</v>
      </c>
      <c r="AT13" t="s">
        <v>66</v>
      </c>
      <c r="AU13" t="s">
        <v>27</v>
      </c>
      <c r="AV13" t="s">
        <v>3013</v>
      </c>
      <c r="AW13" t="s">
        <v>3014</v>
      </c>
      <c r="AX13" t="s">
        <v>1331</v>
      </c>
      <c r="AY13" t="s">
        <v>1289</v>
      </c>
      <c r="AZ13" t="s">
        <v>856</v>
      </c>
      <c r="BA13" t="s">
        <v>857</v>
      </c>
      <c r="BB13" t="s">
        <v>389</v>
      </c>
      <c r="BC13" t="s">
        <v>393</v>
      </c>
      <c r="BD13" t="s">
        <v>266</v>
      </c>
      <c r="BE13" t="s">
        <v>499</v>
      </c>
      <c r="BF13" t="s">
        <v>181</v>
      </c>
      <c r="BG13" t="s">
        <v>123</v>
      </c>
      <c r="BH13" t="s">
        <v>1835</v>
      </c>
      <c r="BI13" t="s">
        <v>566</v>
      </c>
      <c r="BJ13" t="s">
        <v>1331</v>
      </c>
      <c r="BK13" t="s">
        <v>214</v>
      </c>
      <c r="BL13" t="s">
        <v>33</v>
      </c>
      <c r="BM13" t="s">
        <v>393</v>
      </c>
      <c r="BN13">
        <v>12.1</v>
      </c>
      <c r="BO13">
        <v>10.11</v>
      </c>
      <c r="BP13">
        <v>12.98</v>
      </c>
      <c r="BQ13">
        <v>13.51</v>
      </c>
      <c r="BR13">
        <v>11.01</v>
      </c>
      <c r="BS13">
        <v>15.07</v>
      </c>
      <c r="BT13" t="s">
        <v>2102</v>
      </c>
      <c r="BU13" t="s">
        <v>1445</v>
      </c>
      <c r="BV13">
        <v>52.23</v>
      </c>
      <c r="BW13">
        <v>49.3</v>
      </c>
      <c r="BX13">
        <v>48.43</v>
      </c>
      <c r="BY13">
        <v>28.08</v>
      </c>
      <c r="BZ13">
        <v>21.26</v>
      </c>
      <c r="CA13">
        <v>27.47</v>
      </c>
      <c r="CB13">
        <v>-13.13</v>
      </c>
      <c r="CC13">
        <v>-5.34</v>
      </c>
      <c r="CD13" t="s">
        <v>3015</v>
      </c>
      <c r="CE13" t="s">
        <v>320</v>
      </c>
      <c r="CF13" s="10">
        <v>9.4660194174757281E-2</v>
      </c>
      <c r="CG13" s="11">
        <v>7.557267796610169E-2</v>
      </c>
      <c r="CH13" s="10">
        <v>0.14544388651847839</v>
      </c>
      <c r="CI13" s="10">
        <v>0.11749347299337387</v>
      </c>
      <c r="CJ13" s="10">
        <v>0.11988303810358047</v>
      </c>
      <c r="CK13" s="10">
        <v>0.13715705275535583</v>
      </c>
      <c r="CL13" s="10">
        <v>3.7963759154081345E-2</v>
      </c>
      <c r="CM13" s="11">
        <v>0.50974929332733154</v>
      </c>
      <c r="CN13" s="11">
        <v>-0.13908873498439789</v>
      </c>
      <c r="CO13" s="11">
        <v>0.45296168327331543</v>
      </c>
      <c r="CP13" s="11">
        <v>0.90066224336624146</v>
      </c>
      <c r="CQ13" s="11">
        <v>-7.9268291592597961E-2</v>
      </c>
      <c r="CR13">
        <v>54.109609374999998</v>
      </c>
      <c r="CS13">
        <v>4.8490421975711842</v>
      </c>
      <c r="CT13">
        <v>2.8467908902691512</v>
      </c>
      <c r="CU13" s="10">
        <v>0.11158824190497399</v>
      </c>
      <c r="CV13" s="11">
        <v>0.32900323867797854</v>
      </c>
      <c r="CW13">
        <v>0.06</v>
      </c>
      <c r="CX13">
        <v>26.352306638689889</v>
      </c>
      <c r="CY13">
        <v>568378138.78537345</v>
      </c>
      <c r="CZ13">
        <v>0.11158824190497399</v>
      </c>
      <c r="DA13">
        <v>8.4560724503120408</v>
      </c>
      <c r="DB13">
        <v>1771280353.6170375</v>
      </c>
      <c r="DC13">
        <v>0.10600882980972529</v>
      </c>
      <c r="DD13">
        <v>4.0616337729639724</v>
      </c>
      <c r="DE13">
        <v>3687697078.8702517</v>
      </c>
      <c r="DF13">
        <v>9.8197652876377106E-2</v>
      </c>
      <c r="DG13">
        <v>2.3717219760246659</v>
      </c>
      <c r="DH13">
        <v>6315274366.6461811</v>
      </c>
      <c r="DI13">
        <v>8.9270593523979203E-2</v>
      </c>
      <c r="DJ13">
        <v>1.151060249984315</v>
      </c>
      <c r="DK13">
        <v>13012416161.711864</v>
      </c>
      <c r="DL13">
        <v>7.8111769333481781E-2</v>
      </c>
      <c r="DM13">
        <v>542000000</v>
      </c>
      <c r="DN13">
        <v>0.11158824190497399</v>
      </c>
      <c r="DO13">
        <v>14978075000</v>
      </c>
      <c r="DP13">
        <v>2364149100</v>
      </c>
      <c r="DQ13">
        <v>777</v>
      </c>
      <c r="DR13">
        <v>-1.6928047730216708E-2</v>
      </c>
      <c r="DS13">
        <v>-0.25343056071187686</v>
      </c>
      <c r="DT13" s="12">
        <v>-0.44</v>
      </c>
      <c r="DU13">
        <v>0.53333333333333333</v>
      </c>
      <c r="DV13">
        <v>9.3333333333333324E-2</v>
      </c>
      <c r="DW13">
        <v>-5.4067022086824066</v>
      </c>
      <c r="DX13">
        <v>0.50230536277602611</v>
      </c>
      <c r="DY13">
        <v>-5.0985461262166014</v>
      </c>
      <c r="DZ13">
        <v>1493</v>
      </c>
      <c r="EA13">
        <v>-5.069753686599892</v>
      </c>
      <c r="EB13">
        <v>5</v>
      </c>
      <c r="EC13">
        <v>8.5704776308344652E-2</v>
      </c>
      <c r="ED13">
        <v>0.35370565193625447</v>
      </c>
      <c r="EE13" s="13">
        <v>4.0378999999999996</v>
      </c>
      <c r="EF13">
        <v>4.0086000000000004</v>
      </c>
      <c r="EG13">
        <v>26.242305362776026</v>
      </c>
      <c r="EH13" t="s">
        <v>1820</v>
      </c>
      <c r="EI13">
        <v>0</v>
      </c>
      <c r="EJ13">
        <v>1</v>
      </c>
      <c r="EK13" s="14">
        <v>45470</v>
      </c>
      <c r="EL13">
        <v>1.39</v>
      </c>
      <c r="EM13">
        <v>2.41</v>
      </c>
      <c r="EN13">
        <v>0.55000000000000004</v>
      </c>
      <c r="EO13">
        <v>0.41</v>
      </c>
      <c r="EP13">
        <v>-2.93</v>
      </c>
    </row>
    <row r="14" spans="1:146" ht="96" x14ac:dyDescent="0.25">
      <c r="A14" s="8"/>
      <c r="B14" s="8"/>
      <c r="C14" s="8" t="str">
        <f>""&amp;CHAR(10)&amp;Basic_Fundamental_Information_Constructure(F14)&amp;CHAR(10)&amp;Basic_Fundamental_Information_Concatenate("")</f>
        <v xml:space="preserve">
市值71.345199亿, 利润5.55亿; PE13.46; 平均PE23.86; 平均PEG1.92, PB1.3; ROIC7.2233%; ROE8.0533%; 股利率.7983%; 毛利13.5767%; 净利2.89%; 上一年度营收增3.04%, 利润增34.71%; 当季营收增23.61%, 利润增-27.49%; 过往5年营收增12.42%, 利润增41.3%
Income profile:
</v>
      </c>
      <c r="D14" t="s">
        <v>1033</v>
      </c>
      <c r="E14" t="s">
        <v>1034</v>
      </c>
      <c r="F14">
        <v>6.89</v>
      </c>
      <c r="G14">
        <v>0.44</v>
      </c>
      <c r="H14" t="s">
        <v>3016</v>
      </c>
      <c r="I14">
        <v>7134519900</v>
      </c>
      <c r="J14">
        <v>13.46</v>
      </c>
      <c r="K14">
        <v>1.3</v>
      </c>
      <c r="L14" t="s">
        <v>2891</v>
      </c>
      <c r="M14" t="s">
        <v>2103</v>
      </c>
      <c r="N14" t="s">
        <v>3017</v>
      </c>
      <c r="O14" t="s">
        <v>2104</v>
      </c>
      <c r="P14">
        <v>23.61</v>
      </c>
      <c r="Q14" t="s">
        <v>2105</v>
      </c>
      <c r="R14">
        <v>66500621</v>
      </c>
      <c r="S14" s="6">
        <v>-0.27489999999999998</v>
      </c>
      <c r="T14" t="s">
        <v>620</v>
      </c>
      <c r="U14">
        <v>1025630100</v>
      </c>
      <c r="V14">
        <v>1035489100</v>
      </c>
      <c r="W14">
        <v>2.42</v>
      </c>
      <c r="X14">
        <v>0.28000000000000003</v>
      </c>
      <c r="Y14">
        <v>1.76</v>
      </c>
      <c r="Z14" t="s">
        <v>3018</v>
      </c>
      <c r="AA14" t="s">
        <v>3019</v>
      </c>
      <c r="AB14" t="s">
        <v>473</v>
      </c>
      <c r="AC14" t="s">
        <v>3020</v>
      </c>
      <c r="AD14" t="s">
        <v>2</v>
      </c>
      <c r="AE14">
        <v>21908781</v>
      </c>
      <c r="AF14" t="s">
        <v>2106</v>
      </c>
      <c r="AG14" t="s">
        <v>3021</v>
      </c>
      <c r="AH14" t="s">
        <v>2107</v>
      </c>
      <c r="AI14" t="s">
        <v>3022</v>
      </c>
      <c r="AJ14" t="s">
        <v>2108</v>
      </c>
      <c r="AK14" t="s">
        <v>1889</v>
      </c>
      <c r="AL14" t="s">
        <v>2109</v>
      </c>
      <c r="AM14" t="s">
        <v>2</v>
      </c>
      <c r="AN14" t="s">
        <v>286</v>
      </c>
      <c r="AO14" t="s">
        <v>107</v>
      </c>
      <c r="AP14" t="s">
        <v>3023</v>
      </c>
      <c r="AQ14" t="s">
        <v>411</v>
      </c>
      <c r="AR14" t="s">
        <v>2</v>
      </c>
      <c r="AS14" t="s">
        <v>3024</v>
      </c>
      <c r="AT14" t="s">
        <v>652</v>
      </c>
      <c r="AU14" t="s">
        <v>1217</v>
      </c>
      <c r="AV14" t="s">
        <v>383</v>
      </c>
      <c r="AW14" t="s">
        <v>3025</v>
      </c>
      <c r="AX14" t="s">
        <v>1588</v>
      </c>
      <c r="AY14" t="s">
        <v>1240</v>
      </c>
      <c r="AZ14" t="s">
        <v>1035</v>
      </c>
      <c r="BA14" t="s">
        <v>1036</v>
      </c>
      <c r="BB14" t="s">
        <v>1037</v>
      </c>
      <c r="BC14" t="s">
        <v>566</v>
      </c>
      <c r="BD14" t="s">
        <v>129</v>
      </c>
      <c r="BE14" t="s">
        <v>225</v>
      </c>
      <c r="BF14" t="s">
        <v>368</v>
      </c>
      <c r="BG14" t="s">
        <v>68</v>
      </c>
      <c r="BH14" t="s">
        <v>2105</v>
      </c>
      <c r="BI14" t="s">
        <v>1840</v>
      </c>
      <c r="BJ14" t="s">
        <v>1588</v>
      </c>
      <c r="BK14" t="s">
        <v>620</v>
      </c>
      <c r="BL14" t="s">
        <v>2110</v>
      </c>
      <c r="BM14" t="s">
        <v>566</v>
      </c>
      <c r="BN14">
        <v>7.76</v>
      </c>
      <c r="BO14">
        <v>7.92</v>
      </c>
      <c r="BP14">
        <v>5.99</v>
      </c>
      <c r="BQ14">
        <v>9.3699999999999992</v>
      </c>
      <c r="BR14">
        <v>8.77</v>
      </c>
      <c r="BS14">
        <v>6.02</v>
      </c>
      <c r="BT14" t="s">
        <v>1540</v>
      </c>
      <c r="BU14" t="s">
        <v>1274</v>
      </c>
      <c r="BV14">
        <v>14.27</v>
      </c>
      <c r="BW14">
        <v>13.53</v>
      </c>
      <c r="BX14">
        <v>12.93</v>
      </c>
      <c r="BY14">
        <v>3.71</v>
      </c>
      <c r="BZ14">
        <v>2.82</v>
      </c>
      <c r="CA14">
        <v>2.14</v>
      </c>
      <c r="CB14">
        <v>-3.91</v>
      </c>
      <c r="CC14">
        <v>-15.56</v>
      </c>
      <c r="CD14" t="s">
        <v>3026</v>
      </c>
      <c r="CE14" t="s">
        <v>217</v>
      </c>
      <c r="CF14" s="10">
        <v>0.23609756097560974</v>
      </c>
      <c r="CG14" s="11">
        <v>-0.27492020380548854</v>
      </c>
      <c r="CH14" s="10">
        <v>3.0391830950975418E-2</v>
      </c>
      <c r="CI14" s="10">
        <v>0.14944785833358765</v>
      </c>
      <c r="CJ14" s="10">
        <v>0.3695557713508606</v>
      </c>
      <c r="CK14" s="10">
        <v>-4.3406881392002106E-2</v>
      </c>
      <c r="CL14" s="10">
        <v>0.11498863995075226</v>
      </c>
      <c r="CM14" s="11">
        <v>0.34708738327026367</v>
      </c>
      <c r="CN14" s="11">
        <v>0.52029520273208618</v>
      </c>
      <c r="CO14" s="11">
        <v>0.21524663269519806</v>
      </c>
      <c r="CP14" s="11">
        <v>9.0497741475701332E-3</v>
      </c>
      <c r="CQ14" s="11">
        <v>0.97321426868438721</v>
      </c>
      <c r="CR14">
        <v>23.861270568561874</v>
      </c>
      <c r="CS14">
        <v>1.9212677881747444</v>
      </c>
      <c r="CT14">
        <v>0.79825834542815688</v>
      </c>
      <c r="CU14" s="10">
        <v>0.12419544383883477</v>
      </c>
      <c r="CV14" s="11">
        <v>0.41297865230590103</v>
      </c>
      <c r="CW14">
        <v>0.06</v>
      </c>
      <c r="CX14">
        <v>16.930548258958279</v>
      </c>
      <c r="CY14">
        <v>588611765.40618241</v>
      </c>
      <c r="CZ14">
        <v>0.12419544383883477</v>
      </c>
      <c r="DA14">
        <v>5.3754451749521053</v>
      </c>
      <c r="DB14">
        <v>1853896668.2120039</v>
      </c>
      <c r="DC14">
        <v>0.11798567164689303</v>
      </c>
      <c r="DD14">
        <v>2.5448256709242831</v>
      </c>
      <c r="DE14">
        <v>3915993151.8533111</v>
      </c>
      <c r="DF14">
        <v>0.1092919905781746</v>
      </c>
      <c r="DG14">
        <v>1.4613332570238153</v>
      </c>
      <c r="DH14">
        <v>6819471090.5957241</v>
      </c>
      <c r="DI14">
        <v>9.9356355071067826E-2</v>
      </c>
      <c r="DJ14">
        <v>0.68266271523023658</v>
      </c>
      <c r="DK14">
        <v>14598014037.779995</v>
      </c>
      <c r="DL14">
        <v>8.6936810687184327E-2</v>
      </c>
      <c r="DM14">
        <v>555000000</v>
      </c>
      <c r="DN14">
        <v>0.12419544383883477</v>
      </c>
      <c r="DO14">
        <v>9965519900</v>
      </c>
      <c r="DP14">
        <v>3554101600</v>
      </c>
      <c r="DQ14">
        <v>783</v>
      </c>
      <c r="DR14">
        <v>0.11190211713677498</v>
      </c>
      <c r="DS14">
        <v>-0.68789885611138957</v>
      </c>
      <c r="DT14" s="12">
        <v>-0.3066666666666667</v>
      </c>
      <c r="DU14">
        <v>0.43</v>
      </c>
      <c r="DV14">
        <v>0.12333333333333329</v>
      </c>
      <c r="DW14">
        <v>-8.2512853470437015</v>
      </c>
      <c r="DX14">
        <v>0.36316151832460575</v>
      </c>
      <c r="DY14">
        <v>-8.0334615383450654</v>
      </c>
      <c r="DZ14">
        <v>1438</v>
      </c>
      <c r="EA14">
        <v>-8.0240451602354366</v>
      </c>
      <c r="EB14">
        <v>8</v>
      </c>
      <c r="EC14">
        <v>4.9124322023283498E-2</v>
      </c>
      <c r="ED14">
        <v>0.36890779439397287</v>
      </c>
      <c r="EE14" s="13">
        <v>-3.0921099999999999</v>
      </c>
      <c r="EF14">
        <v>-3.1278100000000002</v>
      </c>
      <c r="EG14">
        <v>23.133161518324606</v>
      </c>
      <c r="EH14" t="s">
        <v>1832</v>
      </c>
      <c r="EI14">
        <v>0</v>
      </c>
      <c r="EJ14">
        <v>1</v>
      </c>
      <c r="EK14" s="14">
        <v>45470</v>
      </c>
      <c r="EL14">
        <v>-0.81</v>
      </c>
      <c r="EM14">
        <v>-3.25</v>
      </c>
      <c r="EN14">
        <v>-0.7</v>
      </c>
      <c r="EO14">
        <v>2.68</v>
      </c>
      <c r="EP14">
        <v>-3.57</v>
      </c>
    </row>
    <row r="15" spans="1:146" ht="96" x14ac:dyDescent="0.25">
      <c r="C15" s="8" t="str">
        <f>""&amp;CHAR(10)&amp;Basic_Fundamental_Information_Constructure(F15)&amp;CHAR(10)&amp;Basic_Fundamental_Information_Concatenate("")</f>
        <v xml:space="preserve">
市值32.860924亿, 利润-5.90亿; PE; 平均PE-40.74; 平均PEG-27.46, PB.905; ROIC4.01%; ROE-5.72%; 股利率0%; 毛利30.7567%; 净利-18.84%; 上一年度营收增-7.33%, 利润增31.4%; 当季营收增0%, 利润增221.3%; 过往5年营收增-1.48%, 利润增-89.86%
Income profile:
</v>
      </c>
      <c r="D15" t="s">
        <v>1986</v>
      </c>
      <c r="E15" t="s">
        <v>1987</v>
      </c>
      <c r="F15">
        <v>4.4400000000000004</v>
      </c>
      <c r="G15">
        <v>1.6</v>
      </c>
      <c r="H15" t="s">
        <v>3027</v>
      </c>
      <c r="I15">
        <v>3286092400</v>
      </c>
      <c r="K15">
        <v>0.90500000000000003</v>
      </c>
      <c r="L15" t="s">
        <v>2891</v>
      </c>
      <c r="M15" t="s">
        <v>2111</v>
      </c>
      <c r="N15" t="s">
        <v>3028</v>
      </c>
      <c r="O15" t="s">
        <v>224</v>
      </c>
      <c r="P15" s="6">
        <v>-0.13</v>
      </c>
      <c r="Q15" t="s">
        <v>2112</v>
      </c>
      <c r="R15">
        <v>31984647</v>
      </c>
      <c r="S15">
        <v>2.2130000000000001</v>
      </c>
      <c r="T15" t="s">
        <v>2113</v>
      </c>
      <c r="U15">
        <v>639523880</v>
      </c>
      <c r="V15">
        <v>740110900</v>
      </c>
      <c r="W15">
        <v>1.77</v>
      </c>
      <c r="X15">
        <v>7.0000000000000007E-2</v>
      </c>
      <c r="Y15">
        <v>7.51</v>
      </c>
      <c r="Z15" t="s">
        <v>112</v>
      </c>
      <c r="AA15" t="s">
        <v>575</v>
      </c>
      <c r="AB15" t="s">
        <v>3029</v>
      </c>
      <c r="AC15" t="s">
        <v>3030</v>
      </c>
      <c r="AD15" t="s">
        <v>2</v>
      </c>
      <c r="AE15">
        <v>6506870</v>
      </c>
      <c r="AF15" t="s">
        <v>2114</v>
      </c>
      <c r="AG15">
        <v>5688.49</v>
      </c>
      <c r="AH15" t="s">
        <v>2115</v>
      </c>
      <c r="AI15" t="s">
        <v>352</v>
      </c>
      <c r="AJ15" t="s">
        <v>2116</v>
      </c>
      <c r="AK15" t="s">
        <v>3031</v>
      </c>
      <c r="AL15" t="s">
        <v>2117</v>
      </c>
      <c r="AM15" t="s">
        <v>2</v>
      </c>
      <c r="AN15" t="s">
        <v>3032</v>
      </c>
      <c r="AO15" t="s">
        <v>2956</v>
      </c>
      <c r="AP15" t="s">
        <v>53</v>
      </c>
      <c r="AQ15" t="s">
        <v>1905</v>
      </c>
      <c r="AR15" t="s">
        <v>3033</v>
      </c>
      <c r="AS15" t="s">
        <v>1913</v>
      </c>
      <c r="AT15" t="s">
        <v>85</v>
      </c>
      <c r="AU15" t="s">
        <v>3034</v>
      </c>
      <c r="AV15" t="s">
        <v>3035</v>
      </c>
      <c r="AW15" t="s">
        <v>1403</v>
      </c>
      <c r="AX15" t="s">
        <v>1388</v>
      </c>
      <c r="AY15" t="s">
        <v>1989</v>
      </c>
      <c r="AZ15" t="s">
        <v>1058</v>
      </c>
      <c r="BA15" t="s">
        <v>1990</v>
      </c>
      <c r="BB15" t="s">
        <v>1991</v>
      </c>
      <c r="BC15" t="s">
        <v>1988</v>
      </c>
      <c r="BD15" t="s">
        <v>253</v>
      </c>
      <c r="BE15" t="s">
        <v>1606</v>
      </c>
      <c r="BF15" t="s">
        <v>578</v>
      </c>
      <c r="BG15" t="s">
        <v>220</v>
      </c>
      <c r="BH15" t="s">
        <v>2112</v>
      </c>
      <c r="BI15" t="s">
        <v>224</v>
      </c>
      <c r="BJ15" t="s">
        <v>1388</v>
      </c>
      <c r="BK15" t="s">
        <v>2113</v>
      </c>
      <c r="BL15" t="s">
        <v>2118</v>
      </c>
      <c r="BM15" t="s">
        <v>1988</v>
      </c>
      <c r="BN15" t="s">
        <v>2</v>
      </c>
      <c r="BO15" t="s">
        <v>2</v>
      </c>
      <c r="BP15">
        <v>4.01</v>
      </c>
      <c r="BQ15">
        <v>-2.76</v>
      </c>
      <c r="BR15">
        <v>-18.68</v>
      </c>
      <c r="BS15">
        <v>4.28</v>
      </c>
      <c r="BT15" t="s">
        <v>1521</v>
      </c>
      <c r="BU15" t="s">
        <v>1445</v>
      </c>
      <c r="BV15">
        <v>28.87</v>
      </c>
      <c r="BW15">
        <v>25.43</v>
      </c>
      <c r="BX15">
        <v>37.97</v>
      </c>
      <c r="BY15">
        <v>-27.54</v>
      </c>
      <c r="BZ15">
        <v>-36.6</v>
      </c>
      <c r="CA15">
        <v>7.62</v>
      </c>
      <c r="CB15">
        <v>0.45</v>
      </c>
      <c r="CC15" s="10">
        <v>-11.02</v>
      </c>
      <c r="CD15" s="11" t="s">
        <v>3036</v>
      </c>
      <c r="CE15" s="10" t="s">
        <v>1472</v>
      </c>
      <c r="CF15" s="10">
        <v>0</v>
      </c>
      <c r="CG15" s="10">
        <v>2.2130375767045671</v>
      </c>
      <c r="CH15" s="10">
        <v>-7.3291897773742676E-2</v>
      </c>
      <c r="CI15" s="10">
        <v>-0.12847347557544708</v>
      </c>
      <c r="CJ15" s="11">
        <v>1.8076412379741669E-3</v>
      </c>
      <c r="CK15" s="11">
        <v>3.628493519499898E-3</v>
      </c>
      <c r="CL15" s="11">
        <v>0.12214983999729156</v>
      </c>
      <c r="CM15" s="11">
        <v>0.31395348906517029</v>
      </c>
      <c r="CN15" s="11">
        <v>-5.1747574806213379</v>
      </c>
      <c r="CO15">
        <v>-0.31333333253860474</v>
      </c>
      <c r="CP15">
        <v>5.2631579339504242E-2</v>
      </c>
      <c r="CQ15">
        <v>0.62857145071029663</v>
      </c>
      <c r="CR15" s="10">
        <v>-40.736682644628097</v>
      </c>
      <c r="CS15" s="11">
        <v>-27.458218465315358</v>
      </c>
      <c r="CT15">
        <v>0</v>
      </c>
      <c r="CU15">
        <v>-1.4835879718884826E-2</v>
      </c>
      <c r="CV15">
        <v>-0.89858685880899425</v>
      </c>
      <c r="CW15">
        <v>0.06</v>
      </c>
      <c r="CX15" t="e">
        <v>#VALUE!</v>
      </c>
      <c r="CY15" t="s">
        <v>1238</v>
      </c>
      <c r="CZ15">
        <v>-1.4835879718884826E-2</v>
      </c>
      <c r="DA15" t="e">
        <v>#VALUE!</v>
      </c>
      <c r="DB15" t="s">
        <v>1238</v>
      </c>
      <c r="DC15">
        <v>-1.4094085732940584E-2</v>
      </c>
      <c r="DD15" t="e">
        <v>#VALUE!</v>
      </c>
      <c r="DE15" t="s">
        <v>1238</v>
      </c>
      <c r="DF15">
        <v>-1.3055574152618647E-2</v>
      </c>
      <c r="DG15" t="e">
        <v>#VALUE!</v>
      </c>
      <c r="DH15" t="s">
        <v>1238</v>
      </c>
      <c r="DI15">
        <v>-1.1868703775107861E-2</v>
      </c>
      <c r="DJ15" t="e">
        <v>#VALUE!</v>
      </c>
      <c r="DK15" t="s">
        <v>1238</v>
      </c>
      <c r="DL15">
        <v>-1.0385115803219378E-2</v>
      </c>
      <c r="DM15">
        <v>-590000000</v>
      </c>
      <c r="DN15">
        <v>-1.4835879718884826E-2</v>
      </c>
      <c r="DO15">
        <v>2591092400</v>
      </c>
      <c r="DP15">
        <v>1675672000</v>
      </c>
      <c r="DQ15" s="12">
        <v>805</v>
      </c>
      <c r="DR15">
        <v>1.4835879718884826E-2</v>
      </c>
      <c r="DS15">
        <v>3.1116244355135612</v>
      </c>
      <c r="DT15">
        <v>-0.44</v>
      </c>
      <c r="DU15">
        <v>-0.46</v>
      </c>
      <c r="DV15">
        <v>-0.9</v>
      </c>
      <c r="DW15">
        <v>-2.1101999999999999</v>
      </c>
      <c r="DX15">
        <v>0.30657977889447263</v>
      </c>
      <c r="DY15">
        <v>-2.0106430916341709</v>
      </c>
      <c r="DZ15">
        <v>3460</v>
      </c>
      <c r="EA15">
        <v>-2.0034366147155347</v>
      </c>
      <c r="EB15" s="13">
        <v>2</v>
      </c>
      <c r="EC15" s="13">
        <v>0.10387294660840693</v>
      </c>
      <c r="ED15">
        <v>1.0755144938413959</v>
      </c>
      <c r="EE15">
        <v>-1.03721</v>
      </c>
      <c r="EF15">
        <v>-1.05071</v>
      </c>
      <c r="EG15">
        <v>21.096579778894473</v>
      </c>
      <c r="EH15" s="14" t="s">
        <v>1550</v>
      </c>
      <c r="EI15">
        <v>0</v>
      </c>
      <c r="EJ15">
        <v>0</v>
      </c>
      <c r="EK15">
        <v>45470</v>
      </c>
      <c r="EL15">
        <v>-1.56</v>
      </c>
      <c r="EM15">
        <v>-4.75</v>
      </c>
      <c r="EN15">
        <v>0</v>
      </c>
      <c r="EO15">
        <v>5.23</v>
      </c>
      <c r="EP15">
        <v>-1.35</v>
      </c>
    </row>
    <row r="16" spans="1:146" ht="144" x14ac:dyDescent="0.25">
      <c r="A16" s="8"/>
      <c r="B16" s="8"/>
      <c r="C16" s="8" t="str">
        <f>"公司是一家综合性电线电缆生产企业，主要产品电力电缆、特种电缆、建筑用线、装备用线、数据电缆、架空线。"&amp;CHAR(10)&amp;Basic_Fundamental_Information_Constructure(F16)&amp;CHAR(10)&amp;Basic_Fundamental_Information_Concatenate("铜加工 32.59亿 51.96% 6.74% 0.52%
特种电缆 18.48亿 29.47% 48.16% 6.55%
电力电缆 5.16亿 8.23% 11.51% 5.61%
建筑用线 4.08亿 6.51% 32.01% 19.73%")</f>
        <v>公司是一家综合性电线电缆生产企业，主要产品电力电缆、特种电缆、建筑用线、装备用线、数据电缆、架空线。
市值36.622319亿, 利润1.77亿; PE21.52; 平均PE21.01; 平均PEG.94, PB1.9; ROIC6.36%; ROE10.15%; 股利率3.1558%; 毛利4.58%; 净利1.5667%; 上一年度营收增3.37%, 利润增-16.9%; 当季营收增26.32%, 利润增-18.59%; 过往5年营收增22.39%, 利润增14.07%
Income profile:
铜加工 32.59亿 51.96% 6.74% 0.52%
特种电缆 18.48亿 29.47% 48.16% 6.55%
电力电缆 5.16亿 8.23% 11.51% 5.61%
建筑用线 4.08亿 6.51% 32.01% 19.73%</v>
      </c>
      <c r="D16" t="s">
        <v>1038</v>
      </c>
      <c r="E16" t="s">
        <v>1039</v>
      </c>
      <c r="F16">
        <v>5.07</v>
      </c>
      <c r="G16">
        <v>1.4</v>
      </c>
      <c r="H16" t="s">
        <v>3037</v>
      </c>
      <c r="I16">
        <v>3662231900</v>
      </c>
      <c r="J16">
        <v>21.52</v>
      </c>
      <c r="K16">
        <v>1.9</v>
      </c>
      <c r="L16" t="s">
        <v>2891</v>
      </c>
      <c r="M16" t="s">
        <v>1916</v>
      </c>
      <c r="N16" t="s">
        <v>3038</v>
      </c>
      <c r="O16" t="s">
        <v>2090</v>
      </c>
      <c r="P16">
        <v>26.3</v>
      </c>
      <c r="Q16" t="s">
        <v>2119</v>
      </c>
      <c r="R16">
        <v>27980049</v>
      </c>
      <c r="S16" s="6">
        <v>-0.18590000000000001</v>
      </c>
      <c r="T16" t="s">
        <v>121</v>
      </c>
      <c r="U16">
        <v>722274080</v>
      </c>
      <c r="V16">
        <v>722333700</v>
      </c>
      <c r="W16">
        <v>2.72</v>
      </c>
      <c r="X16">
        <v>0.44</v>
      </c>
      <c r="Y16">
        <v>0.91</v>
      </c>
      <c r="Z16" t="s">
        <v>3039</v>
      </c>
      <c r="AA16" t="s">
        <v>3040</v>
      </c>
      <c r="AB16" t="s">
        <v>3041</v>
      </c>
      <c r="AC16" t="s">
        <v>3042</v>
      </c>
      <c r="AD16" t="s">
        <v>2</v>
      </c>
      <c r="AE16">
        <v>10483989</v>
      </c>
      <c r="AF16" t="s">
        <v>2120</v>
      </c>
      <c r="AG16">
        <v>5274.64</v>
      </c>
      <c r="AH16" t="s">
        <v>2121</v>
      </c>
      <c r="AI16" t="s">
        <v>318</v>
      </c>
      <c r="AJ16" t="s">
        <v>2122</v>
      </c>
      <c r="AK16" t="s">
        <v>548</v>
      </c>
      <c r="AL16" t="s">
        <v>2123</v>
      </c>
      <c r="AM16" t="s">
        <v>2</v>
      </c>
      <c r="AN16" t="s">
        <v>283</v>
      </c>
      <c r="AO16" t="s">
        <v>1909</v>
      </c>
      <c r="AP16" t="s">
        <v>506</v>
      </c>
      <c r="AQ16" t="s">
        <v>373</v>
      </c>
      <c r="AR16" t="s">
        <v>2</v>
      </c>
      <c r="AS16" t="s">
        <v>3043</v>
      </c>
      <c r="AT16" t="s">
        <v>505</v>
      </c>
      <c r="AU16" t="s">
        <v>3044</v>
      </c>
      <c r="AV16" t="s">
        <v>3045</v>
      </c>
      <c r="AW16" t="s">
        <v>250</v>
      </c>
      <c r="AX16" t="s">
        <v>1517</v>
      </c>
      <c r="AY16" t="s">
        <v>1290</v>
      </c>
      <c r="AZ16" t="s">
        <v>1040</v>
      </c>
      <c r="BA16" t="s">
        <v>1041</v>
      </c>
      <c r="BB16" t="s">
        <v>893</v>
      </c>
      <c r="BC16" t="s">
        <v>314</v>
      </c>
      <c r="BD16" t="s">
        <v>86</v>
      </c>
      <c r="BE16" t="s">
        <v>435</v>
      </c>
      <c r="BF16" t="s">
        <v>37</v>
      </c>
      <c r="BG16" t="s">
        <v>358</v>
      </c>
      <c r="BH16" t="s">
        <v>2119</v>
      </c>
      <c r="BI16" t="s">
        <v>1198</v>
      </c>
      <c r="BJ16" t="s">
        <v>1517</v>
      </c>
      <c r="BK16" t="s">
        <v>121</v>
      </c>
      <c r="BL16" t="s">
        <v>2124</v>
      </c>
      <c r="BM16" t="s">
        <v>314</v>
      </c>
      <c r="BN16">
        <v>4.28</v>
      </c>
      <c r="BO16">
        <v>7.47</v>
      </c>
      <c r="BP16">
        <v>7.33</v>
      </c>
      <c r="BQ16">
        <v>8.49</v>
      </c>
      <c r="BR16">
        <v>12.29</v>
      </c>
      <c r="BS16">
        <v>9.67</v>
      </c>
      <c r="BT16" t="s">
        <v>1535</v>
      </c>
      <c r="BU16" t="s">
        <v>1274</v>
      </c>
      <c r="BV16">
        <v>4.5999999999999996</v>
      </c>
      <c r="BW16">
        <v>4.63</v>
      </c>
      <c r="BX16">
        <v>4.51</v>
      </c>
      <c r="BY16">
        <v>1.3</v>
      </c>
      <c r="BZ16">
        <v>1.75</v>
      </c>
      <c r="CA16">
        <v>1.65</v>
      </c>
      <c r="CB16">
        <v>-0.98</v>
      </c>
      <c r="CC16">
        <v>-12.59</v>
      </c>
      <c r="CD16" t="s">
        <v>3046</v>
      </c>
      <c r="CE16" t="s">
        <v>103</v>
      </c>
      <c r="CF16" s="10">
        <v>0.26318161333934204</v>
      </c>
      <c r="CG16" s="11">
        <v>-0.18589283947743607</v>
      </c>
      <c r="CH16" s="10">
        <v>3.3732764422893524E-2</v>
      </c>
      <c r="CI16" s="10">
        <v>0.16730508208274841</v>
      </c>
      <c r="CJ16" s="10">
        <v>0.41354990005493164</v>
      </c>
      <c r="CK16" s="10">
        <v>0.13849464058876038</v>
      </c>
      <c r="CL16" s="10">
        <v>0.36630755662918091</v>
      </c>
      <c r="CM16" s="11">
        <v>-0.16901408135890961</v>
      </c>
      <c r="CN16" s="11">
        <v>0.33962264657020569</v>
      </c>
      <c r="CO16" s="11">
        <v>-0.16315789520740509</v>
      </c>
      <c r="CP16" s="11">
        <v>-2.0618556067347527E-2</v>
      </c>
      <c r="CQ16" s="11">
        <v>0.71681416034698486</v>
      </c>
      <c r="CR16">
        <v>21.00706634799235</v>
      </c>
      <c r="CS16">
        <v>0.93832656192545072</v>
      </c>
      <c r="CT16">
        <v>3.1558185404339252</v>
      </c>
      <c r="CU16" s="10">
        <v>0.22387798875570297</v>
      </c>
      <c r="CV16" s="11">
        <v>0.14072925485670568</v>
      </c>
      <c r="CW16">
        <v>0.06</v>
      </c>
      <c r="CX16">
        <v>25.7247764392975</v>
      </c>
      <c r="CY16">
        <v>204364532.08467868</v>
      </c>
      <c r="CZ16">
        <v>0.22387798875570297</v>
      </c>
      <c r="DA16">
        <v>7.5190241355138099</v>
      </c>
      <c r="DB16">
        <v>699190720.13202798</v>
      </c>
      <c r="DC16">
        <v>0.21268408931791782</v>
      </c>
      <c r="DD16">
        <v>3.1662193907907046</v>
      </c>
      <c r="DE16">
        <v>1660413019.7961752</v>
      </c>
      <c r="DF16">
        <v>0.19701263010501863</v>
      </c>
      <c r="DG16">
        <v>1.5787372815612508</v>
      </c>
      <c r="DH16">
        <v>3330023279.6181254</v>
      </c>
      <c r="DI16">
        <v>0.17910239100456238</v>
      </c>
      <c r="DJ16">
        <v>0.52466588314871765</v>
      </c>
      <c r="DK16">
        <v>10020152003.117434</v>
      </c>
      <c r="DL16">
        <v>0.15671459212899208</v>
      </c>
      <c r="DM16">
        <v>177000000</v>
      </c>
      <c r="DN16">
        <v>0.22387798875570297</v>
      </c>
      <c r="DO16">
        <v>5257231900</v>
      </c>
      <c r="DP16">
        <v>926081200</v>
      </c>
      <c r="DQ16">
        <v>807</v>
      </c>
      <c r="DR16">
        <v>3.9303624583639063E-2</v>
      </c>
      <c r="DS16">
        <v>-0.32662209433414174</v>
      </c>
      <c r="DT16" s="12">
        <v>-5.6666666666666719E-2</v>
      </c>
      <c r="DU16">
        <v>-0.17000000000000004</v>
      </c>
      <c r="DV16">
        <v>-0.22666666666666677</v>
      </c>
      <c r="DW16">
        <v>-2.1259000000000001</v>
      </c>
      <c r="DX16">
        <v>0.30848648648648763</v>
      </c>
      <c r="DY16">
        <v>-2.0136584486486488</v>
      </c>
      <c r="DZ16">
        <v>2274</v>
      </c>
      <c r="EA16">
        <v>-2.0075803053556887</v>
      </c>
      <c r="EB16">
        <v>2</v>
      </c>
      <c r="EC16">
        <v>2.7784942056559177E-2</v>
      </c>
      <c r="ED16">
        <v>0.25611431392443684</v>
      </c>
      <c r="EE16" s="13">
        <v>-3.0897999999999999</v>
      </c>
      <c r="EF16">
        <v>-3.069</v>
      </c>
      <c r="EG16">
        <v>20.108486486486488</v>
      </c>
      <c r="EH16" t="s">
        <v>1821</v>
      </c>
      <c r="EI16">
        <v>0</v>
      </c>
      <c r="EJ16">
        <v>0</v>
      </c>
      <c r="EK16" s="14">
        <v>45470</v>
      </c>
      <c r="EL16">
        <v>-0.95</v>
      </c>
      <c r="EM16">
        <v>-2.87</v>
      </c>
      <c r="EN16">
        <v>0</v>
      </c>
      <c r="EO16">
        <v>3.94</v>
      </c>
      <c r="EP16">
        <v>-2.08</v>
      </c>
    </row>
    <row r="17" spans="1:146" ht="96" x14ac:dyDescent="0.25">
      <c r="A17" s="8"/>
      <c r="B17" s="8"/>
      <c r="C17" s="8" t="str">
        <f>""&amp;CHAR(10)&amp;Basic_Fundamental_Information_Constructure(F17)&amp;CHAR(10)&amp;Basic_Fundamental_Information_Concatenate("")</f>
        <v xml:space="preserve">
市值13.5127亿, 利润-14.97亿; PE; 平均PE-.87; 平均PEG-.04, PB; ROIC0%; ROE-60.59%; 股利率0%; 毛利9.6667%; 净利-27.8033%; 上一年度营收增-50.39%, 利润增-214.5%; 当季营收增-32.15%, 利润增-63.92%; 过往5年营收增-20.04%, 利润增-431.71%
Income profile:
</v>
      </c>
      <c r="D17" t="s">
        <v>1180</v>
      </c>
      <c r="E17" t="s">
        <v>1992</v>
      </c>
      <c r="F17">
        <v>1.55</v>
      </c>
      <c r="G17">
        <v>0.65</v>
      </c>
      <c r="H17" t="s">
        <v>3047</v>
      </c>
      <c r="I17">
        <v>1351270000</v>
      </c>
      <c r="L17" t="s">
        <v>2891</v>
      </c>
      <c r="M17" t="s">
        <v>2125</v>
      </c>
      <c r="N17" t="s">
        <v>3048</v>
      </c>
      <c r="O17" t="s">
        <v>2126</v>
      </c>
      <c r="P17">
        <v>-32.14</v>
      </c>
      <c r="Q17" t="s">
        <v>1884</v>
      </c>
      <c r="R17">
        <v>-186871530</v>
      </c>
      <c r="S17" s="6">
        <v>-0.63929999999999998</v>
      </c>
      <c r="T17" t="s">
        <v>2127</v>
      </c>
      <c r="U17">
        <v>867757200</v>
      </c>
      <c r="V17">
        <v>871787070</v>
      </c>
      <c r="W17" t="s">
        <v>2</v>
      </c>
      <c r="X17">
        <v>0.11</v>
      </c>
      <c r="Y17">
        <v>-22.25</v>
      </c>
      <c r="Z17" t="s">
        <v>3049</v>
      </c>
      <c r="AA17" t="s">
        <v>1200</v>
      </c>
      <c r="AB17" t="s">
        <v>3050</v>
      </c>
      <c r="AC17" t="s">
        <v>58</v>
      </c>
      <c r="AD17" t="s">
        <v>2</v>
      </c>
      <c r="AE17">
        <v>87459948</v>
      </c>
      <c r="AF17" t="s">
        <v>2128</v>
      </c>
      <c r="AG17" t="s">
        <v>3051</v>
      </c>
      <c r="AH17" t="s">
        <v>2129</v>
      </c>
      <c r="AI17" t="s">
        <v>1267</v>
      </c>
      <c r="AJ17" t="s">
        <v>2130</v>
      </c>
      <c r="AK17" t="s">
        <v>216</v>
      </c>
      <c r="AL17" t="s">
        <v>2131</v>
      </c>
      <c r="AM17" t="s">
        <v>2</v>
      </c>
      <c r="AN17" t="s">
        <v>1486</v>
      </c>
      <c r="AO17" t="s">
        <v>3052</v>
      </c>
      <c r="AP17" t="s">
        <v>2</v>
      </c>
      <c r="AQ17" t="s">
        <v>1939</v>
      </c>
      <c r="AR17" t="s">
        <v>2132</v>
      </c>
      <c r="AS17" t="s">
        <v>3053</v>
      </c>
      <c r="AT17" t="s">
        <v>83</v>
      </c>
      <c r="AU17" t="s">
        <v>3054</v>
      </c>
      <c r="AV17" t="s">
        <v>3055</v>
      </c>
      <c r="AW17" t="s">
        <v>3056</v>
      </c>
      <c r="AX17" t="s">
        <v>1589</v>
      </c>
      <c r="AY17" t="s">
        <v>1590</v>
      </c>
      <c r="AZ17" t="s">
        <v>1181</v>
      </c>
      <c r="BA17" t="s">
        <v>1591</v>
      </c>
      <c r="BB17" t="s">
        <v>1592</v>
      </c>
      <c r="BC17" t="s">
        <v>2133</v>
      </c>
      <c r="BD17" t="s">
        <v>1593</v>
      </c>
      <c r="BE17" t="s">
        <v>1182</v>
      </c>
      <c r="BF17" t="s">
        <v>61</v>
      </c>
      <c r="BG17" t="s">
        <v>1594</v>
      </c>
      <c r="BH17" t="s">
        <v>1884</v>
      </c>
      <c r="BI17" t="s">
        <v>1842</v>
      </c>
      <c r="BJ17" t="s">
        <v>1589</v>
      </c>
      <c r="BK17" t="s">
        <v>2127</v>
      </c>
      <c r="BL17" t="s">
        <v>1839</v>
      </c>
      <c r="BM17" t="s">
        <v>2133</v>
      </c>
      <c r="BN17" t="s">
        <v>2</v>
      </c>
      <c r="BO17" t="s">
        <v>2</v>
      </c>
      <c r="BP17" t="s">
        <v>2</v>
      </c>
      <c r="BQ17">
        <v>-37.299999999999997</v>
      </c>
      <c r="BR17">
        <v>-39.82</v>
      </c>
      <c r="BS17">
        <v>-104.65</v>
      </c>
      <c r="BT17" t="s">
        <v>1521</v>
      </c>
      <c r="BU17" t="s">
        <v>1274</v>
      </c>
      <c r="BV17">
        <v>13.61</v>
      </c>
      <c r="BW17">
        <v>8.57</v>
      </c>
      <c r="BX17">
        <v>6.82</v>
      </c>
      <c r="BY17">
        <v>-36.99</v>
      </c>
      <c r="BZ17">
        <v>-6</v>
      </c>
      <c r="CA17">
        <v>-40.42</v>
      </c>
      <c r="CB17">
        <v>-1.9</v>
      </c>
      <c r="CC17">
        <v>-8.82</v>
      </c>
      <c r="CD17" t="s">
        <v>3057</v>
      </c>
      <c r="CE17" t="s">
        <v>222</v>
      </c>
      <c r="CF17" s="10">
        <v>-0.32148626817447495</v>
      </c>
      <c r="CG17" s="11">
        <v>-0.63922394736842125</v>
      </c>
      <c r="CH17" s="10">
        <v>-0.50391870737075806</v>
      </c>
      <c r="CI17" s="10">
        <v>-0.21344634890556335</v>
      </c>
      <c r="CJ17" s="10">
        <v>0.14934132993221283</v>
      </c>
      <c r="CK17" s="10">
        <v>-9.9760808050632477E-2</v>
      </c>
      <c r="CL17" s="10">
        <v>-0.33417385816574097</v>
      </c>
      <c r="CM17" s="11">
        <v>-2.1449577808380127</v>
      </c>
      <c r="CN17" s="11">
        <v>0.88634192943572998</v>
      </c>
      <c r="CO17" s="11">
        <v>-0.43424656987190247</v>
      </c>
      <c r="CP17" s="11">
        <v>-21.277778625488281</v>
      </c>
      <c r="CQ17" s="11">
        <v>1.3850266933441162</v>
      </c>
      <c r="CR17">
        <v>-0.87075716893996358</v>
      </c>
      <c r="CS17">
        <v>-4.3452760883351815E-2</v>
      </c>
      <c r="CT17">
        <v>0</v>
      </c>
      <c r="CU17" s="10">
        <v>-0.20039167851209641</v>
      </c>
      <c r="CV17" s="11">
        <v>-4.3171228706836704</v>
      </c>
      <c r="CW17">
        <v>0.06</v>
      </c>
      <c r="CX17" t="e">
        <v>#VALUE!</v>
      </c>
      <c r="CY17" t="s">
        <v>1237</v>
      </c>
      <c r="CZ17">
        <v>-0.20039167851209641</v>
      </c>
      <c r="DA17" t="e">
        <v>#VALUE!</v>
      </c>
      <c r="DB17" t="s">
        <v>1238</v>
      </c>
      <c r="DC17">
        <v>-0.19037209458649157</v>
      </c>
      <c r="DD17" t="e">
        <v>#VALUE!</v>
      </c>
      <c r="DE17" t="s">
        <v>1238</v>
      </c>
      <c r="DF17">
        <v>-0.17634467709064483</v>
      </c>
      <c r="DG17" t="e">
        <v>#VALUE!</v>
      </c>
      <c r="DH17" t="s">
        <v>1238</v>
      </c>
      <c r="DI17">
        <v>-0.16031334280967713</v>
      </c>
      <c r="DJ17" t="e">
        <v>#VALUE!</v>
      </c>
      <c r="DK17" t="s">
        <v>1238</v>
      </c>
      <c r="DL17">
        <v>-0.14027417495846747</v>
      </c>
      <c r="DM17">
        <v>-1497000000</v>
      </c>
      <c r="DN17">
        <v>-0.20039167851209641</v>
      </c>
      <c r="DO17">
        <v>10352270000</v>
      </c>
      <c r="DP17">
        <v>-3094399300</v>
      </c>
      <c r="DQ17">
        <v>816</v>
      </c>
      <c r="DR17">
        <v>-0.12109458966237854</v>
      </c>
      <c r="DS17">
        <v>3.677898923315249</v>
      </c>
      <c r="DT17" s="12">
        <v>-0.85666666666666658</v>
      </c>
      <c r="DU17">
        <v>-2.7650000000000001</v>
      </c>
      <c r="DV17">
        <v>-3.6216666666666666</v>
      </c>
      <c r="DW17">
        <v>-2.0882000000000001</v>
      </c>
      <c r="DX17">
        <v>0.31571306122448906</v>
      </c>
      <c r="DY17">
        <v>-2.0137338919999999</v>
      </c>
      <c r="DZ17">
        <v>5038</v>
      </c>
      <c r="EA17">
        <v>-2.000193510807045</v>
      </c>
      <c r="EB17">
        <v>2</v>
      </c>
      <c r="EC17">
        <v>4.3760341616445403E-2</v>
      </c>
      <c r="ED17">
        <v>0.28103192675248101</v>
      </c>
      <c r="EE17" s="13">
        <v>-3.06311</v>
      </c>
      <c r="EF17">
        <v>-3.0214099999999999</v>
      </c>
      <c r="EG17">
        <v>16.155713061224489</v>
      </c>
      <c r="EH17" t="s">
        <v>1832</v>
      </c>
      <c r="EI17">
        <v>0</v>
      </c>
      <c r="EJ17">
        <v>0</v>
      </c>
      <c r="EK17" s="14">
        <v>45470</v>
      </c>
      <c r="EL17">
        <v>-5.03</v>
      </c>
      <c r="EM17">
        <v>-0.66</v>
      </c>
      <c r="EN17">
        <v>-0.67</v>
      </c>
      <c r="EO17">
        <v>-3.36</v>
      </c>
      <c r="EP17">
        <v>4.17</v>
      </c>
    </row>
    <row r="18" spans="1:146" ht="96" x14ac:dyDescent="0.25">
      <c r="A18" s="8"/>
      <c r="B18" s="8"/>
      <c r="C18" s="8" t="str">
        <f>""&amp;CHAR(10)&amp;Basic_Fundamental_Information_Constructure(F18)&amp;CHAR(10)&amp;Basic_Fundamental_Information_Concatenate("")</f>
        <v xml:space="preserve">
市值28.884487亿, 利润3094.34万; PE130.4; 平均PE122.39; 平均PEG28.76, PB1.69; ROIC1.96%; ROE-2.7133%; 股利率.349%; 毛利28.8167%; 净利.7133%; 上一年度营收增8.55%, 利润增210.94%; 当季营收增18.4%, 利润增-12.14%; 过往5年营收增4.26%, 利润增11.26%
Income profile:
</v>
      </c>
      <c r="D18" t="s">
        <v>706</v>
      </c>
      <c r="E18" t="s">
        <v>707</v>
      </c>
      <c r="F18">
        <v>5.73</v>
      </c>
      <c r="G18">
        <v>-0.87</v>
      </c>
      <c r="H18" t="s">
        <v>3058</v>
      </c>
      <c r="I18">
        <v>2888448700</v>
      </c>
      <c r="J18">
        <v>130.4</v>
      </c>
      <c r="K18">
        <v>1.69</v>
      </c>
      <c r="L18" t="s">
        <v>2891</v>
      </c>
      <c r="M18" t="s">
        <v>1934</v>
      </c>
      <c r="N18" t="s">
        <v>1903</v>
      </c>
      <c r="O18" t="s">
        <v>276</v>
      </c>
      <c r="P18">
        <v>18.510000000000002</v>
      </c>
      <c r="Q18" t="s">
        <v>1908</v>
      </c>
      <c r="R18">
        <v>-81175138</v>
      </c>
      <c r="S18" s="6">
        <v>-0.12139999999999999</v>
      </c>
      <c r="T18" t="s">
        <v>2135</v>
      </c>
      <c r="U18">
        <v>478793600</v>
      </c>
      <c r="V18">
        <v>504092270</v>
      </c>
      <c r="W18">
        <v>1.92</v>
      </c>
      <c r="X18">
        <v>0.06</v>
      </c>
      <c r="Y18">
        <v>-32.81</v>
      </c>
      <c r="Z18" t="s">
        <v>563</v>
      </c>
      <c r="AA18" t="s">
        <v>55</v>
      </c>
      <c r="AB18" t="s">
        <v>3059</v>
      </c>
      <c r="AC18" t="s">
        <v>3060</v>
      </c>
      <c r="AD18" t="s">
        <v>2</v>
      </c>
      <c r="AE18">
        <v>4507095</v>
      </c>
      <c r="AF18" t="s">
        <v>2136</v>
      </c>
      <c r="AG18" t="s">
        <v>3061</v>
      </c>
      <c r="AH18" t="s">
        <v>2137</v>
      </c>
      <c r="AI18" t="s">
        <v>975</v>
      </c>
      <c r="AJ18" t="s">
        <v>2138</v>
      </c>
      <c r="AK18" t="s">
        <v>3062</v>
      </c>
      <c r="AL18" t="s">
        <v>2139</v>
      </c>
      <c r="AM18" t="s">
        <v>2</v>
      </c>
      <c r="AN18" t="s">
        <v>3063</v>
      </c>
      <c r="AO18" t="s">
        <v>203</v>
      </c>
      <c r="AP18" t="s">
        <v>141</v>
      </c>
      <c r="AQ18" t="s">
        <v>1899</v>
      </c>
      <c r="AR18" t="s">
        <v>2</v>
      </c>
      <c r="AS18" t="s">
        <v>3064</v>
      </c>
      <c r="AT18" t="s">
        <v>173</v>
      </c>
      <c r="AU18" t="s">
        <v>672</v>
      </c>
      <c r="AV18" t="s">
        <v>3065</v>
      </c>
      <c r="AW18" t="s">
        <v>3066</v>
      </c>
      <c r="AX18" t="s">
        <v>952</v>
      </c>
      <c r="AY18" t="s">
        <v>1291</v>
      </c>
      <c r="AZ18" t="s">
        <v>709</v>
      </c>
      <c r="BA18" t="s">
        <v>712</v>
      </c>
      <c r="BB18" t="s">
        <v>713</v>
      </c>
      <c r="BC18" t="s">
        <v>1595</v>
      </c>
      <c r="BD18" t="s">
        <v>1292</v>
      </c>
      <c r="BE18" t="s">
        <v>710</v>
      </c>
      <c r="BF18" t="s">
        <v>715</v>
      </c>
      <c r="BG18" t="s">
        <v>716</v>
      </c>
      <c r="BH18" t="s">
        <v>1908</v>
      </c>
      <c r="BI18" t="s">
        <v>199</v>
      </c>
      <c r="BJ18" t="s">
        <v>952</v>
      </c>
      <c r="BK18" t="s">
        <v>2135</v>
      </c>
      <c r="BL18" t="s">
        <v>2140</v>
      </c>
      <c r="BM18" t="s">
        <v>1595</v>
      </c>
      <c r="BN18" t="s">
        <v>2</v>
      </c>
      <c r="BO18">
        <v>1.96</v>
      </c>
      <c r="BP18" t="s">
        <v>2</v>
      </c>
      <c r="BQ18">
        <v>-4.0599999999999996</v>
      </c>
      <c r="BR18">
        <v>-1.58</v>
      </c>
      <c r="BS18">
        <v>-2.5</v>
      </c>
      <c r="BT18" t="s">
        <v>1526</v>
      </c>
      <c r="BU18" t="s">
        <v>1444</v>
      </c>
      <c r="BV18">
        <v>30.84</v>
      </c>
      <c r="BW18">
        <v>27.92</v>
      </c>
      <c r="BX18">
        <v>27.69</v>
      </c>
      <c r="BY18">
        <v>3.24</v>
      </c>
      <c r="BZ18">
        <v>0.35</v>
      </c>
      <c r="CA18">
        <v>-1.45</v>
      </c>
      <c r="CB18">
        <v>-4.82</v>
      </c>
      <c r="CC18">
        <v>-15.74</v>
      </c>
      <c r="CD18" t="s">
        <v>3067</v>
      </c>
      <c r="CE18" t="s">
        <v>1345</v>
      </c>
      <c r="CF18" s="10">
        <v>0.18396226415094324</v>
      </c>
      <c r="CG18" s="11">
        <v>-0.12136774168593745</v>
      </c>
      <c r="CH18" s="10">
        <v>8.5493400692939758E-2</v>
      </c>
      <c r="CI18" s="10">
        <v>7.8999049961566925E-2</v>
      </c>
      <c r="CJ18" s="10">
        <v>-2.2541996091604233E-2</v>
      </c>
      <c r="CK18" s="10">
        <v>0.13253673911094666</v>
      </c>
      <c r="CL18" s="10">
        <v>-6.1671797186136246E-2</v>
      </c>
      <c r="CM18" s="11">
        <v>2.1093926429748535</v>
      </c>
      <c r="CN18" s="11">
        <v>0.38460281491279602</v>
      </c>
      <c r="CO18" s="11">
        <v>-1.7714259624481201</v>
      </c>
      <c r="CP18" s="11">
        <v>0.13593943417072296</v>
      </c>
      <c r="CQ18" s="11">
        <v>-0.29532590508460999</v>
      </c>
      <c r="CR18">
        <v>122.39025182571702</v>
      </c>
      <c r="CS18">
        <v>28.755027560419801</v>
      </c>
      <c r="CT18">
        <v>0.34904013961605584</v>
      </c>
      <c r="CU18" s="10">
        <v>4.2563079297542571E-2</v>
      </c>
      <c r="CV18" s="11">
        <v>0.11263660490512847</v>
      </c>
      <c r="CW18">
        <v>0.06</v>
      </c>
      <c r="CX18">
        <v>96.550295198792512</v>
      </c>
      <c r="CY18">
        <v>30434383.384844888</v>
      </c>
      <c r="CZ18">
        <v>4.2563079297542571E-2</v>
      </c>
      <c r="DA18">
        <v>32.851898295371974</v>
      </c>
      <c r="DB18">
        <v>89445324.39435792</v>
      </c>
      <c r="DC18">
        <v>4.043492533266544E-2</v>
      </c>
      <c r="DD18">
        <v>17.052321469408014</v>
      </c>
      <c r="DE18">
        <v>172319569.81761092</v>
      </c>
      <c r="DF18">
        <v>3.7455509781837461E-2</v>
      </c>
      <c r="DG18">
        <v>10.855575573393974</v>
      </c>
      <c r="DH18">
        <v>270685665.64096975</v>
      </c>
      <c r="DI18">
        <v>3.4050463438034057E-2</v>
      </c>
      <c r="DJ18">
        <v>6.3435811000922797</v>
      </c>
      <c r="DK18">
        <v>463216068.91054875</v>
      </c>
      <c r="DL18">
        <v>2.9794155508279796E-2</v>
      </c>
      <c r="DM18">
        <v>30943400</v>
      </c>
      <c r="DN18">
        <v>4.2563079297542571E-2</v>
      </c>
      <c r="DO18">
        <v>2938448700</v>
      </c>
      <c r="DP18">
        <v>1623948700</v>
      </c>
      <c r="DQ18">
        <v>846</v>
      </c>
      <c r="DR18">
        <v>0.14139918485340067</v>
      </c>
      <c r="DS18">
        <v>-0.23400434659106592</v>
      </c>
      <c r="DT18" s="12">
        <v>-0.44</v>
      </c>
      <c r="DU18">
        <v>-1.2083333333333333</v>
      </c>
      <c r="DV18">
        <v>-1.6483333333333332</v>
      </c>
      <c r="DW18">
        <v>-8.306226175349428</v>
      </c>
      <c r="DX18">
        <v>0.23890207365439239</v>
      </c>
      <c r="DY18">
        <v>-8.0210996184888295</v>
      </c>
      <c r="DZ18">
        <v>4132</v>
      </c>
      <c r="EA18">
        <v>-8.0040382440082336</v>
      </c>
      <c r="EB18">
        <v>8</v>
      </c>
      <c r="EC18">
        <v>0.14474988874556635</v>
      </c>
      <c r="ED18">
        <v>2.1008058703221137</v>
      </c>
      <c r="EE18" s="13">
        <v>-2.0455100000000002</v>
      </c>
      <c r="EF18">
        <v>-2.0705100000000001</v>
      </c>
      <c r="EG18">
        <v>17.068902073654392</v>
      </c>
      <c r="EH18" t="s">
        <v>1555</v>
      </c>
      <c r="EI18">
        <v>0</v>
      </c>
      <c r="EJ18">
        <v>0</v>
      </c>
      <c r="EK18" s="14">
        <v>45470</v>
      </c>
      <c r="EL18">
        <v>-0.82</v>
      </c>
      <c r="EM18">
        <v>-4.95</v>
      </c>
      <c r="EN18">
        <v>0.52</v>
      </c>
      <c r="EO18">
        <v>3.45</v>
      </c>
      <c r="EP18">
        <v>-2.5</v>
      </c>
    </row>
    <row r="19" spans="1:146" ht="96" x14ac:dyDescent="0.25">
      <c r="A19" s="8"/>
      <c r="B19" s="8"/>
      <c r="C19" s="8" t="str">
        <f>""&amp;CHAR(10)&amp;Basic_Fundamental_Information_Constructure(F19)&amp;CHAR(10)&amp;Basic_Fundamental_Information_Concatenate("")</f>
        <v xml:space="preserve">
市值32.941526亿, 利润2.97亿; PE27.63; 平均PE13.09; 平均PEG.74, PB1.19; ROIC10.5333%; ROE14.87%; 股利率2.681%; 毛利21.0567%; 净利48.9967%; 上一年度营收增54.68%, 利润增-34.15%; 当季营收增7.89%, 利润增-524.54%; 过往5年营收增17.72%, 利润增55.46%
Income profile:
</v>
      </c>
      <c r="D19" t="s">
        <v>858</v>
      </c>
      <c r="E19" t="s">
        <v>859</v>
      </c>
      <c r="F19">
        <v>7.46</v>
      </c>
      <c r="G19">
        <v>0.54</v>
      </c>
      <c r="H19" t="s">
        <v>3068</v>
      </c>
      <c r="I19">
        <v>3294152600</v>
      </c>
      <c r="J19">
        <v>27.63</v>
      </c>
      <c r="K19">
        <v>1.19</v>
      </c>
      <c r="L19" t="s">
        <v>2891</v>
      </c>
      <c r="M19" t="s">
        <v>1956</v>
      </c>
      <c r="N19" t="s">
        <v>1801</v>
      </c>
      <c r="O19" t="s">
        <v>123</v>
      </c>
      <c r="P19">
        <v>7.7</v>
      </c>
      <c r="Q19" t="s">
        <v>789</v>
      </c>
      <c r="R19">
        <v>-144076140</v>
      </c>
      <c r="S19" s="6">
        <v>-5.2450000000000001</v>
      </c>
      <c r="T19" t="s">
        <v>185</v>
      </c>
      <c r="U19">
        <v>394754890</v>
      </c>
      <c r="V19">
        <v>441575420</v>
      </c>
      <c r="W19">
        <v>1.46</v>
      </c>
      <c r="X19">
        <v>0.04</v>
      </c>
      <c r="Y19">
        <v>-88.1</v>
      </c>
      <c r="Z19" t="s">
        <v>72</v>
      </c>
      <c r="AA19" t="s">
        <v>59</v>
      </c>
      <c r="AB19" t="s">
        <v>3069</v>
      </c>
      <c r="AC19" t="s">
        <v>3070</v>
      </c>
      <c r="AD19" t="s">
        <v>2</v>
      </c>
      <c r="AE19">
        <v>-25935024</v>
      </c>
      <c r="AF19" t="s">
        <v>2142</v>
      </c>
      <c r="AG19" t="s">
        <v>2331</v>
      </c>
      <c r="AH19" t="s">
        <v>2143</v>
      </c>
      <c r="AI19" t="s">
        <v>3071</v>
      </c>
      <c r="AJ19" t="s">
        <v>2144</v>
      </c>
      <c r="AK19" t="s">
        <v>177</v>
      </c>
      <c r="AL19" t="s">
        <v>2145</v>
      </c>
      <c r="AM19" t="s">
        <v>2</v>
      </c>
      <c r="AN19" t="s">
        <v>3072</v>
      </c>
      <c r="AO19" t="s">
        <v>100</v>
      </c>
      <c r="AP19" t="s">
        <v>2</v>
      </c>
      <c r="AQ19" t="s">
        <v>207</v>
      </c>
      <c r="AR19" t="s">
        <v>3073</v>
      </c>
      <c r="AS19" t="s">
        <v>1796</v>
      </c>
      <c r="AT19" t="s">
        <v>2</v>
      </c>
      <c r="AU19" t="s">
        <v>3074</v>
      </c>
      <c r="AV19" t="s">
        <v>3075</v>
      </c>
      <c r="AW19" t="s">
        <v>3076</v>
      </c>
      <c r="AX19" t="s">
        <v>267</v>
      </c>
      <c r="AY19" t="s">
        <v>674</v>
      </c>
      <c r="AZ19" t="s">
        <v>441</v>
      </c>
      <c r="BA19" t="s">
        <v>364</v>
      </c>
      <c r="BB19" t="s">
        <v>406</v>
      </c>
      <c r="BC19" t="s">
        <v>340</v>
      </c>
      <c r="BD19" t="s">
        <v>542</v>
      </c>
      <c r="BE19" t="s">
        <v>198</v>
      </c>
      <c r="BF19" t="s">
        <v>860</v>
      </c>
      <c r="BG19" t="s">
        <v>861</v>
      </c>
      <c r="BH19" t="s">
        <v>789</v>
      </c>
      <c r="BI19" t="s">
        <v>78</v>
      </c>
      <c r="BJ19" t="s">
        <v>267</v>
      </c>
      <c r="BK19" t="s">
        <v>185</v>
      </c>
      <c r="BL19" t="s">
        <v>2146</v>
      </c>
      <c r="BM19" t="s">
        <v>340</v>
      </c>
      <c r="BN19">
        <v>6.95</v>
      </c>
      <c r="BO19">
        <v>13.08</v>
      </c>
      <c r="BP19">
        <v>11.57</v>
      </c>
      <c r="BQ19">
        <v>7.07</v>
      </c>
      <c r="BR19">
        <v>17.64</v>
      </c>
      <c r="BS19">
        <v>19.899999999999999</v>
      </c>
      <c r="BT19" t="s">
        <v>2147</v>
      </c>
      <c r="BU19" t="s">
        <v>1445</v>
      </c>
      <c r="BV19">
        <v>19.55</v>
      </c>
      <c r="BW19">
        <v>22.33</v>
      </c>
      <c r="BX19">
        <v>21.29</v>
      </c>
      <c r="BY19">
        <v>26.47</v>
      </c>
      <c r="BZ19">
        <v>59.57</v>
      </c>
      <c r="CA19">
        <v>60.95</v>
      </c>
      <c r="CB19">
        <v>-2.1</v>
      </c>
      <c r="CC19">
        <v>-15.13</v>
      </c>
      <c r="CD19" t="s">
        <v>3077</v>
      </c>
      <c r="CE19" t="s">
        <v>3078</v>
      </c>
      <c r="CF19" s="10">
        <v>7.8947368421052627E-2</v>
      </c>
      <c r="CG19" s="11">
        <v>-5.2454000058932726</v>
      </c>
      <c r="CH19" s="10">
        <v>0.54683202505111694</v>
      </c>
      <c r="CI19" s="10">
        <v>5.3701017051935196E-2</v>
      </c>
      <c r="CJ19" s="10">
        <v>0.14072847366333008</v>
      </c>
      <c r="CK19" s="10">
        <v>0.33628317713737488</v>
      </c>
      <c r="CL19" s="10">
        <v>-0.19141323864459991</v>
      </c>
      <c r="CM19" s="11">
        <v>-0.34146341681480408</v>
      </c>
      <c r="CN19" s="11">
        <v>6.6964286379516125E-3</v>
      </c>
      <c r="CO19" s="11">
        <v>1.7826087474822998</v>
      </c>
      <c r="CP19" s="11">
        <v>0.70075571537017822</v>
      </c>
      <c r="CQ19" s="11">
        <v>0.62463593482971191</v>
      </c>
      <c r="CR19">
        <v>13.089941894715091</v>
      </c>
      <c r="CS19">
        <v>0.73860045435690058</v>
      </c>
      <c r="CT19">
        <v>2.6809651474530831</v>
      </c>
      <c r="CU19" s="10">
        <v>0.17722629085183145</v>
      </c>
      <c r="CV19" s="11">
        <v>0.55464668190106747</v>
      </c>
      <c r="CW19">
        <v>0.06</v>
      </c>
      <c r="CX19">
        <v>6.0154003091583075</v>
      </c>
      <c r="CY19">
        <v>329845479.60659802</v>
      </c>
      <c r="CZ19">
        <v>0.17722629085183145</v>
      </c>
      <c r="DA19">
        <v>1.8271809652957187</v>
      </c>
      <c r="DB19">
        <v>1085909188.9012079</v>
      </c>
      <c r="DC19">
        <v>0.16836497630923986</v>
      </c>
      <c r="DD19">
        <v>0.81319296608906666</v>
      </c>
      <c r="DE19">
        <v>2439952978.863668</v>
      </c>
      <c r="DF19">
        <v>0.15595913594961167</v>
      </c>
      <c r="DG19">
        <v>0.43395604624401224</v>
      </c>
      <c r="DH19">
        <v>4572243242.5433168</v>
      </c>
      <c r="DI19">
        <v>0.14178103268146516</v>
      </c>
      <c r="DJ19">
        <v>0.17046616479060017</v>
      </c>
      <c r="DK19">
        <v>11639568488.194262</v>
      </c>
      <c r="DL19">
        <v>0.12405840359628201</v>
      </c>
      <c r="DM19">
        <v>297000000</v>
      </c>
      <c r="DN19">
        <v>0.17722629085183145</v>
      </c>
      <c r="DO19">
        <v>1984152600</v>
      </c>
      <c r="DP19">
        <v>-55992280.000000119</v>
      </c>
      <c r="DQ19">
        <v>853</v>
      </c>
      <c r="DR19">
        <v>-9.827892243077882E-2</v>
      </c>
      <c r="DS19">
        <v>-5.8000466877943397</v>
      </c>
      <c r="DT19" s="12">
        <v>-0.25666666666666665</v>
      </c>
      <c r="DU19">
        <v>-0.36500000000000016</v>
      </c>
      <c r="DV19">
        <v>-0.62166666666666681</v>
      </c>
      <c r="DW19">
        <v>-2.1513</v>
      </c>
      <c r="DX19">
        <v>0.39485350699156885</v>
      </c>
      <c r="DY19">
        <v>-2.0173773356078244</v>
      </c>
      <c r="DZ19">
        <v>3066</v>
      </c>
      <c r="EA19">
        <v>-2.0069509342431298</v>
      </c>
      <c r="EB19">
        <v>2</v>
      </c>
      <c r="EC19">
        <v>1.0444421929101036E-2</v>
      </c>
      <c r="ED19">
        <v>9.0936900428017484E-2</v>
      </c>
      <c r="EE19" s="13">
        <v>-2.0156000000000001</v>
      </c>
      <c r="EF19">
        <v>-2.0011999999999999</v>
      </c>
      <c r="EG19">
        <v>28.114853506991569</v>
      </c>
      <c r="EH19" t="s">
        <v>1553</v>
      </c>
      <c r="EI19">
        <v>0</v>
      </c>
      <c r="EJ19">
        <v>0</v>
      </c>
      <c r="EK19" s="14">
        <v>45470</v>
      </c>
      <c r="EL19">
        <v>-0.13</v>
      </c>
      <c r="EM19">
        <v>-4.54</v>
      </c>
      <c r="EN19">
        <v>0</v>
      </c>
      <c r="EO19">
        <v>3.94</v>
      </c>
      <c r="EP19">
        <v>-1.44</v>
      </c>
    </row>
    <row r="20" spans="1:146" ht="96" x14ac:dyDescent="0.25">
      <c r="A20" s="8"/>
      <c r="B20" s="8"/>
      <c r="C20" s="8" t="str">
        <f>""&amp;CHAR(10)&amp;Basic_Fundamental_Information_Constructure(F20)&amp;CHAR(10)&amp;Basic_Fundamental_Information_Concatenate("")</f>
        <v xml:space="preserve">
市值27.387733亿, 利润-1.67亿; PE; 平均PE82.66; 平均PEG15.84, PB1.63; ROIC3.21%; ROE1.5967%; 股利率0%; 毛利17.85%; 净利-1.1967%; 上一年度营收增-10.29%, 利润增-1167.69%; 当季营收增13.39%, 利润增42.35%; 过往5年营收增-5.22%, 利润增-241.73%
Income profile:
</v>
      </c>
      <c r="D20" t="s">
        <v>862</v>
      </c>
      <c r="E20" t="s">
        <v>863</v>
      </c>
      <c r="F20">
        <v>5.05</v>
      </c>
      <c r="G20">
        <v>-3.44</v>
      </c>
      <c r="H20" t="s">
        <v>3079</v>
      </c>
      <c r="I20">
        <v>2738773300</v>
      </c>
      <c r="K20">
        <v>1.63</v>
      </c>
      <c r="L20" t="s">
        <v>2891</v>
      </c>
      <c r="M20" t="s">
        <v>1947</v>
      </c>
      <c r="N20" t="s">
        <v>3080</v>
      </c>
      <c r="O20" t="s">
        <v>129</v>
      </c>
      <c r="P20">
        <v>13.33</v>
      </c>
      <c r="Q20" t="s">
        <v>1470</v>
      </c>
      <c r="R20">
        <v>-20045967</v>
      </c>
      <c r="S20" s="6">
        <v>0.42349999999999999</v>
      </c>
      <c r="T20" t="s">
        <v>1491</v>
      </c>
      <c r="U20">
        <v>529313350</v>
      </c>
      <c r="V20">
        <v>542331350</v>
      </c>
      <c r="W20">
        <v>1.53</v>
      </c>
      <c r="X20">
        <v>0.1</v>
      </c>
      <c r="Y20">
        <v>-7.49</v>
      </c>
      <c r="Z20" t="s">
        <v>156</v>
      </c>
      <c r="AA20" t="s">
        <v>159</v>
      </c>
      <c r="AB20" t="s">
        <v>3081</v>
      </c>
      <c r="AC20" t="s">
        <v>3082</v>
      </c>
      <c r="AD20" t="s">
        <v>2</v>
      </c>
      <c r="AE20">
        <v>-16478</v>
      </c>
      <c r="AF20" t="s">
        <v>2148</v>
      </c>
      <c r="AG20" t="s">
        <v>3083</v>
      </c>
      <c r="AH20" t="s">
        <v>2149</v>
      </c>
      <c r="AI20" t="s">
        <v>365</v>
      </c>
      <c r="AJ20" t="s">
        <v>2150</v>
      </c>
      <c r="AK20" t="s">
        <v>3084</v>
      </c>
      <c r="AL20" t="s">
        <v>2151</v>
      </c>
      <c r="AM20" t="s">
        <v>2</v>
      </c>
      <c r="AN20" t="s">
        <v>2152</v>
      </c>
      <c r="AO20" t="s">
        <v>3085</v>
      </c>
      <c r="AP20" t="s">
        <v>91</v>
      </c>
      <c r="AQ20" t="s">
        <v>518</v>
      </c>
      <c r="AR20" t="s">
        <v>3086</v>
      </c>
      <c r="AS20" t="s">
        <v>3087</v>
      </c>
      <c r="AT20" t="s">
        <v>2</v>
      </c>
      <c r="AU20" t="s">
        <v>3088</v>
      </c>
      <c r="AV20" t="s">
        <v>3089</v>
      </c>
      <c r="AW20" t="s">
        <v>3090</v>
      </c>
      <c r="AX20" t="s">
        <v>512</v>
      </c>
      <c r="AY20" t="s">
        <v>1293</v>
      </c>
      <c r="AZ20" t="s">
        <v>864</v>
      </c>
      <c r="BA20" t="s">
        <v>866</v>
      </c>
      <c r="BB20" t="s">
        <v>867</v>
      </c>
      <c r="BC20" t="s">
        <v>1597</v>
      </c>
      <c r="BD20" t="s">
        <v>223</v>
      </c>
      <c r="BE20" t="s">
        <v>865</v>
      </c>
      <c r="BF20" t="s">
        <v>868</v>
      </c>
      <c r="BG20" t="s">
        <v>77</v>
      </c>
      <c r="BH20" t="s">
        <v>1470</v>
      </c>
      <c r="BI20" t="s">
        <v>221</v>
      </c>
      <c r="BJ20" t="s">
        <v>512</v>
      </c>
      <c r="BK20" t="s">
        <v>1491</v>
      </c>
      <c r="BL20" t="s">
        <v>2153</v>
      </c>
      <c r="BM20" t="s">
        <v>1597</v>
      </c>
      <c r="BN20" t="s">
        <v>2</v>
      </c>
      <c r="BO20">
        <v>0.97</v>
      </c>
      <c r="BP20">
        <v>5.45</v>
      </c>
      <c r="BQ20">
        <v>-1.76</v>
      </c>
      <c r="BR20">
        <v>0.83</v>
      </c>
      <c r="BS20">
        <v>5.72</v>
      </c>
      <c r="BT20" t="s">
        <v>1521</v>
      </c>
      <c r="BU20" t="s">
        <v>1445</v>
      </c>
      <c r="BV20">
        <v>14.03</v>
      </c>
      <c r="BW20">
        <v>18.559999999999999</v>
      </c>
      <c r="BX20">
        <v>20.96</v>
      </c>
      <c r="BY20">
        <v>-9.39</v>
      </c>
      <c r="BZ20">
        <v>0.71</v>
      </c>
      <c r="CA20">
        <v>5.09</v>
      </c>
      <c r="CB20">
        <v>-14.12</v>
      </c>
      <c r="CC20">
        <v>-1.75</v>
      </c>
      <c r="CD20" t="s">
        <v>520</v>
      </c>
      <c r="CE20" t="s">
        <v>2889</v>
      </c>
      <c r="CF20" s="10">
        <v>0.13389121338912133</v>
      </c>
      <c r="CG20" s="11">
        <v>0.42350427497907805</v>
      </c>
      <c r="CH20" s="10">
        <v>-0.1028938964009285</v>
      </c>
      <c r="CI20" s="10">
        <v>-6.6866695880889893E-2</v>
      </c>
      <c r="CJ20" s="10">
        <v>6.8712718784809113E-2</v>
      </c>
      <c r="CK20" s="10">
        <v>-9.8306432366371155E-2</v>
      </c>
      <c r="CL20" s="10">
        <v>-6.1627931892871857E-2</v>
      </c>
      <c r="CM20" s="11">
        <v>-11.676861763000488</v>
      </c>
      <c r="CN20" s="11">
        <v>-0.85650187730789185</v>
      </c>
      <c r="CO20" s="11">
        <v>0.98997342586517334</v>
      </c>
      <c r="CP20" s="11">
        <v>-0.33509108424186707</v>
      </c>
      <c r="CQ20" s="11">
        <v>-0.20789323747158051</v>
      </c>
      <c r="CR20">
        <v>82.661232928393574</v>
      </c>
      <c r="CS20">
        <v>15.836562985868044</v>
      </c>
      <c r="CT20">
        <v>0</v>
      </c>
      <c r="CU20" s="10">
        <v>-5.2196447551250455E-2</v>
      </c>
      <c r="CV20" s="11">
        <v>-2.4172749072313309</v>
      </c>
      <c r="CW20">
        <v>0.06</v>
      </c>
      <c r="CX20" t="e">
        <v>#VALUE!</v>
      </c>
      <c r="CY20" t="s">
        <v>1237</v>
      </c>
      <c r="CZ20">
        <v>-5.2196447551250455E-2</v>
      </c>
      <c r="DA20" t="e">
        <v>#VALUE!</v>
      </c>
      <c r="DB20" t="s">
        <v>1238</v>
      </c>
      <c r="DC20">
        <v>-4.9586625173687927E-2</v>
      </c>
      <c r="DD20" t="e">
        <v>#VALUE!</v>
      </c>
      <c r="DE20" t="s">
        <v>1238</v>
      </c>
      <c r="DF20">
        <v>-4.5932873845100398E-2</v>
      </c>
      <c r="DG20" t="e">
        <v>#VALUE!</v>
      </c>
      <c r="DH20" t="s">
        <v>1238</v>
      </c>
      <c r="DI20">
        <v>-4.1757158041000365E-2</v>
      </c>
      <c r="DJ20" t="e">
        <v>#VALUE!</v>
      </c>
      <c r="DK20" t="s">
        <v>1238</v>
      </c>
      <c r="DL20">
        <v>-3.6537513285875317E-2</v>
      </c>
      <c r="DM20">
        <v>-167000000</v>
      </c>
      <c r="DN20">
        <v>-5.2196447551250455E-2</v>
      </c>
      <c r="DO20">
        <v>2013773300.0000002</v>
      </c>
      <c r="DP20">
        <v>589770800.00000012</v>
      </c>
      <c r="DQ20">
        <v>857</v>
      </c>
      <c r="DR20">
        <v>0.18608766094037177</v>
      </c>
      <c r="DS20">
        <v>2.8407791822104089</v>
      </c>
      <c r="DT20" s="12">
        <v>-0.44</v>
      </c>
      <c r="DU20">
        <v>-1.8983333333333334</v>
      </c>
      <c r="DV20">
        <v>-2.3383333333333334</v>
      </c>
      <c r="DW20">
        <v>-5.1239376770538243</v>
      </c>
      <c r="DX20">
        <v>0.3989518413597738</v>
      </c>
      <c r="DY20">
        <v>-5.0358120199985557</v>
      </c>
      <c r="DZ20">
        <v>4596</v>
      </c>
      <c r="EA20">
        <v>-5.0036022266691305</v>
      </c>
      <c r="EB20">
        <v>5</v>
      </c>
      <c r="EC20">
        <v>0.37615380338975424</v>
      </c>
      <c r="ED20">
        <v>1.3017871823194436</v>
      </c>
      <c r="EE20" s="13">
        <v>-4.0668100000000003</v>
      </c>
      <c r="EF20">
        <v>-4.0720099999999997</v>
      </c>
      <c r="EG20">
        <v>11.288951841359774</v>
      </c>
      <c r="EH20" t="s">
        <v>1964</v>
      </c>
      <c r="EI20">
        <v>0</v>
      </c>
      <c r="EJ20">
        <v>0</v>
      </c>
      <c r="EK20" s="14">
        <v>45470</v>
      </c>
      <c r="EL20">
        <v>2.77</v>
      </c>
      <c r="EM20">
        <v>3.77</v>
      </c>
      <c r="EN20">
        <v>0.69</v>
      </c>
      <c r="EO20">
        <v>-1.55</v>
      </c>
      <c r="EP20">
        <v>-0.52</v>
      </c>
    </row>
    <row r="21" spans="1:146" ht="96" x14ac:dyDescent="0.25">
      <c r="A21" s="8"/>
      <c r="B21" s="8"/>
      <c r="C21" s="8" t="str">
        <f>""&amp;CHAR(10)&amp;Basic_Fundamental_Information_Constructure(F21)&amp;CHAR(10)&amp;Basic_Fundamental_Information_Concatenate("")</f>
        <v xml:space="preserve">
市值31.518762亿, 利润7389.84万; PE31.94; 平均PE-18.07; 平均PEG-7.52, PB.984; ROIC2.575%; ROE-3.6167%; 股利率.59%; 毛利25.5933%; 净利-8.0667%; 上一年度营收增9.56%, 利润增93.61%; 当季营收增11.09%, 利润增184.15%; 过往5年营收增2.4%, 利润增-2109.62%
Income profile:
</v>
      </c>
      <c r="D21" t="s">
        <v>869</v>
      </c>
      <c r="E21" t="s">
        <v>1598</v>
      </c>
      <c r="F21">
        <v>3.39</v>
      </c>
      <c r="G21">
        <v>2.42</v>
      </c>
      <c r="H21" t="s">
        <v>3091</v>
      </c>
      <c r="I21">
        <v>3151876200</v>
      </c>
      <c r="J21">
        <v>31.94</v>
      </c>
      <c r="K21">
        <v>0.98399999999999999</v>
      </c>
      <c r="L21" t="s">
        <v>2891</v>
      </c>
      <c r="M21" t="s">
        <v>2154</v>
      </c>
      <c r="N21" t="s">
        <v>1858</v>
      </c>
      <c r="O21" t="s">
        <v>289</v>
      </c>
      <c r="P21">
        <v>11.18</v>
      </c>
      <c r="Q21" t="s">
        <v>2155</v>
      </c>
      <c r="R21">
        <v>38221934</v>
      </c>
      <c r="S21" s="6">
        <v>1.8420000000000001</v>
      </c>
      <c r="T21" t="s">
        <v>2156</v>
      </c>
      <c r="U21">
        <v>929075010</v>
      </c>
      <c r="V21">
        <v>929756980</v>
      </c>
      <c r="W21">
        <v>1.96</v>
      </c>
      <c r="X21">
        <v>0.09</v>
      </c>
      <c r="Y21">
        <v>6.68</v>
      </c>
      <c r="Z21" t="s">
        <v>623</v>
      </c>
      <c r="AA21" t="s">
        <v>329</v>
      </c>
      <c r="AB21" t="s">
        <v>3092</v>
      </c>
      <c r="AC21" t="s">
        <v>3093</v>
      </c>
      <c r="AD21" t="s">
        <v>2</v>
      </c>
      <c r="AE21">
        <v>23927010</v>
      </c>
      <c r="AF21" t="s">
        <v>23</v>
      </c>
      <c r="AG21" t="s">
        <v>3094</v>
      </c>
      <c r="AH21" t="s">
        <v>2157</v>
      </c>
      <c r="AI21" t="s">
        <v>3095</v>
      </c>
      <c r="AJ21" t="s">
        <v>2158</v>
      </c>
      <c r="AK21" t="s">
        <v>3096</v>
      </c>
      <c r="AL21" t="s">
        <v>2159</v>
      </c>
      <c r="AM21" t="s">
        <v>2</v>
      </c>
      <c r="AN21" t="s">
        <v>2160</v>
      </c>
      <c r="AO21" t="s">
        <v>3097</v>
      </c>
      <c r="AP21" t="s">
        <v>2</v>
      </c>
      <c r="AQ21" t="s">
        <v>461</v>
      </c>
      <c r="AR21" t="s">
        <v>2</v>
      </c>
      <c r="AS21" t="s">
        <v>3098</v>
      </c>
      <c r="AT21" t="s">
        <v>2163</v>
      </c>
      <c r="AU21" t="s">
        <v>3099</v>
      </c>
      <c r="AV21" t="s">
        <v>3100</v>
      </c>
      <c r="AW21" t="s">
        <v>3101</v>
      </c>
      <c r="AX21" t="s">
        <v>1599</v>
      </c>
      <c r="AY21" t="s">
        <v>1294</v>
      </c>
      <c r="AZ21" t="s">
        <v>434</v>
      </c>
      <c r="BA21" t="s">
        <v>871</v>
      </c>
      <c r="BB21" t="s">
        <v>872</v>
      </c>
      <c r="BC21" t="s">
        <v>1600</v>
      </c>
      <c r="BD21" t="s">
        <v>1295</v>
      </c>
      <c r="BE21" t="s">
        <v>870</v>
      </c>
      <c r="BF21" t="s">
        <v>873</v>
      </c>
      <c r="BG21" t="s">
        <v>260</v>
      </c>
      <c r="BH21" t="s">
        <v>2155</v>
      </c>
      <c r="BI21" t="s">
        <v>1186</v>
      </c>
      <c r="BJ21" t="s">
        <v>1599</v>
      </c>
      <c r="BK21" t="s">
        <v>2156</v>
      </c>
      <c r="BL21" t="s">
        <v>2164</v>
      </c>
      <c r="BM21" t="s">
        <v>1600</v>
      </c>
      <c r="BN21">
        <v>3.01</v>
      </c>
      <c r="BO21">
        <v>2.14</v>
      </c>
      <c r="BP21" t="s">
        <v>2</v>
      </c>
      <c r="BQ21">
        <v>2.76</v>
      </c>
      <c r="BR21">
        <v>1.24</v>
      </c>
      <c r="BS21">
        <v>-14.85</v>
      </c>
      <c r="BT21" t="s">
        <v>1526</v>
      </c>
      <c r="BU21" t="s">
        <v>1445</v>
      </c>
      <c r="BV21">
        <v>28.73</v>
      </c>
      <c r="BW21">
        <v>25.96</v>
      </c>
      <c r="BX21">
        <v>22.09</v>
      </c>
      <c r="BY21">
        <v>2.8</v>
      </c>
      <c r="BZ21">
        <v>1.64</v>
      </c>
      <c r="CA21">
        <v>-28.64</v>
      </c>
      <c r="CB21">
        <v>-0.88</v>
      </c>
      <c r="CC21">
        <v>-11.72</v>
      </c>
      <c r="CD21" t="s">
        <v>3102</v>
      </c>
      <c r="CE21" t="s">
        <v>19</v>
      </c>
      <c r="CF21" s="10">
        <v>0.11089494163424138</v>
      </c>
      <c r="CG21" s="11">
        <v>1.8415259605090999</v>
      </c>
      <c r="CH21" s="10">
        <v>9.5554575324058533E-2</v>
      </c>
      <c r="CI21" s="10">
        <v>0.40925061702728271</v>
      </c>
      <c r="CJ21" s="10">
        <v>3.5151515156030655E-2</v>
      </c>
      <c r="CK21" s="10">
        <v>1.4136407524347305E-2</v>
      </c>
      <c r="CL21" s="10">
        <v>-0.43389001488685608</v>
      </c>
      <c r="CM21" s="11">
        <v>0.93610960245132446</v>
      </c>
      <c r="CN21" s="11">
        <v>1.077894926071167</v>
      </c>
      <c r="CO21" s="11">
        <v>0.50455003976821899</v>
      </c>
      <c r="CP21" s="11">
        <v>-107.0294189453125</v>
      </c>
      <c r="CQ21" s="11">
        <v>-0.97000765800476074</v>
      </c>
      <c r="CR21">
        <v>-18.069136078493759</v>
      </c>
      <c r="CS21">
        <v>-7.5160857152260157</v>
      </c>
      <c r="CT21">
        <v>0.58997050147492625</v>
      </c>
      <c r="CU21" s="10">
        <v>2.4040620028972625E-2</v>
      </c>
      <c r="CV21" s="11">
        <v>-21.096174407005311</v>
      </c>
      <c r="CW21">
        <v>0.06</v>
      </c>
      <c r="CX21">
        <v>43.72897752813828</v>
      </c>
      <c r="CY21">
        <v>71391474.863348141</v>
      </c>
      <c r="CZ21">
        <v>2.4040620028972625E-2</v>
      </c>
      <c r="DA21">
        <v>15.117241764915079</v>
      </c>
      <c r="DB21">
        <v>206510965.9915224</v>
      </c>
      <c r="DC21">
        <v>2.2838589027523993E-2</v>
      </c>
      <c r="DD21">
        <v>8.0074748332786942</v>
      </c>
      <c r="DE21">
        <v>389870248.11188006</v>
      </c>
      <c r="DF21">
        <v>2.1155745625495909E-2</v>
      </c>
      <c r="DG21">
        <v>5.2084441435416373</v>
      </c>
      <c r="DH21">
        <v>599387478.09574986</v>
      </c>
      <c r="DI21">
        <v>1.92324960231781E-2</v>
      </c>
      <c r="DJ21">
        <v>3.176506316987874</v>
      </c>
      <c r="DK21">
        <v>982801823.28122139</v>
      </c>
      <c r="DL21">
        <v>1.6828434020280836E-2</v>
      </c>
      <c r="DM21">
        <v>73898400</v>
      </c>
      <c r="DN21">
        <v>2.4040620028972625E-2</v>
      </c>
      <c r="DO21">
        <v>3121876200</v>
      </c>
      <c r="DP21">
        <v>872699700</v>
      </c>
      <c r="DQ21">
        <v>865</v>
      </c>
      <c r="DR21">
        <v>8.685432160526875E-2</v>
      </c>
      <c r="DS21">
        <v>22.93770036751441</v>
      </c>
      <c r="DT21" s="12">
        <v>-0.38999999999999996</v>
      </c>
      <c r="DU21">
        <v>-5.9999999999999977E-2</v>
      </c>
      <c r="DV21">
        <v>-0.44999999999999996</v>
      </c>
      <c r="DW21">
        <v>-2.1172</v>
      </c>
      <c r="DX21">
        <v>0.35770030030029898</v>
      </c>
      <c r="DY21">
        <v>-2.0161384751951954</v>
      </c>
      <c r="DZ21">
        <v>2788</v>
      </c>
      <c r="EA21">
        <v>-2.007333373660126</v>
      </c>
      <c r="EB21">
        <v>2</v>
      </c>
      <c r="EC21">
        <v>4.9318478899722809E-2</v>
      </c>
      <c r="ED21">
        <v>0.35815810707869061</v>
      </c>
      <c r="EE21" s="13">
        <v>2.0165099999999998</v>
      </c>
      <c r="EF21">
        <v>2.0343100000000001</v>
      </c>
      <c r="EG21">
        <v>22.137700300300299</v>
      </c>
      <c r="EH21" t="s">
        <v>1554</v>
      </c>
      <c r="EI21">
        <v>0</v>
      </c>
      <c r="EJ21">
        <v>0</v>
      </c>
      <c r="EK21" s="14">
        <v>45470</v>
      </c>
      <c r="EL21">
        <v>0</v>
      </c>
      <c r="EM21">
        <v>-3.54</v>
      </c>
      <c r="EN21">
        <v>0.61</v>
      </c>
      <c r="EO21">
        <v>2.4300000000000002</v>
      </c>
      <c r="EP21">
        <v>-1.78</v>
      </c>
    </row>
    <row r="22" spans="1:146" ht="96" x14ac:dyDescent="0.25">
      <c r="A22" s="8"/>
      <c r="B22" s="8"/>
      <c r="C22" s="8" t="str">
        <f>""&amp;CHAR(10)&amp;Basic_Fundamental_Information_Constructure(F22)&amp;CHAR(10)&amp;Basic_Fundamental_Information_Concatenate("")</f>
        <v xml:space="preserve">
市值40.296227亿, 利润2.54亿; PE18.2; 平均PE14.59; 平均PEG2.03, PB.858; ROIC7.1067%; ROE7.4167%; 股利率4.0541%; 毛利9.7067%; 净利2.6533%; 上一年度营收增-1.76%, 利润增-13.9%; 当季营收增-9.58%, 利润增-19.37%; 过往5年营收增7.19%, 利润增8.33%
Income profile:
</v>
      </c>
      <c r="D22" t="s">
        <v>874</v>
      </c>
      <c r="E22" t="s">
        <v>875</v>
      </c>
      <c r="F22">
        <v>7.4</v>
      </c>
      <c r="G22">
        <v>-0.27</v>
      </c>
      <c r="H22" t="s">
        <v>3103</v>
      </c>
      <c r="I22">
        <v>4029622700</v>
      </c>
      <c r="J22">
        <v>18.2</v>
      </c>
      <c r="K22">
        <v>0.85799999999999998</v>
      </c>
      <c r="L22" t="s">
        <v>2891</v>
      </c>
      <c r="M22" t="s">
        <v>2165</v>
      </c>
      <c r="N22" t="s">
        <v>3104</v>
      </c>
      <c r="O22" t="s">
        <v>2166</v>
      </c>
      <c r="P22">
        <v>-9.58</v>
      </c>
      <c r="Q22" t="s">
        <v>2167</v>
      </c>
      <c r="R22">
        <v>136265870</v>
      </c>
      <c r="S22" s="6">
        <v>-0.19209999999999999</v>
      </c>
      <c r="T22" t="s">
        <v>474</v>
      </c>
      <c r="U22">
        <v>399079730</v>
      </c>
      <c r="V22">
        <v>544543610</v>
      </c>
      <c r="W22">
        <v>1.45</v>
      </c>
      <c r="X22">
        <v>0.34</v>
      </c>
      <c r="Y22">
        <v>6.05</v>
      </c>
      <c r="Z22" t="s">
        <v>2029</v>
      </c>
      <c r="AA22" t="s">
        <v>1650</v>
      </c>
      <c r="AB22" t="s">
        <v>33</v>
      </c>
      <c r="AC22" t="s">
        <v>3105</v>
      </c>
      <c r="AD22" t="s">
        <v>2</v>
      </c>
      <c r="AE22">
        <v>-12790443</v>
      </c>
      <c r="AF22" t="s">
        <v>2168</v>
      </c>
      <c r="AG22" t="s">
        <v>3106</v>
      </c>
      <c r="AH22" t="s">
        <v>2169</v>
      </c>
      <c r="AI22" t="s">
        <v>591</v>
      </c>
      <c r="AJ22" t="s">
        <v>2170</v>
      </c>
      <c r="AK22" t="s">
        <v>25</v>
      </c>
      <c r="AL22" t="s">
        <v>2171</v>
      </c>
      <c r="AM22" t="s">
        <v>2</v>
      </c>
      <c r="AN22" t="s">
        <v>3107</v>
      </c>
      <c r="AO22" t="s">
        <v>3108</v>
      </c>
      <c r="AP22" t="s">
        <v>1572</v>
      </c>
      <c r="AQ22" t="s">
        <v>664</v>
      </c>
      <c r="AR22" t="s">
        <v>2</v>
      </c>
      <c r="AS22" t="s">
        <v>1941</v>
      </c>
      <c r="AT22" t="s">
        <v>2</v>
      </c>
      <c r="AU22" t="s">
        <v>3109</v>
      </c>
      <c r="AV22" t="s">
        <v>3110</v>
      </c>
      <c r="AW22" t="s">
        <v>3111</v>
      </c>
      <c r="AX22" t="s">
        <v>1602</v>
      </c>
      <c r="AY22" t="s">
        <v>1297</v>
      </c>
      <c r="AZ22" t="s">
        <v>876</v>
      </c>
      <c r="BA22" t="s">
        <v>877</v>
      </c>
      <c r="BB22" t="s">
        <v>878</v>
      </c>
      <c r="BC22" t="s">
        <v>188</v>
      </c>
      <c r="BD22" t="s">
        <v>463</v>
      </c>
      <c r="BE22" t="s">
        <v>197</v>
      </c>
      <c r="BF22" t="s">
        <v>293</v>
      </c>
      <c r="BG22" t="s">
        <v>253</v>
      </c>
      <c r="BH22" t="s">
        <v>2167</v>
      </c>
      <c r="BI22" t="s">
        <v>425</v>
      </c>
      <c r="BJ22" t="s">
        <v>1602</v>
      </c>
      <c r="BK22" t="s">
        <v>474</v>
      </c>
      <c r="BL22" t="s">
        <v>130</v>
      </c>
      <c r="BM22" t="s">
        <v>188</v>
      </c>
      <c r="BN22">
        <v>5.22</v>
      </c>
      <c r="BO22">
        <v>6.32</v>
      </c>
      <c r="BP22">
        <v>9.7799999999999994</v>
      </c>
      <c r="BQ22">
        <v>5.74</v>
      </c>
      <c r="BR22">
        <v>6.64</v>
      </c>
      <c r="BS22">
        <v>9.8699999999999992</v>
      </c>
      <c r="BT22" t="s">
        <v>1533</v>
      </c>
      <c r="BU22" t="s">
        <v>1445</v>
      </c>
      <c r="BV22">
        <v>9.6300000000000008</v>
      </c>
      <c r="BW22">
        <v>9.6199999999999992</v>
      </c>
      <c r="BX22">
        <v>9.8699999999999992</v>
      </c>
      <c r="BY22">
        <v>2.1800000000000002</v>
      </c>
      <c r="BZ22">
        <v>2.41</v>
      </c>
      <c r="CA22">
        <v>3.37</v>
      </c>
      <c r="CB22">
        <v>-2.37</v>
      </c>
      <c r="CC22">
        <v>-11.59</v>
      </c>
      <c r="CD22" t="s">
        <v>3112</v>
      </c>
      <c r="CE22" t="s">
        <v>102</v>
      </c>
      <c r="CF22" s="10">
        <v>-9.5836606441476832E-2</v>
      </c>
      <c r="CG22" s="11">
        <v>-0.19369307692307691</v>
      </c>
      <c r="CH22" s="10">
        <v>-1.7562679946422577E-2</v>
      </c>
      <c r="CI22" s="10">
        <v>-3.4241132438182831E-2</v>
      </c>
      <c r="CJ22" s="10">
        <v>0.16916486620903015</v>
      </c>
      <c r="CK22" s="10">
        <v>8.2216620445251465E-2</v>
      </c>
      <c r="CL22" s="10">
        <v>0.16014032065868378</v>
      </c>
      <c r="CM22" s="11">
        <v>-0.13898305594921112</v>
      </c>
      <c r="CN22" s="11">
        <v>-0.29086539149284363</v>
      </c>
      <c r="CO22" s="11">
        <v>0.59386974573135376</v>
      </c>
      <c r="CP22" s="11">
        <v>0.15999999642372131</v>
      </c>
      <c r="CQ22" s="11">
        <v>9.223300963640213E-2</v>
      </c>
      <c r="CR22">
        <v>14.591271092335544</v>
      </c>
      <c r="CS22">
        <v>2.0281541788368807</v>
      </c>
      <c r="CT22">
        <v>4.0540540540540535</v>
      </c>
      <c r="CU22" s="10">
        <v>7.1943598985672E-2</v>
      </c>
      <c r="CV22" s="11">
        <v>8.3250860869884494E-2</v>
      </c>
      <c r="CW22">
        <v>0.06</v>
      </c>
      <c r="CX22">
        <v>4.6664080396391423</v>
      </c>
      <c r="CY22">
        <v>256861956.73807612</v>
      </c>
      <c r="CZ22">
        <v>7.1943598985672E-2</v>
      </c>
      <c r="DA22">
        <v>1.5484819774338803</v>
      </c>
      <c r="DB22">
        <v>774063061.41601884</v>
      </c>
      <c r="DC22">
        <v>6.8346419036388398E-2</v>
      </c>
      <c r="DD22">
        <v>0.77795008609893723</v>
      </c>
      <c r="DE22">
        <v>1540744993.0503163</v>
      </c>
      <c r="DF22">
        <v>6.3310367107391366E-2</v>
      </c>
      <c r="DG22">
        <v>0.47792028403557352</v>
      </c>
      <c r="DH22">
        <v>2507997128.4725418</v>
      </c>
      <c r="DI22">
        <v>5.7554879188537605E-2</v>
      </c>
      <c r="DJ22">
        <v>0.25934321149252276</v>
      </c>
      <c r="DK22">
        <v>4621762386.2290993</v>
      </c>
      <c r="DL22">
        <v>5.0360519289970394E-2</v>
      </c>
      <c r="DM22">
        <v>254000000</v>
      </c>
      <c r="DN22">
        <v>7.1943598985672E-2</v>
      </c>
      <c r="DO22">
        <v>1198622700</v>
      </c>
      <c r="DP22">
        <v>3699413800</v>
      </c>
      <c r="DQ22">
        <v>944</v>
      </c>
      <c r="DR22">
        <v>-0.16778020542714883</v>
      </c>
      <c r="DS22">
        <v>-0.27694393779296139</v>
      </c>
      <c r="DT22" s="12">
        <v>-0.20666666666666669</v>
      </c>
      <c r="DU22">
        <v>-0.12000000000000001</v>
      </c>
      <c r="DV22">
        <v>-0.32666666666666672</v>
      </c>
      <c r="DW22">
        <v>-2.1158999999999999</v>
      </c>
      <c r="DX22">
        <v>0.3906975806451618</v>
      </c>
      <c r="DY22">
        <v>-2.0151478495967741</v>
      </c>
      <c r="DZ22">
        <v>2524</v>
      </c>
      <c r="EA22">
        <v>-2.0076658197763715</v>
      </c>
      <c r="EB22">
        <v>2</v>
      </c>
      <c r="EC22">
        <v>2.9761620010562605E-2</v>
      </c>
      <c r="ED22">
        <v>0.2277136260950707</v>
      </c>
      <c r="EE22" s="13">
        <v>1.10331</v>
      </c>
      <c r="EF22">
        <v>1.1206100000000001</v>
      </c>
      <c r="EG22">
        <v>26.130697580645162</v>
      </c>
      <c r="EH22" t="s">
        <v>1549</v>
      </c>
      <c r="EI22">
        <v>0</v>
      </c>
      <c r="EJ22">
        <v>0</v>
      </c>
      <c r="EK22" s="14">
        <v>45470</v>
      </c>
      <c r="EL22">
        <v>-0.75</v>
      </c>
      <c r="EM22">
        <v>-4.88</v>
      </c>
      <c r="EN22">
        <v>0.39</v>
      </c>
      <c r="EO22">
        <v>2.59</v>
      </c>
      <c r="EP22">
        <v>-1.73</v>
      </c>
    </row>
    <row r="23" spans="1:146" ht="96" x14ac:dyDescent="0.25">
      <c r="A23" s="8"/>
      <c r="B23" s="8"/>
      <c r="C23" s="8" t="str">
        <f>""&amp;CHAR(10)&amp;Basic_Fundamental_Information_Constructure(F23)&amp;CHAR(10)&amp;Basic_Fundamental_Information_Concatenate("")</f>
        <v xml:space="preserve">
市值22.09176亿, 利润1616.28万; PE159.1; 平均PE138.01; 平均PEG5.17, PB2.92; ROIC2.5233%; ROE1.68%; 股利率.1988%; 毛利11.77%; 净利1.5433%; 上一年度营收增1.02%, 利润增10.2%; 当季营收增-5.62%, 利润增-34.96%; 过往5年营收增26.68%, 利润增70.53%
Income profile:
</v>
      </c>
      <c r="D23" t="s">
        <v>1042</v>
      </c>
      <c r="E23" t="s">
        <v>1043</v>
      </c>
      <c r="F23">
        <v>5.03</v>
      </c>
      <c r="G23">
        <v>0.6</v>
      </c>
      <c r="H23" t="s">
        <v>3113</v>
      </c>
      <c r="I23">
        <v>2209176000</v>
      </c>
      <c r="J23">
        <v>159.1</v>
      </c>
      <c r="K23">
        <v>2.92</v>
      </c>
      <c r="L23" t="s">
        <v>2891</v>
      </c>
      <c r="M23" t="s">
        <v>1472</v>
      </c>
      <c r="N23" t="s">
        <v>411</v>
      </c>
      <c r="O23" t="s">
        <v>166</v>
      </c>
      <c r="P23">
        <v>-5.74</v>
      </c>
      <c r="Q23" t="s">
        <v>432</v>
      </c>
      <c r="R23">
        <v>4240648</v>
      </c>
      <c r="S23" s="6">
        <v>-0.34960000000000002</v>
      </c>
      <c r="T23" t="s">
        <v>2173</v>
      </c>
      <c r="U23">
        <v>439149000</v>
      </c>
      <c r="V23">
        <v>439200000</v>
      </c>
      <c r="W23">
        <v>1.9</v>
      </c>
      <c r="X23">
        <v>0.14000000000000001</v>
      </c>
      <c r="Y23">
        <v>1.1100000000000001</v>
      </c>
      <c r="Z23" t="s">
        <v>385</v>
      </c>
      <c r="AA23" t="s">
        <v>404</v>
      </c>
      <c r="AB23" t="s">
        <v>3114</v>
      </c>
      <c r="AC23" t="s">
        <v>3115</v>
      </c>
      <c r="AD23" t="s">
        <v>2</v>
      </c>
      <c r="AE23">
        <v>5579187</v>
      </c>
      <c r="AF23" t="s">
        <v>2174</v>
      </c>
      <c r="AG23">
        <v>0</v>
      </c>
      <c r="AH23" t="s">
        <v>2175</v>
      </c>
      <c r="AI23" t="s">
        <v>228</v>
      </c>
      <c r="AJ23" t="s">
        <v>2176</v>
      </c>
      <c r="AK23" t="s">
        <v>3116</v>
      </c>
      <c r="AL23" t="s">
        <v>2177</v>
      </c>
      <c r="AM23" t="s">
        <v>2</v>
      </c>
      <c r="AN23" t="s">
        <v>3117</v>
      </c>
      <c r="AO23" t="s">
        <v>3118</v>
      </c>
      <c r="AP23" t="s">
        <v>2</v>
      </c>
      <c r="AQ23" t="s">
        <v>3119</v>
      </c>
      <c r="AR23" t="s">
        <v>3120</v>
      </c>
      <c r="AS23" t="s">
        <v>426</v>
      </c>
      <c r="AT23" t="s">
        <v>3121</v>
      </c>
      <c r="AU23" t="s">
        <v>3122</v>
      </c>
      <c r="AV23" t="s">
        <v>3123</v>
      </c>
      <c r="AW23" t="s">
        <v>3124</v>
      </c>
      <c r="AX23" t="s">
        <v>482</v>
      </c>
      <c r="AY23" t="s">
        <v>367</v>
      </c>
      <c r="AZ23" t="s">
        <v>349</v>
      </c>
      <c r="BA23" t="s">
        <v>575</v>
      </c>
      <c r="BB23" t="s">
        <v>39</v>
      </c>
      <c r="BC23" t="s">
        <v>1603</v>
      </c>
      <c r="BD23" t="s">
        <v>1298</v>
      </c>
      <c r="BE23" t="s">
        <v>1044</v>
      </c>
      <c r="BF23" t="s">
        <v>1045</v>
      </c>
      <c r="BG23" t="s">
        <v>1046</v>
      </c>
      <c r="BH23" t="s">
        <v>432</v>
      </c>
      <c r="BI23" t="s">
        <v>90</v>
      </c>
      <c r="BJ23" t="s">
        <v>482</v>
      </c>
      <c r="BK23" t="s">
        <v>2173</v>
      </c>
      <c r="BL23" t="s">
        <v>2178</v>
      </c>
      <c r="BM23" t="s">
        <v>1603</v>
      </c>
      <c r="BN23">
        <v>1.93</v>
      </c>
      <c r="BO23">
        <v>2.65</v>
      </c>
      <c r="BP23">
        <v>2.99</v>
      </c>
      <c r="BQ23">
        <v>1.28</v>
      </c>
      <c r="BR23">
        <v>1.95</v>
      </c>
      <c r="BS23">
        <v>1.81</v>
      </c>
      <c r="BT23" t="s">
        <v>1529</v>
      </c>
      <c r="BU23" t="s">
        <v>1274</v>
      </c>
      <c r="BV23">
        <v>11.53</v>
      </c>
      <c r="BW23">
        <v>12.61</v>
      </c>
      <c r="BX23">
        <v>11.17</v>
      </c>
      <c r="BY23">
        <v>1.66</v>
      </c>
      <c r="BZ23">
        <v>1.62</v>
      </c>
      <c r="CA23">
        <v>1.35</v>
      </c>
      <c r="CB23">
        <v>-6.33</v>
      </c>
      <c r="CC23">
        <v>-8.5500000000000007</v>
      </c>
      <c r="CD23" t="s">
        <v>3125</v>
      </c>
      <c r="CE23" t="s">
        <v>91</v>
      </c>
      <c r="CF23" s="10">
        <v>-5.6224899598393691E-2</v>
      </c>
      <c r="CG23" s="11">
        <v>-0.34958388932345585</v>
      </c>
      <c r="CH23" s="10">
        <v>1.0204021818935871E-2</v>
      </c>
      <c r="CI23" s="10">
        <v>-5.6042030453681946E-2</v>
      </c>
      <c r="CJ23" s="10">
        <v>1.515418529510498</v>
      </c>
      <c r="CK23" s="10">
        <v>0.23705722391605377</v>
      </c>
      <c r="CL23" s="10">
        <v>-0.37264958024024963</v>
      </c>
      <c r="CM23" s="11">
        <v>0.10199155658483505</v>
      </c>
      <c r="CN23" s="11">
        <v>0.14148183166980743</v>
      </c>
      <c r="CO23" s="11">
        <v>0.72208595275878906</v>
      </c>
      <c r="CP23" s="11">
        <v>-0.79571628570556641</v>
      </c>
      <c r="CQ23" s="11">
        <v>3.3567287921905518</v>
      </c>
      <c r="CR23">
        <v>138.00507248489291</v>
      </c>
      <c r="CS23">
        <v>5.1726498087517054</v>
      </c>
      <c r="CT23">
        <v>0.19880715705765409</v>
      </c>
      <c r="CU23" s="10">
        <v>0.26679763291031122</v>
      </c>
      <c r="CV23" s="11">
        <v>0.7053143694996834</v>
      </c>
      <c r="CW23">
        <v>0.06</v>
      </c>
      <c r="CX23">
        <v>111.26382994557785</v>
      </c>
      <c r="CY23">
        <v>19316034.699247904</v>
      </c>
      <c r="CZ23">
        <v>0.26679763291031122</v>
      </c>
      <c r="DA23">
        <v>31.402754273204881</v>
      </c>
      <c r="DB23">
        <v>68439092.358017579</v>
      </c>
      <c r="DC23">
        <v>0.25345775126479564</v>
      </c>
      <c r="DD23">
        <v>12.559137771060596</v>
      </c>
      <c r="DE23">
        <v>171124486.34429669</v>
      </c>
      <c r="DF23">
        <v>0.23478191696107387</v>
      </c>
      <c r="DG23">
        <v>5.8693409259413594</v>
      </c>
      <c r="DH23">
        <v>366169903.42153323</v>
      </c>
      <c r="DI23">
        <v>0.213438106328249</v>
      </c>
      <c r="DJ23">
        <v>1.656330210288359</v>
      </c>
      <c r="DK23">
        <v>1297552859.116081</v>
      </c>
      <c r="DL23">
        <v>0.18675834303721783</v>
      </c>
      <c r="DM23">
        <v>16162800</v>
      </c>
      <c r="DN23">
        <v>0.26679763291031122</v>
      </c>
      <c r="DO23">
        <v>2149176000</v>
      </c>
      <c r="DP23">
        <v>390193210</v>
      </c>
      <c r="DQ23">
        <v>952</v>
      </c>
      <c r="DR23">
        <v>-0.32302253250870494</v>
      </c>
      <c r="DS23">
        <v>-1.0548982588231393</v>
      </c>
      <c r="DT23" s="12">
        <v>-0.15666666666666665</v>
      </c>
      <c r="DU23">
        <v>0.31666666666666671</v>
      </c>
      <c r="DV23">
        <v>0.16000000000000006</v>
      </c>
      <c r="DW23">
        <v>-9.7403508771929825</v>
      </c>
      <c r="DX23">
        <v>0.42183930158730154</v>
      </c>
      <c r="DY23">
        <v>-9.2382740092453357</v>
      </c>
      <c r="DZ23">
        <v>1340</v>
      </c>
      <c r="EA23">
        <v>-9.1757911966447985</v>
      </c>
      <c r="EB23">
        <v>9</v>
      </c>
      <c r="EC23">
        <v>0.18466188524590163</v>
      </c>
      <c r="ED23">
        <v>0.57377049180327866</v>
      </c>
      <c r="EE23" s="13">
        <v>5.0099999999999999E-2</v>
      </c>
      <c r="EF23">
        <v>3.0000000000000002E-2</v>
      </c>
      <c r="EG23">
        <v>10.321839301587302</v>
      </c>
      <c r="EH23" t="s">
        <v>1398</v>
      </c>
      <c r="EI23">
        <v>0</v>
      </c>
      <c r="EJ23">
        <v>1</v>
      </c>
      <c r="EK23" s="14">
        <v>45470</v>
      </c>
      <c r="EL23">
        <v>-0.2</v>
      </c>
      <c r="EM23">
        <v>-5.41</v>
      </c>
      <c r="EN23">
        <v>0.85</v>
      </c>
      <c r="EO23">
        <v>4.62</v>
      </c>
      <c r="EP23">
        <v>-2.0099999999999998</v>
      </c>
    </row>
    <row r="24" spans="1:146" ht="96" x14ac:dyDescent="0.25">
      <c r="A24" s="8"/>
      <c r="B24" s="8"/>
      <c r="C24" s="8" t="str">
        <f>""&amp;CHAR(10)&amp;Basic_Fundamental_Information_Constructure(F24)&amp;CHAR(10)&amp;Basic_Fundamental_Information_Concatenate("")</f>
        <v xml:space="preserve">
市值52.480094亿, 利润1.73亿; PE28.77; 平均PE53.83; 平均PEG6.02, PB2.38; ROIC6.45%; ROE8.4067%; 股利率.8274%; 毛利33.0667%; 净利10.5833%; 上一年度营收增22.08%, 利润增198.44%; 当季营收增11.89%, 利润增45.66%; 过往5年营收增8.94%, 利润增70.26%
Income profile:
</v>
      </c>
      <c r="D24" t="s">
        <v>879</v>
      </c>
      <c r="E24" t="s">
        <v>1432</v>
      </c>
      <c r="F24">
        <v>8.4600000000000009</v>
      </c>
      <c r="G24">
        <v>-0.47</v>
      </c>
      <c r="H24" t="s">
        <v>3126</v>
      </c>
      <c r="I24">
        <v>5248009400</v>
      </c>
      <c r="J24">
        <v>28.77</v>
      </c>
      <c r="K24">
        <v>2.38</v>
      </c>
      <c r="L24" t="s">
        <v>2891</v>
      </c>
      <c r="M24" t="s">
        <v>337</v>
      </c>
      <c r="N24" t="s">
        <v>1933</v>
      </c>
      <c r="O24" t="s">
        <v>474</v>
      </c>
      <c r="P24">
        <v>11.62</v>
      </c>
      <c r="Q24" t="s">
        <v>531</v>
      </c>
      <c r="R24">
        <v>29721795</v>
      </c>
      <c r="S24" s="6">
        <v>0.45660000000000001</v>
      </c>
      <c r="T24" t="s">
        <v>141</v>
      </c>
      <c r="U24">
        <v>515904790</v>
      </c>
      <c r="V24">
        <v>620332090</v>
      </c>
      <c r="W24">
        <v>1.4</v>
      </c>
      <c r="X24">
        <v>0.08</v>
      </c>
      <c r="Y24">
        <v>11.66</v>
      </c>
      <c r="Z24" t="s">
        <v>117</v>
      </c>
      <c r="AA24" t="s">
        <v>123</v>
      </c>
      <c r="AB24" t="s">
        <v>3127</v>
      </c>
      <c r="AC24" t="s">
        <v>3128</v>
      </c>
      <c r="AD24" t="s">
        <v>2</v>
      </c>
      <c r="AE24">
        <v>-1140335</v>
      </c>
      <c r="AF24" t="s">
        <v>2180</v>
      </c>
      <c r="AG24" t="s">
        <v>3129</v>
      </c>
      <c r="AH24" t="s">
        <v>2181</v>
      </c>
      <c r="AI24" t="s">
        <v>412</v>
      </c>
      <c r="AJ24" t="s">
        <v>2182</v>
      </c>
      <c r="AK24" t="s">
        <v>3130</v>
      </c>
      <c r="AL24" t="s">
        <v>2183</v>
      </c>
      <c r="AM24" t="s">
        <v>2</v>
      </c>
      <c r="AN24" t="s">
        <v>3131</v>
      </c>
      <c r="AO24" t="s">
        <v>2172</v>
      </c>
      <c r="AP24" t="s">
        <v>3132</v>
      </c>
      <c r="AQ24" t="s">
        <v>1399</v>
      </c>
      <c r="AR24" t="s">
        <v>3133</v>
      </c>
      <c r="AS24" t="s">
        <v>153</v>
      </c>
      <c r="AT24" t="s">
        <v>134</v>
      </c>
      <c r="AU24" t="s">
        <v>3134</v>
      </c>
      <c r="AV24" t="s">
        <v>3135</v>
      </c>
      <c r="AW24" t="s">
        <v>3136</v>
      </c>
      <c r="AX24" t="s">
        <v>1467</v>
      </c>
      <c r="AY24" t="s">
        <v>597</v>
      </c>
      <c r="AZ24" t="s">
        <v>880</v>
      </c>
      <c r="BA24" t="s">
        <v>389</v>
      </c>
      <c r="BB24" t="s">
        <v>270</v>
      </c>
      <c r="BC24" t="s">
        <v>2184</v>
      </c>
      <c r="BD24" t="s">
        <v>276</v>
      </c>
      <c r="BE24" t="s">
        <v>314</v>
      </c>
      <c r="BF24" t="s">
        <v>160</v>
      </c>
      <c r="BG24" t="s">
        <v>249</v>
      </c>
      <c r="BH24" t="s">
        <v>531</v>
      </c>
      <c r="BI24" t="s">
        <v>227</v>
      </c>
      <c r="BJ24" t="s">
        <v>1467</v>
      </c>
      <c r="BK24" t="s">
        <v>141</v>
      </c>
      <c r="BL24" t="s">
        <v>2185</v>
      </c>
      <c r="BM24" t="s">
        <v>2184</v>
      </c>
      <c r="BN24">
        <v>6.75</v>
      </c>
      <c r="BO24">
        <v>1.94</v>
      </c>
      <c r="BP24">
        <v>10.66</v>
      </c>
      <c r="BQ24">
        <v>7.54</v>
      </c>
      <c r="BR24">
        <v>2.78</v>
      </c>
      <c r="BS24">
        <v>14.9</v>
      </c>
      <c r="BT24" t="s">
        <v>1531</v>
      </c>
      <c r="BU24" t="s">
        <v>1445</v>
      </c>
      <c r="BV24">
        <v>34.44</v>
      </c>
      <c r="BW24">
        <v>31.29</v>
      </c>
      <c r="BX24">
        <v>33.47</v>
      </c>
      <c r="BY24">
        <v>11.44</v>
      </c>
      <c r="BZ24">
        <v>3.98</v>
      </c>
      <c r="CA24">
        <v>16.329999999999998</v>
      </c>
      <c r="CB24">
        <v>2.17</v>
      </c>
      <c r="CC24">
        <v>19.829999999999998</v>
      </c>
      <c r="CD24" t="s">
        <v>25</v>
      </c>
      <c r="CE24" t="s">
        <v>507</v>
      </c>
      <c r="CF24" s="10">
        <v>0.11894273127753303</v>
      </c>
      <c r="CG24" s="11">
        <v>0.4565937270276893</v>
      </c>
      <c r="CH24" s="10">
        <v>0.22076848149299622</v>
      </c>
      <c r="CI24" s="10">
        <v>-0.19592365622520447</v>
      </c>
      <c r="CJ24" s="10">
        <v>-2.6248440146446228E-2</v>
      </c>
      <c r="CK24" s="10">
        <v>0.34771347045898438</v>
      </c>
      <c r="CL24" s="10">
        <v>0.10066483169794083</v>
      </c>
      <c r="CM24" s="11">
        <v>1.9843845367431641</v>
      </c>
      <c r="CN24" s="11">
        <v>-0.76905018091201782</v>
      </c>
      <c r="CO24" s="11">
        <v>0.17840375006198883</v>
      </c>
      <c r="CP24" s="11">
        <v>0.56617647409439087</v>
      </c>
      <c r="CQ24" s="11">
        <v>1.5528454780578613</v>
      </c>
      <c r="CR24">
        <v>53.82864510288077</v>
      </c>
      <c r="CS24">
        <v>6.021442224240424</v>
      </c>
      <c r="CT24">
        <v>0.82742316784869963</v>
      </c>
      <c r="CU24" s="10">
        <v>8.9394937455654147E-2</v>
      </c>
      <c r="CV24" s="11">
        <v>0.70255201160907743</v>
      </c>
      <c r="CW24">
        <v>0.06</v>
      </c>
      <c r="CX24">
        <v>22.593174540357943</v>
      </c>
      <c r="CY24">
        <v>177797475.64134732</v>
      </c>
      <c r="CZ24">
        <v>8.9394937455654147E-2</v>
      </c>
      <c r="DA24">
        <v>7.38702275099131</v>
      </c>
      <c r="DB24">
        <v>543792747.82400429</v>
      </c>
      <c r="DC24">
        <v>8.4925190582871429E-2</v>
      </c>
      <c r="DD24">
        <v>3.6389524082750389</v>
      </c>
      <c r="DE24">
        <v>1103891710.9400094</v>
      </c>
      <c r="DF24">
        <v>7.8667544960975652E-2</v>
      </c>
      <c r="DG24">
        <v>2.1869423466827729</v>
      </c>
      <c r="DH24">
        <v>1836815408.5511827</v>
      </c>
      <c r="DI24">
        <v>7.1515949964523318E-2</v>
      </c>
      <c r="DJ24">
        <v>1.131654355595302</v>
      </c>
      <c r="DK24">
        <v>3549678733.7392159</v>
      </c>
      <c r="DL24">
        <v>6.2576456218957896E-2</v>
      </c>
      <c r="DM24">
        <v>173000000</v>
      </c>
      <c r="DN24">
        <v>8.9394937455654147E-2</v>
      </c>
      <c r="DO24">
        <v>4017009400</v>
      </c>
      <c r="DP24">
        <v>1543917100</v>
      </c>
      <c r="DQ24">
        <v>953</v>
      </c>
      <c r="DR24">
        <v>2.9547793821878887E-2</v>
      </c>
      <c r="DS24">
        <v>-0.24595828458138813</v>
      </c>
      <c r="DT24" s="12">
        <v>-0.3066666666666667</v>
      </c>
      <c r="DU24">
        <v>0.67</v>
      </c>
      <c r="DV24">
        <v>0.36333333333333334</v>
      </c>
      <c r="DW24">
        <v>3.0433154761904762</v>
      </c>
      <c r="DX24">
        <v>0.38905027932960923</v>
      </c>
      <c r="DY24">
        <v>3.0099214219207235</v>
      </c>
      <c r="DZ24">
        <v>925</v>
      </c>
      <c r="EA24">
        <v>3.0081254698117865</v>
      </c>
      <c r="EB24">
        <v>3</v>
      </c>
      <c r="EC24">
        <v>0.19828089177201844</v>
      </c>
      <c r="ED24">
        <v>0.86566535676076339</v>
      </c>
      <c r="EE24" s="13">
        <v>-1.02111</v>
      </c>
      <c r="EF24">
        <v>-1.0444100000000001</v>
      </c>
      <c r="EG24">
        <v>16.229050279329609</v>
      </c>
      <c r="EH24" t="s">
        <v>1550</v>
      </c>
      <c r="EI24">
        <v>0</v>
      </c>
      <c r="EJ24">
        <v>1</v>
      </c>
      <c r="EK24" s="14">
        <v>45470</v>
      </c>
      <c r="EL24">
        <v>-2.2200000000000002</v>
      </c>
      <c r="EM24">
        <v>-2.27</v>
      </c>
      <c r="EN24">
        <v>-0.9</v>
      </c>
      <c r="EO24">
        <v>0.26</v>
      </c>
      <c r="EP24">
        <v>-2.33</v>
      </c>
    </row>
    <row r="25" spans="1:146" ht="96" x14ac:dyDescent="0.25">
      <c r="A25" s="8"/>
      <c r="B25" s="8"/>
      <c r="C25" s="8" t="str">
        <f>""&amp;CHAR(10)&amp;Basic_Fundamental_Information_Constructure(F25)&amp;CHAR(10)&amp;Basic_Fundamental_Information_Concatenate("")</f>
        <v xml:space="preserve">
市值27.6538亿, 利润2.51亿; PE10.29; 平均PE-121.9; 平均PEG-34.69, PB1.67; ROIC11.215%; ROE5%; 股利率1.5347%; 毛利10.8467%; 净利1.23%; 上一年度营收增3.73%, 利润增624.03%; 当季营收增-3.02%, 利润增40.4%; 过往5年营收增-3.51%, 利润增-8.04%
Income profile:
</v>
      </c>
      <c r="D25" t="s">
        <v>1047</v>
      </c>
      <c r="E25" t="s">
        <v>1048</v>
      </c>
      <c r="F25">
        <v>2.02</v>
      </c>
      <c r="G25">
        <v>0.5</v>
      </c>
      <c r="H25" t="s">
        <v>3137</v>
      </c>
      <c r="I25">
        <v>2765380000</v>
      </c>
      <c r="J25">
        <v>10.29</v>
      </c>
      <c r="K25">
        <v>1.67</v>
      </c>
      <c r="L25" t="s">
        <v>2891</v>
      </c>
      <c r="M25" t="s">
        <v>2186</v>
      </c>
      <c r="N25" t="s">
        <v>1201</v>
      </c>
      <c r="O25" t="s">
        <v>1620</v>
      </c>
      <c r="P25">
        <v>-3.04</v>
      </c>
      <c r="Q25" t="s">
        <v>2187</v>
      </c>
      <c r="R25">
        <v>-26309319</v>
      </c>
      <c r="S25" s="6">
        <v>0.40400000000000003</v>
      </c>
      <c r="T25" t="s">
        <v>276</v>
      </c>
      <c r="U25">
        <v>1266070580</v>
      </c>
      <c r="V25">
        <v>1369000000</v>
      </c>
      <c r="W25">
        <v>3.12</v>
      </c>
      <c r="X25">
        <v>0.19</v>
      </c>
      <c r="Y25">
        <v>-2.5499999999999998</v>
      </c>
      <c r="Z25" t="s">
        <v>940</v>
      </c>
      <c r="AA25" t="s">
        <v>760</v>
      </c>
      <c r="AB25" t="s">
        <v>3138</v>
      </c>
      <c r="AC25" t="s">
        <v>3139</v>
      </c>
      <c r="AD25" t="s">
        <v>2</v>
      </c>
      <c r="AE25">
        <v>21715717</v>
      </c>
      <c r="AF25" t="s">
        <v>2188</v>
      </c>
      <c r="AG25" t="s">
        <v>3140</v>
      </c>
      <c r="AH25" t="s">
        <v>2189</v>
      </c>
      <c r="AI25" t="s">
        <v>153</v>
      </c>
      <c r="AJ25" t="s">
        <v>2190</v>
      </c>
      <c r="AK25" t="s">
        <v>72</v>
      </c>
      <c r="AL25" t="s">
        <v>2191</v>
      </c>
      <c r="AM25" t="s">
        <v>2</v>
      </c>
      <c r="AN25" t="s">
        <v>3141</v>
      </c>
      <c r="AO25" t="s">
        <v>1876</v>
      </c>
      <c r="AP25" t="s">
        <v>243</v>
      </c>
      <c r="AQ25" t="s">
        <v>656</v>
      </c>
      <c r="AR25" t="s">
        <v>2</v>
      </c>
      <c r="AS25" t="s">
        <v>1626</v>
      </c>
      <c r="AT25" t="s">
        <v>2</v>
      </c>
      <c r="AU25" t="s">
        <v>1581</v>
      </c>
      <c r="AV25" t="s">
        <v>3142</v>
      </c>
      <c r="AW25" t="s">
        <v>3143</v>
      </c>
      <c r="AX25" t="s">
        <v>1604</v>
      </c>
      <c r="AY25" t="s">
        <v>1299</v>
      </c>
      <c r="AZ25" t="s">
        <v>1049</v>
      </c>
      <c r="BA25" t="s">
        <v>1050</v>
      </c>
      <c r="BB25" t="s">
        <v>1051</v>
      </c>
      <c r="BC25" t="s">
        <v>2193</v>
      </c>
      <c r="BD25" t="s">
        <v>1300</v>
      </c>
      <c r="BE25" t="s">
        <v>1242</v>
      </c>
      <c r="BF25" t="s">
        <v>1052</v>
      </c>
      <c r="BG25" t="s">
        <v>1053</v>
      </c>
      <c r="BH25" t="s">
        <v>2187</v>
      </c>
      <c r="BI25" t="s">
        <v>1345</v>
      </c>
      <c r="BJ25" t="s">
        <v>1604</v>
      </c>
      <c r="BK25" t="s">
        <v>276</v>
      </c>
      <c r="BL25" t="s">
        <v>2194</v>
      </c>
      <c r="BM25" t="s">
        <v>2193</v>
      </c>
      <c r="BN25">
        <v>9.16</v>
      </c>
      <c r="BO25" t="s">
        <v>2</v>
      </c>
      <c r="BP25">
        <v>13.27</v>
      </c>
      <c r="BQ25">
        <v>16.8</v>
      </c>
      <c r="BR25">
        <v>-3.62</v>
      </c>
      <c r="BS25">
        <v>1.82</v>
      </c>
      <c r="BT25" t="s">
        <v>2195</v>
      </c>
      <c r="BU25" t="s">
        <v>1274</v>
      </c>
      <c r="BV25">
        <v>10.31</v>
      </c>
      <c r="BW25">
        <v>10.85</v>
      </c>
      <c r="BX25">
        <v>11.38</v>
      </c>
      <c r="BY25">
        <v>4.07</v>
      </c>
      <c r="BZ25">
        <v>-0.83</v>
      </c>
      <c r="CA25">
        <v>0.45</v>
      </c>
      <c r="CB25">
        <v>3.59</v>
      </c>
      <c r="CC25">
        <v>-15.13</v>
      </c>
      <c r="CD25" t="s">
        <v>144</v>
      </c>
      <c r="CE25" t="s">
        <v>976</v>
      </c>
      <c r="CF25" s="10">
        <v>-3.0217186024551465E-2</v>
      </c>
      <c r="CG25" s="11">
        <v>0.40396013158073601</v>
      </c>
      <c r="CH25" s="10">
        <v>3.7345148622989655E-2</v>
      </c>
      <c r="CI25" s="10">
        <v>1.8707156414166093E-3</v>
      </c>
      <c r="CJ25" s="10">
        <v>8.1876762211322784E-2</v>
      </c>
      <c r="CK25" s="10">
        <v>-0.26364997029304504</v>
      </c>
      <c r="CL25" s="10">
        <v>-3.314116969704628E-2</v>
      </c>
      <c r="CM25" s="11">
        <v>6.240269660949707</v>
      </c>
      <c r="CN25" s="11">
        <v>-2.7484769821166992</v>
      </c>
      <c r="CO25" s="11">
        <v>1.5017397403717041</v>
      </c>
      <c r="CP25" s="11">
        <v>1.0236504077911377</v>
      </c>
      <c r="CQ25" s="11">
        <v>-6.4189949035644531</v>
      </c>
      <c r="CR25">
        <v>-121.90014671557672</v>
      </c>
      <c r="CS25">
        <v>-34.690147422793117</v>
      </c>
      <c r="CT25">
        <v>1.5346534653465347</v>
      </c>
      <c r="CU25" s="10">
        <v>-3.5139702702872457E-2</v>
      </c>
      <c r="CV25" s="11">
        <v>-8.0362415313720709E-2</v>
      </c>
      <c r="CW25">
        <v>0.06</v>
      </c>
      <c r="CX25" t="e">
        <v>#VALUE!</v>
      </c>
      <c r="CY25" t="s">
        <v>1402</v>
      </c>
      <c r="CZ25">
        <v>-3.5139702702872457E-2</v>
      </c>
      <c r="DA25">
        <v>6.7202921646746345</v>
      </c>
      <c r="DB25" t="s">
        <v>2196</v>
      </c>
      <c r="DC25">
        <v>-3.3382717567728835E-2</v>
      </c>
      <c r="DD25">
        <v>3.3601460823373173</v>
      </c>
      <c r="DE25" t="s">
        <v>2197</v>
      </c>
      <c r="DF25">
        <v>-3.0922938378527762E-2</v>
      </c>
      <c r="DG25">
        <v>2.0160876494023903</v>
      </c>
      <c r="DH25" t="s">
        <v>2198</v>
      </c>
      <c r="DI25">
        <v>-2.8111762162297965E-2</v>
      </c>
      <c r="DJ25">
        <v>1.0080438247011951</v>
      </c>
      <c r="DK25" t="s">
        <v>2199</v>
      </c>
      <c r="DL25">
        <v>-2.459779189201072E-2</v>
      </c>
      <c r="DM25">
        <v>250999999.99999997</v>
      </c>
      <c r="DN25">
        <v>-3.5139702702872457E-2</v>
      </c>
      <c r="DO25">
        <v>5060380000</v>
      </c>
      <c r="DP25">
        <v>386773099.99999952</v>
      </c>
      <c r="DQ25">
        <v>971</v>
      </c>
      <c r="DR25">
        <v>4.9225166783209914E-3</v>
      </c>
      <c r="DS25">
        <v>0.48432254689445675</v>
      </c>
      <c r="DT25" s="12">
        <v>-0.55666666666666664</v>
      </c>
      <c r="DU25">
        <v>-0.9916666666666667</v>
      </c>
      <c r="DV25">
        <v>-1.5483333333333333</v>
      </c>
      <c r="DW25">
        <v>6.1917735042735043</v>
      </c>
      <c r="DX25">
        <v>0.30218612300271186</v>
      </c>
      <c r="DY25">
        <v>6.0176788558536183</v>
      </c>
      <c r="DZ25">
        <v>4056</v>
      </c>
      <c r="EA25">
        <v>6.0036464802484764</v>
      </c>
      <c r="EB25">
        <v>6</v>
      </c>
      <c r="EC25">
        <v>7.6698319941563189E-2</v>
      </c>
      <c r="ED25">
        <v>0.83199415631848062</v>
      </c>
      <c r="EE25" s="13">
        <v>1.7099999999999997E-2</v>
      </c>
      <c r="EF25">
        <v>1.3209999999999996E-2</v>
      </c>
      <c r="EG25">
        <v>21.092186123002712</v>
      </c>
      <c r="EH25">
        <v>-1</v>
      </c>
      <c r="EI25">
        <v>0</v>
      </c>
      <c r="EJ25">
        <v>0</v>
      </c>
      <c r="EK25" s="14">
        <v>45470</v>
      </c>
      <c r="EL25">
        <v>-2</v>
      </c>
      <c r="EM25">
        <v>-4.08</v>
      </c>
      <c r="EN25">
        <v>1.06</v>
      </c>
      <c r="EO25">
        <v>4.21</v>
      </c>
      <c r="EP25">
        <v>-3.03</v>
      </c>
    </row>
    <row r="26" spans="1:146" ht="120" x14ac:dyDescent="0.25">
      <c r="A26" s="8" t="s">
        <v>1481</v>
      </c>
      <c r="B26" s="8" t="s">
        <v>1482</v>
      </c>
      <c r="C26" s="8" t="str">
        <f>"公司是一家主营电线电缆及电缆附件的研发、生产、销售与安装服务,致力于为客户提供电缆及附件的全套解决方案的公司。"&amp;CHAR(10)&amp;Basic_Fundamental_Information_Constructure(F26)&amp;CHAR(10)&amp;Basic_Fundamental_Information_Concatenate("电力电缆 30.71亿 65.55% 90.85% 23.38%
裸电线 7.98亿 17.04% 9.15% 9.05%")</f>
        <v>公司是一家主营电线电缆及电缆附件的研发、生产、销售与安装服务,致力于为客户提供电缆及附件的全套解决方案的公司。
市值107.78819亿, 利润7.60亿; PE13.71; 平均PE18.16; 平均PEG1.5, PB1.36; ROIC10.14%; ROE11.4133%; 股利率1.1111%; 毛利20.15%; 净利8.09%; 上一年度营收增-1.87%, 利润增-3.31%; 当季营收增13.11%, 利润增14.93%; 过往5年营收增12.08%, 利润增32.4%
Income profile:
电力电缆 30.71亿 65.55% 90.85% 23.38%
裸电线 7.98亿 17.04% 9.15% 9.05%</v>
      </c>
      <c r="D26" t="s">
        <v>1055</v>
      </c>
      <c r="E26" t="s">
        <v>1056</v>
      </c>
      <c r="F26">
        <v>3.24</v>
      </c>
      <c r="G26">
        <v>0.93</v>
      </c>
      <c r="H26" t="s">
        <v>3144</v>
      </c>
      <c r="I26">
        <v>10778819000</v>
      </c>
      <c r="J26">
        <v>13.71</v>
      </c>
      <c r="K26">
        <v>1.36</v>
      </c>
      <c r="L26" t="s">
        <v>2891</v>
      </c>
      <c r="M26" t="s">
        <v>2200</v>
      </c>
      <c r="N26" t="s">
        <v>3145</v>
      </c>
      <c r="O26" t="s">
        <v>1204</v>
      </c>
      <c r="P26">
        <v>13.07</v>
      </c>
      <c r="Q26" t="s">
        <v>2201</v>
      </c>
      <c r="R26">
        <v>201125680</v>
      </c>
      <c r="S26" s="6">
        <v>0.1479</v>
      </c>
      <c r="T26" t="s">
        <v>1431</v>
      </c>
      <c r="U26">
        <v>3326796000</v>
      </c>
      <c r="V26">
        <v>3326796000</v>
      </c>
      <c r="W26">
        <v>1.31</v>
      </c>
      <c r="X26">
        <v>0.17</v>
      </c>
      <c r="Y26">
        <v>11.16</v>
      </c>
      <c r="Z26" t="s">
        <v>1206</v>
      </c>
      <c r="AA26" t="s">
        <v>3146</v>
      </c>
      <c r="AB26" t="s">
        <v>3147</v>
      </c>
      <c r="AC26" t="s">
        <v>3148</v>
      </c>
      <c r="AD26" t="s">
        <v>2</v>
      </c>
      <c r="AE26">
        <v>-813636</v>
      </c>
      <c r="AF26" t="s">
        <v>2202</v>
      </c>
      <c r="AG26" t="s">
        <v>3149</v>
      </c>
      <c r="AH26" t="s">
        <v>2203</v>
      </c>
      <c r="AI26" t="s">
        <v>1487</v>
      </c>
      <c r="AJ26" t="s">
        <v>2204</v>
      </c>
      <c r="AK26" t="s">
        <v>207</v>
      </c>
      <c r="AL26" t="s">
        <v>2205</v>
      </c>
      <c r="AM26" t="s">
        <v>2</v>
      </c>
      <c r="AN26" t="s">
        <v>222</v>
      </c>
      <c r="AO26" t="s">
        <v>1435</v>
      </c>
      <c r="AP26" t="s">
        <v>3150</v>
      </c>
      <c r="AQ26" t="s">
        <v>600</v>
      </c>
      <c r="AR26" t="s">
        <v>2</v>
      </c>
      <c r="AS26" t="s">
        <v>3151</v>
      </c>
      <c r="AT26" t="s">
        <v>2</v>
      </c>
      <c r="AU26" t="s">
        <v>1454</v>
      </c>
      <c r="AV26" t="s">
        <v>3152</v>
      </c>
      <c r="AW26" t="s">
        <v>3153</v>
      </c>
      <c r="AX26" t="s">
        <v>1605</v>
      </c>
      <c r="AY26" t="s">
        <v>1301</v>
      </c>
      <c r="AZ26" t="s">
        <v>1057</v>
      </c>
      <c r="BA26" t="s">
        <v>478</v>
      </c>
      <c r="BB26" t="s">
        <v>1059</v>
      </c>
      <c r="BC26" t="s">
        <v>1434</v>
      </c>
      <c r="BD26" t="s">
        <v>649</v>
      </c>
      <c r="BE26" t="s">
        <v>819</v>
      </c>
      <c r="BF26" t="s">
        <v>329</v>
      </c>
      <c r="BG26" t="s">
        <v>368</v>
      </c>
      <c r="BH26" t="s">
        <v>2201</v>
      </c>
      <c r="BI26" t="s">
        <v>1493</v>
      </c>
      <c r="BJ26" t="s">
        <v>1605</v>
      </c>
      <c r="BK26" t="s">
        <v>1431</v>
      </c>
      <c r="BL26" t="s">
        <v>220</v>
      </c>
      <c r="BM26" t="s">
        <v>1434</v>
      </c>
      <c r="BN26">
        <v>8.2200000000000006</v>
      </c>
      <c r="BO26">
        <v>10.27</v>
      </c>
      <c r="BP26">
        <v>11.93</v>
      </c>
      <c r="BQ26">
        <v>9.6300000000000008</v>
      </c>
      <c r="BR26">
        <v>11.71</v>
      </c>
      <c r="BS26">
        <v>12.9</v>
      </c>
      <c r="BT26" t="s">
        <v>1532</v>
      </c>
      <c r="BU26" t="s">
        <v>1274</v>
      </c>
      <c r="BV26">
        <v>19.66</v>
      </c>
      <c r="BW26">
        <v>20.239999999999998</v>
      </c>
      <c r="BX26">
        <v>20.55</v>
      </c>
      <c r="BY26">
        <v>7.78</v>
      </c>
      <c r="BZ26">
        <v>7.9</v>
      </c>
      <c r="CA26">
        <v>8.59</v>
      </c>
      <c r="CB26">
        <v>-1.52</v>
      </c>
      <c r="CC26">
        <v>-12.29</v>
      </c>
      <c r="CD26" t="s">
        <v>3154</v>
      </c>
      <c r="CE26" t="s">
        <v>137</v>
      </c>
      <c r="CF26" s="10">
        <v>0.13109563014566181</v>
      </c>
      <c r="CG26" s="11">
        <v>0.14928959999999999</v>
      </c>
      <c r="CH26" s="10">
        <v>-1.869533583521843E-2</v>
      </c>
      <c r="CI26" s="10">
        <v>9.5869019627571106E-2</v>
      </c>
      <c r="CJ26" s="10">
        <v>0.2918584942817688</v>
      </c>
      <c r="CK26" s="10">
        <v>0.12491913884878159</v>
      </c>
      <c r="CL26" s="10">
        <v>0.10991374403238297</v>
      </c>
      <c r="CM26" s="11">
        <v>-3.3078879117965698E-2</v>
      </c>
      <c r="CN26" s="11">
        <v>1.1583011597394943E-2</v>
      </c>
      <c r="CO26" s="11">
        <v>0.33276158571243286</v>
      </c>
      <c r="CP26" s="11">
        <v>0.34022989869117737</v>
      </c>
      <c r="CQ26" s="11">
        <v>0.96832579374313354</v>
      </c>
      <c r="CR26">
        <v>18.156348680516565</v>
      </c>
      <c r="CS26">
        <v>1.5033448575244674</v>
      </c>
      <c r="CT26">
        <v>1.1111111111111109</v>
      </c>
      <c r="CU26" s="10">
        <v>0.12077301219105721</v>
      </c>
      <c r="CV26" s="11">
        <v>0.32396428212523459</v>
      </c>
      <c r="CW26">
        <v>0.06</v>
      </c>
      <c r="CX26">
        <v>6.6687386367932753</v>
      </c>
      <c r="CY26">
        <v>803573103.08038068</v>
      </c>
      <c r="CZ26">
        <v>0.12077301219105721</v>
      </c>
      <c r="DA26">
        <v>2.123422019179888</v>
      </c>
      <c r="DB26">
        <v>2523671202.2368937</v>
      </c>
      <c r="DC26">
        <v>0.11473436158150435</v>
      </c>
      <c r="DD26">
        <v>1.0092313537612976</v>
      </c>
      <c r="DE26">
        <v>5309802336.2316809</v>
      </c>
      <c r="DF26">
        <v>0.10628025072813034</v>
      </c>
      <c r="DG26">
        <v>0.58219433900196738</v>
      </c>
      <c r="DH26">
        <v>9204519248.9958096</v>
      </c>
      <c r="DI26">
        <v>9.6618409752845774E-2</v>
      </c>
      <c r="DJ26">
        <v>0.27483885390677154</v>
      </c>
      <c r="DK26">
        <v>19498040119.967072</v>
      </c>
      <c r="DL26">
        <v>8.4541108533740042E-2</v>
      </c>
      <c r="DM26">
        <v>760000000</v>
      </c>
      <c r="DN26">
        <v>0.12077301219105721</v>
      </c>
      <c r="DO26">
        <v>5358819000</v>
      </c>
      <c r="DP26">
        <v>5125980400</v>
      </c>
      <c r="DQ26">
        <v>996</v>
      </c>
      <c r="DR26">
        <v>1.0322617954604596E-2</v>
      </c>
      <c r="DS26">
        <v>-0.1746746821252346</v>
      </c>
      <c r="DT26" s="12">
        <v>-0.3066666666666667</v>
      </c>
      <c r="DU26">
        <v>0.45</v>
      </c>
      <c r="DV26">
        <v>0.14333333333333331</v>
      </c>
      <c r="DW26">
        <v>-2.1229</v>
      </c>
      <c r="DX26">
        <v>0.38016490486257992</v>
      </c>
      <c r="DY26">
        <v>-2.0172262668076111</v>
      </c>
      <c r="DZ26">
        <v>1379</v>
      </c>
      <c r="EA26">
        <v>-2.0125775345321326</v>
      </c>
      <c r="EB26">
        <v>2</v>
      </c>
      <c r="EC26">
        <v>1.9928483742315428E-2</v>
      </c>
      <c r="ED26">
        <v>0.14217884114325016</v>
      </c>
      <c r="EE26" s="13">
        <v>3.0810000000000001E-2</v>
      </c>
      <c r="EF26">
        <v>6.6710000000000005E-2</v>
      </c>
      <c r="EG26">
        <v>24.14016490486258</v>
      </c>
      <c r="EH26">
        <v>-1</v>
      </c>
      <c r="EI26">
        <v>0</v>
      </c>
      <c r="EJ26">
        <v>1</v>
      </c>
      <c r="EK26" s="14">
        <v>45470</v>
      </c>
      <c r="EL26">
        <v>-1.49</v>
      </c>
      <c r="EM26">
        <v>-3.32</v>
      </c>
      <c r="EN26">
        <v>0.94</v>
      </c>
      <c r="EO26">
        <v>3.41</v>
      </c>
      <c r="EP26">
        <v>-3.59</v>
      </c>
    </row>
    <row r="27" spans="1:146" ht="192" x14ac:dyDescent="0.25">
      <c r="A27" s="9" t="s">
        <v>1429</v>
      </c>
      <c r="B27" s="9" t="s">
        <v>1221</v>
      </c>
      <c r="C27" s="9" t="s">
        <v>1476</v>
      </c>
      <c r="D27" t="s">
        <v>1060</v>
      </c>
      <c r="E27" t="s">
        <v>1061</v>
      </c>
      <c r="F27">
        <v>9.68</v>
      </c>
      <c r="G27">
        <v>1.26</v>
      </c>
      <c r="H27" t="s">
        <v>3155</v>
      </c>
      <c r="I27">
        <v>7104549500</v>
      </c>
      <c r="J27">
        <v>13.11</v>
      </c>
      <c r="K27">
        <v>1.78</v>
      </c>
      <c r="L27" t="s">
        <v>2891</v>
      </c>
      <c r="M27" t="s">
        <v>2208</v>
      </c>
      <c r="N27" t="s">
        <v>3156</v>
      </c>
      <c r="O27" t="s">
        <v>1928</v>
      </c>
      <c r="P27">
        <v>19.010000000000002</v>
      </c>
      <c r="Q27" t="s">
        <v>2209</v>
      </c>
      <c r="R27">
        <v>133951869</v>
      </c>
      <c r="S27" s="6">
        <v>0.1658</v>
      </c>
      <c r="T27" t="s">
        <v>1188</v>
      </c>
      <c r="U27">
        <v>627499810</v>
      </c>
      <c r="V27">
        <v>733941060</v>
      </c>
      <c r="W27">
        <v>1.88</v>
      </c>
      <c r="X27">
        <v>0.41</v>
      </c>
      <c r="Y27">
        <v>4.2</v>
      </c>
      <c r="Z27" t="s">
        <v>2629</v>
      </c>
      <c r="AA27" t="s">
        <v>3157</v>
      </c>
      <c r="AB27" t="s">
        <v>3158</v>
      </c>
      <c r="AC27" t="s">
        <v>3159</v>
      </c>
      <c r="AD27" t="s">
        <v>2</v>
      </c>
      <c r="AE27">
        <v>5516228</v>
      </c>
      <c r="AF27" t="s">
        <v>2210</v>
      </c>
      <c r="AG27" t="s">
        <v>3160</v>
      </c>
      <c r="AH27" t="s">
        <v>2211</v>
      </c>
      <c r="AI27" t="s">
        <v>1807</v>
      </c>
      <c r="AJ27" t="s">
        <v>2212</v>
      </c>
      <c r="AK27" t="s">
        <v>394</v>
      </c>
      <c r="AL27" t="s">
        <v>2213</v>
      </c>
      <c r="AM27" t="s">
        <v>2</v>
      </c>
      <c r="AN27" t="s">
        <v>3161</v>
      </c>
      <c r="AO27" t="s">
        <v>244</v>
      </c>
      <c r="AP27" t="s">
        <v>612</v>
      </c>
      <c r="AQ27" t="s">
        <v>542</v>
      </c>
      <c r="AR27" t="s">
        <v>3162</v>
      </c>
      <c r="AS27" t="s">
        <v>3163</v>
      </c>
      <c r="AT27" t="s">
        <v>3164</v>
      </c>
      <c r="AU27" t="s">
        <v>3165</v>
      </c>
      <c r="AV27" t="s">
        <v>1843</v>
      </c>
      <c r="AW27" t="s">
        <v>3166</v>
      </c>
      <c r="AX27" t="s">
        <v>1608</v>
      </c>
      <c r="AY27" t="s">
        <v>1304</v>
      </c>
      <c r="AZ27" t="s">
        <v>1062</v>
      </c>
      <c r="BA27" t="s">
        <v>1063</v>
      </c>
      <c r="BB27" t="s">
        <v>1064</v>
      </c>
      <c r="BC27" t="s">
        <v>1166</v>
      </c>
      <c r="BD27" t="s">
        <v>22</v>
      </c>
      <c r="BE27" t="s">
        <v>533</v>
      </c>
      <c r="BF27" t="s">
        <v>233</v>
      </c>
      <c r="BG27" t="s">
        <v>69</v>
      </c>
      <c r="BH27" t="s">
        <v>2209</v>
      </c>
      <c r="BI27" t="s">
        <v>1690</v>
      </c>
      <c r="BJ27" t="s">
        <v>1608</v>
      </c>
      <c r="BK27" t="s">
        <v>1188</v>
      </c>
      <c r="BL27" t="s">
        <v>151</v>
      </c>
      <c r="BM27" t="s">
        <v>1166</v>
      </c>
      <c r="BN27">
        <v>8.7899999999999991</v>
      </c>
      <c r="BO27">
        <v>9.6999999999999993</v>
      </c>
      <c r="BP27">
        <v>8.69</v>
      </c>
      <c r="BQ27">
        <v>9.77</v>
      </c>
      <c r="BR27">
        <v>10.5</v>
      </c>
      <c r="BS27">
        <v>9.8000000000000007</v>
      </c>
      <c r="BT27" t="s">
        <v>1545</v>
      </c>
      <c r="BU27" t="s">
        <v>1274</v>
      </c>
      <c r="BV27">
        <v>11.29</v>
      </c>
      <c r="BW27">
        <v>11.54</v>
      </c>
      <c r="BX27">
        <v>12.4</v>
      </c>
      <c r="BY27">
        <v>3.87</v>
      </c>
      <c r="BZ27">
        <v>3.17</v>
      </c>
      <c r="CA27">
        <v>2.78</v>
      </c>
      <c r="CB27">
        <v>-2.71</v>
      </c>
      <c r="CC27">
        <v>4.54</v>
      </c>
      <c r="CD27" t="s">
        <v>3167</v>
      </c>
      <c r="CE27" t="s">
        <v>94</v>
      </c>
      <c r="CF27" s="10">
        <v>0.19026698208854342</v>
      </c>
      <c r="CG27" s="11">
        <v>0.16479886086956536</v>
      </c>
      <c r="CH27" s="10">
        <v>0.15829730033874512</v>
      </c>
      <c r="CI27" s="10">
        <v>2.8912119567394257E-2</v>
      </c>
      <c r="CJ27" s="10">
        <v>0.64597237110137939</v>
      </c>
      <c r="CK27" s="10">
        <v>0.33401781320571899</v>
      </c>
      <c r="CL27" s="10">
        <v>0.23317155241966248</v>
      </c>
      <c r="CM27" s="11">
        <v>0.40970349311828613</v>
      </c>
      <c r="CN27" s="11">
        <v>0.12084592133760452</v>
      </c>
      <c r="CO27" s="11">
        <v>0.32400000095367432</v>
      </c>
      <c r="CP27" s="11">
        <v>0.26262626051902771</v>
      </c>
      <c r="CQ27" s="11">
        <v>0.4887218177318573</v>
      </c>
      <c r="CR27">
        <v>23.603154485049835</v>
      </c>
      <c r="CS27">
        <v>0.8427463809595328</v>
      </c>
      <c r="CT27">
        <v>4.1322314049586781</v>
      </c>
      <c r="CU27" s="10">
        <v>0.28007423132658005</v>
      </c>
      <c r="CV27" s="11">
        <v>0.32117949873209001</v>
      </c>
      <c r="CW27">
        <v>0.06</v>
      </c>
      <c r="CX27">
        <v>11.625614138639182</v>
      </c>
      <c r="CY27">
        <v>631583795.26773715</v>
      </c>
      <c r="CZ27">
        <v>0.28007423132658005</v>
      </c>
      <c r="DA27">
        <v>3.2461095660446784</v>
      </c>
      <c r="DB27">
        <v>2261953686.5931344</v>
      </c>
      <c r="DC27">
        <v>0.26607051976025103</v>
      </c>
      <c r="DD27">
        <v>1.2775740595472409</v>
      </c>
      <c r="DE27">
        <v>5747259382.0526724</v>
      </c>
      <c r="DF27">
        <v>0.24646532356739045</v>
      </c>
      <c r="DG27">
        <v>0.58498093960062458</v>
      </c>
      <c r="DH27">
        <v>12551775627.104826</v>
      </c>
      <c r="DI27">
        <v>0.22405938506126405</v>
      </c>
      <c r="DJ27">
        <v>0.15669926202258458</v>
      </c>
      <c r="DK27">
        <v>46857588256.808388</v>
      </c>
      <c r="DL27">
        <v>0.19605196192860602</v>
      </c>
      <c r="DM27">
        <v>523000000.00000006</v>
      </c>
      <c r="DN27">
        <v>0.28007423132658005</v>
      </c>
      <c r="DO27">
        <v>7342549500</v>
      </c>
      <c r="DP27">
        <v>2770571600</v>
      </c>
      <c r="DQ27">
        <v>1026</v>
      </c>
      <c r="DR27">
        <v>-8.9807249238036624E-2</v>
      </c>
      <c r="DS27">
        <v>-0.15638063786252465</v>
      </c>
      <c r="DT27" s="12">
        <v>0.20999999999999996</v>
      </c>
      <c r="DU27">
        <v>0.73666666666666669</v>
      </c>
      <c r="DV27">
        <v>0.94666666666666666</v>
      </c>
      <c r="DW27">
        <v>-6.3737931034482758</v>
      </c>
      <c r="DX27">
        <v>0.30403144654088099</v>
      </c>
      <c r="DY27">
        <v>-6.0501000303621773</v>
      </c>
      <c r="DZ27">
        <v>235</v>
      </c>
      <c r="EA27">
        <v>-6.0477960172241909</v>
      </c>
      <c r="EB27">
        <v>6</v>
      </c>
      <c r="EC27">
        <v>8.7109174679503562E-2</v>
      </c>
      <c r="ED27">
        <v>0.64991594829154253</v>
      </c>
      <c r="EE27" s="13">
        <v>-1.0111000000000001</v>
      </c>
      <c r="EF27">
        <v>-1.02851</v>
      </c>
      <c r="EG27">
        <v>17.134031446540881</v>
      </c>
      <c r="EH27" t="s">
        <v>1550</v>
      </c>
      <c r="EI27">
        <v>0</v>
      </c>
      <c r="EJ27">
        <v>1</v>
      </c>
      <c r="EK27" s="14">
        <v>45470</v>
      </c>
      <c r="EL27">
        <v>1.41</v>
      </c>
      <c r="EM27">
        <v>-3.27</v>
      </c>
      <c r="EN27">
        <v>-0.31</v>
      </c>
      <c r="EO27">
        <v>1.23</v>
      </c>
      <c r="EP27">
        <v>-3.96</v>
      </c>
    </row>
    <row r="28" spans="1:146" ht="96" x14ac:dyDescent="0.25">
      <c r="A28" s="8"/>
      <c r="B28" s="8"/>
      <c r="C28" s="8" t="str">
        <f>""&amp;CHAR(10)&amp;Basic_Fundamental_Information_Constructure(F28)&amp;CHAR(10)&amp;Basic_Fundamental_Information_Concatenate("")</f>
        <v xml:space="preserve">
市值27.106596亿, 利润6190.72万; PE; 平均PE20.28; 平均PEG23.23, PB.863; ROIC5.06%; ROE3.61%; 股利率3.6923%; 毛利33.6267%; 净利19.49%; 上一年度营收增-.48%, 利润增454.57%; 当季营收增40.71%, 利润增-119.78%; 过往5年营收增-.87%, 利润增79.61%
Income profile:
</v>
      </c>
      <c r="D28" t="s">
        <v>717</v>
      </c>
      <c r="E28" t="s">
        <v>718</v>
      </c>
      <c r="F28">
        <v>3.25</v>
      </c>
      <c r="G28">
        <v>0.62</v>
      </c>
      <c r="H28" t="s">
        <v>3168</v>
      </c>
      <c r="I28">
        <v>2710659600</v>
      </c>
      <c r="K28">
        <v>0.86299999999999999</v>
      </c>
      <c r="L28" t="s">
        <v>2891</v>
      </c>
      <c r="M28" t="s">
        <v>651</v>
      </c>
      <c r="N28" t="s">
        <v>3169</v>
      </c>
      <c r="O28" t="s">
        <v>86</v>
      </c>
      <c r="P28">
        <v>40.31</v>
      </c>
      <c r="Q28" t="s">
        <v>1458</v>
      </c>
      <c r="R28">
        <v>-16703423</v>
      </c>
      <c r="S28" s="6">
        <v>-1.198</v>
      </c>
      <c r="T28" t="s">
        <v>2214</v>
      </c>
      <c r="U28">
        <v>801232100</v>
      </c>
      <c r="V28">
        <v>834049100</v>
      </c>
      <c r="W28">
        <v>1.0900000000000001</v>
      </c>
      <c r="X28">
        <v>0.05</v>
      </c>
      <c r="Y28">
        <v>-11</v>
      </c>
      <c r="Z28" t="s">
        <v>72</v>
      </c>
      <c r="AA28" t="s">
        <v>49</v>
      </c>
      <c r="AB28" t="s">
        <v>3170</v>
      </c>
      <c r="AC28" t="s">
        <v>3171</v>
      </c>
      <c r="AD28" t="s">
        <v>2</v>
      </c>
      <c r="AE28">
        <v>-55869</v>
      </c>
      <c r="AF28" t="s">
        <v>2215</v>
      </c>
      <c r="AG28" t="s">
        <v>3172</v>
      </c>
      <c r="AH28" t="s">
        <v>2216</v>
      </c>
      <c r="AI28" t="s">
        <v>116</v>
      </c>
      <c r="AJ28" t="s">
        <v>2217</v>
      </c>
      <c r="AK28" t="s">
        <v>358</v>
      </c>
      <c r="AL28" t="s">
        <v>2218</v>
      </c>
      <c r="AM28" t="s">
        <v>2</v>
      </c>
      <c r="AN28" t="s">
        <v>3173</v>
      </c>
      <c r="AO28" t="s">
        <v>3174</v>
      </c>
      <c r="AP28" t="s">
        <v>77</v>
      </c>
      <c r="AQ28" t="s">
        <v>3175</v>
      </c>
      <c r="AR28" t="s">
        <v>3176</v>
      </c>
      <c r="AS28" t="s">
        <v>609</v>
      </c>
      <c r="AT28" t="s">
        <v>2</v>
      </c>
      <c r="AU28" t="s">
        <v>3177</v>
      </c>
      <c r="AV28" t="s">
        <v>3178</v>
      </c>
      <c r="AW28" t="s">
        <v>3179</v>
      </c>
      <c r="AX28" t="s">
        <v>580</v>
      </c>
      <c r="AY28" t="s">
        <v>73</v>
      </c>
      <c r="AZ28" t="s">
        <v>403</v>
      </c>
      <c r="BA28" t="s">
        <v>546</v>
      </c>
      <c r="BB28" t="s">
        <v>615</v>
      </c>
      <c r="BC28" t="s">
        <v>1609</v>
      </c>
      <c r="BD28" t="s">
        <v>225</v>
      </c>
      <c r="BE28" t="s">
        <v>259</v>
      </c>
      <c r="BF28" t="s">
        <v>585</v>
      </c>
      <c r="BG28" t="s">
        <v>75</v>
      </c>
      <c r="BH28" t="s">
        <v>1458</v>
      </c>
      <c r="BI28" t="s">
        <v>358</v>
      </c>
      <c r="BJ28" t="s">
        <v>580</v>
      </c>
      <c r="BK28" t="s">
        <v>2214</v>
      </c>
      <c r="BL28" t="s">
        <v>2219</v>
      </c>
      <c r="BM28" t="s">
        <v>1609</v>
      </c>
      <c r="BN28">
        <v>3.42</v>
      </c>
      <c r="BO28" t="s">
        <v>2</v>
      </c>
      <c r="BP28">
        <v>6.7</v>
      </c>
      <c r="BQ28">
        <v>3.52</v>
      </c>
      <c r="BR28">
        <v>0.35</v>
      </c>
      <c r="BS28">
        <v>6.96</v>
      </c>
      <c r="BT28" t="s">
        <v>1534</v>
      </c>
      <c r="BU28" t="s">
        <v>1444</v>
      </c>
      <c r="BV28">
        <v>32.659999999999997</v>
      </c>
      <c r="BW28">
        <v>34.450000000000003</v>
      </c>
      <c r="BX28">
        <v>33.770000000000003</v>
      </c>
      <c r="BY28">
        <v>9.6</v>
      </c>
      <c r="BZ28">
        <v>1.39</v>
      </c>
      <c r="CA28">
        <v>47.48</v>
      </c>
      <c r="CB28">
        <v>0</v>
      </c>
      <c r="CC28">
        <v>-11.44</v>
      </c>
      <c r="CD28" t="s">
        <v>3180</v>
      </c>
      <c r="CE28" t="s">
        <v>96</v>
      </c>
      <c r="CF28" s="10">
        <v>0.4070796460176993</v>
      </c>
      <c r="CG28" s="11">
        <v>-1.1978009866707087</v>
      </c>
      <c r="CH28" s="10">
        <v>-4.8309178091585636E-3</v>
      </c>
      <c r="CI28" s="10">
        <v>0.33548387885093689</v>
      </c>
      <c r="CJ28" s="10">
        <v>-0.19130434095859528</v>
      </c>
      <c r="CK28" s="10">
        <v>-0.2013888955116272</v>
      </c>
      <c r="CL28" s="10">
        <v>1.8387552350759506E-2</v>
      </c>
      <c r="CM28" s="11">
        <v>4.5456995964050293</v>
      </c>
      <c r="CN28" s="11">
        <v>-0.94994121789932251</v>
      </c>
      <c r="CO28" s="11">
        <v>0.21857923269271851</v>
      </c>
      <c r="CP28" s="11">
        <v>9.580838680267334E-2</v>
      </c>
      <c r="CQ28" s="11">
        <v>7.0512823760509491E-2</v>
      </c>
      <c r="CR28">
        <v>20.277471438600831</v>
      </c>
      <c r="CS28">
        <v>23.225895212212677</v>
      </c>
      <c r="CT28">
        <v>3.6923076923076921</v>
      </c>
      <c r="CU28" s="10">
        <v>-8.7305446155369285E-3</v>
      </c>
      <c r="CV28" s="11">
        <v>0.79613176435232158</v>
      </c>
      <c r="CW28">
        <v>0.06</v>
      </c>
      <c r="CX28" t="s">
        <v>2882</v>
      </c>
      <c r="CY28" t="s">
        <v>1402</v>
      </c>
      <c r="CZ28">
        <v>-8.7305446155369285E-3</v>
      </c>
      <c r="DA28" t="s">
        <v>2882</v>
      </c>
      <c r="DB28" t="s">
        <v>2220</v>
      </c>
      <c r="DC28">
        <v>-8.2940173847600822E-3</v>
      </c>
      <c r="DD28" t="s">
        <v>2882</v>
      </c>
      <c r="DE28" t="s">
        <v>2221</v>
      </c>
      <c r="DF28">
        <v>-7.6828792616724971E-3</v>
      </c>
      <c r="DG28" t="s">
        <v>2882</v>
      </c>
      <c r="DH28" t="s">
        <v>2222</v>
      </c>
      <c r="DI28">
        <v>-6.9844356924295432E-3</v>
      </c>
      <c r="DJ28" t="s">
        <v>2882</v>
      </c>
      <c r="DK28" t="s">
        <v>2223</v>
      </c>
      <c r="DL28">
        <v>-6.1113812308758496E-3</v>
      </c>
      <c r="DM28">
        <v>61907200</v>
      </c>
      <c r="DN28">
        <v>-8.7305446155369285E-3</v>
      </c>
      <c r="DO28">
        <v>-104340400</v>
      </c>
      <c r="DP28">
        <v>2778985400</v>
      </c>
      <c r="DQ28">
        <v>1039</v>
      </c>
      <c r="DR28">
        <v>0.41581019063323621</v>
      </c>
      <c r="DS28">
        <v>-1.9939327510230302</v>
      </c>
      <c r="DT28" s="12">
        <v>-0.54</v>
      </c>
      <c r="DU28">
        <v>-0.76500000000000001</v>
      </c>
      <c r="DV28">
        <v>-1.3050000000000002</v>
      </c>
      <c r="DW28">
        <v>-2.1143999999999998</v>
      </c>
      <c r="DX28">
        <v>0.27405298913043474</v>
      </c>
      <c r="DY28">
        <v>-2.016479661956522</v>
      </c>
      <c r="DZ28">
        <v>3856</v>
      </c>
      <c r="EA28">
        <v>-2.0040441283940269</v>
      </c>
      <c r="EB28">
        <v>2</v>
      </c>
      <c r="EC28">
        <v>6.355920772530059E-2</v>
      </c>
      <c r="ED28">
        <v>0.44122102643597361</v>
      </c>
      <c r="EE28" s="13">
        <v>-2.0017</v>
      </c>
      <c r="EF28">
        <v>-2.0200100000000001</v>
      </c>
      <c r="EG28">
        <v>13.144052989130435</v>
      </c>
      <c r="EH28" t="s">
        <v>1555</v>
      </c>
      <c r="EI28">
        <v>0</v>
      </c>
      <c r="EJ28">
        <v>0</v>
      </c>
      <c r="EK28" s="14">
        <v>45470</v>
      </c>
      <c r="EL28">
        <v>-0.61</v>
      </c>
      <c r="EM28">
        <v>-3.99</v>
      </c>
      <c r="EN28">
        <v>0.64</v>
      </c>
      <c r="EO28">
        <v>2.54</v>
      </c>
      <c r="EP28">
        <v>-2.17</v>
      </c>
    </row>
    <row r="29" spans="1:146" ht="96" x14ac:dyDescent="0.25">
      <c r="A29" s="8"/>
      <c r="B29" s="8"/>
      <c r="C29" s="8" t="str">
        <f>""&amp;CHAR(10)&amp;Basic_Fundamental_Information_Constructure(F29)&amp;CHAR(10)&amp;Basic_Fundamental_Information_Concatenate("")</f>
        <v xml:space="preserve">
市值29.388786亿, 利润8263.67万; PE47.01; 平均PE40.24; 平均PEG1.44, PB1.14; ROIC2.99%; ROE3.4767%; 股利率0%; 毛利9.1533%; 净利1.4767%; 上一年度营收增1.35%, 利润增-32.26%; 当季营收增-12.14%, 利润增-58.06%; 过往5年营收增27.89%, 利润增249.21%
Income profile:
</v>
      </c>
      <c r="D29" t="s">
        <v>1065</v>
      </c>
      <c r="E29" t="s">
        <v>1066</v>
      </c>
      <c r="F29">
        <v>5.59</v>
      </c>
      <c r="G29">
        <v>0.72</v>
      </c>
      <c r="H29" t="s">
        <v>3181</v>
      </c>
      <c r="I29">
        <v>2938878600</v>
      </c>
      <c r="J29">
        <v>47.01</v>
      </c>
      <c r="K29">
        <v>1.1399999999999999</v>
      </c>
      <c r="L29" t="s">
        <v>2891</v>
      </c>
      <c r="M29" t="s">
        <v>2224</v>
      </c>
      <c r="N29" t="s">
        <v>1377</v>
      </c>
      <c r="O29" t="s">
        <v>650</v>
      </c>
      <c r="P29">
        <v>-12.07</v>
      </c>
      <c r="Q29" t="s">
        <v>2225</v>
      </c>
      <c r="R29">
        <v>14533237</v>
      </c>
      <c r="S29" s="6">
        <v>-0.5806</v>
      </c>
      <c r="T29" t="s">
        <v>2226</v>
      </c>
      <c r="U29">
        <v>452922200</v>
      </c>
      <c r="V29">
        <v>525738570</v>
      </c>
      <c r="W29">
        <v>1.72</v>
      </c>
      <c r="X29">
        <v>0.24</v>
      </c>
      <c r="Y29">
        <v>1.62</v>
      </c>
      <c r="Z29" t="s">
        <v>1862</v>
      </c>
      <c r="AA29" t="s">
        <v>2141</v>
      </c>
      <c r="AB29" t="s">
        <v>3182</v>
      </c>
      <c r="AC29" t="s">
        <v>3183</v>
      </c>
      <c r="AD29" t="s">
        <v>2</v>
      </c>
      <c r="AE29">
        <v>9817195</v>
      </c>
      <c r="AF29" t="s">
        <v>2227</v>
      </c>
      <c r="AG29" t="s">
        <v>3184</v>
      </c>
      <c r="AH29" t="s">
        <v>2228</v>
      </c>
      <c r="AI29" t="s">
        <v>669</v>
      </c>
      <c r="AJ29" t="s">
        <v>2229</v>
      </c>
      <c r="AK29" t="s">
        <v>42</v>
      </c>
      <c r="AL29" t="s">
        <v>2230</v>
      </c>
      <c r="AM29" t="s">
        <v>2</v>
      </c>
      <c r="AN29" t="s">
        <v>3185</v>
      </c>
      <c r="AO29" t="s">
        <v>2389</v>
      </c>
      <c r="AP29" t="s">
        <v>3186</v>
      </c>
      <c r="AQ29" t="s">
        <v>460</v>
      </c>
      <c r="AR29" t="s">
        <v>3187</v>
      </c>
      <c r="AS29" t="s">
        <v>3188</v>
      </c>
      <c r="AT29" t="s">
        <v>129</v>
      </c>
      <c r="AU29" t="s">
        <v>2552</v>
      </c>
      <c r="AV29" t="s">
        <v>3189</v>
      </c>
      <c r="AW29" t="s">
        <v>168</v>
      </c>
      <c r="AX29" t="s">
        <v>2232</v>
      </c>
      <c r="AY29" t="s">
        <v>1610</v>
      </c>
      <c r="AZ29" t="s">
        <v>1515</v>
      </c>
      <c r="BA29" t="s">
        <v>660</v>
      </c>
      <c r="BB29" t="s">
        <v>1067</v>
      </c>
      <c r="BC29" t="s">
        <v>87</v>
      </c>
      <c r="BD29" t="s">
        <v>1305</v>
      </c>
      <c r="BE29" t="s">
        <v>460</v>
      </c>
      <c r="BF29" t="s">
        <v>1068</v>
      </c>
      <c r="BG29" t="s">
        <v>1069</v>
      </c>
      <c r="BH29" t="s">
        <v>2225</v>
      </c>
      <c r="BI29" t="s">
        <v>857</v>
      </c>
      <c r="BJ29" t="s">
        <v>2232</v>
      </c>
      <c r="BK29" t="s">
        <v>2226</v>
      </c>
      <c r="BL29" t="s">
        <v>2233</v>
      </c>
      <c r="BM29" t="s">
        <v>87</v>
      </c>
      <c r="BN29">
        <v>3.64</v>
      </c>
      <c r="BO29">
        <v>3.75</v>
      </c>
      <c r="BP29">
        <v>1.58</v>
      </c>
      <c r="BQ29">
        <v>4.32</v>
      </c>
      <c r="BR29">
        <v>5.0599999999999996</v>
      </c>
      <c r="BS29">
        <v>1.05</v>
      </c>
      <c r="BT29" t="s">
        <v>1521</v>
      </c>
      <c r="BU29" t="s">
        <v>1274</v>
      </c>
      <c r="BV29">
        <v>9.1999999999999993</v>
      </c>
      <c r="BW29">
        <v>7.99</v>
      </c>
      <c r="BX29">
        <v>10.27</v>
      </c>
      <c r="BY29">
        <v>1.75</v>
      </c>
      <c r="BZ29">
        <v>1.79</v>
      </c>
      <c r="CA29">
        <v>0.89</v>
      </c>
      <c r="CB29">
        <v>1.64</v>
      </c>
      <c r="CC29">
        <v>-6.68</v>
      </c>
      <c r="CD29" t="s">
        <v>3190</v>
      </c>
      <c r="CE29" t="s">
        <v>373</v>
      </c>
      <c r="CF29" s="10">
        <v>-0.12136325852036575</v>
      </c>
      <c r="CG29" s="11">
        <v>-0.58061272310156264</v>
      </c>
      <c r="CH29" s="10">
        <v>1.3457062654197216E-2</v>
      </c>
      <c r="CI29" s="10">
        <v>1.3350317478179932</v>
      </c>
      <c r="CJ29" s="10">
        <v>0.22147306799888611</v>
      </c>
      <c r="CK29" s="10">
        <v>8.0717489123344421E-2</v>
      </c>
      <c r="CL29" s="10">
        <v>-0.25604674220085144</v>
      </c>
      <c r="CM29" s="11">
        <v>-0.32264995574951172</v>
      </c>
      <c r="CN29" s="11">
        <v>3.9973783493041992</v>
      </c>
      <c r="CO29" s="11">
        <v>-0.80469757318496704</v>
      </c>
      <c r="CP29" s="11">
        <v>0.30565756559371948</v>
      </c>
      <c r="CQ29" s="11">
        <v>9.2847747802734375</v>
      </c>
      <c r="CR29">
        <v>40.237399051504589</v>
      </c>
      <c r="CS29">
        <v>1.4425805878501328</v>
      </c>
      <c r="CT29">
        <v>0</v>
      </c>
      <c r="CU29" s="10">
        <v>0.2789265250787139</v>
      </c>
      <c r="CV29" s="11">
        <v>2.4920926332473754</v>
      </c>
      <c r="CW29">
        <v>0.06</v>
      </c>
      <c r="CX29">
        <v>20.780290253339274</v>
      </c>
      <c r="CY29">
        <v>99704026.014124662</v>
      </c>
      <c r="CZ29">
        <v>0.2789265250787139</v>
      </c>
      <c r="DA29">
        <v>5.8076660242582312</v>
      </c>
      <c r="DB29">
        <v>356748923.12090641</v>
      </c>
      <c r="DC29">
        <v>0.26498019882477819</v>
      </c>
      <c r="DD29">
        <v>2.2889047799328996</v>
      </c>
      <c r="DE29">
        <v>905183395.20473111</v>
      </c>
      <c r="DF29">
        <v>0.24545534206926825</v>
      </c>
      <c r="DG29">
        <v>1.0499131138158229</v>
      </c>
      <c r="DH29">
        <v>1973381009.0912454</v>
      </c>
      <c r="DI29">
        <v>0.22314122006297113</v>
      </c>
      <c r="DJ29">
        <v>0.28251792982099094</v>
      </c>
      <c r="DK29">
        <v>7333618086.8689795</v>
      </c>
      <c r="DL29">
        <v>0.19524856755509973</v>
      </c>
      <c r="DM29">
        <v>82636700</v>
      </c>
      <c r="DN29">
        <v>0.2789265250787139</v>
      </c>
      <c r="DO29">
        <v>2071878600</v>
      </c>
      <c r="DP29">
        <v>1762471800</v>
      </c>
      <c r="DQ29">
        <v>1053</v>
      </c>
      <c r="DR29">
        <v>-0.40028978359907963</v>
      </c>
      <c r="DS29">
        <v>-3.0727053563489379</v>
      </c>
      <c r="DT29" s="12">
        <v>-0.10666666666666669</v>
      </c>
      <c r="DU29">
        <v>0.26333333333333325</v>
      </c>
      <c r="DV29">
        <v>0.15666666666666657</v>
      </c>
      <c r="DW29">
        <v>-2.0668000000000002</v>
      </c>
      <c r="DX29">
        <v>0.28850950413223198</v>
      </c>
      <c r="DY29">
        <v>-2.009252434876033</v>
      </c>
      <c r="DZ29">
        <v>1359</v>
      </c>
      <c r="EA29">
        <v>-2.0067917579686889</v>
      </c>
      <c r="EB29">
        <v>2</v>
      </c>
      <c r="EC29">
        <v>6.3756592939338649E-2</v>
      </c>
      <c r="ED29">
        <v>0.46030482412580076</v>
      </c>
      <c r="EE29" s="13">
        <v>-2.0935100000000002</v>
      </c>
      <c r="EF29">
        <v>-2.1116100000000002</v>
      </c>
      <c r="EG29">
        <v>15.138509504132232</v>
      </c>
      <c r="EH29" t="s">
        <v>1555</v>
      </c>
      <c r="EI29">
        <v>0</v>
      </c>
      <c r="EJ29">
        <v>1</v>
      </c>
      <c r="EK29" s="14">
        <v>45470</v>
      </c>
      <c r="EL29">
        <v>-0.36</v>
      </c>
      <c r="EM29">
        <v>-4.33</v>
      </c>
      <c r="EN29">
        <v>0.75</v>
      </c>
      <c r="EO29">
        <v>3.18</v>
      </c>
      <c r="EP29">
        <v>-1.81</v>
      </c>
    </row>
    <row r="30" spans="1:146" ht="96" x14ac:dyDescent="0.25">
      <c r="A30" s="8"/>
      <c r="B30" s="8"/>
      <c r="C30" s="8" t="str">
        <f>""&amp;CHAR(10)&amp;Basic_Fundamental_Information_Constructure(F30)&amp;CHAR(10)&amp;Basic_Fundamental_Information_Concatenate("")</f>
        <v xml:space="preserve">
市值33.28175亿, 利润5234.67万; PE78.37; 平均PE38.12; 平均PEG4.13, PB2.15; ROIC8.3833%; ROE9.2267%; 股利率.1715%; 毛利31.93%; 净利12.6567%; 上一年度营收增-30.35%, 利润增-71.08%; 当季营收增.59%, 利润增-47.66%; 过往5年营收增9.24%, 利润增93.15%
Income profile:
</v>
      </c>
      <c r="D30" t="s">
        <v>1070</v>
      </c>
      <c r="E30" t="s">
        <v>1071</v>
      </c>
      <c r="F30">
        <v>7.58</v>
      </c>
      <c r="G30">
        <v>2.02</v>
      </c>
      <c r="H30" t="s">
        <v>3191</v>
      </c>
      <c r="I30">
        <v>3328175000</v>
      </c>
      <c r="J30">
        <v>78.37</v>
      </c>
      <c r="K30">
        <v>2.15</v>
      </c>
      <c r="L30" t="s">
        <v>2891</v>
      </c>
      <c r="M30" t="s">
        <v>1899</v>
      </c>
      <c r="N30" t="s">
        <v>1852</v>
      </c>
      <c r="O30" t="s">
        <v>55</v>
      </c>
      <c r="P30">
        <v>0.49</v>
      </c>
      <c r="Q30" t="s">
        <v>2126</v>
      </c>
      <c r="R30">
        <v>10853166</v>
      </c>
      <c r="S30" s="6">
        <v>-0.47660000000000002</v>
      </c>
      <c r="T30" t="s">
        <v>2235</v>
      </c>
      <c r="U30">
        <v>421142060</v>
      </c>
      <c r="V30">
        <v>439073220</v>
      </c>
      <c r="W30">
        <v>1.53</v>
      </c>
      <c r="X30">
        <v>7.0000000000000007E-2</v>
      </c>
      <c r="Y30">
        <v>6.37</v>
      </c>
      <c r="Z30" t="s">
        <v>130</v>
      </c>
      <c r="AA30" t="s">
        <v>102</v>
      </c>
      <c r="AB30" t="s">
        <v>3192</v>
      </c>
      <c r="AC30" t="s">
        <v>3193</v>
      </c>
      <c r="AD30" t="s">
        <v>2</v>
      </c>
      <c r="AE30">
        <v>-816394</v>
      </c>
      <c r="AF30" t="s">
        <v>2236</v>
      </c>
      <c r="AG30" t="s">
        <v>3194</v>
      </c>
      <c r="AH30" t="s">
        <v>2237</v>
      </c>
      <c r="AI30" t="s">
        <v>351</v>
      </c>
      <c r="AJ30" t="s">
        <v>2238</v>
      </c>
      <c r="AK30" t="s">
        <v>3195</v>
      </c>
      <c r="AL30" t="s">
        <v>2239</v>
      </c>
      <c r="AM30" t="s">
        <v>2</v>
      </c>
      <c r="AN30" t="s">
        <v>68</v>
      </c>
      <c r="AO30" t="s">
        <v>52</v>
      </c>
      <c r="AP30" t="s">
        <v>3196</v>
      </c>
      <c r="AQ30" t="s">
        <v>66</v>
      </c>
      <c r="AR30" t="s">
        <v>2</v>
      </c>
      <c r="AS30" t="s">
        <v>115</v>
      </c>
      <c r="AT30" t="s">
        <v>220</v>
      </c>
      <c r="AU30" t="s">
        <v>3197</v>
      </c>
      <c r="AV30" t="s">
        <v>3198</v>
      </c>
      <c r="AW30" t="s">
        <v>213</v>
      </c>
      <c r="AX30" t="s">
        <v>1479</v>
      </c>
      <c r="AY30" t="s">
        <v>299</v>
      </c>
      <c r="AZ30" t="s">
        <v>551</v>
      </c>
      <c r="BA30" t="s">
        <v>60</v>
      </c>
      <c r="BB30" t="s">
        <v>441</v>
      </c>
      <c r="BC30" t="s">
        <v>52</v>
      </c>
      <c r="BD30" t="s">
        <v>157</v>
      </c>
      <c r="BE30" t="s">
        <v>114</v>
      </c>
      <c r="BF30" t="s">
        <v>1072</v>
      </c>
      <c r="BG30" t="s">
        <v>1073</v>
      </c>
      <c r="BH30" t="s">
        <v>2126</v>
      </c>
      <c r="BI30" t="s">
        <v>207</v>
      </c>
      <c r="BJ30" t="s">
        <v>1479</v>
      </c>
      <c r="BK30" t="s">
        <v>2235</v>
      </c>
      <c r="BL30" t="s">
        <v>2240</v>
      </c>
      <c r="BM30" t="s">
        <v>52</v>
      </c>
      <c r="BN30">
        <v>1.96</v>
      </c>
      <c r="BO30">
        <v>11.26</v>
      </c>
      <c r="BP30">
        <v>11.93</v>
      </c>
      <c r="BQ30">
        <v>2.5299999999999998</v>
      </c>
      <c r="BR30">
        <v>12.67</v>
      </c>
      <c r="BS30">
        <v>12.48</v>
      </c>
      <c r="BT30" t="s">
        <v>2241</v>
      </c>
      <c r="BU30" t="s">
        <v>1274</v>
      </c>
      <c r="BV30">
        <v>26.44</v>
      </c>
      <c r="BW30">
        <v>31.03</v>
      </c>
      <c r="BX30">
        <v>38.32</v>
      </c>
      <c r="BY30">
        <v>6.11</v>
      </c>
      <c r="BZ30">
        <v>14.92</v>
      </c>
      <c r="CA30">
        <v>16.940000000000001</v>
      </c>
      <c r="CB30">
        <v>1.1100000000000001</v>
      </c>
      <c r="CC30">
        <v>6.66</v>
      </c>
      <c r="CD30" t="s">
        <v>3199</v>
      </c>
      <c r="CE30" t="s">
        <v>336</v>
      </c>
      <c r="CF30" s="10">
        <v>5.8823529411764705E-3</v>
      </c>
      <c r="CG30" s="11">
        <v>-0.4765598066971154</v>
      </c>
      <c r="CH30" s="10">
        <v>-0.30348259210586548</v>
      </c>
      <c r="CI30" s="10">
        <v>0.29122054576873779</v>
      </c>
      <c r="CJ30" s="10">
        <v>7.3563218116760254E-2</v>
      </c>
      <c r="CK30" s="10">
        <v>0.1804613322019577</v>
      </c>
      <c r="CL30" s="10">
        <v>0.22019867599010468</v>
      </c>
      <c r="CM30" s="11">
        <v>-0.71079170703887939</v>
      </c>
      <c r="CN30" s="11">
        <v>0.15286624431610107</v>
      </c>
      <c r="CO30" s="11">
        <v>0.48113209009170532</v>
      </c>
      <c r="CP30" s="11">
        <v>1.2814146280288696</v>
      </c>
      <c r="CQ30" s="11">
        <v>3.4529550075531006</v>
      </c>
      <c r="CR30">
        <v>38.118498239154661</v>
      </c>
      <c r="CS30">
        <v>4.1257252656478887</v>
      </c>
      <c r="CT30">
        <v>0.17150395778364116</v>
      </c>
      <c r="CU30" s="10">
        <v>9.2392235994338989E-2</v>
      </c>
      <c r="CV30" s="11">
        <v>0.93151525259017942</v>
      </c>
      <c r="CW30">
        <v>0.06</v>
      </c>
      <c r="CX30">
        <v>46.864618337648011</v>
      </c>
      <c r="CY30">
        <v>53946347.792381942</v>
      </c>
      <c r="CZ30">
        <v>9.2392235994338989E-2</v>
      </c>
      <c r="DA30">
        <v>15.283936388034903</v>
      </c>
      <c r="DB30">
        <v>165413865.63079345</v>
      </c>
      <c r="DC30">
        <v>8.7772624194622034E-2</v>
      </c>
      <c r="DD30">
        <v>7.5035598196300954</v>
      </c>
      <c r="DE30">
        <v>336930078.62561852</v>
      </c>
      <c r="DF30">
        <v>8.1305167675018317E-2</v>
      </c>
      <c r="DG30">
        <v>4.4922473635281008</v>
      </c>
      <c r="DH30">
        <v>562786239.36114538</v>
      </c>
      <c r="DI30">
        <v>7.3913788795471197E-2</v>
      </c>
      <c r="DJ30">
        <v>2.3050608461489719</v>
      </c>
      <c r="DK30">
        <v>1096793173.2577825</v>
      </c>
      <c r="DL30">
        <v>6.4674565196037287E-2</v>
      </c>
      <c r="DM30">
        <v>52346700</v>
      </c>
      <c r="DN30">
        <v>9.2392235994338989E-2</v>
      </c>
      <c r="DO30">
        <v>2528175000</v>
      </c>
      <c r="DP30">
        <v>934891100</v>
      </c>
      <c r="DQ30">
        <v>1098</v>
      </c>
      <c r="DR30">
        <v>-8.6509883053162512E-2</v>
      </c>
      <c r="DS30">
        <v>-1.4080750592872948</v>
      </c>
      <c r="DT30" s="12">
        <v>-0.24000000000000007</v>
      </c>
      <c r="DU30">
        <v>0.48166666666666669</v>
      </c>
      <c r="DV30">
        <v>0.24166666666666661</v>
      </c>
      <c r="DW30">
        <v>2.0666000000000002</v>
      </c>
      <c r="DX30">
        <v>0.44130623684210557</v>
      </c>
      <c r="DY30">
        <v>2.019400995373684</v>
      </c>
      <c r="DZ30">
        <v>1179</v>
      </c>
      <c r="EA30">
        <v>2.0149247187502839</v>
      </c>
      <c r="EB30">
        <v>2</v>
      </c>
      <c r="EC30">
        <v>0.20169096170338055</v>
      </c>
      <c r="ED30">
        <v>0.69236743703020653</v>
      </c>
      <c r="EE30" s="13">
        <v>-1.0076000000000001</v>
      </c>
      <c r="EF30">
        <v>-1.0222100000000001</v>
      </c>
      <c r="EG30">
        <v>15.291306236842106</v>
      </c>
      <c r="EH30" t="s">
        <v>1550</v>
      </c>
      <c r="EI30">
        <v>1</v>
      </c>
      <c r="EJ30">
        <v>1</v>
      </c>
      <c r="EK30" s="14">
        <v>45470</v>
      </c>
      <c r="EL30">
        <v>-0.14000000000000001</v>
      </c>
      <c r="EM30">
        <v>-3.41</v>
      </c>
      <c r="EN30">
        <v>0.74</v>
      </c>
      <c r="EO30">
        <v>2.77</v>
      </c>
      <c r="EP30">
        <v>-2.98</v>
      </c>
    </row>
    <row r="31" spans="1:146" ht="96" x14ac:dyDescent="0.25">
      <c r="A31" s="8"/>
      <c r="B31" s="8"/>
      <c r="C31" s="8" t="str">
        <f>""&amp;CHAR(10)&amp;Basic_Fundamental_Information_Constructure(F31)&amp;CHAR(10)&amp;Basic_Fundamental_Information_Concatenate("")</f>
        <v xml:space="preserve">
市值23.770633亿, 利润5112.47万; PE38.26; 平均PE-38.4; 平均PEG-24.44, PB2.09; ROIC3.97%; ROE4.7467%; 股利率.6042%; 毛利11.3133%; 净利1.7933%; 上一年度营收增6.06%, 利润增-24.77%; 当季营收增39.18%, 利润增200.22%; 过往5年营收增1.57%, 利润增-284.1%
Income profile:
</v>
      </c>
      <c r="D31" t="s">
        <v>1074</v>
      </c>
      <c r="E31" t="s">
        <v>1922</v>
      </c>
      <c r="F31">
        <v>3.31</v>
      </c>
      <c r="G31">
        <v>1.22</v>
      </c>
      <c r="H31" t="s">
        <v>3200</v>
      </c>
      <c r="I31">
        <v>2377063300</v>
      </c>
      <c r="J31">
        <v>38.26</v>
      </c>
      <c r="K31">
        <v>2.09</v>
      </c>
      <c r="L31" t="s">
        <v>2891</v>
      </c>
      <c r="M31" t="s">
        <v>1818</v>
      </c>
      <c r="N31" t="s">
        <v>1952</v>
      </c>
      <c r="O31" t="s">
        <v>1187</v>
      </c>
      <c r="P31">
        <v>39.28</v>
      </c>
      <c r="Q31" t="s">
        <v>2243</v>
      </c>
      <c r="R31">
        <v>16505155</v>
      </c>
      <c r="S31" s="6">
        <v>2.0019999999999998</v>
      </c>
      <c r="T31" t="s">
        <v>2244</v>
      </c>
      <c r="U31">
        <v>718146000</v>
      </c>
      <c r="V31">
        <v>718146000</v>
      </c>
      <c r="W31">
        <v>2.4300000000000002</v>
      </c>
      <c r="X31">
        <v>0.3</v>
      </c>
      <c r="Y31">
        <v>2.04</v>
      </c>
      <c r="Z31" t="s">
        <v>430</v>
      </c>
      <c r="AA31" t="s">
        <v>326</v>
      </c>
      <c r="AB31" t="s">
        <v>3201</v>
      </c>
      <c r="AC31" t="s">
        <v>3202</v>
      </c>
      <c r="AD31" t="s">
        <v>2</v>
      </c>
      <c r="AE31">
        <v>7296436</v>
      </c>
      <c r="AF31" t="s">
        <v>2245</v>
      </c>
      <c r="AG31" t="s">
        <v>3203</v>
      </c>
      <c r="AH31" t="s">
        <v>2246</v>
      </c>
      <c r="AI31" t="s">
        <v>3204</v>
      </c>
      <c r="AJ31" t="s">
        <v>2247</v>
      </c>
      <c r="AK31" t="s">
        <v>3205</v>
      </c>
      <c r="AL31" t="s">
        <v>2248</v>
      </c>
      <c r="AM31" t="s">
        <v>2</v>
      </c>
      <c r="AN31" t="s">
        <v>3206</v>
      </c>
      <c r="AO31" t="s">
        <v>3207</v>
      </c>
      <c r="AP31" t="s">
        <v>3208</v>
      </c>
      <c r="AQ31" t="s">
        <v>40</v>
      </c>
      <c r="AR31" t="s">
        <v>2</v>
      </c>
      <c r="AS31" t="s">
        <v>1859</v>
      </c>
      <c r="AT31" t="s">
        <v>2</v>
      </c>
      <c r="AU31" t="s">
        <v>3209</v>
      </c>
      <c r="AV31" t="s">
        <v>3210</v>
      </c>
      <c r="AW31" t="s">
        <v>3211</v>
      </c>
      <c r="AX31" t="s">
        <v>1615</v>
      </c>
      <c r="AY31" t="s">
        <v>1307</v>
      </c>
      <c r="AZ31" t="s">
        <v>1075</v>
      </c>
      <c r="BA31" t="s">
        <v>1076</v>
      </c>
      <c r="BB31" t="s">
        <v>1077</v>
      </c>
      <c r="BC31" t="s">
        <v>1616</v>
      </c>
      <c r="BD31" t="s">
        <v>1308</v>
      </c>
      <c r="BE31" t="s">
        <v>672</v>
      </c>
      <c r="BF31" t="s">
        <v>1078</v>
      </c>
      <c r="BG31" t="s">
        <v>1079</v>
      </c>
      <c r="BH31" t="s">
        <v>2243</v>
      </c>
      <c r="BI31" t="s">
        <v>280</v>
      </c>
      <c r="BJ31" t="s">
        <v>1615</v>
      </c>
      <c r="BK31" t="s">
        <v>2244</v>
      </c>
      <c r="BL31" t="s">
        <v>2249</v>
      </c>
      <c r="BM31" t="s">
        <v>1616</v>
      </c>
      <c r="BN31">
        <v>3.02</v>
      </c>
      <c r="BO31">
        <v>5.14</v>
      </c>
      <c r="BP31">
        <v>3.75</v>
      </c>
      <c r="BQ31">
        <v>2.95</v>
      </c>
      <c r="BR31">
        <v>6.58</v>
      </c>
      <c r="BS31">
        <v>4.71</v>
      </c>
      <c r="BT31" t="s">
        <v>1526</v>
      </c>
      <c r="BU31" t="s">
        <v>1274</v>
      </c>
      <c r="BV31">
        <v>10.92</v>
      </c>
      <c r="BW31">
        <v>10.93</v>
      </c>
      <c r="BX31">
        <v>12.09</v>
      </c>
      <c r="BY31">
        <v>1.6</v>
      </c>
      <c r="BZ31">
        <v>2.25</v>
      </c>
      <c r="CA31">
        <v>1.53</v>
      </c>
      <c r="CB31">
        <v>-1.19</v>
      </c>
      <c r="CC31">
        <v>-14.47</v>
      </c>
      <c r="CD31" t="s">
        <v>3212</v>
      </c>
      <c r="CE31" t="s">
        <v>130</v>
      </c>
      <c r="CF31" s="10">
        <v>0.39175257731958762</v>
      </c>
      <c r="CG31" s="11">
        <v>2.0022473442956925</v>
      </c>
      <c r="CH31" s="10">
        <v>6.0636207461357117E-2</v>
      </c>
      <c r="CI31" s="10">
        <v>5.6647569872438908E-3</v>
      </c>
      <c r="CJ31" s="10">
        <v>0.13245286047458649</v>
      </c>
      <c r="CK31" s="10">
        <v>-5.1199451088905334E-2</v>
      </c>
      <c r="CL31" s="10">
        <v>-6.9000020623207092E-2</v>
      </c>
      <c r="CM31" s="11">
        <v>-0.24769045412540436</v>
      </c>
      <c r="CN31" s="11">
        <v>0.47744813561439514</v>
      </c>
      <c r="CO31" s="11">
        <v>1.3432551622390747</v>
      </c>
      <c r="CP31" s="11">
        <v>-16.798532485961914</v>
      </c>
      <c r="CQ31" s="11">
        <v>1.0206369161605835</v>
      </c>
      <c r="CR31">
        <v>-38.397502371175115</v>
      </c>
      <c r="CS31">
        <v>-24.440085623263467</v>
      </c>
      <c r="CT31">
        <v>0.60422960725075536</v>
      </c>
      <c r="CU31" s="10">
        <v>1.5710870642215012E-2</v>
      </c>
      <c r="CV31" s="11">
        <v>-2.8409765452146529</v>
      </c>
      <c r="CW31">
        <v>0.06</v>
      </c>
      <c r="CX31">
        <v>58.729243861532822</v>
      </c>
      <c r="CY31">
        <v>48988597.687096275</v>
      </c>
      <c r="CZ31">
        <v>1.5710870642215012E-2</v>
      </c>
      <c r="DA31">
        <v>20.448790814495798</v>
      </c>
      <c r="DB31">
        <v>140696011.12846726</v>
      </c>
      <c r="DC31">
        <v>1.4925327110104261E-2</v>
      </c>
      <c r="DD31">
        <v>10.929770055126344</v>
      </c>
      <c r="DE31">
        <v>263231823.31274965</v>
      </c>
      <c r="DF31">
        <v>1.3825566165149211E-2</v>
      </c>
      <c r="DG31">
        <v>7.1765950643802618</v>
      </c>
      <c r="DH31">
        <v>400895309.5709393</v>
      </c>
      <c r="DI31">
        <v>1.256869651377201E-2</v>
      </c>
      <c r="DJ31">
        <v>4.4572635091643917</v>
      </c>
      <c r="DK31">
        <v>645477498.4886111</v>
      </c>
      <c r="DL31">
        <v>1.0997609449550508E-2</v>
      </c>
      <c r="DM31">
        <v>51124700</v>
      </c>
      <c r="DN31">
        <v>1.5710870642215012E-2</v>
      </c>
      <c r="DO31">
        <v>2877063300</v>
      </c>
      <c r="DP31">
        <v>555400600</v>
      </c>
      <c r="DQ31">
        <v>1180</v>
      </c>
      <c r="DR31">
        <v>0.37604170667737263</v>
      </c>
      <c r="DS31">
        <v>4.8432238895103454</v>
      </c>
      <c r="DT31" s="12">
        <v>-0.44</v>
      </c>
      <c r="DU31">
        <v>-0.64</v>
      </c>
      <c r="DV31">
        <v>-1.08</v>
      </c>
      <c r="DW31">
        <v>-2.1446999999999998</v>
      </c>
      <c r="DX31">
        <v>0.2996639053254454</v>
      </c>
      <c r="DY31">
        <v>-2.0202093671005916</v>
      </c>
      <c r="DZ31">
        <v>3642</v>
      </c>
      <c r="EA31">
        <v>-2.0058057438167647</v>
      </c>
      <c r="EB31">
        <v>2</v>
      </c>
      <c r="EC31">
        <v>3.2866854372230719E-2</v>
      </c>
      <c r="ED31">
        <v>0.23532819231743962</v>
      </c>
      <c r="EE31" s="13">
        <v>3.0210000000000001E-2</v>
      </c>
      <c r="EF31">
        <v>4.8010000000000004E-2</v>
      </c>
      <c r="EG31">
        <v>16.139663905325445</v>
      </c>
      <c r="EH31">
        <v>-1</v>
      </c>
      <c r="EI31">
        <v>0</v>
      </c>
      <c r="EJ31">
        <v>0</v>
      </c>
      <c r="EK31" s="14">
        <v>45470</v>
      </c>
      <c r="EL31">
        <v>0</v>
      </c>
      <c r="EM31">
        <v>-3.81</v>
      </c>
      <c r="EN31">
        <v>0.61</v>
      </c>
      <c r="EO31">
        <v>2.12</v>
      </c>
      <c r="EP31">
        <v>-1.78</v>
      </c>
    </row>
    <row r="32" spans="1:146" ht="168" x14ac:dyDescent="0.25">
      <c r="A32" s="8"/>
      <c r="B32" s="8"/>
      <c r="C32" s="8" t="str">
        <f>"公司主营业务是终端电器、配电电器、控制电器以及智能电工等电器产品的研发、生产和销售。公司主要产品如下：终端电器产品主要包括小型断路器、小型直流断路器、剩余电流动作断路器、隔离开关、模数化插座、模数化终端、组合配电箱。"&amp;CHAR(10)&amp;Basic_Fundamental_Information_Constructure(F32)&amp;CHAR(10)&amp;Basic_Fundamental_Information_Concatenate("配电电器 28.09亿 61.26% 9.07亿 60.97% 32.29%
终端电器 10.97亿 23.93% 4.63亿 31.14% 42.22%
控制电器 4.41亿 9.62% 5525.40万 3.71% 12.53%
智能电工 2.20亿 4.80% 4944.08万 3.32% 22.44%")</f>
        <v>公司主营业务是终端电器、配电电器、控制电器以及智能电工等电器产品的研发、生产和销售。公司主要产品如下：终端电器产品主要包括小型断路器、小型直流断路器、剩余电流动作断路器、隔离开关、模数化插座、模数化终端、组合配电箱。
市值73.452376亿, 利润5.11亿; PE14.25; 平均PE19.83; 平均PEG.8, PB1.73; ROIC13.2833%; ROE14.57%; 股利率3.8226%; 毛利32.7533%; 净利10.56%; 上一年度营收增10.3%, 利润增21.09%; 当季营收增1.07%, 利润增5.33%; 过往5年营收增24.9%, 利润增18.77%
Income profile:
配电电器 28.09亿 61.26% 9.07亿 60.97% 32.29%
终端电器 10.97亿 23.93% 4.63亿 31.14% 42.22%
控制电器 4.41亿 9.62% 5525.40万 3.71% 12.53%
智能电工 2.20亿 4.80% 4944.08万 3.32% 22.44%</v>
      </c>
      <c r="D32" t="s">
        <v>881</v>
      </c>
      <c r="E32" t="s">
        <v>882</v>
      </c>
      <c r="F32">
        <v>6.54</v>
      </c>
      <c r="G32">
        <v>0.31</v>
      </c>
      <c r="H32" t="s">
        <v>3213</v>
      </c>
      <c r="I32">
        <v>7345237600</v>
      </c>
      <c r="J32">
        <v>14.25</v>
      </c>
      <c r="K32">
        <v>1.73</v>
      </c>
      <c r="L32" t="s">
        <v>2891</v>
      </c>
      <c r="M32" t="s">
        <v>1907</v>
      </c>
      <c r="N32" t="s">
        <v>3214</v>
      </c>
      <c r="O32" t="s">
        <v>522</v>
      </c>
      <c r="P32">
        <v>1.1000000000000001</v>
      </c>
      <c r="Q32" t="s">
        <v>1193</v>
      </c>
      <c r="R32">
        <v>89573761</v>
      </c>
      <c r="S32" s="6">
        <v>5.33E-2</v>
      </c>
      <c r="T32" t="s">
        <v>516</v>
      </c>
      <c r="U32">
        <v>910997970</v>
      </c>
      <c r="V32">
        <v>1123125020</v>
      </c>
      <c r="W32">
        <v>1.32</v>
      </c>
      <c r="X32">
        <v>0.16</v>
      </c>
      <c r="Y32">
        <v>9.51</v>
      </c>
      <c r="Z32" t="s">
        <v>588</v>
      </c>
      <c r="AA32" t="s">
        <v>226</v>
      </c>
      <c r="AB32" t="s">
        <v>3215</v>
      </c>
      <c r="AC32" t="s">
        <v>3216</v>
      </c>
      <c r="AD32" t="s">
        <v>2</v>
      </c>
      <c r="AE32">
        <v>-1224074</v>
      </c>
      <c r="AF32" t="s">
        <v>2250</v>
      </c>
      <c r="AG32" t="s">
        <v>3217</v>
      </c>
      <c r="AH32" t="s">
        <v>2251</v>
      </c>
      <c r="AI32" t="s">
        <v>2430</v>
      </c>
      <c r="AJ32" t="s">
        <v>2252</v>
      </c>
      <c r="AK32" t="s">
        <v>3218</v>
      </c>
      <c r="AL32" t="s">
        <v>2253</v>
      </c>
      <c r="AM32" t="s">
        <v>2</v>
      </c>
      <c r="AN32" t="s">
        <v>605</v>
      </c>
      <c r="AO32" t="s">
        <v>169</v>
      </c>
      <c r="AP32" t="s">
        <v>265</v>
      </c>
      <c r="AQ32" t="s">
        <v>1259</v>
      </c>
      <c r="AR32" t="s">
        <v>2</v>
      </c>
      <c r="AS32" t="s">
        <v>3219</v>
      </c>
      <c r="AT32" t="s">
        <v>2</v>
      </c>
      <c r="AU32" t="s">
        <v>3220</v>
      </c>
      <c r="AV32" t="s">
        <v>3221</v>
      </c>
      <c r="AW32" t="s">
        <v>442</v>
      </c>
      <c r="AX32" t="s">
        <v>1617</v>
      </c>
      <c r="AY32" t="s">
        <v>969</v>
      </c>
      <c r="AZ32" t="s">
        <v>593</v>
      </c>
      <c r="BA32" t="s">
        <v>883</v>
      </c>
      <c r="BB32" t="s">
        <v>884</v>
      </c>
      <c r="BC32" t="s">
        <v>506</v>
      </c>
      <c r="BD32" t="s">
        <v>534</v>
      </c>
      <c r="BE32" t="s">
        <v>618</v>
      </c>
      <c r="BF32" t="s">
        <v>305</v>
      </c>
      <c r="BG32" t="s">
        <v>45</v>
      </c>
      <c r="BH32" t="s">
        <v>1193</v>
      </c>
      <c r="BI32" t="s">
        <v>1854</v>
      </c>
      <c r="BJ32" t="s">
        <v>1617</v>
      </c>
      <c r="BK32" t="s">
        <v>516</v>
      </c>
      <c r="BL32" t="s">
        <v>2254</v>
      </c>
      <c r="BM32" t="s">
        <v>506</v>
      </c>
      <c r="BN32">
        <v>9.86</v>
      </c>
      <c r="BO32">
        <v>12.21</v>
      </c>
      <c r="BP32">
        <v>17.78</v>
      </c>
      <c r="BQ32">
        <v>9.35</v>
      </c>
      <c r="BR32">
        <v>14.05</v>
      </c>
      <c r="BS32">
        <v>20.309999999999999</v>
      </c>
      <c r="BT32" t="s">
        <v>1528</v>
      </c>
      <c r="BU32" t="s">
        <v>1445</v>
      </c>
      <c r="BV32">
        <v>32.450000000000003</v>
      </c>
      <c r="BW32">
        <v>30.6</v>
      </c>
      <c r="BX32">
        <v>35.21</v>
      </c>
      <c r="BY32">
        <v>11.14</v>
      </c>
      <c r="BZ32">
        <v>10.15</v>
      </c>
      <c r="CA32">
        <v>10.39</v>
      </c>
      <c r="CB32">
        <v>-4.66</v>
      </c>
      <c r="CC32">
        <v>-22.97</v>
      </c>
      <c r="CD32" t="s">
        <v>3222</v>
      </c>
      <c r="CE32" t="s">
        <v>1846</v>
      </c>
      <c r="CF32" s="10">
        <v>1.0729613733905579E-2</v>
      </c>
      <c r="CG32" s="11">
        <v>5.3341764887808583E-2</v>
      </c>
      <c r="CH32" s="10">
        <v>0.10295886546373367</v>
      </c>
      <c r="CI32" s="10">
        <v>3.2282061874866486E-2</v>
      </c>
      <c r="CJ32" s="10">
        <v>0.33476969599723816</v>
      </c>
      <c r="CK32" s="10">
        <v>0.47964680194854736</v>
      </c>
      <c r="CL32" s="10">
        <v>0.29542571306228638</v>
      </c>
      <c r="CM32" s="11">
        <v>0.21090047061443329</v>
      </c>
      <c r="CN32" s="11">
        <v>7.1599045768380165E-3</v>
      </c>
      <c r="CO32" s="11">
        <v>0.11733333021402359</v>
      </c>
      <c r="CP32" s="11">
        <v>0.37362638115882874</v>
      </c>
      <c r="CQ32" s="11">
        <v>0.22972972691059113</v>
      </c>
      <c r="CR32">
        <v>19.83412493249325</v>
      </c>
      <c r="CS32">
        <v>0.79649801373226758</v>
      </c>
      <c r="CT32">
        <v>3.8226299694189603</v>
      </c>
      <c r="CU32" s="10">
        <v>0.24901662766933441</v>
      </c>
      <c r="CV32" s="11">
        <v>0.18774996269494296</v>
      </c>
      <c r="CW32">
        <v>0.06</v>
      </c>
      <c r="CX32">
        <v>7.9605981722752892</v>
      </c>
      <c r="CY32">
        <v>602120279.94248104</v>
      </c>
      <c r="CZ32">
        <v>0.24901662766933441</v>
      </c>
      <c r="DA32">
        <v>2.2794733717741544</v>
      </c>
      <c r="DB32">
        <v>2102782888.0796878</v>
      </c>
      <c r="DC32">
        <v>0.23656579628586769</v>
      </c>
      <c r="DD32">
        <v>0.93138545921634885</v>
      </c>
      <c r="DE32">
        <v>5146352192.3919067</v>
      </c>
      <c r="DF32">
        <v>0.21913463234901429</v>
      </c>
      <c r="DG32">
        <v>0.4472218819016413</v>
      </c>
      <c r="DH32">
        <v>10717806516.12702</v>
      </c>
      <c r="DI32">
        <v>0.19921330213546753</v>
      </c>
      <c r="DJ32">
        <v>0.13518431257385413</v>
      </c>
      <c r="DK32">
        <v>35457054955.110641</v>
      </c>
      <c r="DL32">
        <v>0.17431163936853408</v>
      </c>
      <c r="DM32">
        <v>511000000.00000006</v>
      </c>
      <c r="DN32">
        <v>0.24901662766933441</v>
      </c>
      <c r="DO32">
        <v>4793237600</v>
      </c>
      <c r="DP32">
        <v>1736144500</v>
      </c>
      <c r="DQ32">
        <v>1192</v>
      </c>
      <c r="DR32">
        <v>-0.23828701393542884</v>
      </c>
      <c r="DS32">
        <v>-0.13440819780713437</v>
      </c>
      <c r="DT32" s="12">
        <v>-9.000000000000008E-2</v>
      </c>
      <c r="DU32">
        <v>0.3833333333333333</v>
      </c>
      <c r="DV32">
        <v>0.29333333333333322</v>
      </c>
      <c r="DW32">
        <v>-8.202873313016978</v>
      </c>
      <c r="DX32">
        <v>0.34498400809716712</v>
      </c>
      <c r="DY32">
        <v>-8.0233271866666431</v>
      </c>
      <c r="DZ32">
        <v>1067</v>
      </c>
      <c r="EA32">
        <v>-8.018456324010419</v>
      </c>
      <c r="EB32">
        <v>8</v>
      </c>
      <c r="EC32">
        <v>5.0575046400444357E-2</v>
      </c>
      <c r="ED32">
        <v>0.43984417691985889</v>
      </c>
      <c r="EE32" s="13">
        <v>-1.0039100000000001</v>
      </c>
      <c r="EF32">
        <v>-1.0436099999999999</v>
      </c>
      <c r="EG32">
        <v>23.114984008097167</v>
      </c>
      <c r="EH32" t="s">
        <v>1550</v>
      </c>
      <c r="EI32">
        <v>0</v>
      </c>
      <c r="EJ32">
        <v>1</v>
      </c>
      <c r="EK32" s="14">
        <v>45470</v>
      </c>
      <c r="EL32">
        <v>-0.55000000000000004</v>
      </c>
      <c r="EM32">
        <v>-3.46</v>
      </c>
      <c r="EN32">
        <v>-1</v>
      </c>
      <c r="EO32">
        <v>2.3199999999999998</v>
      </c>
      <c r="EP32">
        <v>-3.97</v>
      </c>
    </row>
    <row r="33" spans="1:146" ht="96" x14ac:dyDescent="0.25">
      <c r="A33" s="8"/>
      <c r="B33" s="8"/>
      <c r="C33" s="8" t="str">
        <f>""&amp;CHAR(10)&amp;Basic_Fundamental_Information_Constructure(F33)&amp;CHAR(10)&amp;Basic_Fundamental_Information_Concatenate("")</f>
        <v xml:space="preserve">
市值15.720026亿, 利润591.12万; PE283.7; 平均PE72.32; 平均PEG6.64, PB3.06; ROIC2.525%; ROE1.7167%; 股利率.2958%; 毛利33.4567%; 净利5.3033%; 上一年度营收增67.18%, 利润增-54.33%; 当季营收增69.49%, 利润增-12.42%; 过往5年营收增10.89%, 利润增-28.91%
Income profile:
</v>
      </c>
      <c r="D33" t="s">
        <v>719</v>
      </c>
      <c r="E33" t="s">
        <v>720</v>
      </c>
      <c r="F33">
        <v>12.17</v>
      </c>
      <c r="G33">
        <v>-9.99</v>
      </c>
      <c r="H33" t="s">
        <v>3223</v>
      </c>
      <c r="I33">
        <v>1572002600</v>
      </c>
      <c r="J33">
        <v>283.7</v>
      </c>
      <c r="K33">
        <v>3.06</v>
      </c>
      <c r="L33" t="s">
        <v>2891</v>
      </c>
      <c r="M33" t="s">
        <v>193</v>
      </c>
      <c r="N33" t="s">
        <v>475</v>
      </c>
      <c r="O33" t="s">
        <v>2257</v>
      </c>
      <c r="P33">
        <v>69.489999999999995</v>
      </c>
      <c r="Q33" t="s">
        <v>248</v>
      </c>
      <c r="R33">
        <v>-3345090</v>
      </c>
      <c r="S33" s="7">
        <v>-0.1242</v>
      </c>
      <c r="T33" t="s">
        <v>2258</v>
      </c>
      <c r="U33">
        <v>128000000</v>
      </c>
      <c r="V33">
        <v>129170300</v>
      </c>
      <c r="W33">
        <v>1.39</v>
      </c>
      <c r="X33">
        <v>7.0000000000000007E-2</v>
      </c>
      <c r="Y33">
        <v>-2.3199999999999998</v>
      </c>
      <c r="Z33" t="s">
        <v>3224</v>
      </c>
      <c r="AA33" t="s">
        <v>3225</v>
      </c>
      <c r="AB33" t="s">
        <v>3226</v>
      </c>
      <c r="AC33" t="s">
        <v>3227</v>
      </c>
      <c r="AD33" t="s">
        <v>2</v>
      </c>
      <c r="AE33">
        <v>-501575</v>
      </c>
      <c r="AF33" t="s">
        <v>2259</v>
      </c>
      <c r="AG33" t="s">
        <v>3228</v>
      </c>
      <c r="AH33" t="s">
        <v>2260</v>
      </c>
      <c r="AI33" t="s">
        <v>52</v>
      </c>
      <c r="AJ33" t="s">
        <v>2261</v>
      </c>
      <c r="AK33" t="s">
        <v>2262</v>
      </c>
      <c r="AL33" t="s">
        <v>2263</v>
      </c>
      <c r="AM33" t="s">
        <v>2</v>
      </c>
      <c r="AN33" t="s">
        <v>3229</v>
      </c>
      <c r="AO33" t="s">
        <v>2</v>
      </c>
      <c r="AP33" t="s">
        <v>3230</v>
      </c>
      <c r="AQ33" t="s">
        <v>124</v>
      </c>
      <c r="AR33" t="s">
        <v>2</v>
      </c>
      <c r="AS33" t="s">
        <v>473</v>
      </c>
      <c r="AT33" t="s">
        <v>2</v>
      </c>
      <c r="AU33" t="s">
        <v>3231</v>
      </c>
      <c r="AV33" t="s">
        <v>2395</v>
      </c>
      <c r="AW33" t="s">
        <v>3232</v>
      </c>
      <c r="AX33" t="s">
        <v>41</v>
      </c>
      <c r="AY33" t="s">
        <v>354</v>
      </c>
      <c r="AZ33" t="s">
        <v>199</v>
      </c>
      <c r="BA33" t="s">
        <v>308</v>
      </c>
      <c r="BB33" t="s">
        <v>117</v>
      </c>
      <c r="BC33" t="s">
        <v>1619</v>
      </c>
      <c r="BD33" t="s">
        <v>1311</v>
      </c>
      <c r="BE33" t="s">
        <v>721</v>
      </c>
      <c r="BF33" t="s">
        <v>722</v>
      </c>
      <c r="BG33" t="s">
        <v>723</v>
      </c>
      <c r="BH33" t="s">
        <v>248</v>
      </c>
      <c r="BI33" t="s">
        <v>2264</v>
      </c>
      <c r="BJ33" t="s">
        <v>41</v>
      </c>
      <c r="BK33" t="s">
        <v>2258</v>
      </c>
      <c r="BL33" t="s">
        <v>2265</v>
      </c>
      <c r="BM33" t="s">
        <v>1619</v>
      </c>
      <c r="BN33" t="s">
        <v>2</v>
      </c>
      <c r="BO33">
        <v>1.79</v>
      </c>
      <c r="BP33">
        <v>3.26</v>
      </c>
      <c r="BQ33">
        <v>-1.21</v>
      </c>
      <c r="BR33">
        <v>2.4900000000000002</v>
      </c>
      <c r="BS33">
        <v>3.87</v>
      </c>
      <c r="BT33" t="s">
        <v>1532</v>
      </c>
      <c r="BU33" t="s">
        <v>1444</v>
      </c>
      <c r="BV33">
        <v>25</v>
      </c>
      <c r="BW33">
        <v>38</v>
      </c>
      <c r="BX33">
        <v>37.369999999999997</v>
      </c>
      <c r="BY33">
        <v>0.39</v>
      </c>
      <c r="BZ33">
        <v>6.63</v>
      </c>
      <c r="CA33">
        <v>8.89</v>
      </c>
      <c r="CB33">
        <v>-11.75</v>
      </c>
      <c r="CC33">
        <v>-1.89</v>
      </c>
      <c r="CD33" t="s">
        <v>3233</v>
      </c>
      <c r="CE33" t="s">
        <v>70</v>
      </c>
      <c r="CF33" s="10">
        <v>0.69492176794675098</v>
      </c>
      <c r="CG33" s="11">
        <v>-0.12417327597795402</v>
      </c>
      <c r="CH33" s="10">
        <v>0.67179489135742188</v>
      </c>
      <c r="CI33" s="10">
        <v>-0.11363636702299118</v>
      </c>
      <c r="CJ33" s="10">
        <v>3.7735849618911743E-2</v>
      </c>
      <c r="CK33" s="10">
        <v>-0.20300751924514771</v>
      </c>
      <c r="CL33" s="10">
        <v>0.15151515603065491</v>
      </c>
      <c r="CM33" s="11">
        <v>-0.54334980249404907</v>
      </c>
      <c r="CN33" s="11">
        <v>-0.33633941411972046</v>
      </c>
      <c r="CO33" s="11">
        <v>-0.1673177033662796</v>
      </c>
      <c r="CP33" s="11">
        <v>-0.26485475897789001</v>
      </c>
      <c r="CQ33" s="11">
        <v>-0.13347764313220978</v>
      </c>
      <c r="CR33">
        <v>72.320094095708953</v>
      </c>
      <c r="CS33">
        <v>6.6421589807831367</v>
      </c>
      <c r="CT33">
        <v>0.29580936729663104</v>
      </c>
      <c r="CU33" s="10">
        <v>0.10888040214776992</v>
      </c>
      <c r="CV33" s="11">
        <v>-0.28906786441802979</v>
      </c>
      <c r="CW33">
        <v>0.06</v>
      </c>
      <c r="CX33">
        <v>211.03616230848328</v>
      </c>
      <c r="CY33">
        <v>6183786.6350716008</v>
      </c>
      <c r="CZ33">
        <v>0.10888040214776992</v>
      </c>
      <c r="DA33">
        <v>67.873172174249049</v>
      </c>
      <c r="DB33">
        <v>19227075.414269727</v>
      </c>
      <c r="DC33">
        <v>0.10343638204038143</v>
      </c>
      <c r="DD33">
        <v>32.702119976514986</v>
      </c>
      <c r="DE33">
        <v>39905749.258371845</v>
      </c>
      <c r="DF33">
        <v>9.5814753890037532E-2</v>
      </c>
      <c r="DG33">
        <v>19.163940856905135</v>
      </c>
      <c r="DH33">
        <v>68096776.636094794</v>
      </c>
      <c r="DI33">
        <v>8.7104321718215943E-2</v>
      </c>
      <c r="DJ33">
        <v>9.3758126898236167</v>
      </c>
      <c r="DK33">
        <v>139188211.53673777</v>
      </c>
      <c r="DL33">
        <v>7.621628150343894E-2</v>
      </c>
      <c r="DM33">
        <v>5911200</v>
      </c>
      <c r="DN33">
        <v>0.10888040214776992</v>
      </c>
      <c r="DO33">
        <v>1305002600</v>
      </c>
      <c r="DP33">
        <v>356252680</v>
      </c>
      <c r="DQ33">
        <v>1325</v>
      </c>
      <c r="DR33">
        <v>0.58604136579898103</v>
      </c>
      <c r="DS33">
        <v>0.16489458844007576</v>
      </c>
      <c r="DT33" s="12">
        <v>-0.12333333333333336</v>
      </c>
      <c r="DU33">
        <v>-1.2450000000000001</v>
      </c>
      <c r="DV33">
        <v>-1.3683333333333334</v>
      </c>
      <c r="DW33">
        <v>-5.1608510638297869</v>
      </c>
      <c r="DX33">
        <v>0.66981177186311958</v>
      </c>
      <c r="DY33">
        <v>-5.0594846169209609</v>
      </c>
      <c r="DZ33">
        <v>3914</v>
      </c>
      <c r="EA33">
        <v>-5.0139224269740641</v>
      </c>
      <c r="EB33">
        <v>5</v>
      </c>
      <c r="EC33">
        <v>0.75296333599906484</v>
      </c>
      <c r="ED33">
        <v>2.036071759529861</v>
      </c>
      <c r="EE33" s="13">
        <v>-2.0217100000000001</v>
      </c>
      <c r="EF33">
        <v>-2.0783</v>
      </c>
      <c r="EG33">
        <v>30.36981177186312</v>
      </c>
      <c r="EH33" t="s">
        <v>1553</v>
      </c>
      <c r="EI33">
        <v>0</v>
      </c>
      <c r="EJ33">
        <v>0</v>
      </c>
      <c r="EK33" s="14">
        <v>45470</v>
      </c>
      <c r="EL33">
        <v>-1.0900000000000001</v>
      </c>
      <c r="EM33">
        <v>-5.79</v>
      </c>
      <c r="EN33">
        <v>1.07</v>
      </c>
      <c r="EO33">
        <v>10.039999999999999</v>
      </c>
      <c r="EP33">
        <v>10</v>
      </c>
    </row>
    <row r="34" spans="1:146" ht="96" x14ac:dyDescent="0.25">
      <c r="A34" s="8"/>
      <c r="B34" s="8"/>
      <c r="C34" s="8" t="str">
        <f>""&amp;CHAR(10)&amp;Basic_Fundamental_Information_Constructure(F34)&amp;CHAR(10)&amp;Basic_Fundamental_Information_Concatenate("")</f>
        <v xml:space="preserve">
市值24.50536亿, 利润7213.26万; PE29.41; 平均PE21.69; 平均PEG2.45, PB1.45; ROIC4.0367%; ROE4.2167%; 股利率1.9701%; 毛利45.55%; 净利7.7333%; 上一年度营收增5.36%, 利润增142.79%; 当季营收增4.76%, 利润增220.9%; 过往5年营收增8.86%, 利润增15.09%
Income profile:
</v>
      </c>
      <c r="D34" t="s">
        <v>1080</v>
      </c>
      <c r="E34" t="s">
        <v>1081</v>
      </c>
      <c r="F34">
        <v>12.69</v>
      </c>
      <c r="G34">
        <v>0.71</v>
      </c>
      <c r="H34" t="s">
        <v>3234</v>
      </c>
      <c r="I34">
        <v>2450536000</v>
      </c>
      <c r="J34">
        <v>29.41</v>
      </c>
      <c r="K34">
        <v>1.45</v>
      </c>
      <c r="L34" t="s">
        <v>2891</v>
      </c>
      <c r="M34" t="s">
        <v>1267</v>
      </c>
      <c r="N34" t="s">
        <v>1492</v>
      </c>
      <c r="O34" t="s">
        <v>233</v>
      </c>
      <c r="P34">
        <v>4.8499999999999996</v>
      </c>
      <c r="Q34" t="s">
        <v>1273</v>
      </c>
      <c r="R34">
        <v>16252173</v>
      </c>
      <c r="S34" s="6">
        <v>2.2090000000000001</v>
      </c>
      <c r="T34" t="s">
        <v>2267</v>
      </c>
      <c r="U34">
        <v>133166161</v>
      </c>
      <c r="V34">
        <v>193107640</v>
      </c>
      <c r="W34">
        <v>1.26</v>
      </c>
      <c r="X34">
        <v>0.09</v>
      </c>
      <c r="Y34">
        <v>8.2100000000000009</v>
      </c>
      <c r="Z34" t="s">
        <v>265</v>
      </c>
      <c r="AA34" t="s">
        <v>422</v>
      </c>
      <c r="AB34" t="s">
        <v>3235</v>
      </c>
      <c r="AC34" t="s">
        <v>3236</v>
      </c>
      <c r="AD34" t="s">
        <v>2</v>
      </c>
      <c r="AE34">
        <v>-2178704</v>
      </c>
      <c r="AF34" t="s">
        <v>2268</v>
      </c>
      <c r="AG34" t="s">
        <v>3237</v>
      </c>
      <c r="AH34" t="s">
        <v>2269</v>
      </c>
      <c r="AI34" t="s">
        <v>313</v>
      </c>
      <c r="AJ34" t="s">
        <v>2270</v>
      </c>
      <c r="AK34" t="s">
        <v>2</v>
      </c>
      <c r="AL34" t="s">
        <v>2271</v>
      </c>
      <c r="AM34" t="s">
        <v>2</v>
      </c>
      <c r="AN34" t="s">
        <v>3238</v>
      </c>
      <c r="AO34" t="s">
        <v>2</v>
      </c>
      <c r="AP34" t="s">
        <v>2</v>
      </c>
      <c r="AQ34" t="s">
        <v>91</v>
      </c>
      <c r="AR34" t="s">
        <v>3239</v>
      </c>
      <c r="AS34" t="s">
        <v>518</v>
      </c>
      <c r="AT34" t="s">
        <v>2</v>
      </c>
      <c r="AU34" t="s">
        <v>3240</v>
      </c>
      <c r="AV34" t="s">
        <v>3241</v>
      </c>
      <c r="AW34" t="s">
        <v>3242</v>
      </c>
      <c r="AX34" t="s">
        <v>1488</v>
      </c>
      <c r="AY34" t="s">
        <v>1283</v>
      </c>
      <c r="AZ34" t="s">
        <v>676</v>
      </c>
      <c r="BA34" t="s">
        <v>785</v>
      </c>
      <c r="BB34" t="s">
        <v>277</v>
      </c>
      <c r="BC34" t="s">
        <v>2272</v>
      </c>
      <c r="BD34" t="s">
        <v>106</v>
      </c>
      <c r="BE34" t="s">
        <v>165</v>
      </c>
      <c r="BF34" t="s">
        <v>122</v>
      </c>
      <c r="BG34" t="s">
        <v>82</v>
      </c>
      <c r="BH34" t="s">
        <v>1273</v>
      </c>
      <c r="BI34" t="s">
        <v>265</v>
      </c>
      <c r="BJ34" t="s">
        <v>1488</v>
      </c>
      <c r="BK34" t="s">
        <v>2267</v>
      </c>
      <c r="BL34" t="s">
        <v>2273</v>
      </c>
      <c r="BM34" t="s">
        <v>2272</v>
      </c>
      <c r="BN34">
        <v>1.64</v>
      </c>
      <c r="BO34">
        <v>1.68</v>
      </c>
      <c r="BP34">
        <v>8.7899999999999991</v>
      </c>
      <c r="BQ34">
        <v>1.91</v>
      </c>
      <c r="BR34">
        <v>1.85</v>
      </c>
      <c r="BS34">
        <v>8.89</v>
      </c>
      <c r="BT34" t="s">
        <v>1528</v>
      </c>
      <c r="BU34" t="s">
        <v>1274</v>
      </c>
      <c r="BV34">
        <v>43.29</v>
      </c>
      <c r="BW34">
        <v>44.32</v>
      </c>
      <c r="BX34">
        <v>49.04</v>
      </c>
      <c r="BY34">
        <v>6.92</v>
      </c>
      <c r="BZ34">
        <v>3.01</v>
      </c>
      <c r="CA34">
        <v>13.27</v>
      </c>
      <c r="CB34">
        <v>-3.35</v>
      </c>
      <c r="CC34">
        <v>-9.2899999999999991</v>
      </c>
      <c r="CD34" t="s">
        <v>3243</v>
      </c>
      <c r="CE34" t="s">
        <v>3244</v>
      </c>
      <c r="CF34" s="10">
        <v>4.7619047619047616E-2</v>
      </c>
      <c r="CG34" s="11">
        <v>2.20903800967519</v>
      </c>
      <c r="CH34" s="10">
        <v>5.3589485585689545E-2</v>
      </c>
      <c r="CI34" s="10">
        <v>-6.5217390656471252E-2</v>
      </c>
      <c r="CJ34" s="10">
        <v>0.12433581054210663</v>
      </c>
      <c r="CK34" s="10">
        <v>0.10316529870033264</v>
      </c>
      <c r="CL34" s="10">
        <v>0.22733813524246216</v>
      </c>
      <c r="CM34" s="11">
        <v>1.4278978109359741</v>
      </c>
      <c r="CN34" s="11">
        <v>-0.78778642416000366</v>
      </c>
      <c r="CO34" s="11">
        <v>-0.13580246269702911</v>
      </c>
      <c r="CP34" s="11">
        <v>0.10958904027938843</v>
      </c>
      <c r="CQ34" s="11">
        <v>0.140625</v>
      </c>
      <c r="CR34">
        <v>21.691198176567564</v>
      </c>
      <c r="CS34">
        <v>2.4470490991093685</v>
      </c>
      <c r="CT34">
        <v>1.9700551615445234</v>
      </c>
      <c r="CU34" s="10">
        <v>8.864226788282395E-2</v>
      </c>
      <c r="CV34" s="11">
        <v>0.15090459287166597</v>
      </c>
      <c r="CW34">
        <v>0.06</v>
      </c>
      <c r="CX34">
        <v>17.690415841361119</v>
      </c>
      <c r="CY34">
        <v>74081695.521023199</v>
      </c>
      <c r="CZ34">
        <v>8.864226788282395E-2</v>
      </c>
      <c r="DA34">
        <v>5.7877142223755964</v>
      </c>
      <c r="DB34">
        <v>226434124.01624832</v>
      </c>
      <c r="DC34">
        <v>8.4210154488682742E-2</v>
      </c>
      <c r="DD34">
        <v>2.8535401884420644</v>
      </c>
      <c r="DE34">
        <v>459266705.02422744</v>
      </c>
      <c r="DF34">
        <v>7.800519573688508E-2</v>
      </c>
      <c r="DG34">
        <v>1.7165711384613616</v>
      </c>
      <c r="DH34">
        <v>763461513.84945881</v>
      </c>
      <c r="DI34">
        <v>7.0913814306259162E-2</v>
      </c>
      <c r="DJ34">
        <v>0.89012638315869597</v>
      </c>
      <c r="DK34">
        <v>1472303287.2584245</v>
      </c>
      <c r="DL34">
        <v>6.2049587517976762E-2</v>
      </c>
      <c r="DM34">
        <v>72132600</v>
      </c>
      <c r="DN34">
        <v>8.864226788282395E-2</v>
      </c>
      <c r="DO34">
        <v>1310536000</v>
      </c>
      <c r="DP34">
        <v>1065757000</v>
      </c>
      <c r="DQ34">
        <v>1346</v>
      </c>
      <c r="DR34">
        <v>-4.1023220263776333E-2</v>
      </c>
      <c r="DS34">
        <v>2.0581334168035239</v>
      </c>
      <c r="DT34" s="12">
        <v>-0.34</v>
      </c>
      <c r="DU34">
        <v>0.25333333333333335</v>
      </c>
      <c r="DV34">
        <v>-8.666666666666667E-2</v>
      </c>
      <c r="DW34">
        <v>-8.3606027987082889</v>
      </c>
      <c r="DX34">
        <v>0.30459276621339193</v>
      </c>
      <c r="DY34">
        <v>-8.0629586401307716</v>
      </c>
      <c r="DZ34">
        <v>1902</v>
      </c>
      <c r="EA34">
        <v>-8.0395247196750521</v>
      </c>
      <c r="EB34">
        <v>8</v>
      </c>
      <c r="EC34">
        <v>5.8323430393535956E-2</v>
      </c>
      <c r="ED34">
        <v>0.33405410578266093</v>
      </c>
      <c r="EE34" s="13">
        <v>-1.00471</v>
      </c>
      <c r="EF34">
        <v>-1.0194099999999999</v>
      </c>
      <c r="EG34">
        <v>13.174592766213392</v>
      </c>
      <c r="EH34" t="s">
        <v>1550</v>
      </c>
      <c r="EI34">
        <v>0</v>
      </c>
      <c r="EJ34">
        <v>0</v>
      </c>
      <c r="EK34" s="14">
        <v>45470</v>
      </c>
      <c r="EL34">
        <v>-0.15</v>
      </c>
      <c r="EM34">
        <v>-3.01</v>
      </c>
      <c r="EN34">
        <v>0.32</v>
      </c>
      <c r="EO34">
        <v>2.2200000000000002</v>
      </c>
      <c r="EP34">
        <v>-1.47</v>
      </c>
    </row>
    <row r="35" spans="1:146" ht="96" x14ac:dyDescent="0.25">
      <c r="A35" s="8"/>
      <c r="B35" s="8"/>
      <c r="C35" s="8" t="str">
        <f>""&amp;CHAR(10)&amp;Basic_Fundamental_Information_Constructure(F35)&amp;CHAR(10)&amp;Basic_Fundamental_Information_Concatenate("")</f>
        <v xml:space="preserve">
市值64.24236亿, 利润1.63亿; PE41; 平均PE33.47; 平均PEG5.95, PB3.01; ROIC6.22%; ROE7.5633%; 股利率1.3477%; 毛利13.05%; 净利3.6167%; 上一年度营收增-1.03%, 利润增-26.58%; 当季营收增-3.66%, 利润增-15.29%; 过往5年营收增5.62%, 利润增42.86%
Income profile:
</v>
      </c>
      <c r="D35" t="s">
        <v>1082</v>
      </c>
      <c r="E35" t="s">
        <v>1083</v>
      </c>
      <c r="F35">
        <v>14.84</v>
      </c>
      <c r="G35">
        <v>-0.34</v>
      </c>
      <c r="H35" t="s">
        <v>3245</v>
      </c>
      <c r="I35">
        <v>6424236000</v>
      </c>
      <c r="J35">
        <v>41</v>
      </c>
      <c r="K35">
        <v>3.01</v>
      </c>
      <c r="L35" t="s">
        <v>2891</v>
      </c>
      <c r="M35" t="s">
        <v>1089</v>
      </c>
      <c r="N35" t="s">
        <v>3246</v>
      </c>
      <c r="O35" t="s">
        <v>401</v>
      </c>
      <c r="P35">
        <v>-3.6</v>
      </c>
      <c r="Q35" t="s">
        <v>2274</v>
      </c>
      <c r="R35">
        <v>36108568</v>
      </c>
      <c r="S35" s="6">
        <v>-0.15290000000000001</v>
      </c>
      <c r="T35" t="s">
        <v>279</v>
      </c>
      <c r="U35">
        <v>246656250</v>
      </c>
      <c r="V35">
        <v>432900000</v>
      </c>
      <c r="W35">
        <v>1.61</v>
      </c>
      <c r="X35">
        <v>0.2</v>
      </c>
      <c r="Y35">
        <v>5.26</v>
      </c>
      <c r="Z35" t="s">
        <v>643</v>
      </c>
      <c r="AA35" t="s">
        <v>3247</v>
      </c>
      <c r="AB35" t="s">
        <v>3248</v>
      </c>
      <c r="AC35" t="s">
        <v>3249</v>
      </c>
      <c r="AD35" t="s">
        <v>2</v>
      </c>
      <c r="AE35">
        <v>2638981</v>
      </c>
      <c r="AF35" t="s">
        <v>2275</v>
      </c>
      <c r="AG35" t="s">
        <v>3250</v>
      </c>
      <c r="AH35" t="s">
        <v>2276</v>
      </c>
      <c r="AI35" t="s">
        <v>575</v>
      </c>
      <c r="AJ35" t="s">
        <v>2277</v>
      </c>
      <c r="AK35" t="s">
        <v>19</v>
      </c>
      <c r="AL35" t="s">
        <v>2278</v>
      </c>
      <c r="AM35" t="s">
        <v>2</v>
      </c>
      <c r="AN35" t="s">
        <v>3251</v>
      </c>
      <c r="AO35" t="s">
        <v>613</v>
      </c>
      <c r="AP35" t="s">
        <v>437</v>
      </c>
      <c r="AQ35" t="s">
        <v>3252</v>
      </c>
      <c r="AR35" t="s">
        <v>2</v>
      </c>
      <c r="AS35" t="s">
        <v>1485</v>
      </c>
      <c r="AT35" t="s">
        <v>2</v>
      </c>
      <c r="AU35" t="s">
        <v>1683</v>
      </c>
      <c r="AV35" t="s">
        <v>1613</v>
      </c>
      <c r="AW35" t="s">
        <v>533</v>
      </c>
      <c r="AX35" t="s">
        <v>1607</v>
      </c>
      <c r="AY35" t="s">
        <v>1313</v>
      </c>
      <c r="AZ35" t="s">
        <v>1084</v>
      </c>
      <c r="BA35" t="s">
        <v>1085</v>
      </c>
      <c r="BB35" t="s">
        <v>1086</v>
      </c>
      <c r="BC35" t="s">
        <v>45</v>
      </c>
      <c r="BD35" t="s">
        <v>1314</v>
      </c>
      <c r="BE35" t="s">
        <v>465</v>
      </c>
      <c r="BF35" t="s">
        <v>480</v>
      </c>
      <c r="BG35" t="s">
        <v>193</v>
      </c>
      <c r="BH35" t="s">
        <v>2274</v>
      </c>
      <c r="BI35" t="s">
        <v>2279</v>
      </c>
      <c r="BJ35" t="s">
        <v>1607</v>
      </c>
      <c r="BK35" t="s">
        <v>279</v>
      </c>
      <c r="BL35" t="s">
        <v>2280</v>
      </c>
      <c r="BM35" t="s">
        <v>45</v>
      </c>
      <c r="BN35">
        <v>6.94</v>
      </c>
      <c r="BO35">
        <v>9.06</v>
      </c>
      <c r="BP35">
        <v>2.66</v>
      </c>
      <c r="BQ35">
        <v>8.48</v>
      </c>
      <c r="BR35">
        <v>11.49</v>
      </c>
      <c r="BS35">
        <v>2.72</v>
      </c>
      <c r="BT35" t="s">
        <v>1525</v>
      </c>
      <c r="BU35" t="s">
        <v>1274</v>
      </c>
      <c r="BV35">
        <v>13.22</v>
      </c>
      <c r="BW35">
        <v>13</v>
      </c>
      <c r="BX35">
        <v>12.93</v>
      </c>
      <c r="BY35">
        <v>4.1500000000000004</v>
      </c>
      <c r="BZ35">
        <v>5.58</v>
      </c>
      <c r="CA35">
        <v>1.1200000000000001</v>
      </c>
      <c r="CB35">
        <v>-2.88</v>
      </c>
      <c r="CC35">
        <v>-12.09</v>
      </c>
      <c r="CD35" t="s">
        <v>3253</v>
      </c>
      <c r="CE35" t="s">
        <v>208</v>
      </c>
      <c r="CF35" s="10">
        <v>-3.6568213783403657E-2</v>
      </c>
      <c r="CG35" s="11">
        <v>-0.15294772276763199</v>
      </c>
      <c r="CH35" s="10">
        <v>-1.0319641791284084E-2</v>
      </c>
      <c r="CI35" s="10">
        <v>-0.13442268967628479</v>
      </c>
      <c r="CJ35" s="10">
        <v>0.43482339382171631</v>
      </c>
      <c r="CK35" s="10">
        <v>-0.16844293475151062</v>
      </c>
      <c r="CL35" s="10">
        <v>0.15943336486816406</v>
      </c>
      <c r="CM35" s="11">
        <v>-0.26576575636863708</v>
      </c>
      <c r="CN35" s="11">
        <v>3.3017754554748535</v>
      </c>
      <c r="CO35" s="11">
        <v>-0.73121565580368042</v>
      </c>
      <c r="CP35" s="11">
        <v>-0.31428572535514832</v>
      </c>
      <c r="CQ35" s="11">
        <v>0.15226337313652039</v>
      </c>
      <c r="CR35">
        <v>33.470992611539387</v>
      </c>
      <c r="CS35">
        <v>5.9541777640463707</v>
      </c>
      <c r="CT35">
        <v>1.3477088948787062</v>
      </c>
      <c r="CU35" s="10">
        <v>5.6214298494160174E-2</v>
      </c>
      <c r="CV35" s="11">
        <v>0.42855433821678163</v>
      </c>
      <c r="CW35">
        <v>0.06</v>
      </c>
      <c r="CX35">
        <v>33.772369800481201</v>
      </c>
      <c r="CY35">
        <v>162417859.10806426</v>
      </c>
      <c r="CZ35">
        <v>5.6214298494160174E-2</v>
      </c>
      <c r="DA35">
        <v>11.358028782689523</v>
      </c>
      <c r="DB35">
        <v>482939082.55981052</v>
      </c>
      <c r="DC35">
        <v>5.3403583569452164E-2</v>
      </c>
      <c r="DD35">
        <v>5.8072537360844363</v>
      </c>
      <c r="DE35">
        <v>944549050.08136296</v>
      </c>
      <c r="DF35">
        <v>4.9468582674860956E-2</v>
      </c>
      <c r="DG35">
        <v>3.6370598089339907</v>
      </c>
      <c r="DH35">
        <v>1508151168.2942886</v>
      </c>
      <c r="DI35">
        <v>4.4971438795328139E-2</v>
      </c>
      <c r="DJ35">
        <v>2.0554137415199496</v>
      </c>
      <c r="DK35">
        <v>2668677302.8693213</v>
      </c>
      <c r="DL35">
        <v>3.9350008945912118E-2</v>
      </c>
      <c r="DM35">
        <v>163000000</v>
      </c>
      <c r="DN35">
        <v>5.6214298494160174E-2</v>
      </c>
      <c r="DO35">
        <v>5485236000</v>
      </c>
      <c r="DP35">
        <v>1609364800</v>
      </c>
      <c r="DQ35">
        <v>1349</v>
      </c>
      <c r="DR35">
        <v>-9.2782512277563831E-2</v>
      </c>
      <c r="DS35">
        <v>-0.58150206098441359</v>
      </c>
      <c r="DT35" s="12">
        <v>-0.32333333333333331</v>
      </c>
      <c r="DU35">
        <v>-0.33666666666666673</v>
      </c>
      <c r="DV35">
        <v>-0.66</v>
      </c>
      <c r="DW35">
        <v>-8.2382133995037226</v>
      </c>
      <c r="DX35">
        <v>0.27266761904761766</v>
      </c>
      <c r="DY35">
        <v>-8.0173104005671743</v>
      </c>
      <c r="DZ35">
        <v>3135</v>
      </c>
      <c r="EA35">
        <v>-8.0066904190059045</v>
      </c>
      <c r="EB35">
        <v>8</v>
      </c>
      <c r="EC35">
        <v>5.2876645876645888E-2</v>
      </c>
      <c r="ED35">
        <v>0.72765072765072769</v>
      </c>
      <c r="EE35" s="13">
        <v>3.0443099999999998</v>
      </c>
      <c r="EF35">
        <v>3.0703100000000001</v>
      </c>
      <c r="EG35">
        <v>20.072667619047618</v>
      </c>
      <c r="EH35" t="s">
        <v>1562</v>
      </c>
      <c r="EI35">
        <v>0</v>
      </c>
      <c r="EJ35">
        <v>0</v>
      </c>
      <c r="EK35" s="14">
        <v>45470</v>
      </c>
      <c r="EL35">
        <v>0</v>
      </c>
      <c r="EM35">
        <v>-5.76</v>
      </c>
      <c r="EN35">
        <v>0.4</v>
      </c>
      <c r="EO35">
        <v>2.81</v>
      </c>
      <c r="EP35">
        <v>-2.6</v>
      </c>
    </row>
    <row r="36" spans="1:146" ht="120" x14ac:dyDescent="0.25">
      <c r="A36" s="9" t="s">
        <v>1222</v>
      </c>
      <c r="B36" s="9" t="s">
        <v>1223</v>
      </c>
      <c r="C36" s="9" t="s">
        <v>1477</v>
      </c>
      <c r="D36" t="s">
        <v>885</v>
      </c>
      <c r="E36" t="s">
        <v>886</v>
      </c>
      <c r="F36">
        <v>11.36</v>
      </c>
      <c r="G36">
        <v>0.44</v>
      </c>
      <c r="H36" t="s">
        <v>3254</v>
      </c>
      <c r="I36">
        <v>2535463200</v>
      </c>
      <c r="J36">
        <v>35.67</v>
      </c>
      <c r="K36">
        <v>2.4500000000000002</v>
      </c>
      <c r="L36" t="s">
        <v>2891</v>
      </c>
      <c r="M36" t="s">
        <v>1433</v>
      </c>
      <c r="N36" t="s">
        <v>3255</v>
      </c>
      <c r="O36" t="s">
        <v>231</v>
      </c>
      <c r="P36">
        <v>1.6</v>
      </c>
      <c r="Q36" t="s">
        <v>229</v>
      </c>
      <c r="R36">
        <v>15211073</v>
      </c>
      <c r="S36" s="6">
        <v>5.1700000000000003E-2</v>
      </c>
      <c r="T36" t="s">
        <v>2281</v>
      </c>
      <c r="U36">
        <v>220642600</v>
      </c>
      <c r="V36">
        <v>223192180</v>
      </c>
      <c r="W36">
        <v>1.43</v>
      </c>
      <c r="X36">
        <v>0.14000000000000001</v>
      </c>
      <c r="Y36">
        <v>7.73</v>
      </c>
      <c r="Z36" t="s">
        <v>101</v>
      </c>
      <c r="AA36" t="s">
        <v>181</v>
      </c>
      <c r="AB36" t="s">
        <v>3256</v>
      </c>
      <c r="AC36" t="s">
        <v>3257</v>
      </c>
      <c r="AD36" t="s">
        <v>2</v>
      </c>
      <c r="AE36">
        <v>-79267</v>
      </c>
      <c r="AF36" t="s">
        <v>2283</v>
      </c>
      <c r="AG36" t="s">
        <v>3258</v>
      </c>
      <c r="AH36" t="s">
        <v>2284</v>
      </c>
      <c r="AI36" t="s">
        <v>148</v>
      </c>
      <c r="AJ36" t="s">
        <v>2285</v>
      </c>
      <c r="AK36" t="s">
        <v>3259</v>
      </c>
      <c r="AL36" t="s">
        <v>2286</v>
      </c>
      <c r="AM36" t="s">
        <v>2</v>
      </c>
      <c r="AN36" t="s">
        <v>460</v>
      </c>
      <c r="AO36" t="s">
        <v>3260</v>
      </c>
      <c r="AP36" t="s">
        <v>151</v>
      </c>
      <c r="AQ36" t="s">
        <v>163</v>
      </c>
      <c r="AR36" t="s">
        <v>2</v>
      </c>
      <c r="AS36" t="s">
        <v>363</v>
      </c>
      <c r="AT36" t="s">
        <v>2</v>
      </c>
      <c r="AU36" t="s">
        <v>3261</v>
      </c>
      <c r="AV36" t="s">
        <v>3262</v>
      </c>
      <c r="AW36" t="s">
        <v>3263</v>
      </c>
      <c r="AX36" t="s">
        <v>315</v>
      </c>
      <c r="AY36" t="s">
        <v>677</v>
      </c>
      <c r="AZ36" t="s">
        <v>34</v>
      </c>
      <c r="BA36" t="s">
        <v>263</v>
      </c>
      <c r="BB36" t="s">
        <v>155</v>
      </c>
      <c r="BC36" t="s">
        <v>1940</v>
      </c>
      <c r="BD36" t="s">
        <v>1316</v>
      </c>
      <c r="BE36" t="s">
        <v>888</v>
      </c>
      <c r="BF36" t="s">
        <v>889</v>
      </c>
      <c r="BG36" t="s">
        <v>890</v>
      </c>
      <c r="BH36" t="s">
        <v>229</v>
      </c>
      <c r="BI36" t="s">
        <v>547</v>
      </c>
      <c r="BJ36" t="s">
        <v>315</v>
      </c>
      <c r="BK36" t="s">
        <v>2281</v>
      </c>
      <c r="BL36" t="s">
        <v>2287</v>
      </c>
      <c r="BM36" t="s">
        <v>1940</v>
      </c>
      <c r="BN36">
        <v>8.01</v>
      </c>
      <c r="BO36">
        <v>6.69</v>
      </c>
      <c r="BP36">
        <v>11.01</v>
      </c>
      <c r="BQ36">
        <v>8.33</v>
      </c>
      <c r="BR36">
        <v>7.22</v>
      </c>
      <c r="BS36">
        <v>10.82</v>
      </c>
      <c r="BT36" t="s">
        <v>1660</v>
      </c>
      <c r="BU36" t="s">
        <v>1445</v>
      </c>
      <c r="BV36">
        <v>31.23</v>
      </c>
      <c r="BW36">
        <v>35.9</v>
      </c>
      <c r="BX36">
        <v>33.200000000000003</v>
      </c>
      <c r="BY36">
        <v>7.43</v>
      </c>
      <c r="BZ36">
        <v>7.97</v>
      </c>
      <c r="CA36">
        <v>11.41</v>
      </c>
      <c r="CB36">
        <v>-4.8600000000000003</v>
      </c>
      <c r="CC36">
        <v>-24.84</v>
      </c>
      <c r="CD36" t="s">
        <v>3264</v>
      </c>
      <c r="CE36" t="s">
        <v>260</v>
      </c>
      <c r="CF36" s="10">
        <v>1.3888888888888888E-2</v>
      </c>
      <c r="CG36" s="11">
        <v>5.1665053443769829E-2</v>
      </c>
      <c r="CH36" s="10">
        <v>0.1584821492433548</v>
      </c>
      <c r="CI36" s="10">
        <v>-5.9811122715473175E-2</v>
      </c>
      <c r="CJ36" s="10">
        <v>0.22336328029632568</v>
      </c>
      <c r="CK36" s="10">
        <v>0.29617303609848022</v>
      </c>
      <c r="CL36" s="10">
        <v>0.73198848962783813</v>
      </c>
      <c r="CM36" s="11">
        <v>3.0314233154058456E-2</v>
      </c>
      <c r="CN36" s="11">
        <v>-0.28768461942672729</v>
      </c>
      <c r="CO36" s="11">
        <v>0.13753469288349152</v>
      </c>
      <c r="CP36" s="11">
        <v>0.14470644295215607</v>
      </c>
      <c r="CQ36" s="11">
        <v>6.0619981959462166E-3</v>
      </c>
      <c r="CR36">
        <v>32.689706299795148</v>
      </c>
      <c r="CS36">
        <v>1.2105542585642615</v>
      </c>
      <c r="CT36">
        <v>1.188380281690141</v>
      </c>
      <c r="CU36" s="10">
        <v>0.27003916651010512</v>
      </c>
      <c r="CV36" s="11">
        <v>6.1865495517849922E-3</v>
      </c>
      <c r="CW36">
        <v>0.06</v>
      </c>
      <c r="CX36">
        <v>23.160274314818079</v>
      </c>
      <c r="CY36">
        <v>84259071.091893002</v>
      </c>
      <c r="CZ36">
        <v>0.27003916651010512</v>
      </c>
      <c r="DA36">
        <v>6.5195346743225322</v>
      </c>
      <c r="DB36">
        <v>299325534.33390296</v>
      </c>
      <c r="DC36">
        <v>0.25653720818459985</v>
      </c>
      <c r="DD36">
        <v>2.5972207433784003</v>
      </c>
      <c r="DE36">
        <v>751365937.98399484</v>
      </c>
      <c r="DF36">
        <v>0.2376344665288925</v>
      </c>
      <c r="DG36">
        <v>1.2077544395194857</v>
      </c>
      <c r="DH36">
        <v>1615778121.8973656</v>
      </c>
      <c r="DI36">
        <v>0.2160313332080841</v>
      </c>
      <c r="DJ36">
        <v>0.33653990622469199</v>
      </c>
      <c r="DK36">
        <v>5798608616.4090719</v>
      </c>
      <c r="DL36">
        <v>0.18902741655707359</v>
      </c>
      <c r="DM36">
        <v>70324300</v>
      </c>
      <c r="DN36">
        <v>0.27003916651010512</v>
      </c>
      <c r="DO36">
        <v>1951463200</v>
      </c>
      <c r="DP36">
        <v>714645990</v>
      </c>
      <c r="DQ36">
        <v>1390</v>
      </c>
      <c r="DR36">
        <v>-0.25615027762121623</v>
      </c>
      <c r="DS36">
        <v>4.5478503891984837E-2</v>
      </c>
      <c r="DT36" s="12">
        <v>0.17666666666666667</v>
      </c>
      <c r="DU36">
        <v>-0.15</v>
      </c>
      <c r="DV36">
        <v>2.6666666666666672E-2</v>
      </c>
      <c r="DW36">
        <v>-8.195652173913043</v>
      </c>
      <c r="DX36">
        <v>0.20142540192926084</v>
      </c>
      <c r="DY36">
        <v>-8.0159310568992037</v>
      </c>
      <c r="DZ36">
        <v>1649</v>
      </c>
      <c r="EA36">
        <v>-8.0107900954849605</v>
      </c>
      <c r="EB36">
        <v>8</v>
      </c>
      <c r="EC36">
        <v>0.1134596203146544</v>
      </c>
      <c r="ED36">
        <v>1.3934179952003696</v>
      </c>
      <c r="EE36" s="13">
        <v>1.0370999999999999</v>
      </c>
      <c r="EF36">
        <v>1.0241</v>
      </c>
      <c r="EG36">
        <v>12.081425401929261</v>
      </c>
      <c r="EH36" t="s">
        <v>1547</v>
      </c>
      <c r="EI36">
        <v>0</v>
      </c>
      <c r="EJ36">
        <v>0</v>
      </c>
      <c r="EK36" s="14">
        <v>45470</v>
      </c>
      <c r="EL36">
        <v>-0.92</v>
      </c>
      <c r="EM36">
        <v>-4.3899999999999997</v>
      </c>
      <c r="EN36">
        <v>0.18</v>
      </c>
      <c r="EO36">
        <v>2.0299999999999998</v>
      </c>
      <c r="EP36">
        <v>-1.3</v>
      </c>
    </row>
    <row r="37" spans="1:146" ht="156" x14ac:dyDescent="0.25">
      <c r="A37" s="9" t="s">
        <v>1224</v>
      </c>
      <c r="B37" s="9" t="s">
        <v>1225</v>
      </c>
      <c r="C37" s="8" t="s">
        <v>1478</v>
      </c>
      <c r="D37" t="s">
        <v>1087</v>
      </c>
      <c r="E37" t="s">
        <v>1088</v>
      </c>
      <c r="F37">
        <v>7.4</v>
      </c>
      <c r="G37">
        <v>-0.13</v>
      </c>
      <c r="H37" t="s">
        <v>3265</v>
      </c>
      <c r="I37">
        <v>3380977500</v>
      </c>
      <c r="J37">
        <v>22.44</v>
      </c>
      <c r="K37">
        <v>1.89</v>
      </c>
      <c r="L37" t="s">
        <v>2891</v>
      </c>
      <c r="M37" t="s">
        <v>2288</v>
      </c>
      <c r="N37" t="s">
        <v>3266</v>
      </c>
      <c r="O37" t="s">
        <v>1817</v>
      </c>
      <c r="P37">
        <v>3.09</v>
      </c>
      <c r="Q37" t="s">
        <v>1958</v>
      </c>
      <c r="R37">
        <v>33069061</v>
      </c>
      <c r="S37" s="6">
        <v>0.14460000000000001</v>
      </c>
      <c r="T37" t="s">
        <v>122</v>
      </c>
      <c r="U37">
        <v>271637530</v>
      </c>
      <c r="V37">
        <v>456888850</v>
      </c>
      <c r="W37">
        <v>1.75</v>
      </c>
      <c r="X37">
        <v>0.28999999999999998</v>
      </c>
      <c r="Y37">
        <v>3.56</v>
      </c>
      <c r="Z37" t="s">
        <v>3267</v>
      </c>
      <c r="AA37" t="s">
        <v>564</v>
      </c>
      <c r="AB37" t="s">
        <v>3268</v>
      </c>
      <c r="AC37" t="s">
        <v>3269</v>
      </c>
      <c r="AD37" t="s">
        <v>2</v>
      </c>
      <c r="AE37">
        <v>3665974</v>
      </c>
      <c r="AF37" t="s">
        <v>2289</v>
      </c>
      <c r="AG37" t="s">
        <v>3270</v>
      </c>
      <c r="AH37" t="s">
        <v>2290</v>
      </c>
      <c r="AI37" t="s">
        <v>189</v>
      </c>
      <c r="AJ37" t="s">
        <v>2291</v>
      </c>
      <c r="AK37" t="s">
        <v>3271</v>
      </c>
      <c r="AL37" t="s">
        <v>2292</v>
      </c>
      <c r="AM37" t="s">
        <v>2</v>
      </c>
      <c r="AN37" t="s">
        <v>404</v>
      </c>
      <c r="AO37" t="s">
        <v>568</v>
      </c>
      <c r="AP37" t="s">
        <v>1437</v>
      </c>
      <c r="AQ37" t="s">
        <v>206</v>
      </c>
      <c r="AR37" t="s">
        <v>2</v>
      </c>
      <c r="AS37" t="s">
        <v>511</v>
      </c>
      <c r="AT37" t="s">
        <v>223</v>
      </c>
      <c r="AU37" t="s">
        <v>3272</v>
      </c>
      <c r="AV37" t="s">
        <v>3273</v>
      </c>
      <c r="AW37" t="s">
        <v>3274</v>
      </c>
      <c r="AX37" t="s">
        <v>1621</v>
      </c>
      <c r="AY37" t="s">
        <v>1197</v>
      </c>
      <c r="AZ37" t="s">
        <v>1090</v>
      </c>
      <c r="BA37" t="s">
        <v>519</v>
      </c>
      <c r="BB37" t="s">
        <v>631</v>
      </c>
      <c r="BC37" t="s">
        <v>1622</v>
      </c>
      <c r="BD37" t="s">
        <v>72</v>
      </c>
      <c r="BE37" t="s">
        <v>144</v>
      </c>
      <c r="BF37" t="s">
        <v>109</v>
      </c>
      <c r="BG37" t="s">
        <v>131</v>
      </c>
      <c r="BH37" t="s">
        <v>1958</v>
      </c>
      <c r="BI37" t="s">
        <v>590</v>
      </c>
      <c r="BJ37" t="s">
        <v>1621</v>
      </c>
      <c r="BK37" t="s">
        <v>122</v>
      </c>
      <c r="BL37" t="s">
        <v>2293</v>
      </c>
      <c r="BM37" t="s">
        <v>1622</v>
      </c>
      <c r="BN37">
        <v>5.55</v>
      </c>
      <c r="BO37">
        <v>5.39</v>
      </c>
      <c r="BP37">
        <v>9.2799999999999994</v>
      </c>
      <c r="BQ37">
        <v>7.79</v>
      </c>
      <c r="BR37">
        <v>6.62</v>
      </c>
      <c r="BS37">
        <v>11.05</v>
      </c>
      <c r="BT37" t="s">
        <v>2294</v>
      </c>
      <c r="BU37" t="s">
        <v>1274</v>
      </c>
      <c r="BV37">
        <v>12.17</v>
      </c>
      <c r="BW37">
        <v>11.7</v>
      </c>
      <c r="BX37">
        <v>13.25</v>
      </c>
      <c r="BY37">
        <v>3.85</v>
      </c>
      <c r="BZ37">
        <v>2.31</v>
      </c>
      <c r="CA37">
        <v>3.93</v>
      </c>
      <c r="CB37">
        <v>-5.61</v>
      </c>
      <c r="CC37">
        <v>-14.34</v>
      </c>
      <c r="CD37" t="s">
        <v>3275</v>
      </c>
      <c r="CE37" t="s">
        <v>358</v>
      </c>
      <c r="CF37" s="10">
        <v>3.0508474576271052E-2</v>
      </c>
      <c r="CG37" s="11">
        <v>0.14461858232176913</v>
      </c>
      <c r="CH37" s="10">
        <v>6.7782133817672729E-2</v>
      </c>
      <c r="CI37" s="10">
        <v>9.6052281558513641E-2</v>
      </c>
      <c r="CJ37" s="10">
        <v>0.974831223487854</v>
      </c>
      <c r="CK37" s="10">
        <v>5.7792164385318756E-2</v>
      </c>
      <c r="CL37" s="10">
        <v>-9.0090092271566391E-3</v>
      </c>
      <c r="CM37" s="11">
        <v>0.7406960129737854</v>
      </c>
      <c r="CN37" s="11">
        <v>-0.33957090973854065</v>
      </c>
      <c r="CO37" s="11">
        <v>0.20952381193637848</v>
      </c>
      <c r="CP37" s="11">
        <v>-2.777777798473835E-2</v>
      </c>
      <c r="CQ37" s="11">
        <v>-6.8965516984462738E-2</v>
      </c>
      <c r="CR37">
        <v>29.576642665677173</v>
      </c>
      <c r="CS37">
        <v>1.245386024836207</v>
      </c>
      <c r="CT37">
        <v>1.3513513513513513</v>
      </c>
      <c r="CU37" s="10">
        <v>0.23748975880444051</v>
      </c>
      <c r="CV37" s="11">
        <v>0.10278112404048442</v>
      </c>
      <c r="CW37">
        <v>0.06</v>
      </c>
      <c r="CX37">
        <v>17.160657583312219</v>
      </c>
      <c r="CY37">
        <v>170446702.62778142</v>
      </c>
      <c r="CZ37">
        <v>0.23748975880444051</v>
      </c>
      <c r="DA37">
        <v>4.9602797680304862</v>
      </c>
      <c r="DB37">
        <v>589679944.83935785</v>
      </c>
      <c r="DC37">
        <v>0.22561527086421848</v>
      </c>
      <c r="DD37">
        <v>2.0549972093158284</v>
      </c>
      <c r="DE37">
        <v>1423348648.2318945</v>
      </c>
      <c r="DF37">
        <v>0.20899098774790764</v>
      </c>
      <c r="DG37">
        <v>1.0040431533232925</v>
      </c>
      <c r="DH37">
        <v>2913198989.822885</v>
      </c>
      <c r="DI37">
        <v>0.18999180704355242</v>
      </c>
      <c r="DJ37">
        <v>0.31709651246990739</v>
      </c>
      <c r="DK37">
        <v>9224249983.7571754</v>
      </c>
      <c r="DL37">
        <v>0.16624283116310834</v>
      </c>
      <c r="DM37">
        <v>146000000</v>
      </c>
      <c r="DN37">
        <v>0.23748975880444051</v>
      </c>
      <c r="DO37">
        <v>2924977500</v>
      </c>
      <c r="DP37">
        <v>1030784400</v>
      </c>
      <c r="DQ37">
        <v>1414</v>
      </c>
      <c r="DR37">
        <v>-0.20698128422816947</v>
      </c>
      <c r="DS37">
        <v>4.1837458281284712E-2</v>
      </c>
      <c r="DT37" s="12">
        <v>-0.17333333333333334</v>
      </c>
      <c r="DU37">
        <v>0.31666666666666665</v>
      </c>
      <c r="DV37">
        <v>0.14333333333333331</v>
      </c>
      <c r="DW37">
        <v>-8.3912133891213383</v>
      </c>
      <c r="DX37">
        <v>0.38706902654867248</v>
      </c>
      <c r="DY37">
        <v>-8.0614475062020965</v>
      </c>
      <c r="DZ37">
        <v>1380</v>
      </c>
      <c r="EA37">
        <v>-8.0448530720418443</v>
      </c>
      <c r="EB37">
        <v>8</v>
      </c>
      <c r="EC37">
        <v>3.884708501859916E-2</v>
      </c>
      <c r="ED37">
        <v>0.2473249237752245</v>
      </c>
      <c r="EE37" s="13">
        <v>4.0775100000000002</v>
      </c>
      <c r="EF37">
        <v>4.06311</v>
      </c>
      <c r="EG37">
        <v>23.157069026548672</v>
      </c>
      <c r="EH37" t="s">
        <v>1822</v>
      </c>
      <c r="EI37">
        <v>0</v>
      </c>
      <c r="EJ37">
        <v>1</v>
      </c>
      <c r="EK37" s="14">
        <v>45470</v>
      </c>
      <c r="EL37">
        <v>0.4</v>
      </c>
      <c r="EM37">
        <v>-4.3499999999999996</v>
      </c>
      <c r="EN37">
        <v>0.1</v>
      </c>
      <c r="EO37">
        <v>3.51</v>
      </c>
      <c r="EP37">
        <v>1.44</v>
      </c>
    </row>
    <row r="38" spans="1:146" ht="96" x14ac:dyDescent="0.25">
      <c r="A38" s="9"/>
      <c r="B38" s="9"/>
      <c r="C38" s="8" t="str">
        <f>""&amp;CHAR(10)&amp;Basic_Fundamental_Information_Constructure(F38)&amp;CHAR(10)&amp;Basic_Fundamental_Information_Concatenate("")</f>
        <v xml:space="preserve">
市值27.906681亿, 利润1.07亿; PE24.58; 平均PE19.29; 平均PEG1.35, PB2.66; ROIC10.2633%; ROE10.7%; 股利率2.8667%; 毛利40.93%; 净利17.5667%; 上一年度营收增12.23%, 利润增8.91%; 当季营收增1.32%, 利润增30.3%; 过往5年营收增14.3%, 利润增39.56%
Income profile:
</v>
      </c>
      <c r="D38" t="s">
        <v>724</v>
      </c>
      <c r="E38" t="s">
        <v>725</v>
      </c>
      <c r="F38">
        <v>20.93</v>
      </c>
      <c r="G38">
        <v>2.2000000000000002</v>
      </c>
      <c r="H38" t="s">
        <v>3276</v>
      </c>
      <c r="I38">
        <v>2790668100</v>
      </c>
      <c r="J38">
        <v>24.58</v>
      </c>
      <c r="K38">
        <v>2.66</v>
      </c>
      <c r="L38" t="s">
        <v>2891</v>
      </c>
      <c r="M38" t="s">
        <v>146</v>
      </c>
      <c r="N38" t="s">
        <v>1243</v>
      </c>
      <c r="O38" t="s">
        <v>27</v>
      </c>
      <c r="P38">
        <v>0.86</v>
      </c>
      <c r="Q38" t="s">
        <v>246</v>
      </c>
      <c r="R38">
        <v>27443957</v>
      </c>
      <c r="S38" s="6">
        <v>0.30299999999999999</v>
      </c>
      <c r="T38" t="s">
        <v>177</v>
      </c>
      <c r="U38">
        <v>71833400</v>
      </c>
      <c r="V38">
        <v>133333400</v>
      </c>
      <c r="W38">
        <v>1.24</v>
      </c>
      <c r="X38">
        <v>0.11</v>
      </c>
      <c r="Y38">
        <v>18.100000000000001</v>
      </c>
      <c r="Z38" t="s">
        <v>136</v>
      </c>
      <c r="AA38" t="s">
        <v>3277</v>
      </c>
      <c r="AB38" t="s">
        <v>3278</v>
      </c>
      <c r="AC38" t="s">
        <v>3279</v>
      </c>
      <c r="AD38" t="s">
        <v>2</v>
      </c>
      <c r="AE38">
        <v>-820817</v>
      </c>
      <c r="AF38" t="s">
        <v>2295</v>
      </c>
      <c r="AG38" t="s">
        <v>3280</v>
      </c>
      <c r="AH38" t="s">
        <v>2296</v>
      </c>
      <c r="AI38" t="s">
        <v>264</v>
      </c>
      <c r="AJ38" t="s">
        <v>2297</v>
      </c>
      <c r="AK38" t="s">
        <v>2</v>
      </c>
      <c r="AL38" t="s">
        <v>2298</v>
      </c>
      <c r="AM38" t="s">
        <v>2</v>
      </c>
      <c r="AN38" t="s">
        <v>215</v>
      </c>
      <c r="AO38" t="s">
        <v>1844</v>
      </c>
      <c r="AP38" t="s">
        <v>2</v>
      </c>
      <c r="AQ38" t="s">
        <v>55</v>
      </c>
      <c r="AR38" t="s">
        <v>2</v>
      </c>
      <c r="AS38" t="s">
        <v>193</v>
      </c>
      <c r="AT38" t="s">
        <v>2</v>
      </c>
      <c r="AU38" t="s">
        <v>3281</v>
      </c>
      <c r="AV38" t="s">
        <v>3282</v>
      </c>
      <c r="AW38" t="s">
        <v>3283</v>
      </c>
      <c r="AX38" t="s">
        <v>608</v>
      </c>
      <c r="AY38" t="s">
        <v>1317</v>
      </c>
      <c r="AZ38" t="s">
        <v>614</v>
      </c>
      <c r="BA38" t="s">
        <v>104</v>
      </c>
      <c r="BB38" t="s">
        <v>195</v>
      </c>
      <c r="BC38" t="s">
        <v>1624</v>
      </c>
      <c r="BD38" t="s">
        <v>42</v>
      </c>
      <c r="BE38" t="s">
        <v>211</v>
      </c>
      <c r="BF38" t="s">
        <v>726</v>
      </c>
      <c r="BG38" t="s">
        <v>727</v>
      </c>
      <c r="BH38" t="s">
        <v>246</v>
      </c>
      <c r="BI38" t="s">
        <v>181</v>
      </c>
      <c r="BJ38" t="s">
        <v>608</v>
      </c>
      <c r="BK38" t="s">
        <v>177</v>
      </c>
      <c r="BL38" t="s">
        <v>2299</v>
      </c>
      <c r="BM38" t="s">
        <v>1624</v>
      </c>
      <c r="BN38">
        <v>8.43</v>
      </c>
      <c r="BO38">
        <v>8.9600000000000009</v>
      </c>
      <c r="BP38">
        <v>13.4</v>
      </c>
      <c r="BQ38">
        <v>8.58</v>
      </c>
      <c r="BR38">
        <v>9.4600000000000009</v>
      </c>
      <c r="BS38">
        <v>14.06</v>
      </c>
      <c r="BT38" t="s">
        <v>1543</v>
      </c>
      <c r="BU38" t="s">
        <v>1444</v>
      </c>
      <c r="BV38">
        <v>42.89</v>
      </c>
      <c r="BW38">
        <v>39.65</v>
      </c>
      <c r="BX38">
        <v>40.25</v>
      </c>
      <c r="BY38">
        <v>16.079999999999998</v>
      </c>
      <c r="BZ38">
        <v>16.489999999999998</v>
      </c>
      <c r="CA38">
        <v>20.13</v>
      </c>
      <c r="CB38">
        <v>-4.3899999999999997</v>
      </c>
      <c r="CC38">
        <v>-12.97</v>
      </c>
      <c r="CD38" t="s">
        <v>3284</v>
      </c>
      <c r="CE38" t="s">
        <v>3285</v>
      </c>
      <c r="CF38" s="10">
        <v>1.3245033112582781E-2</v>
      </c>
      <c r="CG38" s="11">
        <v>0.30300811888709522</v>
      </c>
      <c r="CH38" s="10">
        <v>0.12227805703878403</v>
      </c>
      <c r="CI38" s="10">
        <v>-0.19324325025081635</v>
      </c>
      <c r="CJ38" s="10">
        <v>-0.23156802356243134</v>
      </c>
      <c r="CK38" s="10">
        <v>1.066523551940918</v>
      </c>
      <c r="CL38" s="10">
        <v>-4.8979591578245163E-2</v>
      </c>
      <c r="CM38" s="11">
        <v>8.9139401912689209E-2</v>
      </c>
      <c r="CN38" s="11">
        <v>-0.34065300226211548</v>
      </c>
      <c r="CO38" s="11">
        <v>-0.55917161703109741</v>
      </c>
      <c r="CP38" s="11">
        <v>2.7158904075622559</v>
      </c>
      <c r="CQ38" s="11">
        <v>7.2823181748390198E-2</v>
      </c>
      <c r="CR38">
        <v>19.290561397214738</v>
      </c>
      <c r="CS38">
        <v>1.3489700378771237</v>
      </c>
      <c r="CT38">
        <v>2.8666985188724321</v>
      </c>
      <c r="CU38" s="10">
        <v>0.14300214871764183</v>
      </c>
      <c r="CV38" s="11">
        <v>0.39560567438602445</v>
      </c>
      <c r="CW38">
        <v>0.06</v>
      </c>
      <c r="CX38">
        <v>17.418043853844054</v>
      </c>
      <c r="CY38">
        <v>115378518.78564876</v>
      </c>
      <c r="CZ38">
        <v>0.14300214871764183</v>
      </c>
      <c r="DA38">
        <v>5.4437262618342945</v>
      </c>
      <c r="DB38">
        <v>369171410.04860723</v>
      </c>
      <c r="DC38">
        <v>0.13585204128175973</v>
      </c>
      <c r="DD38">
        <v>2.5216887345568804</v>
      </c>
      <c r="DE38">
        <v>796953276.77035666</v>
      </c>
      <c r="DF38">
        <v>0.12584189087152481</v>
      </c>
      <c r="DG38">
        <v>1.4116111680595989</v>
      </c>
      <c r="DH38">
        <v>1423669736.7324533</v>
      </c>
      <c r="DI38">
        <v>0.11440171897411347</v>
      </c>
      <c r="DJ38">
        <v>0.62153816990267829</v>
      </c>
      <c r="DK38">
        <v>3233378410.7172017</v>
      </c>
      <c r="DL38">
        <v>0.10010150410234928</v>
      </c>
      <c r="DM38">
        <v>107000000</v>
      </c>
      <c r="DN38">
        <v>0.14300214871764183</v>
      </c>
      <c r="DO38">
        <v>2009668100</v>
      </c>
      <c r="DP38">
        <v>643294140</v>
      </c>
      <c r="DQ38">
        <v>1438</v>
      </c>
      <c r="DR38">
        <v>-0.12975711560505904</v>
      </c>
      <c r="DS38">
        <v>-9.2597555498929229E-2</v>
      </c>
      <c r="DT38" s="12">
        <v>-0.49000000000000005</v>
      </c>
      <c r="DU38">
        <v>0.35833333333333334</v>
      </c>
      <c r="DV38">
        <v>-0.13166666666666671</v>
      </c>
      <c r="DW38">
        <v>-8.3384734001542018</v>
      </c>
      <c r="DX38">
        <v>0.37795157405510693</v>
      </c>
      <c r="DY38">
        <v>-8.0433082043255144</v>
      </c>
      <c r="DZ38">
        <v>2024</v>
      </c>
      <c r="EA38">
        <v>-8.0261544263304376</v>
      </c>
      <c r="EB38">
        <v>8</v>
      </c>
      <c r="EC38">
        <v>2.7172486413756792E-2</v>
      </c>
      <c r="ED38">
        <v>0.2123653938173031</v>
      </c>
      <c r="EE38" s="13">
        <v>-2.0842000000000001</v>
      </c>
      <c r="EF38">
        <v>-2.0642</v>
      </c>
      <c r="EG38">
        <v>25.127951574055107</v>
      </c>
      <c r="EH38" t="s">
        <v>1553</v>
      </c>
      <c r="EI38">
        <v>0</v>
      </c>
      <c r="EJ38">
        <v>0</v>
      </c>
      <c r="EK38" s="14">
        <v>45470</v>
      </c>
      <c r="EL38">
        <v>-0.14000000000000001</v>
      </c>
      <c r="EM38">
        <v>-3.99</v>
      </c>
      <c r="EN38">
        <v>0.19</v>
      </c>
      <c r="EO38">
        <v>3.44</v>
      </c>
      <c r="EP38">
        <v>-2</v>
      </c>
    </row>
    <row r="39" spans="1:146" ht="96" x14ac:dyDescent="0.25">
      <c r="A39" s="9"/>
      <c r="B39" s="9"/>
      <c r="C39" s="9" t="str">
        <f>""&amp;CHAR(10)&amp;Basic_Fundamental_Information_Constructure(F39)&amp;CHAR(10)&amp;Basic_Fundamental_Information_Concatenate("")</f>
        <v xml:space="preserve">
市值202.73236亿, 利润4.91亿; PE38.08; 平均PE78.68; 平均PEG3.91, PB3.08; ROIC3.3967%; ROE3.76%; 股利率.5208%; 毛利22.3267%; 净利2.5433%; 上一年度营收增25.55%, 利润增80.51%; 当季营收增29.94%, 利润增849.4%; 过往5年营收增20.14%, 利润增32.38%
Income profile:
</v>
      </c>
      <c r="D39" t="s">
        <v>891</v>
      </c>
      <c r="E39" t="s">
        <v>892</v>
      </c>
      <c r="F39">
        <v>19.2</v>
      </c>
      <c r="G39">
        <v>0.89</v>
      </c>
      <c r="H39" t="s">
        <v>3286</v>
      </c>
      <c r="I39">
        <v>20273236000</v>
      </c>
      <c r="J39">
        <v>38.08</v>
      </c>
      <c r="K39">
        <v>3.08</v>
      </c>
      <c r="L39" t="s">
        <v>2891</v>
      </c>
      <c r="M39" t="s">
        <v>2301</v>
      </c>
      <c r="N39" t="s">
        <v>3287</v>
      </c>
      <c r="O39" t="s">
        <v>88</v>
      </c>
      <c r="P39">
        <v>29.93</v>
      </c>
      <c r="Q39" t="s">
        <v>2302</v>
      </c>
      <c r="R39">
        <v>192885000</v>
      </c>
      <c r="S39" s="6">
        <v>2.032</v>
      </c>
      <c r="T39" t="s">
        <v>419</v>
      </c>
      <c r="U39">
        <v>1027946320</v>
      </c>
      <c r="V39">
        <v>1055897710</v>
      </c>
      <c r="W39">
        <v>3.02</v>
      </c>
      <c r="X39">
        <v>0.11</v>
      </c>
      <c r="Y39">
        <v>1.49</v>
      </c>
      <c r="Z39" t="s">
        <v>867</v>
      </c>
      <c r="AA39" t="s">
        <v>3022</v>
      </c>
      <c r="AB39" t="s">
        <v>205</v>
      </c>
      <c r="AC39" t="s">
        <v>121</v>
      </c>
      <c r="AD39" t="s">
        <v>2</v>
      </c>
      <c r="AE39">
        <v>46651740</v>
      </c>
      <c r="AF39" t="s">
        <v>2303</v>
      </c>
      <c r="AG39" t="s">
        <v>3288</v>
      </c>
      <c r="AH39" t="s">
        <v>2304</v>
      </c>
      <c r="AI39" t="s">
        <v>3289</v>
      </c>
      <c r="AJ39" t="s">
        <v>2305</v>
      </c>
      <c r="AK39" t="s">
        <v>494</v>
      </c>
      <c r="AL39" t="s">
        <v>2306</v>
      </c>
      <c r="AM39" t="s">
        <v>2</v>
      </c>
      <c r="AN39" t="s">
        <v>373</v>
      </c>
      <c r="AO39" t="s">
        <v>1890</v>
      </c>
      <c r="AP39" t="s">
        <v>570</v>
      </c>
      <c r="AQ39" t="s">
        <v>3290</v>
      </c>
      <c r="AR39" t="s">
        <v>3291</v>
      </c>
      <c r="AS39" t="s">
        <v>3292</v>
      </c>
      <c r="AT39" t="s">
        <v>2551</v>
      </c>
      <c r="AU39" t="s">
        <v>3293</v>
      </c>
      <c r="AV39" t="s">
        <v>1454</v>
      </c>
      <c r="AW39" t="s">
        <v>3294</v>
      </c>
      <c r="AX39" t="s">
        <v>1625</v>
      </c>
      <c r="AY39" t="s">
        <v>1318</v>
      </c>
      <c r="AZ39" t="s">
        <v>1250</v>
      </c>
      <c r="BA39" t="s">
        <v>1251</v>
      </c>
      <c r="BB39" t="s">
        <v>1252</v>
      </c>
      <c r="BC39" t="s">
        <v>230</v>
      </c>
      <c r="BD39" t="s">
        <v>252</v>
      </c>
      <c r="BE39" t="s">
        <v>520</v>
      </c>
      <c r="BF39" t="s">
        <v>322</v>
      </c>
      <c r="BG39" t="s">
        <v>181</v>
      </c>
      <c r="BH39" t="s">
        <v>2302</v>
      </c>
      <c r="BI39" t="s">
        <v>1861</v>
      </c>
      <c r="BJ39" t="s">
        <v>1625</v>
      </c>
      <c r="BK39" t="s">
        <v>419</v>
      </c>
      <c r="BL39" t="s">
        <v>2307</v>
      </c>
      <c r="BM39" t="s">
        <v>230</v>
      </c>
      <c r="BN39">
        <v>2.97</v>
      </c>
      <c r="BO39">
        <v>3.55</v>
      </c>
      <c r="BP39">
        <v>3.67</v>
      </c>
      <c r="BQ39">
        <v>3.45</v>
      </c>
      <c r="BR39">
        <v>4.42</v>
      </c>
      <c r="BS39">
        <v>3.41</v>
      </c>
      <c r="BT39" t="s">
        <v>1520</v>
      </c>
      <c r="BU39" t="s">
        <v>1445</v>
      </c>
      <c r="BV39">
        <v>23.36</v>
      </c>
      <c r="BW39">
        <v>22.13</v>
      </c>
      <c r="BX39">
        <v>21.49</v>
      </c>
      <c r="BY39">
        <v>3.61</v>
      </c>
      <c r="BZ39">
        <v>2.14</v>
      </c>
      <c r="CA39">
        <v>1.88</v>
      </c>
      <c r="CB39">
        <v>-4.57</v>
      </c>
      <c r="CC39">
        <v>-2.74</v>
      </c>
      <c r="CD39" t="s">
        <v>3295</v>
      </c>
      <c r="CE39" t="s">
        <v>1296</v>
      </c>
      <c r="CF39" s="10">
        <v>0.29944360141628729</v>
      </c>
      <c r="CG39" s="11">
        <v>8.4940073339403934</v>
      </c>
      <c r="CH39" s="10">
        <v>0.25554603338241577</v>
      </c>
      <c r="CI39" s="10">
        <v>0.23186098039150238</v>
      </c>
      <c r="CJ39" s="10">
        <v>0.26487144827842712</v>
      </c>
      <c r="CK39" s="10">
        <v>0.10725408792495728</v>
      </c>
      <c r="CL39" s="10">
        <v>0.14759965240955353</v>
      </c>
      <c r="CM39" s="11">
        <v>0.80514705181121826</v>
      </c>
      <c r="CN39" s="11">
        <v>0.45454546809196472</v>
      </c>
      <c r="CO39" s="11">
        <v>-8.3333335816860199E-2</v>
      </c>
      <c r="CP39" s="11">
        <v>-0.15352697670459747</v>
      </c>
      <c r="CQ39" s="11">
        <v>0.59602648019790649</v>
      </c>
      <c r="CR39">
        <v>78.680087968952137</v>
      </c>
      <c r="CS39">
        <v>3.9061449818844052</v>
      </c>
      <c r="CT39">
        <v>0.52083333333333337</v>
      </c>
      <c r="CU39" s="10">
        <v>0.20142644047737121</v>
      </c>
      <c r="CV39" s="11">
        <v>0.32377173751592636</v>
      </c>
      <c r="CW39">
        <v>0.06</v>
      </c>
      <c r="CX39">
        <v>51.934819980756764</v>
      </c>
      <c r="CY39">
        <v>556509794.59848034</v>
      </c>
      <c r="CZ39">
        <v>0.20142644047737121</v>
      </c>
      <c r="DA39">
        <v>15.462671209744807</v>
      </c>
      <c r="DB39">
        <v>1869161906.630038</v>
      </c>
      <c r="DC39">
        <v>0.19135511845350264</v>
      </c>
      <c r="DD39">
        <v>6.6876558770771419</v>
      </c>
      <c r="DE39">
        <v>4321728948.265173</v>
      </c>
      <c r="DF39">
        <v>0.17725526762008667</v>
      </c>
      <c r="DG39">
        <v>3.4465796027798814</v>
      </c>
      <c r="DH39">
        <v>8385773529.4111719</v>
      </c>
      <c r="DI39">
        <v>0.16114115238189697</v>
      </c>
      <c r="DJ39">
        <v>1.24329960230981</v>
      </c>
      <c r="DK39">
        <v>23246396883.185066</v>
      </c>
      <c r="DL39">
        <v>0.14099850833415983</v>
      </c>
      <c r="DM39">
        <v>491000000</v>
      </c>
      <c r="DN39">
        <v>0.20142644047737121</v>
      </c>
      <c r="DO39">
        <v>28902236000</v>
      </c>
      <c r="DP39">
        <v>2063311000</v>
      </c>
      <c r="DQ39">
        <v>1499</v>
      </c>
      <c r="DR39">
        <v>9.8017160938916076E-2</v>
      </c>
      <c r="DS39">
        <v>8.1702355964244671</v>
      </c>
      <c r="DT39" s="12">
        <v>1.0000000000000011E-2</v>
      </c>
      <c r="DU39">
        <v>0.68666666666666665</v>
      </c>
      <c r="DV39">
        <v>0.69666666666666666</v>
      </c>
      <c r="DW39">
        <v>-4.5995623632385119</v>
      </c>
      <c r="DX39">
        <v>0.27047587628866082</v>
      </c>
      <c r="DY39">
        <v>-4.0542459302037042</v>
      </c>
      <c r="DZ39">
        <v>463</v>
      </c>
      <c r="EA39">
        <v>-4.0493308879954233</v>
      </c>
      <c r="EB39">
        <v>4</v>
      </c>
      <c r="EC39">
        <v>4.1557813398420948E-2</v>
      </c>
      <c r="ED39">
        <v>0.45932479577022661</v>
      </c>
      <c r="EE39" s="13">
        <v>2.10181</v>
      </c>
      <c r="EF39">
        <v>2.1321099999999999</v>
      </c>
      <c r="EG39">
        <v>18.090475876288661</v>
      </c>
      <c r="EH39" t="s">
        <v>1554</v>
      </c>
      <c r="EI39">
        <v>0</v>
      </c>
      <c r="EJ39">
        <v>1</v>
      </c>
      <c r="EK39" s="14">
        <v>45470</v>
      </c>
      <c r="EL39">
        <v>0.73</v>
      </c>
      <c r="EM39">
        <v>-1.84</v>
      </c>
      <c r="EN39">
        <v>-1.33</v>
      </c>
      <c r="EO39">
        <v>0.55000000000000004</v>
      </c>
      <c r="EP39">
        <v>-3.03</v>
      </c>
    </row>
    <row r="40" spans="1:146" ht="96" x14ac:dyDescent="0.25">
      <c r="A40" s="9"/>
      <c r="B40" s="9"/>
      <c r="C40" s="9" t="str">
        <f>""&amp;CHAR(10)&amp;Basic_Fundamental_Information_Constructure(F40)&amp;CHAR(10)&amp;Basic_Fundamental_Information_Concatenate("")</f>
        <v xml:space="preserve">
市值21.541253亿, 利润6011.33万; PE38.32; 平均PE-66.88; 平均PEG-18.7, PB1.74; ROIC3.5833%; ROE4.16%; 股利率1.1161%; 毛利47.1267%; 净利12.0033%; 上一年度营收增1.13%, 利润增580.08%; 当季营收增16.92%, 利润增-30.32%; 过往5年营收增3.58%, 利润增137.87%
Income profile:
</v>
      </c>
      <c r="D40" t="s">
        <v>728</v>
      </c>
      <c r="E40" t="s">
        <v>729</v>
      </c>
      <c r="F40">
        <v>4.4800000000000004</v>
      </c>
      <c r="G40">
        <v>1.59</v>
      </c>
      <c r="H40" t="s">
        <v>3296</v>
      </c>
      <c r="I40">
        <v>2154125300</v>
      </c>
      <c r="J40">
        <v>38.32</v>
      </c>
      <c r="K40">
        <v>1.74</v>
      </c>
      <c r="L40" t="s">
        <v>2891</v>
      </c>
      <c r="M40" t="s">
        <v>52</v>
      </c>
      <c r="N40" t="s">
        <v>1893</v>
      </c>
      <c r="O40" t="s">
        <v>2308</v>
      </c>
      <c r="P40">
        <v>16.920000000000002</v>
      </c>
      <c r="Q40" t="s">
        <v>542</v>
      </c>
      <c r="R40">
        <v>8971751</v>
      </c>
      <c r="S40" s="6">
        <v>-0.30320000000000003</v>
      </c>
      <c r="T40" t="s">
        <v>2309</v>
      </c>
      <c r="U40">
        <v>371665540</v>
      </c>
      <c r="V40">
        <v>480831540</v>
      </c>
      <c r="W40">
        <v>1.1299999999999999</v>
      </c>
      <c r="X40">
        <v>0.06</v>
      </c>
      <c r="Y40">
        <v>11.55</v>
      </c>
      <c r="Z40" t="s">
        <v>3297</v>
      </c>
      <c r="AA40" t="s">
        <v>3298</v>
      </c>
      <c r="AB40" t="s">
        <v>3299</v>
      </c>
      <c r="AC40" t="s">
        <v>3300</v>
      </c>
      <c r="AD40" t="s">
        <v>2</v>
      </c>
      <c r="AE40">
        <v>-5235889</v>
      </c>
      <c r="AF40" t="s">
        <v>2310</v>
      </c>
      <c r="AG40" t="s">
        <v>2888</v>
      </c>
      <c r="AH40" t="s">
        <v>2311</v>
      </c>
      <c r="AI40" t="s">
        <v>524</v>
      </c>
      <c r="AJ40" t="s">
        <v>2312</v>
      </c>
      <c r="AK40" t="s">
        <v>2</v>
      </c>
      <c r="AL40" t="s">
        <v>2313</v>
      </c>
      <c r="AM40" t="s">
        <v>2</v>
      </c>
      <c r="AN40" t="s">
        <v>3301</v>
      </c>
      <c r="AO40" t="s">
        <v>2</v>
      </c>
      <c r="AP40" t="s">
        <v>3302</v>
      </c>
      <c r="AQ40" t="s">
        <v>3303</v>
      </c>
      <c r="AR40" t="s">
        <v>2</v>
      </c>
      <c r="AS40" t="s">
        <v>116</v>
      </c>
      <c r="AT40" t="s">
        <v>2</v>
      </c>
      <c r="AU40" t="s">
        <v>3304</v>
      </c>
      <c r="AV40" t="s">
        <v>3305</v>
      </c>
      <c r="AW40" t="s">
        <v>2</v>
      </c>
      <c r="AX40" t="s">
        <v>300</v>
      </c>
      <c r="AY40" t="s">
        <v>71</v>
      </c>
      <c r="AZ40" t="s">
        <v>351</v>
      </c>
      <c r="BA40" t="s">
        <v>565</v>
      </c>
      <c r="BB40" t="s">
        <v>384</v>
      </c>
      <c r="BC40" t="s">
        <v>2314</v>
      </c>
      <c r="BD40" t="s">
        <v>1319</v>
      </c>
      <c r="BE40" t="s">
        <v>730</v>
      </c>
      <c r="BF40" t="s">
        <v>731</v>
      </c>
      <c r="BG40" t="s">
        <v>732</v>
      </c>
      <c r="BH40" t="s">
        <v>542</v>
      </c>
      <c r="BI40" t="s">
        <v>2315</v>
      </c>
      <c r="BJ40" t="s">
        <v>300</v>
      </c>
      <c r="BK40" t="s">
        <v>2309</v>
      </c>
      <c r="BL40" t="s">
        <v>2316</v>
      </c>
      <c r="BM40" t="s">
        <v>2314</v>
      </c>
      <c r="BN40">
        <v>3.67</v>
      </c>
      <c r="BO40">
        <v>0.43</v>
      </c>
      <c r="BP40">
        <v>6.65</v>
      </c>
      <c r="BQ40">
        <v>3.84</v>
      </c>
      <c r="BR40">
        <v>0.75</v>
      </c>
      <c r="BS40">
        <v>7.89</v>
      </c>
      <c r="BT40" t="s">
        <v>1527</v>
      </c>
      <c r="BU40" t="s">
        <v>1444</v>
      </c>
      <c r="BV40">
        <v>47.34</v>
      </c>
      <c r="BW40">
        <v>46.1</v>
      </c>
      <c r="BX40">
        <v>47.94</v>
      </c>
      <c r="BY40">
        <v>14.16</v>
      </c>
      <c r="BZ40">
        <v>1.37</v>
      </c>
      <c r="CA40">
        <v>20.48</v>
      </c>
      <c r="CB40">
        <v>-2.61</v>
      </c>
      <c r="CC40">
        <v>-8.1999999999999993</v>
      </c>
      <c r="CD40" t="s">
        <v>3306</v>
      </c>
      <c r="CE40" t="s">
        <v>129</v>
      </c>
      <c r="CF40" s="10">
        <v>0.16922211685105026</v>
      </c>
      <c r="CG40" s="11">
        <v>-0.30323532381196472</v>
      </c>
      <c r="CH40" s="10">
        <v>1.1286681517958641E-2</v>
      </c>
      <c r="CI40" s="10">
        <v>5.225653201341629E-2</v>
      </c>
      <c r="CJ40" s="10">
        <v>3.6945812404155731E-2</v>
      </c>
      <c r="CK40" s="10">
        <v>3.0456852167844772E-2</v>
      </c>
      <c r="CL40" s="10">
        <v>4.7872342169284821E-2</v>
      </c>
      <c r="CM40" s="11">
        <v>5.8007626533508301</v>
      </c>
      <c r="CN40" s="11">
        <v>-0.90135890245437622</v>
      </c>
      <c r="CO40" s="11">
        <v>0.95678281784057617</v>
      </c>
      <c r="CP40" s="11">
        <v>-7.2993487119674683E-2</v>
      </c>
      <c r="CQ40" s="11">
        <v>1.1105152368545532</v>
      </c>
      <c r="CR40">
        <v>-66.883380570897486</v>
      </c>
      <c r="CS40">
        <v>-18.701500459213374</v>
      </c>
      <c r="CT40">
        <v>1.1160714285714284</v>
      </c>
      <c r="CU40" s="10">
        <v>3.576364405453205E-2</v>
      </c>
      <c r="CV40" s="11">
        <v>1.3787416636943817</v>
      </c>
      <c r="CW40">
        <v>0.06</v>
      </c>
      <c r="CX40">
        <v>18.167285827790632</v>
      </c>
      <c r="CY40">
        <v>58738840.249191791</v>
      </c>
      <c r="CZ40">
        <v>3.576364405453205E-2</v>
      </c>
      <c r="DA40">
        <v>6.2176376749172544</v>
      </c>
      <c r="DB40">
        <v>171628736.79579625</v>
      </c>
      <c r="DC40">
        <v>3.3975461851805444E-2</v>
      </c>
      <c r="DD40">
        <v>3.2515599638789427</v>
      </c>
      <c r="DE40">
        <v>328188719.21616811</v>
      </c>
      <c r="DF40">
        <v>3.1472006767988205E-2</v>
      </c>
      <c r="DG40">
        <v>2.0865480598068733</v>
      </c>
      <c r="DH40">
        <v>511430970.87290239</v>
      </c>
      <c r="DI40">
        <v>2.8610915243625641E-2</v>
      </c>
      <c r="DJ40">
        <v>1.2390220692407639</v>
      </c>
      <c r="DK40">
        <v>861264158.63916194</v>
      </c>
      <c r="DL40">
        <v>2.5034550838172433E-2</v>
      </c>
      <c r="DM40">
        <v>60113300</v>
      </c>
      <c r="DN40">
        <v>3.576364405453205E-2</v>
      </c>
      <c r="DO40">
        <v>1067125300</v>
      </c>
      <c r="DP40">
        <v>829996630</v>
      </c>
      <c r="DQ40">
        <v>1516</v>
      </c>
      <c r="DR40">
        <v>0.13345847279651821</v>
      </c>
      <c r="DS40">
        <v>-1.6819769875063464</v>
      </c>
      <c r="DT40" s="12">
        <v>-0.44</v>
      </c>
      <c r="DU40">
        <v>0.24666666666666662</v>
      </c>
      <c r="DV40">
        <v>-0.19333333333333338</v>
      </c>
      <c r="DW40">
        <v>-8.3182926829268293</v>
      </c>
      <c r="DX40">
        <v>0.27600590405903891</v>
      </c>
      <c r="DY40">
        <v>-8.0337409036090364</v>
      </c>
      <c r="DZ40">
        <v>2191</v>
      </c>
      <c r="EA40">
        <v>-8.0192739134314639</v>
      </c>
      <c r="EB40">
        <v>8</v>
      </c>
      <c r="EC40">
        <v>5.9745664770659603E-2</v>
      </c>
      <c r="ED40">
        <v>0.56360695473512412</v>
      </c>
      <c r="EE40" s="13">
        <v>-2.0625100000000001</v>
      </c>
      <c r="EF40">
        <v>-2.0714100000000002</v>
      </c>
      <c r="EG40">
        <v>17.106005904059039</v>
      </c>
      <c r="EH40" t="s">
        <v>1555</v>
      </c>
      <c r="EI40">
        <v>0</v>
      </c>
      <c r="EJ40">
        <v>0</v>
      </c>
      <c r="EK40" s="14">
        <v>45470</v>
      </c>
      <c r="EL40">
        <v>-1.1000000000000001</v>
      </c>
      <c r="EM40">
        <v>-5.0999999999999996</v>
      </c>
      <c r="EN40">
        <v>1.17</v>
      </c>
      <c r="EO40">
        <v>3.46</v>
      </c>
      <c r="EP40">
        <v>-0.89</v>
      </c>
    </row>
    <row r="41" spans="1:146" ht="96" x14ac:dyDescent="0.25">
      <c r="A41" s="9"/>
      <c r="B41" s="9"/>
      <c r="C41" s="9" t="str">
        <f>""&amp;CHAR(10)&amp;Basic_Fundamental_Information_Constructure(F41)&amp;CHAR(10)&amp;Basic_Fundamental_Information_Concatenate("")</f>
        <v xml:space="preserve">
市值26.596749亿, 利润5220.37万; PE49.56; 平均PE92.48; 平均PEG7.98, PB2.04; ROIC2.8633%; ROE2.8267%; 股利率.4193%; 毛利21.2233%; 净利2.8233%; 上一年度营收增26.52%, 利润增26.97%; 当季营收增14.2%, 利润增13.38%; 过往5年营收增11.59%, 利润增36.61%
Income profile:
</v>
      </c>
      <c r="D41" t="s">
        <v>894</v>
      </c>
      <c r="E41" t="s">
        <v>895</v>
      </c>
      <c r="F41">
        <v>4.7699999999999996</v>
      </c>
      <c r="G41">
        <v>0.63</v>
      </c>
      <c r="H41" t="s">
        <v>3307</v>
      </c>
      <c r="I41">
        <v>2659674900</v>
      </c>
      <c r="J41">
        <v>49.56</v>
      </c>
      <c r="K41">
        <v>2.04</v>
      </c>
      <c r="L41" t="s">
        <v>2891</v>
      </c>
      <c r="M41" t="s">
        <v>1294</v>
      </c>
      <c r="N41" t="s">
        <v>3308</v>
      </c>
      <c r="O41" t="s">
        <v>602</v>
      </c>
      <c r="P41">
        <v>14.35</v>
      </c>
      <c r="Q41" t="s">
        <v>1877</v>
      </c>
      <c r="R41">
        <v>12369211</v>
      </c>
      <c r="S41" s="6">
        <v>0.1338</v>
      </c>
      <c r="T41" t="s">
        <v>2319</v>
      </c>
      <c r="U41">
        <v>386364720</v>
      </c>
      <c r="V41">
        <v>557583840</v>
      </c>
      <c r="W41">
        <v>2.2599999999999998</v>
      </c>
      <c r="X41">
        <v>0.13</v>
      </c>
      <c r="Y41">
        <v>3.09</v>
      </c>
      <c r="Z41" t="s">
        <v>437</v>
      </c>
      <c r="AA41" t="s">
        <v>568</v>
      </c>
      <c r="AB41" t="s">
        <v>3309</v>
      </c>
      <c r="AC41" t="s">
        <v>3310</v>
      </c>
      <c r="AD41" t="s">
        <v>2</v>
      </c>
      <c r="AE41">
        <v>6078682</v>
      </c>
      <c r="AF41" t="s">
        <v>2320</v>
      </c>
      <c r="AG41">
        <v>1000.08</v>
      </c>
      <c r="AH41" t="s">
        <v>2321</v>
      </c>
      <c r="AI41" t="s">
        <v>506</v>
      </c>
      <c r="AJ41" t="s">
        <v>2322</v>
      </c>
      <c r="AK41" t="s">
        <v>2</v>
      </c>
      <c r="AL41" t="s">
        <v>2323</v>
      </c>
      <c r="AM41" t="s">
        <v>2</v>
      </c>
      <c r="AN41" t="s">
        <v>3311</v>
      </c>
      <c r="AO41" t="s">
        <v>37</v>
      </c>
      <c r="AP41" t="s">
        <v>376</v>
      </c>
      <c r="AQ41" t="s">
        <v>226</v>
      </c>
      <c r="AR41" t="s">
        <v>2</v>
      </c>
      <c r="AS41" t="s">
        <v>3312</v>
      </c>
      <c r="AT41" t="s">
        <v>3313</v>
      </c>
      <c r="AU41" t="s">
        <v>3314</v>
      </c>
      <c r="AV41" t="s">
        <v>1915</v>
      </c>
      <c r="AW41" t="s">
        <v>2846</v>
      </c>
      <c r="AX41" t="s">
        <v>537</v>
      </c>
      <c r="AY41" t="s">
        <v>339</v>
      </c>
      <c r="AZ41" t="s">
        <v>617</v>
      </c>
      <c r="BA41" t="s">
        <v>611</v>
      </c>
      <c r="BB41" t="s">
        <v>311</v>
      </c>
      <c r="BC41" t="s">
        <v>1803</v>
      </c>
      <c r="BD41" t="s">
        <v>1320</v>
      </c>
      <c r="BE41" t="s">
        <v>896</v>
      </c>
      <c r="BF41" t="s">
        <v>897</v>
      </c>
      <c r="BG41" t="s">
        <v>898</v>
      </c>
      <c r="BH41" t="s">
        <v>1877</v>
      </c>
      <c r="BI41" t="s">
        <v>211</v>
      </c>
      <c r="BJ41" t="s">
        <v>537</v>
      </c>
      <c r="BK41" t="s">
        <v>2319</v>
      </c>
      <c r="BL41" t="s">
        <v>2324</v>
      </c>
      <c r="BM41" t="s">
        <v>1803</v>
      </c>
      <c r="BN41">
        <v>2.11</v>
      </c>
      <c r="BO41">
        <v>3.6</v>
      </c>
      <c r="BP41">
        <v>2.88</v>
      </c>
      <c r="BQ41">
        <v>2.23</v>
      </c>
      <c r="BR41">
        <v>3.45</v>
      </c>
      <c r="BS41">
        <v>2.8</v>
      </c>
      <c r="BT41" t="s">
        <v>1526</v>
      </c>
      <c r="BU41" t="s">
        <v>1445</v>
      </c>
      <c r="BV41">
        <v>19.53</v>
      </c>
      <c r="BW41">
        <v>21.36</v>
      </c>
      <c r="BX41">
        <v>22.78</v>
      </c>
      <c r="BY41">
        <v>3.14</v>
      </c>
      <c r="BZ41">
        <v>3.13</v>
      </c>
      <c r="CA41">
        <v>2.2000000000000002</v>
      </c>
      <c r="CB41">
        <v>-2.0499999999999998</v>
      </c>
      <c r="CC41">
        <v>-3.83</v>
      </c>
      <c r="CD41" t="s">
        <v>3315</v>
      </c>
      <c r="CE41" t="s">
        <v>94</v>
      </c>
      <c r="CF41" s="10">
        <v>0.14201183431952663</v>
      </c>
      <c r="CG41" s="11">
        <v>0.13383300333663331</v>
      </c>
      <c r="CH41" s="10">
        <v>0.26524388790130615</v>
      </c>
      <c r="CI41" s="10">
        <v>0.27378639578819275</v>
      </c>
      <c r="CJ41" s="10">
        <v>8.4210529923439026E-2</v>
      </c>
      <c r="CK41" s="10">
        <v>3.1487513333559036E-2</v>
      </c>
      <c r="CL41" s="10">
        <v>-7.5301207602024078E-2</v>
      </c>
      <c r="CM41" s="11">
        <v>0.26973050832748413</v>
      </c>
      <c r="CN41" s="11">
        <v>0.8167838454246521</v>
      </c>
      <c r="CO41" s="11">
        <v>0.65444058179855347</v>
      </c>
      <c r="CP41" s="11">
        <v>-0.47816067934036255</v>
      </c>
      <c r="CQ41" s="11">
        <v>0.56761300563812256</v>
      </c>
      <c r="CR41">
        <v>92.478800873904007</v>
      </c>
      <c r="CS41">
        <v>7.9801926580972475</v>
      </c>
      <c r="CT41">
        <v>0.41928721174004197</v>
      </c>
      <c r="CU41" s="10">
        <v>0.11588542386889458</v>
      </c>
      <c r="CV41" s="11">
        <v>0.36608145236968992</v>
      </c>
      <c r="CW41">
        <v>0.06</v>
      </c>
      <c r="CX41">
        <v>55.038131016819527</v>
      </c>
      <c r="CY41">
        <v>54955988.586815678</v>
      </c>
      <c r="CZ41">
        <v>0.11588542386889458</v>
      </c>
      <c r="DA41">
        <v>17.597137650662582</v>
      </c>
      <c r="DB41">
        <v>171884482.5815244</v>
      </c>
      <c r="DC41">
        <v>0.11009115267544985</v>
      </c>
      <c r="DD41">
        <v>8.4107535693069924</v>
      </c>
      <c r="DE41">
        <v>359619964.49852228</v>
      </c>
      <c r="DF41">
        <v>0.10197917300462724</v>
      </c>
      <c r="DG41">
        <v>4.8835201900344911</v>
      </c>
      <c r="DH41">
        <v>619363652.09921193</v>
      </c>
      <c r="DI41">
        <v>9.2708339095115666E-2</v>
      </c>
      <c r="DJ41">
        <v>2.3397926888733047</v>
      </c>
      <c r="DK41">
        <v>1292710638.1619182</v>
      </c>
      <c r="DL41">
        <v>8.1119796708226208E-2</v>
      </c>
      <c r="DM41">
        <v>52203700</v>
      </c>
      <c r="DN41">
        <v>0.11588542386889458</v>
      </c>
      <c r="DO41">
        <v>3024674900</v>
      </c>
      <c r="DP41">
        <v>1084525900</v>
      </c>
      <c r="DQ41">
        <v>1556</v>
      </c>
      <c r="DR41">
        <v>2.6126410450632048E-2</v>
      </c>
      <c r="DS41">
        <v>-0.23224844903305661</v>
      </c>
      <c r="DT41" s="12">
        <v>-0.12333333333333336</v>
      </c>
      <c r="DU41">
        <v>0.71666666666666667</v>
      </c>
      <c r="DV41">
        <v>0.59333333333333327</v>
      </c>
      <c r="DW41">
        <v>-1.0383</v>
      </c>
      <c r="DX41">
        <v>0.24110188679245204</v>
      </c>
      <c r="DY41">
        <v>-1.0050212022641509</v>
      </c>
      <c r="DZ41">
        <v>591</v>
      </c>
      <c r="EA41">
        <v>-1.0044404722175535</v>
      </c>
      <c r="EB41">
        <v>1</v>
      </c>
      <c r="EC41">
        <v>0.1121546133761696</v>
      </c>
      <c r="ED41">
        <v>0.85547672974166533</v>
      </c>
      <c r="EE41" s="13">
        <v>1.09971</v>
      </c>
      <c r="EF41">
        <v>1.1125099999999999</v>
      </c>
      <c r="EG41">
        <v>11.131101886792452</v>
      </c>
      <c r="EH41" t="s">
        <v>1549</v>
      </c>
      <c r="EI41">
        <v>0</v>
      </c>
      <c r="EJ41">
        <v>1</v>
      </c>
      <c r="EK41" s="14">
        <v>45470</v>
      </c>
      <c r="EL41">
        <v>-1.66</v>
      </c>
      <c r="EM41">
        <v>-4.01</v>
      </c>
      <c r="EN41">
        <v>0</v>
      </c>
      <c r="EO41">
        <v>3.3</v>
      </c>
      <c r="EP41">
        <v>-1.28</v>
      </c>
    </row>
    <row r="42" spans="1:146" ht="96" x14ac:dyDescent="0.25">
      <c r="A42" s="9"/>
      <c r="B42" s="9"/>
      <c r="C42" s="9" t="str">
        <f>""&amp;CHAR(10)&amp;Basic_Fundamental_Information_Constructure(F42)&amp;CHAR(10)&amp;Basic_Fundamental_Information_Concatenate("")</f>
        <v xml:space="preserve">
市值11.9691亿, 利润766.10万; PE143.7; 平均PE-25.62; 平均PEG-2.12, PB5.01; ROIC1.14%; ROE-7.6%; 股利率0%; 毛利22.0633%; 净利-12.3633%; 上一年度营收增55.08%, 利润增127.55%; 当季营收增147.89%, 利润增13.87%; 过往5年营收增12.07%, 利润增-30.17%
Income profile:
</v>
      </c>
      <c r="D42" t="s">
        <v>1091</v>
      </c>
      <c r="E42" t="s">
        <v>1092</v>
      </c>
      <c r="F42">
        <v>10.23</v>
      </c>
      <c r="G42">
        <v>0.79</v>
      </c>
      <c r="H42" t="s">
        <v>3316</v>
      </c>
      <c r="I42">
        <v>1196910000</v>
      </c>
      <c r="J42">
        <v>143.69999999999999</v>
      </c>
      <c r="K42">
        <v>5.01</v>
      </c>
      <c r="L42" t="s">
        <v>2891</v>
      </c>
      <c r="M42" t="s">
        <v>82</v>
      </c>
      <c r="N42" t="s">
        <v>251</v>
      </c>
      <c r="O42" t="s">
        <v>2326</v>
      </c>
      <c r="P42">
        <v>147.88999999999999</v>
      </c>
      <c r="Q42" t="s">
        <v>259</v>
      </c>
      <c r="R42">
        <v>-4167685</v>
      </c>
      <c r="S42" s="6">
        <v>0.13869999999999999</v>
      </c>
      <c r="T42" t="s">
        <v>2327</v>
      </c>
      <c r="U42">
        <v>117000000</v>
      </c>
      <c r="V42">
        <v>117000000</v>
      </c>
      <c r="W42">
        <v>1.49</v>
      </c>
      <c r="X42">
        <v>7.0000000000000007E-2</v>
      </c>
      <c r="Y42">
        <v>-13.8</v>
      </c>
      <c r="Z42" t="s">
        <v>3317</v>
      </c>
      <c r="AA42" t="s">
        <v>3318</v>
      </c>
      <c r="AB42" t="s">
        <v>3319</v>
      </c>
      <c r="AC42" t="s">
        <v>3320</v>
      </c>
      <c r="AD42" t="s">
        <v>2</v>
      </c>
      <c r="AE42">
        <v>459355</v>
      </c>
      <c r="AF42" t="s">
        <v>2328</v>
      </c>
      <c r="AG42" t="s">
        <v>3321</v>
      </c>
      <c r="AH42" t="s">
        <v>2329</v>
      </c>
      <c r="AI42" t="s">
        <v>3322</v>
      </c>
      <c r="AJ42" t="s">
        <v>2330</v>
      </c>
      <c r="AK42" t="s">
        <v>2</v>
      </c>
      <c r="AL42" t="s">
        <v>2332</v>
      </c>
      <c r="AM42" t="s">
        <v>2</v>
      </c>
      <c r="AN42" t="s">
        <v>3323</v>
      </c>
      <c r="AO42" t="s">
        <v>3324</v>
      </c>
      <c r="AP42" t="s">
        <v>3325</v>
      </c>
      <c r="AQ42" t="s">
        <v>3326</v>
      </c>
      <c r="AR42" t="s">
        <v>2</v>
      </c>
      <c r="AS42" t="s">
        <v>3327</v>
      </c>
      <c r="AT42" t="s">
        <v>2333</v>
      </c>
      <c r="AU42" t="s">
        <v>3328</v>
      </c>
      <c r="AV42" t="s">
        <v>3329</v>
      </c>
      <c r="AW42" t="s">
        <v>3330</v>
      </c>
      <c r="AX42" t="s">
        <v>33</v>
      </c>
      <c r="AY42" t="s">
        <v>227</v>
      </c>
      <c r="AZ42" t="s">
        <v>102</v>
      </c>
      <c r="BA42" t="s">
        <v>233</v>
      </c>
      <c r="BB42" t="s">
        <v>168</v>
      </c>
      <c r="BC42" t="s">
        <v>2334</v>
      </c>
      <c r="BD42" t="s">
        <v>2335</v>
      </c>
      <c r="BE42" t="s">
        <v>2336</v>
      </c>
      <c r="BF42" t="s">
        <v>1093</v>
      </c>
      <c r="BG42" t="s">
        <v>846</v>
      </c>
      <c r="BH42" t="s">
        <v>259</v>
      </c>
      <c r="BI42" t="s">
        <v>2337</v>
      </c>
      <c r="BJ42" t="s">
        <v>33</v>
      </c>
      <c r="BK42" t="s">
        <v>2327</v>
      </c>
      <c r="BL42" t="s">
        <v>2338</v>
      </c>
      <c r="BM42" t="s">
        <v>2334</v>
      </c>
      <c r="BN42">
        <v>1.1399999999999999</v>
      </c>
      <c r="BO42" t="s">
        <v>2</v>
      </c>
      <c r="BP42" t="s">
        <v>2</v>
      </c>
      <c r="BQ42">
        <v>-0.18</v>
      </c>
      <c r="BR42">
        <v>-9.42</v>
      </c>
      <c r="BS42">
        <v>-13.2</v>
      </c>
      <c r="BT42" t="s">
        <v>1521</v>
      </c>
      <c r="BU42" t="s">
        <v>1274</v>
      </c>
      <c r="BV42">
        <v>19.77</v>
      </c>
      <c r="BW42">
        <v>22.16</v>
      </c>
      <c r="BX42">
        <v>24.26</v>
      </c>
      <c r="BY42">
        <v>4.9000000000000004</v>
      </c>
      <c r="BZ42">
        <v>-25.68</v>
      </c>
      <c r="CA42">
        <v>-16.309999999999999</v>
      </c>
      <c r="CB42">
        <v>-7</v>
      </c>
      <c r="CC42">
        <v>-8.17</v>
      </c>
      <c r="CD42" t="s">
        <v>3331</v>
      </c>
      <c r="CE42" t="s">
        <v>395</v>
      </c>
      <c r="CF42" s="10">
        <v>1.4789301833377053</v>
      </c>
      <c r="CG42" s="11">
        <v>0.13867671068675472</v>
      </c>
      <c r="CH42" s="10">
        <v>0.55084747076034546</v>
      </c>
      <c r="CI42" s="10">
        <v>-0.48017621040344238</v>
      </c>
      <c r="CJ42" s="10">
        <v>0.83064514398574829</v>
      </c>
      <c r="CK42" s="10">
        <v>-0.37373736500740051</v>
      </c>
      <c r="CL42" s="10">
        <v>7.6086953282356262E-2</v>
      </c>
      <c r="CM42" s="11">
        <v>1.2755348682403564</v>
      </c>
      <c r="CN42" s="11">
        <v>0.2745482325553894</v>
      </c>
      <c r="CO42" s="11">
        <v>0.37350267171859741</v>
      </c>
      <c r="CP42" s="11">
        <v>-4.529655933380127</v>
      </c>
      <c r="CQ42" s="11">
        <v>1.0973707437515259</v>
      </c>
      <c r="CR42">
        <v>-25.619368585980634</v>
      </c>
      <c r="CS42">
        <v>-2.1219820976572099</v>
      </c>
      <c r="CT42">
        <v>0</v>
      </c>
      <c r="CU42" s="10">
        <v>0.12073319852352142</v>
      </c>
      <c r="CV42" s="11">
        <v>-0.30173988342285157</v>
      </c>
      <c r="CW42">
        <v>0.06</v>
      </c>
      <c r="CX42">
        <v>132.08862300337034</v>
      </c>
      <c r="CY42">
        <v>8099940.5980082052</v>
      </c>
      <c r="CZ42">
        <v>0.12073319852352142</v>
      </c>
      <c r="DA42">
        <v>42.060319818678032</v>
      </c>
      <c r="DB42">
        <v>25437514.612641562</v>
      </c>
      <c r="DC42">
        <v>0.11469653859734534</v>
      </c>
      <c r="DD42">
        <v>19.991568737532354</v>
      </c>
      <c r="DE42">
        <v>53518061.24105414</v>
      </c>
      <c r="DF42">
        <v>0.10624521470069885</v>
      </c>
      <c r="DG42">
        <v>11.533129540754222</v>
      </c>
      <c r="DH42">
        <v>92768402.212018505</v>
      </c>
      <c r="DI42">
        <v>9.6586558818817142E-2</v>
      </c>
      <c r="DJ42">
        <v>5.4451526409257456</v>
      </c>
      <c r="DK42">
        <v>196488523.01376471</v>
      </c>
      <c r="DL42">
        <v>8.4513238966464996E-2</v>
      </c>
      <c r="DM42">
        <v>7661000</v>
      </c>
      <c r="DN42">
        <v>0.12073319852352142</v>
      </c>
      <c r="DO42">
        <v>1069910000</v>
      </c>
      <c r="DP42">
        <v>103859010</v>
      </c>
      <c r="DQ42">
        <v>1562</v>
      </c>
      <c r="DR42">
        <v>1.3581969848141839</v>
      </c>
      <c r="DS42">
        <v>0.44041659410960632</v>
      </c>
      <c r="DT42" s="12">
        <v>-0.27333333333333337</v>
      </c>
      <c r="DU42">
        <v>-1.345</v>
      </c>
      <c r="DV42">
        <v>-1.6183333333333334</v>
      </c>
      <c r="DW42">
        <v>-9.8567931456548354</v>
      </c>
      <c r="DX42">
        <v>0.23849065040650486</v>
      </c>
      <c r="DY42">
        <v>-9.1100899085490248</v>
      </c>
      <c r="DZ42">
        <v>4106</v>
      </c>
      <c r="EA42">
        <v>-9.0216301894683415</v>
      </c>
      <c r="EB42">
        <v>9</v>
      </c>
      <c r="EC42">
        <v>0.27015982905982905</v>
      </c>
      <c r="ED42">
        <v>2.1025641025641026</v>
      </c>
      <c r="EE42" s="13">
        <v>-1.03041</v>
      </c>
      <c r="EF42">
        <v>-1.01511</v>
      </c>
      <c r="EG42">
        <v>11.128490650406505</v>
      </c>
      <c r="EH42" t="s">
        <v>1550</v>
      </c>
      <c r="EI42">
        <v>0</v>
      </c>
      <c r="EJ42">
        <v>0</v>
      </c>
      <c r="EK42" s="14">
        <v>45470</v>
      </c>
      <c r="EL42">
        <v>-1.19</v>
      </c>
      <c r="EM42">
        <v>-6.3</v>
      </c>
      <c r="EN42">
        <v>0.75</v>
      </c>
      <c r="EO42">
        <v>3.81</v>
      </c>
      <c r="EP42">
        <v>1.53</v>
      </c>
    </row>
    <row r="43" spans="1:146" ht="96" x14ac:dyDescent="0.25">
      <c r="C43" s="9" t="str">
        <f>""&amp;CHAR(10)&amp;Basic_Fundamental_Information_Constructure(F43)&amp;CHAR(10)&amp;Basic_Fundamental_Information_Concatenate("")</f>
        <v xml:space="preserve">
市值20.716983亿, 利润689.67万; PE208.3; 平均PE-323.37; 平均PEG-25.31, PB3.09; ROIC1.155%; ROE.03%; 股利率.1471%; 毛利23.7633%; 净利.3233%; 上一年度营收增8.68%, 利润增167.76%; 当季营收增31.94%, 利润增139.06%; 过往5年营收增-12.77%, 利润增-196.2%
Income profile:
</v>
      </c>
      <c r="D43" t="s">
        <v>899</v>
      </c>
      <c r="E43" t="s">
        <v>900</v>
      </c>
      <c r="F43">
        <v>8.16</v>
      </c>
      <c r="G43">
        <v>2.13</v>
      </c>
      <c r="H43" t="s">
        <v>3332</v>
      </c>
      <c r="I43">
        <v>2071698300</v>
      </c>
      <c r="J43">
        <v>208.3</v>
      </c>
      <c r="K43">
        <v>3.09</v>
      </c>
      <c r="L43" t="s">
        <v>2891</v>
      </c>
      <c r="M43" t="s">
        <v>212</v>
      </c>
      <c r="N43" t="s">
        <v>755</v>
      </c>
      <c r="O43" t="s">
        <v>2339</v>
      </c>
      <c r="P43">
        <v>31.94</v>
      </c>
      <c r="Q43" t="s">
        <v>211</v>
      </c>
      <c r="R43">
        <v>856936</v>
      </c>
      <c r="S43" s="7">
        <v>1.391</v>
      </c>
      <c r="T43" t="s">
        <v>2340</v>
      </c>
      <c r="U43">
        <v>252295190</v>
      </c>
      <c r="V43">
        <v>253884600</v>
      </c>
      <c r="W43">
        <v>1.52</v>
      </c>
      <c r="X43">
        <v>7.0000000000000007E-2</v>
      </c>
      <c r="Y43">
        <v>1.2</v>
      </c>
      <c r="Z43" t="s">
        <v>3333</v>
      </c>
      <c r="AA43" t="s">
        <v>3334</v>
      </c>
      <c r="AB43" t="s">
        <v>3335</v>
      </c>
      <c r="AC43" t="s">
        <v>3336</v>
      </c>
      <c r="AD43" t="s">
        <v>2</v>
      </c>
      <c r="AE43">
        <v>595076</v>
      </c>
      <c r="AF43" t="s">
        <v>2341</v>
      </c>
      <c r="AG43" t="s">
        <v>3337</v>
      </c>
      <c r="AH43" t="s">
        <v>2342</v>
      </c>
      <c r="AI43" t="s">
        <v>395</v>
      </c>
      <c r="AJ43" t="s">
        <v>2343</v>
      </c>
      <c r="AK43" t="s">
        <v>3338</v>
      </c>
      <c r="AL43" t="s">
        <v>2344</v>
      </c>
      <c r="AM43" t="s">
        <v>2</v>
      </c>
      <c r="AN43" t="s">
        <v>3339</v>
      </c>
      <c r="AO43" t="s">
        <v>3340</v>
      </c>
      <c r="AP43" t="s">
        <v>3341</v>
      </c>
      <c r="AQ43" t="s">
        <v>93</v>
      </c>
      <c r="AR43" t="s">
        <v>2</v>
      </c>
      <c r="AS43" t="s">
        <v>568</v>
      </c>
      <c r="AT43" t="s">
        <v>2</v>
      </c>
      <c r="AU43" t="s">
        <v>3342</v>
      </c>
      <c r="AV43" t="s">
        <v>3343</v>
      </c>
      <c r="AW43" t="s">
        <v>3344</v>
      </c>
      <c r="AX43" t="s">
        <v>260</v>
      </c>
      <c r="AY43" t="s">
        <v>202</v>
      </c>
      <c r="AZ43" t="s">
        <v>429</v>
      </c>
      <c r="BA43" t="s">
        <v>115</v>
      </c>
      <c r="BB43" t="s">
        <v>54</v>
      </c>
      <c r="BC43" t="s">
        <v>1628</v>
      </c>
      <c r="BD43" t="s">
        <v>1323</v>
      </c>
      <c r="BE43" t="s">
        <v>901</v>
      </c>
      <c r="BF43" t="s">
        <v>902</v>
      </c>
      <c r="BG43" t="s">
        <v>903</v>
      </c>
      <c r="BH43" t="s">
        <v>211</v>
      </c>
      <c r="BI43" t="s">
        <v>2345</v>
      </c>
      <c r="BJ43" t="s">
        <v>260</v>
      </c>
      <c r="BK43" t="s">
        <v>2340</v>
      </c>
      <c r="BL43" t="s">
        <v>2346</v>
      </c>
      <c r="BM43" t="s">
        <v>1628</v>
      </c>
      <c r="BN43">
        <v>0.33</v>
      </c>
      <c r="BO43" t="s">
        <v>2</v>
      </c>
      <c r="BP43">
        <v>1.98</v>
      </c>
      <c r="BQ43">
        <v>0.27</v>
      </c>
      <c r="BR43">
        <v>-1.52</v>
      </c>
      <c r="BS43">
        <v>1.34</v>
      </c>
      <c r="BT43" t="s">
        <v>2347</v>
      </c>
      <c r="BU43" t="s">
        <v>1445</v>
      </c>
      <c r="BV43">
        <v>23.96</v>
      </c>
      <c r="BW43">
        <v>22.56</v>
      </c>
      <c r="BX43">
        <v>24.77</v>
      </c>
      <c r="BY43">
        <v>1.77</v>
      </c>
      <c r="BZ43">
        <v>-3.75</v>
      </c>
      <c r="CA43">
        <v>2.95</v>
      </c>
      <c r="CB43">
        <v>-0.61</v>
      </c>
      <c r="CC43">
        <v>7.54</v>
      </c>
      <c r="CD43" t="s">
        <v>3345</v>
      </c>
      <c r="CE43" t="s">
        <v>437</v>
      </c>
      <c r="CF43" s="10">
        <v>0.31941992386122631</v>
      </c>
      <c r="CG43" s="11">
        <v>1.3906350002279255</v>
      </c>
      <c r="CH43" s="10">
        <v>8.681672066450119E-2</v>
      </c>
      <c r="CI43" s="10">
        <v>-4.3076921254396439E-2</v>
      </c>
      <c r="CJ43" s="10">
        <v>-0.38212928175926208</v>
      </c>
      <c r="CK43" s="10">
        <v>9.5969289541244507E-3</v>
      </c>
      <c r="CL43" s="10">
        <v>-0.30993378162384033</v>
      </c>
      <c r="CM43" s="11">
        <v>1.6775553226470947</v>
      </c>
      <c r="CN43" s="11">
        <v>-2.131354808807373</v>
      </c>
      <c r="CO43" s="11">
        <v>1.1526975631713867</v>
      </c>
      <c r="CP43" s="11">
        <v>-10.265233993530273</v>
      </c>
      <c r="CQ43" s="11">
        <v>-0.24352584779262543</v>
      </c>
      <c r="CR43">
        <v>-323.36854345897598</v>
      </c>
      <c r="CS43">
        <v>-25.313543980413851</v>
      </c>
      <c r="CT43">
        <v>0.14705882352941177</v>
      </c>
      <c r="CU43" s="10">
        <v>-0.12774526700377464</v>
      </c>
      <c r="CV43" s="11">
        <v>-1.961972352862358</v>
      </c>
      <c r="CW43">
        <v>0.06</v>
      </c>
      <c r="CX43">
        <v>251.38084881175055</v>
      </c>
      <c r="CY43" t="s">
        <v>2348</v>
      </c>
      <c r="CZ43">
        <v>-0.12774526700377464</v>
      </c>
      <c r="DA43">
        <v>83.793616270583513</v>
      </c>
      <c r="DB43" t="s">
        <v>2349</v>
      </c>
      <c r="DC43">
        <v>-0.1213580036535859</v>
      </c>
      <c r="DD43">
        <v>41.896808135291757</v>
      </c>
      <c r="DE43" t="s">
        <v>2350</v>
      </c>
      <c r="DF43">
        <v>-0.11241583496332169</v>
      </c>
      <c r="DG43">
        <v>25.138084881175054</v>
      </c>
      <c r="DH43" t="s">
        <v>2351</v>
      </c>
      <c r="DI43">
        <v>-0.10219621360301973</v>
      </c>
      <c r="DJ43">
        <v>12.569042440587527</v>
      </c>
      <c r="DK43" t="s">
        <v>2352</v>
      </c>
      <c r="DL43">
        <v>-8.9421686902642239E-2</v>
      </c>
      <c r="DM43">
        <v>6896700</v>
      </c>
      <c r="DN43">
        <v>-0.12774526700377464</v>
      </c>
      <c r="DO43">
        <v>1733698300</v>
      </c>
      <c r="DP43">
        <v>336357850</v>
      </c>
      <c r="DQ43">
        <v>1631</v>
      </c>
      <c r="DR43">
        <v>0.44716519086500095</v>
      </c>
      <c r="DS43">
        <v>3.3526073530902836</v>
      </c>
      <c r="DT43" s="12">
        <v>-0.67333333333333334</v>
      </c>
      <c r="DU43">
        <v>-1.3066666666666666</v>
      </c>
      <c r="DV43">
        <v>-1.98</v>
      </c>
      <c r="DW43">
        <v>2.0754000000000001</v>
      </c>
      <c r="DX43">
        <v>0.47639210526315634</v>
      </c>
      <c r="DY43">
        <v>2.0193319647368422</v>
      </c>
      <c r="DZ43">
        <v>4372</v>
      </c>
      <c r="EA43">
        <v>2.002791974554949</v>
      </c>
      <c r="EB43">
        <v>2</v>
      </c>
      <c r="EC43">
        <v>0.38375309097125232</v>
      </c>
      <c r="ED43">
        <v>1.4967430084376918</v>
      </c>
      <c r="EE43" s="13">
        <v>-6.0011000000000001</v>
      </c>
      <c r="EF43">
        <v>-6.0052000000000003</v>
      </c>
      <c r="EG43">
        <v>22.256392105263156</v>
      </c>
      <c r="EH43" t="s">
        <v>1983</v>
      </c>
      <c r="EI43">
        <v>1</v>
      </c>
      <c r="EJ43">
        <v>0</v>
      </c>
      <c r="EK43" s="14">
        <v>45470</v>
      </c>
      <c r="EL43">
        <v>-2.64</v>
      </c>
      <c r="EM43">
        <v>-1.36</v>
      </c>
      <c r="EN43">
        <v>-1.51</v>
      </c>
      <c r="EO43">
        <v>2.23</v>
      </c>
      <c r="EP43">
        <v>0.41</v>
      </c>
    </row>
    <row r="44" spans="1:146" ht="96" x14ac:dyDescent="0.25">
      <c r="A44" s="9"/>
      <c r="B44" s="9"/>
      <c r="C44" s="9" t="str">
        <f>""&amp;CHAR(10)&amp;Basic_Fundamental_Information_Constructure(F44)&amp;CHAR(10)&amp;Basic_Fundamental_Information_Concatenate("")</f>
        <v xml:space="preserve">
市值40.962717亿, 利润-1.28亿; PE; 平均PE-8.06; 平均PEG-12.13, PB2.48; ROIC0%; ROE-7.78%; 股利率0%; 毛利21.1167%; 净利-5.7867%; 上一年度营收增-6.9%, 利润增56.16%; 当季营收增-11.38%, 利润增149.78%; 过往5年营收增-.66%, 利润增-151.03%
Income profile:
</v>
      </c>
      <c r="D44" t="s">
        <v>734</v>
      </c>
      <c r="E44" t="s">
        <v>735</v>
      </c>
      <c r="F44">
        <v>5.25</v>
      </c>
      <c r="G44">
        <v>1.74</v>
      </c>
      <c r="H44" t="s">
        <v>3346</v>
      </c>
      <c r="I44">
        <v>4096271700</v>
      </c>
      <c r="K44">
        <v>2.48</v>
      </c>
      <c r="L44" t="s">
        <v>2891</v>
      </c>
      <c r="M44" t="s">
        <v>2355</v>
      </c>
      <c r="N44" t="s">
        <v>1851</v>
      </c>
      <c r="O44" t="s">
        <v>361</v>
      </c>
      <c r="P44">
        <v>-11.5</v>
      </c>
      <c r="Q44" t="s">
        <v>1961</v>
      </c>
      <c r="R44">
        <v>10647589</v>
      </c>
      <c r="S44" s="6">
        <v>1.498</v>
      </c>
      <c r="T44" t="s">
        <v>1306</v>
      </c>
      <c r="U44">
        <v>635764510</v>
      </c>
      <c r="V44">
        <v>780242230</v>
      </c>
      <c r="W44">
        <v>2.79</v>
      </c>
      <c r="X44">
        <v>0.1</v>
      </c>
      <c r="Y44">
        <v>1.7</v>
      </c>
      <c r="Z44" t="s">
        <v>495</v>
      </c>
      <c r="AA44" t="s">
        <v>384</v>
      </c>
      <c r="AB44" t="s">
        <v>3347</v>
      </c>
      <c r="AC44" t="s">
        <v>3348</v>
      </c>
      <c r="AD44" t="s">
        <v>2</v>
      </c>
      <c r="AE44">
        <v>2417736</v>
      </c>
      <c r="AF44" t="s">
        <v>2356</v>
      </c>
      <c r="AG44" t="s">
        <v>3349</v>
      </c>
      <c r="AH44" t="s">
        <v>2357</v>
      </c>
      <c r="AI44" t="s">
        <v>1188</v>
      </c>
      <c r="AJ44" t="s">
        <v>2358</v>
      </c>
      <c r="AK44" t="s">
        <v>404</v>
      </c>
      <c r="AL44" t="s">
        <v>2359</v>
      </c>
      <c r="AM44" t="s">
        <v>2</v>
      </c>
      <c r="AN44" t="s">
        <v>3350</v>
      </c>
      <c r="AO44" t="s">
        <v>1464</v>
      </c>
      <c r="AP44" t="s">
        <v>364</v>
      </c>
      <c r="AQ44" t="s">
        <v>3351</v>
      </c>
      <c r="AR44" t="s">
        <v>2</v>
      </c>
      <c r="AS44" t="s">
        <v>3352</v>
      </c>
      <c r="AT44" t="s">
        <v>107</v>
      </c>
      <c r="AU44" t="s">
        <v>1833</v>
      </c>
      <c r="AV44" t="s">
        <v>3353</v>
      </c>
      <c r="AW44" t="s">
        <v>3354</v>
      </c>
      <c r="AX44" t="s">
        <v>1629</v>
      </c>
      <c r="AY44" t="s">
        <v>1326</v>
      </c>
      <c r="AZ44" t="s">
        <v>639</v>
      </c>
      <c r="BA44" t="s">
        <v>737</v>
      </c>
      <c r="BB44" t="s">
        <v>738</v>
      </c>
      <c r="BC44" t="s">
        <v>1627</v>
      </c>
      <c r="BD44" t="s">
        <v>1327</v>
      </c>
      <c r="BE44" t="s">
        <v>736</v>
      </c>
      <c r="BF44" t="s">
        <v>739</v>
      </c>
      <c r="BG44" t="s">
        <v>89</v>
      </c>
      <c r="BH44" t="s">
        <v>1961</v>
      </c>
      <c r="BI44" t="s">
        <v>289</v>
      </c>
      <c r="BJ44" t="s">
        <v>1629</v>
      </c>
      <c r="BK44" t="s">
        <v>1306</v>
      </c>
      <c r="BL44" t="s">
        <v>2360</v>
      </c>
      <c r="BM44" t="s">
        <v>1627</v>
      </c>
      <c r="BN44" t="s">
        <v>2</v>
      </c>
      <c r="BO44" t="s">
        <v>2</v>
      </c>
      <c r="BP44" t="s">
        <v>2</v>
      </c>
      <c r="BQ44">
        <v>-2.48</v>
      </c>
      <c r="BR44">
        <v>-15.05</v>
      </c>
      <c r="BS44">
        <v>-5.81</v>
      </c>
      <c r="BT44" t="s">
        <v>1521</v>
      </c>
      <c r="BU44" t="s">
        <v>1444</v>
      </c>
      <c r="BV44">
        <v>23.86</v>
      </c>
      <c r="BW44">
        <v>19.149999999999999</v>
      </c>
      <c r="BX44">
        <v>20.34</v>
      </c>
      <c r="BY44">
        <v>-5.5</v>
      </c>
      <c r="BZ44">
        <v>-8.92</v>
      </c>
      <c r="CA44">
        <v>-2.94</v>
      </c>
      <c r="CB44">
        <v>-2.0499999999999998</v>
      </c>
      <c r="CC44">
        <v>-7.57</v>
      </c>
      <c r="CD44" t="s">
        <v>3355</v>
      </c>
      <c r="CE44" t="s">
        <v>189</v>
      </c>
      <c r="CF44" s="10">
        <v>-0.1138353765323994</v>
      </c>
      <c r="CG44" s="11">
        <v>1.4977881513618641</v>
      </c>
      <c r="CH44" s="10">
        <v>-6.9027572870254517E-2</v>
      </c>
      <c r="CI44" s="10">
        <v>0.15334028005599976</v>
      </c>
      <c r="CJ44" s="10">
        <v>5.5149771273136139E-2</v>
      </c>
      <c r="CK44" s="10">
        <v>0.18374402821063995</v>
      </c>
      <c r="CL44" s="10">
        <v>-0.35642737150192261</v>
      </c>
      <c r="CM44" s="11">
        <v>0.56164383888244629</v>
      </c>
      <c r="CN44" s="11">
        <v>-1.9256613254547119</v>
      </c>
      <c r="CO44" s="11">
        <v>0.64354825019836426</v>
      </c>
      <c r="CP44" s="11">
        <v>0.89405977725982666</v>
      </c>
      <c r="CQ44" s="11">
        <v>-7.7251906394958496</v>
      </c>
      <c r="CR44">
        <v>-8.0587506781167928</v>
      </c>
      <c r="CS44">
        <v>-12.129050099648307</v>
      </c>
      <c r="CT44">
        <v>0</v>
      </c>
      <c r="CU44" s="10">
        <v>-6.6441729664802555E-3</v>
      </c>
      <c r="CV44" s="11">
        <v>-1.5103200197219848</v>
      </c>
      <c r="CW44">
        <v>0.06</v>
      </c>
      <c r="CX44" t="e">
        <v>#VALUE!</v>
      </c>
      <c r="CY44" t="s">
        <v>1238</v>
      </c>
      <c r="CZ44">
        <v>-6.6441729664802555E-3</v>
      </c>
      <c r="DA44" t="e">
        <v>#VALUE!</v>
      </c>
      <c r="DB44" t="s">
        <v>1238</v>
      </c>
      <c r="DC44">
        <v>-6.3119643181562424E-3</v>
      </c>
      <c r="DD44" t="e">
        <v>#VALUE!</v>
      </c>
      <c r="DE44" t="s">
        <v>1238</v>
      </c>
      <c r="DF44">
        <v>-5.8468722105026252E-3</v>
      </c>
      <c r="DG44" t="e">
        <v>#VALUE!</v>
      </c>
      <c r="DH44" t="s">
        <v>1238</v>
      </c>
      <c r="DI44">
        <v>-5.3153383731842051E-3</v>
      </c>
      <c r="DJ44" t="e">
        <v>#VALUE!</v>
      </c>
      <c r="DK44" t="s">
        <v>1238</v>
      </c>
      <c r="DL44">
        <v>-4.6509210765361781E-3</v>
      </c>
      <c r="DM44">
        <v>-128000000</v>
      </c>
      <c r="DN44">
        <v>-6.6441729664802555E-3</v>
      </c>
      <c r="DO44">
        <v>6200271700</v>
      </c>
      <c r="DP44">
        <v>909774800</v>
      </c>
      <c r="DQ44">
        <v>1707</v>
      </c>
      <c r="DR44">
        <v>-0.10719120356591914</v>
      </c>
      <c r="DS44">
        <v>3.0081081710838489</v>
      </c>
      <c r="DT44" s="12">
        <v>-0.27333333333333337</v>
      </c>
      <c r="DU44">
        <v>-1.4766666666666668</v>
      </c>
      <c r="DV44">
        <v>-1.7500000000000002</v>
      </c>
      <c r="DW44">
        <v>-2.0756999999999999</v>
      </c>
      <c r="DX44">
        <v>0.28768220640569325</v>
      </c>
      <c r="DY44">
        <v>-2.0073945430249109</v>
      </c>
      <c r="DZ44">
        <v>4218</v>
      </c>
      <c r="EA44">
        <v>-2.0012907891151115</v>
      </c>
      <c r="EB44">
        <v>2</v>
      </c>
      <c r="EC44">
        <v>3.5179715919759942E-2</v>
      </c>
      <c r="ED44">
        <v>0.36014456689943586</v>
      </c>
      <c r="EE44" s="13">
        <v>2.0312999999999999</v>
      </c>
      <c r="EF44">
        <v>2.0181</v>
      </c>
      <c r="EG44">
        <v>19.097682206405693</v>
      </c>
      <c r="EH44" t="s">
        <v>1552</v>
      </c>
      <c r="EI44">
        <v>0</v>
      </c>
      <c r="EJ44">
        <v>0</v>
      </c>
      <c r="EK44" s="14">
        <v>45470</v>
      </c>
      <c r="EL44">
        <v>-1.31</v>
      </c>
      <c r="EM44">
        <v>-3.79</v>
      </c>
      <c r="EN44">
        <v>0.79</v>
      </c>
      <c r="EO44">
        <v>3.71</v>
      </c>
      <c r="EP44">
        <v>-1.32</v>
      </c>
    </row>
    <row r="45" spans="1:146" ht="96" x14ac:dyDescent="0.25">
      <c r="A45" s="9"/>
      <c r="B45" s="9"/>
      <c r="C45" s="9" t="str">
        <f>""&amp;CHAR(10)&amp;Basic_Fundamental_Information_Constructure(F45)&amp;CHAR(10)&amp;Basic_Fundamental_Information_Concatenate("")</f>
        <v xml:space="preserve">
市值30.613619亿, 利润1.01亿; PE39.53; 平均PE52.28; 平均PEG6.03, PB1.36; ROIC4.57%; ROE5.3333%; 股利率1.1976%; 毛利17.3233%; 净利3.88%; 上一年度营收增12.67%, 利润增23.6%; 当季营收增-26.38%, 利润增-68.46%; 过往5年营收增8.66%, 利润增34.52%
Income profile:
</v>
      </c>
      <c r="D45" t="s">
        <v>1094</v>
      </c>
      <c r="E45" t="s">
        <v>1095</v>
      </c>
      <c r="F45">
        <v>6.68</v>
      </c>
      <c r="G45">
        <v>5.03</v>
      </c>
      <c r="H45" t="s">
        <v>3356</v>
      </c>
      <c r="I45">
        <v>3061361900</v>
      </c>
      <c r="J45">
        <v>39.53</v>
      </c>
      <c r="K45">
        <v>1.36</v>
      </c>
      <c r="L45" t="s">
        <v>2891</v>
      </c>
      <c r="M45" t="s">
        <v>2361</v>
      </c>
      <c r="N45" t="s">
        <v>3357</v>
      </c>
      <c r="O45" t="s">
        <v>556</v>
      </c>
      <c r="P45">
        <v>-26.28</v>
      </c>
      <c r="Q45" t="s">
        <v>2362</v>
      </c>
      <c r="R45">
        <v>11052009</v>
      </c>
      <c r="S45" s="6">
        <v>-0.68459999999999999</v>
      </c>
      <c r="T45" t="s">
        <v>148</v>
      </c>
      <c r="U45">
        <v>457988080</v>
      </c>
      <c r="V45">
        <v>458287710</v>
      </c>
      <c r="W45">
        <v>1.46</v>
      </c>
      <c r="X45">
        <v>0.14000000000000001</v>
      </c>
      <c r="Y45">
        <v>2.71</v>
      </c>
      <c r="Z45" t="s">
        <v>349</v>
      </c>
      <c r="AA45" t="s">
        <v>378</v>
      </c>
      <c r="AB45" t="s">
        <v>3358</v>
      </c>
      <c r="AC45" t="s">
        <v>3359</v>
      </c>
      <c r="AD45" t="s">
        <v>2</v>
      </c>
      <c r="AE45">
        <v>2254505</v>
      </c>
      <c r="AF45" t="s">
        <v>2363</v>
      </c>
      <c r="AG45" t="s">
        <v>3360</v>
      </c>
      <c r="AH45" t="s">
        <v>2364</v>
      </c>
      <c r="AI45" t="s">
        <v>319</v>
      </c>
      <c r="AJ45" t="s">
        <v>2365</v>
      </c>
      <c r="AK45" t="s">
        <v>109</v>
      </c>
      <c r="AL45" t="s">
        <v>2366</v>
      </c>
      <c r="AM45" t="s">
        <v>2</v>
      </c>
      <c r="AN45" t="s">
        <v>548</v>
      </c>
      <c r="AO45" t="s">
        <v>250</v>
      </c>
      <c r="AP45" t="s">
        <v>3361</v>
      </c>
      <c r="AQ45" t="s">
        <v>549</v>
      </c>
      <c r="AR45" t="s">
        <v>2</v>
      </c>
      <c r="AS45" t="s">
        <v>3362</v>
      </c>
      <c r="AT45" t="s">
        <v>3363</v>
      </c>
      <c r="AU45" t="s">
        <v>3364</v>
      </c>
      <c r="AV45" t="s">
        <v>3365</v>
      </c>
      <c r="AW45" t="s">
        <v>3366</v>
      </c>
      <c r="AX45" t="s">
        <v>417</v>
      </c>
      <c r="AY45" t="s">
        <v>1328</v>
      </c>
      <c r="AZ45" t="s">
        <v>1096</v>
      </c>
      <c r="BA45" t="s">
        <v>498</v>
      </c>
      <c r="BB45" t="s">
        <v>647</v>
      </c>
      <c r="BC45" t="s">
        <v>1630</v>
      </c>
      <c r="BD45" t="s">
        <v>1329</v>
      </c>
      <c r="BE45" t="s">
        <v>1097</v>
      </c>
      <c r="BF45" t="s">
        <v>1098</v>
      </c>
      <c r="BG45" t="s">
        <v>1099</v>
      </c>
      <c r="BH45" t="s">
        <v>2362</v>
      </c>
      <c r="BI45" t="s">
        <v>1458</v>
      </c>
      <c r="BJ45" t="s">
        <v>417</v>
      </c>
      <c r="BK45" t="s">
        <v>148</v>
      </c>
      <c r="BL45" t="s">
        <v>2368</v>
      </c>
      <c r="BM45" t="s">
        <v>1630</v>
      </c>
      <c r="BN45">
        <v>4.58</v>
      </c>
      <c r="BO45">
        <v>5.29</v>
      </c>
      <c r="BP45">
        <v>3.84</v>
      </c>
      <c r="BQ45">
        <v>6.58</v>
      </c>
      <c r="BR45">
        <v>6.02</v>
      </c>
      <c r="BS45">
        <v>3.4</v>
      </c>
      <c r="BT45" t="s">
        <v>1523</v>
      </c>
      <c r="BU45" t="s">
        <v>1274</v>
      </c>
      <c r="BV45">
        <v>17.77</v>
      </c>
      <c r="BW45">
        <v>17.53</v>
      </c>
      <c r="BX45">
        <v>16.670000000000002</v>
      </c>
      <c r="BY45">
        <v>4.62</v>
      </c>
      <c r="BZ45">
        <v>4.18</v>
      </c>
      <c r="CA45">
        <v>2.84</v>
      </c>
      <c r="CB45">
        <v>-3.19</v>
      </c>
      <c r="CC45">
        <v>3.57</v>
      </c>
      <c r="CD45" t="s">
        <v>102</v>
      </c>
      <c r="CE45" t="s">
        <v>653</v>
      </c>
      <c r="CF45" s="10">
        <v>-0.26375404530744334</v>
      </c>
      <c r="CG45" s="11">
        <v>-0.68455997693853321</v>
      </c>
      <c r="CH45" s="10">
        <v>0.12674033641815186</v>
      </c>
      <c r="CI45" s="10">
        <v>8.3203256130218506E-2</v>
      </c>
      <c r="CJ45" s="10">
        <v>0.31083843111991882</v>
      </c>
      <c r="CK45" s="10">
        <v>-6.097517441958189E-3</v>
      </c>
      <c r="CL45" s="10">
        <v>-8.1518396735191345E-2</v>
      </c>
      <c r="CM45" s="11">
        <v>0.23601831495761871</v>
      </c>
      <c r="CN45" s="11">
        <v>0.8184124231338501</v>
      </c>
      <c r="CO45" s="11">
        <v>-0.24182555079460144</v>
      </c>
      <c r="CP45" s="11">
        <v>1.1871656179428101</v>
      </c>
      <c r="CQ45" s="11">
        <v>-0.27384930849075317</v>
      </c>
      <c r="CR45">
        <v>52.280524177951364</v>
      </c>
      <c r="CS45">
        <v>6.0346969710266256</v>
      </c>
      <c r="CT45">
        <v>1.1976047904191618</v>
      </c>
      <c r="CU45" s="10">
        <v>8.6633221898227933E-2</v>
      </c>
      <c r="CV45" s="11">
        <v>0.34518429934978484</v>
      </c>
      <c r="CW45">
        <v>0.06</v>
      </c>
      <c r="CX45">
        <v>17.021452145396417</v>
      </c>
      <c r="CY45">
        <v>103537693.78464247</v>
      </c>
      <c r="CZ45">
        <v>8.6633221898227933E-2</v>
      </c>
      <c r="DA45">
        <v>5.578338611823745</v>
      </c>
      <c r="DB45">
        <v>315929530.7503438</v>
      </c>
      <c r="DC45">
        <v>8.2301560803316534E-2</v>
      </c>
      <c r="DD45">
        <v>2.7565672728420236</v>
      </c>
      <c r="DE45">
        <v>639332084.27850306</v>
      </c>
      <c r="DF45">
        <v>7.6237235270440587E-2</v>
      </c>
      <c r="DG45">
        <v>1.6624813694479863</v>
      </c>
      <c r="DH45">
        <v>1060079187.8859841</v>
      </c>
      <c r="DI45">
        <v>6.9306577518582352E-2</v>
      </c>
      <c r="DJ45">
        <v>0.86691125319171758</v>
      </c>
      <c r="DK45">
        <v>2032920778.8126998</v>
      </c>
      <c r="DL45">
        <v>6.0643255328759547E-2</v>
      </c>
      <c r="DM45">
        <v>101000000</v>
      </c>
      <c r="DN45">
        <v>8.6633221898227933E-2</v>
      </c>
      <c r="DO45">
        <v>1762361900</v>
      </c>
      <c r="DP45">
        <v>1257553100</v>
      </c>
      <c r="DQ45">
        <v>1750</v>
      </c>
      <c r="DR45">
        <v>-0.35038726720567126</v>
      </c>
      <c r="DS45">
        <v>-1.029744276288318</v>
      </c>
      <c r="DT45" s="12">
        <v>-0.3066666666666667</v>
      </c>
      <c r="DU45">
        <v>2.6666666666666616E-2</v>
      </c>
      <c r="DV45">
        <v>-0.28000000000000008</v>
      </c>
      <c r="DW45">
        <v>-6.47189349112426</v>
      </c>
      <c r="DX45">
        <v>0.45687087653157138</v>
      </c>
      <c r="DY45">
        <v>-6.0551506059372366</v>
      </c>
      <c r="DZ45">
        <v>2390</v>
      </c>
      <c r="EA45">
        <v>-6.0293560955282359</v>
      </c>
      <c r="EB45">
        <v>6</v>
      </c>
      <c r="EC45">
        <v>0.27057238781288723</v>
      </c>
      <c r="ED45">
        <v>2.3151395441086562</v>
      </c>
      <c r="EE45" s="13">
        <v>-2.0563099999999999</v>
      </c>
      <c r="EF45">
        <v>-2.0883099999999999</v>
      </c>
      <c r="EG45">
        <v>34.116870876531571</v>
      </c>
      <c r="EH45" t="s">
        <v>1555</v>
      </c>
      <c r="EI45">
        <v>0</v>
      </c>
      <c r="EJ45">
        <v>0</v>
      </c>
      <c r="EK45" s="14">
        <v>45470</v>
      </c>
      <c r="EL45">
        <v>-1.1499999999999999</v>
      </c>
      <c r="EM45">
        <v>-6.97</v>
      </c>
      <c r="EN45">
        <v>0.31</v>
      </c>
      <c r="EO45">
        <v>2.02</v>
      </c>
      <c r="EP45">
        <v>-3.2</v>
      </c>
    </row>
    <row r="46" spans="1:146" ht="96" x14ac:dyDescent="0.25">
      <c r="A46" s="9"/>
      <c r="B46" s="9"/>
      <c r="C46" s="9" t="str">
        <f>""&amp;CHAR(10)&amp;Basic_Fundamental_Information_Constructure(F46)&amp;CHAR(10)&amp;Basic_Fundamental_Information_Concatenate("")</f>
        <v xml:space="preserve">
市值22.20956亿, 利润2112.07万; PE505.1; 平均PE68.76; 平均PEG2.96, PB2.7; ROIC5.3233%; ROE5.3%; 股利率.3937%; 毛利9.8767%; 净利1.4467%; 上一年度营收增35.9%, 利润增-30.35%; 当季营收增-1.1%, 利润增-430.27%; 过往5年营收增23.25%, 利润增10.18%
Income profile:
</v>
      </c>
      <c r="D46" t="s">
        <v>904</v>
      </c>
      <c r="E46" t="s">
        <v>905</v>
      </c>
      <c r="F46">
        <v>5.08</v>
      </c>
      <c r="G46">
        <v>-6.27</v>
      </c>
      <c r="H46" t="s">
        <v>3367</v>
      </c>
      <c r="I46">
        <v>2220956000</v>
      </c>
      <c r="J46">
        <v>505.1</v>
      </c>
      <c r="K46">
        <v>2.7</v>
      </c>
      <c r="L46" t="s">
        <v>2891</v>
      </c>
      <c r="M46" t="s">
        <v>1891</v>
      </c>
      <c r="N46" t="s">
        <v>664</v>
      </c>
      <c r="O46" t="s">
        <v>370</v>
      </c>
      <c r="P46">
        <v>-1.06</v>
      </c>
      <c r="Q46" t="s">
        <v>1639</v>
      </c>
      <c r="R46">
        <v>-12836797</v>
      </c>
      <c r="S46" s="6">
        <v>-4.3029999999999999</v>
      </c>
      <c r="T46" t="s">
        <v>2369</v>
      </c>
      <c r="U46">
        <v>307436340</v>
      </c>
      <c r="V46">
        <v>437196060</v>
      </c>
      <c r="W46">
        <v>2.94</v>
      </c>
      <c r="X46">
        <v>0.19</v>
      </c>
      <c r="Y46">
        <v>-2.66</v>
      </c>
      <c r="Z46" t="s">
        <v>620</v>
      </c>
      <c r="AA46" t="s">
        <v>272</v>
      </c>
      <c r="AB46" t="s">
        <v>3368</v>
      </c>
      <c r="AC46" t="s">
        <v>3369</v>
      </c>
      <c r="AD46" t="s">
        <v>2</v>
      </c>
      <c r="AE46">
        <v>21805956</v>
      </c>
      <c r="AF46" t="s">
        <v>2371</v>
      </c>
      <c r="AG46" t="s">
        <v>3370</v>
      </c>
      <c r="AH46" t="s">
        <v>2372</v>
      </c>
      <c r="AI46" t="s">
        <v>422</v>
      </c>
      <c r="AJ46" t="s">
        <v>2373</v>
      </c>
      <c r="AK46" t="s">
        <v>2</v>
      </c>
      <c r="AL46" t="s">
        <v>2374</v>
      </c>
      <c r="AM46" t="s">
        <v>2</v>
      </c>
      <c r="AN46" t="s">
        <v>599</v>
      </c>
      <c r="AO46" t="s">
        <v>540</v>
      </c>
      <c r="AP46" t="s">
        <v>2375</v>
      </c>
      <c r="AQ46" t="s">
        <v>492</v>
      </c>
      <c r="AR46" t="s">
        <v>3371</v>
      </c>
      <c r="AS46" t="s">
        <v>607</v>
      </c>
      <c r="AT46" t="s">
        <v>513</v>
      </c>
      <c r="AU46" t="s">
        <v>3372</v>
      </c>
      <c r="AV46" t="s">
        <v>2367</v>
      </c>
      <c r="AW46" t="s">
        <v>37</v>
      </c>
      <c r="AX46" t="s">
        <v>1189</v>
      </c>
      <c r="AY46" t="s">
        <v>796</v>
      </c>
      <c r="AZ46" t="s">
        <v>626</v>
      </c>
      <c r="BA46" t="s">
        <v>1218</v>
      </c>
      <c r="BB46" t="s">
        <v>675</v>
      </c>
      <c r="BC46" t="s">
        <v>1631</v>
      </c>
      <c r="BD46" t="s">
        <v>1330</v>
      </c>
      <c r="BE46" t="s">
        <v>906</v>
      </c>
      <c r="BF46" t="s">
        <v>908</v>
      </c>
      <c r="BG46" t="s">
        <v>909</v>
      </c>
      <c r="BH46" t="s">
        <v>1639</v>
      </c>
      <c r="BI46" t="s">
        <v>285</v>
      </c>
      <c r="BJ46" t="s">
        <v>1189</v>
      </c>
      <c r="BK46" t="s">
        <v>2369</v>
      </c>
      <c r="BL46" t="s">
        <v>2377</v>
      </c>
      <c r="BM46" t="s">
        <v>1631</v>
      </c>
      <c r="BN46">
        <v>4.01</v>
      </c>
      <c r="BO46">
        <v>4.97</v>
      </c>
      <c r="BP46">
        <v>6.99</v>
      </c>
      <c r="BQ46">
        <v>4.83</v>
      </c>
      <c r="BR46">
        <v>3.44</v>
      </c>
      <c r="BS46">
        <v>7.63</v>
      </c>
      <c r="BT46" t="s">
        <v>1526</v>
      </c>
      <c r="BU46" t="s">
        <v>1445</v>
      </c>
      <c r="BV46">
        <v>7.98</v>
      </c>
      <c r="BW46">
        <v>11.03</v>
      </c>
      <c r="BX46">
        <v>10.62</v>
      </c>
      <c r="BY46">
        <v>0.37</v>
      </c>
      <c r="BZ46">
        <v>1.35</v>
      </c>
      <c r="CA46">
        <v>2.62</v>
      </c>
      <c r="CB46">
        <v>-15.89</v>
      </c>
      <c r="CC46">
        <v>9.25</v>
      </c>
      <c r="CD46" t="s">
        <v>197</v>
      </c>
      <c r="CE46" t="s">
        <v>625</v>
      </c>
      <c r="CF46" s="10">
        <v>-1.0968921389396709E-2</v>
      </c>
      <c r="CG46" s="11">
        <v>-4.3026646598744467</v>
      </c>
      <c r="CH46" s="10">
        <v>0.35895031690597534</v>
      </c>
      <c r="CI46" s="10">
        <v>-9.3072645366191864E-2</v>
      </c>
      <c r="CJ46" s="10">
        <v>0.33693179488182068</v>
      </c>
      <c r="CK46" s="10">
        <v>-9.0909093618392944E-2</v>
      </c>
      <c r="CL46" s="10">
        <v>0.65046894550323486</v>
      </c>
      <c r="CM46" s="11">
        <v>-0.30353793501853943</v>
      </c>
      <c r="CN46" s="11">
        <v>-0.49737215042114258</v>
      </c>
      <c r="CO46" s="11">
        <v>0.72715330123901367</v>
      </c>
      <c r="CP46" s="11">
        <v>0.33800110220909119</v>
      </c>
      <c r="CQ46" s="11">
        <v>0.24492530524730682</v>
      </c>
      <c r="CR46">
        <v>68.762589438030403</v>
      </c>
      <c r="CS46">
        <v>2.957863234820084</v>
      </c>
      <c r="CT46">
        <v>0.39370078740157483</v>
      </c>
      <c r="CU46" s="10">
        <v>0.23247386366128922</v>
      </c>
      <c r="CV46" s="11">
        <v>0.10183392465114594</v>
      </c>
      <c r="CW46">
        <v>0.06</v>
      </c>
      <c r="CX46">
        <v>122.77242034897353</v>
      </c>
      <c r="CY46">
        <v>24557274.275689617</v>
      </c>
      <c r="CZ46">
        <v>0.23247386366128922</v>
      </c>
      <c r="DA46">
        <v>35.633111705617658</v>
      </c>
      <c r="DB46">
        <v>84611078.171000257</v>
      </c>
      <c r="DC46">
        <v>0.22085017047822475</v>
      </c>
      <c r="DD46">
        <v>14.851444242720332</v>
      </c>
      <c r="DE46">
        <v>203007596.48192653</v>
      </c>
      <c r="DF46">
        <v>0.20457700002193452</v>
      </c>
      <c r="DG46">
        <v>7.3109494913834565</v>
      </c>
      <c r="DH46">
        <v>412389116.29103291</v>
      </c>
      <c r="DI46">
        <v>0.18597909092903139</v>
      </c>
      <c r="DJ46">
        <v>2.3529571961442075</v>
      </c>
      <c r="DK46">
        <v>1281347576.122766</v>
      </c>
      <c r="DL46">
        <v>0.16273170456290245</v>
      </c>
      <c r="DM46">
        <v>21120700</v>
      </c>
      <c r="DN46">
        <v>0.23247386366128922</v>
      </c>
      <c r="DO46">
        <v>3014956000</v>
      </c>
      <c r="DP46">
        <v>270576500</v>
      </c>
      <c r="DQ46">
        <v>1767</v>
      </c>
      <c r="DR46">
        <v>-0.24344278505068592</v>
      </c>
      <c r="DS46">
        <v>-4.4044985845255926</v>
      </c>
      <c r="DT46" s="12">
        <v>5.9999999999999977E-2</v>
      </c>
      <c r="DU46">
        <v>-0.7316666666666668</v>
      </c>
      <c r="DV46">
        <v>-0.67166666666666686</v>
      </c>
      <c r="DW46">
        <v>-5.5821271239773438</v>
      </c>
      <c r="DX46">
        <v>0.48753424657534261</v>
      </c>
      <c r="DY46">
        <v>-5.2081303826823104</v>
      </c>
      <c r="DZ46">
        <v>3154</v>
      </c>
      <c r="EA46">
        <v>-5.0796679116490413</v>
      </c>
      <c r="EB46">
        <v>5</v>
      </c>
      <c r="EC46">
        <v>0.59698616680122873</v>
      </c>
      <c r="ED46">
        <v>1.6697314243865784</v>
      </c>
      <c r="EE46" s="13">
        <v>0.1399</v>
      </c>
      <c r="EF46">
        <v>2.0403000000000002</v>
      </c>
      <c r="EG46">
        <v>13.357534246575343</v>
      </c>
      <c r="EH46" t="s">
        <v>1552</v>
      </c>
      <c r="EI46">
        <v>0</v>
      </c>
      <c r="EJ46">
        <v>0</v>
      </c>
      <c r="EK46" s="14">
        <v>45470</v>
      </c>
      <c r="EL46">
        <v>-1.3</v>
      </c>
      <c r="EM46">
        <v>4.38</v>
      </c>
      <c r="EN46">
        <v>0.84</v>
      </c>
      <c r="EO46">
        <v>3.74</v>
      </c>
      <c r="EP46">
        <v>20.04</v>
      </c>
    </row>
    <row r="47" spans="1:146" ht="96" x14ac:dyDescent="0.25">
      <c r="A47" s="9"/>
      <c r="B47" s="9"/>
      <c r="C47" s="9" t="str">
        <f>""&amp;CHAR(10)&amp;Basic_Fundamental_Information_Constructure(F47)&amp;CHAR(10)&amp;Basic_Fundamental_Information_Concatenate("")</f>
        <v xml:space="preserve">
市值43.050583亿, 利润2.01亿; PE21.02; 平均PE29.58; 平均PEG1.44, PB3.18; ROIC16.38%; ROE16.4733%; 股利率1.4963%; 毛利46.0867%; 净利17.1333%; 上一年度营收增10.11%, 利润增17.54%; 当季营收增5.22%, 利润增8.18%; 过往5年营收增20.52%, 利润增16.42%
Income profile:
</v>
      </c>
      <c r="D47" t="s">
        <v>740</v>
      </c>
      <c r="E47" t="s">
        <v>741</v>
      </c>
      <c r="F47">
        <v>20.05</v>
      </c>
      <c r="G47">
        <v>1.26</v>
      </c>
      <c r="H47" t="s">
        <v>3373</v>
      </c>
      <c r="I47">
        <v>4305058300</v>
      </c>
      <c r="J47">
        <v>21.02</v>
      </c>
      <c r="K47">
        <v>3.18</v>
      </c>
      <c r="L47" t="s">
        <v>2891</v>
      </c>
      <c r="M47" t="s">
        <v>413</v>
      </c>
      <c r="N47" t="s">
        <v>1887</v>
      </c>
      <c r="O47" t="s">
        <v>373</v>
      </c>
      <c r="P47">
        <v>5.07</v>
      </c>
      <c r="Q47" t="s">
        <v>2134</v>
      </c>
      <c r="R47">
        <v>45239823</v>
      </c>
      <c r="S47" s="6">
        <v>8.1799999999999998E-2</v>
      </c>
      <c r="T47" t="s">
        <v>365</v>
      </c>
      <c r="U47">
        <v>174623120</v>
      </c>
      <c r="V47">
        <v>214716130</v>
      </c>
      <c r="W47">
        <v>1.3</v>
      </c>
      <c r="X47">
        <v>0.14000000000000001</v>
      </c>
      <c r="Y47">
        <v>18.68</v>
      </c>
      <c r="Z47" t="s">
        <v>191</v>
      </c>
      <c r="AA47" t="s">
        <v>82</v>
      </c>
      <c r="AB47" t="s">
        <v>3374</v>
      </c>
      <c r="AC47" t="s">
        <v>3375</v>
      </c>
      <c r="AD47" t="s">
        <v>2</v>
      </c>
      <c r="AE47">
        <v>2375</v>
      </c>
      <c r="AF47" t="s">
        <v>2378</v>
      </c>
      <c r="AG47" t="s">
        <v>3376</v>
      </c>
      <c r="AH47" t="s">
        <v>2379</v>
      </c>
      <c r="AI47" t="s">
        <v>35</v>
      </c>
      <c r="AJ47" t="s">
        <v>2380</v>
      </c>
      <c r="AK47" t="s">
        <v>3377</v>
      </c>
      <c r="AL47" t="s">
        <v>2381</v>
      </c>
      <c r="AM47" t="s">
        <v>2</v>
      </c>
      <c r="AN47" t="s">
        <v>3378</v>
      </c>
      <c r="AO47" t="s">
        <v>2</v>
      </c>
      <c r="AP47" t="s">
        <v>206</v>
      </c>
      <c r="AQ47" t="s">
        <v>3379</v>
      </c>
      <c r="AR47" t="s">
        <v>2</v>
      </c>
      <c r="AS47" t="s">
        <v>35</v>
      </c>
      <c r="AT47" t="s">
        <v>2</v>
      </c>
      <c r="AU47" t="s">
        <v>3380</v>
      </c>
      <c r="AV47" t="s">
        <v>3381</v>
      </c>
      <c r="AW47" t="s">
        <v>2</v>
      </c>
      <c r="AX47" t="s">
        <v>1451</v>
      </c>
      <c r="AY47" t="s">
        <v>1288</v>
      </c>
      <c r="AZ47" t="s">
        <v>582</v>
      </c>
      <c r="BA47" t="s">
        <v>359</v>
      </c>
      <c r="BB47" t="s">
        <v>164</v>
      </c>
      <c r="BC47" t="s">
        <v>55</v>
      </c>
      <c r="BD47" t="s">
        <v>207</v>
      </c>
      <c r="BE47" t="s">
        <v>59</v>
      </c>
      <c r="BF47" t="s">
        <v>358</v>
      </c>
      <c r="BG47" t="s">
        <v>742</v>
      </c>
      <c r="BH47" t="s">
        <v>2134</v>
      </c>
      <c r="BI47" t="s">
        <v>163</v>
      </c>
      <c r="BJ47" t="s">
        <v>1451</v>
      </c>
      <c r="BK47" t="s">
        <v>365</v>
      </c>
      <c r="BL47" t="s">
        <v>2382</v>
      </c>
      <c r="BM47" t="s">
        <v>55</v>
      </c>
      <c r="BN47">
        <v>14.19</v>
      </c>
      <c r="BO47">
        <v>16.02</v>
      </c>
      <c r="BP47">
        <v>18.93</v>
      </c>
      <c r="BQ47">
        <v>14.21</v>
      </c>
      <c r="BR47">
        <v>16.11</v>
      </c>
      <c r="BS47">
        <v>19.100000000000001</v>
      </c>
      <c r="BT47" t="s">
        <v>1533</v>
      </c>
      <c r="BU47" t="s">
        <v>1444</v>
      </c>
      <c r="BV47">
        <v>46.39</v>
      </c>
      <c r="BW47">
        <v>46.15</v>
      </c>
      <c r="BX47">
        <v>45.72</v>
      </c>
      <c r="BY47">
        <v>17.93</v>
      </c>
      <c r="BZ47">
        <v>16.75</v>
      </c>
      <c r="CA47">
        <v>16.72</v>
      </c>
      <c r="CB47">
        <v>-7.35</v>
      </c>
      <c r="CC47">
        <v>-14.79</v>
      </c>
      <c r="CD47" t="s">
        <v>3382</v>
      </c>
      <c r="CE47" t="s">
        <v>183</v>
      </c>
      <c r="CF47" s="10">
        <v>5.2173913043478397E-2</v>
      </c>
      <c r="CG47" s="11">
        <v>8.183173194190034E-2</v>
      </c>
      <c r="CH47" s="10">
        <v>0.10107948631048203</v>
      </c>
      <c r="CI47" s="10">
        <v>1.9665684085339308E-3</v>
      </c>
      <c r="CJ47" s="10">
        <v>0.41446453332901001</v>
      </c>
      <c r="CK47" s="10">
        <v>0.19833333790302277</v>
      </c>
      <c r="CL47" s="10">
        <v>0.31004366278648376</v>
      </c>
      <c r="CM47" s="11">
        <v>0.17543859779834747</v>
      </c>
      <c r="CN47" s="11">
        <v>5.8823530562222004E-3</v>
      </c>
      <c r="CO47" s="11">
        <v>0.40495866537094116</v>
      </c>
      <c r="CP47" s="11">
        <v>7.0796459913253784E-2</v>
      </c>
      <c r="CQ47" s="11">
        <v>0.16375111043453217</v>
      </c>
      <c r="CR47">
        <v>29.584647482452748</v>
      </c>
      <c r="CS47">
        <v>1.4419049322382342</v>
      </c>
      <c r="CT47">
        <v>1.4962593516209475</v>
      </c>
      <c r="CU47" s="10">
        <v>0.2051775177475065</v>
      </c>
      <c r="CV47" s="11">
        <v>0.16416543731465935</v>
      </c>
      <c r="CW47">
        <v>0.06</v>
      </c>
      <c r="CX47">
        <v>14.781752520774763</v>
      </c>
      <c r="CY47">
        <v>228528944.40306488</v>
      </c>
      <c r="CZ47">
        <v>0.2051775177475065</v>
      </c>
      <c r="DA47">
        <v>4.3874216787906972</v>
      </c>
      <c r="DB47">
        <v>769941561.88130343</v>
      </c>
      <c r="DC47">
        <v>0.19491864186013116</v>
      </c>
      <c r="DD47">
        <v>1.889141420080285</v>
      </c>
      <c r="DE47">
        <v>1788144743.4763453</v>
      </c>
      <c r="DF47">
        <v>0.18055621561780572</v>
      </c>
      <c r="DG47">
        <v>0.96828134196242266</v>
      </c>
      <c r="DH47">
        <v>3488715679.6326008</v>
      </c>
      <c r="DI47">
        <v>0.16414201419800523</v>
      </c>
      <c r="DJ47">
        <v>0.3446043546092058</v>
      </c>
      <c r="DK47">
        <v>9802715069.6654549</v>
      </c>
      <c r="DL47">
        <v>0.14362426242325455</v>
      </c>
      <c r="DM47">
        <v>200999999.99999997</v>
      </c>
      <c r="DN47">
        <v>0.2051775177475065</v>
      </c>
      <c r="DO47">
        <v>3378058300</v>
      </c>
      <c r="DP47">
        <v>951865200</v>
      </c>
      <c r="DQ47">
        <v>1770</v>
      </c>
      <c r="DR47">
        <v>-0.1530036047040281</v>
      </c>
      <c r="DS47">
        <v>-8.2333705372759011E-2</v>
      </c>
      <c r="DT47" s="12">
        <v>-9.000000000000008E-2</v>
      </c>
      <c r="DU47">
        <v>0.39999999999999997</v>
      </c>
      <c r="DV47">
        <v>0.30999999999999989</v>
      </c>
      <c r="DW47">
        <v>-9.4969574036511162</v>
      </c>
      <c r="DX47">
        <v>0.26985774647887212</v>
      </c>
      <c r="DY47">
        <v>-9.0396858983515695</v>
      </c>
      <c r="DZ47">
        <v>1033</v>
      </c>
      <c r="EA47">
        <v>-9.031663289154471</v>
      </c>
      <c r="EB47">
        <v>9</v>
      </c>
      <c r="EC47">
        <v>5.2812986150597999E-2</v>
      </c>
      <c r="ED47">
        <v>0.66133829815207645</v>
      </c>
      <c r="EE47" s="13">
        <v>-2.10581</v>
      </c>
      <c r="EF47">
        <v>-2.1249099999999999</v>
      </c>
      <c r="EG47">
        <v>19.079857746478872</v>
      </c>
      <c r="EH47" t="s">
        <v>1555</v>
      </c>
      <c r="EI47">
        <v>0</v>
      </c>
      <c r="EJ47">
        <v>1</v>
      </c>
      <c r="EK47" s="14">
        <v>45470</v>
      </c>
      <c r="EL47">
        <v>-2.36</v>
      </c>
      <c r="EM47">
        <v>-4.04</v>
      </c>
      <c r="EN47">
        <v>-1.02</v>
      </c>
      <c r="EO47">
        <v>2.2000000000000002</v>
      </c>
      <c r="EP47">
        <v>-1.91</v>
      </c>
    </row>
    <row r="48" spans="1:146" ht="96" x14ac:dyDescent="0.25">
      <c r="A48" s="9"/>
      <c r="B48" s="9"/>
      <c r="C48" s="9" t="str">
        <f>""&amp;CHAR(10)&amp;Basic_Fundamental_Information_Constructure(F48)&amp;CHAR(10)&amp;Basic_Fundamental_Information_Concatenate("")</f>
        <v xml:space="preserve">
市值80.959061亿, 利润6.07亿; PE13.51; 平均PE23.48; 平均PEG1.51, PB2.15; ROIC13.1567%; ROE14.3133%; 股利率3.1726%; 毛利40.9533%; 净利31.13%; 上一年度营收增17.6%, 利润增28.6%; 当季营收增24.14%, 利润增-6.63%; 过往5年营收增15.53%, 利润增36.96%
Income profile:
</v>
      </c>
      <c r="D48" t="s">
        <v>745</v>
      </c>
      <c r="E48" t="s">
        <v>746</v>
      </c>
      <c r="F48">
        <v>15.76</v>
      </c>
      <c r="G48">
        <v>1.03</v>
      </c>
      <c r="H48" t="s">
        <v>3383</v>
      </c>
      <c r="I48">
        <v>8095906100</v>
      </c>
      <c r="J48">
        <v>13.51</v>
      </c>
      <c r="K48">
        <v>2.15</v>
      </c>
      <c r="L48" t="s">
        <v>2891</v>
      </c>
      <c r="M48" t="s">
        <v>517</v>
      </c>
      <c r="N48" t="s">
        <v>3384</v>
      </c>
      <c r="O48" t="s">
        <v>1461</v>
      </c>
      <c r="P48">
        <v>23.88</v>
      </c>
      <c r="Q48" t="s">
        <v>1438</v>
      </c>
      <c r="R48">
        <v>112047493</v>
      </c>
      <c r="S48" s="6">
        <v>-6.7900000000000002E-2</v>
      </c>
      <c r="T48" t="s">
        <v>194</v>
      </c>
      <c r="U48">
        <v>499746760</v>
      </c>
      <c r="V48">
        <v>513699630</v>
      </c>
      <c r="W48">
        <v>1.19</v>
      </c>
      <c r="X48">
        <v>0.11</v>
      </c>
      <c r="Y48">
        <v>23.31</v>
      </c>
      <c r="Z48" t="s">
        <v>416</v>
      </c>
      <c r="AA48" t="s">
        <v>390</v>
      </c>
      <c r="AB48" t="s">
        <v>3385</v>
      </c>
      <c r="AC48" t="s">
        <v>3386</v>
      </c>
      <c r="AD48" t="s">
        <v>2</v>
      </c>
      <c r="AE48">
        <v>-13024868</v>
      </c>
      <c r="AF48" t="s">
        <v>2384</v>
      </c>
      <c r="AG48" t="s">
        <v>3387</v>
      </c>
      <c r="AH48" t="s">
        <v>2385</v>
      </c>
      <c r="AI48" t="s">
        <v>2452</v>
      </c>
      <c r="AJ48" t="s">
        <v>2386</v>
      </c>
      <c r="AK48" t="s">
        <v>3388</v>
      </c>
      <c r="AL48" t="s">
        <v>2387</v>
      </c>
      <c r="AM48" t="s">
        <v>2</v>
      </c>
      <c r="AN48" t="s">
        <v>3389</v>
      </c>
      <c r="AO48" t="s">
        <v>2</v>
      </c>
      <c r="AP48" t="s">
        <v>3390</v>
      </c>
      <c r="AQ48" t="s">
        <v>518</v>
      </c>
      <c r="AR48" t="s">
        <v>3391</v>
      </c>
      <c r="AS48" t="s">
        <v>616</v>
      </c>
      <c r="AT48" t="s">
        <v>2</v>
      </c>
      <c r="AU48" t="s">
        <v>3392</v>
      </c>
      <c r="AV48" t="s">
        <v>3393</v>
      </c>
      <c r="AW48" t="s">
        <v>3394</v>
      </c>
      <c r="AX48" t="s">
        <v>648</v>
      </c>
      <c r="AY48" t="s">
        <v>640</v>
      </c>
      <c r="AZ48" t="s">
        <v>284</v>
      </c>
      <c r="BA48" t="s">
        <v>538</v>
      </c>
      <c r="BB48" t="s">
        <v>747</v>
      </c>
      <c r="BC48" t="s">
        <v>350</v>
      </c>
      <c r="BD48" t="s">
        <v>262</v>
      </c>
      <c r="BE48" t="s">
        <v>301</v>
      </c>
      <c r="BF48" t="s">
        <v>193</v>
      </c>
      <c r="BG48" t="s">
        <v>160</v>
      </c>
      <c r="BH48" t="s">
        <v>1438</v>
      </c>
      <c r="BI48" t="s">
        <v>433</v>
      </c>
      <c r="BJ48" t="s">
        <v>648</v>
      </c>
      <c r="BK48" t="s">
        <v>194</v>
      </c>
      <c r="BL48" t="s">
        <v>134</v>
      </c>
      <c r="BM48" t="s">
        <v>350</v>
      </c>
      <c r="BN48">
        <v>12.53</v>
      </c>
      <c r="BO48">
        <v>15.54</v>
      </c>
      <c r="BP48">
        <v>11.4</v>
      </c>
      <c r="BQ48">
        <v>13.6</v>
      </c>
      <c r="BR48">
        <v>16.649999999999999</v>
      </c>
      <c r="BS48">
        <v>12.69</v>
      </c>
      <c r="BT48" t="s">
        <v>1539</v>
      </c>
      <c r="BU48" t="s">
        <v>1444</v>
      </c>
      <c r="BV48">
        <v>44.83</v>
      </c>
      <c r="BW48">
        <v>39.07</v>
      </c>
      <c r="BX48">
        <v>38.96</v>
      </c>
      <c r="BY48">
        <v>34.380000000000003</v>
      </c>
      <c r="BZ48">
        <v>32.07</v>
      </c>
      <c r="CA48">
        <v>26.94</v>
      </c>
      <c r="CB48">
        <v>-7.29</v>
      </c>
      <c r="CC48">
        <v>7.07</v>
      </c>
      <c r="CD48" t="s">
        <v>3395</v>
      </c>
      <c r="CE48" t="s">
        <v>468</v>
      </c>
      <c r="CF48" s="10">
        <v>0.2413793103448276</v>
      </c>
      <c r="CG48" s="11">
        <v>-6.6270891666666665E-2</v>
      </c>
      <c r="CH48" s="10">
        <v>0.17596285045146942</v>
      </c>
      <c r="CI48" s="10">
        <v>0.24462810158729553</v>
      </c>
      <c r="CJ48" s="10">
        <v>0.10300827026367187</v>
      </c>
      <c r="CK48" s="10">
        <v>0.22982054948806763</v>
      </c>
      <c r="CL48" s="10">
        <v>2.2935779765248299E-2</v>
      </c>
      <c r="CM48" s="11">
        <v>0.28601694107055664</v>
      </c>
      <c r="CN48" s="11">
        <v>0.48427674174308777</v>
      </c>
      <c r="CO48" s="11">
        <v>8.5324235260486603E-2</v>
      </c>
      <c r="CP48" s="11">
        <v>0.20576131343841553</v>
      </c>
      <c r="CQ48" s="11">
        <v>0.78676468133926392</v>
      </c>
      <c r="CR48">
        <v>23.477736394393428</v>
      </c>
      <c r="CS48">
        <v>1.5120479493800216</v>
      </c>
      <c r="CT48">
        <v>3.1725888324873095</v>
      </c>
      <c r="CU48" s="10">
        <v>0.15527111031115054</v>
      </c>
      <c r="CV48" s="11">
        <v>0.36962878257036208</v>
      </c>
      <c r="CW48">
        <v>0.06</v>
      </c>
      <c r="CX48">
        <v>7.6590713806347983</v>
      </c>
      <c r="CY48">
        <v>661556192.41402674</v>
      </c>
      <c r="CZ48">
        <v>0.15527111031115054</v>
      </c>
      <c r="DA48">
        <v>2.3693167402147859</v>
      </c>
      <c r="DB48">
        <v>2138551597.5971491</v>
      </c>
      <c r="DC48">
        <v>0.14750755479559299</v>
      </c>
      <c r="DD48">
        <v>1.081965577809233</v>
      </c>
      <c r="DE48">
        <v>4683056655.3323126</v>
      </c>
      <c r="DF48">
        <v>0.13663857707381247</v>
      </c>
      <c r="DG48">
        <v>0.59549917495735916</v>
      </c>
      <c r="DH48">
        <v>8508670226.7267065</v>
      </c>
      <c r="DI48">
        <v>0.12421688824892044</v>
      </c>
      <c r="DJ48">
        <v>0.25192126174095425</v>
      </c>
      <c r="DK48">
        <v>20113054630.57819</v>
      </c>
      <c r="DL48">
        <v>0.10868977721780537</v>
      </c>
      <c r="DM48">
        <v>607000000</v>
      </c>
      <c r="DN48">
        <v>0.15527111031115054</v>
      </c>
      <c r="DO48">
        <v>5066906100</v>
      </c>
      <c r="DP48">
        <v>2632381700</v>
      </c>
      <c r="DQ48">
        <v>1837</v>
      </c>
      <c r="DR48">
        <v>8.6108200033677057E-2</v>
      </c>
      <c r="DS48">
        <v>-0.43589967423702874</v>
      </c>
      <c r="DT48" s="12">
        <v>-6.6666666666666714E-3</v>
      </c>
      <c r="DU48">
        <v>0.6333333333333333</v>
      </c>
      <c r="DV48">
        <v>0.62666666666666659</v>
      </c>
      <c r="DW48">
        <v>-5.9698216735253773</v>
      </c>
      <c r="DX48">
        <v>0.39632040229885135</v>
      </c>
      <c r="DY48">
        <v>-5.1419046974283775</v>
      </c>
      <c r="DZ48">
        <v>548</v>
      </c>
      <c r="EA48">
        <v>-5.1266867377041603</v>
      </c>
      <c r="EB48">
        <v>5</v>
      </c>
      <c r="EC48">
        <v>9.9123100400130712E-2</v>
      </c>
      <c r="ED48">
        <v>0.67743868143335051</v>
      </c>
      <c r="EE48" s="13">
        <v>9.8099999999999993E-3</v>
      </c>
      <c r="EF48">
        <v>3.7510000000000002E-2</v>
      </c>
      <c r="EG48">
        <v>25.146320402298851</v>
      </c>
      <c r="EH48">
        <v>-1</v>
      </c>
      <c r="EI48">
        <v>0</v>
      </c>
      <c r="EJ48">
        <v>1</v>
      </c>
      <c r="EK48" s="14">
        <v>45470</v>
      </c>
      <c r="EL48">
        <v>3.44</v>
      </c>
      <c r="EM48">
        <v>-2.42</v>
      </c>
      <c r="EN48">
        <v>-1.55</v>
      </c>
      <c r="EO48">
        <v>2.08</v>
      </c>
      <c r="EP48">
        <v>-2.77</v>
      </c>
    </row>
    <row r="49" spans="1:146" ht="96" x14ac:dyDescent="0.25">
      <c r="A49" s="9"/>
      <c r="B49" s="9"/>
      <c r="C49" s="9" t="str">
        <f>""&amp;CHAR(10)&amp;Basic_Fundamental_Information_Constructure(F49)&amp;CHAR(10)&amp;Basic_Fundamental_Information_Concatenate("")</f>
        <v xml:space="preserve">
市值24.501438亿, 利润9630.73万; PE23.08; 平均PE34.93; 平均PEG7.93, PB1.38; ROIC4.6833%; ROE4.9667%; 股利率1.6494%; 毛利26.7967%; 净利4.2633%; 上一年度营收增4.55%, 利润增8.22%; 当季营收增17.23%, 利润增82.22%; 过往5年营收增4.41%, 利润增80.9%
Income profile:
</v>
      </c>
      <c r="D49" t="s">
        <v>748</v>
      </c>
      <c r="E49" t="s">
        <v>749</v>
      </c>
      <c r="F49">
        <v>7.7</v>
      </c>
      <c r="G49">
        <v>1.05</v>
      </c>
      <c r="H49" t="s">
        <v>3396</v>
      </c>
      <c r="I49">
        <v>2450143800</v>
      </c>
      <c r="J49">
        <v>23.08</v>
      </c>
      <c r="K49">
        <v>1.38</v>
      </c>
      <c r="L49" t="s">
        <v>2891</v>
      </c>
      <c r="M49" t="s">
        <v>1910</v>
      </c>
      <c r="N49" t="s">
        <v>1192</v>
      </c>
      <c r="O49" t="s">
        <v>142</v>
      </c>
      <c r="P49">
        <v>17.05</v>
      </c>
      <c r="Q49" t="s">
        <v>1869</v>
      </c>
      <c r="R49">
        <v>21783566</v>
      </c>
      <c r="S49" s="6">
        <v>0.82220000000000004</v>
      </c>
      <c r="T49" t="s">
        <v>2390</v>
      </c>
      <c r="U49">
        <v>244260070</v>
      </c>
      <c r="V49">
        <v>318200490</v>
      </c>
      <c r="W49">
        <v>1.69</v>
      </c>
      <c r="X49">
        <v>0.12</v>
      </c>
      <c r="Y49">
        <v>5.36</v>
      </c>
      <c r="Z49" t="s">
        <v>143</v>
      </c>
      <c r="AA49" t="s">
        <v>424</v>
      </c>
      <c r="AB49" t="s">
        <v>3397</v>
      </c>
      <c r="AC49" t="s">
        <v>3398</v>
      </c>
      <c r="AD49" t="s">
        <v>2</v>
      </c>
      <c r="AE49">
        <v>-1262160</v>
      </c>
      <c r="AF49" t="s">
        <v>2391</v>
      </c>
      <c r="AG49" t="s">
        <v>3399</v>
      </c>
      <c r="AH49" t="s">
        <v>2392</v>
      </c>
      <c r="AI49" t="s">
        <v>627</v>
      </c>
      <c r="AJ49" t="s">
        <v>2393</v>
      </c>
      <c r="AK49" t="s">
        <v>148</v>
      </c>
      <c r="AL49" t="s">
        <v>2394</v>
      </c>
      <c r="AM49" t="s">
        <v>2</v>
      </c>
      <c r="AN49" t="s">
        <v>3400</v>
      </c>
      <c r="AO49" t="s">
        <v>3401</v>
      </c>
      <c r="AP49" t="s">
        <v>2375</v>
      </c>
      <c r="AQ49" t="s">
        <v>230</v>
      </c>
      <c r="AR49" t="s">
        <v>2</v>
      </c>
      <c r="AS49" t="s">
        <v>3402</v>
      </c>
      <c r="AT49" t="s">
        <v>3403</v>
      </c>
      <c r="AU49" t="s">
        <v>3404</v>
      </c>
      <c r="AV49" t="s">
        <v>3405</v>
      </c>
      <c r="AW49" t="s">
        <v>3406</v>
      </c>
      <c r="AX49" t="s">
        <v>1632</v>
      </c>
      <c r="AY49" t="s">
        <v>1258</v>
      </c>
      <c r="AZ49" t="s">
        <v>659</v>
      </c>
      <c r="BA49" t="s">
        <v>751</v>
      </c>
      <c r="BB49" t="s">
        <v>510</v>
      </c>
      <c r="BC49" t="s">
        <v>2396</v>
      </c>
      <c r="BD49" t="s">
        <v>1332</v>
      </c>
      <c r="BE49" t="s">
        <v>750</v>
      </c>
      <c r="BF49" t="s">
        <v>752</v>
      </c>
      <c r="BG49" t="s">
        <v>753</v>
      </c>
      <c r="BH49" t="s">
        <v>1869</v>
      </c>
      <c r="BI49" t="s">
        <v>202</v>
      </c>
      <c r="BJ49" t="s">
        <v>1632</v>
      </c>
      <c r="BK49" t="s">
        <v>2390</v>
      </c>
      <c r="BL49" t="s">
        <v>2397</v>
      </c>
      <c r="BM49" t="s">
        <v>2396</v>
      </c>
      <c r="BN49">
        <v>3.77</v>
      </c>
      <c r="BO49">
        <v>5.7</v>
      </c>
      <c r="BP49">
        <v>4.58</v>
      </c>
      <c r="BQ49">
        <v>4.3499999999999996</v>
      </c>
      <c r="BR49">
        <v>5.88</v>
      </c>
      <c r="BS49">
        <v>4.67</v>
      </c>
      <c r="BT49" t="s">
        <v>2398</v>
      </c>
      <c r="BU49" t="s">
        <v>1444</v>
      </c>
      <c r="BV49">
        <v>26.73</v>
      </c>
      <c r="BW49">
        <v>28.45</v>
      </c>
      <c r="BX49">
        <v>25.21</v>
      </c>
      <c r="BY49">
        <v>4.62</v>
      </c>
      <c r="BZ49">
        <v>4.66</v>
      </c>
      <c r="CA49">
        <v>3.51</v>
      </c>
      <c r="CB49">
        <v>1.32</v>
      </c>
      <c r="CC49">
        <v>-1.7</v>
      </c>
      <c r="CD49" t="s">
        <v>3407</v>
      </c>
      <c r="CE49" t="s">
        <v>548</v>
      </c>
      <c r="CF49" s="10">
        <v>0.1723076923076923</v>
      </c>
      <c r="CG49" s="11">
        <v>0.82220636580367223</v>
      </c>
      <c r="CH49" s="10">
        <v>4.5454580336809158E-2</v>
      </c>
      <c r="CI49" s="10">
        <v>7.3684211820363998E-3</v>
      </c>
      <c r="CJ49" s="10">
        <v>-2.4640657007694244E-2</v>
      </c>
      <c r="CK49" s="10">
        <v>7.6838068664073944E-2</v>
      </c>
      <c r="CL49" s="10">
        <v>0.11528972536325455</v>
      </c>
      <c r="CM49" s="11">
        <v>8.218596875667572E-2</v>
      </c>
      <c r="CN49" s="11">
        <v>0.3206731379032135</v>
      </c>
      <c r="CO49" s="11">
        <v>-0.20878374576568604</v>
      </c>
      <c r="CP49" s="11">
        <v>0.24815846979618073</v>
      </c>
      <c r="CQ49" s="11">
        <v>3.6029627323150635</v>
      </c>
      <c r="CR49">
        <v>34.926488333455687</v>
      </c>
      <c r="CS49">
        <v>7.9266638760148025</v>
      </c>
      <c r="CT49">
        <v>1.6493506493506493</v>
      </c>
      <c r="CU49" s="10">
        <v>4.4062027707695961E-2</v>
      </c>
      <c r="CV49" s="11">
        <v>0.80903931260108952</v>
      </c>
      <c r="CW49">
        <v>0.06</v>
      </c>
      <c r="CX49">
        <v>20.379077356960323</v>
      </c>
      <c r="CY49">
        <v>94859240.491559789</v>
      </c>
      <c r="CZ49">
        <v>4.4062027707695961E-2</v>
      </c>
      <c r="DA49">
        <v>6.9252340870911322</v>
      </c>
      <c r="DB49">
        <v>279144903.36195922</v>
      </c>
      <c r="DC49">
        <v>4.1858926322311162E-2</v>
      </c>
      <c r="DD49">
        <v>3.5887279286270077</v>
      </c>
      <c r="DE49">
        <v>538671038.44219005</v>
      </c>
      <c r="DF49">
        <v>3.8774584382772447E-2</v>
      </c>
      <c r="DG49">
        <v>2.2805507243173171</v>
      </c>
      <c r="DH49">
        <v>847665337.75682044</v>
      </c>
      <c r="DI49">
        <v>3.524962216615677E-2</v>
      </c>
      <c r="DJ49">
        <v>1.3278861713935959</v>
      </c>
      <c r="DK49">
        <v>1455805355.6436963</v>
      </c>
      <c r="DL49">
        <v>3.0843419395387171E-2</v>
      </c>
      <c r="DM49">
        <v>96307300</v>
      </c>
      <c r="DN49">
        <v>4.4062027707695961E-2</v>
      </c>
      <c r="DO49">
        <v>1933143800</v>
      </c>
      <c r="DP49">
        <v>1415452700</v>
      </c>
      <c r="DQ49">
        <v>1879</v>
      </c>
      <c r="DR49">
        <v>0.12824566459999634</v>
      </c>
      <c r="DS49">
        <v>1.3167053202582713E-2</v>
      </c>
      <c r="DT49" s="12">
        <v>-0.44</v>
      </c>
      <c r="DU49">
        <v>1.0866666666666667</v>
      </c>
      <c r="DV49">
        <v>0.64666666666666672</v>
      </c>
      <c r="DW49">
        <v>-1.7000000000000001E-2</v>
      </c>
      <c r="DX49">
        <v>0.35832849162011005</v>
      </c>
      <c r="DY49">
        <v>-3.3715843575418997E-3</v>
      </c>
      <c r="DZ49">
        <v>520</v>
      </c>
      <c r="EA49">
        <v>-3.0284877105904735E-3</v>
      </c>
      <c r="EB49">
        <v>0</v>
      </c>
      <c r="EC49">
        <v>0.11156739576359546</v>
      </c>
      <c r="ED49">
        <v>0.56253841720985409</v>
      </c>
      <c r="EE49" s="13">
        <v>2.0110100000000002</v>
      </c>
      <c r="EF49">
        <v>2.0178099999999999</v>
      </c>
      <c r="EG49">
        <v>16.19832849162011</v>
      </c>
      <c r="EH49" t="s">
        <v>1554</v>
      </c>
      <c r="EI49">
        <v>0</v>
      </c>
      <c r="EJ49">
        <v>1</v>
      </c>
      <c r="EK49" s="14">
        <v>45470</v>
      </c>
      <c r="EL49">
        <v>0</v>
      </c>
      <c r="EM49">
        <v>-4.99</v>
      </c>
      <c r="EN49">
        <v>1.28</v>
      </c>
      <c r="EO49">
        <v>2.94</v>
      </c>
      <c r="EP49">
        <v>-0.68</v>
      </c>
    </row>
    <row r="50" spans="1:146" ht="120" x14ac:dyDescent="0.25">
      <c r="A50" s="9"/>
      <c r="B50" s="9" t="s">
        <v>1226</v>
      </c>
      <c r="C50" s="9" t="str">
        <f>""&amp;CHAR(10)&amp;Basic_Fundamental_Information_Constructure(F50)&amp;CHAR(10)&amp;Basic_Fundamental_Information_Concatenate("高低压成套设备 8.01亿 69.65%（毛利23.36%）
LED照明设备及安装 2.60亿 22.63%（毛利38.55%）
智慧社区 8887.30万 7.72%（毛利21.92%）")</f>
        <v xml:space="preserve">
市值26.517352亿, 利润-16.96亿; PE; 平均PE-18.78; 平均PEG-3.55, PB1.8; ROIC5.02%; ROE-12.88%; 股利率0%; 毛利20.1067%; 净利-41.04%; 上一年度营收增-6.75%, 利润增-72.88%; 当季营收增-56.3%, 利润增-90.14%; 过往5年营收增-5.29%, 利润增-135.45%
Income profile:
高低压成套设备 8.01亿 69.65%（毛利23.36%）
LED照明设备及安装 2.60亿 22.63%（毛利38.55%）
智慧社区 8887.30万 7.72%（毛利21.92%）</v>
      </c>
      <c r="D50" t="s">
        <v>910</v>
      </c>
      <c r="E50" t="s">
        <v>911</v>
      </c>
      <c r="F50">
        <v>5.33</v>
      </c>
      <c r="G50">
        <v>0.38</v>
      </c>
      <c r="H50" t="s">
        <v>3408</v>
      </c>
      <c r="I50">
        <v>2651735200</v>
      </c>
      <c r="K50">
        <v>1.8</v>
      </c>
      <c r="L50" t="s">
        <v>2891</v>
      </c>
      <c r="M50" t="s">
        <v>1192</v>
      </c>
      <c r="N50" t="s">
        <v>1324</v>
      </c>
      <c r="O50" t="s">
        <v>303</v>
      </c>
      <c r="P50">
        <v>-56.32</v>
      </c>
      <c r="Q50" t="s">
        <v>1883</v>
      </c>
      <c r="R50">
        <v>5115858</v>
      </c>
      <c r="S50" s="6">
        <v>-0.90139999999999998</v>
      </c>
      <c r="T50" t="s">
        <v>2399</v>
      </c>
      <c r="U50">
        <v>324519350</v>
      </c>
      <c r="V50">
        <v>497511290</v>
      </c>
      <c r="W50">
        <v>2.25</v>
      </c>
      <c r="X50">
        <v>0.08</v>
      </c>
      <c r="Y50">
        <v>1.21</v>
      </c>
      <c r="Z50" t="s">
        <v>98</v>
      </c>
      <c r="AA50" t="s">
        <v>354</v>
      </c>
      <c r="AB50" t="s">
        <v>3409</v>
      </c>
      <c r="AC50" t="s">
        <v>3410</v>
      </c>
      <c r="AD50" t="s">
        <v>2</v>
      </c>
      <c r="AE50">
        <v>669921</v>
      </c>
      <c r="AF50" t="s">
        <v>2400</v>
      </c>
      <c r="AG50" t="s">
        <v>3411</v>
      </c>
      <c r="AH50" t="s">
        <v>2401</v>
      </c>
      <c r="AI50" t="s">
        <v>599</v>
      </c>
      <c r="AJ50" t="s">
        <v>2402</v>
      </c>
      <c r="AK50" t="s">
        <v>3412</v>
      </c>
      <c r="AL50" t="s">
        <v>2403</v>
      </c>
      <c r="AM50" t="s">
        <v>2</v>
      </c>
      <c r="AN50">
        <v>0</v>
      </c>
      <c r="AO50" t="s">
        <v>131</v>
      </c>
      <c r="AP50" t="s">
        <v>3413</v>
      </c>
      <c r="AQ50" t="s">
        <v>2976</v>
      </c>
      <c r="AR50" t="s">
        <v>2</v>
      </c>
      <c r="AS50" t="s">
        <v>3414</v>
      </c>
      <c r="AT50" t="s">
        <v>3415</v>
      </c>
      <c r="AU50" t="s">
        <v>3416</v>
      </c>
      <c r="AV50" t="s">
        <v>3417</v>
      </c>
      <c r="AW50" t="s">
        <v>3418</v>
      </c>
      <c r="AX50" t="s">
        <v>1460</v>
      </c>
      <c r="AY50" t="s">
        <v>1333</v>
      </c>
      <c r="AZ50" t="s">
        <v>912</v>
      </c>
      <c r="BA50" t="s">
        <v>1219</v>
      </c>
      <c r="BB50" t="s">
        <v>913</v>
      </c>
      <c r="BC50" t="s">
        <v>1633</v>
      </c>
      <c r="BD50" t="s">
        <v>376</v>
      </c>
      <c r="BE50" t="s">
        <v>559</v>
      </c>
      <c r="BF50" t="s">
        <v>345</v>
      </c>
      <c r="BG50" t="s">
        <v>340</v>
      </c>
      <c r="BH50" t="s">
        <v>1883</v>
      </c>
      <c r="BI50" t="s">
        <v>1544</v>
      </c>
      <c r="BJ50" t="s">
        <v>1460</v>
      </c>
      <c r="BK50" t="s">
        <v>2399</v>
      </c>
      <c r="BL50" t="s">
        <v>2404</v>
      </c>
      <c r="BM50" t="s">
        <v>1633</v>
      </c>
      <c r="BN50" t="s">
        <v>2</v>
      </c>
      <c r="BO50" t="s">
        <v>2</v>
      </c>
      <c r="BP50">
        <v>5.0199999999999996</v>
      </c>
      <c r="BQ50">
        <v>-17.03</v>
      </c>
      <c r="BR50">
        <v>-26.65</v>
      </c>
      <c r="BS50">
        <v>5.04</v>
      </c>
      <c r="BT50" t="s">
        <v>1521</v>
      </c>
      <c r="BU50" t="s">
        <v>1445</v>
      </c>
      <c r="BV50">
        <v>18.07</v>
      </c>
      <c r="BW50">
        <v>19.440000000000001</v>
      </c>
      <c r="BX50">
        <v>22.81</v>
      </c>
      <c r="BY50">
        <v>-85.1</v>
      </c>
      <c r="BZ50">
        <v>-45.73</v>
      </c>
      <c r="CA50">
        <v>7.71</v>
      </c>
      <c r="CB50">
        <v>-4.1399999999999997</v>
      </c>
      <c r="CC50">
        <v>4.72</v>
      </c>
      <c r="CD50" t="s">
        <v>3419</v>
      </c>
      <c r="CE50" t="s">
        <v>3420</v>
      </c>
      <c r="CF50" s="10">
        <v>-0.56301145662847796</v>
      </c>
      <c r="CG50" s="11">
        <v>-0.90140138805104297</v>
      </c>
      <c r="CH50" s="10">
        <v>-6.7536123096942902E-2</v>
      </c>
      <c r="CI50" s="10">
        <v>-0.20774909853935242</v>
      </c>
      <c r="CJ50" s="10">
        <v>-0.35383877158164978</v>
      </c>
      <c r="CK50" s="10">
        <v>6.3926875591278076E-2</v>
      </c>
      <c r="CL50" s="10">
        <v>0.30056089162826538</v>
      </c>
      <c r="CM50" s="11">
        <v>-0.72884809970855713</v>
      </c>
      <c r="CN50" s="11">
        <v>-5.6937799453735352</v>
      </c>
      <c r="CO50" s="11">
        <v>-0.63778162002563477</v>
      </c>
      <c r="CP50" s="11">
        <v>-2.6981450617313385E-2</v>
      </c>
      <c r="CQ50" s="11">
        <v>0.31485587358474731</v>
      </c>
      <c r="CR50">
        <v>-18.784428807556083</v>
      </c>
      <c r="CS50">
        <v>-3.5491038191554201</v>
      </c>
      <c r="CT50">
        <v>0</v>
      </c>
      <c r="CU50" s="10">
        <v>-5.2927245199680326E-2</v>
      </c>
      <c r="CV50" s="11">
        <v>-1.3545070484280586</v>
      </c>
      <c r="CW50">
        <v>0.06</v>
      </c>
      <c r="CX50" t="e">
        <v>#VALUE!</v>
      </c>
      <c r="CY50" t="s">
        <v>1238</v>
      </c>
      <c r="CZ50">
        <v>-5.2927245199680326E-2</v>
      </c>
      <c r="DA50" t="e">
        <v>#VALUE!</v>
      </c>
      <c r="DB50" t="s">
        <v>1238</v>
      </c>
      <c r="DC50">
        <v>-5.0280882939696306E-2</v>
      </c>
      <c r="DD50" t="e">
        <v>#VALUE!</v>
      </c>
      <c r="DE50" t="s">
        <v>1238</v>
      </c>
      <c r="DF50">
        <v>-4.6575975775718689E-2</v>
      </c>
      <c r="DG50" t="e">
        <v>#VALUE!</v>
      </c>
      <c r="DH50" t="s">
        <v>1238</v>
      </c>
      <c r="DI50">
        <v>-4.234179615974426E-2</v>
      </c>
      <c r="DJ50" t="e">
        <v>#VALUE!</v>
      </c>
      <c r="DK50" t="s">
        <v>1238</v>
      </c>
      <c r="DL50">
        <v>-3.7049071639776228E-2</v>
      </c>
      <c r="DM50">
        <v>-1696000000</v>
      </c>
      <c r="DN50">
        <v>-5.2927245199680326E-2</v>
      </c>
      <c r="DO50">
        <v>2988735200</v>
      </c>
      <c r="DP50">
        <v>479399600</v>
      </c>
      <c r="DQ50">
        <v>1895</v>
      </c>
      <c r="DR50">
        <v>-0.51008421142879767</v>
      </c>
      <c r="DS50">
        <v>0.45310566037701561</v>
      </c>
      <c r="DT50" s="12">
        <v>-0.62333333333333341</v>
      </c>
      <c r="DU50">
        <v>-2.0733333333333337</v>
      </c>
      <c r="DV50">
        <v>-2.6966666666666672</v>
      </c>
      <c r="DW50">
        <v>-6.4672686230248306</v>
      </c>
      <c r="DX50">
        <v>0.20483466933067007</v>
      </c>
      <c r="DY50">
        <v>-6.0349678928926602</v>
      </c>
      <c r="DZ50">
        <v>4793</v>
      </c>
      <c r="EA50">
        <v>-6.0021692411050829</v>
      </c>
      <c r="EB50">
        <v>6</v>
      </c>
      <c r="EC50">
        <v>0.15056844237645339</v>
      </c>
      <c r="ED50">
        <v>2.0120146419189804</v>
      </c>
      <c r="EE50" s="13">
        <v>-6.0893100000000002</v>
      </c>
      <c r="EF50">
        <v>-6.1162099999999997</v>
      </c>
      <c r="EG50">
        <v>13.07483466933067</v>
      </c>
      <c r="EH50" t="s">
        <v>1975</v>
      </c>
      <c r="EI50">
        <v>0</v>
      </c>
      <c r="EJ50">
        <v>0</v>
      </c>
      <c r="EK50" s="14">
        <v>45470</v>
      </c>
      <c r="EL50">
        <v>-6.3</v>
      </c>
      <c r="EM50">
        <v>-6.72</v>
      </c>
      <c r="EN50">
        <v>-3.42</v>
      </c>
      <c r="EO50">
        <v>4.0999999999999996</v>
      </c>
      <c r="EP50">
        <v>-2.69</v>
      </c>
    </row>
    <row r="51" spans="1:146" ht="96" x14ac:dyDescent="0.25">
      <c r="C51" s="9" t="str">
        <f>""&amp;CHAR(10)&amp;Basic_Fundamental_Information_Constructure(F51)&amp;CHAR(10)&amp;Basic_Fundamental_Information_Concatenate("")</f>
        <v xml:space="preserve">
市值17.962426亿, 利润-4.59亿; PE; 平均PE-16.58; 平均PEG-4.72, PB1.75; ROIC4.96%; ROE-9.7%; 股利率0%; 毛利29.3333%; 净利-26.9967%; 上一年度营收增-28.72%, 利润增-705.67%; 当季营收增-80.13%, 利润增-177.4%; 过往5年营收增3.51%, 利润增-212.11%
Income profile:
</v>
      </c>
      <c r="D51" t="s">
        <v>754</v>
      </c>
      <c r="E51" t="s">
        <v>1863</v>
      </c>
      <c r="F51">
        <v>4.43</v>
      </c>
      <c r="G51">
        <v>0.91</v>
      </c>
      <c r="H51" t="s">
        <v>3421</v>
      </c>
      <c r="I51">
        <v>1796242600</v>
      </c>
      <c r="K51">
        <v>1.75</v>
      </c>
      <c r="L51" t="s">
        <v>2891</v>
      </c>
      <c r="M51" t="s">
        <v>2255</v>
      </c>
      <c r="N51" t="s">
        <v>2886</v>
      </c>
      <c r="O51" t="s">
        <v>2405</v>
      </c>
      <c r="P51">
        <v>-80.11</v>
      </c>
      <c r="Q51" t="s">
        <v>2406</v>
      </c>
      <c r="R51">
        <v>-32788141</v>
      </c>
      <c r="S51" s="6">
        <v>-1.774</v>
      </c>
      <c r="T51" t="s">
        <v>2407</v>
      </c>
      <c r="U51">
        <v>360096130</v>
      </c>
      <c r="V51">
        <v>405472360</v>
      </c>
      <c r="W51">
        <v>2.57</v>
      </c>
      <c r="X51">
        <v>0.02</v>
      </c>
      <c r="Y51">
        <v>-52.08</v>
      </c>
      <c r="Z51" t="s">
        <v>144</v>
      </c>
      <c r="AA51" t="s">
        <v>3422</v>
      </c>
      <c r="AB51" t="s">
        <v>3423</v>
      </c>
      <c r="AC51" t="s">
        <v>3424</v>
      </c>
      <c r="AD51" t="s">
        <v>2</v>
      </c>
      <c r="AE51">
        <v>12692892</v>
      </c>
      <c r="AF51" t="s">
        <v>23</v>
      </c>
      <c r="AG51">
        <v>5320.46</v>
      </c>
      <c r="AH51" t="s">
        <v>2408</v>
      </c>
      <c r="AI51" t="s">
        <v>560</v>
      </c>
      <c r="AJ51" t="s">
        <v>2409</v>
      </c>
      <c r="AK51" t="s">
        <v>3425</v>
      </c>
      <c r="AL51" t="s">
        <v>2410</v>
      </c>
      <c r="AM51" t="s">
        <v>2</v>
      </c>
      <c r="AN51">
        <v>0</v>
      </c>
      <c r="AO51" t="s">
        <v>91</v>
      </c>
      <c r="AP51" t="s">
        <v>3426</v>
      </c>
      <c r="AQ51" t="s">
        <v>191</v>
      </c>
      <c r="AR51" t="s">
        <v>2</v>
      </c>
      <c r="AS51" t="s">
        <v>505</v>
      </c>
      <c r="AT51" t="s">
        <v>3427</v>
      </c>
      <c r="AU51" t="s">
        <v>3428</v>
      </c>
      <c r="AV51" t="s">
        <v>198</v>
      </c>
      <c r="AW51" t="s">
        <v>3429</v>
      </c>
      <c r="AX51" t="s">
        <v>714</v>
      </c>
      <c r="AY51" t="s">
        <v>1797</v>
      </c>
      <c r="AZ51" t="s">
        <v>2881</v>
      </c>
      <c r="BA51" t="s">
        <v>1349</v>
      </c>
      <c r="BB51" t="s">
        <v>1901</v>
      </c>
      <c r="BC51" t="s">
        <v>2411</v>
      </c>
      <c r="BD51" t="s">
        <v>2506</v>
      </c>
      <c r="BE51" t="s">
        <v>75</v>
      </c>
      <c r="BF51" t="s">
        <v>77</v>
      </c>
      <c r="BG51" t="s">
        <v>68</v>
      </c>
      <c r="BH51" t="s">
        <v>2406</v>
      </c>
      <c r="BI51" t="s">
        <v>119</v>
      </c>
      <c r="BJ51" t="s">
        <v>714</v>
      </c>
      <c r="BK51" t="s">
        <v>2407</v>
      </c>
      <c r="BL51" t="s">
        <v>2412</v>
      </c>
      <c r="BM51" t="s">
        <v>2411</v>
      </c>
      <c r="BN51" t="s">
        <v>2</v>
      </c>
      <c r="BO51">
        <v>4.96</v>
      </c>
      <c r="BP51" t="s">
        <v>2</v>
      </c>
      <c r="BQ51">
        <v>-2.93</v>
      </c>
      <c r="BR51">
        <v>4</v>
      </c>
      <c r="BS51">
        <v>-30.17</v>
      </c>
      <c r="BT51" t="s">
        <v>1521</v>
      </c>
      <c r="BU51" t="s">
        <v>1444</v>
      </c>
      <c r="BV51">
        <v>23.18</v>
      </c>
      <c r="BW51">
        <v>29.15</v>
      </c>
      <c r="BX51">
        <v>35.67</v>
      </c>
      <c r="BY51">
        <v>-41.1</v>
      </c>
      <c r="BZ51">
        <v>4.42</v>
      </c>
      <c r="CA51">
        <v>-44.31</v>
      </c>
      <c r="CB51">
        <v>-0.89</v>
      </c>
      <c r="CC51">
        <v>-7.9</v>
      </c>
      <c r="CD51" t="s">
        <v>3430</v>
      </c>
      <c r="CE51" t="s">
        <v>333</v>
      </c>
      <c r="CF51" s="10">
        <v>-0.8013412844036697</v>
      </c>
      <c r="CG51" s="11">
        <v>-1.7740080261558255</v>
      </c>
      <c r="CH51" s="10">
        <v>-0.28721436858177185</v>
      </c>
      <c r="CI51" s="10">
        <v>0.25894251465797424</v>
      </c>
      <c r="CJ51" s="10">
        <v>6.1932232230901718E-2</v>
      </c>
      <c r="CK51" s="10">
        <v>8.8050432503223419E-2</v>
      </c>
      <c r="CL51" s="10">
        <v>5.3977213799953461E-2</v>
      </c>
      <c r="CM51" s="11">
        <v>-7.0566949844360352</v>
      </c>
      <c r="CN51" s="11">
        <v>1.1185976266860962</v>
      </c>
      <c r="CO51" s="11">
        <v>-5.096153736114502</v>
      </c>
      <c r="CP51" s="11">
        <v>0.5</v>
      </c>
      <c r="CQ51" s="11">
        <v>-7.1428574621677399E-2</v>
      </c>
      <c r="CR51">
        <v>-16.575190309806231</v>
      </c>
      <c r="CS51">
        <v>-4.7172225729596704</v>
      </c>
      <c r="CT51">
        <v>0</v>
      </c>
      <c r="CU51" s="10">
        <v>3.5137604922056198E-2</v>
      </c>
      <c r="CV51" s="11">
        <v>-2.1211359336972238</v>
      </c>
      <c r="CW51">
        <v>0.06</v>
      </c>
      <c r="CX51" t="e">
        <v>#VALUE!</v>
      </c>
      <c r="CY51" t="s">
        <v>1237</v>
      </c>
      <c r="CZ51">
        <v>3.5137604922056198E-2</v>
      </c>
      <c r="DA51" t="e">
        <v>#VALUE!</v>
      </c>
      <c r="DB51" t="s">
        <v>1238</v>
      </c>
      <c r="DC51">
        <v>3.3380724675953384E-2</v>
      </c>
      <c r="DD51" t="e">
        <v>#VALUE!</v>
      </c>
      <c r="DE51" t="s">
        <v>1238</v>
      </c>
      <c r="DF51">
        <v>3.0921092331409456E-2</v>
      </c>
      <c r="DG51" t="e">
        <v>#VALUE!</v>
      </c>
      <c r="DH51" t="s">
        <v>1238</v>
      </c>
      <c r="DI51">
        <v>2.8110083937644959E-2</v>
      </c>
      <c r="DJ51" t="e">
        <v>#VALUE!</v>
      </c>
      <c r="DK51" t="s">
        <v>1238</v>
      </c>
      <c r="DL51">
        <v>2.4596323445439338E-2</v>
      </c>
      <c r="DM51">
        <v>-459000000</v>
      </c>
      <c r="DN51">
        <v>3.5137604922056198E-2</v>
      </c>
      <c r="DO51">
        <v>2575242600</v>
      </c>
      <c r="DP51">
        <v>777771800</v>
      </c>
      <c r="DQ51">
        <v>1899</v>
      </c>
      <c r="DR51">
        <v>-0.83647888932572589</v>
      </c>
      <c r="DS51">
        <v>0.34712790754139822</v>
      </c>
      <c r="DT51" s="12">
        <v>-0.45666666666666672</v>
      </c>
      <c r="DU51">
        <v>-1.9150000000000003</v>
      </c>
      <c r="DV51">
        <v>-2.371666666666667</v>
      </c>
      <c r="DW51">
        <v>-2.0790000000000002</v>
      </c>
      <c r="DX51">
        <v>0.27523266331658319</v>
      </c>
      <c r="DY51">
        <v>-2.0075233804020098</v>
      </c>
      <c r="DZ51">
        <v>4738</v>
      </c>
      <c r="EA51">
        <v>-2.0005476903149799</v>
      </c>
      <c r="EB51">
        <v>2</v>
      </c>
      <c r="EC51">
        <v>4.6738820865619549E-2</v>
      </c>
      <c r="ED51">
        <v>0.49078561113265523</v>
      </c>
      <c r="EE51" s="13">
        <v>-3.0154000000000001</v>
      </c>
      <c r="EF51">
        <v>-3.0177</v>
      </c>
      <c r="EG51">
        <v>18.095232663316583</v>
      </c>
      <c r="EH51" t="s">
        <v>1821</v>
      </c>
      <c r="EI51">
        <v>0</v>
      </c>
      <c r="EJ51">
        <v>0</v>
      </c>
      <c r="EK51" s="14">
        <v>45470</v>
      </c>
      <c r="EL51">
        <v>1.56</v>
      </c>
      <c r="EM51">
        <v>-3.51</v>
      </c>
      <c r="EN51">
        <v>0.45</v>
      </c>
      <c r="EO51">
        <v>-0.68</v>
      </c>
      <c r="EP51">
        <v>0.23</v>
      </c>
    </row>
    <row r="52" spans="1:146" ht="96" x14ac:dyDescent="0.25">
      <c r="A52" s="9"/>
      <c r="B52" s="9"/>
      <c r="C52" s="9" t="str">
        <f>""&amp;CHAR(10)&amp;Basic_Fundamental_Information_Constructure(F52)&amp;CHAR(10)&amp;Basic_Fundamental_Information_Concatenate("")</f>
        <v xml:space="preserve">
市值47.75778亿, 利润1.03亿; PE45.02; 平均PE-48.59; 平均PEG-2.88, PB2.94; ROIC4.96%; ROE-4.7267%; 股利率0%; 毛利16.56%; 净利-5.8167%; 上一年度营收增66.84%, 利润增159.88%; 当季营收增32.72%, 利润增3.52%; 过往5年营收增16.87%, 利润增-134.15%
Income profile:
</v>
      </c>
      <c r="D52" t="s">
        <v>914</v>
      </c>
      <c r="E52" t="s">
        <v>915</v>
      </c>
      <c r="F52">
        <v>5.98</v>
      </c>
      <c r="G52">
        <v>-0.33</v>
      </c>
      <c r="H52" t="s">
        <v>3431</v>
      </c>
      <c r="I52">
        <v>4775778000</v>
      </c>
      <c r="J52">
        <v>45.02</v>
      </c>
      <c r="K52">
        <v>2.94</v>
      </c>
      <c r="L52" t="s">
        <v>2891</v>
      </c>
      <c r="M52" t="s">
        <v>2413</v>
      </c>
      <c r="N52" t="s">
        <v>2421</v>
      </c>
      <c r="O52" t="s">
        <v>1321</v>
      </c>
      <c r="P52">
        <v>32.619999999999997</v>
      </c>
      <c r="Q52" t="s">
        <v>2414</v>
      </c>
      <c r="R52">
        <v>80374449</v>
      </c>
      <c r="S52" s="6">
        <v>3.5200000000000002E-2</v>
      </c>
      <c r="T52" t="s">
        <v>49</v>
      </c>
      <c r="U52">
        <v>592300890</v>
      </c>
      <c r="V52">
        <v>798625090</v>
      </c>
      <c r="W52">
        <v>3.15</v>
      </c>
      <c r="X52">
        <v>0.19</v>
      </c>
      <c r="Y52">
        <v>8.08</v>
      </c>
      <c r="Z52" t="s">
        <v>218</v>
      </c>
      <c r="AA52" t="s">
        <v>733</v>
      </c>
      <c r="AB52" t="s">
        <v>3432</v>
      </c>
      <c r="AC52" t="s">
        <v>3433</v>
      </c>
      <c r="AD52" t="s">
        <v>2</v>
      </c>
      <c r="AE52">
        <v>5818490</v>
      </c>
      <c r="AF52" t="s">
        <v>2415</v>
      </c>
      <c r="AG52" t="s">
        <v>3434</v>
      </c>
      <c r="AH52" t="s">
        <v>2416</v>
      </c>
      <c r="AI52" t="s">
        <v>641</v>
      </c>
      <c r="AJ52" t="s">
        <v>2417</v>
      </c>
      <c r="AK52" t="s">
        <v>435</v>
      </c>
      <c r="AL52" t="s">
        <v>2418</v>
      </c>
      <c r="AM52" t="s">
        <v>2</v>
      </c>
      <c r="AN52" t="s">
        <v>506</v>
      </c>
      <c r="AO52" t="s">
        <v>427</v>
      </c>
      <c r="AP52" t="s">
        <v>480</v>
      </c>
      <c r="AQ52" t="s">
        <v>327</v>
      </c>
      <c r="AR52" t="s">
        <v>2</v>
      </c>
      <c r="AS52" t="s">
        <v>3435</v>
      </c>
      <c r="AT52" t="s">
        <v>177</v>
      </c>
      <c r="AU52" t="s">
        <v>1833</v>
      </c>
      <c r="AV52" t="s">
        <v>3436</v>
      </c>
      <c r="AW52" t="s">
        <v>125</v>
      </c>
      <c r="AX52" t="s">
        <v>1455</v>
      </c>
      <c r="AY52" t="s">
        <v>1334</v>
      </c>
      <c r="AZ52" t="s">
        <v>261</v>
      </c>
      <c r="BA52" t="s">
        <v>555</v>
      </c>
      <c r="BB52" t="s">
        <v>552</v>
      </c>
      <c r="BC52" t="s">
        <v>1634</v>
      </c>
      <c r="BD52" t="s">
        <v>1205</v>
      </c>
      <c r="BE52" t="s">
        <v>917</v>
      </c>
      <c r="BF52" t="s">
        <v>918</v>
      </c>
      <c r="BG52" t="s">
        <v>265</v>
      </c>
      <c r="BH52" t="s">
        <v>2414</v>
      </c>
      <c r="BI52" t="s">
        <v>54</v>
      </c>
      <c r="BJ52" t="s">
        <v>1455</v>
      </c>
      <c r="BK52" t="s">
        <v>49</v>
      </c>
      <c r="BL52" t="s">
        <v>2419</v>
      </c>
      <c r="BM52" t="s">
        <v>1634</v>
      </c>
      <c r="BN52">
        <v>4.96</v>
      </c>
      <c r="BO52" t="s">
        <v>2</v>
      </c>
      <c r="BP52" t="s">
        <v>2</v>
      </c>
      <c r="BQ52">
        <v>8.16</v>
      </c>
      <c r="BR52">
        <v>-13.68</v>
      </c>
      <c r="BS52">
        <v>-8.66</v>
      </c>
      <c r="BT52" t="s">
        <v>1521</v>
      </c>
      <c r="BU52" t="s">
        <v>1445</v>
      </c>
      <c r="BV52">
        <v>19.579999999999998</v>
      </c>
      <c r="BW52">
        <v>13.24</v>
      </c>
      <c r="BX52">
        <v>16.86</v>
      </c>
      <c r="BY52">
        <v>3.52</v>
      </c>
      <c r="BZ52">
        <v>-9.7100000000000009</v>
      </c>
      <c r="CA52">
        <v>-11.26</v>
      </c>
      <c r="CB52">
        <v>-5.83</v>
      </c>
      <c r="CC52">
        <v>-12.06</v>
      </c>
      <c r="CD52" t="s">
        <v>3437</v>
      </c>
      <c r="CE52" t="s">
        <v>1866</v>
      </c>
      <c r="CF52" s="10">
        <v>0.32715231788079469</v>
      </c>
      <c r="CG52" s="11">
        <v>3.517692470171245E-2</v>
      </c>
      <c r="CH52" s="10">
        <v>0.66843783855438232</v>
      </c>
      <c r="CI52" s="10">
        <v>0.60717326402664185</v>
      </c>
      <c r="CJ52" s="10">
        <v>-4.874086007475853E-2</v>
      </c>
      <c r="CK52" s="10">
        <v>-0.27630802989006042</v>
      </c>
      <c r="CL52" s="10">
        <v>-0.10708655416965485</v>
      </c>
      <c r="CM52" s="11">
        <v>1.5988372564315796</v>
      </c>
      <c r="CN52" s="11">
        <v>-0.52212387323379517</v>
      </c>
      <c r="CO52" s="11">
        <v>-4.5073127746582031</v>
      </c>
      <c r="CP52" s="11">
        <v>1.0512217283248901</v>
      </c>
      <c r="CQ52" s="11">
        <v>-4.3280425071716309</v>
      </c>
      <c r="CR52">
        <v>-48.585218663993587</v>
      </c>
      <c r="CS52">
        <v>-2.8800605078203541</v>
      </c>
      <c r="CT52">
        <v>0</v>
      </c>
      <c r="CU52" s="10">
        <v>0.16869513168931008</v>
      </c>
      <c r="CV52" s="11">
        <v>-1.3414840340614318</v>
      </c>
      <c r="CW52">
        <v>0.06</v>
      </c>
      <c r="CX52">
        <v>58.987907555241236</v>
      </c>
      <c r="CY52">
        <v>113561885.43773486</v>
      </c>
      <c r="CZ52">
        <v>0.16869513168931008</v>
      </c>
      <c r="DA52">
        <v>18.044976386609036</v>
      </c>
      <c r="DB52">
        <v>371226753.44541234</v>
      </c>
      <c r="DC52">
        <v>0.16026037510484456</v>
      </c>
      <c r="DD52">
        <v>8.1119052709892259</v>
      </c>
      <c r="DE52">
        <v>825795885.95012045</v>
      </c>
      <c r="DF52">
        <v>0.14845171588659287</v>
      </c>
      <c r="DG52">
        <v>4.3815246241027772</v>
      </c>
      <c r="DH52">
        <v>1528869189.3114114</v>
      </c>
      <c r="DI52">
        <v>0.13495610535144806</v>
      </c>
      <c r="DJ52">
        <v>1.7721062343140219</v>
      </c>
      <c r="DK52">
        <v>3780122133.9267402</v>
      </c>
      <c r="DL52">
        <v>0.11808659218251705</v>
      </c>
      <c r="DM52">
        <v>103000000</v>
      </c>
      <c r="DN52">
        <v>0.16869513168931008</v>
      </c>
      <c r="DO52">
        <v>6698778000</v>
      </c>
      <c r="DP52">
        <v>431549400</v>
      </c>
      <c r="DQ52">
        <v>1915</v>
      </c>
      <c r="DR52">
        <v>0.15845718619148461</v>
      </c>
      <c r="DS52">
        <v>1.3766609587631442</v>
      </c>
      <c r="DT52" s="12">
        <v>7.6666666666666661E-2</v>
      </c>
      <c r="DU52">
        <v>-0.70000000000000018</v>
      </c>
      <c r="DV52">
        <v>-0.62333333333333352</v>
      </c>
      <c r="DW52">
        <v>-8.4834162520729688</v>
      </c>
      <c r="DX52">
        <v>0.26855139183435967</v>
      </c>
      <c r="DY52">
        <v>-8.0379730194356824</v>
      </c>
      <c r="DZ52">
        <v>3072</v>
      </c>
      <c r="EA52">
        <v>-8.0151446210586936</v>
      </c>
      <c r="EB52">
        <v>8</v>
      </c>
      <c r="EC52">
        <v>0.1159644258108645</v>
      </c>
      <c r="ED52">
        <v>1.4762872025470675</v>
      </c>
      <c r="EE52" s="13">
        <v>2.0403099999999998</v>
      </c>
      <c r="EF52">
        <v>2.0706099999999998</v>
      </c>
      <c r="EG52">
        <v>19.07855139183436</v>
      </c>
      <c r="EH52" t="s">
        <v>1554</v>
      </c>
      <c r="EI52">
        <v>0</v>
      </c>
      <c r="EJ52">
        <v>0</v>
      </c>
      <c r="EK52" s="14">
        <v>45470</v>
      </c>
      <c r="EL52">
        <v>-4.41</v>
      </c>
      <c r="EM52">
        <v>-2.86</v>
      </c>
      <c r="EN52">
        <v>0.82</v>
      </c>
      <c r="EO52">
        <v>1.95</v>
      </c>
      <c r="EP52">
        <v>-3.03</v>
      </c>
    </row>
    <row r="53" spans="1:146" ht="96" x14ac:dyDescent="0.25">
      <c r="A53" s="9"/>
      <c r="B53" s="9"/>
      <c r="C53" s="9" t="str">
        <f>""&amp;CHAR(10)&amp;Basic_Fundamental_Information_Constructure(F53)&amp;CHAR(10)&amp;Basic_Fundamental_Information_Concatenate("")</f>
        <v xml:space="preserve">
市值28.504661亿, 利润2550.62万; PE2679; 平均PE-20.19; 平均PEG-58.83, PB1.08; ROIC1.4767%; ROE1.5033%; 股利率0%; 毛利24.0067%; 净利2.7367%; 上一年度营收增.26%, 利润增-47.45%; 当季营收增-8.1%, 利润增-199.58%; 过往5年营收增.34%, 利润增-129.56%
Income profile:
</v>
      </c>
      <c r="D53" t="s">
        <v>757</v>
      </c>
      <c r="E53" t="s">
        <v>758</v>
      </c>
      <c r="F53">
        <v>3.44</v>
      </c>
      <c r="G53">
        <v>1.78</v>
      </c>
      <c r="H53" t="s">
        <v>3438</v>
      </c>
      <c r="I53">
        <v>2850466100</v>
      </c>
      <c r="J53">
        <v>2679</v>
      </c>
      <c r="K53">
        <v>1.08</v>
      </c>
      <c r="L53" t="s">
        <v>2891</v>
      </c>
      <c r="M53" t="s">
        <v>472</v>
      </c>
      <c r="N53" t="s">
        <v>2637</v>
      </c>
      <c r="O53" t="s">
        <v>93</v>
      </c>
      <c r="P53">
        <v>-8.1300000000000008</v>
      </c>
      <c r="Q53" t="s">
        <v>1888</v>
      </c>
      <c r="R53">
        <v>-12195327</v>
      </c>
      <c r="S53" s="6">
        <v>-1.996</v>
      </c>
      <c r="T53" t="s">
        <v>2423</v>
      </c>
      <c r="U53">
        <v>824690700</v>
      </c>
      <c r="V53">
        <v>828623860</v>
      </c>
      <c r="W53">
        <v>1.43</v>
      </c>
      <c r="X53">
        <v>0.05</v>
      </c>
      <c r="Y53">
        <v>-7.14</v>
      </c>
      <c r="Z53" t="s">
        <v>231</v>
      </c>
      <c r="AA53" t="s">
        <v>157</v>
      </c>
      <c r="AB53" t="s">
        <v>3439</v>
      </c>
      <c r="AC53" t="s">
        <v>3440</v>
      </c>
      <c r="AD53" t="s">
        <v>2</v>
      </c>
      <c r="AE53">
        <v>3529898</v>
      </c>
      <c r="AF53" t="s">
        <v>2424</v>
      </c>
      <c r="AG53">
        <v>8921.6200000000008</v>
      </c>
      <c r="AH53" t="s">
        <v>2425</v>
      </c>
      <c r="AI53" t="s">
        <v>412</v>
      </c>
      <c r="AJ53" t="s">
        <v>2426</v>
      </c>
      <c r="AK53" t="s">
        <v>3441</v>
      </c>
      <c r="AL53" t="s">
        <v>2427</v>
      </c>
      <c r="AM53" t="s">
        <v>2</v>
      </c>
      <c r="AN53" t="s">
        <v>3442</v>
      </c>
      <c r="AO53" t="s">
        <v>303</v>
      </c>
      <c r="AP53" t="s">
        <v>151</v>
      </c>
      <c r="AQ53" t="s">
        <v>264</v>
      </c>
      <c r="AR53" t="s">
        <v>2</v>
      </c>
      <c r="AS53" t="s">
        <v>1932</v>
      </c>
      <c r="AT53" t="s">
        <v>59</v>
      </c>
      <c r="AU53" t="s">
        <v>127</v>
      </c>
      <c r="AV53" t="s">
        <v>3443</v>
      </c>
      <c r="AW53" t="s">
        <v>3444</v>
      </c>
      <c r="AX53" t="s">
        <v>1635</v>
      </c>
      <c r="AY53" t="s">
        <v>1335</v>
      </c>
      <c r="AZ53" t="s">
        <v>633</v>
      </c>
      <c r="BA53" t="s">
        <v>760</v>
      </c>
      <c r="BB53" t="s">
        <v>761</v>
      </c>
      <c r="BC53" t="s">
        <v>2428</v>
      </c>
      <c r="BD53" t="s">
        <v>1336</v>
      </c>
      <c r="BE53" t="s">
        <v>759</v>
      </c>
      <c r="BF53" t="s">
        <v>762</v>
      </c>
      <c r="BG53" t="s">
        <v>312</v>
      </c>
      <c r="BH53" t="s">
        <v>1888</v>
      </c>
      <c r="BI53" t="s">
        <v>170</v>
      </c>
      <c r="BJ53" t="s">
        <v>1635</v>
      </c>
      <c r="BK53" t="s">
        <v>2423</v>
      </c>
      <c r="BL53" t="s">
        <v>2429</v>
      </c>
      <c r="BM53" t="s">
        <v>2428</v>
      </c>
      <c r="BN53">
        <v>1.47</v>
      </c>
      <c r="BO53">
        <v>1.86</v>
      </c>
      <c r="BP53">
        <v>1.1000000000000001</v>
      </c>
      <c r="BQ53">
        <v>1.48</v>
      </c>
      <c r="BR53">
        <v>1.83</v>
      </c>
      <c r="BS53">
        <v>1.2</v>
      </c>
      <c r="BT53" t="s">
        <v>1521</v>
      </c>
      <c r="BU53" t="s">
        <v>1444</v>
      </c>
      <c r="BV53">
        <v>25.42</v>
      </c>
      <c r="BW53">
        <v>24.32</v>
      </c>
      <c r="BX53">
        <v>22.28</v>
      </c>
      <c r="BY53">
        <v>1.61</v>
      </c>
      <c r="BZ53">
        <v>3.94</v>
      </c>
      <c r="CA53">
        <v>2.66</v>
      </c>
      <c r="CB53">
        <v>-1.71</v>
      </c>
      <c r="CC53">
        <v>-15.06</v>
      </c>
      <c r="CD53" t="s">
        <v>3445</v>
      </c>
      <c r="CE53" t="s">
        <v>56</v>
      </c>
      <c r="CF53" s="10">
        <v>-8.0952380952380956E-2</v>
      </c>
      <c r="CG53" s="11">
        <v>-1.9957970245288565</v>
      </c>
      <c r="CH53" s="10">
        <v>2.5728438049554825E-3</v>
      </c>
      <c r="CI53" s="10">
        <v>8.5661083459854126E-2</v>
      </c>
      <c r="CJ53" s="10">
        <v>0.27100592851638794</v>
      </c>
      <c r="CK53" s="10">
        <v>-8.8457390666007996E-2</v>
      </c>
      <c r="CL53" s="10">
        <v>-0.25362318754196167</v>
      </c>
      <c r="CM53" s="11">
        <v>-0.47453883290290833</v>
      </c>
      <c r="CN53" s="11">
        <v>0.53540980815887451</v>
      </c>
      <c r="CO53" s="11">
        <v>-0.4377436637878418</v>
      </c>
      <c r="CP53" s="11">
        <v>1.0466616153717041</v>
      </c>
      <c r="CQ53" s="11">
        <v>-7.1479587554931641</v>
      </c>
      <c r="CR53">
        <v>-20.189536470919606</v>
      </c>
      <c r="CS53">
        <v>-58.829797422298157</v>
      </c>
      <c r="CT53">
        <v>0</v>
      </c>
      <c r="CU53" s="10">
        <v>3.4318555146455763E-3</v>
      </c>
      <c r="CV53" s="11">
        <v>-1.295633965730667</v>
      </c>
      <c r="CW53">
        <v>0.06</v>
      </c>
      <c r="CX53">
        <v>56.469840976545939</v>
      </c>
      <c r="CY53">
        <v>24145031.691629857</v>
      </c>
      <c r="CZ53">
        <v>3.4318555146455763E-3</v>
      </c>
      <c r="DA53">
        <v>19.871187087457617</v>
      </c>
      <c r="DB53">
        <v>68615231.390005812</v>
      </c>
      <c r="DC53">
        <v>3.2602627389132972E-3</v>
      </c>
      <c r="DD53">
        <v>10.762235363337451</v>
      </c>
      <c r="DE53">
        <v>126689860.79274695</v>
      </c>
      <c r="DF53">
        <v>3.0200328528881071E-3</v>
      </c>
      <c r="DG53">
        <v>7.1634561770024128</v>
      </c>
      <c r="DH53">
        <v>190336349.70466864</v>
      </c>
      <c r="DI53">
        <v>2.7454844117164611E-3</v>
      </c>
      <c r="DJ53">
        <v>4.5649094519653817</v>
      </c>
      <c r="DK53">
        <v>298684150.11232513</v>
      </c>
      <c r="DL53">
        <v>2.4022988602519033E-3</v>
      </c>
      <c r="DM53">
        <v>25506200</v>
      </c>
      <c r="DN53">
        <v>3.4318555146455763E-3</v>
      </c>
      <c r="DO53">
        <v>1363466100</v>
      </c>
      <c r="DP53">
        <v>1319278700</v>
      </c>
      <c r="DQ53">
        <v>1981</v>
      </c>
      <c r="DR53">
        <v>-8.438423646702653E-2</v>
      </c>
      <c r="DS53">
        <v>-0.70016305879818952</v>
      </c>
      <c r="DT53" s="12">
        <v>-0.40666666666666668</v>
      </c>
      <c r="DU53">
        <v>-1.4316666666666669</v>
      </c>
      <c r="DV53">
        <v>-1.8383333333333336</v>
      </c>
      <c r="DW53">
        <v>-2.1505999999999998</v>
      </c>
      <c r="DX53">
        <v>0.23717529137529147</v>
      </c>
      <c r="DY53">
        <v>-2.017646598881119</v>
      </c>
      <c r="DZ53">
        <v>4288</v>
      </c>
      <c r="EA53">
        <v>-2.0028386505440863</v>
      </c>
      <c r="EB53">
        <v>2</v>
      </c>
      <c r="EC53">
        <v>6.0664678422366454E-2</v>
      </c>
      <c r="ED53">
        <v>0.51772585935432758</v>
      </c>
      <c r="EE53" s="13">
        <v>9.981000000000001E-2</v>
      </c>
      <c r="EF53">
        <v>0.12271</v>
      </c>
      <c r="EG53">
        <v>12.117175291375291</v>
      </c>
      <c r="EH53">
        <v>-1</v>
      </c>
      <c r="EI53">
        <v>0</v>
      </c>
      <c r="EJ53">
        <v>0</v>
      </c>
      <c r="EK53" s="14">
        <v>45470</v>
      </c>
      <c r="EL53">
        <v>-0.83</v>
      </c>
      <c r="EM53">
        <v>-5.57</v>
      </c>
      <c r="EN53">
        <v>0.28999999999999998</v>
      </c>
      <c r="EO53">
        <v>2.94</v>
      </c>
      <c r="EP53">
        <v>-2.29</v>
      </c>
    </row>
    <row r="54" spans="1:146" ht="96" x14ac:dyDescent="0.25">
      <c r="A54" s="9"/>
      <c r="B54" s="9"/>
      <c r="C54" s="9" t="str">
        <f>""&amp;CHAR(10)&amp;Basic_Fundamental_Information_Constructure(F54)&amp;CHAR(10)&amp;Basic_Fundamental_Information_Concatenate("")</f>
        <v xml:space="preserve">
市值27.08亿, 利润1.92亿; PE13.55; 平均PE33.32; 平均PEG3.14, PB2.96; ROIC14.08%; ROE14.62%; 股利率1.4771%; 毛利31.6%; 净利11.26%; 上一年度营收增7.34%, 利润增94.41%; 当季营收增.53%, 利润增37.95%; 过往5年营收增10.62%, 利润增40.34%
Income profile:
</v>
      </c>
      <c r="D54" t="s">
        <v>763</v>
      </c>
      <c r="E54" t="s">
        <v>764</v>
      </c>
      <c r="F54">
        <v>13.54</v>
      </c>
      <c r="G54">
        <v>-1.17</v>
      </c>
      <c r="H54" t="s">
        <v>3446</v>
      </c>
      <c r="I54">
        <v>2708000000</v>
      </c>
      <c r="J54">
        <v>13.55</v>
      </c>
      <c r="K54">
        <v>2.96</v>
      </c>
      <c r="L54" t="s">
        <v>2891</v>
      </c>
      <c r="M54" t="s">
        <v>352</v>
      </c>
      <c r="N54" t="s">
        <v>29</v>
      </c>
      <c r="O54" t="s">
        <v>435</v>
      </c>
      <c r="P54">
        <v>0.2</v>
      </c>
      <c r="Q54" t="s">
        <v>284</v>
      </c>
      <c r="R54">
        <v>29961671</v>
      </c>
      <c r="S54" s="6">
        <v>0.3795</v>
      </c>
      <c r="T54" t="s">
        <v>465</v>
      </c>
      <c r="U54">
        <v>155322200</v>
      </c>
      <c r="V54">
        <v>200000000</v>
      </c>
      <c r="W54">
        <v>1.31</v>
      </c>
      <c r="X54">
        <v>0.16</v>
      </c>
      <c r="Y54">
        <v>15.81</v>
      </c>
      <c r="Z54" t="s">
        <v>198</v>
      </c>
      <c r="AA54" t="s">
        <v>68</v>
      </c>
      <c r="AB54" t="s">
        <v>3447</v>
      </c>
      <c r="AC54" t="s">
        <v>3448</v>
      </c>
      <c r="AD54" t="s">
        <v>2</v>
      </c>
      <c r="AE54">
        <v>-4498540</v>
      </c>
      <c r="AF54" t="s">
        <v>2431</v>
      </c>
      <c r="AG54" t="s">
        <v>2</v>
      </c>
      <c r="AH54" t="s">
        <v>2432</v>
      </c>
      <c r="AI54" t="s">
        <v>388</v>
      </c>
      <c r="AJ54" t="s">
        <v>2433</v>
      </c>
      <c r="AK54" t="s">
        <v>3449</v>
      </c>
      <c r="AL54" t="s">
        <v>2434</v>
      </c>
      <c r="AM54" t="s">
        <v>2</v>
      </c>
      <c r="AN54" t="s">
        <v>3450</v>
      </c>
      <c r="AO54" t="s">
        <v>2</v>
      </c>
      <c r="AP54" t="s">
        <v>2</v>
      </c>
      <c r="AQ54" t="s">
        <v>203</v>
      </c>
      <c r="AR54" t="s">
        <v>2</v>
      </c>
      <c r="AS54" t="s">
        <v>162</v>
      </c>
      <c r="AT54" t="s">
        <v>2</v>
      </c>
      <c r="AU54" t="s">
        <v>3451</v>
      </c>
      <c r="AV54" t="s">
        <v>3452</v>
      </c>
      <c r="AW54" t="s">
        <v>3453</v>
      </c>
      <c r="AX54" t="s">
        <v>1623</v>
      </c>
      <c r="AY54" t="s">
        <v>1184</v>
      </c>
      <c r="AZ54" t="s">
        <v>613</v>
      </c>
      <c r="BA54" t="s">
        <v>638</v>
      </c>
      <c r="BB54" t="s">
        <v>357</v>
      </c>
      <c r="BC54" t="s">
        <v>1637</v>
      </c>
      <c r="BD54" t="s">
        <v>1337</v>
      </c>
      <c r="BE54" t="s">
        <v>765</v>
      </c>
      <c r="BF54" t="s">
        <v>766</v>
      </c>
      <c r="BG54" t="s">
        <v>767</v>
      </c>
      <c r="BH54" t="s">
        <v>284</v>
      </c>
      <c r="BI54" t="s">
        <v>265</v>
      </c>
      <c r="BJ54" t="s">
        <v>1623</v>
      </c>
      <c r="BK54" t="s">
        <v>465</v>
      </c>
      <c r="BL54" t="s">
        <v>2435</v>
      </c>
      <c r="BM54" t="s">
        <v>1637</v>
      </c>
      <c r="BN54">
        <v>19.88</v>
      </c>
      <c r="BO54">
        <v>13.73</v>
      </c>
      <c r="BP54">
        <v>8.6300000000000008</v>
      </c>
      <c r="BQ54">
        <v>20.170000000000002</v>
      </c>
      <c r="BR54">
        <v>14.47</v>
      </c>
      <c r="BS54">
        <v>9.2200000000000006</v>
      </c>
      <c r="BT54" t="s">
        <v>1525</v>
      </c>
      <c r="BU54" t="s">
        <v>1444</v>
      </c>
      <c r="BV54">
        <v>36.799999999999997</v>
      </c>
      <c r="BW54">
        <v>30.71</v>
      </c>
      <c r="BX54">
        <v>27.29</v>
      </c>
      <c r="BY54">
        <v>17.46</v>
      </c>
      <c r="BZ54">
        <v>9.67</v>
      </c>
      <c r="CA54">
        <v>6.65</v>
      </c>
      <c r="CB54">
        <v>-10.51</v>
      </c>
      <c r="CC54">
        <v>-2.38</v>
      </c>
      <c r="CD54" t="s">
        <v>3454</v>
      </c>
      <c r="CE54" t="s">
        <v>172</v>
      </c>
      <c r="CF54" s="10">
        <v>5.2910052910052907E-3</v>
      </c>
      <c r="CG54" s="11">
        <v>0.37945078268876614</v>
      </c>
      <c r="CH54" s="10">
        <v>7.3385454714298248E-2</v>
      </c>
      <c r="CI54" s="10">
        <v>0.18013857305049896</v>
      </c>
      <c r="CJ54" s="10">
        <v>0.31212121248245239</v>
      </c>
      <c r="CK54" s="10">
        <v>-0.15384615957736969</v>
      </c>
      <c r="CL54" s="10">
        <v>0.1190817803144455</v>
      </c>
      <c r="CM54" s="11">
        <v>0.94409513473510742</v>
      </c>
      <c r="CN54" s="11">
        <v>0.71564817428588867</v>
      </c>
      <c r="CO54" s="11">
        <v>0.71134251356124878</v>
      </c>
      <c r="CP54" s="11">
        <v>-0.36802065372467041</v>
      </c>
      <c r="CQ54" s="11">
        <v>1.4016189612448215E-2</v>
      </c>
      <c r="CR54">
        <v>33.317161413937022</v>
      </c>
      <c r="CS54">
        <v>3.1379132176815028</v>
      </c>
      <c r="CT54">
        <v>1.4771048744460857</v>
      </c>
      <c r="CU54" s="10">
        <v>0.10617617219686508</v>
      </c>
      <c r="CV54" s="11">
        <v>0.40341627169400451</v>
      </c>
      <c r="CW54">
        <v>0.06</v>
      </c>
      <c r="CX54">
        <v>10.595716542500918</v>
      </c>
      <c r="CY54">
        <v>200363985.90735668</v>
      </c>
      <c r="CZ54">
        <v>0.10617617219686508</v>
      </c>
      <c r="DA54">
        <v>3.4155614557710194</v>
      </c>
      <c r="DB54">
        <v>621566915.86179054</v>
      </c>
      <c r="DC54">
        <v>0.10086736358702182</v>
      </c>
      <c r="DD54">
        <v>1.6507525065143256</v>
      </c>
      <c r="DE54">
        <v>1286080131.1050901</v>
      </c>
      <c r="DF54">
        <v>9.3435031533241272E-2</v>
      </c>
      <c r="DG54">
        <v>0.97079824314231178</v>
      </c>
      <c r="DH54">
        <v>2186860158.6342015</v>
      </c>
      <c r="DI54">
        <v>8.4940937757492063E-2</v>
      </c>
      <c r="DJ54">
        <v>0.47875450945115178</v>
      </c>
      <c r="DK54">
        <v>4434422983.1564932</v>
      </c>
      <c r="DL54">
        <v>7.4323320537805548E-2</v>
      </c>
      <c r="DM54">
        <v>192000000</v>
      </c>
      <c r="DN54">
        <v>0.10617617219686508</v>
      </c>
      <c r="DO54">
        <v>2123000000</v>
      </c>
      <c r="DP54">
        <v>402941340</v>
      </c>
      <c r="DQ54">
        <v>1985</v>
      </c>
      <c r="DR54">
        <v>-0.10088516690585979</v>
      </c>
      <c r="DS54">
        <v>-2.3965489005238372E-2</v>
      </c>
      <c r="DT54" s="12">
        <v>-0.27333333333333337</v>
      </c>
      <c r="DU54">
        <v>1.0033333333333334</v>
      </c>
      <c r="DV54">
        <v>0.73</v>
      </c>
      <c r="DW54">
        <v>-5.2264509990485255</v>
      </c>
      <c r="DX54">
        <v>0.32889012738853607</v>
      </c>
      <c r="DY54">
        <v>-5.0223937681431696</v>
      </c>
      <c r="DZ54">
        <v>428</v>
      </c>
      <c r="EA54">
        <v>-5.02051812572335</v>
      </c>
      <c r="EB54">
        <v>5</v>
      </c>
      <c r="EC54">
        <v>0.15525749999999999</v>
      </c>
      <c r="ED54">
        <v>1.57</v>
      </c>
      <c r="EE54" s="13">
        <v>-2.0663100000000001</v>
      </c>
      <c r="EF54">
        <v>-2.08941</v>
      </c>
      <c r="EG54">
        <v>23.098890127388536</v>
      </c>
      <c r="EH54" t="s">
        <v>1555</v>
      </c>
      <c r="EI54">
        <v>0</v>
      </c>
      <c r="EJ54">
        <v>1</v>
      </c>
      <c r="EK54" s="14">
        <v>45470</v>
      </c>
      <c r="EL54">
        <v>1.01</v>
      </c>
      <c r="EM54">
        <v>-4.3899999999999997</v>
      </c>
      <c r="EN54">
        <v>-0.97</v>
      </c>
      <c r="EO54">
        <v>3.44</v>
      </c>
      <c r="EP54">
        <v>-2.31</v>
      </c>
    </row>
    <row r="55" spans="1:146" ht="180" x14ac:dyDescent="0.25">
      <c r="C55" s="9" t="s">
        <v>1231</v>
      </c>
      <c r="D55" t="s">
        <v>1100</v>
      </c>
      <c r="E55" t="s">
        <v>1101</v>
      </c>
      <c r="F55">
        <v>27.1</v>
      </c>
      <c r="G55">
        <v>1.84</v>
      </c>
      <c r="H55" t="s">
        <v>3455</v>
      </c>
      <c r="I55">
        <v>4535460200</v>
      </c>
      <c r="J55">
        <v>24.9</v>
      </c>
      <c r="K55">
        <v>1.63</v>
      </c>
      <c r="L55" t="s">
        <v>2891</v>
      </c>
      <c r="M55" t="s">
        <v>2279</v>
      </c>
      <c r="N55" t="s">
        <v>3456</v>
      </c>
      <c r="O55" t="s">
        <v>474</v>
      </c>
      <c r="P55">
        <v>-8.49</v>
      </c>
      <c r="Q55" t="s">
        <v>569</v>
      </c>
      <c r="R55">
        <v>61502387</v>
      </c>
      <c r="S55" s="6">
        <v>-0.23619999999999999</v>
      </c>
      <c r="T55" t="s">
        <v>365</v>
      </c>
      <c r="U55">
        <v>93736436</v>
      </c>
      <c r="V55">
        <v>167360160</v>
      </c>
      <c r="W55">
        <v>1.32</v>
      </c>
      <c r="X55">
        <v>7.0000000000000007E-2</v>
      </c>
      <c r="Y55">
        <v>25.15</v>
      </c>
      <c r="Z55" t="s">
        <v>259</v>
      </c>
      <c r="AA55" t="s">
        <v>122</v>
      </c>
      <c r="AB55" t="s">
        <v>3457</v>
      </c>
      <c r="AC55" t="s">
        <v>3458</v>
      </c>
      <c r="AD55" t="s">
        <v>2</v>
      </c>
      <c r="AE55">
        <v>-364605</v>
      </c>
      <c r="AF55" t="s">
        <v>2437</v>
      </c>
      <c r="AG55" t="s">
        <v>2</v>
      </c>
      <c r="AH55" t="s">
        <v>2438</v>
      </c>
      <c r="AI55" t="s">
        <v>1870</v>
      </c>
      <c r="AJ55" t="s">
        <v>2439</v>
      </c>
      <c r="AK55" t="s">
        <v>3459</v>
      </c>
      <c r="AL55" t="s">
        <v>2440</v>
      </c>
      <c r="AM55" t="s">
        <v>2</v>
      </c>
      <c r="AN55" t="s">
        <v>47</v>
      </c>
      <c r="AO55" t="s">
        <v>368</v>
      </c>
      <c r="AP55" t="s">
        <v>58</v>
      </c>
      <c r="AQ55" t="s">
        <v>146</v>
      </c>
      <c r="AR55" t="s">
        <v>2</v>
      </c>
      <c r="AS55" t="s">
        <v>44</v>
      </c>
      <c r="AT55" t="s">
        <v>2441</v>
      </c>
      <c r="AU55" t="s">
        <v>3460</v>
      </c>
      <c r="AV55" t="s">
        <v>26</v>
      </c>
      <c r="AW55" t="s">
        <v>213</v>
      </c>
      <c r="AX55" t="s">
        <v>595</v>
      </c>
      <c r="AY55" t="s">
        <v>430</v>
      </c>
      <c r="AZ55" t="s">
        <v>192</v>
      </c>
      <c r="BA55" t="s">
        <v>262</v>
      </c>
      <c r="BB55" t="s">
        <v>508</v>
      </c>
      <c r="BC55" t="s">
        <v>181</v>
      </c>
      <c r="BD55" t="s">
        <v>191</v>
      </c>
      <c r="BE55" t="s">
        <v>309</v>
      </c>
      <c r="BF55" t="s">
        <v>1102</v>
      </c>
      <c r="BG55" t="s">
        <v>1103</v>
      </c>
      <c r="BH55" t="s">
        <v>569</v>
      </c>
      <c r="BI55" t="s">
        <v>18</v>
      </c>
      <c r="BJ55" t="s">
        <v>595</v>
      </c>
      <c r="BK55" t="s">
        <v>365</v>
      </c>
      <c r="BL55" t="s">
        <v>2442</v>
      </c>
      <c r="BM55" t="s">
        <v>181</v>
      </c>
      <c r="BN55">
        <v>5.97</v>
      </c>
      <c r="BO55">
        <v>5.81</v>
      </c>
      <c r="BP55">
        <v>11.02</v>
      </c>
      <c r="BQ55">
        <v>6.19</v>
      </c>
      <c r="BR55">
        <v>5.92</v>
      </c>
      <c r="BS55">
        <v>11.61</v>
      </c>
      <c r="BT55" t="s">
        <v>1542</v>
      </c>
      <c r="BU55" t="s">
        <v>1274</v>
      </c>
      <c r="BV55">
        <v>41.39</v>
      </c>
      <c r="BW55">
        <v>43.52</v>
      </c>
      <c r="BX55">
        <v>50.37</v>
      </c>
      <c r="BY55">
        <v>20.77</v>
      </c>
      <c r="BZ55">
        <v>20.239999999999998</v>
      </c>
      <c r="CA55">
        <v>25.38</v>
      </c>
      <c r="CB55">
        <v>-3.39</v>
      </c>
      <c r="CC55">
        <v>5.78</v>
      </c>
      <c r="CD55" t="s">
        <v>3461</v>
      </c>
      <c r="CE55" t="s">
        <v>109</v>
      </c>
      <c r="CF55" s="10">
        <v>-8.6330935251798566E-2</v>
      </c>
      <c r="CG55" s="11">
        <v>-0.23620867459405756</v>
      </c>
      <c r="CH55" s="10">
        <v>0.23932729661464691</v>
      </c>
      <c r="CI55" s="10">
        <v>-4.0942929685115814E-2</v>
      </c>
      <c r="CJ55" s="10">
        <v>0.52362948656082153</v>
      </c>
      <c r="CK55" s="10">
        <v>0.66352200508117676</v>
      </c>
      <c r="CL55" s="10">
        <v>-6.2500000931322575E-3</v>
      </c>
      <c r="CM55" s="11">
        <v>0.33112582564353943</v>
      </c>
      <c r="CN55" s="11">
        <v>-0.24500000476837158</v>
      </c>
      <c r="CO55" s="11">
        <v>0.5151515007019043</v>
      </c>
      <c r="CP55" s="11">
        <v>1.0749366283416748</v>
      </c>
      <c r="CQ55" s="11">
        <v>-0.15488342940807343</v>
      </c>
      <c r="CR55">
        <v>33.069675146802432</v>
      </c>
      <c r="CS55">
        <v>1.1987970058391046</v>
      </c>
      <c r="CT55">
        <v>0.66420664206642066</v>
      </c>
      <c r="CU55" s="10">
        <v>0.27585717169567942</v>
      </c>
      <c r="CV55" s="11">
        <v>0.30426610410213473</v>
      </c>
      <c r="CW55">
        <v>0.06</v>
      </c>
      <c r="CX55">
        <v>10.083272070318523</v>
      </c>
      <c r="CY55">
        <v>241931407.08569011</v>
      </c>
      <c r="CZ55">
        <v>0.27585717169567942</v>
      </c>
      <c r="DA55">
        <v>2.8250699681458662</v>
      </c>
      <c r="DB55">
        <v>863504347.68206906</v>
      </c>
      <c r="DC55">
        <v>0.26206431311089545</v>
      </c>
      <c r="DD55">
        <v>1.1175520270598094</v>
      </c>
      <c r="DE55">
        <v>2182860520.9710245</v>
      </c>
      <c r="DF55">
        <v>0.24275431109219789</v>
      </c>
      <c r="DG55">
        <v>0.51505070159714084</v>
      </c>
      <c r="DH55">
        <v>4736349630.1148272</v>
      </c>
      <c r="DI55">
        <v>0.22068573735654354</v>
      </c>
      <c r="DJ55">
        <v>0.14027950279317553</v>
      </c>
      <c r="DK55">
        <v>17389997479.508301</v>
      </c>
      <c r="DL55">
        <v>0.19310002018697559</v>
      </c>
      <c r="DM55">
        <v>200999999.99999997</v>
      </c>
      <c r="DN55">
        <v>0.27585717169567942</v>
      </c>
      <c r="DO55">
        <v>2439460200</v>
      </c>
      <c r="DP55">
        <v>2193982600</v>
      </c>
      <c r="DQ55">
        <v>2084</v>
      </c>
      <c r="DR55">
        <v>-0.36218810694747799</v>
      </c>
      <c r="DS55">
        <v>-0.54047477869619232</v>
      </c>
      <c r="DT55" s="12">
        <v>9.3333333333333338E-2</v>
      </c>
      <c r="DU55">
        <v>6.3333333333333353E-2</v>
      </c>
      <c r="DV55">
        <v>0.15666666666666668</v>
      </c>
      <c r="DW55">
        <v>-6.3696837513631408</v>
      </c>
      <c r="DX55">
        <v>0.30095370370370517</v>
      </c>
      <c r="DY55">
        <v>-6.0447146189264513</v>
      </c>
      <c r="DZ55">
        <v>1356</v>
      </c>
      <c r="EA55">
        <v>-6.0328490566438155</v>
      </c>
      <c r="EB55">
        <v>6</v>
      </c>
      <c r="EC55">
        <v>7.8053223658485993E-2</v>
      </c>
      <c r="ED55">
        <v>0.64531487063587889</v>
      </c>
      <c r="EE55" s="13">
        <v>-1.0083</v>
      </c>
      <c r="EF55">
        <v>-1.02891</v>
      </c>
      <c r="EG55">
        <v>18.120953703703705</v>
      </c>
      <c r="EH55" t="s">
        <v>1550</v>
      </c>
      <c r="EI55">
        <v>0</v>
      </c>
      <c r="EJ55">
        <v>1</v>
      </c>
      <c r="EK55" s="14">
        <v>45470</v>
      </c>
      <c r="EL55">
        <v>-1.1200000000000001</v>
      </c>
      <c r="EM55">
        <v>-4.5999999999999996</v>
      </c>
      <c r="EN55">
        <v>-1.71</v>
      </c>
      <c r="EO55">
        <v>2.5299999999999998</v>
      </c>
      <c r="EP55">
        <v>-3.72</v>
      </c>
    </row>
    <row r="56" spans="1:146" ht="96" x14ac:dyDescent="0.25">
      <c r="C56" s="9" t="str">
        <f>""&amp;CHAR(10)&amp;Basic_Fundamental_Information_Constructure(F56)&amp;CHAR(10)&amp;Basic_Fundamental_Information_Concatenate("")</f>
        <v xml:space="preserve">
市值17.272166亿, 利润-1.45亿; PE; 平均PE-73.55; 平均PEG-5.96, PB2.67; ROIC5.01%; ROE-6.3433%; 股利率0%; 毛利25.6033%; 净利-29.2067%; 上一年度营收增65.92%, 利润增14.71%; 当季营收增118.28%, 利润增129.12%; 过往5年营收增12.34%, 利润增-88.49%
Income profile:
</v>
      </c>
      <c r="D56" t="s">
        <v>919</v>
      </c>
      <c r="E56" t="s">
        <v>920</v>
      </c>
      <c r="F56">
        <v>5.45</v>
      </c>
      <c r="G56">
        <v>0.37</v>
      </c>
      <c r="H56" t="s">
        <v>3462</v>
      </c>
      <c r="I56">
        <v>1727216600</v>
      </c>
      <c r="K56">
        <v>2.67</v>
      </c>
      <c r="L56" t="s">
        <v>2891</v>
      </c>
      <c r="M56" t="s">
        <v>2443</v>
      </c>
      <c r="N56" t="s">
        <v>1255</v>
      </c>
      <c r="O56" t="s">
        <v>223</v>
      </c>
      <c r="P56">
        <v>118.68</v>
      </c>
      <c r="Q56" t="s">
        <v>300</v>
      </c>
      <c r="R56">
        <v>5786440</v>
      </c>
      <c r="S56" s="6">
        <v>1.2909999999999999</v>
      </c>
      <c r="T56" t="s">
        <v>2367</v>
      </c>
      <c r="U56">
        <v>224124700</v>
      </c>
      <c r="V56">
        <v>316920480</v>
      </c>
      <c r="W56">
        <v>3.02</v>
      </c>
      <c r="X56">
        <v>0.05</v>
      </c>
      <c r="Y56">
        <v>4.8099999999999996</v>
      </c>
      <c r="Z56" t="s">
        <v>125</v>
      </c>
      <c r="AA56" t="s">
        <v>3463</v>
      </c>
      <c r="AB56" t="s">
        <v>3464</v>
      </c>
      <c r="AC56" t="s">
        <v>3465</v>
      </c>
      <c r="AD56" t="s">
        <v>2</v>
      </c>
      <c r="AE56">
        <v>14857292</v>
      </c>
      <c r="AF56" t="s">
        <v>2444</v>
      </c>
      <c r="AG56" t="s">
        <v>3466</v>
      </c>
      <c r="AH56" t="s">
        <v>2445</v>
      </c>
      <c r="AI56" t="s">
        <v>473</v>
      </c>
      <c r="AJ56" t="s">
        <v>2446</v>
      </c>
      <c r="AK56" t="s">
        <v>2</v>
      </c>
      <c r="AL56" t="s">
        <v>2447</v>
      </c>
      <c r="AM56" t="s">
        <v>2</v>
      </c>
      <c r="AN56" t="s">
        <v>3467</v>
      </c>
      <c r="AO56" t="s">
        <v>1799</v>
      </c>
      <c r="AP56" t="s">
        <v>3468</v>
      </c>
      <c r="AQ56" t="s">
        <v>567</v>
      </c>
      <c r="AR56" t="s">
        <v>2</v>
      </c>
      <c r="AS56" t="s">
        <v>2282</v>
      </c>
      <c r="AT56" t="s">
        <v>342</v>
      </c>
      <c r="AU56" t="s">
        <v>3469</v>
      </c>
      <c r="AV56" t="s">
        <v>3470</v>
      </c>
      <c r="AW56" t="s">
        <v>3471</v>
      </c>
      <c r="AX56" t="s">
        <v>303</v>
      </c>
      <c r="AY56" t="s">
        <v>375</v>
      </c>
      <c r="AZ56" t="s">
        <v>370</v>
      </c>
      <c r="BA56" t="s">
        <v>602</v>
      </c>
      <c r="BB56" t="s">
        <v>436</v>
      </c>
      <c r="BC56" t="s">
        <v>621</v>
      </c>
      <c r="BD56" t="s">
        <v>1339</v>
      </c>
      <c r="BE56" t="s">
        <v>921</v>
      </c>
      <c r="BF56" t="s">
        <v>922</v>
      </c>
      <c r="BG56" t="s">
        <v>923</v>
      </c>
      <c r="BH56" t="s">
        <v>300</v>
      </c>
      <c r="BI56" t="s">
        <v>2448</v>
      </c>
      <c r="BJ56" t="s">
        <v>303</v>
      </c>
      <c r="BK56" t="s">
        <v>2367</v>
      </c>
      <c r="BL56" t="s">
        <v>2449</v>
      </c>
      <c r="BM56" t="s">
        <v>621</v>
      </c>
      <c r="BN56" t="s">
        <v>2</v>
      </c>
      <c r="BO56" t="s">
        <v>2</v>
      </c>
      <c r="BP56">
        <v>5.01</v>
      </c>
      <c r="BQ56">
        <v>-3.98</v>
      </c>
      <c r="BR56">
        <v>-19.510000000000002</v>
      </c>
      <c r="BS56">
        <v>4.46</v>
      </c>
      <c r="BT56" t="s">
        <v>1521</v>
      </c>
      <c r="BU56" t="s">
        <v>1445</v>
      </c>
      <c r="BV56">
        <v>17.28</v>
      </c>
      <c r="BW56">
        <v>29.39</v>
      </c>
      <c r="BX56">
        <v>30.14</v>
      </c>
      <c r="BY56">
        <v>-33.19</v>
      </c>
      <c r="BZ56">
        <v>-65.48</v>
      </c>
      <c r="CA56">
        <v>11.05</v>
      </c>
      <c r="CB56">
        <v>-4.22</v>
      </c>
      <c r="CC56">
        <v>1.49</v>
      </c>
      <c r="CD56" t="s">
        <v>3472</v>
      </c>
      <c r="CE56" t="s">
        <v>2833</v>
      </c>
      <c r="CF56" s="10">
        <v>1.1827939762896511</v>
      </c>
      <c r="CG56" s="11">
        <v>1.2912398141763513</v>
      </c>
      <c r="CH56" s="10">
        <v>0.6591760516166687</v>
      </c>
      <c r="CI56" s="10">
        <v>-0.4795321524143219</v>
      </c>
      <c r="CJ56" s="10">
        <v>-5.1756005734205246E-2</v>
      </c>
      <c r="CK56" s="10">
        <v>0.4015544056892395</v>
      </c>
      <c r="CL56" s="10">
        <v>8.7323941290378571E-2</v>
      </c>
      <c r="CM56" s="11">
        <v>0.14705882966518402</v>
      </c>
      <c r="CN56" s="11">
        <v>-5.0652737617492676</v>
      </c>
      <c r="CO56" s="11">
        <v>-0.33914577960968018</v>
      </c>
      <c r="CP56" s="11">
        <v>0.90519213676452637</v>
      </c>
      <c r="CQ56" s="11">
        <v>-7.215011864900589E-2</v>
      </c>
      <c r="CR56">
        <v>-73.553561314628098</v>
      </c>
      <c r="CS56">
        <v>-5.9628394431275717</v>
      </c>
      <c r="CT56">
        <v>0</v>
      </c>
      <c r="CU56" s="10">
        <v>0.12335324808955192</v>
      </c>
      <c r="CV56" s="11">
        <v>-0.88486373871564861</v>
      </c>
      <c r="CW56">
        <v>0.06</v>
      </c>
      <c r="CX56" t="e">
        <v>#VALUE!</v>
      </c>
      <c r="CY56" t="s">
        <v>1238</v>
      </c>
      <c r="CZ56">
        <v>0.12335324808955192</v>
      </c>
      <c r="DA56" t="e">
        <v>#VALUE!</v>
      </c>
      <c r="DB56" t="s">
        <v>1238</v>
      </c>
      <c r="DC56">
        <v>0.11718558568507433</v>
      </c>
      <c r="DD56" t="e">
        <v>#VALUE!</v>
      </c>
      <c r="DE56" t="s">
        <v>1238</v>
      </c>
      <c r="DF56">
        <v>0.10855085831880569</v>
      </c>
      <c r="DG56" t="e">
        <v>#VALUE!</v>
      </c>
      <c r="DH56" t="s">
        <v>1238</v>
      </c>
      <c r="DI56">
        <v>9.8682598471641542E-2</v>
      </c>
      <c r="DJ56" t="e">
        <v>#VALUE!</v>
      </c>
      <c r="DK56" t="s">
        <v>1238</v>
      </c>
      <c r="DL56">
        <v>8.6347273662686339E-2</v>
      </c>
      <c r="DM56">
        <v>-145000000</v>
      </c>
      <c r="DN56">
        <v>0.12335324808955192</v>
      </c>
      <c r="DO56">
        <v>2411216600</v>
      </c>
      <c r="DP56">
        <v>-323506550</v>
      </c>
      <c r="DQ56">
        <v>2136</v>
      </c>
      <c r="DR56">
        <v>1.0594407282000993</v>
      </c>
      <c r="DS56">
        <v>2.1761035528920001</v>
      </c>
      <c r="DT56" s="12">
        <v>-0.14000000000000004</v>
      </c>
      <c r="DU56">
        <v>-0.59333333333333338</v>
      </c>
      <c r="DV56">
        <v>-0.73333333333333339</v>
      </c>
      <c r="DW56">
        <v>-4.3530805687203795</v>
      </c>
      <c r="DX56">
        <v>0.23031667256637134</v>
      </c>
      <c r="DY56">
        <v>-4.0424814791762778</v>
      </c>
      <c r="DZ56">
        <v>3252</v>
      </c>
      <c r="EA56">
        <v>-4.0154462990820985</v>
      </c>
      <c r="EB56">
        <v>4</v>
      </c>
      <c r="EC56">
        <v>0.25739800722250578</v>
      </c>
      <c r="ED56">
        <v>2.1393379184582835</v>
      </c>
      <c r="EE56" s="13">
        <v>-2.0666099999999998</v>
      </c>
      <c r="EF56">
        <v>-2.0630099999999998</v>
      </c>
      <c r="EG56">
        <v>11.120316672566371</v>
      </c>
      <c r="EH56" t="s">
        <v>1555</v>
      </c>
      <c r="EI56">
        <v>0</v>
      </c>
      <c r="EJ56">
        <v>0</v>
      </c>
      <c r="EK56" s="14">
        <v>45470</v>
      </c>
      <c r="EL56">
        <v>-1.06</v>
      </c>
      <c r="EM56">
        <v>-2.85</v>
      </c>
      <c r="EN56">
        <v>-1.1000000000000001</v>
      </c>
      <c r="EO56">
        <v>3.71</v>
      </c>
      <c r="EP56">
        <v>0.36</v>
      </c>
    </row>
    <row r="57" spans="1:146" ht="96" x14ac:dyDescent="0.25">
      <c r="A57" s="9"/>
      <c r="B57" s="9"/>
      <c r="C57" s="9" t="str">
        <f>""&amp;CHAR(10)&amp;Basic_Fundamental_Information_Constructure(F57)&amp;CHAR(10)&amp;Basic_Fundamental_Information_Concatenate("")</f>
        <v xml:space="preserve">
市值33.885757亿, 利润1.21亿; PE20.44; 平均PE35.32; 平均PEG.82, PB3.54; ROIC14.7033%; ROE15.1567%; 股利率1.7192%; 毛利29.91%; 净利16.7133%; 上一年度营收增146.39%, 利润增-13.57%; 当季营收增-30.49%, 利润增55.54%; 过往5年营收增42.88%, 利润增18.51%
Income profile:
</v>
      </c>
      <c r="D57" t="s">
        <v>768</v>
      </c>
      <c r="E57" t="s">
        <v>769</v>
      </c>
      <c r="F57">
        <v>17.45</v>
      </c>
      <c r="G57">
        <v>-3.06</v>
      </c>
      <c r="H57" t="s">
        <v>3473</v>
      </c>
      <c r="I57">
        <v>3388575700</v>
      </c>
      <c r="J57">
        <v>20.440000000000001</v>
      </c>
      <c r="K57">
        <v>3.54</v>
      </c>
      <c r="L57" t="s">
        <v>2891</v>
      </c>
      <c r="M57" t="s">
        <v>618</v>
      </c>
      <c r="N57" t="s">
        <v>2282</v>
      </c>
      <c r="O57" t="s">
        <v>199</v>
      </c>
      <c r="P57">
        <v>65.239999999999995</v>
      </c>
      <c r="Q57" t="s">
        <v>1951</v>
      </c>
      <c r="R57">
        <v>31287247</v>
      </c>
      <c r="S57" s="6">
        <v>0.61519999999999997</v>
      </c>
      <c r="T57" t="s">
        <v>59</v>
      </c>
      <c r="U57">
        <v>194160720</v>
      </c>
      <c r="V57">
        <v>194187720</v>
      </c>
      <c r="W57">
        <v>1.49</v>
      </c>
      <c r="X57">
        <v>0.16</v>
      </c>
      <c r="Y57">
        <v>14.71</v>
      </c>
      <c r="Z57" t="s">
        <v>548</v>
      </c>
      <c r="AA57" t="s">
        <v>75</v>
      </c>
      <c r="AB57" t="s">
        <v>3474</v>
      </c>
      <c r="AC57" t="s">
        <v>3475</v>
      </c>
      <c r="AD57" t="s">
        <v>2</v>
      </c>
      <c r="AE57">
        <v>-1795034</v>
      </c>
      <c r="AF57" t="s">
        <v>2455</v>
      </c>
      <c r="AG57">
        <v>0</v>
      </c>
      <c r="AH57" t="s">
        <v>2456</v>
      </c>
      <c r="AI57" t="s">
        <v>384</v>
      </c>
      <c r="AJ57" t="s">
        <v>2457</v>
      </c>
      <c r="AK57" t="s">
        <v>2</v>
      </c>
      <c r="AL57" t="s">
        <v>2458</v>
      </c>
      <c r="AM57" t="s">
        <v>2</v>
      </c>
      <c r="AN57">
        <v>0</v>
      </c>
      <c r="AO57" t="s">
        <v>2</v>
      </c>
      <c r="AP57" t="s">
        <v>100</v>
      </c>
      <c r="AQ57" t="s">
        <v>567</v>
      </c>
      <c r="AR57" t="s">
        <v>3476</v>
      </c>
      <c r="AS57" t="s">
        <v>104</v>
      </c>
      <c r="AT57" t="s">
        <v>2</v>
      </c>
      <c r="AU57" t="s">
        <v>3477</v>
      </c>
      <c r="AV57" t="s">
        <v>1957</v>
      </c>
      <c r="AW57" t="s">
        <v>3478</v>
      </c>
      <c r="AX57" t="s">
        <v>63</v>
      </c>
      <c r="AY57" t="s">
        <v>318</v>
      </c>
      <c r="AZ57" t="s">
        <v>440</v>
      </c>
      <c r="BA57" t="s">
        <v>500</v>
      </c>
      <c r="BB57" t="s">
        <v>744</v>
      </c>
      <c r="BC57" t="s">
        <v>106</v>
      </c>
      <c r="BD57" t="s">
        <v>114</v>
      </c>
      <c r="BE57" t="s">
        <v>770</v>
      </c>
      <c r="BF57" t="s">
        <v>771</v>
      </c>
      <c r="BG57" t="s">
        <v>772</v>
      </c>
      <c r="BH57" t="s">
        <v>622</v>
      </c>
      <c r="BI57" t="s">
        <v>652</v>
      </c>
      <c r="BJ57" t="s">
        <v>63</v>
      </c>
      <c r="BK57" t="s">
        <v>113</v>
      </c>
      <c r="BL57" t="s">
        <v>3479</v>
      </c>
      <c r="BM57" t="s">
        <v>106</v>
      </c>
      <c r="BN57">
        <v>11.88</v>
      </c>
      <c r="BO57">
        <v>17.32</v>
      </c>
      <c r="BP57">
        <v>14.91</v>
      </c>
      <c r="BQ57">
        <v>12.17</v>
      </c>
      <c r="BR57">
        <v>17.77</v>
      </c>
      <c r="BS57">
        <v>15.53</v>
      </c>
      <c r="BT57" t="s">
        <v>1533</v>
      </c>
      <c r="BU57" t="s">
        <v>1444</v>
      </c>
      <c r="BV57">
        <v>28.57</v>
      </c>
      <c r="BW57">
        <v>32.17</v>
      </c>
      <c r="BX57">
        <v>28.99</v>
      </c>
      <c r="BY57">
        <v>16.91</v>
      </c>
      <c r="BZ57">
        <v>17.37</v>
      </c>
      <c r="CA57">
        <v>15.86</v>
      </c>
      <c r="CB57">
        <v>-11.11</v>
      </c>
      <c r="CC57">
        <v>-2.57</v>
      </c>
      <c r="CD57" t="s">
        <v>3480</v>
      </c>
      <c r="CE57" t="s">
        <v>234</v>
      </c>
      <c r="CF57" s="10">
        <v>-0.30491803278688523</v>
      </c>
      <c r="CG57" s="11">
        <v>0.55535683393153645</v>
      </c>
      <c r="CH57" s="10">
        <v>1.4639302492141724</v>
      </c>
      <c r="CI57" s="10">
        <v>0.20179371535778046</v>
      </c>
      <c r="CJ57" s="10">
        <v>0.31692913174629211</v>
      </c>
      <c r="CK57" s="10">
        <v>2.6262626051902771E-2</v>
      </c>
      <c r="CL57" s="10">
        <v>0.13532109558582306</v>
      </c>
      <c r="CM57" s="11">
        <v>-0.13571429252624512</v>
      </c>
      <c r="CN57" s="11">
        <v>0.32075470685958862</v>
      </c>
      <c r="CO57" s="11">
        <v>0.34302499890327454</v>
      </c>
      <c r="CP57" s="11">
        <v>6.4408339560031891E-2</v>
      </c>
      <c r="CQ57" s="11">
        <v>0.3332182765007019</v>
      </c>
      <c r="CR57">
        <v>35.316406988917556</v>
      </c>
      <c r="CS57">
        <v>0.82351927485751097</v>
      </c>
      <c r="CT57">
        <v>1.7191977077363898</v>
      </c>
      <c r="CU57" s="10">
        <v>0.42884736359119413</v>
      </c>
      <c r="CV57" s="11">
        <v>0.18513840585947036</v>
      </c>
      <c r="CW57">
        <v>0.06</v>
      </c>
      <c r="CX57">
        <v>17.164330660155191</v>
      </c>
      <c r="CY57">
        <v>163104274.52314577</v>
      </c>
      <c r="CZ57">
        <v>0.42884736359119413</v>
      </c>
      <c r="DA57">
        <v>4.2599336272831723</v>
      </c>
      <c r="DB57">
        <v>657187633.64523721</v>
      </c>
      <c r="DC57">
        <v>0.40740499541163439</v>
      </c>
      <c r="DD57">
        <v>1.3978735505251856</v>
      </c>
      <c r="DE57">
        <v>2002738873.5899541</v>
      </c>
      <c r="DF57">
        <v>0.37738567996025085</v>
      </c>
      <c r="DG57">
        <v>0.50456605222148465</v>
      </c>
      <c r="DH57">
        <v>5548482082.1260805</v>
      </c>
      <c r="DI57">
        <v>0.34307789087295532</v>
      </c>
      <c r="DJ57">
        <v>7.314567496971866E-2</v>
      </c>
      <c r="DK57">
        <v>38273974519.463898</v>
      </c>
      <c r="DL57">
        <v>0.30019315451383588</v>
      </c>
      <c r="DM57">
        <v>121000000</v>
      </c>
      <c r="DN57">
        <v>0.42884736359119413</v>
      </c>
      <c r="DO57">
        <v>2799575700</v>
      </c>
      <c r="DP57">
        <v>687480330</v>
      </c>
      <c r="DQ57">
        <v>2336</v>
      </c>
      <c r="DR57">
        <v>-0.73376539637807936</v>
      </c>
      <c r="DS57">
        <v>0.37021842807206606</v>
      </c>
      <c r="DT57" s="12">
        <v>0.17666666666666667</v>
      </c>
      <c r="DU57">
        <v>0.60333333333333328</v>
      </c>
      <c r="DV57">
        <v>0.77999999999999992</v>
      </c>
      <c r="DW57">
        <v>-5.2313231323132312</v>
      </c>
      <c r="DX57">
        <v>0.27686967741935603</v>
      </c>
      <c r="DY57">
        <v>-5.0224081972068175</v>
      </c>
      <c r="DZ57">
        <v>3234</v>
      </c>
      <c r="EA57">
        <v>-5.0082265710293523</v>
      </c>
      <c r="EB57">
        <v>5</v>
      </c>
      <c r="EC57">
        <v>0.15464211640159325</v>
      </c>
      <c r="ED57">
        <v>1.5963934279675358</v>
      </c>
      <c r="EE57" s="13">
        <v>2.1158999999999999</v>
      </c>
      <c r="EF57">
        <v>2.1135999999999999</v>
      </c>
      <c r="EG57">
        <v>18.096869677419356</v>
      </c>
      <c r="EH57" t="s">
        <v>1552</v>
      </c>
      <c r="EI57">
        <v>0</v>
      </c>
      <c r="EJ57">
        <v>0</v>
      </c>
      <c r="EK57" s="14">
        <v>45470</v>
      </c>
      <c r="EL57">
        <v>-1.02</v>
      </c>
      <c r="EM57">
        <v>-3.63</v>
      </c>
      <c r="EN57">
        <v>3.52</v>
      </c>
      <c r="EO57">
        <v>4.83</v>
      </c>
      <c r="EP57">
        <v>-0.23</v>
      </c>
    </row>
    <row r="58" spans="1:146" ht="96" x14ac:dyDescent="0.25">
      <c r="A58" s="9"/>
      <c r="B58" s="9"/>
      <c r="C58" s="9" t="str">
        <f>""&amp;CHAR(10)&amp;Basic_Fundamental_Information_Constructure(F58)&amp;CHAR(10)&amp;Basic_Fundamental_Information_Concatenate("")</f>
        <v xml:space="preserve">
市值45.84943亿, 利润-707.39万; PE17.88; 平均PE65.45; 平均PEG7.19, PB3.79; ROIC13.1833%; ROE13.9167%; 股利率3.7453%; 毛利33.4933%; 净利16.76%; 上一年度营收增-15.52%, 利润增-105.24%; 当季营收增52.08%, 利润增719.2%; 过往5年营收增9.1%, 利润增1.81%
Income profile:
</v>
      </c>
      <c r="D58" t="s">
        <v>773</v>
      </c>
      <c r="E58" t="s">
        <v>774</v>
      </c>
      <c r="F58">
        <v>16.02</v>
      </c>
      <c r="G58">
        <v>-1.17</v>
      </c>
      <c r="H58" t="s">
        <v>3481</v>
      </c>
      <c r="I58">
        <v>4584943000</v>
      </c>
      <c r="J58">
        <v>17.88</v>
      </c>
      <c r="K58">
        <v>3.79</v>
      </c>
      <c r="L58" t="s">
        <v>2891</v>
      </c>
      <c r="M58" t="s">
        <v>266</v>
      </c>
      <c r="N58" t="s">
        <v>2881</v>
      </c>
      <c r="O58" t="s">
        <v>231</v>
      </c>
      <c r="P58">
        <v>5.71</v>
      </c>
      <c r="Q58" t="s">
        <v>1054</v>
      </c>
      <c r="R58">
        <v>43669164</v>
      </c>
      <c r="S58" s="6">
        <v>0.16880000000000001</v>
      </c>
      <c r="T58" t="s">
        <v>3482</v>
      </c>
      <c r="U58">
        <v>266327030</v>
      </c>
      <c r="V58">
        <v>286201190</v>
      </c>
      <c r="W58">
        <v>1.33</v>
      </c>
      <c r="X58">
        <v>0.14000000000000001</v>
      </c>
      <c r="Y58">
        <v>19.899999999999999</v>
      </c>
      <c r="Z58" t="s">
        <v>47</v>
      </c>
      <c r="AA58" t="s">
        <v>125</v>
      </c>
      <c r="AB58" t="s">
        <v>2565</v>
      </c>
      <c r="AC58" t="s">
        <v>3483</v>
      </c>
      <c r="AD58" t="s">
        <v>2</v>
      </c>
      <c r="AE58">
        <v>-2812119</v>
      </c>
      <c r="AF58" t="s">
        <v>2459</v>
      </c>
      <c r="AG58" t="s">
        <v>3484</v>
      </c>
      <c r="AH58" t="s">
        <v>2460</v>
      </c>
      <c r="AI58" t="s">
        <v>65</v>
      </c>
      <c r="AJ58" t="s">
        <v>2461</v>
      </c>
      <c r="AK58" t="s">
        <v>2</v>
      </c>
      <c r="AL58" t="s">
        <v>2462</v>
      </c>
      <c r="AM58" t="s">
        <v>2</v>
      </c>
      <c r="AN58" t="s">
        <v>3485</v>
      </c>
      <c r="AO58" t="s">
        <v>1405</v>
      </c>
      <c r="AP58" t="s">
        <v>151</v>
      </c>
      <c r="AQ58" t="s">
        <v>254</v>
      </c>
      <c r="AR58">
        <v>5714.29</v>
      </c>
      <c r="AS58" t="s">
        <v>527</v>
      </c>
      <c r="AT58" t="s">
        <v>2</v>
      </c>
      <c r="AU58" t="s">
        <v>3486</v>
      </c>
      <c r="AV58" t="s">
        <v>3487</v>
      </c>
      <c r="AW58" t="s">
        <v>3488</v>
      </c>
      <c r="AX58" t="s">
        <v>624</v>
      </c>
      <c r="AY58" t="s">
        <v>605</v>
      </c>
      <c r="AZ58" t="s">
        <v>289</v>
      </c>
      <c r="BA58" t="s">
        <v>321</v>
      </c>
      <c r="BB58" t="s">
        <v>756</v>
      </c>
      <c r="BC58" t="s">
        <v>125</v>
      </c>
      <c r="BD58" t="s">
        <v>1341</v>
      </c>
      <c r="BE58" t="s">
        <v>775</v>
      </c>
      <c r="BF58" t="s">
        <v>776</v>
      </c>
      <c r="BG58" t="s">
        <v>777</v>
      </c>
      <c r="BH58" t="s">
        <v>2354</v>
      </c>
      <c r="BI58" t="s">
        <v>61</v>
      </c>
      <c r="BJ58" t="s">
        <v>624</v>
      </c>
      <c r="BK58" t="s">
        <v>533</v>
      </c>
      <c r="BL58" t="s">
        <v>3489</v>
      </c>
      <c r="BM58" t="s">
        <v>125</v>
      </c>
      <c r="BN58">
        <v>17.66</v>
      </c>
      <c r="BO58">
        <v>14.87</v>
      </c>
      <c r="BP58">
        <v>7.02</v>
      </c>
      <c r="BQ58">
        <v>18.62</v>
      </c>
      <c r="BR58">
        <v>15.16</v>
      </c>
      <c r="BS58">
        <v>7.97</v>
      </c>
      <c r="BT58" t="s">
        <v>2463</v>
      </c>
      <c r="BU58" t="s">
        <v>1444</v>
      </c>
      <c r="BV58">
        <v>36.770000000000003</v>
      </c>
      <c r="BW58">
        <v>33.92</v>
      </c>
      <c r="BX58">
        <v>29.79</v>
      </c>
      <c r="BY58">
        <v>22.34</v>
      </c>
      <c r="BZ58">
        <v>16.010000000000002</v>
      </c>
      <c r="CA58">
        <v>11.93</v>
      </c>
      <c r="CB58">
        <v>-7.29</v>
      </c>
      <c r="CC58">
        <v>3.88</v>
      </c>
      <c r="CD58" t="s">
        <v>3490</v>
      </c>
      <c r="CE58" t="s">
        <v>286</v>
      </c>
      <c r="CF58" s="10">
        <v>0.52083333333333337</v>
      </c>
      <c r="CG58" s="11">
        <v>7.1920130564466191</v>
      </c>
      <c r="CH58" s="10">
        <v>-0.15521326661109924</v>
      </c>
      <c r="CI58" s="10">
        <v>0.54578757286071777</v>
      </c>
      <c r="CJ58" s="10">
        <v>-4.3782837688922882E-2</v>
      </c>
      <c r="CK58" s="10">
        <v>5.2816900424659252E-3</v>
      </c>
      <c r="CL58" s="10">
        <v>0.10291261970996857</v>
      </c>
      <c r="CM58" s="11">
        <v>-1.0523992776870728</v>
      </c>
      <c r="CN58" s="11">
        <v>1.071247935295105</v>
      </c>
      <c r="CO58" s="11">
        <v>-0.25370442867279053</v>
      </c>
      <c r="CP58" s="11">
        <v>0.16021308302879333</v>
      </c>
      <c r="CQ58" s="11">
        <v>0.16507712006568909</v>
      </c>
      <c r="CR58">
        <v>65.448556580873515</v>
      </c>
      <c r="CS58">
        <v>7.1923738829294281</v>
      </c>
      <c r="CT58">
        <v>3.7453183520599254</v>
      </c>
      <c r="CU58" s="10">
        <v>9.0997155662626034E-2</v>
      </c>
      <c r="CV58" s="11">
        <v>1.8086886405944823E-2</v>
      </c>
      <c r="CW58">
        <v>0.06</v>
      </c>
      <c r="CX58" t="e">
        <v>#VALUE!</v>
      </c>
      <c r="CY58" t="s">
        <v>1238</v>
      </c>
      <c r="CZ58">
        <v>9.0997155662626034E-2</v>
      </c>
      <c r="DA58" t="e">
        <v>#VALUE!</v>
      </c>
      <c r="DB58" t="s">
        <v>1238</v>
      </c>
      <c r="DC58">
        <v>8.6447297879494733E-2</v>
      </c>
      <c r="DD58" t="e">
        <v>#VALUE!</v>
      </c>
      <c r="DE58" t="s">
        <v>1238</v>
      </c>
      <c r="DF58">
        <v>8.007749698311091E-2</v>
      </c>
      <c r="DG58" t="e">
        <v>#VALUE!</v>
      </c>
      <c r="DH58" t="s">
        <v>1238</v>
      </c>
      <c r="DI58">
        <v>7.2797724530100832E-2</v>
      </c>
      <c r="DJ58" t="e">
        <v>#VALUE!</v>
      </c>
      <c r="DK58" t="s">
        <v>1238</v>
      </c>
      <c r="DL58">
        <v>6.3698008963838218E-2</v>
      </c>
      <c r="DM58">
        <v>-7073900</v>
      </c>
      <c r="DN58">
        <v>9.0997155662626034E-2</v>
      </c>
      <c r="DO58">
        <v>3790943000</v>
      </c>
      <c r="DP58">
        <v>825231570</v>
      </c>
      <c r="DQ58">
        <v>2338</v>
      </c>
      <c r="DR58">
        <v>0.42983617767070736</v>
      </c>
      <c r="DS58">
        <v>7.1739261700406747</v>
      </c>
      <c r="DT58" s="12">
        <v>-0.45666666666666672</v>
      </c>
      <c r="DU58">
        <v>-0.3666666666666667</v>
      </c>
      <c r="DV58">
        <v>-0.82333333333333347</v>
      </c>
      <c r="DW58">
        <v>-5.5322359396433471</v>
      </c>
      <c r="DX58">
        <v>0.25029079283887479</v>
      </c>
      <c r="DY58">
        <v>-5.0533783643641748</v>
      </c>
      <c r="DZ58">
        <v>315</v>
      </c>
      <c r="EA58">
        <v>-5.0500879172458353</v>
      </c>
      <c r="EB58">
        <v>5</v>
      </c>
      <c r="EC58">
        <v>0.13701445476170102</v>
      </c>
      <c r="ED58">
        <v>1.3661718178041118</v>
      </c>
      <c r="EE58" s="13">
        <v>4.0186999999999999</v>
      </c>
      <c r="EF58">
        <v>4.0066100000000002</v>
      </c>
      <c r="EG58">
        <v>15.100290792838875</v>
      </c>
      <c r="EH58" t="s">
        <v>1822</v>
      </c>
      <c r="EI58">
        <v>0</v>
      </c>
      <c r="EJ58">
        <v>1</v>
      </c>
      <c r="EK58" s="14">
        <v>45470</v>
      </c>
      <c r="EL58">
        <v>1.83</v>
      </c>
      <c r="EM58">
        <v>-2.4900000000000002</v>
      </c>
      <c r="EN58">
        <v>-0.84</v>
      </c>
      <c r="EO58">
        <v>3.47</v>
      </c>
      <c r="EP58">
        <v>-2.5299999999999998</v>
      </c>
    </row>
    <row r="59" spans="1:146" ht="96" x14ac:dyDescent="0.25">
      <c r="A59" s="9"/>
      <c r="B59" s="9"/>
      <c r="C59" s="9" t="str">
        <f>""&amp;CHAR(10)&amp;Basic_Fundamental_Information_Constructure(F59)&amp;CHAR(10)&amp;Basic_Fundamental_Information_Concatenate("")</f>
        <v xml:space="preserve">
市值20.943947亿, 利润6635.30万; PE44.76; 平均PE21.44; 平均PEG.85, PB1.22; ROIC4.6867%; ROE4.6433%; 股利率2.4017%; 毛利18.51%; 净利4.5833%; 上一年度营收增51.13%, 利润增-12.53%; 当季营收增-6.6%, 利润增-57.36%; 过往5年营收增25.09%, 利润增2.34%
Income profile:
</v>
      </c>
      <c r="D59" t="s">
        <v>924</v>
      </c>
      <c r="E59" t="s">
        <v>925</v>
      </c>
      <c r="F59">
        <v>9.16</v>
      </c>
      <c r="G59">
        <v>-0.97</v>
      </c>
      <c r="H59" t="s">
        <v>3491</v>
      </c>
      <c r="I59">
        <v>2094394700</v>
      </c>
      <c r="J59">
        <v>44.76</v>
      </c>
      <c r="K59">
        <v>1.22</v>
      </c>
      <c r="L59" t="s">
        <v>2891</v>
      </c>
      <c r="M59" t="s">
        <v>1904</v>
      </c>
      <c r="N59" t="s">
        <v>1914</v>
      </c>
      <c r="O59" t="s">
        <v>561</v>
      </c>
      <c r="P59">
        <v>17.77</v>
      </c>
      <c r="Q59" t="s">
        <v>1849</v>
      </c>
      <c r="R59">
        <v>7057879</v>
      </c>
      <c r="S59" s="6">
        <v>5.9499999999999997E-2</v>
      </c>
      <c r="T59" t="s">
        <v>2470</v>
      </c>
      <c r="U59">
        <v>162852710</v>
      </c>
      <c r="V59">
        <v>228645710</v>
      </c>
      <c r="W59">
        <v>1.69</v>
      </c>
      <c r="X59">
        <v>0.16</v>
      </c>
      <c r="Y59">
        <v>1.39</v>
      </c>
      <c r="Z59" t="s">
        <v>83</v>
      </c>
      <c r="AA59" t="s">
        <v>217</v>
      </c>
      <c r="AB59" t="s">
        <v>3492</v>
      </c>
      <c r="AC59" t="s">
        <v>3493</v>
      </c>
      <c r="AD59" t="s">
        <v>2</v>
      </c>
      <c r="AE59">
        <v>1535027</v>
      </c>
      <c r="AF59" t="s">
        <v>2465</v>
      </c>
      <c r="AG59" t="s">
        <v>3494</v>
      </c>
      <c r="AH59" t="s">
        <v>2466</v>
      </c>
      <c r="AI59" t="s">
        <v>314</v>
      </c>
      <c r="AJ59" t="s">
        <v>2467</v>
      </c>
      <c r="AK59" t="s">
        <v>3495</v>
      </c>
      <c r="AL59" t="s">
        <v>2468</v>
      </c>
      <c r="AM59" t="s">
        <v>2</v>
      </c>
      <c r="AN59" t="s">
        <v>212</v>
      </c>
      <c r="AO59" t="s">
        <v>124</v>
      </c>
      <c r="AP59" t="s">
        <v>343</v>
      </c>
      <c r="AQ59" t="s">
        <v>298</v>
      </c>
      <c r="AR59" t="s">
        <v>2</v>
      </c>
      <c r="AS59" t="s">
        <v>1195</v>
      </c>
      <c r="AT59" t="s">
        <v>373</v>
      </c>
      <c r="AU59" t="s">
        <v>3496</v>
      </c>
      <c r="AV59" t="s">
        <v>3497</v>
      </c>
      <c r="AW59" t="s">
        <v>3498</v>
      </c>
      <c r="AX59" t="s">
        <v>1641</v>
      </c>
      <c r="AY59" t="s">
        <v>1342</v>
      </c>
      <c r="AZ59" t="s">
        <v>537</v>
      </c>
      <c r="BA59" t="s">
        <v>30</v>
      </c>
      <c r="BB59" t="s">
        <v>887</v>
      </c>
      <c r="BC59" t="s">
        <v>1642</v>
      </c>
      <c r="BD59" t="s">
        <v>269</v>
      </c>
      <c r="BE59" t="s">
        <v>213</v>
      </c>
      <c r="BF59" t="s">
        <v>148</v>
      </c>
      <c r="BG59" t="s">
        <v>926</v>
      </c>
      <c r="BH59" t="s">
        <v>306</v>
      </c>
      <c r="BI59" t="s">
        <v>57</v>
      </c>
      <c r="BJ59" t="s">
        <v>1641</v>
      </c>
      <c r="BK59" t="s">
        <v>2464</v>
      </c>
      <c r="BL59" t="s">
        <v>2476</v>
      </c>
      <c r="BM59" t="s">
        <v>1642</v>
      </c>
      <c r="BN59">
        <v>1.7</v>
      </c>
      <c r="BO59">
        <v>4.0599999999999996</v>
      </c>
      <c r="BP59">
        <v>8.3000000000000007</v>
      </c>
      <c r="BQ59">
        <v>1.83</v>
      </c>
      <c r="BR59">
        <v>4.55</v>
      </c>
      <c r="BS59">
        <v>7.55</v>
      </c>
      <c r="BT59" t="s">
        <v>2469</v>
      </c>
      <c r="BU59" t="s">
        <v>1445</v>
      </c>
      <c r="BV59">
        <v>19.239999999999998</v>
      </c>
      <c r="BW59">
        <v>17.059999999999999</v>
      </c>
      <c r="BX59">
        <v>19.23</v>
      </c>
      <c r="BY59">
        <v>2.5099999999999998</v>
      </c>
      <c r="BZ59">
        <v>4.0599999999999996</v>
      </c>
      <c r="CA59">
        <v>7.18</v>
      </c>
      <c r="CB59">
        <v>-4.88</v>
      </c>
      <c r="CC59">
        <v>-0.02</v>
      </c>
      <c r="CD59" t="s">
        <v>3499</v>
      </c>
      <c r="CE59" t="s">
        <v>76</v>
      </c>
      <c r="CF59" s="10">
        <v>-6.6000000000000003E-2</v>
      </c>
      <c r="CG59" s="11">
        <v>-0.57361161623179302</v>
      </c>
      <c r="CH59" s="10">
        <v>0.51133912801742554</v>
      </c>
      <c r="CI59" s="10">
        <v>9.4562649726867676E-2</v>
      </c>
      <c r="CJ59" s="10">
        <v>0.28963413834571838</v>
      </c>
      <c r="CK59" s="10">
        <v>0.18304786086082458</v>
      </c>
      <c r="CL59" s="10">
        <v>0.1760338693857193</v>
      </c>
      <c r="CM59" s="11">
        <v>-0.12530912458896637</v>
      </c>
      <c r="CN59" s="11">
        <v>-0.35163417458534241</v>
      </c>
      <c r="CO59" s="11">
        <v>-0.2199999988079071</v>
      </c>
      <c r="CP59" s="11">
        <v>0.48514851927757263</v>
      </c>
      <c r="CQ59" s="11">
        <v>0.32873588800430298</v>
      </c>
      <c r="CR59">
        <v>21.436123979250933</v>
      </c>
      <c r="CS59">
        <v>0.85428911516762696</v>
      </c>
      <c r="CT59">
        <v>2.4017467248908297</v>
      </c>
      <c r="CU59" s="10">
        <v>0.2509235292673111</v>
      </c>
      <c r="CV59" s="11">
        <v>2.3388221859931946E-2</v>
      </c>
      <c r="CW59">
        <v>0.06</v>
      </c>
      <c r="CX59">
        <v>18.228822680086981</v>
      </c>
      <c r="CY59">
        <v>78304272.582522541</v>
      </c>
      <c r="CZ59">
        <v>0.2509235292673111</v>
      </c>
      <c r="DA59">
        <v>5.2116241537955226</v>
      </c>
      <c r="DB59">
        <v>273886730.48505557</v>
      </c>
      <c r="DC59">
        <v>0.23837735280394554</v>
      </c>
      <c r="DD59">
        <v>2.1245753678250501</v>
      </c>
      <c r="DE59">
        <v>671849406.52928627</v>
      </c>
      <c r="DF59">
        <v>0.22081270575523376</v>
      </c>
      <c r="DG59">
        <v>1.0172109355894627</v>
      </c>
      <c r="DH59">
        <v>1403243565.3799181</v>
      </c>
      <c r="DI59">
        <v>0.20073882341384888</v>
      </c>
      <c r="DJ59">
        <v>0.30523947192447687</v>
      </c>
      <c r="DK59">
        <v>4676310999.3623943</v>
      </c>
      <c r="DL59">
        <v>0.17564647048711776</v>
      </c>
      <c r="DM59">
        <v>66353000</v>
      </c>
      <c r="DN59">
        <v>0.2509235292673111</v>
      </c>
      <c r="DO59">
        <v>1427394700</v>
      </c>
      <c r="DP59">
        <v>496421999.99999988</v>
      </c>
      <c r="DQ59">
        <v>2386</v>
      </c>
      <c r="DR59">
        <v>-0.3169235292673111</v>
      </c>
      <c r="DS59">
        <v>-0.59699983809172497</v>
      </c>
      <c r="DT59" s="12">
        <v>7.6666666666666591E-2</v>
      </c>
      <c r="DU59">
        <v>-0.28666666666666668</v>
      </c>
      <c r="DV59">
        <v>-0.21000000000000008</v>
      </c>
      <c r="DW59">
        <v>-4.0040983606557381</v>
      </c>
      <c r="DX59">
        <v>0.45963296969696932</v>
      </c>
      <c r="DY59">
        <v>-4.001473905613512</v>
      </c>
      <c r="DZ59">
        <v>3602</v>
      </c>
      <c r="EA59">
        <v>-4.0004349607955332</v>
      </c>
      <c r="EB59">
        <v>4</v>
      </c>
      <c r="EC59">
        <v>0.41524111692277105</v>
      </c>
      <c r="ED59">
        <v>1.1546247685994195</v>
      </c>
      <c r="EE59" s="13">
        <v>-3.00651</v>
      </c>
      <c r="EF59">
        <v>-3.0298099999999999</v>
      </c>
      <c r="EG59">
        <v>10.359632969696969</v>
      </c>
      <c r="EH59" t="s">
        <v>1832</v>
      </c>
      <c r="EI59">
        <v>0</v>
      </c>
      <c r="EJ59">
        <v>0</v>
      </c>
      <c r="EK59" s="14">
        <v>45470</v>
      </c>
      <c r="EL59">
        <v>0</v>
      </c>
      <c r="EM59">
        <v>-4.95</v>
      </c>
      <c r="EN59">
        <v>2.12</v>
      </c>
      <c r="EO59">
        <v>5.28</v>
      </c>
      <c r="EP59">
        <v>-2.33</v>
      </c>
    </row>
    <row r="60" spans="1:146" ht="96" x14ac:dyDescent="0.25">
      <c r="A60" s="9"/>
      <c r="B60" s="9"/>
      <c r="C60" s="9" t="str">
        <f>""&amp;CHAR(10)&amp;Basic_Fundamental_Information_Constructure(F60)&amp;CHAR(10)&amp;Basic_Fundamental_Information_Concatenate("")</f>
        <v xml:space="preserve">
市值27.602838亿, 利润-4018.93万; PE42.32; 平均PE41.88; 平均PEG3.47, PB1.84; ROIC4.7167%; ROE5.1967%; 股利率.6645%; 毛利14.62%; 净利2.9033%; 上一年度营收增-93.68%, 利润增-152.68%; 当季营收增2807.33%, 利润增194.33%; 过往5年营收增-12.08%, 利润增-33.27%
Income profile:
</v>
      </c>
      <c r="D60" t="s">
        <v>1104</v>
      </c>
      <c r="E60" t="s">
        <v>1105</v>
      </c>
      <c r="F60">
        <v>6.02</v>
      </c>
      <c r="G60">
        <v>1.01</v>
      </c>
      <c r="H60" t="s">
        <v>3500</v>
      </c>
      <c r="I60">
        <v>2760283800</v>
      </c>
      <c r="J60">
        <v>42.32</v>
      </c>
      <c r="K60">
        <v>1.84</v>
      </c>
      <c r="L60" t="s">
        <v>2891</v>
      </c>
      <c r="M60" t="s">
        <v>399</v>
      </c>
      <c r="N60" t="s">
        <v>3501</v>
      </c>
      <c r="O60" t="s">
        <v>297</v>
      </c>
      <c r="P60">
        <v>30.46</v>
      </c>
      <c r="Q60" t="s">
        <v>279</v>
      </c>
      <c r="R60">
        <v>15431354</v>
      </c>
      <c r="S60" s="6">
        <v>-6.7699999999999996E-2</v>
      </c>
      <c r="T60" t="s">
        <v>3502</v>
      </c>
      <c r="U60">
        <v>234768910</v>
      </c>
      <c r="V60">
        <v>458518910</v>
      </c>
      <c r="W60">
        <v>2.33</v>
      </c>
      <c r="X60">
        <v>0.17</v>
      </c>
      <c r="Y60">
        <v>2.46</v>
      </c>
      <c r="Z60" t="s">
        <v>226</v>
      </c>
      <c r="AA60" t="s">
        <v>471</v>
      </c>
      <c r="AB60" t="s">
        <v>3503</v>
      </c>
      <c r="AC60" t="s">
        <v>3504</v>
      </c>
      <c r="AD60" t="s">
        <v>2</v>
      </c>
      <c r="AE60">
        <v>19969404</v>
      </c>
      <c r="AF60" t="s">
        <v>2471</v>
      </c>
      <c r="AG60" t="s">
        <v>3505</v>
      </c>
      <c r="AH60" t="s">
        <v>2472</v>
      </c>
      <c r="AI60" t="s">
        <v>1795</v>
      </c>
      <c r="AJ60" t="s">
        <v>2473</v>
      </c>
      <c r="AK60" t="s">
        <v>3506</v>
      </c>
      <c r="AL60" t="s">
        <v>2474</v>
      </c>
      <c r="AM60" t="s">
        <v>2</v>
      </c>
      <c r="AN60" t="s">
        <v>3507</v>
      </c>
      <c r="AO60" t="s">
        <v>1466</v>
      </c>
      <c r="AP60" t="s">
        <v>101</v>
      </c>
      <c r="AQ60" t="s">
        <v>165</v>
      </c>
      <c r="AR60" t="s">
        <v>2</v>
      </c>
      <c r="AS60" t="s">
        <v>1806</v>
      </c>
      <c r="AT60" t="s">
        <v>2475</v>
      </c>
      <c r="AU60" t="s">
        <v>1957</v>
      </c>
      <c r="AV60" t="s">
        <v>3508</v>
      </c>
      <c r="AW60" t="s">
        <v>3509</v>
      </c>
      <c r="AX60" t="s">
        <v>1441</v>
      </c>
      <c r="AY60" t="s">
        <v>1257</v>
      </c>
      <c r="AZ60" t="s">
        <v>642</v>
      </c>
      <c r="BA60" t="s">
        <v>1107</v>
      </c>
      <c r="BB60" t="s">
        <v>843</v>
      </c>
      <c r="BC60" t="s">
        <v>1644</v>
      </c>
      <c r="BD60" t="s">
        <v>1343</v>
      </c>
      <c r="BE60" t="s">
        <v>1106</v>
      </c>
      <c r="BF60" t="s">
        <v>1108</v>
      </c>
      <c r="BG60" t="s">
        <v>1109</v>
      </c>
      <c r="BH60" t="s">
        <v>1849</v>
      </c>
      <c r="BI60" t="s">
        <v>3510</v>
      </c>
      <c r="BJ60" t="s">
        <v>1441</v>
      </c>
      <c r="BK60" t="s">
        <v>2470</v>
      </c>
      <c r="BL60" t="s">
        <v>3511</v>
      </c>
      <c r="BM60" t="s">
        <v>1644</v>
      </c>
      <c r="BN60">
        <v>3.63</v>
      </c>
      <c r="BO60">
        <v>4.97</v>
      </c>
      <c r="BP60">
        <v>5.55</v>
      </c>
      <c r="BQ60">
        <v>4.05</v>
      </c>
      <c r="BR60">
        <v>5.25</v>
      </c>
      <c r="BS60">
        <v>6.29</v>
      </c>
      <c r="BT60" t="s">
        <v>1538</v>
      </c>
      <c r="BU60" t="s">
        <v>1274</v>
      </c>
      <c r="BV60">
        <v>14.53</v>
      </c>
      <c r="BW60">
        <v>14.94</v>
      </c>
      <c r="BX60">
        <v>14.39</v>
      </c>
      <c r="BY60">
        <v>2.63</v>
      </c>
      <c r="BZ60">
        <v>2.97</v>
      </c>
      <c r="CA60">
        <v>3.11</v>
      </c>
      <c r="CB60">
        <v>-2.11</v>
      </c>
      <c r="CC60">
        <v>-2.59</v>
      </c>
      <c r="CD60" t="s">
        <v>114</v>
      </c>
      <c r="CE60" t="s">
        <v>1317</v>
      </c>
      <c r="CF60" s="10">
        <v>28.073267309072911</v>
      </c>
      <c r="CG60" s="11">
        <v>1.9432829233703359</v>
      </c>
      <c r="CH60" s="10">
        <v>-0.93679720163345337</v>
      </c>
      <c r="CI60" s="10">
        <v>1.8964836373925209E-2</v>
      </c>
      <c r="CJ60" s="10">
        <v>0.23222982883453369</v>
      </c>
      <c r="CK60" s="10">
        <v>-1.9102197140455246E-2</v>
      </c>
      <c r="CL60" s="10">
        <v>0.10094637423753738</v>
      </c>
      <c r="CM60" s="11">
        <v>-1.5268157720565796</v>
      </c>
      <c r="CN60" s="11">
        <v>-6.6216662526130676E-2</v>
      </c>
      <c r="CO60" s="11">
        <v>-0.10800537467002869</v>
      </c>
      <c r="CP60" s="11">
        <v>-5.9042904525995255E-2</v>
      </c>
      <c r="CQ60" s="11">
        <v>9.6510201692581177E-2</v>
      </c>
      <c r="CR60">
        <v>41.876551213726209</v>
      </c>
      <c r="CS60">
        <v>3.4679893509335478</v>
      </c>
      <c r="CT60">
        <v>0.66445182724252505</v>
      </c>
      <c r="CU60" s="10">
        <v>-0.12075167186558247</v>
      </c>
      <c r="CV60" s="11">
        <v>-0.33271410241723059</v>
      </c>
      <c r="CW60">
        <v>0.06</v>
      </c>
      <c r="CX60" t="e">
        <v>#VALUE!</v>
      </c>
      <c r="CY60" t="s">
        <v>1238</v>
      </c>
      <c r="CZ60">
        <v>-0.12075167186558247</v>
      </c>
      <c r="DA60" t="e">
        <v>#VALUE!</v>
      </c>
      <c r="DB60" t="s">
        <v>1238</v>
      </c>
      <c r="DC60">
        <v>-0.11471408827230334</v>
      </c>
      <c r="DD60" t="e">
        <v>#VALUE!</v>
      </c>
      <c r="DE60" t="s">
        <v>1238</v>
      </c>
      <c r="DF60">
        <v>-0.10626147124171258</v>
      </c>
      <c r="DG60" t="e">
        <v>#VALUE!</v>
      </c>
      <c r="DH60" t="s">
        <v>1238</v>
      </c>
      <c r="DI60">
        <v>-9.660133749246598E-2</v>
      </c>
      <c r="DJ60" t="e">
        <v>#VALUE!</v>
      </c>
      <c r="DK60" t="s">
        <v>1238</v>
      </c>
      <c r="DL60">
        <v>-8.4526170305907727E-2</v>
      </c>
      <c r="DM60">
        <v>-40189300</v>
      </c>
      <c r="DN60">
        <v>-0.12075167186558247</v>
      </c>
      <c r="DO60">
        <v>3371283800</v>
      </c>
      <c r="DP60">
        <v>1523698000.0000002</v>
      </c>
      <c r="DQ60">
        <v>2387</v>
      </c>
      <c r="DR60">
        <v>28.194018980938495</v>
      </c>
      <c r="DS60">
        <v>2.2759970257875666</v>
      </c>
      <c r="DT60" s="12">
        <v>-0.64</v>
      </c>
      <c r="DU60">
        <v>-0.97000000000000008</v>
      </c>
      <c r="DV60">
        <v>-1.61</v>
      </c>
      <c r="DW60">
        <v>-1.0259</v>
      </c>
      <c r="DX60">
        <v>0.25324324324324243</v>
      </c>
      <c r="DY60">
        <v>-1.0037100000000001</v>
      </c>
      <c r="DZ60">
        <v>2518</v>
      </c>
      <c r="EA60">
        <v>-1.0018818630136987</v>
      </c>
      <c r="EB60">
        <v>1</v>
      </c>
      <c r="EC60">
        <v>0.23117912410635366</v>
      </c>
      <c r="ED60">
        <v>1.613891998478318</v>
      </c>
      <c r="EE60" s="13">
        <v>5.0999999999999997E-2</v>
      </c>
      <c r="EF60">
        <v>2.8199999999999999E-2</v>
      </c>
      <c r="EG60">
        <v>11.143243243243242</v>
      </c>
      <c r="EH60" t="s">
        <v>1398</v>
      </c>
      <c r="EI60">
        <v>0</v>
      </c>
      <c r="EJ60">
        <v>0</v>
      </c>
      <c r="EK60" s="14">
        <v>45470</v>
      </c>
      <c r="EL60">
        <v>-2.0099999999999998</v>
      </c>
      <c r="EM60">
        <v>-4.9800000000000004</v>
      </c>
      <c r="EN60">
        <v>-0.23</v>
      </c>
      <c r="EO60">
        <v>5.0199999999999996</v>
      </c>
      <c r="EP60">
        <v>-2.2799999999999998</v>
      </c>
    </row>
    <row r="61" spans="1:146" ht="96" x14ac:dyDescent="0.25">
      <c r="A61" s="9"/>
      <c r="B61" s="9"/>
      <c r="C61" s="9" t="str">
        <f>""&amp;CHAR(10)&amp;Basic_Fundamental_Information_Constructure(F61)&amp;CHAR(10)&amp;Basic_Fundamental_Information_Concatenate("")</f>
        <v xml:space="preserve">
市值32.573257亿, 利润-3773.40万; PE172; 平均PE86.88; 平均PEG37.11, PB2.94; ROIC6.3733%; ROE7.46%; 股利率.4374%; 毛利17.8933%; 净利7.21%; 上一年度营收增-25.98%, 利润增-157.23%; 当季营收增181.35%, 利润增218.91%; 过往5年营收增-2.34%, 利润增-25.2%
Income profile:
</v>
      </c>
      <c r="D61" t="s">
        <v>927</v>
      </c>
      <c r="E61" t="s">
        <v>928</v>
      </c>
      <c r="F61">
        <v>22.86</v>
      </c>
      <c r="G61">
        <v>1.51</v>
      </c>
      <c r="H61" t="s">
        <v>3512</v>
      </c>
      <c r="I61">
        <v>3257325700</v>
      </c>
      <c r="J61">
        <v>172</v>
      </c>
      <c r="K61">
        <v>2.94</v>
      </c>
      <c r="L61" t="s">
        <v>2891</v>
      </c>
      <c r="M61" t="s">
        <v>303</v>
      </c>
      <c r="N61" t="s">
        <v>661</v>
      </c>
      <c r="O61" t="s">
        <v>244</v>
      </c>
      <c r="P61">
        <v>199.43</v>
      </c>
      <c r="Q61" t="s">
        <v>645</v>
      </c>
      <c r="R61">
        <v>12668900</v>
      </c>
      <c r="S61" s="6">
        <v>24.58</v>
      </c>
      <c r="T61" t="s">
        <v>3513</v>
      </c>
      <c r="U61">
        <v>142490190</v>
      </c>
      <c r="V61">
        <v>142490190</v>
      </c>
      <c r="W61">
        <v>1.32</v>
      </c>
      <c r="X61">
        <v>0.16</v>
      </c>
      <c r="Y61">
        <v>5.44</v>
      </c>
      <c r="Z61" t="s">
        <v>354</v>
      </c>
      <c r="AA61" t="s">
        <v>296</v>
      </c>
      <c r="AB61" t="s">
        <v>3514</v>
      </c>
      <c r="AC61" t="s">
        <v>3515</v>
      </c>
      <c r="AD61" t="s">
        <v>2</v>
      </c>
      <c r="AE61">
        <v>-1100896</v>
      </c>
      <c r="AF61" t="s">
        <v>2479</v>
      </c>
      <c r="AG61">
        <v>0.61</v>
      </c>
      <c r="AH61" t="s">
        <v>2480</v>
      </c>
      <c r="AI61" t="s">
        <v>132</v>
      </c>
      <c r="AJ61" t="s">
        <v>2481</v>
      </c>
      <c r="AK61" t="s">
        <v>3516</v>
      </c>
      <c r="AL61" t="s">
        <v>2482</v>
      </c>
      <c r="AM61" t="s">
        <v>2</v>
      </c>
      <c r="AN61" t="s">
        <v>3517</v>
      </c>
      <c r="AO61" t="s">
        <v>123</v>
      </c>
      <c r="AP61" t="s">
        <v>410</v>
      </c>
      <c r="AQ61" t="s">
        <v>198</v>
      </c>
      <c r="AR61" t="s">
        <v>2</v>
      </c>
      <c r="AS61" t="s">
        <v>436</v>
      </c>
      <c r="AT61" t="s">
        <v>2</v>
      </c>
      <c r="AU61" t="s">
        <v>3518</v>
      </c>
      <c r="AV61" t="s">
        <v>3519</v>
      </c>
      <c r="AW61" t="s">
        <v>3520</v>
      </c>
      <c r="AX61" t="s">
        <v>427</v>
      </c>
      <c r="AY61" t="s">
        <v>108</v>
      </c>
      <c r="AZ61" t="s">
        <v>374</v>
      </c>
      <c r="BA61" t="s">
        <v>475</v>
      </c>
      <c r="BB61" t="s">
        <v>819</v>
      </c>
      <c r="BC61" t="s">
        <v>1645</v>
      </c>
      <c r="BD61" t="s">
        <v>1344</v>
      </c>
      <c r="BE61" t="s">
        <v>929</v>
      </c>
      <c r="BF61" t="s">
        <v>930</v>
      </c>
      <c r="BG61" t="s">
        <v>931</v>
      </c>
      <c r="BH61" t="s">
        <v>403</v>
      </c>
      <c r="BI61" t="s">
        <v>3521</v>
      </c>
      <c r="BJ61" t="s">
        <v>427</v>
      </c>
      <c r="BK61" t="s">
        <v>2478</v>
      </c>
      <c r="BL61" t="s">
        <v>3522</v>
      </c>
      <c r="BM61" t="s">
        <v>1645</v>
      </c>
      <c r="BN61">
        <v>0.49</v>
      </c>
      <c r="BO61">
        <v>9.42</v>
      </c>
      <c r="BP61">
        <v>9.2100000000000009</v>
      </c>
      <c r="BQ61">
        <v>0.38</v>
      </c>
      <c r="BR61">
        <v>11.13</v>
      </c>
      <c r="BS61">
        <v>10.87</v>
      </c>
      <c r="BT61" t="s">
        <v>1520</v>
      </c>
      <c r="BU61" t="s">
        <v>1445</v>
      </c>
      <c r="BV61">
        <v>12.54</v>
      </c>
      <c r="BW61">
        <v>20.87</v>
      </c>
      <c r="BX61">
        <v>20.27</v>
      </c>
      <c r="BY61">
        <v>1.1599999999999999</v>
      </c>
      <c r="BZ61">
        <v>10.39</v>
      </c>
      <c r="CA61">
        <v>10.08</v>
      </c>
      <c r="CB61">
        <v>-7.3</v>
      </c>
      <c r="CC61">
        <v>-20.79</v>
      </c>
      <c r="CD61" t="s">
        <v>3523</v>
      </c>
      <c r="CE61" t="s">
        <v>393</v>
      </c>
      <c r="CF61" s="10">
        <v>1.8134941914570775</v>
      </c>
      <c r="CG61" s="11">
        <v>2.1890701303931932</v>
      </c>
      <c r="CH61" s="10">
        <v>-0.25984251499176025</v>
      </c>
      <c r="CI61" s="10">
        <v>0.240234375</v>
      </c>
      <c r="CJ61" s="10">
        <v>0.16894976794719696</v>
      </c>
      <c r="CK61" s="10">
        <v>-0.14117647707462311</v>
      </c>
      <c r="CL61" s="10">
        <v>-0.12521441280841827</v>
      </c>
      <c r="CM61" s="11">
        <v>-1.5722856521606445</v>
      </c>
      <c r="CN61" s="11">
        <v>0.27895194292068481</v>
      </c>
      <c r="CO61" s="11">
        <v>5.0584752112627029E-2</v>
      </c>
      <c r="CP61" s="11">
        <v>6.9733522832393646E-2</v>
      </c>
      <c r="CQ61" s="11">
        <v>-8.6936965584754944E-2</v>
      </c>
      <c r="CR61">
        <v>86.884299662624585</v>
      </c>
      <c r="CS61">
        <v>37.114415858667606</v>
      </c>
      <c r="CT61">
        <v>0.43744531933508313</v>
      </c>
      <c r="CU61" s="10">
        <v>-2.3409852385520936E-2</v>
      </c>
      <c r="CV61" s="11">
        <v>-0.25199047997593882</v>
      </c>
      <c r="CW61">
        <v>0.06</v>
      </c>
      <c r="CX61" t="e">
        <v>#VALUE!</v>
      </c>
      <c r="CY61" t="s">
        <v>1238</v>
      </c>
      <c r="CZ61">
        <v>-2.3409852385520936E-2</v>
      </c>
      <c r="DA61" t="e">
        <v>#VALUE!</v>
      </c>
      <c r="DB61" t="s">
        <v>1238</v>
      </c>
      <c r="DC61">
        <v>-2.2239359766244887E-2</v>
      </c>
      <c r="DD61" t="e">
        <v>#VALUE!</v>
      </c>
      <c r="DE61" t="s">
        <v>1238</v>
      </c>
      <c r="DF61">
        <v>-2.0600670099258426E-2</v>
      </c>
      <c r="DG61" t="e">
        <v>#VALUE!</v>
      </c>
      <c r="DH61" t="s">
        <v>1238</v>
      </c>
      <c r="DI61">
        <v>-1.872788190841675E-2</v>
      </c>
      <c r="DJ61" t="e">
        <v>#VALUE!</v>
      </c>
      <c r="DK61" t="s">
        <v>1238</v>
      </c>
      <c r="DL61">
        <v>-1.6386896669864655E-2</v>
      </c>
      <c r="DM61">
        <v>-37734000</v>
      </c>
      <c r="DN61">
        <v>-2.3409852385520936E-2</v>
      </c>
      <c r="DO61">
        <v>2409325700</v>
      </c>
      <c r="DP61">
        <v>811047340</v>
      </c>
      <c r="DQ61">
        <v>2462</v>
      </c>
      <c r="DR61">
        <v>1.8369040438425983</v>
      </c>
      <c r="DS61">
        <v>2.4410606103691319</v>
      </c>
      <c r="DT61" s="12">
        <v>-0.32333333333333331</v>
      </c>
      <c r="DU61">
        <v>-0.82</v>
      </c>
      <c r="DV61">
        <v>-1.1433333333333333</v>
      </c>
      <c r="DW61">
        <v>-9.351130351130351</v>
      </c>
      <c r="DX61">
        <v>0.26597632311977637</v>
      </c>
      <c r="DY61">
        <v>-9.0372115035485514</v>
      </c>
      <c r="DZ61">
        <v>2756</v>
      </c>
      <c r="EA61">
        <v>-9.0171420507540692</v>
      </c>
      <c r="EB61">
        <v>9</v>
      </c>
      <c r="EC61">
        <v>0.26700434605357742</v>
      </c>
      <c r="ED61">
        <v>2.5194716913494184</v>
      </c>
      <c r="EE61" s="13">
        <v>-5.03071</v>
      </c>
      <c r="EF61">
        <v>-5.0267099999999996</v>
      </c>
      <c r="EG61">
        <v>16.105976323119776</v>
      </c>
      <c r="EH61" t="s">
        <v>1974</v>
      </c>
      <c r="EI61">
        <v>0</v>
      </c>
      <c r="EJ61">
        <v>0</v>
      </c>
      <c r="EK61" s="14">
        <v>45470</v>
      </c>
      <c r="EL61">
        <v>-0.67</v>
      </c>
      <c r="EM61">
        <v>-2.84</v>
      </c>
      <c r="EN61">
        <v>-0.35</v>
      </c>
      <c r="EO61">
        <v>5.3</v>
      </c>
      <c r="EP61">
        <v>0.4</v>
      </c>
    </row>
    <row r="62" spans="1:146" ht="96" x14ac:dyDescent="0.25">
      <c r="A62" s="9"/>
      <c r="B62" s="9"/>
      <c r="C62" s="9" t="str">
        <f>""&amp;CHAR(10)&amp;Basic_Fundamental_Information_Constructure(F62)&amp;CHAR(10)&amp;Basic_Fundamental_Information_Concatenate("")</f>
        <v xml:space="preserve">
市值21.657788亿, 利润3518.58万; PE42.08; 平均PE30.34; 平均PEG7.19, PB1.98; ROIC6.93%; ROE9.16%; 股利率1.8809%; 毛利14.4933%; 净利3.83%; 上一年度营收增-79.7%, 利润增-55.46%; 当季营收增395.48%, 利润增1.24%; 过往5年营收增-4.22%, 利润增-6.47%
Income profile:
</v>
      </c>
      <c r="D62" t="s">
        <v>1110</v>
      </c>
      <c r="E62" t="s">
        <v>1111</v>
      </c>
      <c r="F62">
        <v>9.57</v>
      </c>
      <c r="G62">
        <v>-1.95</v>
      </c>
      <c r="H62" t="s">
        <v>3524</v>
      </c>
      <c r="I62">
        <v>2165778800</v>
      </c>
      <c r="J62">
        <v>42.08</v>
      </c>
      <c r="K62">
        <v>1.98</v>
      </c>
      <c r="L62" t="s">
        <v>2891</v>
      </c>
      <c r="M62" t="s">
        <v>1650</v>
      </c>
      <c r="N62" t="s">
        <v>1904</v>
      </c>
      <c r="O62" t="s">
        <v>437</v>
      </c>
      <c r="P62">
        <v>3.35</v>
      </c>
      <c r="Q62" t="s">
        <v>143</v>
      </c>
      <c r="R62">
        <v>6394659</v>
      </c>
      <c r="S62" s="6">
        <v>0.14149999999999999</v>
      </c>
      <c r="T62" t="s">
        <v>3525</v>
      </c>
      <c r="U62">
        <v>95114071</v>
      </c>
      <c r="V62">
        <v>226309170</v>
      </c>
      <c r="W62">
        <v>2.79</v>
      </c>
      <c r="X62">
        <v>0.12</v>
      </c>
      <c r="Y62">
        <v>1.68</v>
      </c>
      <c r="Z62" t="s">
        <v>275</v>
      </c>
      <c r="AA62" t="s">
        <v>19</v>
      </c>
      <c r="AB62" t="s">
        <v>3526</v>
      </c>
      <c r="AC62" t="s">
        <v>3527</v>
      </c>
      <c r="AD62" t="s">
        <v>2</v>
      </c>
      <c r="AE62">
        <v>10289885</v>
      </c>
      <c r="AF62" t="s">
        <v>23</v>
      </c>
      <c r="AG62" t="s">
        <v>3528</v>
      </c>
      <c r="AH62" t="s">
        <v>2486</v>
      </c>
      <c r="AI62" t="s">
        <v>305</v>
      </c>
      <c r="AJ62" t="s">
        <v>2487</v>
      </c>
      <c r="AK62" t="s">
        <v>3529</v>
      </c>
      <c r="AL62" t="s">
        <v>2488</v>
      </c>
      <c r="AM62" t="s">
        <v>2</v>
      </c>
      <c r="AN62" t="s">
        <v>3530</v>
      </c>
      <c r="AO62" t="s">
        <v>46</v>
      </c>
      <c r="AP62" t="s">
        <v>386</v>
      </c>
      <c r="AQ62" t="s">
        <v>520</v>
      </c>
      <c r="AR62" t="s">
        <v>2</v>
      </c>
      <c r="AS62" t="s">
        <v>3531</v>
      </c>
      <c r="AT62" t="s">
        <v>230</v>
      </c>
      <c r="AU62" t="s">
        <v>3532</v>
      </c>
      <c r="AV62" t="s">
        <v>3533</v>
      </c>
      <c r="AW62" t="s">
        <v>3534</v>
      </c>
      <c r="AX62" t="s">
        <v>1647</v>
      </c>
      <c r="AY62" t="s">
        <v>1185</v>
      </c>
      <c r="AZ62" t="s">
        <v>1089</v>
      </c>
      <c r="BA62" t="s">
        <v>1113</v>
      </c>
      <c r="BB62" t="s">
        <v>261</v>
      </c>
      <c r="BC62" t="s">
        <v>1648</v>
      </c>
      <c r="BD62" t="s">
        <v>1346</v>
      </c>
      <c r="BE62" t="s">
        <v>1112</v>
      </c>
      <c r="BF62" t="s">
        <v>1114</v>
      </c>
      <c r="BG62" t="s">
        <v>1115</v>
      </c>
      <c r="BH62" t="s">
        <v>1911</v>
      </c>
      <c r="BI62" t="s">
        <v>3535</v>
      </c>
      <c r="BJ62" t="s">
        <v>1647</v>
      </c>
      <c r="BK62" t="s">
        <v>2485</v>
      </c>
      <c r="BL62" t="s">
        <v>3536</v>
      </c>
      <c r="BM62" t="s">
        <v>1648</v>
      </c>
      <c r="BN62">
        <v>4.17</v>
      </c>
      <c r="BO62">
        <v>6.9</v>
      </c>
      <c r="BP62">
        <v>9.7200000000000006</v>
      </c>
      <c r="BQ62">
        <v>5.08</v>
      </c>
      <c r="BR62">
        <v>7.44</v>
      </c>
      <c r="BS62">
        <v>14.96</v>
      </c>
      <c r="BT62" t="s">
        <v>2489</v>
      </c>
      <c r="BU62" t="s">
        <v>1274</v>
      </c>
      <c r="BV62">
        <v>13.89</v>
      </c>
      <c r="BW62">
        <v>14.85</v>
      </c>
      <c r="BX62">
        <v>14.74</v>
      </c>
      <c r="BY62">
        <v>2.5299999999999998</v>
      </c>
      <c r="BZ62">
        <v>4.38</v>
      </c>
      <c r="CA62">
        <v>4.58</v>
      </c>
      <c r="CB62">
        <v>-11.63</v>
      </c>
      <c r="CC62">
        <v>7.01</v>
      </c>
      <c r="CD62" t="s">
        <v>3537</v>
      </c>
      <c r="CE62" t="s">
        <v>500</v>
      </c>
      <c r="CF62" s="10">
        <v>3.9548392480640269</v>
      </c>
      <c r="CG62" s="11">
        <v>1.2421867578607391E-2</v>
      </c>
      <c r="CH62" s="10">
        <v>-0.79696494340896606</v>
      </c>
      <c r="CI62" s="10">
        <v>-2.2006109356880188E-2</v>
      </c>
      <c r="CJ62" s="10">
        <v>0.63788777589797974</v>
      </c>
      <c r="CK62" s="10">
        <v>-5.0159286707639694E-2</v>
      </c>
      <c r="CL62" s="10">
        <v>2.0308639854192734E-2</v>
      </c>
      <c r="CM62" s="11">
        <v>-0.55463153123855591</v>
      </c>
      <c r="CN62" s="11">
        <v>-0.10156388580799103</v>
      </c>
      <c r="CO62" s="11">
        <v>8.0163322389125824E-2</v>
      </c>
      <c r="CP62" s="11">
        <v>1.7554035410284996E-2</v>
      </c>
      <c r="CQ62" s="11">
        <v>0.23476347327232361</v>
      </c>
      <c r="CR62">
        <v>30.33792985750036</v>
      </c>
      <c r="CS62">
        <v>7.1913349266623712</v>
      </c>
      <c r="CT62">
        <v>1.8808777429467085</v>
      </c>
      <c r="CU62" s="10">
        <v>-4.2186784744262698E-2</v>
      </c>
      <c r="CV62" s="11">
        <v>-6.4742917194962502E-2</v>
      </c>
      <c r="CW62">
        <v>0.06</v>
      </c>
      <c r="CX62">
        <v>85.681689772578707</v>
      </c>
      <c r="CY62" t="s">
        <v>3538</v>
      </c>
      <c r="CZ62">
        <v>-4.2186784744262698E-2</v>
      </c>
      <c r="DA62">
        <v>28.560563257526237</v>
      </c>
      <c r="DB62" t="s">
        <v>3539</v>
      </c>
      <c r="DC62">
        <v>-4.0077445507049558E-2</v>
      </c>
      <c r="DD62">
        <v>14.280281628763118</v>
      </c>
      <c r="DE62" t="s">
        <v>3540</v>
      </c>
      <c r="DF62">
        <v>-3.7124370574951174E-2</v>
      </c>
      <c r="DG62">
        <v>8.5681689772578711</v>
      </c>
      <c r="DH62" t="s">
        <v>3541</v>
      </c>
      <c r="DI62">
        <v>-3.374942779541016E-2</v>
      </c>
      <c r="DJ62">
        <v>4.2840844886289355</v>
      </c>
      <c r="DK62" t="s">
        <v>3542</v>
      </c>
      <c r="DL62">
        <v>-2.9530749320983887E-2</v>
      </c>
      <c r="DM62">
        <v>35185800</v>
      </c>
      <c r="DN62">
        <v>-4.2186784744262698E-2</v>
      </c>
      <c r="DO62">
        <v>3014778800</v>
      </c>
      <c r="DP62">
        <v>1036692400</v>
      </c>
      <c r="DQ62">
        <v>2526</v>
      </c>
      <c r="DR62">
        <v>3.9970260328082894</v>
      </c>
      <c r="DS62">
        <v>7.7164784773569889E-2</v>
      </c>
      <c r="DT62" s="12">
        <v>-0.50666666666666671</v>
      </c>
      <c r="DU62">
        <v>-6.6666666666666666E-2</v>
      </c>
      <c r="DV62">
        <v>-0.57333333333333336</v>
      </c>
      <c r="DW62">
        <v>-5.6027515047291487</v>
      </c>
      <c r="DX62">
        <v>0.26940262626262512</v>
      </c>
      <c r="DY62">
        <v>-5.0659425976011185</v>
      </c>
      <c r="DZ62">
        <v>1774</v>
      </c>
      <c r="EA62">
        <v>-5.0430498054006518</v>
      </c>
      <c r="EB62">
        <v>5</v>
      </c>
      <c r="EC62">
        <v>0.2392934409153637</v>
      </c>
      <c r="ED62">
        <v>2.1872732775256081</v>
      </c>
      <c r="EE62" s="13">
        <v>1.05541</v>
      </c>
      <c r="EF62">
        <v>1.07901</v>
      </c>
      <c r="EG62">
        <v>16.109402626262625</v>
      </c>
      <c r="EH62" t="s">
        <v>1549</v>
      </c>
      <c r="EI62">
        <v>0</v>
      </c>
      <c r="EJ62">
        <v>0</v>
      </c>
      <c r="EK62" s="14">
        <v>45470</v>
      </c>
      <c r="EL62">
        <v>0.13</v>
      </c>
      <c r="EM62">
        <v>-5.38</v>
      </c>
      <c r="EN62">
        <v>1.39</v>
      </c>
      <c r="EO62">
        <v>4.24</v>
      </c>
      <c r="EP62">
        <v>-2.36</v>
      </c>
    </row>
    <row r="63" spans="1:146" ht="96" x14ac:dyDescent="0.25">
      <c r="A63" s="9"/>
      <c r="B63" s="9"/>
      <c r="C63" s="9" t="str">
        <f>""&amp;CHAR(10)&amp;Basic_Fundamental_Information_Constructure(F63)&amp;CHAR(10)&amp;Basic_Fundamental_Information_Concatenate("")</f>
        <v xml:space="preserve">
市值35.064036亿, 利润2362.79万; PE64.86; 平均PE50.87; 平均PEG1.41, PB2.21; ROIC7.7133%; ROE7.78%; 股利率.5826%; 毛利35.37%; 净利19.0733%; 上一年度营收增115.04%, 利润增-75.78%; 当季营收增-54.36%, 利润增422.09%; 过往5年营收增36.2%, 利润增-3.47%
Income profile:
</v>
      </c>
      <c r="D63" t="s">
        <v>1261</v>
      </c>
      <c r="E63" t="s">
        <v>1347</v>
      </c>
      <c r="F63">
        <v>9.44</v>
      </c>
      <c r="G63">
        <v>-3.18</v>
      </c>
      <c r="H63" t="s">
        <v>3543</v>
      </c>
      <c r="I63">
        <v>3506403600</v>
      </c>
      <c r="J63">
        <v>64.86</v>
      </c>
      <c r="K63">
        <v>2.21</v>
      </c>
      <c r="L63" t="s">
        <v>2891</v>
      </c>
      <c r="M63" t="s">
        <v>2490</v>
      </c>
      <c r="N63" t="s">
        <v>1249</v>
      </c>
      <c r="O63" t="s">
        <v>2491</v>
      </c>
      <c r="P63">
        <v>-20.21</v>
      </c>
      <c r="Q63" t="s">
        <v>366</v>
      </c>
      <c r="R63">
        <v>4292868</v>
      </c>
      <c r="S63" s="6">
        <v>-0.78090000000000004</v>
      </c>
      <c r="T63" t="s">
        <v>2497</v>
      </c>
      <c r="U63">
        <v>157489270</v>
      </c>
      <c r="V63">
        <v>371441060</v>
      </c>
      <c r="W63">
        <v>1.05</v>
      </c>
      <c r="X63">
        <v>0.04</v>
      </c>
      <c r="Y63">
        <v>5.04</v>
      </c>
      <c r="Z63" t="s">
        <v>3544</v>
      </c>
      <c r="AA63" t="s">
        <v>3545</v>
      </c>
      <c r="AB63" t="s">
        <v>3546</v>
      </c>
      <c r="AC63" t="s">
        <v>3547</v>
      </c>
      <c r="AD63" t="s">
        <v>2</v>
      </c>
      <c r="AE63">
        <v>-1177507</v>
      </c>
      <c r="AF63" t="s">
        <v>2493</v>
      </c>
      <c r="AG63" t="s">
        <v>3548</v>
      </c>
      <c r="AH63" t="s">
        <v>2494</v>
      </c>
      <c r="AI63" t="s">
        <v>350</v>
      </c>
      <c r="AJ63" t="s">
        <v>2495</v>
      </c>
      <c r="AK63" t="s">
        <v>3549</v>
      </c>
      <c r="AL63" t="s">
        <v>2496</v>
      </c>
      <c r="AM63" t="s">
        <v>2</v>
      </c>
      <c r="AN63" t="s">
        <v>3550</v>
      </c>
      <c r="AO63" t="s">
        <v>2</v>
      </c>
      <c r="AP63" t="s">
        <v>2</v>
      </c>
      <c r="AQ63" t="s">
        <v>3551</v>
      </c>
      <c r="AR63" t="s">
        <v>1808</v>
      </c>
      <c r="AS63" t="s">
        <v>3552</v>
      </c>
      <c r="AT63" t="s">
        <v>2</v>
      </c>
      <c r="AU63" t="s">
        <v>3553</v>
      </c>
      <c r="AV63" t="s">
        <v>3554</v>
      </c>
      <c r="AW63" t="s">
        <v>3555</v>
      </c>
      <c r="AX63" t="s">
        <v>364</v>
      </c>
      <c r="AY63" t="s">
        <v>532</v>
      </c>
      <c r="AZ63" t="s">
        <v>466</v>
      </c>
      <c r="BA63" t="s">
        <v>129</v>
      </c>
      <c r="BB63" t="s">
        <v>405</v>
      </c>
      <c r="BC63" t="s">
        <v>1649</v>
      </c>
      <c r="BD63" t="s">
        <v>1348</v>
      </c>
      <c r="BE63" t="s">
        <v>1262</v>
      </c>
      <c r="BF63" t="s">
        <v>1404</v>
      </c>
      <c r="BG63" t="s">
        <v>1436</v>
      </c>
      <c r="BH63" t="s">
        <v>542</v>
      </c>
      <c r="BI63" t="s">
        <v>198</v>
      </c>
      <c r="BJ63" t="s">
        <v>364</v>
      </c>
      <c r="BK63" t="s">
        <v>2492</v>
      </c>
      <c r="BL63" t="s">
        <v>2498</v>
      </c>
      <c r="BM63" t="s">
        <v>1649</v>
      </c>
      <c r="BN63">
        <v>3.58</v>
      </c>
      <c r="BO63">
        <v>7.95</v>
      </c>
      <c r="BP63">
        <v>11.61</v>
      </c>
      <c r="BQ63">
        <v>3.99</v>
      </c>
      <c r="BR63">
        <v>7.6</v>
      </c>
      <c r="BS63">
        <v>11.75</v>
      </c>
      <c r="BT63" t="s">
        <v>1540</v>
      </c>
      <c r="BU63" t="s">
        <v>1445</v>
      </c>
      <c r="BV63">
        <v>33.450000000000003</v>
      </c>
      <c r="BW63">
        <v>36.97</v>
      </c>
      <c r="BX63">
        <v>35.69</v>
      </c>
      <c r="BY63">
        <v>14.97</v>
      </c>
      <c r="BZ63">
        <v>21.59</v>
      </c>
      <c r="CA63">
        <v>20.66</v>
      </c>
      <c r="CB63">
        <v>-9.14</v>
      </c>
      <c r="CC63">
        <v>-2.13</v>
      </c>
      <c r="CD63" t="s">
        <v>58</v>
      </c>
      <c r="CE63" t="s">
        <v>105</v>
      </c>
      <c r="CF63" s="10">
        <v>-0.54356149068322979</v>
      </c>
      <c r="CG63" s="11">
        <v>4.2209393757502998</v>
      </c>
      <c r="CH63" s="10">
        <v>1.1504424810409546</v>
      </c>
      <c r="CI63" s="10">
        <v>0.10784313827753067</v>
      </c>
      <c r="CJ63" s="10">
        <v>0.19648094475269318</v>
      </c>
      <c r="CK63" s="10">
        <v>0.25830256938934326</v>
      </c>
      <c r="CL63" s="10">
        <v>9.7165994346141815E-2</v>
      </c>
      <c r="CM63" s="11">
        <v>-0.75776684284210205</v>
      </c>
      <c r="CN63" s="11">
        <v>0.15716145932674408</v>
      </c>
      <c r="CO63" s="11">
        <v>1.5662472695112228E-2</v>
      </c>
      <c r="CP63" s="11">
        <v>0.22015278041362762</v>
      </c>
      <c r="CQ63" s="11">
        <v>0.19153691828250885</v>
      </c>
      <c r="CR63">
        <v>50.871066989454583</v>
      </c>
      <c r="CS63">
        <v>1.4050955648808874</v>
      </c>
      <c r="CT63">
        <v>0.58262711864406791</v>
      </c>
      <c r="CU63" s="10">
        <v>0.36204702556133272</v>
      </c>
      <c r="CV63" s="11">
        <v>-3.4650642424821854E-2</v>
      </c>
      <c r="CW63">
        <v>0.06</v>
      </c>
      <c r="CX63">
        <v>65.826605789065511</v>
      </c>
      <c r="CY63">
        <v>30360670.674774159</v>
      </c>
      <c r="CZ63">
        <v>0.36204702556133272</v>
      </c>
      <c r="DA63">
        <v>17.214670341563071</v>
      </c>
      <c r="DB63">
        <v>116095159.55555238</v>
      </c>
      <c r="DC63">
        <v>0.34394467428326608</v>
      </c>
      <c r="DD63">
        <v>6.1313857298696535</v>
      </c>
      <c r="DE63">
        <v>325952400.98236108</v>
      </c>
      <c r="DF63">
        <v>0.3186013824939728</v>
      </c>
      <c r="DG63">
        <v>2.4666884291881637</v>
      </c>
      <c r="DH63">
        <v>810211730.16883993</v>
      </c>
      <c r="DI63">
        <v>0.28963762044906621</v>
      </c>
      <c r="DJ63">
        <v>0.47346300367433619</v>
      </c>
      <c r="DK63">
        <v>4221111014.9900184</v>
      </c>
      <c r="DL63">
        <v>0.25343291789293287</v>
      </c>
      <c r="DM63">
        <v>23627900</v>
      </c>
      <c r="DN63">
        <v>0.36204702556133272</v>
      </c>
      <c r="DO63">
        <v>1998539900</v>
      </c>
      <c r="DP63">
        <v>1238951460</v>
      </c>
      <c r="DQ63">
        <v>2560</v>
      </c>
      <c r="DR63">
        <v>-0.90560851624456251</v>
      </c>
      <c r="DS63">
        <v>4.2555900181751216</v>
      </c>
      <c r="DT63" s="12">
        <v>0.14333333333333331</v>
      </c>
      <c r="DU63">
        <v>3.3333333333333291E-2</v>
      </c>
      <c r="DV63">
        <v>0.17666666666666661</v>
      </c>
      <c r="DW63">
        <v>-5.2330415754923409</v>
      </c>
      <c r="DX63">
        <v>0.43513661202185772</v>
      </c>
      <c r="DY63">
        <v>-5.0757703483158156</v>
      </c>
      <c r="DZ63">
        <v>1376</v>
      </c>
      <c r="EA63">
        <v>-5.0553672173407547</v>
      </c>
      <c r="EB63">
        <v>5</v>
      </c>
      <c r="EC63">
        <v>0.32037384343023356</v>
      </c>
      <c r="ED63">
        <v>0.98535148483584445</v>
      </c>
      <c r="EE63" s="13">
        <v>-7.0800999999999998</v>
      </c>
      <c r="EF63">
        <v>-7.0553999999999997</v>
      </c>
      <c r="EG63">
        <v>11.325136612021858</v>
      </c>
      <c r="EH63" t="s">
        <v>3556</v>
      </c>
      <c r="EI63">
        <v>0</v>
      </c>
      <c r="EJ63">
        <v>1</v>
      </c>
      <c r="EK63" s="14">
        <v>45470</v>
      </c>
      <c r="EL63">
        <v>-0.74</v>
      </c>
      <c r="EM63">
        <v>-6.43</v>
      </c>
      <c r="EN63">
        <v>3.78</v>
      </c>
      <c r="EO63">
        <v>7.06</v>
      </c>
      <c r="EP63">
        <v>-2.4700000000000002</v>
      </c>
    </row>
    <row r="64" spans="1:146" ht="96" x14ac:dyDescent="0.25">
      <c r="A64" s="9"/>
      <c r="B64" s="9"/>
      <c r="C64" s="9" t="str">
        <f>""&amp;CHAR(10)&amp;Basic_Fundamental_Information_Constructure(F64)&amp;CHAR(10)&amp;Basic_Fundamental_Information_Concatenate("")</f>
        <v xml:space="preserve">
市值60.796658亿, 利润2508.45万; PE25.38; 平均PE47.9; 平均PEG2.01, PB2.58; ROIC9.7267%; ROE16.4567%; 股利率3.0137%; 毛利41.2333%; 净利25.3033%; 上一年度营收增1.16%, 利润增-88.95%; 当季营收增-28.43%, 利润增140.78%; 过往5年营收增23.79%, 利润增15.69%
Income profile:
</v>
      </c>
      <c r="D64" t="s">
        <v>1263</v>
      </c>
      <c r="E64" t="s">
        <v>1264</v>
      </c>
      <c r="F64">
        <v>18.25</v>
      </c>
      <c r="G64">
        <v>1.39</v>
      </c>
      <c r="H64" t="s">
        <v>3557</v>
      </c>
      <c r="I64">
        <v>6079665800</v>
      </c>
      <c r="J64">
        <v>25.38</v>
      </c>
      <c r="K64">
        <v>2.58</v>
      </c>
      <c r="L64" t="s">
        <v>2891</v>
      </c>
      <c r="M64" t="s">
        <v>572</v>
      </c>
      <c r="N64" t="s">
        <v>1254</v>
      </c>
      <c r="O64" t="s">
        <v>97</v>
      </c>
      <c r="P64">
        <v>-23.71</v>
      </c>
      <c r="Q64" t="s">
        <v>1810</v>
      </c>
      <c r="R64">
        <v>22792379</v>
      </c>
      <c r="S64" s="6">
        <v>-0.4244</v>
      </c>
      <c r="T64" t="s">
        <v>3558</v>
      </c>
      <c r="U64">
        <v>83652371</v>
      </c>
      <c r="V64">
        <v>333132370</v>
      </c>
      <c r="W64">
        <v>1.48</v>
      </c>
      <c r="X64">
        <v>0.04</v>
      </c>
      <c r="Y64">
        <v>14.67</v>
      </c>
      <c r="Z64" t="s">
        <v>106</v>
      </c>
      <c r="AA64" t="s">
        <v>148</v>
      </c>
      <c r="AB64" t="s">
        <v>3559</v>
      </c>
      <c r="AC64" t="s">
        <v>3560</v>
      </c>
      <c r="AD64" t="s">
        <v>2</v>
      </c>
      <c r="AE64">
        <v>-4730195</v>
      </c>
      <c r="AF64" t="s">
        <v>2501</v>
      </c>
      <c r="AG64">
        <v>25</v>
      </c>
      <c r="AH64" t="s">
        <v>2502</v>
      </c>
      <c r="AI64" t="s">
        <v>224</v>
      </c>
      <c r="AJ64" t="s">
        <v>2503</v>
      </c>
      <c r="AK64" t="s">
        <v>3561</v>
      </c>
      <c r="AL64" t="s">
        <v>2504</v>
      </c>
      <c r="AM64" t="s">
        <v>2</v>
      </c>
      <c r="AN64" t="s">
        <v>151</v>
      </c>
      <c r="AO64" t="s">
        <v>437</v>
      </c>
      <c r="AP64" t="s">
        <v>151</v>
      </c>
      <c r="AQ64" t="s">
        <v>183</v>
      </c>
      <c r="AR64" t="s">
        <v>2</v>
      </c>
      <c r="AS64" t="s">
        <v>1350</v>
      </c>
      <c r="AT64" t="s">
        <v>2</v>
      </c>
      <c r="AU64" t="s">
        <v>3562</v>
      </c>
      <c r="AV64" t="s">
        <v>3563</v>
      </c>
      <c r="AW64" t="s">
        <v>78</v>
      </c>
      <c r="AX64" t="s">
        <v>1618</v>
      </c>
      <c r="AY64" t="s">
        <v>515</v>
      </c>
      <c r="AZ64" t="s">
        <v>182</v>
      </c>
      <c r="BA64" t="s">
        <v>556</v>
      </c>
      <c r="BB64" t="s">
        <v>260</v>
      </c>
      <c r="BC64" t="s">
        <v>227</v>
      </c>
      <c r="BD64" t="s">
        <v>473</v>
      </c>
      <c r="BE64" t="s">
        <v>116</v>
      </c>
      <c r="BF64" t="s">
        <v>223</v>
      </c>
      <c r="BG64" t="s">
        <v>1265</v>
      </c>
      <c r="BH64" t="s">
        <v>1902</v>
      </c>
      <c r="BI64" t="s">
        <v>467</v>
      </c>
      <c r="BJ64" t="s">
        <v>1618</v>
      </c>
      <c r="BK64" t="s">
        <v>464</v>
      </c>
      <c r="BL64" t="s">
        <v>3564</v>
      </c>
      <c r="BM64" t="s">
        <v>227</v>
      </c>
      <c r="BN64">
        <v>4.2</v>
      </c>
      <c r="BO64">
        <v>10.3</v>
      </c>
      <c r="BP64">
        <v>14.68</v>
      </c>
      <c r="BQ64">
        <v>6.14</v>
      </c>
      <c r="BR64">
        <v>10.9</v>
      </c>
      <c r="BS64">
        <v>32.33</v>
      </c>
      <c r="BT64" t="s">
        <v>1665</v>
      </c>
      <c r="BU64" t="s">
        <v>1444</v>
      </c>
      <c r="BV64">
        <v>39.11</v>
      </c>
      <c r="BW64">
        <v>41.89</v>
      </c>
      <c r="BX64">
        <v>42.7</v>
      </c>
      <c r="BY64">
        <v>23.24</v>
      </c>
      <c r="BZ64">
        <v>26.23</v>
      </c>
      <c r="CA64">
        <v>26.44</v>
      </c>
      <c r="CB64">
        <v>-6.22</v>
      </c>
      <c r="CC64">
        <v>12.24</v>
      </c>
      <c r="CD64" t="s">
        <v>3565</v>
      </c>
      <c r="CE64" t="s">
        <v>189</v>
      </c>
      <c r="CF64" s="10">
        <v>-0.28426395939086296</v>
      </c>
      <c r="CG64" s="11">
        <v>1.4077897972765976</v>
      </c>
      <c r="CH64" s="10">
        <v>1.1587485671043396E-2</v>
      </c>
      <c r="CI64" s="10">
        <v>0.22759601473808289</v>
      </c>
      <c r="CJ64" s="10">
        <v>0.20376712083816528</v>
      </c>
      <c r="CK64" s="10">
        <v>0.28351649641990662</v>
      </c>
      <c r="CL64" s="10">
        <v>0.46302250027656555</v>
      </c>
      <c r="CM64" s="11">
        <v>-0.8894956111907959</v>
      </c>
      <c r="CN64" s="11">
        <v>0.22043010592460632</v>
      </c>
      <c r="CO64" s="11">
        <v>0.20000000298023224</v>
      </c>
      <c r="CP64" s="11">
        <v>0.42201834917068481</v>
      </c>
      <c r="CQ64" s="11">
        <v>0.83165574073791504</v>
      </c>
      <c r="CR64">
        <v>47.896935569959567</v>
      </c>
      <c r="CS64">
        <v>2.0133397907565436</v>
      </c>
      <c r="CT64">
        <v>3.0136986301369864</v>
      </c>
      <c r="CU64" s="10">
        <v>0.23789792358875275</v>
      </c>
      <c r="CV64" s="11">
        <v>0.15692171752452849</v>
      </c>
      <c r="CW64">
        <v>0.06</v>
      </c>
      <c r="CX64">
        <v>155.68394601070943</v>
      </c>
      <c r="CY64">
        <v>29294387.230435912</v>
      </c>
      <c r="CZ64">
        <v>0.23789792358875275</v>
      </c>
      <c r="DA64">
        <v>44.985367872854411</v>
      </c>
      <c r="DB64">
        <v>101381093.80121464</v>
      </c>
      <c r="DC64">
        <v>0.2260030274093151</v>
      </c>
      <c r="DD64">
        <v>18.627896493308949</v>
      </c>
      <c r="DE64">
        <v>244829887.34869602</v>
      </c>
      <c r="DF64">
        <v>0.20935017275810242</v>
      </c>
      <c r="DG64">
        <v>9.0957560745034929</v>
      </c>
      <c r="DH64">
        <v>501405904.31883937</v>
      </c>
      <c r="DI64">
        <v>0.19031833887100222</v>
      </c>
      <c r="DJ64">
        <v>2.8681924306560029</v>
      </c>
      <c r="DK64">
        <v>1590083618.9561036</v>
      </c>
      <c r="DL64">
        <v>0.16652854651212692</v>
      </c>
      <c r="DM64">
        <v>25084500</v>
      </c>
      <c r="DN64">
        <v>0.23789792358875275</v>
      </c>
      <c r="DO64">
        <v>4560665800</v>
      </c>
      <c r="DP64">
        <v>2124046500</v>
      </c>
      <c r="DQ64">
        <v>2606</v>
      </c>
      <c r="DR64">
        <v>-0.52216188297961574</v>
      </c>
      <c r="DS64">
        <v>1.250868079752069</v>
      </c>
      <c r="DT64" s="12">
        <v>5.9999999999999908E-2</v>
      </c>
      <c r="DU64">
        <v>0.48666666666666664</v>
      </c>
      <c r="DV64">
        <v>0.54666666666666652</v>
      </c>
      <c r="DW64">
        <v>-7.3369447453954493</v>
      </c>
      <c r="DX64">
        <v>0.23661245551601481</v>
      </c>
      <c r="DY64">
        <v>-7.0291836117719182</v>
      </c>
      <c r="DZ64">
        <v>3918</v>
      </c>
      <c r="EA64">
        <v>-7.0068076057205726</v>
      </c>
      <c r="EB64">
        <v>7</v>
      </c>
      <c r="EC64">
        <v>7.3058346146308142E-2</v>
      </c>
      <c r="ED64">
        <v>0.84350854286540811</v>
      </c>
      <c r="EE64" s="13">
        <v>1.0873999999999999</v>
      </c>
      <c r="EF64">
        <v>1.1126</v>
      </c>
      <c r="EG64">
        <v>15.086612455516015</v>
      </c>
      <c r="EH64" t="s">
        <v>1547</v>
      </c>
      <c r="EI64">
        <v>0</v>
      </c>
      <c r="EJ64">
        <v>0</v>
      </c>
      <c r="EK64" s="14">
        <v>45470</v>
      </c>
      <c r="EL64">
        <v>-3.2</v>
      </c>
      <c r="EM64">
        <v>-5.63</v>
      </c>
      <c r="EN64">
        <v>2.02</v>
      </c>
      <c r="EO64">
        <v>8.6300000000000008</v>
      </c>
      <c r="EP64">
        <v>2.52</v>
      </c>
    </row>
    <row r="65" spans="1:146" ht="96" x14ac:dyDescent="0.25">
      <c r="C65" s="9" t="str">
        <f>""&amp;CHAR(10)&amp;Basic_Fundamental_Information_Constructure(F65)&amp;CHAR(10)&amp;Basic_Fundamental_Information_Concatenate("")</f>
        <v xml:space="preserve">
市值102.37038亿, 利润3162.27万; PE18.83; 平均PE106.46; 平均PEG1.14, PB2.38; ROIC16.3633%; ROE23.59%; 股利率1.9518%; 毛利21.97%; 净利8.7367%; 上一年度营收增3.92%, 利润增-88.07%; 当季营收增33.76%, 利润增187.57%; 过往5年营收增93.48%, 利润增-40.22%
Income profile:
</v>
      </c>
      <c r="D65" s="6" t="s">
        <v>1823</v>
      </c>
      <c r="E65" t="s">
        <v>1824</v>
      </c>
      <c r="F65">
        <v>32.79</v>
      </c>
      <c r="G65">
        <v>9.15</v>
      </c>
      <c r="H65" t="s">
        <v>3566</v>
      </c>
      <c r="I65">
        <v>10237038000</v>
      </c>
      <c r="J65">
        <v>18.829999999999998</v>
      </c>
      <c r="K65">
        <v>2.38</v>
      </c>
      <c r="L65" t="s">
        <v>2891</v>
      </c>
      <c r="M65" t="s">
        <v>2206</v>
      </c>
      <c r="N65" t="s">
        <v>1363</v>
      </c>
      <c r="O65" t="s">
        <v>592</v>
      </c>
      <c r="P65" s="6">
        <v>46.35</v>
      </c>
      <c r="Q65" t="s">
        <v>2096</v>
      </c>
      <c r="R65">
        <v>89803041</v>
      </c>
      <c r="S65">
        <v>1.0429999999999999</v>
      </c>
      <c r="T65" t="s">
        <v>2512</v>
      </c>
      <c r="U65">
        <v>128071605</v>
      </c>
      <c r="V65">
        <v>312200000</v>
      </c>
      <c r="W65">
        <v>1.82</v>
      </c>
      <c r="X65">
        <v>0.13</v>
      </c>
      <c r="Y65">
        <v>8.68</v>
      </c>
      <c r="Z65" t="s">
        <v>3362</v>
      </c>
      <c r="AA65" t="s">
        <v>1472</v>
      </c>
      <c r="AB65" t="s">
        <v>3567</v>
      </c>
      <c r="AC65" t="s">
        <v>3568</v>
      </c>
      <c r="AD65" t="s">
        <v>2</v>
      </c>
      <c r="AE65">
        <v>-7649369</v>
      </c>
      <c r="AF65" t="s">
        <v>23</v>
      </c>
      <c r="AG65" t="s">
        <v>3569</v>
      </c>
      <c r="AH65" t="s">
        <v>2508</v>
      </c>
      <c r="AI65" t="s">
        <v>3570</v>
      </c>
      <c r="AJ65" t="s">
        <v>2509</v>
      </c>
      <c r="AK65" t="s">
        <v>160</v>
      </c>
      <c r="AL65" t="s">
        <v>2510</v>
      </c>
      <c r="AM65" t="s">
        <v>2</v>
      </c>
      <c r="AN65" t="s">
        <v>3571</v>
      </c>
      <c r="AO65" t="s">
        <v>131</v>
      </c>
      <c r="AP65" t="s">
        <v>324</v>
      </c>
      <c r="AQ65" t="s">
        <v>1519</v>
      </c>
      <c r="AR65" t="s">
        <v>2</v>
      </c>
      <c r="AS65" t="s">
        <v>3572</v>
      </c>
      <c r="AT65" t="s">
        <v>3573</v>
      </c>
      <c r="AU65" t="s">
        <v>1312</v>
      </c>
      <c r="AV65" t="s">
        <v>1892</v>
      </c>
      <c r="AW65" t="s">
        <v>169</v>
      </c>
      <c r="AX65" t="s">
        <v>1825</v>
      </c>
      <c r="AY65" t="s">
        <v>629</v>
      </c>
      <c r="AZ65" t="s">
        <v>1800</v>
      </c>
      <c r="BA65" t="s">
        <v>602</v>
      </c>
      <c r="BB65" t="s">
        <v>464</v>
      </c>
      <c r="BC65" t="s">
        <v>550</v>
      </c>
      <c r="BD65" t="s">
        <v>198</v>
      </c>
      <c r="BE65" t="s">
        <v>273</v>
      </c>
      <c r="BF65" t="s">
        <v>1874</v>
      </c>
      <c r="BG65" t="s">
        <v>1875</v>
      </c>
      <c r="BH65" t="s">
        <v>2507</v>
      </c>
      <c r="BI65" t="s">
        <v>595</v>
      </c>
      <c r="BJ65" t="s">
        <v>1825</v>
      </c>
      <c r="BK65" t="s">
        <v>483</v>
      </c>
      <c r="BL65" t="s">
        <v>2513</v>
      </c>
      <c r="BM65" t="s">
        <v>550</v>
      </c>
      <c r="BN65">
        <v>10.88</v>
      </c>
      <c r="BO65">
        <v>20.99</v>
      </c>
      <c r="BP65">
        <v>17.22</v>
      </c>
      <c r="BQ65">
        <v>15.53</v>
      </c>
      <c r="BR65">
        <v>31.65</v>
      </c>
      <c r="BS65" t="s">
        <v>2</v>
      </c>
      <c r="BT65" t="s">
        <v>2511</v>
      </c>
      <c r="BU65" t="s">
        <v>1445</v>
      </c>
      <c r="BV65">
        <v>22.69</v>
      </c>
      <c r="BW65">
        <v>21.17</v>
      </c>
      <c r="BX65">
        <v>22.05</v>
      </c>
      <c r="BY65">
        <v>10.06</v>
      </c>
      <c r="BZ65">
        <v>8.1999999999999993</v>
      </c>
      <c r="CA65">
        <v>7.95</v>
      </c>
      <c r="CB65">
        <v>9.1199999999999992</v>
      </c>
      <c r="CC65" s="10">
        <v>-12.72</v>
      </c>
      <c r="CD65" s="11" t="s">
        <v>3574</v>
      </c>
      <c r="CE65" s="10" t="s">
        <v>585</v>
      </c>
      <c r="CF65" s="10">
        <v>0.33764553686934023</v>
      </c>
      <c r="CG65" s="10">
        <v>1.8756849854619513</v>
      </c>
      <c r="CH65" s="10">
        <v>3.9246004074811935E-2</v>
      </c>
      <c r="CI65" s="10">
        <v>0.59408867359161377</v>
      </c>
      <c r="CJ65" s="11">
        <v>0.21921926736831665</v>
      </c>
      <c r="CK65" s="11">
        <v>3.3134713172912598</v>
      </c>
      <c r="CL65" s="11">
        <v>0.5078125</v>
      </c>
      <c r="CM65" s="11">
        <v>-0.88066905736923218</v>
      </c>
      <c r="CN65" s="11">
        <v>0.64596271514892578</v>
      </c>
      <c r="CO65">
        <v>-9.5505617558956146E-2</v>
      </c>
      <c r="CP65">
        <v>3.2661244869232178</v>
      </c>
      <c r="CQ65">
        <v>-4.9469075202941895</v>
      </c>
      <c r="CR65" s="10">
        <v>106.45548504035784</v>
      </c>
      <c r="CS65" s="11">
        <v>1.1388444620227762</v>
      </c>
      <c r="CT65">
        <v>1.9518145776151268</v>
      </c>
      <c r="CU65">
        <v>0.93476755246520038</v>
      </c>
      <c r="CV65">
        <v>-0.40219899863004682</v>
      </c>
      <c r="CW65">
        <v>0.06</v>
      </c>
      <c r="CX65">
        <v>165.906722062499</v>
      </c>
      <c r="CY65">
        <v>57719409.322020084</v>
      </c>
      <c r="CZ65">
        <v>0.93476755246520038</v>
      </c>
      <c r="DA65">
        <v>28.556036197290876</v>
      </c>
      <c r="DB65">
        <v>335341989.82800293</v>
      </c>
      <c r="DC65">
        <v>0.88802917484194033</v>
      </c>
      <c r="DD65">
        <v>5.1006403357020638</v>
      </c>
      <c r="DE65">
        <v>1877418788.5729315</v>
      </c>
      <c r="DF65">
        <v>0.8225954461693763</v>
      </c>
      <c r="DG65">
        <v>0.80761139506644541</v>
      </c>
      <c r="DH65">
        <v>11857234876.20199</v>
      </c>
      <c r="DI65">
        <v>0.74781404197216039</v>
      </c>
      <c r="DJ65">
        <v>1.4800999774116553E-2</v>
      </c>
      <c r="DK65">
        <v>646985889206.36462</v>
      </c>
      <c r="DL65">
        <v>0.65433728672564018</v>
      </c>
      <c r="DM65">
        <v>31622700</v>
      </c>
      <c r="DN65">
        <v>0.93476755246520038</v>
      </c>
      <c r="DO65">
        <v>9576038000</v>
      </c>
      <c r="DP65">
        <v>3213511000</v>
      </c>
      <c r="DQ65" s="12">
        <v>2697</v>
      </c>
      <c r="DR65">
        <v>-0.59712201559586009</v>
      </c>
      <c r="DS65">
        <v>2.2778839840919982</v>
      </c>
      <c r="DT65">
        <v>0.42166666666666663</v>
      </c>
      <c r="DU65">
        <v>-0.42333333333333334</v>
      </c>
      <c r="DV65">
        <v>-1.6666666666667052E-3</v>
      </c>
      <c r="DW65">
        <v>7.4175824175824179</v>
      </c>
      <c r="DX65">
        <v>0.66748263473053604</v>
      </c>
      <c r="DY65">
        <v>7.1075202210962694</v>
      </c>
      <c r="DZ65">
        <v>1303</v>
      </c>
      <c r="EA65">
        <v>7.0801036167736786</v>
      </c>
      <c r="EB65" s="13">
        <v>7</v>
      </c>
      <c r="EC65" s="13">
        <v>0.13773094170403588</v>
      </c>
      <c r="ED65">
        <v>0.5349135169762973</v>
      </c>
      <c r="EE65">
        <v>-2.0333000000000001</v>
      </c>
      <c r="EF65">
        <v>-2.0283000000000002</v>
      </c>
      <c r="EG65">
        <v>41.257482634730536</v>
      </c>
      <c r="EH65" s="14" t="s">
        <v>1553</v>
      </c>
      <c r="EI65">
        <v>1</v>
      </c>
      <c r="EJ65">
        <v>1</v>
      </c>
      <c r="EK65">
        <v>45470</v>
      </c>
      <c r="EL65">
        <v>0.85</v>
      </c>
      <c r="EM65">
        <v>-4.42</v>
      </c>
      <c r="EN65">
        <v>0.52</v>
      </c>
      <c r="EO65">
        <v>3.46</v>
      </c>
      <c r="EP65">
        <v>-0.5</v>
      </c>
    </row>
    <row r="66" spans="1:146" ht="96" x14ac:dyDescent="0.25">
      <c r="C66" s="9" t="str">
        <f>""&amp;CHAR(10)&amp;Basic_Fundamental_Information_Constructure(F66)&amp;CHAR(10)&amp;Basic_Fundamental_Information_Concatenate("")</f>
        <v xml:space="preserve">
市值18.96048亿, 利润1.70亿; PE47.42; 平均PE24.69; 平均PEG.42, PB1.94; ROIC18.79%; ROE16.96%; 股利率2.6582%; 毛利23.4267%; 净利10.6533%; 上一年度营收增223.46%, 利润增158.77%; 当季营收增-71.13%, 利润增-79.14%; 过往5年营收增59%, 利润增52.14%
Income profile:
</v>
      </c>
      <c r="D66" s="6" t="s">
        <v>1826</v>
      </c>
      <c r="E66" t="s">
        <v>1827</v>
      </c>
      <c r="F66">
        <v>18.809999999999999</v>
      </c>
      <c r="G66">
        <v>-1.67</v>
      </c>
      <c r="H66" t="s">
        <v>3575</v>
      </c>
      <c r="I66">
        <v>1896048000</v>
      </c>
      <c r="J66">
        <v>47.42</v>
      </c>
      <c r="K66">
        <v>1.94</v>
      </c>
      <c r="L66" t="s">
        <v>2891</v>
      </c>
      <c r="M66" t="s">
        <v>231</v>
      </c>
      <c r="N66" t="s">
        <v>3351</v>
      </c>
      <c r="O66" t="s">
        <v>460</v>
      </c>
      <c r="P66">
        <v>6.12</v>
      </c>
      <c r="Q66" t="s">
        <v>3576</v>
      </c>
      <c r="R66">
        <v>8722583</v>
      </c>
      <c r="S66">
        <v>-0.28060000000000002</v>
      </c>
      <c r="T66" t="s">
        <v>207</v>
      </c>
      <c r="U66">
        <v>28756000</v>
      </c>
      <c r="V66">
        <v>100800000</v>
      </c>
      <c r="W66">
        <v>1.26</v>
      </c>
      <c r="X66">
        <v>0.1</v>
      </c>
      <c r="Y66">
        <v>6.97</v>
      </c>
      <c r="Z66" t="s">
        <v>107</v>
      </c>
      <c r="AA66" t="s">
        <v>169</v>
      </c>
      <c r="AB66" t="s">
        <v>3577</v>
      </c>
      <c r="AC66" t="s">
        <v>3578</v>
      </c>
      <c r="AD66" t="s">
        <v>2</v>
      </c>
      <c r="AE66">
        <v>-5470617</v>
      </c>
      <c r="AF66" t="s">
        <v>2515</v>
      </c>
      <c r="AG66">
        <v>0.91</v>
      </c>
      <c r="AH66" t="s">
        <v>2516</v>
      </c>
      <c r="AI66" t="s">
        <v>152</v>
      </c>
      <c r="AJ66" t="s">
        <v>2517</v>
      </c>
      <c r="AK66" t="s">
        <v>3579</v>
      </c>
      <c r="AL66" t="s">
        <v>2518</v>
      </c>
      <c r="AM66" t="s">
        <v>2</v>
      </c>
      <c r="AN66" t="s">
        <v>3580</v>
      </c>
      <c r="AO66" t="s">
        <v>3581</v>
      </c>
      <c r="AP66" t="s">
        <v>3582</v>
      </c>
      <c r="AQ66" t="s">
        <v>107</v>
      </c>
      <c r="AR66" t="s">
        <v>2</v>
      </c>
      <c r="AS66" t="s">
        <v>418</v>
      </c>
      <c r="AT66" t="s">
        <v>2</v>
      </c>
      <c r="AU66" t="s">
        <v>3583</v>
      </c>
      <c r="AV66" t="s">
        <v>3584</v>
      </c>
      <c r="AW66" t="s">
        <v>3585</v>
      </c>
      <c r="AX66" t="s">
        <v>507</v>
      </c>
      <c r="AY66" t="s">
        <v>559</v>
      </c>
      <c r="AZ66" t="s">
        <v>562</v>
      </c>
      <c r="BA66" t="s">
        <v>565</v>
      </c>
      <c r="BB66" t="s">
        <v>307</v>
      </c>
      <c r="BC66" t="s">
        <v>2519</v>
      </c>
      <c r="BD66" t="s">
        <v>1878</v>
      </c>
      <c r="BE66" t="s">
        <v>1879</v>
      </c>
      <c r="BF66" t="s">
        <v>1880</v>
      </c>
      <c r="BG66" t="s">
        <v>1881</v>
      </c>
      <c r="BH66" t="s">
        <v>504</v>
      </c>
      <c r="BI66" t="s">
        <v>458</v>
      </c>
      <c r="BJ66" t="s">
        <v>507</v>
      </c>
      <c r="BK66" t="s">
        <v>2514</v>
      </c>
      <c r="BL66" t="s">
        <v>3586</v>
      </c>
      <c r="BM66" t="s">
        <v>2519</v>
      </c>
      <c r="BN66">
        <v>5.05</v>
      </c>
      <c r="BO66">
        <v>22.42</v>
      </c>
      <c r="BP66">
        <v>28.9</v>
      </c>
      <c r="BQ66">
        <v>10.97</v>
      </c>
      <c r="BR66">
        <v>22.95</v>
      </c>
      <c r="BS66" t="s">
        <v>2</v>
      </c>
      <c r="BT66" t="s">
        <v>1571</v>
      </c>
      <c r="BU66" t="s">
        <v>1445</v>
      </c>
      <c r="BV66">
        <v>22.57</v>
      </c>
      <c r="BW66">
        <v>23.66</v>
      </c>
      <c r="BX66">
        <v>24.05</v>
      </c>
      <c r="BY66">
        <v>8.14</v>
      </c>
      <c r="BZ66">
        <v>12.23</v>
      </c>
      <c r="CA66">
        <v>11.59</v>
      </c>
      <c r="CB66">
        <v>-5.52</v>
      </c>
      <c r="CC66" s="10">
        <v>0.02</v>
      </c>
      <c r="CD66" s="11" t="s">
        <v>3587</v>
      </c>
      <c r="CE66" s="10" t="s">
        <v>124</v>
      </c>
      <c r="CF66" s="10">
        <v>-0.71131639722863738</v>
      </c>
      <c r="CG66" s="10">
        <v>-0.79143005052497672</v>
      </c>
      <c r="CH66" s="10">
        <v>2.2346367835998535</v>
      </c>
      <c r="CI66" s="10">
        <v>-6.9324091076850891E-2</v>
      </c>
      <c r="CJ66" s="11">
        <v>0.24622030556201935</v>
      </c>
      <c r="CK66" s="11">
        <v>0.17512691020965576</v>
      </c>
      <c r="CL66" s="11">
        <v>0.36332181096076965</v>
      </c>
      <c r="CM66" s="11">
        <v>1.5876727104187012</v>
      </c>
      <c r="CN66" s="11">
        <v>-1.8045419827103615E-2</v>
      </c>
      <c r="CO66">
        <v>-3.6322535015642643E-3</v>
      </c>
      <c r="CP66">
        <v>0.12132126092910767</v>
      </c>
      <c r="CQ66">
        <v>0.91988909244537354</v>
      </c>
      <c r="CR66" s="10">
        <v>24.687074942124855</v>
      </c>
      <c r="CS66" s="11">
        <v>0.41842759195734408</v>
      </c>
      <c r="CT66">
        <v>2.6581605528973951</v>
      </c>
      <c r="CU66">
        <v>0.58999634385108946</v>
      </c>
      <c r="CV66">
        <v>0.52144107809290285</v>
      </c>
      <c r="CW66">
        <v>0.06</v>
      </c>
      <c r="CX66">
        <v>4.4707867510046553</v>
      </c>
      <c r="CY66">
        <v>254999413.6364955</v>
      </c>
      <c r="CZ66">
        <v>0.58999634385108946</v>
      </c>
      <c r="DA66">
        <v>0.98186467022719226</v>
      </c>
      <c r="DB66">
        <v>1161105022.4836035</v>
      </c>
      <c r="DC66">
        <v>0.560496526658535</v>
      </c>
      <c r="DD66">
        <v>0.26439664219157849</v>
      </c>
      <c r="DE66">
        <v>4311885319.5341854</v>
      </c>
      <c r="DF66">
        <v>0.51919678258895874</v>
      </c>
      <c r="DG66">
        <v>7.3122024307637007E-2</v>
      </c>
      <c r="DH66">
        <v>15591034449.533575</v>
      </c>
      <c r="DI66">
        <v>0.47199707508087158</v>
      </c>
      <c r="DJ66">
        <v>5.3552556690855714E-3</v>
      </c>
      <c r="DK66">
        <v>212883953716.94125</v>
      </c>
      <c r="DL66">
        <v>0.41299744069576261</v>
      </c>
      <c r="DM66">
        <v>170000000</v>
      </c>
      <c r="DN66">
        <v>0.58999634385108946</v>
      </c>
      <c r="DO66">
        <v>1140048000</v>
      </c>
      <c r="DP66">
        <v>765858140</v>
      </c>
      <c r="DQ66" s="12">
        <v>2700</v>
      </c>
      <c r="DR66">
        <v>-1.3013127410797267</v>
      </c>
      <c r="DS66">
        <v>-1.3128711286178796</v>
      </c>
      <c r="DT66">
        <v>0.20999999999999988</v>
      </c>
      <c r="DU66">
        <v>9.3333333333333338E-2</v>
      </c>
      <c r="DV66">
        <v>0.30333333333333323</v>
      </c>
      <c r="DW66">
        <v>-4.0036231884057969</v>
      </c>
      <c r="DX66">
        <v>0.38375999999999955</v>
      </c>
      <c r="DY66">
        <v>-4.0009556521739134</v>
      </c>
      <c r="DZ66">
        <v>753</v>
      </c>
      <c r="EA66">
        <v>-4.0008148290649199</v>
      </c>
      <c r="EB66" s="13">
        <v>4</v>
      </c>
      <c r="EC66" s="13">
        <v>0.34016666666666667</v>
      </c>
      <c r="ED66">
        <v>1.2896825396825398</v>
      </c>
      <c r="EE66">
        <v>9.0036000000000005</v>
      </c>
      <c r="EF66">
        <v>9.0264100000000003</v>
      </c>
      <c r="EG66">
        <v>12.26376</v>
      </c>
      <c r="EH66" s="14" t="s">
        <v>3588</v>
      </c>
      <c r="EI66">
        <v>0</v>
      </c>
      <c r="EJ66">
        <v>1</v>
      </c>
      <c r="EK66">
        <v>45470</v>
      </c>
      <c r="EL66">
        <v>4.79</v>
      </c>
      <c r="EM66">
        <v>-5.53</v>
      </c>
      <c r="EN66">
        <v>0.18</v>
      </c>
      <c r="EO66">
        <v>1.95</v>
      </c>
      <c r="EP66">
        <v>-3</v>
      </c>
    </row>
    <row r="67" spans="1:146" ht="96" x14ac:dyDescent="0.25">
      <c r="C67" s="9" t="str">
        <f>""&amp;CHAR(10)&amp;Basic_Fundamental_Information_Constructure(F67)&amp;CHAR(10)&amp;Basic_Fundamental_Information_Concatenate("")</f>
        <v xml:space="preserve">
市值17.974896亿, 利润4420.69万; PE43.87; 平均PE33.95; 平均PEG2.71, PB2.08; ROIC8.02%; ROE9.2367%; 股利率2.3878%; 毛利32.48%; 净利16.9767%; 上一年度营收增47.77%, 利润增12.15%; 当季营收增105.94%, 利润增256.21%; 过往5年营收增12.54%, 利润增-1.56%
Income profile:
</v>
      </c>
      <c r="D67" t="s">
        <v>1495</v>
      </c>
      <c r="E67" t="s">
        <v>1496</v>
      </c>
      <c r="F67">
        <v>20.94</v>
      </c>
      <c r="G67">
        <v>-2.83</v>
      </c>
      <c r="H67" t="s">
        <v>3589</v>
      </c>
      <c r="I67">
        <v>1797489600</v>
      </c>
      <c r="J67">
        <v>43.87</v>
      </c>
      <c r="K67">
        <v>2.08</v>
      </c>
      <c r="L67" t="s">
        <v>2891</v>
      </c>
      <c r="M67" t="s">
        <v>2520</v>
      </c>
      <c r="N67" t="s">
        <v>1471</v>
      </c>
      <c r="O67" t="s">
        <v>2521</v>
      </c>
      <c r="P67">
        <v>24.55</v>
      </c>
      <c r="Q67" t="s">
        <v>190</v>
      </c>
      <c r="R67">
        <v>10140549</v>
      </c>
      <c r="S67">
        <v>0.23180000000000001</v>
      </c>
      <c r="T67" t="s">
        <v>3590</v>
      </c>
      <c r="U67">
        <v>26370681</v>
      </c>
      <c r="V67">
        <v>85840000</v>
      </c>
      <c r="W67">
        <v>1.06</v>
      </c>
      <c r="X67">
        <v>7.0000000000000007E-2</v>
      </c>
      <c r="Y67">
        <v>16.809999999999999</v>
      </c>
      <c r="Z67" t="s">
        <v>3591</v>
      </c>
      <c r="AA67" t="s">
        <v>3592</v>
      </c>
      <c r="AB67" t="s">
        <v>3593</v>
      </c>
      <c r="AC67" t="s">
        <v>3594</v>
      </c>
      <c r="AD67" t="s">
        <v>2</v>
      </c>
      <c r="AE67">
        <v>-3199978</v>
      </c>
      <c r="AF67" t="s">
        <v>23</v>
      </c>
      <c r="AG67">
        <v>3594.15</v>
      </c>
      <c r="AH67" t="s">
        <v>2523</v>
      </c>
      <c r="AI67" t="s">
        <v>79</v>
      </c>
      <c r="AJ67" t="s">
        <v>2524</v>
      </c>
      <c r="AK67" t="s">
        <v>3595</v>
      </c>
      <c r="AL67" t="s">
        <v>2525</v>
      </c>
      <c r="AM67" t="s">
        <v>2</v>
      </c>
      <c r="AN67" t="s">
        <v>3596</v>
      </c>
      <c r="AO67" t="s">
        <v>2</v>
      </c>
      <c r="AP67" t="s">
        <v>2</v>
      </c>
      <c r="AQ67" t="s">
        <v>3597</v>
      </c>
      <c r="AR67" t="s">
        <v>3598</v>
      </c>
      <c r="AS67" t="s">
        <v>3599</v>
      </c>
      <c r="AT67" t="s">
        <v>2</v>
      </c>
      <c r="AU67" t="s">
        <v>3600</v>
      </c>
      <c r="AV67" t="s">
        <v>3601</v>
      </c>
      <c r="AW67" t="s">
        <v>2</v>
      </c>
      <c r="AX67" t="s">
        <v>405</v>
      </c>
      <c r="AY67" t="s">
        <v>477</v>
      </c>
      <c r="AZ67" t="s">
        <v>91</v>
      </c>
      <c r="BA67" t="s">
        <v>203</v>
      </c>
      <c r="BB67" t="s">
        <v>45</v>
      </c>
      <c r="BC67" t="s">
        <v>2526</v>
      </c>
      <c r="BD67" t="s">
        <v>1497</v>
      </c>
      <c r="BE67" t="s">
        <v>1498</v>
      </c>
      <c r="BF67" t="s">
        <v>1499</v>
      </c>
      <c r="BG67" t="s">
        <v>1500</v>
      </c>
      <c r="BH67" t="s">
        <v>98</v>
      </c>
      <c r="BI67" t="s">
        <v>3602</v>
      </c>
      <c r="BJ67" t="s">
        <v>405</v>
      </c>
      <c r="BK67" t="s">
        <v>2522</v>
      </c>
      <c r="BL67" t="s">
        <v>3603</v>
      </c>
      <c r="BM67" t="s">
        <v>2526</v>
      </c>
      <c r="BN67">
        <v>2.46</v>
      </c>
      <c r="BO67">
        <v>6.02</v>
      </c>
      <c r="BP67">
        <v>15.58</v>
      </c>
      <c r="BQ67">
        <v>3.38</v>
      </c>
      <c r="BR67">
        <v>8.51</v>
      </c>
      <c r="BS67">
        <v>15.82</v>
      </c>
      <c r="BT67" t="s">
        <v>1539</v>
      </c>
      <c r="BU67" t="s">
        <v>1445</v>
      </c>
      <c r="BV67">
        <v>30.57</v>
      </c>
      <c r="BW67">
        <v>31.72</v>
      </c>
      <c r="BX67">
        <v>35.15</v>
      </c>
      <c r="BY67">
        <v>15.03</v>
      </c>
      <c r="BZ67">
        <v>15.95</v>
      </c>
      <c r="CA67">
        <v>19.95</v>
      </c>
      <c r="CB67">
        <v>-14.18</v>
      </c>
      <c r="CC67" s="10">
        <v>5.12</v>
      </c>
      <c r="CD67" s="11" t="s">
        <v>3604</v>
      </c>
      <c r="CE67" s="10" t="s">
        <v>181</v>
      </c>
      <c r="CF67" s="10">
        <v>1.0594047236997535</v>
      </c>
      <c r="CG67" s="10">
        <v>2.5621272433181854</v>
      </c>
      <c r="CH67" s="10">
        <v>0.47773280739784241</v>
      </c>
      <c r="CI67" s="10">
        <v>-0.18211920559406281</v>
      </c>
      <c r="CJ67" s="11">
        <v>0.1984127014875412</v>
      </c>
      <c r="CK67" s="11">
        <v>0.1150442510843277</v>
      </c>
      <c r="CL67" s="11">
        <v>1.8018018454313278E-2</v>
      </c>
      <c r="CM67" s="11">
        <v>0.12151863425970078</v>
      </c>
      <c r="CN67" s="11">
        <v>-0.34615358710289001</v>
      </c>
      <c r="CO67">
        <v>-5.6502074003219604E-2</v>
      </c>
      <c r="CP67">
        <v>0.11603477597236633</v>
      </c>
      <c r="CQ67">
        <v>8.7207436561584473E-2</v>
      </c>
      <c r="CR67" s="10">
        <v>33.94532080638308</v>
      </c>
      <c r="CS67" s="11">
        <v>2.7065810379220165</v>
      </c>
      <c r="CT67">
        <v>2.3877745940783188</v>
      </c>
      <c r="CU67">
        <v>0.12541771456599235</v>
      </c>
      <c r="CV67">
        <v>-1.5578962862491608E-2</v>
      </c>
      <c r="CW67">
        <v>0.06</v>
      </c>
      <c r="CX67">
        <v>21.053332277416015</v>
      </c>
      <c r="CY67">
        <v>46935121.100044675</v>
      </c>
      <c r="CZ67">
        <v>0.12541771456599235</v>
      </c>
      <c r="DA67">
        <v>6.67756875267429</v>
      </c>
      <c r="DB67">
        <v>147979112.84766045</v>
      </c>
      <c r="DC67">
        <v>0.11914682883769273</v>
      </c>
      <c r="DD67">
        <v>3.1568236247373092</v>
      </c>
      <c r="DE67">
        <v>313017392.62744743</v>
      </c>
      <c r="DF67">
        <v>0.11036758881807326</v>
      </c>
      <c r="DG67">
        <v>1.8097981587577812</v>
      </c>
      <c r="DH67">
        <v>545994974.75356328</v>
      </c>
      <c r="DI67">
        <v>0.10033417165279389</v>
      </c>
      <c r="DJ67">
        <v>0.84227029762398198</v>
      </c>
      <c r="DK67">
        <v>1173187161.8737047</v>
      </c>
      <c r="DL67">
        <v>8.7792400196194637E-2</v>
      </c>
      <c r="DM67">
        <v>44206899.999999993</v>
      </c>
      <c r="DN67">
        <v>0.12541771456599235</v>
      </c>
      <c r="DO67">
        <v>988140700</v>
      </c>
      <c r="DP67">
        <v>648710610</v>
      </c>
      <c r="DQ67" s="12">
        <v>2750</v>
      </c>
      <c r="DR67">
        <v>0.93398700913376109</v>
      </c>
      <c r="DS67">
        <v>2.577706206180677</v>
      </c>
      <c r="DT67">
        <v>-0.28999999999999998</v>
      </c>
      <c r="DU67">
        <v>-0.15</v>
      </c>
      <c r="DV67">
        <v>-0.43999999999999995</v>
      </c>
      <c r="DW67">
        <v>-5.361071932299013</v>
      </c>
      <c r="DX67">
        <v>0.29360066225165571</v>
      </c>
      <c r="DY67">
        <v>-5.0482394492756333</v>
      </c>
      <c r="DZ67">
        <v>25</v>
      </c>
      <c r="EA67">
        <v>-5.048003444142191</v>
      </c>
      <c r="EB67" s="13">
        <v>5</v>
      </c>
      <c r="EC67">
        <v>0.23501514445479962</v>
      </c>
      <c r="ED67">
        <v>1.7590866728797763</v>
      </c>
      <c r="EE67">
        <v>3.0545100000000001</v>
      </c>
      <c r="EF67">
        <v>3.0925099999999999</v>
      </c>
      <c r="EG67">
        <v>16.133600662251656</v>
      </c>
      <c r="EH67" s="14" t="s">
        <v>1562</v>
      </c>
      <c r="EI67">
        <v>0</v>
      </c>
      <c r="EJ67">
        <v>1</v>
      </c>
      <c r="EK67">
        <v>45470</v>
      </c>
      <c r="EL67">
        <v>0.72</v>
      </c>
      <c r="EM67">
        <v>-4.57</v>
      </c>
      <c r="EN67">
        <v>-6.68</v>
      </c>
      <c r="EO67">
        <v>0.42</v>
      </c>
      <c r="EP67">
        <v>-3.8</v>
      </c>
    </row>
    <row r="68" spans="1:146" ht="96" x14ac:dyDescent="0.25">
      <c r="C68" s="9" t="str">
        <f>""&amp;CHAR(10)&amp;Basic_Fundamental_Information_Constructure(F68)&amp;CHAR(10)&amp;Basic_Fundamental_Information_Concatenate("")</f>
        <v xml:space="preserve">
市值31.154781亿, 利润2.30亿; PE44.25; 平均PE37; 平均PEG.26, PB2.84; ROIC15.4967%; ROE18.5033%; 股利率.2614%; 毛利55.0967%; 净利32.2167%; 上一年度营收增664.5%, 利润增283.62%; 当季营收增-87.56%, 利润增-71.27%; 过往5年营收增143.97%, 利润增68.17%
Income profile:
</v>
      </c>
      <c r="D68" t="s">
        <v>1501</v>
      </c>
      <c r="E68" t="s">
        <v>1502</v>
      </c>
      <c r="F68">
        <v>26.78</v>
      </c>
      <c r="G68">
        <v>3.6</v>
      </c>
      <c r="H68" t="s">
        <v>3605</v>
      </c>
      <c r="I68">
        <v>3115478100</v>
      </c>
      <c r="J68">
        <v>44.25</v>
      </c>
      <c r="K68">
        <v>2.84</v>
      </c>
      <c r="L68" t="s">
        <v>2891</v>
      </c>
      <c r="M68" t="s">
        <v>2527</v>
      </c>
      <c r="N68" t="s">
        <v>1904</v>
      </c>
      <c r="O68" t="s">
        <v>2529</v>
      </c>
      <c r="P68">
        <v>-5.19</v>
      </c>
      <c r="Q68" t="s">
        <v>2454</v>
      </c>
      <c r="R68">
        <v>12881102</v>
      </c>
      <c r="S68">
        <v>-0.1764</v>
      </c>
      <c r="T68" t="s">
        <v>163</v>
      </c>
      <c r="U68">
        <v>29084000</v>
      </c>
      <c r="V68">
        <v>116336000</v>
      </c>
      <c r="W68">
        <v>1.03</v>
      </c>
      <c r="X68">
        <v>0.04</v>
      </c>
      <c r="Y68">
        <v>29.66</v>
      </c>
      <c r="Z68" t="s">
        <v>3606</v>
      </c>
      <c r="AA68" t="s">
        <v>3607</v>
      </c>
      <c r="AB68" t="s">
        <v>3608</v>
      </c>
      <c r="AC68" t="s">
        <v>3609</v>
      </c>
      <c r="AD68" t="s">
        <v>2</v>
      </c>
      <c r="AE68">
        <v>-967072</v>
      </c>
      <c r="AF68" t="s">
        <v>2531</v>
      </c>
      <c r="AG68" t="s">
        <v>3610</v>
      </c>
      <c r="AH68" t="s">
        <v>2532</v>
      </c>
      <c r="AI68" t="s">
        <v>169</v>
      </c>
      <c r="AJ68" t="s">
        <v>2533</v>
      </c>
      <c r="AK68" t="s">
        <v>3611</v>
      </c>
      <c r="AL68" t="s">
        <v>2534</v>
      </c>
      <c r="AM68" t="s">
        <v>2</v>
      </c>
      <c r="AN68" t="s">
        <v>3612</v>
      </c>
      <c r="AO68" t="s">
        <v>2</v>
      </c>
      <c r="AP68" t="s">
        <v>2</v>
      </c>
      <c r="AQ68" t="s">
        <v>3613</v>
      </c>
      <c r="AR68" t="s">
        <v>2</v>
      </c>
      <c r="AS68" t="s">
        <v>3614</v>
      </c>
      <c r="AT68" t="s">
        <v>2</v>
      </c>
      <c r="AU68" t="s">
        <v>3615</v>
      </c>
      <c r="AV68" t="s">
        <v>3616</v>
      </c>
      <c r="AW68" t="s">
        <v>2</v>
      </c>
      <c r="AX68" t="s">
        <v>191</v>
      </c>
      <c r="AY68" t="s">
        <v>296</v>
      </c>
      <c r="AZ68" t="s">
        <v>323</v>
      </c>
      <c r="BA68" t="s">
        <v>415</v>
      </c>
      <c r="BB68" t="s">
        <v>59</v>
      </c>
      <c r="BC68" t="s">
        <v>1652</v>
      </c>
      <c r="BD68" t="s">
        <v>1503</v>
      </c>
      <c r="BE68" t="s">
        <v>1504</v>
      </c>
      <c r="BF68" t="s">
        <v>1505</v>
      </c>
      <c r="BG68" t="s">
        <v>1506</v>
      </c>
      <c r="BH68" t="s">
        <v>354</v>
      </c>
      <c r="BI68" t="s">
        <v>481</v>
      </c>
      <c r="BJ68" t="s">
        <v>191</v>
      </c>
      <c r="BK68" t="s">
        <v>2530</v>
      </c>
      <c r="BL68" t="s">
        <v>3617</v>
      </c>
      <c r="BM68" t="s">
        <v>1652</v>
      </c>
      <c r="BN68">
        <v>5.03</v>
      </c>
      <c r="BO68">
        <v>9.3699999999999992</v>
      </c>
      <c r="BP68">
        <v>32.090000000000003</v>
      </c>
      <c r="BQ68">
        <v>5.2</v>
      </c>
      <c r="BR68">
        <v>17.920000000000002</v>
      </c>
      <c r="BS68">
        <v>32.39</v>
      </c>
      <c r="BT68" t="s">
        <v>1531</v>
      </c>
      <c r="BU68" t="s">
        <v>1445</v>
      </c>
      <c r="BV68">
        <v>54.54</v>
      </c>
      <c r="BW68">
        <v>54.2</v>
      </c>
      <c r="BX68">
        <v>56.55</v>
      </c>
      <c r="BY68">
        <v>33.25</v>
      </c>
      <c r="BZ68">
        <v>29.91</v>
      </c>
      <c r="CA68">
        <v>33.49</v>
      </c>
      <c r="CB68">
        <v>-7.97</v>
      </c>
      <c r="CC68" s="10">
        <v>44.37</v>
      </c>
      <c r="CD68" s="11" t="s">
        <v>3618</v>
      </c>
      <c r="CE68" s="10" t="s">
        <v>532</v>
      </c>
      <c r="CF68" s="10">
        <v>-0.8755510028653295</v>
      </c>
      <c r="CG68" s="10">
        <v>-0.71272804720848182</v>
      </c>
      <c r="CH68" s="10">
        <v>6.6449995040893555</v>
      </c>
      <c r="CI68" s="10">
        <v>-1.4778325334191322E-2</v>
      </c>
      <c r="CJ68" s="11">
        <v>0.15340909361839294</v>
      </c>
      <c r="CK68" s="11">
        <v>0.26618704199790955</v>
      </c>
      <c r="CL68" s="11">
        <v>0.14876033365726471</v>
      </c>
      <c r="CM68" s="11">
        <v>2.8361592292785645</v>
      </c>
      <c r="CN68" s="11">
        <v>-0.11990587413311005</v>
      </c>
      <c r="CO68">
        <v>0.12591733038425446</v>
      </c>
      <c r="CP68">
        <v>0.21417462825775146</v>
      </c>
      <c r="CQ68">
        <v>0.35239648818969727</v>
      </c>
      <c r="CR68" s="10">
        <v>36.996087012368335</v>
      </c>
      <c r="CS68" s="11">
        <v>0.25696803466792772</v>
      </c>
      <c r="CT68">
        <v>0.26138909634055263</v>
      </c>
      <c r="CU68">
        <v>1.4397155296057462</v>
      </c>
      <c r="CV68">
        <v>0.68174836039543152</v>
      </c>
      <c r="CW68">
        <v>0.06</v>
      </c>
      <c r="CX68">
        <v>3.9023276126784245</v>
      </c>
      <c r="CY68">
        <v>529372237.55596381</v>
      </c>
      <c r="CZ68">
        <v>1.4397155296057462</v>
      </c>
      <c r="DA68">
        <v>0.4889813257357859</v>
      </c>
      <c r="DB68">
        <v>4224668287.4679289</v>
      </c>
      <c r="DC68">
        <v>1.3677297531254589</v>
      </c>
      <c r="DD68">
        <v>5.0506960324952055E-2</v>
      </c>
      <c r="DE68">
        <v>40900974572.794411</v>
      </c>
      <c r="DF68">
        <v>1.2669496660530566</v>
      </c>
      <c r="DG68">
        <v>3.8384312011873786E-3</v>
      </c>
      <c r="DH68">
        <v>538184427888.39655</v>
      </c>
      <c r="DI68">
        <v>1.151772423684597</v>
      </c>
      <c r="DJ68">
        <v>1.1996630615367065E-5</v>
      </c>
      <c r="DK68">
        <v>172197008162761.75</v>
      </c>
      <c r="DL68">
        <v>1.0078008707240222</v>
      </c>
      <c r="DM68">
        <v>229999999.99999997</v>
      </c>
      <c r="DN68">
        <v>1.4397155296057462</v>
      </c>
      <c r="DO68">
        <v>2065783900</v>
      </c>
      <c r="DP68">
        <v>816481220</v>
      </c>
      <c r="DQ68" s="12">
        <v>2752</v>
      </c>
      <c r="DR68">
        <v>-2.3152665324710755</v>
      </c>
      <c r="DS68">
        <v>-1.3944764076039133</v>
      </c>
      <c r="DT68">
        <v>0.10999999999999995</v>
      </c>
      <c r="DU68">
        <v>7.6666666666666591E-2</v>
      </c>
      <c r="DV68">
        <v>0.18666666666666654</v>
      </c>
      <c r="DW68">
        <v>-7.1522735957202901</v>
      </c>
      <c r="DX68">
        <v>0.30147769607843117</v>
      </c>
      <c r="DY68">
        <v>-7.0169751096244761</v>
      </c>
      <c r="DZ68">
        <v>1288</v>
      </c>
      <c r="EA68">
        <v>-7.0126964518561152</v>
      </c>
      <c r="EB68" s="13">
        <v>7</v>
      </c>
      <c r="EC68">
        <v>0.39096152523724387</v>
      </c>
      <c r="ED68">
        <v>3.5070829321963966</v>
      </c>
      <c r="EE68">
        <v>2.08141</v>
      </c>
      <c r="EF68">
        <v>2.0697100000000002</v>
      </c>
      <c r="EG68">
        <v>19.111477696078431</v>
      </c>
      <c r="EH68" s="14" t="s">
        <v>1554</v>
      </c>
      <c r="EI68">
        <v>0</v>
      </c>
      <c r="EJ68">
        <v>1</v>
      </c>
      <c r="EK68">
        <v>45470</v>
      </c>
      <c r="EL68">
        <v>-1.49</v>
      </c>
      <c r="EM68">
        <v>-6.29</v>
      </c>
      <c r="EN68">
        <v>0.88</v>
      </c>
      <c r="EO68">
        <v>5.82</v>
      </c>
      <c r="EP68">
        <v>1.17</v>
      </c>
    </row>
    <row r="69" spans="1:146" ht="96" x14ac:dyDescent="0.25">
      <c r="C69" s="9" t="str">
        <f>""&amp;CHAR(10)&amp;Basic_Fundamental_Information_Constructure(F69)&amp;CHAR(10)&amp;Basic_Fundamental_Information_Concatenate("")</f>
        <v xml:space="preserve">
市值27.79亿, 利润1.15亿; PE26.62; 平均PE35; 平均PEG1.21, PB1.83; ROIC12.1233%; ROE10.165%; 股利率4.0302%; 毛利30.6033%; 净利17.63%; 上一年度营收增110.67%, 利润增42.79%; 当季营收增-39.51%, 利润增-22.89%; 过往5年营收增29.03%, 利润增27.03%
Income profile:
</v>
      </c>
      <c r="D69" t="s">
        <v>1556</v>
      </c>
      <c r="E69" t="s">
        <v>1557</v>
      </c>
      <c r="F69">
        <v>19.850000000000001</v>
      </c>
      <c r="G69">
        <v>0.71</v>
      </c>
      <c r="H69" t="s">
        <v>3619</v>
      </c>
      <c r="I69">
        <v>2779000000</v>
      </c>
      <c r="J69">
        <v>26.62</v>
      </c>
      <c r="K69">
        <v>1.83</v>
      </c>
      <c r="L69" t="s">
        <v>2891</v>
      </c>
      <c r="M69" t="s">
        <v>191</v>
      </c>
      <c r="N69" t="s">
        <v>1208</v>
      </c>
      <c r="O69" t="s">
        <v>102</v>
      </c>
      <c r="P69">
        <v>6.03</v>
      </c>
      <c r="Q69" t="s">
        <v>3620</v>
      </c>
      <c r="R69">
        <v>19596928</v>
      </c>
      <c r="S69">
        <v>0.22639999999999999</v>
      </c>
      <c r="T69" t="s">
        <v>151</v>
      </c>
      <c r="U69">
        <v>42921004</v>
      </c>
      <c r="V69">
        <v>140000000</v>
      </c>
      <c r="W69">
        <v>1.1299999999999999</v>
      </c>
      <c r="X69">
        <v>7.0000000000000007E-2</v>
      </c>
      <c r="Y69">
        <v>15.85</v>
      </c>
      <c r="Z69" t="s">
        <v>169</v>
      </c>
      <c r="AA69" t="s">
        <v>3621</v>
      </c>
      <c r="AB69" t="s">
        <v>3622</v>
      </c>
      <c r="AC69" t="s">
        <v>3623</v>
      </c>
      <c r="AD69" t="s">
        <v>2</v>
      </c>
      <c r="AE69">
        <v>-4468183</v>
      </c>
      <c r="AF69" t="s">
        <v>2535</v>
      </c>
      <c r="AG69">
        <v>3196.38</v>
      </c>
      <c r="AH69" t="s">
        <v>2536</v>
      </c>
      <c r="AI69" t="s">
        <v>3351</v>
      </c>
      <c r="AJ69" t="s">
        <v>2537</v>
      </c>
      <c r="AK69" t="s">
        <v>3624</v>
      </c>
      <c r="AL69" t="s">
        <v>2538</v>
      </c>
      <c r="AM69" t="s">
        <v>2</v>
      </c>
      <c r="AN69">
        <v>0</v>
      </c>
      <c r="AO69" t="s">
        <v>2</v>
      </c>
      <c r="AP69" t="s">
        <v>3625</v>
      </c>
      <c r="AQ69" t="s">
        <v>3626</v>
      </c>
      <c r="AR69" t="s">
        <v>2</v>
      </c>
      <c r="AS69" t="s">
        <v>252</v>
      </c>
      <c r="AT69" t="s">
        <v>2</v>
      </c>
      <c r="AU69" t="s">
        <v>3627</v>
      </c>
      <c r="AV69" t="s">
        <v>3628</v>
      </c>
      <c r="AW69" t="s">
        <v>3629</v>
      </c>
      <c r="AX69" t="s">
        <v>1269</v>
      </c>
      <c r="AY69" t="s">
        <v>544</v>
      </c>
      <c r="AZ69" t="s">
        <v>1302</v>
      </c>
      <c r="BA69" t="s">
        <v>51</v>
      </c>
      <c r="BB69" t="s">
        <v>21</v>
      </c>
      <c r="BC69" t="s">
        <v>2539</v>
      </c>
      <c r="BD69" t="s">
        <v>1558</v>
      </c>
      <c r="BE69" t="s">
        <v>1559</v>
      </c>
      <c r="BF69" t="s">
        <v>1653</v>
      </c>
      <c r="BG69" t="s">
        <v>1654</v>
      </c>
      <c r="BH69" t="s">
        <v>281</v>
      </c>
      <c r="BI69" t="s">
        <v>557</v>
      </c>
      <c r="BJ69" t="s">
        <v>1269</v>
      </c>
      <c r="BK69" t="s">
        <v>148</v>
      </c>
      <c r="BL69" t="s">
        <v>3630</v>
      </c>
      <c r="BM69" t="s">
        <v>2539</v>
      </c>
      <c r="BN69">
        <v>6.15</v>
      </c>
      <c r="BO69">
        <v>13.93</v>
      </c>
      <c r="BP69">
        <v>16.29</v>
      </c>
      <c r="BQ69">
        <v>5.99</v>
      </c>
      <c r="BR69">
        <v>14.34</v>
      </c>
      <c r="BS69" t="s">
        <v>2</v>
      </c>
      <c r="BT69" t="s">
        <v>2041</v>
      </c>
      <c r="BU69" t="s">
        <v>1445</v>
      </c>
      <c r="BV69">
        <v>29.61</v>
      </c>
      <c r="BW69">
        <v>29.71</v>
      </c>
      <c r="BX69">
        <v>32.49</v>
      </c>
      <c r="BY69">
        <v>18.07</v>
      </c>
      <c r="BZ69">
        <v>16.86</v>
      </c>
      <c r="CA69">
        <v>17.96</v>
      </c>
      <c r="CB69">
        <v>-4.29</v>
      </c>
      <c r="CC69" s="10">
        <v>-10.75</v>
      </c>
      <c r="CD69" s="11" t="s">
        <v>3631</v>
      </c>
      <c r="CE69" s="10" t="s">
        <v>3632</v>
      </c>
      <c r="CF69" s="10">
        <v>-0.3951219512195121</v>
      </c>
      <c r="CG69" s="10">
        <v>-0.22885297508725952</v>
      </c>
      <c r="CH69" s="10">
        <v>1.1066945791244507</v>
      </c>
      <c r="CI69" s="10">
        <v>4.139433428645134E-2</v>
      </c>
      <c r="CJ69" s="11">
        <v>-4.3383948504924774E-3</v>
      </c>
      <c r="CK69" s="11">
        <v>0.31339031457901001</v>
      </c>
      <c r="CL69" s="11">
        <v>-5.6657223030924797E-3</v>
      </c>
      <c r="CM69" s="11">
        <v>0.42793995141983032</v>
      </c>
      <c r="CN69" s="11">
        <v>-2.28385329246521E-2</v>
      </c>
      <c r="CO69">
        <v>-0.15054456889629364</v>
      </c>
      <c r="CP69">
        <v>0.59128391742706299</v>
      </c>
      <c r="CQ69">
        <v>0.50577020645141602</v>
      </c>
      <c r="CR69" s="10">
        <v>34.996855866013718</v>
      </c>
      <c r="CS69" s="11">
        <v>1.205561693918707</v>
      </c>
      <c r="CT69">
        <v>4.0302267002518892</v>
      </c>
      <c r="CU69">
        <v>0.29029502216726544</v>
      </c>
      <c r="CV69">
        <v>0.2703221946954727</v>
      </c>
      <c r="CW69">
        <v>0.06</v>
      </c>
      <c r="CX69">
        <v>10.408270124050622</v>
      </c>
      <c r="CY69">
        <v>139984837.31059954</v>
      </c>
      <c r="CZ69">
        <v>0.29029502216726544</v>
      </c>
      <c r="DA69">
        <v>2.8823353064947401</v>
      </c>
      <c r="DB69">
        <v>505492888.6021536</v>
      </c>
      <c r="DC69">
        <v>0.27578027105890213</v>
      </c>
      <c r="DD69">
        <v>1.1204438517407407</v>
      </c>
      <c r="DE69">
        <v>1300377522.4759188</v>
      </c>
      <c r="DF69">
        <v>0.25545961950719359</v>
      </c>
      <c r="DG69">
        <v>0.50496968110860208</v>
      </c>
      <c r="DH69">
        <v>2885321742.0921712</v>
      </c>
      <c r="DI69">
        <v>0.23223601773381236</v>
      </c>
      <c r="DJ69">
        <v>0.12989232022079419</v>
      </c>
      <c r="DK69">
        <v>11216983402.277788</v>
      </c>
      <c r="DL69">
        <v>0.2032065155170858</v>
      </c>
      <c r="DM69">
        <v>114999999.99999999</v>
      </c>
      <c r="DN69">
        <v>0.29029502216726544</v>
      </c>
      <c r="DO69">
        <v>1457000000</v>
      </c>
      <c r="DP69">
        <v>1358019200</v>
      </c>
      <c r="DQ69" s="12">
        <v>2772</v>
      </c>
      <c r="DR69">
        <v>-0.68541697338677754</v>
      </c>
      <c r="DS69">
        <v>-0.49917516978273224</v>
      </c>
      <c r="DT69">
        <v>1.0000000000000011E-2</v>
      </c>
      <c r="DU69">
        <v>2.9999999999999954E-2</v>
      </c>
      <c r="DV69">
        <v>3.9999999999999966E-2</v>
      </c>
      <c r="DW69">
        <v>-8.3990697674418602</v>
      </c>
      <c r="DX69">
        <v>0.25345770513809673</v>
      </c>
      <c r="DY69">
        <v>-8.0612403307016223</v>
      </c>
      <c r="DZ69">
        <v>127</v>
      </c>
      <c r="EA69">
        <v>-8.0597183107409354</v>
      </c>
      <c r="EB69" s="13">
        <v>8</v>
      </c>
      <c r="EC69" s="13">
        <v>7.5148571428571426E-2</v>
      </c>
      <c r="ED69">
        <v>0.48970214285714286</v>
      </c>
      <c r="EE69">
        <v>3.05071</v>
      </c>
      <c r="EF69">
        <v>3.04271</v>
      </c>
      <c r="EG69">
        <v>10.153457705138097</v>
      </c>
      <c r="EH69" s="14" t="s">
        <v>1562</v>
      </c>
      <c r="EI69">
        <v>0</v>
      </c>
      <c r="EJ69">
        <v>1</v>
      </c>
      <c r="EK69">
        <v>45470</v>
      </c>
      <c r="EL69">
        <v>-1.62</v>
      </c>
      <c r="EM69">
        <v>-7.53</v>
      </c>
      <c r="EN69">
        <v>-2.0299999999999998</v>
      </c>
      <c r="EO69">
        <v>5.32</v>
      </c>
      <c r="EP69">
        <v>0.8</v>
      </c>
    </row>
    <row r="70" spans="1:146" ht="96" x14ac:dyDescent="0.25">
      <c r="C70" s="9" t="str">
        <f>""&amp;CHAR(10)&amp;Basic_Fundamental_Information_Constructure(F70)&amp;CHAR(10)&amp;Basic_Fundamental_Information_Concatenate("")</f>
        <v xml:space="preserve">
市值23.419521亿, 利润9676.27万; PE86.51; 平均PE33.02; 平均PEG14.31, PB2.36; ROIC9.9333%; ROE13.7033%; 股利率1.5311%; 毛利26.5267%; 净利13.4033%; 上一年度营收增-44.91%, 利润增59.89%; 当季营收增89.96%, 利润增-79.63%; 过往5年营收增-2.31%, 利润增18.74%
Income profile:
</v>
      </c>
      <c r="D70" t="s">
        <v>1507</v>
      </c>
      <c r="E70" t="s">
        <v>1508</v>
      </c>
      <c r="F70">
        <v>22.86</v>
      </c>
      <c r="G70">
        <v>-7.64</v>
      </c>
      <c r="H70" t="s">
        <v>3633</v>
      </c>
      <c r="I70">
        <v>2341952100</v>
      </c>
      <c r="J70">
        <v>86.51</v>
      </c>
      <c r="K70">
        <v>2.36</v>
      </c>
      <c r="L70" t="s">
        <v>2891</v>
      </c>
      <c r="M70" t="s">
        <v>609</v>
      </c>
      <c r="N70" t="s">
        <v>664</v>
      </c>
      <c r="O70" t="s">
        <v>2540</v>
      </c>
      <c r="P70">
        <v>3.82</v>
      </c>
      <c r="Q70" t="s">
        <v>550</v>
      </c>
      <c r="R70">
        <v>3921207</v>
      </c>
      <c r="S70">
        <v>-0.80059999999999998</v>
      </c>
      <c r="T70" t="s">
        <v>3634</v>
      </c>
      <c r="U70">
        <v>32590653</v>
      </c>
      <c r="V70">
        <v>102447600</v>
      </c>
      <c r="W70">
        <v>1.26</v>
      </c>
      <c r="X70">
        <v>7.0000000000000007E-2</v>
      </c>
      <c r="Y70">
        <v>4.71</v>
      </c>
      <c r="Z70" t="s">
        <v>3635</v>
      </c>
      <c r="AA70" t="s">
        <v>3636</v>
      </c>
      <c r="AB70" t="s">
        <v>3637</v>
      </c>
      <c r="AC70" t="s">
        <v>3638</v>
      </c>
      <c r="AD70" t="s">
        <v>2</v>
      </c>
      <c r="AE70">
        <v>-4737387</v>
      </c>
      <c r="AF70" t="s">
        <v>2542</v>
      </c>
      <c r="AG70" t="s">
        <v>3639</v>
      </c>
      <c r="AH70" t="s">
        <v>2543</v>
      </c>
      <c r="AI70" t="s">
        <v>620</v>
      </c>
      <c r="AJ70" t="s">
        <v>2544</v>
      </c>
      <c r="AK70" t="s">
        <v>3640</v>
      </c>
      <c r="AL70" t="s">
        <v>2545</v>
      </c>
      <c r="AM70" t="s">
        <v>2</v>
      </c>
      <c r="AN70" t="s">
        <v>3641</v>
      </c>
      <c r="AO70" t="s">
        <v>3642</v>
      </c>
      <c r="AP70" t="s">
        <v>2</v>
      </c>
      <c r="AQ70" t="s">
        <v>3643</v>
      </c>
      <c r="AR70" t="s">
        <v>2</v>
      </c>
      <c r="AS70" t="s">
        <v>167</v>
      </c>
      <c r="AT70" t="s">
        <v>2375</v>
      </c>
      <c r="AU70" t="s">
        <v>3644</v>
      </c>
      <c r="AV70" t="s">
        <v>3645</v>
      </c>
      <c r="AW70" t="s">
        <v>3646</v>
      </c>
      <c r="AX70" t="s">
        <v>540</v>
      </c>
      <c r="AY70" t="s">
        <v>115</v>
      </c>
      <c r="AZ70" t="s">
        <v>338</v>
      </c>
      <c r="BA70" t="s">
        <v>384</v>
      </c>
      <c r="BB70" t="s">
        <v>150</v>
      </c>
      <c r="BC70" t="s">
        <v>1655</v>
      </c>
      <c r="BD70" t="s">
        <v>1509</v>
      </c>
      <c r="BE70" t="s">
        <v>1510</v>
      </c>
      <c r="BF70" t="s">
        <v>1511</v>
      </c>
      <c r="BG70" t="s">
        <v>1512</v>
      </c>
      <c r="BH70" t="s">
        <v>329</v>
      </c>
      <c r="BI70" t="s">
        <v>3647</v>
      </c>
      <c r="BJ70" t="s">
        <v>540</v>
      </c>
      <c r="BK70" t="s">
        <v>2541</v>
      </c>
      <c r="BL70" t="s">
        <v>3648</v>
      </c>
      <c r="BM70" t="s">
        <v>1655</v>
      </c>
      <c r="BN70">
        <v>2.39</v>
      </c>
      <c r="BO70">
        <v>7.9</v>
      </c>
      <c r="BP70">
        <v>19.510000000000002</v>
      </c>
      <c r="BQ70">
        <v>3.53</v>
      </c>
      <c r="BR70">
        <v>12.54</v>
      </c>
      <c r="BS70">
        <v>25.04</v>
      </c>
      <c r="BT70" t="s">
        <v>1530</v>
      </c>
      <c r="BU70" t="s">
        <v>1445</v>
      </c>
      <c r="BV70">
        <v>22.94</v>
      </c>
      <c r="BW70">
        <v>26.62</v>
      </c>
      <c r="BX70">
        <v>30.02</v>
      </c>
      <c r="BY70">
        <v>10.34</v>
      </c>
      <c r="BZ70">
        <v>13.46</v>
      </c>
      <c r="CA70">
        <v>16.41</v>
      </c>
      <c r="CB70">
        <v>-7.49</v>
      </c>
      <c r="CC70" s="10">
        <v>13.34</v>
      </c>
      <c r="CD70" s="11" t="s">
        <v>3649</v>
      </c>
      <c r="CE70" s="10" t="s">
        <v>107</v>
      </c>
      <c r="CF70" s="10">
        <v>0.8995863753596397</v>
      </c>
      <c r="CG70" s="10">
        <v>-0.79630516768482729</v>
      </c>
      <c r="CH70" s="10">
        <v>-0.4490644633769989</v>
      </c>
      <c r="CI70" s="10">
        <v>-7.6775431632995605E-2</v>
      </c>
      <c r="CJ70" s="11">
        <v>0.17078651487827301</v>
      </c>
      <c r="CK70" s="11">
        <v>0.18351063132286072</v>
      </c>
      <c r="CL70" s="11">
        <v>5.6179776787757874E-2</v>
      </c>
      <c r="CM70" s="11">
        <v>0.59888142347335815</v>
      </c>
      <c r="CN70" s="11">
        <v>-0.26329940557479858</v>
      </c>
      <c r="CO70">
        <v>-1.6376376152038574E-2</v>
      </c>
      <c r="CP70">
        <v>0.72168946266174316</v>
      </c>
      <c r="CQ70">
        <v>-0.10366988182067871</v>
      </c>
      <c r="CR70" s="10">
        <v>33.01825134565285</v>
      </c>
      <c r="CS70" s="11">
        <v>14.310593237669426</v>
      </c>
      <c r="CT70">
        <v>1.5310586176727909</v>
      </c>
      <c r="CU70">
        <v>-2.3072594404220582E-2</v>
      </c>
      <c r="CV70">
        <v>0.18744504451751709</v>
      </c>
      <c r="CW70">
        <v>0.06</v>
      </c>
      <c r="CX70">
        <v>16.400452860451392</v>
      </c>
      <c r="CY70" t="s">
        <v>3650</v>
      </c>
      <c r="CZ70">
        <v>-2.3072594404220582E-2</v>
      </c>
      <c r="DA70">
        <v>5.4668176201504641</v>
      </c>
      <c r="DB70" t="s">
        <v>3651</v>
      </c>
      <c r="DC70">
        <v>-2.1918964684009553E-2</v>
      </c>
      <c r="DD70">
        <v>2.7334088100752321</v>
      </c>
      <c r="DE70" t="s">
        <v>3652</v>
      </c>
      <c r="DF70">
        <v>-2.0303883075714114E-2</v>
      </c>
      <c r="DG70">
        <v>1.6400452860451393</v>
      </c>
      <c r="DH70" t="s">
        <v>3653</v>
      </c>
      <c r="DI70">
        <v>-1.8458075523376468E-2</v>
      </c>
      <c r="DJ70">
        <v>0.82002264302256966</v>
      </c>
      <c r="DK70" t="s">
        <v>3654</v>
      </c>
      <c r="DL70">
        <v>-1.6150816082954406E-2</v>
      </c>
      <c r="DM70">
        <v>96762700</v>
      </c>
      <c r="DN70">
        <v>-2.3072594404220582E-2</v>
      </c>
      <c r="DO70">
        <v>1586952100</v>
      </c>
      <c r="DP70">
        <v>636804740</v>
      </c>
      <c r="DQ70" s="12">
        <v>2774</v>
      </c>
      <c r="DR70">
        <v>0.9226589697638603</v>
      </c>
      <c r="DS70">
        <v>-0.98375021220234438</v>
      </c>
      <c r="DT70">
        <v>-0.35666666666666669</v>
      </c>
      <c r="DU70">
        <v>-0.19000000000000003</v>
      </c>
      <c r="DV70">
        <v>-0.54666666666666675</v>
      </c>
      <c r="DW70">
        <v>-7.3595775324051846</v>
      </c>
      <c r="DX70">
        <v>0.84042891228070027</v>
      </c>
      <c r="DY70">
        <v>-7.2374753986069349</v>
      </c>
      <c r="DZ70">
        <v>1669</v>
      </c>
      <c r="EA70">
        <v>-7.1599124944435353</v>
      </c>
      <c r="EB70" s="13">
        <v>7</v>
      </c>
      <c r="EC70">
        <v>0.73490154967027044</v>
      </c>
      <c r="ED70">
        <v>1.1127639886146672</v>
      </c>
      <c r="EE70">
        <v>9.9110000000000004E-2</v>
      </c>
      <c r="EF70">
        <v>9.4109999999999985E-2</v>
      </c>
      <c r="EG70">
        <v>18.6604289122807</v>
      </c>
      <c r="EH70" s="14">
        <v>-1</v>
      </c>
      <c r="EI70">
        <v>0</v>
      </c>
      <c r="EJ70">
        <v>0</v>
      </c>
      <c r="EK70">
        <v>45470</v>
      </c>
      <c r="EL70">
        <v>-0.75</v>
      </c>
      <c r="EM70">
        <v>-6.84</v>
      </c>
      <c r="EN70">
        <v>-2.63</v>
      </c>
      <c r="EO70">
        <v>3.64</v>
      </c>
      <c r="EP70">
        <v>0.5</v>
      </c>
    </row>
    <row r="71" spans="1:146" ht="96" x14ac:dyDescent="0.25">
      <c r="C71" s="9" t="str">
        <f>""&amp;CHAR(10)&amp;Basic_Fundamental_Information_Constructure(F71)&amp;CHAR(10)&amp;Basic_Fundamental_Information_Concatenate("")</f>
        <v xml:space="preserve">
市值46.886768亿, 利润7805.90万; PE21.64; 平均PE39.45; 平均PEG25.94, PB1.65; ROIC12.8067%; ROE14.025%; 股利率2.4896%; 毛利15.3033%; 净利7.6833%; 上一年度营收增-81.7%, 利润增-56.39%; 当季营收增438.14%, 利润增97.15%; 过往5年营收增-1.52%, 利润增19.75%
Income profile:
</v>
      </c>
      <c r="D71" t="s">
        <v>1560</v>
      </c>
      <c r="E71" t="s">
        <v>1561</v>
      </c>
      <c r="F71">
        <v>12.05</v>
      </c>
      <c r="G71">
        <v>0.33</v>
      </c>
      <c r="H71" t="s">
        <v>3655</v>
      </c>
      <c r="I71">
        <v>4688676800</v>
      </c>
      <c r="J71">
        <v>21.64</v>
      </c>
      <c r="K71">
        <v>1.65</v>
      </c>
      <c r="L71" t="s">
        <v>2891</v>
      </c>
      <c r="M71" t="s">
        <v>1451</v>
      </c>
      <c r="N71" t="s">
        <v>1009</v>
      </c>
      <c r="O71" t="s">
        <v>427</v>
      </c>
      <c r="P71">
        <v>3.98</v>
      </c>
      <c r="Q71" t="s">
        <v>534</v>
      </c>
      <c r="R71">
        <v>43865993</v>
      </c>
      <c r="S71">
        <v>6.7199999999999996E-2</v>
      </c>
      <c r="T71" t="s">
        <v>3656</v>
      </c>
      <c r="U71">
        <v>183246920</v>
      </c>
      <c r="V71">
        <v>389101810</v>
      </c>
      <c r="W71">
        <v>1.27</v>
      </c>
      <c r="X71">
        <v>0.17</v>
      </c>
      <c r="Y71">
        <v>6.98</v>
      </c>
      <c r="Z71" t="s">
        <v>359</v>
      </c>
      <c r="AA71" t="s">
        <v>126</v>
      </c>
      <c r="AB71" t="s">
        <v>3657</v>
      </c>
      <c r="AC71" t="s">
        <v>3658</v>
      </c>
      <c r="AD71" t="s">
        <v>2</v>
      </c>
      <c r="AE71">
        <v>-20195464</v>
      </c>
      <c r="AF71" t="s">
        <v>2546</v>
      </c>
      <c r="AG71" t="s">
        <v>3659</v>
      </c>
      <c r="AH71" t="s">
        <v>2547</v>
      </c>
      <c r="AI71" t="s">
        <v>610</v>
      </c>
      <c r="AJ71" t="s">
        <v>2548</v>
      </c>
      <c r="AK71" t="s">
        <v>3660</v>
      </c>
      <c r="AL71" t="s">
        <v>2549</v>
      </c>
      <c r="AM71" t="s">
        <v>2</v>
      </c>
      <c r="AN71" t="s">
        <v>3661</v>
      </c>
      <c r="AO71" t="s">
        <v>2</v>
      </c>
      <c r="AP71" t="s">
        <v>506</v>
      </c>
      <c r="AQ71" t="s">
        <v>264</v>
      </c>
      <c r="AR71" t="s">
        <v>3662</v>
      </c>
      <c r="AS71" t="s">
        <v>1865</v>
      </c>
      <c r="AT71" t="s">
        <v>2550</v>
      </c>
      <c r="AU71" t="s">
        <v>3663</v>
      </c>
      <c r="AV71" t="s">
        <v>102</v>
      </c>
      <c r="AW71" t="s">
        <v>3664</v>
      </c>
      <c r="AX71" t="s">
        <v>1247</v>
      </c>
      <c r="AY71" t="s">
        <v>1214</v>
      </c>
      <c r="AZ71" t="s">
        <v>634</v>
      </c>
      <c r="BA71" t="s">
        <v>1484</v>
      </c>
      <c r="BB71" t="s">
        <v>1490</v>
      </c>
      <c r="BC71" t="s">
        <v>548</v>
      </c>
      <c r="BD71" t="s">
        <v>165</v>
      </c>
      <c r="BE71" t="s">
        <v>87</v>
      </c>
      <c r="BF71" t="s">
        <v>131</v>
      </c>
      <c r="BG71" t="s">
        <v>1656</v>
      </c>
      <c r="BH71" t="s">
        <v>1920</v>
      </c>
      <c r="BI71" t="s">
        <v>33</v>
      </c>
      <c r="BJ71" t="s">
        <v>1247</v>
      </c>
      <c r="BK71" t="s">
        <v>404</v>
      </c>
      <c r="BL71" t="s">
        <v>3665</v>
      </c>
      <c r="BM71" t="s">
        <v>548</v>
      </c>
      <c r="BN71">
        <v>7.35</v>
      </c>
      <c r="BO71">
        <v>15.56</v>
      </c>
      <c r="BP71">
        <v>15.51</v>
      </c>
      <c r="BQ71">
        <v>7.22</v>
      </c>
      <c r="BR71">
        <v>20.83</v>
      </c>
      <c r="BS71" t="s">
        <v>2</v>
      </c>
      <c r="BT71" t="s">
        <v>1533</v>
      </c>
      <c r="BU71" t="s">
        <v>1274</v>
      </c>
      <c r="BV71">
        <v>15.05</v>
      </c>
      <c r="BW71">
        <v>15.51</v>
      </c>
      <c r="BX71">
        <v>15.35</v>
      </c>
      <c r="BY71">
        <v>8.6</v>
      </c>
      <c r="BZ71">
        <v>7.82</v>
      </c>
      <c r="CA71">
        <v>6.63</v>
      </c>
      <c r="CB71">
        <v>-4.8899999999999997</v>
      </c>
      <c r="CC71" s="10">
        <v>-10.61</v>
      </c>
      <c r="CD71" s="11" t="s">
        <v>3666</v>
      </c>
      <c r="CE71" s="10" t="s">
        <v>82</v>
      </c>
      <c r="CF71" s="10">
        <v>4.3813559322033901</v>
      </c>
      <c r="CG71" s="10">
        <v>0.97147872163521354</v>
      </c>
      <c r="CH71" s="10">
        <v>-0.81695061922073364</v>
      </c>
      <c r="CI71" s="10">
        <v>-6.5714262425899506E-2</v>
      </c>
      <c r="CJ71" s="11">
        <v>0.63115835189819336</v>
      </c>
      <c r="CK71" s="11">
        <v>0.20352564752101898</v>
      </c>
      <c r="CL71" s="11">
        <v>-2.8037382289767265E-2</v>
      </c>
      <c r="CM71" s="11">
        <v>-0.56391620635986328</v>
      </c>
      <c r="CN71" s="11">
        <v>0.10493826866149902</v>
      </c>
      <c r="CO71">
        <v>0.32786884903907776</v>
      </c>
      <c r="CP71">
        <v>5.1724139600992203E-2</v>
      </c>
      <c r="CQ71">
        <v>1.0666642189025879</v>
      </c>
      <c r="CR71" s="10">
        <v>39.445499441171272</v>
      </c>
      <c r="CS71" s="11">
        <v>25.94475136449114</v>
      </c>
      <c r="CT71">
        <v>2.4896265560165975</v>
      </c>
      <c r="CU71">
        <v>-1.5203652903437614E-2</v>
      </c>
      <c r="CV71">
        <v>0.19745585396885873</v>
      </c>
      <c r="CW71">
        <v>0.06</v>
      </c>
      <c r="CX71">
        <v>36.468271435708886</v>
      </c>
      <c r="CY71" t="s">
        <v>3667</v>
      </c>
      <c r="CZ71">
        <v>-1.5203652903437614E-2</v>
      </c>
      <c r="DA71">
        <v>12.156090478569629</v>
      </c>
      <c r="DB71" t="s">
        <v>3668</v>
      </c>
      <c r="DC71">
        <v>-1.4443470258265733E-2</v>
      </c>
      <c r="DD71">
        <v>6.0780452392848145</v>
      </c>
      <c r="DE71" t="s">
        <v>3669</v>
      </c>
      <c r="DF71">
        <v>-1.3379214555025101E-2</v>
      </c>
      <c r="DG71">
        <v>3.6468271435708886</v>
      </c>
      <c r="DH71" t="s">
        <v>3670</v>
      </c>
      <c r="DI71">
        <v>-1.2162922322750092E-2</v>
      </c>
      <c r="DJ71">
        <v>1.8234135717854443</v>
      </c>
      <c r="DK71" t="s">
        <v>3671</v>
      </c>
      <c r="DL71">
        <v>-1.064255703240633E-2</v>
      </c>
      <c r="DM71">
        <v>78059000</v>
      </c>
      <c r="DN71">
        <v>-1.5203652903437614E-2</v>
      </c>
      <c r="DO71">
        <v>2846676800</v>
      </c>
      <c r="DP71">
        <v>2164752800</v>
      </c>
      <c r="DQ71" s="12">
        <v>2792</v>
      </c>
      <c r="DR71">
        <v>4.3965595851068278</v>
      </c>
      <c r="DS71">
        <v>0.77402286766635475</v>
      </c>
      <c r="DT71">
        <v>-0.39000000000000007</v>
      </c>
      <c r="DU71">
        <v>0.38666666666666666</v>
      </c>
      <c r="DV71">
        <v>-3.3333333333334103E-3</v>
      </c>
      <c r="DW71">
        <v>-8.4608859566446757</v>
      </c>
      <c r="DX71">
        <v>0.20413359374999943</v>
      </c>
      <c r="DY71">
        <v>-8.0479937109743158</v>
      </c>
      <c r="DZ71">
        <v>1520</v>
      </c>
      <c r="EA71">
        <v>-8.0337176951854783</v>
      </c>
      <c r="EB71" s="13">
        <v>8</v>
      </c>
      <c r="EC71" s="13">
        <v>3.4256072979974059E-2</v>
      </c>
      <c r="ED71">
        <v>0.32896274627969474</v>
      </c>
      <c r="EE71">
        <v>4.0011099999999997</v>
      </c>
      <c r="EF71">
        <v>4.0089100000000002</v>
      </c>
      <c r="EG71">
        <v>10.104133593749999</v>
      </c>
      <c r="EH71" s="14" t="s">
        <v>1822</v>
      </c>
      <c r="EI71">
        <v>0</v>
      </c>
      <c r="EJ71">
        <v>0</v>
      </c>
      <c r="EK71">
        <v>45470</v>
      </c>
      <c r="EL71">
        <v>-0.65</v>
      </c>
      <c r="EM71">
        <v>-5.62</v>
      </c>
      <c r="EN71">
        <v>1.94</v>
      </c>
      <c r="EO71">
        <v>4.01</v>
      </c>
      <c r="EP71">
        <v>-0.78</v>
      </c>
    </row>
    <row r="72" spans="1:146" ht="96" x14ac:dyDescent="0.25">
      <c r="A72" s="9"/>
      <c r="B72" s="9"/>
      <c r="C72" s="9" t="str">
        <f>""&amp;CHAR(10)&amp;Basic_Fundamental_Information_Constructure(F72)&amp;CHAR(10)&amp;Basic_Fundamental_Information_Concatenate("")</f>
        <v xml:space="preserve">
市值4.2264002亿, 利润2.07亿; PE; 平均PE-3.26; 平均PEG-.04, PB; ROIC328.71%; ROE-192.215%; 股利率0%; 毛利7.8733%; 净利-29.6167%; 上一年度营收增546.72%, 利润增255.64%; 当季营收增-87.65%, 利润增-216.59%; 过往5年营收增90.33%, 利润增-1359.32%
Income profile:
</v>
      </c>
      <c r="D72" t="s">
        <v>933</v>
      </c>
      <c r="E72" t="s">
        <v>2554</v>
      </c>
      <c r="F72">
        <v>0.83</v>
      </c>
      <c r="G72">
        <v>5.0599999999999996</v>
      </c>
      <c r="H72" t="s">
        <v>3672</v>
      </c>
      <c r="I72">
        <v>422640020</v>
      </c>
      <c r="L72" t="s">
        <v>2891</v>
      </c>
      <c r="M72" t="s">
        <v>2555</v>
      </c>
      <c r="N72" t="s">
        <v>3673</v>
      </c>
      <c r="O72" t="s">
        <v>2556</v>
      </c>
      <c r="P72">
        <v>-33.83</v>
      </c>
      <c r="Q72" t="s">
        <v>1450</v>
      </c>
      <c r="R72">
        <v>-30522737</v>
      </c>
      <c r="S72" s="6">
        <v>-0.16869999999999999</v>
      </c>
      <c r="T72" t="s">
        <v>290</v>
      </c>
      <c r="U72">
        <v>509204850</v>
      </c>
      <c r="V72">
        <v>509204850</v>
      </c>
      <c r="W72" t="s">
        <v>2</v>
      </c>
      <c r="X72">
        <v>0.02</v>
      </c>
      <c r="Y72">
        <v>-148.56</v>
      </c>
      <c r="Z72" t="s">
        <v>3674</v>
      </c>
      <c r="AA72" t="s">
        <v>3675</v>
      </c>
      <c r="AB72" t="s">
        <v>3676</v>
      </c>
      <c r="AC72" t="s">
        <v>3677</v>
      </c>
      <c r="AD72" t="s">
        <v>2</v>
      </c>
      <c r="AE72">
        <v>17568655</v>
      </c>
      <c r="AF72" t="s">
        <v>2557</v>
      </c>
      <c r="AG72">
        <v>0.02</v>
      </c>
      <c r="AH72" t="s">
        <v>2558</v>
      </c>
      <c r="AI72" t="s">
        <v>3678</v>
      </c>
      <c r="AJ72" t="s">
        <v>2</v>
      </c>
      <c r="AK72" t="s">
        <v>3679</v>
      </c>
      <c r="AL72" t="s">
        <v>2559</v>
      </c>
      <c r="AM72" t="s">
        <v>2</v>
      </c>
      <c r="AN72">
        <v>0</v>
      </c>
      <c r="AO72" t="s">
        <v>3680</v>
      </c>
      <c r="AP72" t="s">
        <v>2</v>
      </c>
      <c r="AQ72" t="s">
        <v>97</v>
      </c>
      <c r="AR72" t="s">
        <v>2</v>
      </c>
      <c r="AS72" t="s">
        <v>1702</v>
      </c>
      <c r="AT72" t="s">
        <v>2</v>
      </c>
      <c r="AU72" t="s">
        <v>3681</v>
      </c>
      <c r="AV72" t="s">
        <v>3682</v>
      </c>
      <c r="AW72" t="s">
        <v>3683</v>
      </c>
      <c r="AX72" t="s">
        <v>187</v>
      </c>
      <c r="AY72" t="s">
        <v>33</v>
      </c>
      <c r="AZ72" t="s">
        <v>97</v>
      </c>
      <c r="BA72" t="s">
        <v>308</v>
      </c>
      <c r="BB72" t="s">
        <v>475</v>
      </c>
      <c r="BC72" t="s">
        <v>1253</v>
      </c>
      <c r="BD72" t="s">
        <v>52</v>
      </c>
      <c r="BE72" t="s">
        <v>360</v>
      </c>
      <c r="BF72" t="s">
        <v>934</v>
      </c>
      <c r="BG72" t="s">
        <v>935</v>
      </c>
      <c r="BH72" t="s">
        <v>113</v>
      </c>
      <c r="BI72" t="s">
        <v>174</v>
      </c>
      <c r="BJ72" t="s">
        <v>187</v>
      </c>
      <c r="BK72" t="s">
        <v>2231</v>
      </c>
      <c r="BL72" t="s">
        <v>3684</v>
      </c>
      <c r="BM72" t="s">
        <v>1253</v>
      </c>
      <c r="BN72" t="s">
        <v>2</v>
      </c>
      <c r="BO72" t="s">
        <v>2</v>
      </c>
      <c r="BP72">
        <v>328.71</v>
      </c>
      <c r="BQ72">
        <v>-186.26</v>
      </c>
      <c r="BR72">
        <v>-198.17</v>
      </c>
      <c r="BS72" t="s">
        <v>2</v>
      </c>
      <c r="BT72" t="s">
        <v>1521</v>
      </c>
      <c r="BU72" t="s">
        <v>1445</v>
      </c>
      <c r="BV72">
        <v>21.67</v>
      </c>
      <c r="BW72">
        <v>9.68</v>
      </c>
      <c r="BX72">
        <v>-7.73</v>
      </c>
      <c r="BY72">
        <v>-137.97999999999999</v>
      </c>
      <c r="BZ72">
        <v>-100.49</v>
      </c>
      <c r="CA72">
        <v>149.62</v>
      </c>
      <c r="CB72">
        <v>5.0599999999999996</v>
      </c>
      <c r="CC72">
        <v>-41.96</v>
      </c>
      <c r="CD72" t="s">
        <v>3685</v>
      </c>
      <c r="CE72" t="s">
        <v>464</v>
      </c>
      <c r="CF72" s="10">
        <v>-0.87651151515151515</v>
      </c>
      <c r="CG72" s="11">
        <v>-2.165924481454601</v>
      </c>
      <c r="CH72" s="10">
        <v>5.4671530723571777</v>
      </c>
      <c r="CI72" s="10">
        <v>0.16101695597171783</v>
      </c>
      <c r="CJ72" s="10">
        <v>-0.1631205677986145</v>
      </c>
      <c r="CK72" s="10">
        <v>-0.46992480754852295</v>
      </c>
      <c r="CL72" s="10">
        <v>-0.47843137383460999</v>
      </c>
      <c r="CM72" s="11">
        <v>2.5563910007476807</v>
      </c>
      <c r="CN72" s="11">
        <v>-1.7348066568374634</v>
      </c>
      <c r="CO72" s="11">
        <v>1.9095476865768433</v>
      </c>
      <c r="CP72" s="11">
        <v>0.76477539539337158</v>
      </c>
      <c r="CQ72" s="11">
        <v>-71.461837768554688</v>
      </c>
      <c r="CR72">
        <v>-3.2594618335500227</v>
      </c>
      <c r="CS72">
        <v>-3.6082390723745153E-2</v>
      </c>
      <c r="CT72">
        <v>0</v>
      </c>
      <c r="CU72" s="10">
        <v>0.90333865582942963</v>
      </c>
      <c r="CV72" s="11">
        <v>-13.593186068534852</v>
      </c>
      <c r="CW72">
        <v>0.06</v>
      </c>
      <c r="CX72">
        <v>5.2856991234437922</v>
      </c>
      <c r="CY72">
        <v>371689718.63838851</v>
      </c>
      <c r="CZ72">
        <v>0.90333865582942963</v>
      </c>
      <c r="DA72">
        <v>0.92931753336769207</v>
      </c>
      <c r="DB72">
        <v>2114067527.4687562</v>
      </c>
      <c r="DC72">
        <v>0.85817172303795808</v>
      </c>
      <c r="DD72">
        <v>0.17213764596718839</v>
      </c>
      <c r="DE72">
        <v>11413192093.811281</v>
      </c>
      <c r="DF72">
        <v>0.79493801712989809</v>
      </c>
      <c r="DG72">
        <v>2.8630973131472032E-2</v>
      </c>
      <c r="DH72">
        <v>68619393793.514069</v>
      </c>
      <c r="DI72">
        <v>0.72267092466354377</v>
      </c>
      <c r="DJ72">
        <v>5.9176923674424196E-4</v>
      </c>
      <c r="DK72">
        <v>3319942805423.4966</v>
      </c>
      <c r="DL72">
        <v>0.63233705908060067</v>
      </c>
      <c r="DM72">
        <v>206999999.99999997</v>
      </c>
      <c r="DN72">
        <v>0.90333865582942963</v>
      </c>
      <c r="DO72">
        <v>1964640020</v>
      </c>
      <c r="DP72">
        <v>-1063003840</v>
      </c>
      <c r="DQ72">
        <v>2929</v>
      </c>
      <c r="DR72">
        <v>-1.7798501709809447</v>
      </c>
      <c r="DS72">
        <v>11.427261587080251</v>
      </c>
      <c r="DT72" s="12">
        <v>-0.34</v>
      </c>
      <c r="DU72">
        <v>-1.7866666666666671</v>
      </c>
      <c r="DV72">
        <v>-2.1266666666666669</v>
      </c>
      <c r="DW72">
        <v>6.1076137813696301</v>
      </c>
      <c r="DX72">
        <v>0.41267070312499843</v>
      </c>
      <c r="DY72">
        <v>6.0271908498046045</v>
      </c>
      <c r="DZ72">
        <v>1862</v>
      </c>
      <c r="EA72">
        <v>6.0172829511086805</v>
      </c>
      <c r="EB72">
        <v>6</v>
      </c>
      <c r="EC72">
        <v>0.12702883721551356</v>
      </c>
      <c r="ED72">
        <v>0.50274462232635841</v>
      </c>
      <c r="EE72" s="13">
        <v>-1.0233099999999999</v>
      </c>
      <c r="EF72">
        <v>-1.0384100000000001</v>
      </c>
      <c r="EG72">
        <v>16.252670703124998</v>
      </c>
      <c r="EH72" t="s">
        <v>1550</v>
      </c>
      <c r="EI72">
        <v>0</v>
      </c>
      <c r="EJ72">
        <v>0</v>
      </c>
      <c r="EK72" s="14">
        <v>45470</v>
      </c>
      <c r="EL72">
        <v>-0.35</v>
      </c>
      <c r="EM72">
        <v>-1.51</v>
      </c>
      <c r="EN72">
        <v>-0.18</v>
      </c>
      <c r="EO72">
        <v>2.0699999999999998</v>
      </c>
      <c r="EP72">
        <v>-1.51</v>
      </c>
    </row>
    <row r="73" spans="1:146" ht="96" x14ac:dyDescent="0.25">
      <c r="A73" s="9"/>
      <c r="B73" s="9"/>
      <c r="C73" s="9" t="str">
        <f>""&amp;CHAR(10)&amp;Basic_Fundamental_Information_Constructure(F73)&amp;CHAR(10)&amp;Basic_Fundamental_Information_Concatenate("")</f>
        <v xml:space="preserve">
市值18.950989亿, 利润-2113.52万; PE; 平均PE-26.86; 平均PEG-1.02, PB1.36; ROIC0%; ROE-6.0067%; 股利率0%; 毛利14.0933%; 净利-6.22%; 上一年度营收增-93.98%, 利润增82.39%; 当季营收增1208.93%, 利润增-1867.81%; 过往5年营收增-26.27%, 利润增82.39%
Income profile:
</v>
      </c>
      <c r="D73" t="s">
        <v>936</v>
      </c>
      <c r="E73" t="s">
        <v>937</v>
      </c>
      <c r="F73">
        <v>4.29</v>
      </c>
      <c r="G73">
        <v>-0.69</v>
      </c>
      <c r="H73" t="s">
        <v>3686</v>
      </c>
      <c r="I73">
        <v>1895098900</v>
      </c>
      <c r="K73">
        <v>1.36</v>
      </c>
      <c r="L73" t="s">
        <v>2891</v>
      </c>
      <c r="M73" t="s">
        <v>2560</v>
      </c>
      <c r="N73" t="s">
        <v>1939</v>
      </c>
      <c r="O73" t="s">
        <v>287</v>
      </c>
      <c r="P73">
        <v>-19.64</v>
      </c>
      <c r="Q73" t="s">
        <v>124</v>
      </c>
      <c r="R73">
        <v>-27869539</v>
      </c>
      <c r="S73" s="6">
        <v>-1.1040000000000001</v>
      </c>
      <c r="T73" t="s">
        <v>3687</v>
      </c>
      <c r="U73">
        <v>441748000</v>
      </c>
      <c r="V73">
        <v>441748000</v>
      </c>
      <c r="W73">
        <v>3.45</v>
      </c>
      <c r="X73" t="s">
        <v>2</v>
      </c>
      <c r="Y73">
        <v>-7.71</v>
      </c>
      <c r="Z73" t="s">
        <v>2</v>
      </c>
      <c r="AA73" t="s">
        <v>2</v>
      </c>
      <c r="AB73" t="s">
        <v>2</v>
      </c>
      <c r="AC73" t="s">
        <v>2</v>
      </c>
      <c r="AD73" t="s">
        <v>2</v>
      </c>
      <c r="AE73">
        <v>15303479</v>
      </c>
      <c r="AF73" t="s">
        <v>2561</v>
      </c>
      <c r="AG73" t="s">
        <v>3688</v>
      </c>
      <c r="AH73" t="s">
        <v>2562</v>
      </c>
      <c r="AI73" t="s">
        <v>743</v>
      </c>
      <c r="AJ73" t="s">
        <v>2563</v>
      </c>
      <c r="AK73" t="s">
        <v>2</v>
      </c>
      <c r="AL73" t="s">
        <v>2564</v>
      </c>
      <c r="AM73" t="s">
        <v>2</v>
      </c>
      <c r="AN73" t="s">
        <v>69</v>
      </c>
      <c r="AO73" t="s">
        <v>2</v>
      </c>
      <c r="AP73" t="s">
        <v>563</v>
      </c>
      <c r="AQ73" t="s">
        <v>1871</v>
      </c>
      <c r="AR73" t="s">
        <v>2</v>
      </c>
      <c r="AS73" t="s">
        <v>2</v>
      </c>
      <c r="AT73" t="s">
        <v>2</v>
      </c>
      <c r="AU73" t="s">
        <v>3689</v>
      </c>
      <c r="AV73" t="s">
        <v>3690</v>
      </c>
      <c r="AW73" t="s">
        <v>183</v>
      </c>
      <c r="AX73" t="s">
        <v>1456</v>
      </c>
      <c r="AY73" t="s">
        <v>2</v>
      </c>
      <c r="AZ73" t="s">
        <v>938</v>
      </c>
      <c r="BA73" t="s">
        <v>939</v>
      </c>
      <c r="BB73" t="s">
        <v>660</v>
      </c>
      <c r="BC73" t="s">
        <v>1468</v>
      </c>
      <c r="BD73" t="s">
        <v>2</v>
      </c>
      <c r="BE73" t="s">
        <v>2</v>
      </c>
      <c r="BF73" t="s">
        <v>2</v>
      </c>
      <c r="BG73" t="s">
        <v>2</v>
      </c>
      <c r="BH73" t="s">
        <v>1895</v>
      </c>
      <c r="BI73" t="s">
        <v>3691</v>
      </c>
      <c r="BJ73" t="s">
        <v>1456</v>
      </c>
      <c r="BK73" t="s">
        <v>1815</v>
      </c>
      <c r="BL73" t="s">
        <v>3692</v>
      </c>
      <c r="BM73" t="s">
        <v>1468</v>
      </c>
      <c r="BN73" t="s">
        <v>2</v>
      </c>
      <c r="BO73" t="s">
        <v>2</v>
      </c>
      <c r="BP73" t="s">
        <v>2</v>
      </c>
      <c r="BQ73">
        <v>-3.38</v>
      </c>
      <c r="BR73">
        <v>-7.34</v>
      </c>
      <c r="BS73">
        <v>-7.3</v>
      </c>
      <c r="BT73" t="s">
        <v>1521</v>
      </c>
      <c r="BU73" t="s">
        <v>1445</v>
      </c>
      <c r="BV73">
        <v>15.32</v>
      </c>
      <c r="BW73">
        <v>18.13</v>
      </c>
      <c r="BX73">
        <v>8.83</v>
      </c>
      <c r="BY73">
        <v>-5.41</v>
      </c>
      <c r="BZ73">
        <v>-6.15</v>
      </c>
      <c r="CA73">
        <v>-7.1</v>
      </c>
      <c r="CB73">
        <v>-6.33</v>
      </c>
      <c r="CC73">
        <v>-1.1499999999999999</v>
      </c>
      <c r="CD73" t="s">
        <v>3693</v>
      </c>
      <c r="CE73" t="s">
        <v>79</v>
      </c>
      <c r="CF73" s="10">
        <v>12.089270856586237</v>
      </c>
      <c r="CG73" s="11">
        <v>-18.678109102442118</v>
      </c>
      <c r="CH73" s="10">
        <v>-0.93984264135360718</v>
      </c>
      <c r="CI73" s="10" t="s">
        <v>2</v>
      </c>
      <c r="CJ73" s="10" t="s">
        <v>2</v>
      </c>
      <c r="CK73" s="10">
        <v>7.7203892171382904E-2</v>
      </c>
      <c r="CL73" s="10">
        <v>7.4551604688167572E-2</v>
      </c>
      <c r="CM73" s="11">
        <v>0.82387334108352661</v>
      </c>
      <c r="CN73" s="11" t="s">
        <v>2</v>
      </c>
      <c r="CO73" s="11" t="s">
        <v>2</v>
      </c>
      <c r="CP73" s="11" t="s">
        <v>2</v>
      </c>
      <c r="CQ73" s="11" t="s">
        <v>2</v>
      </c>
      <c r="CR73">
        <v>-26.855085053197218</v>
      </c>
      <c r="CS73">
        <v>-1.0222886608728234</v>
      </c>
      <c r="CT73">
        <v>0</v>
      </c>
      <c r="CU73" s="10">
        <v>-0.26269571483135223</v>
      </c>
      <c r="CV73" s="11">
        <v>0.82387334108352661</v>
      </c>
      <c r="CW73">
        <v>0.06</v>
      </c>
      <c r="CX73" t="e">
        <v>#VALUE!</v>
      </c>
      <c r="CY73" t="s">
        <v>1237</v>
      </c>
      <c r="CZ73">
        <v>-0.26269571483135223</v>
      </c>
      <c r="DA73" t="e">
        <v>#VALUE!</v>
      </c>
      <c r="DB73" t="s">
        <v>1238</v>
      </c>
      <c r="DC73">
        <v>-0.24956092908978461</v>
      </c>
      <c r="DD73" t="e">
        <v>#VALUE!</v>
      </c>
      <c r="DE73" t="s">
        <v>1238</v>
      </c>
      <c r="DF73">
        <v>-0.23117222905158996</v>
      </c>
      <c r="DG73" t="e">
        <v>#VALUE!</v>
      </c>
      <c r="DH73" t="s">
        <v>1238</v>
      </c>
      <c r="DI73">
        <v>-0.2101565718650818</v>
      </c>
      <c r="DJ73" t="e">
        <v>#VALUE!</v>
      </c>
      <c r="DK73" t="s">
        <v>1238</v>
      </c>
      <c r="DL73">
        <v>-0.18388700038194655</v>
      </c>
      <c r="DM73">
        <v>-21135200</v>
      </c>
      <c r="DN73">
        <v>-0.26269571483135223</v>
      </c>
      <c r="DO73">
        <v>3950098900</v>
      </c>
      <c r="DP73">
        <v>3566814400</v>
      </c>
      <c r="DQ73">
        <v>2994</v>
      </c>
      <c r="DR73">
        <v>12.35196657141759</v>
      </c>
      <c r="DS73">
        <v>-19.501982443525645</v>
      </c>
      <c r="DT73" s="12">
        <v>-1.1599999999999999</v>
      </c>
      <c r="DU73">
        <v>-2.9449999999999998</v>
      </c>
      <c r="DV73">
        <v>-4.1049999999999995</v>
      </c>
      <c r="DW73">
        <v>-5.1816745655608214</v>
      </c>
      <c r="DX73">
        <v>0.29883056092843374</v>
      </c>
      <c r="DY73">
        <v>-5.0343057101212789</v>
      </c>
      <c r="DZ73">
        <v>3293</v>
      </c>
      <c r="EA73">
        <v>-5.0121983317593664</v>
      </c>
      <c r="EB73">
        <v>5</v>
      </c>
      <c r="EC73">
        <v>0.22099794452946026</v>
      </c>
      <c r="ED73">
        <v>1.1703505165841159</v>
      </c>
      <c r="EE73" s="13">
        <v>-2.0718999999999999</v>
      </c>
      <c r="EF73">
        <v>-2.0718999999999999</v>
      </c>
      <c r="EG73">
        <v>11.188830560928434</v>
      </c>
      <c r="EH73" t="s">
        <v>1553</v>
      </c>
      <c r="EI73">
        <v>0</v>
      </c>
      <c r="EJ73">
        <v>0</v>
      </c>
      <c r="EK73" s="14">
        <v>45470</v>
      </c>
      <c r="EL73">
        <v>2.56</v>
      </c>
      <c r="EM73">
        <v>-3.75</v>
      </c>
      <c r="EN73">
        <v>0.65</v>
      </c>
      <c r="EO73">
        <v>2.37</v>
      </c>
      <c r="EP73">
        <v>0</v>
      </c>
    </row>
    <row r="74" spans="1:146" ht="96" x14ac:dyDescent="0.25">
      <c r="A74" s="9"/>
      <c r="B74" s="9"/>
      <c r="C74" s="9" t="str">
        <f>""&amp;CHAR(10)&amp;Basic_Fundamental_Information_Constructure(F74)&amp;CHAR(10)&amp;Basic_Fundamental_Information_Concatenate("")</f>
        <v xml:space="preserve">
市值55.183807亿, 利润11.77亿; PE22.93; 平均PE8.3; 平均PEG2.78, PB1.8; ROIC8.04%; ROE5.8767%; 股利率1.6575%; 毛利23.91%; 净利5.9533%; 上一年度营收增6.91%, 利润增674.34%; 当季营收增-20.95%, 利润增-104.39%; 过往5年营收增2.98%, 利润增674.34%
Income profile:
</v>
      </c>
      <c r="D74" t="s">
        <v>778</v>
      </c>
      <c r="E74" t="s">
        <v>779</v>
      </c>
      <c r="F74">
        <v>5.43</v>
      </c>
      <c r="G74">
        <v>-0.73</v>
      </c>
      <c r="H74" t="s">
        <v>3694</v>
      </c>
      <c r="I74">
        <v>5518380700</v>
      </c>
      <c r="J74">
        <v>22.93</v>
      </c>
      <c r="K74">
        <v>1.8</v>
      </c>
      <c r="L74" t="s">
        <v>2891</v>
      </c>
      <c r="M74" t="s">
        <v>2567</v>
      </c>
      <c r="N74" t="s">
        <v>3695</v>
      </c>
      <c r="O74" t="s">
        <v>1847</v>
      </c>
      <c r="P74">
        <v>9.61</v>
      </c>
      <c r="Q74" t="s">
        <v>3696</v>
      </c>
      <c r="R74">
        <v>-18570102</v>
      </c>
      <c r="S74" s="6">
        <v>0.42530000000000001</v>
      </c>
      <c r="T74" t="s">
        <v>1882</v>
      </c>
      <c r="U74">
        <v>1005940180</v>
      </c>
      <c r="V74">
        <v>1016276380</v>
      </c>
      <c r="W74">
        <v>2.46</v>
      </c>
      <c r="X74" t="s">
        <v>2</v>
      </c>
      <c r="Y74">
        <v>1.19</v>
      </c>
      <c r="Z74" t="s">
        <v>2</v>
      </c>
      <c r="AA74" t="s">
        <v>2</v>
      </c>
      <c r="AB74" t="s">
        <v>2</v>
      </c>
      <c r="AC74" t="s">
        <v>2</v>
      </c>
      <c r="AD74" t="s">
        <v>2</v>
      </c>
      <c r="AE74">
        <v>2023670</v>
      </c>
      <c r="AF74" t="s">
        <v>2569</v>
      </c>
      <c r="AG74" t="s">
        <v>3697</v>
      </c>
      <c r="AH74" t="s">
        <v>2570</v>
      </c>
      <c r="AI74" t="s">
        <v>531</v>
      </c>
      <c r="AJ74" t="s">
        <v>2571</v>
      </c>
      <c r="AK74" t="s">
        <v>2</v>
      </c>
      <c r="AL74" t="s">
        <v>2572</v>
      </c>
      <c r="AM74" t="s">
        <v>2</v>
      </c>
      <c r="AN74">
        <v>0</v>
      </c>
      <c r="AO74" t="s">
        <v>2</v>
      </c>
      <c r="AP74" t="s">
        <v>170</v>
      </c>
      <c r="AQ74" t="s">
        <v>3698</v>
      </c>
      <c r="AR74" t="s">
        <v>2</v>
      </c>
      <c r="AS74" t="s">
        <v>2</v>
      </c>
      <c r="AT74" t="s">
        <v>2</v>
      </c>
      <c r="AU74" t="s">
        <v>1921</v>
      </c>
      <c r="AV74" t="s">
        <v>3699</v>
      </c>
      <c r="AW74" t="s">
        <v>1491</v>
      </c>
      <c r="AX74" t="s">
        <v>1489</v>
      </c>
      <c r="AY74" t="s">
        <v>2</v>
      </c>
      <c r="AZ74" t="s">
        <v>780</v>
      </c>
      <c r="BA74" t="s">
        <v>781</v>
      </c>
      <c r="BB74" t="s">
        <v>496</v>
      </c>
      <c r="BC74" t="s">
        <v>78</v>
      </c>
      <c r="BD74" t="s">
        <v>2</v>
      </c>
      <c r="BE74" t="s">
        <v>2</v>
      </c>
      <c r="BF74" t="s">
        <v>2</v>
      </c>
      <c r="BG74" t="s">
        <v>2</v>
      </c>
      <c r="BH74" t="s">
        <v>2568</v>
      </c>
      <c r="BI74" t="s">
        <v>3700</v>
      </c>
      <c r="BJ74" t="s">
        <v>1489</v>
      </c>
      <c r="BK74" t="s">
        <v>227</v>
      </c>
      <c r="BL74" t="s">
        <v>173</v>
      </c>
      <c r="BM74" t="s">
        <v>78</v>
      </c>
      <c r="BN74">
        <v>5.1100000000000003</v>
      </c>
      <c r="BO74">
        <v>8.4</v>
      </c>
      <c r="BP74">
        <v>10.61</v>
      </c>
      <c r="BQ74">
        <v>2.0299999999999998</v>
      </c>
      <c r="BR74">
        <v>5.56</v>
      </c>
      <c r="BS74">
        <v>10.039999999999999</v>
      </c>
      <c r="BT74" t="s">
        <v>2573</v>
      </c>
      <c r="BU74" t="s">
        <v>1444</v>
      </c>
      <c r="BV74">
        <v>24.11</v>
      </c>
      <c r="BW74">
        <v>23.64</v>
      </c>
      <c r="BX74">
        <v>23.98</v>
      </c>
      <c r="BY74">
        <v>5.37</v>
      </c>
      <c r="BZ74">
        <v>5.0599999999999996</v>
      </c>
      <c r="CA74">
        <v>7.43</v>
      </c>
      <c r="CB74">
        <v>-4.9000000000000004</v>
      </c>
      <c r="CC74">
        <v>-1.72</v>
      </c>
      <c r="CD74" t="s">
        <v>3701</v>
      </c>
      <c r="CE74" t="s">
        <v>3702</v>
      </c>
      <c r="CF74" s="10">
        <v>-0.2095115681233933</v>
      </c>
      <c r="CG74" s="11">
        <v>-1.0439009503546099</v>
      </c>
      <c r="CH74" s="10">
        <v>6.9063887000083923E-2</v>
      </c>
      <c r="CI74" s="10" t="s">
        <v>2</v>
      </c>
      <c r="CJ74" s="10" t="s">
        <v>2</v>
      </c>
      <c r="CK74" s="10">
        <v>1.7182169482111931E-2</v>
      </c>
      <c r="CL74" s="10">
        <v>3.2447781413793564E-3</v>
      </c>
      <c r="CM74" s="11">
        <v>6.7434206008911133</v>
      </c>
      <c r="CN74" s="11" t="s">
        <v>2</v>
      </c>
      <c r="CO74" s="11" t="s">
        <v>2</v>
      </c>
      <c r="CP74" s="11" t="s">
        <v>2</v>
      </c>
      <c r="CQ74" s="11" t="s">
        <v>2</v>
      </c>
      <c r="CR74">
        <v>8.3045608728367188</v>
      </c>
      <c r="CS74">
        <v>2.7839367822754633</v>
      </c>
      <c r="CT74">
        <v>1.6574585635359118</v>
      </c>
      <c r="CU74" s="10">
        <v>2.9830278207858402E-2</v>
      </c>
      <c r="CV74" s="11">
        <v>6.7434206008911133</v>
      </c>
      <c r="CW74">
        <v>0.06</v>
      </c>
      <c r="CX74">
        <v>6.5154169134072202</v>
      </c>
      <c r="CY74">
        <v>1143500224.0100462</v>
      </c>
      <c r="CZ74">
        <v>2.9830278207858402E-2</v>
      </c>
      <c r="DA74">
        <v>2.2412327164277857</v>
      </c>
      <c r="DB74">
        <v>3324233420.9161797</v>
      </c>
      <c r="DC74">
        <v>2.8338764297465482E-2</v>
      </c>
      <c r="DD74">
        <v>1.1796993764573607</v>
      </c>
      <c r="DE74">
        <v>6315490919.7066011</v>
      </c>
      <c r="DF74">
        <v>2.6250644822915396E-2</v>
      </c>
      <c r="DG74">
        <v>0.76225134539651052</v>
      </c>
      <c r="DH74">
        <v>9774178484.5580502</v>
      </c>
      <c r="DI74">
        <v>2.3864222566286723E-2</v>
      </c>
      <c r="DJ74">
        <v>0.45886266188933583</v>
      </c>
      <c r="DK74">
        <v>16236624416.821285</v>
      </c>
      <c r="DL74">
        <v>2.0881194745500882E-2</v>
      </c>
      <c r="DM74">
        <v>1177000000</v>
      </c>
      <c r="DN74">
        <v>2.9830278207858402E-2</v>
      </c>
      <c r="DO74">
        <v>7450380700</v>
      </c>
      <c r="DP74">
        <v>7255562300</v>
      </c>
      <c r="DQ74">
        <v>3054</v>
      </c>
      <c r="DR74">
        <v>-0.23934184633125172</v>
      </c>
      <c r="DS74">
        <v>-7.7873215512457232</v>
      </c>
      <c r="DT74" s="12">
        <v>-0.66</v>
      </c>
      <c r="DU74">
        <v>-1.7950000000000002</v>
      </c>
      <c r="DV74">
        <v>-2.4550000000000001</v>
      </c>
      <c r="DW74">
        <v>-4.3510204081632651</v>
      </c>
      <c r="DX74">
        <v>0.31986757189189019</v>
      </c>
      <c r="DY74">
        <v>-4.031545351766133</v>
      </c>
      <c r="DZ74">
        <v>2826</v>
      </c>
      <c r="EA74">
        <v>-4.0140997227854891</v>
      </c>
      <c r="EB74">
        <v>4</v>
      </c>
      <c r="EC74">
        <v>8.1796154703506929E-2</v>
      </c>
      <c r="ED74">
        <v>0.91018547533299943</v>
      </c>
      <c r="EE74" s="13">
        <v>-1.0305</v>
      </c>
      <c r="EF74">
        <v>-1.0068999999999999</v>
      </c>
      <c r="EG74">
        <v>23.08986757189189</v>
      </c>
      <c r="EH74" t="s">
        <v>1548</v>
      </c>
      <c r="EI74">
        <v>0</v>
      </c>
      <c r="EJ74">
        <v>0</v>
      </c>
      <c r="EK74" s="14">
        <v>45470</v>
      </c>
      <c r="EL74">
        <v>-0.42</v>
      </c>
      <c r="EM74">
        <v>-3.2</v>
      </c>
      <c r="EN74">
        <v>0.43</v>
      </c>
      <c r="EO74">
        <v>3.15</v>
      </c>
      <c r="EP74">
        <v>-2.36</v>
      </c>
    </row>
    <row r="75" spans="1:146" ht="96" x14ac:dyDescent="0.25">
      <c r="A75" s="9"/>
      <c r="B75" s="9"/>
      <c r="C75" s="9" t="str">
        <f>""&amp;CHAR(10)&amp;Basic_Fundamental_Information_Constructure(F75)&amp;CHAR(10)&amp;Basic_Fundamental_Information_Concatenate("")</f>
        <v xml:space="preserve">
市值264.59966亿, 利润1.27亿; PE29.56; 平均PE151.09; 平均PEG18.22, PB2.58; ROIC3.23%; ROE2.9533%; 股利率1.0872%; 毛利17.5633%; 净利4.2833%; 上一年度营收增-27.1%, 利润增-40.09%; 当季营收增67.95%, 利润增487.71%; 过往5年营收增-8.29%, 利润增10.14%
Income profile:
</v>
      </c>
      <c r="D75" t="s">
        <v>941</v>
      </c>
      <c r="E75" t="s">
        <v>942</v>
      </c>
      <c r="F75">
        <v>19.5</v>
      </c>
      <c r="G75">
        <v>0.78</v>
      </c>
      <c r="H75" t="s">
        <v>3703</v>
      </c>
      <c r="I75">
        <v>26459966000</v>
      </c>
      <c r="J75">
        <v>29.56</v>
      </c>
      <c r="K75">
        <v>2.58</v>
      </c>
      <c r="L75" t="s">
        <v>2891</v>
      </c>
      <c r="M75" t="s">
        <v>2574</v>
      </c>
      <c r="N75" t="s">
        <v>3704</v>
      </c>
      <c r="O75" t="s">
        <v>2575</v>
      </c>
      <c r="P75">
        <v>4.47</v>
      </c>
      <c r="Q75" t="s">
        <v>3705</v>
      </c>
      <c r="R75">
        <v>229834280</v>
      </c>
      <c r="S75" s="6">
        <v>0.52690000000000003</v>
      </c>
      <c r="T75" t="s">
        <v>72</v>
      </c>
      <c r="U75">
        <v>1356921300</v>
      </c>
      <c r="V75">
        <v>1356921300</v>
      </c>
      <c r="W75">
        <v>1.9</v>
      </c>
      <c r="X75">
        <v>0.1</v>
      </c>
      <c r="Y75">
        <v>12.64</v>
      </c>
      <c r="Z75" t="s">
        <v>2697</v>
      </c>
      <c r="AA75" t="s">
        <v>1574</v>
      </c>
      <c r="AB75" t="s">
        <v>3706</v>
      </c>
      <c r="AC75" t="s">
        <v>3707</v>
      </c>
      <c r="AD75" t="s">
        <v>2</v>
      </c>
      <c r="AE75">
        <v>-13451282</v>
      </c>
      <c r="AF75" t="s">
        <v>2577</v>
      </c>
      <c r="AG75" t="s">
        <v>3708</v>
      </c>
      <c r="AH75" t="s">
        <v>2578</v>
      </c>
      <c r="AI75" t="s">
        <v>2683</v>
      </c>
      <c r="AJ75" t="s">
        <v>2579</v>
      </c>
      <c r="AK75" t="s">
        <v>3709</v>
      </c>
      <c r="AL75" t="s">
        <v>2580</v>
      </c>
      <c r="AM75" t="s">
        <v>2</v>
      </c>
      <c r="AN75" t="s">
        <v>3710</v>
      </c>
      <c r="AO75" t="s">
        <v>92</v>
      </c>
      <c r="AP75" t="s">
        <v>3711</v>
      </c>
      <c r="AQ75" t="s">
        <v>2698</v>
      </c>
      <c r="AR75" t="s">
        <v>2</v>
      </c>
      <c r="AS75" t="s">
        <v>3712</v>
      </c>
      <c r="AT75" t="s">
        <v>2</v>
      </c>
      <c r="AU75" t="s">
        <v>3713</v>
      </c>
      <c r="AV75" t="s">
        <v>3714</v>
      </c>
      <c r="AW75" t="s">
        <v>3715</v>
      </c>
      <c r="AX75" t="s">
        <v>1657</v>
      </c>
      <c r="AY75" t="s">
        <v>1275</v>
      </c>
      <c r="AZ75" t="s">
        <v>943</v>
      </c>
      <c r="BA75" t="s">
        <v>944</v>
      </c>
      <c r="BB75" t="s">
        <v>945</v>
      </c>
      <c r="BC75" t="s">
        <v>199</v>
      </c>
      <c r="BD75" t="s">
        <v>1352</v>
      </c>
      <c r="BE75" t="s">
        <v>136</v>
      </c>
      <c r="BF75" t="s">
        <v>84</v>
      </c>
      <c r="BG75" t="s">
        <v>139</v>
      </c>
      <c r="BH75" t="s">
        <v>2576</v>
      </c>
      <c r="BI75" t="s">
        <v>1011</v>
      </c>
      <c r="BJ75" t="s">
        <v>1657</v>
      </c>
      <c r="BK75" t="s">
        <v>2266</v>
      </c>
      <c r="BL75" t="s">
        <v>3716</v>
      </c>
      <c r="BM75" t="s">
        <v>199</v>
      </c>
      <c r="BN75">
        <v>5.52</v>
      </c>
      <c r="BO75">
        <v>2.88</v>
      </c>
      <c r="BP75">
        <v>1.29</v>
      </c>
      <c r="BQ75">
        <v>5.78</v>
      </c>
      <c r="BR75">
        <v>2.2999999999999998</v>
      </c>
      <c r="BS75">
        <v>0.78</v>
      </c>
      <c r="BT75" t="s">
        <v>2581</v>
      </c>
      <c r="BU75" t="s">
        <v>1445</v>
      </c>
      <c r="BV75">
        <v>21.38</v>
      </c>
      <c r="BW75">
        <v>17.59</v>
      </c>
      <c r="BX75">
        <v>13.72</v>
      </c>
      <c r="BY75">
        <v>8.31</v>
      </c>
      <c r="BZ75">
        <v>3.24</v>
      </c>
      <c r="CA75">
        <v>1.3</v>
      </c>
      <c r="CB75">
        <v>0.26</v>
      </c>
      <c r="CC75">
        <v>39.090000000000003</v>
      </c>
      <c r="CD75" t="s">
        <v>37</v>
      </c>
      <c r="CE75" t="s">
        <v>3717</v>
      </c>
      <c r="CF75" s="10">
        <v>0.67953985209531653</v>
      </c>
      <c r="CG75" s="11">
        <v>4.8771375602521321</v>
      </c>
      <c r="CH75" s="10">
        <v>-0.27097263932228088</v>
      </c>
      <c r="CI75" s="10">
        <v>1.0788827785290778E-4</v>
      </c>
      <c r="CJ75" s="10">
        <v>-5.193745344877243E-2</v>
      </c>
      <c r="CK75" s="10">
        <v>-0.12356632947921753</v>
      </c>
      <c r="CL75" s="10">
        <v>3.1804781407117844E-2</v>
      </c>
      <c r="CM75" s="11">
        <v>-0.40094339847564697</v>
      </c>
      <c r="CN75" s="11">
        <v>1.9954416751861572</v>
      </c>
      <c r="CO75" s="11">
        <v>-0.43830001354217529</v>
      </c>
      <c r="CP75" s="11">
        <v>-0.44978165626525879</v>
      </c>
      <c r="CQ75" s="11">
        <v>-0.19930070638656616</v>
      </c>
      <c r="CR75">
        <v>151.08840319832748</v>
      </c>
      <c r="CS75">
        <v>18.22257762086047</v>
      </c>
      <c r="CT75">
        <v>1.0871794871794873</v>
      </c>
      <c r="CU75" s="10">
        <v>-8.2912750513060018E-2</v>
      </c>
      <c r="CV75" s="11">
        <v>0.10142318010330201</v>
      </c>
      <c r="CW75">
        <v>0.06</v>
      </c>
      <c r="CX75">
        <v>199.78713385826771</v>
      </c>
      <c r="CY75" t="s">
        <v>3718</v>
      </c>
      <c r="CZ75">
        <v>-8.2912750513060018E-2</v>
      </c>
      <c r="DA75">
        <v>66.595711286089241</v>
      </c>
      <c r="DB75" t="s">
        <v>3719</v>
      </c>
      <c r="DC75">
        <v>-7.8767112987407017E-2</v>
      </c>
      <c r="DD75">
        <v>33.29785564304462</v>
      </c>
      <c r="DE75" t="s">
        <v>3720</v>
      </c>
      <c r="DF75">
        <v>-7.2963220451492811E-2</v>
      </c>
      <c r="DG75">
        <v>19.978713385826772</v>
      </c>
      <c r="DH75" t="s">
        <v>3721</v>
      </c>
      <c r="DI75">
        <v>-6.6330200410448015E-2</v>
      </c>
      <c r="DJ75">
        <v>9.9893566929133861</v>
      </c>
      <c r="DK75" t="s">
        <v>3722</v>
      </c>
      <c r="DL75">
        <v>-5.8038925359142006E-2</v>
      </c>
      <c r="DM75">
        <v>127000000</v>
      </c>
      <c r="DN75">
        <v>-8.2912750513060018E-2</v>
      </c>
      <c r="DO75">
        <v>25372966000</v>
      </c>
      <c r="DP75">
        <v>5384320000</v>
      </c>
      <c r="DQ75">
        <v>3087</v>
      </c>
      <c r="DR75">
        <v>0.76245260260837655</v>
      </c>
      <c r="DS75">
        <v>4.7757143801488304</v>
      </c>
      <c r="DT75" s="12">
        <v>-0.60666666666666669</v>
      </c>
      <c r="DU75">
        <v>0.41666666666666669</v>
      </c>
      <c r="DV75">
        <v>-0.19</v>
      </c>
      <c r="DW75">
        <v>3.261136904761905</v>
      </c>
      <c r="DX75">
        <v>0.33112956810631122</v>
      </c>
      <c r="DY75">
        <v>3.042076876680905</v>
      </c>
      <c r="DZ75">
        <v>3995</v>
      </c>
      <c r="EA75">
        <v>3.0091811580233285</v>
      </c>
      <c r="EB75">
        <v>3</v>
      </c>
      <c r="EC75">
        <v>0.14297070876549731</v>
      </c>
      <c r="ED75">
        <v>0.88730274924566366</v>
      </c>
      <c r="EE75" s="13">
        <v>5.1099999999999982E-3</v>
      </c>
      <c r="EF75">
        <v>2.231E-2</v>
      </c>
      <c r="EG75">
        <v>17.161129568106311</v>
      </c>
      <c r="EH75">
        <v>-1</v>
      </c>
      <c r="EI75">
        <v>0</v>
      </c>
      <c r="EJ75">
        <v>0</v>
      </c>
      <c r="EK75" s="14">
        <v>45470</v>
      </c>
      <c r="EL75">
        <v>-2.0099999999999998</v>
      </c>
      <c r="EM75">
        <v>2.92</v>
      </c>
      <c r="EN75">
        <v>-2.56</v>
      </c>
      <c r="EO75">
        <v>1.46</v>
      </c>
      <c r="EP75">
        <v>-1.72</v>
      </c>
    </row>
    <row r="76" spans="1:146" ht="96" x14ac:dyDescent="0.25">
      <c r="A76" s="9"/>
      <c r="B76" s="9"/>
      <c r="C76" s="9" t="str">
        <f>""&amp;CHAR(10)&amp;Basic_Fundamental_Information_Constructure(F76)&amp;CHAR(10)&amp;Basic_Fundamental_Information_Concatenate("")</f>
        <v xml:space="preserve">
市值26.383105亿, 利润14.43亿; PE34.06; 平均PE9.42; 平均PEG.04, PB3.66; ROIC7.9467%; ROE8.67%; 股利率.8135%; 毛利18.6933%; 净利5.1333%; 上一年度营收增1254.43%, 利润增2406.03%; 当季营收增-91.2%, 利润增-96.51%; 过往5年营收增258.94%, 利润增489.75%
Income profile:
</v>
      </c>
      <c r="D76" t="s">
        <v>946</v>
      </c>
      <c r="E76" t="s">
        <v>3723</v>
      </c>
      <c r="F76">
        <v>7.99</v>
      </c>
      <c r="G76">
        <v>0.38</v>
      </c>
      <c r="H76" t="s">
        <v>3724</v>
      </c>
      <c r="I76">
        <v>2638310500</v>
      </c>
      <c r="J76">
        <v>34.06</v>
      </c>
      <c r="K76">
        <v>3.66</v>
      </c>
      <c r="L76" t="s">
        <v>2891</v>
      </c>
      <c r="M76" t="s">
        <v>158</v>
      </c>
      <c r="N76" t="s">
        <v>1899</v>
      </c>
      <c r="O76" t="s">
        <v>196</v>
      </c>
      <c r="P76">
        <v>11.4</v>
      </c>
      <c r="Q76" t="s">
        <v>3725</v>
      </c>
      <c r="R76">
        <v>16143299</v>
      </c>
      <c r="S76" s="6">
        <v>0.7319</v>
      </c>
      <c r="T76" t="s">
        <v>2477</v>
      </c>
      <c r="U76">
        <v>330201560</v>
      </c>
      <c r="V76">
        <v>330201560</v>
      </c>
      <c r="W76">
        <v>2.12</v>
      </c>
      <c r="X76">
        <v>0.26</v>
      </c>
      <c r="Y76">
        <v>4.1100000000000003</v>
      </c>
      <c r="Z76" t="s">
        <v>602</v>
      </c>
      <c r="AA76" t="s">
        <v>140</v>
      </c>
      <c r="AB76" t="s">
        <v>3726</v>
      </c>
      <c r="AC76" t="s">
        <v>3727</v>
      </c>
      <c r="AD76" t="s">
        <v>2</v>
      </c>
      <c r="AE76">
        <v>-1255167</v>
      </c>
      <c r="AF76" t="s">
        <v>23</v>
      </c>
      <c r="AG76" t="s">
        <v>3728</v>
      </c>
      <c r="AH76" t="s">
        <v>2583</v>
      </c>
      <c r="AI76" t="s">
        <v>413</v>
      </c>
      <c r="AJ76" t="s">
        <v>2584</v>
      </c>
      <c r="AK76" t="s">
        <v>3729</v>
      </c>
      <c r="AL76" t="s">
        <v>2585</v>
      </c>
      <c r="AM76" t="s">
        <v>2</v>
      </c>
      <c r="AN76" t="s">
        <v>3730</v>
      </c>
      <c r="AO76" t="s">
        <v>1945</v>
      </c>
      <c r="AP76" t="s">
        <v>341</v>
      </c>
      <c r="AQ76" t="s">
        <v>211</v>
      </c>
      <c r="AR76" t="s">
        <v>2</v>
      </c>
      <c r="AS76" t="s">
        <v>1472</v>
      </c>
      <c r="AT76" t="s">
        <v>2</v>
      </c>
      <c r="AU76" t="s">
        <v>3731</v>
      </c>
      <c r="AV76" t="s">
        <v>3732</v>
      </c>
      <c r="AW76" t="s">
        <v>3733</v>
      </c>
      <c r="AX76" t="s">
        <v>1196</v>
      </c>
      <c r="AY76" t="s">
        <v>509</v>
      </c>
      <c r="AZ76" t="s">
        <v>218</v>
      </c>
      <c r="BA76" t="s">
        <v>299</v>
      </c>
      <c r="BB76" t="s">
        <v>558</v>
      </c>
      <c r="BC76" t="s">
        <v>2586</v>
      </c>
      <c r="BD76" t="s">
        <v>1353</v>
      </c>
      <c r="BE76" t="s">
        <v>947</v>
      </c>
      <c r="BF76" t="s">
        <v>948</v>
      </c>
      <c r="BG76" t="s">
        <v>949</v>
      </c>
      <c r="BH76" t="s">
        <v>1203</v>
      </c>
      <c r="BI76" t="s">
        <v>2030</v>
      </c>
      <c r="BJ76" t="s">
        <v>1196</v>
      </c>
      <c r="BK76" t="s">
        <v>2582</v>
      </c>
      <c r="BL76" t="s">
        <v>562</v>
      </c>
      <c r="BM76" t="s">
        <v>2586</v>
      </c>
      <c r="BN76">
        <v>7.77</v>
      </c>
      <c r="BO76">
        <v>8.18</v>
      </c>
      <c r="BP76">
        <v>7.89</v>
      </c>
      <c r="BQ76">
        <v>8.44</v>
      </c>
      <c r="BR76">
        <v>9.17</v>
      </c>
      <c r="BS76">
        <v>8.4</v>
      </c>
      <c r="BT76" t="s">
        <v>2325</v>
      </c>
      <c r="BU76" t="s">
        <v>1445</v>
      </c>
      <c r="BV76">
        <v>19.86</v>
      </c>
      <c r="BW76">
        <v>18.510000000000002</v>
      </c>
      <c r="BX76">
        <v>17.71</v>
      </c>
      <c r="BY76">
        <v>5.37</v>
      </c>
      <c r="BZ76">
        <v>4.8600000000000003</v>
      </c>
      <c r="CA76">
        <v>5.17</v>
      </c>
      <c r="CB76">
        <v>-2.86</v>
      </c>
      <c r="CC76">
        <v>-8.9499999999999993</v>
      </c>
      <c r="CD76" t="s">
        <v>3734</v>
      </c>
      <c r="CE76" t="s">
        <v>131</v>
      </c>
      <c r="CF76" s="10">
        <v>-0.91204211449879358</v>
      </c>
      <c r="CG76" s="11">
        <v>-0.96513326349892004</v>
      </c>
      <c r="CH76" s="10">
        <v>12.544345855712891</v>
      </c>
      <c r="CI76" s="10">
        <v>0.21683162450790405</v>
      </c>
      <c r="CJ76" s="10">
        <v>0.11973392218351364</v>
      </c>
      <c r="CK76" s="10">
        <v>-3.4261241555213928E-2</v>
      </c>
      <c r="CL76" s="10">
        <v>0.10011778771877289</v>
      </c>
      <c r="CM76" s="11">
        <v>24.060264587402344</v>
      </c>
      <c r="CN76" s="11">
        <v>0.1338430792093277</v>
      </c>
      <c r="CO76" s="11">
        <v>9.9982455372810364E-2</v>
      </c>
      <c r="CP76" s="11">
        <v>4.5203458517789841E-2</v>
      </c>
      <c r="CQ76" s="11">
        <v>0.14833812415599823</v>
      </c>
      <c r="CR76">
        <v>9.4215824431606734</v>
      </c>
      <c r="CS76">
        <v>3.6385847342706334E-2</v>
      </c>
      <c r="CT76">
        <v>0.81351689612015021</v>
      </c>
      <c r="CU76" s="10">
        <v>2.5893535897135735</v>
      </c>
      <c r="CV76" s="11">
        <v>4.8975263409316536</v>
      </c>
      <c r="CW76">
        <v>0.06</v>
      </c>
      <c r="CX76">
        <v>0.54854012199772506</v>
      </c>
      <c r="CY76">
        <v>4886261537.6949873</v>
      </c>
      <c r="CZ76">
        <v>2.5893535897135735</v>
      </c>
      <c r="DA76">
        <v>3.8146229643062912E-2</v>
      </c>
      <c r="DB76">
        <v>70264100150.391357</v>
      </c>
      <c r="DC76">
        <v>2.4598859102278947</v>
      </c>
      <c r="DD76">
        <v>1.4371013785845735E-3</v>
      </c>
      <c r="DE76">
        <v>1865081016511.0864</v>
      </c>
      <c r="DF76">
        <v>2.2786311589479449</v>
      </c>
      <c r="DG76">
        <v>2.9152452755627506E-5</v>
      </c>
      <c r="DH76">
        <v>91941166064752.5</v>
      </c>
      <c r="DI76">
        <v>2.0714828717708591</v>
      </c>
      <c r="DJ76">
        <v>3.8690884730396749E-9</v>
      </c>
      <c r="DK76">
        <v>6.927498605102368E+17</v>
      </c>
      <c r="DL76">
        <v>1.8125475127995014</v>
      </c>
      <c r="DM76">
        <v>1443000000</v>
      </c>
      <c r="DN76">
        <v>2.5893535897135735</v>
      </c>
      <c r="DO76">
        <v>2680310500</v>
      </c>
      <c r="DP76">
        <v>534977360</v>
      </c>
      <c r="DQ76">
        <v>3142</v>
      </c>
      <c r="DR76">
        <v>-3.5013957042123671</v>
      </c>
      <c r="DS76">
        <v>-5.8626596044305739</v>
      </c>
      <c r="DT76" s="12">
        <v>1.0000000000000011E-2</v>
      </c>
      <c r="DU76">
        <v>-0.14000000000000004</v>
      </c>
      <c r="DV76">
        <v>-0.13000000000000003</v>
      </c>
      <c r="DW76">
        <v>-8.3195530726256983</v>
      </c>
      <c r="DX76">
        <v>0.30292327586206991</v>
      </c>
      <c r="DY76">
        <v>-8.0296939183201701</v>
      </c>
      <c r="DZ76">
        <v>1823</v>
      </c>
      <c r="EA76">
        <v>-8.0191005693773771</v>
      </c>
      <c r="EB76">
        <v>8</v>
      </c>
      <c r="EC76">
        <v>3.2644000833914895E-2</v>
      </c>
      <c r="ED76">
        <v>0.3513005813782345</v>
      </c>
      <c r="EE76" s="13">
        <v>-2.0264000000000002</v>
      </c>
      <c r="EF76">
        <v>-2.0049100000000002</v>
      </c>
      <c r="EG76">
        <v>21.09292327586207</v>
      </c>
      <c r="EH76" t="s">
        <v>1555</v>
      </c>
      <c r="EI76">
        <v>0</v>
      </c>
      <c r="EJ76">
        <v>0</v>
      </c>
      <c r="EK76" s="14">
        <v>45470</v>
      </c>
      <c r="EL76">
        <v>-1.44</v>
      </c>
      <c r="EM76">
        <v>10.01</v>
      </c>
      <c r="EN76">
        <v>4.95</v>
      </c>
      <c r="EO76">
        <v>-3.01</v>
      </c>
      <c r="EP76">
        <v>-3.13</v>
      </c>
    </row>
    <row r="77" spans="1:146" ht="180" x14ac:dyDescent="0.25">
      <c r="A77" s="9"/>
      <c r="B77" s="9"/>
      <c r="C77" s="9" t="s">
        <v>1442</v>
      </c>
      <c r="D77" t="s">
        <v>1459</v>
      </c>
      <c r="E77" t="s">
        <v>782</v>
      </c>
      <c r="F77">
        <v>24.63</v>
      </c>
      <c r="G77">
        <v>-0.28000000000000003</v>
      </c>
      <c r="H77" t="s">
        <v>3735</v>
      </c>
      <c r="I77">
        <v>197848460000</v>
      </c>
      <c r="J77">
        <v>27.27</v>
      </c>
      <c r="K77">
        <v>4.1500000000000004</v>
      </c>
      <c r="L77" t="s">
        <v>2891</v>
      </c>
      <c r="M77" t="s">
        <v>2587</v>
      </c>
      <c r="N77" t="s">
        <v>3736</v>
      </c>
      <c r="O77" t="s">
        <v>2588</v>
      </c>
      <c r="P77">
        <v>24.25</v>
      </c>
      <c r="Q77" t="s">
        <v>3737</v>
      </c>
      <c r="R77">
        <v>595659760</v>
      </c>
      <c r="S77" s="6">
        <v>0.13689999999999999</v>
      </c>
      <c r="T77" t="s">
        <v>2602</v>
      </c>
      <c r="U77">
        <v>7984484700</v>
      </c>
      <c r="V77">
        <v>8032824100</v>
      </c>
      <c r="W77">
        <v>1.63</v>
      </c>
      <c r="X77">
        <v>0.09</v>
      </c>
      <c r="Y77">
        <v>7.85</v>
      </c>
      <c r="Z77" t="s">
        <v>3738</v>
      </c>
      <c r="AA77" t="s">
        <v>3739</v>
      </c>
      <c r="AB77" t="s">
        <v>1269</v>
      </c>
      <c r="AC77" t="s">
        <v>652</v>
      </c>
      <c r="AD77" t="s">
        <v>2</v>
      </c>
      <c r="AE77">
        <v>-107991838</v>
      </c>
      <c r="AF77" t="s">
        <v>2591</v>
      </c>
      <c r="AG77" t="s">
        <v>3740</v>
      </c>
      <c r="AH77" t="s">
        <v>2592</v>
      </c>
      <c r="AI77" t="s">
        <v>3741</v>
      </c>
      <c r="AJ77" t="s">
        <v>2593</v>
      </c>
      <c r="AK77" t="s">
        <v>3742</v>
      </c>
      <c r="AL77" t="s">
        <v>2594</v>
      </c>
      <c r="AM77" t="s">
        <v>2</v>
      </c>
      <c r="AN77" t="s">
        <v>3308</v>
      </c>
      <c r="AO77" t="s">
        <v>298</v>
      </c>
      <c r="AP77" t="s">
        <v>526</v>
      </c>
      <c r="AQ77" t="s">
        <v>3743</v>
      </c>
      <c r="AR77" t="s">
        <v>3744</v>
      </c>
      <c r="AS77" t="s">
        <v>3745</v>
      </c>
      <c r="AT77" t="s">
        <v>3746</v>
      </c>
      <c r="AU77" t="s">
        <v>3747</v>
      </c>
      <c r="AV77" t="s">
        <v>1216</v>
      </c>
      <c r="AW77" t="s">
        <v>3663</v>
      </c>
      <c r="AX77" t="s">
        <v>1658</v>
      </c>
      <c r="AY77" t="s">
        <v>1354</v>
      </c>
      <c r="AZ77" t="s">
        <v>783</v>
      </c>
      <c r="BA77" t="s">
        <v>786</v>
      </c>
      <c r="BB77" t="s">
        <v>787</v>
      </c>
      <c r="BC77" t="s">
        <v>1659</v>
      </c>
      <c r="BD77" t="s">
        <v>1355</v>
      </c>
      <c r="BE77" t="s">
        <v>784</v>
      </c>
      <c r="BF77" t="s">
        <v>514</v>
      </c>
      <c r="BG77" t="s">
        <v>788</v>
      </c>
      <c r="BH77" t="s">
        <v>2589</v>
      </c>
      <c r="BI77" t="s">
        <v>1215</v>
      </c>
      <c r="BJ77" t="s">
        <v>1658</v>
      </c>
      <c r="BK77" t="s">
        <v>2590</v>
      </c>
      <c r="BL77" t="s">
        <v>2395</v>
      </c>
      <c r="BM77" t="s">
        <v>1659</v>
      </c>
      <c r="BN77">
        <v>8.7100000000000009</v>
      </c>
      <c r="BO77">
        <v>14.82</v>
      </c>
      <c r="BP77">
        <v>14.45</v>
      </c>
      <c r="BQ77">
        <v>9.57</v>
      </c>
      <c r="BR77">
        <v>16.09</v>
      </c>
      <c r="BS77">
        <v>15.7</v>
      </c>
      <c r="BT77" t="s">
        <v>2595</v>
      </c>
      <c r="BU77" t="s">
        <v>1444</v>
      </c>
      <c r="BV77">
        <v>26.8</v>
      </c>
      <c r="BW77">
        <v>27.04</v>
      </c>
      <c r="BX77">
        <v>26.88</v>
      </c>
      <c r="BY77">
        <v>14.83</v>
      </c>
      <c r="BZ77">
        <v>14.74</v>
      </c>
      <c r="CA77">
        <v>14.25</v>
      </c>
      <c r="CB77">
        <v>-1.32</v>
      </c>
      <c r="CC77">
        <v>13.5</v>
      </c>
      <c r="CD77" t="s">
        <v>109</v>
      </c>
      <c r="CE77" t="s">
        <v>2884</v>
      </c>
      <c r="CF77" s="10">
        <v>1.9173929518757102</v>
      </c>
      <c r="CG77" s="11">
        <v>5.8427622764227642</v>
      </c>
      <c r="CH77" s="10">
        <v>-0.78632897138595581</v>
      </c>
      <c r="CI77" s="10">
        <v>0.10417106002569199</v>
      </c>
      <c r="CJ77" s="10">
        <v>0.10152722895145416</v>
      </c>
      <c r="CK77" s="10">
        <v>0.18745371699333191</v>
      </c>
      <c r="CL77" s="10">
        <v>0.13608966767787933</v>
      </c>
      <c r="CM77" s="11">
        <v>-1.1051815748214722</v>
      </c>
      <c r="CN77" s="11">
        <v>0.14250271022319794</v>
      </c>
      <c r="CO77" s="11">
        <v>0.16281948983669281</v>
      </c>
      <c r="CP77" s="11">
        <v>0.11720001697540283</v>
      </c>
      <c r="CQ77" s="11">
        <v>4.3488755822181702E-2</v>
      </c>
      <c r="CR77">
        <v>47.930341179795697</v>
      </c>
      <c r="CS77">
        <v>9.3218026720084808</v>
      </c>
      <c r="CT77">
        <v>2.1924482338611453</v>
      </c>
      <c r="CU77" s="10">
        <v>-5.1417459547519681E-2</v>
      </c>
      <c r="CV77" s="11">
        <v>-0.12783412039279937</v>
      </c>
      <c r="CW77">
        <v>0.06</v>
      </c>
      <c r="CX77" t="e">
        <v>#VALUE!</v>
      </c>
      <c r="CY77" t="s">
        <v>1238</v>
      </c>
      <c r="CZ77">
        <v>-5.1417459547519681E-2</v>
      </c>
      <c r="DA77" t="e">
        <v>#VALUE!</v>
      </c>
      <c r="DB77" t="s">
        <v>1238</v>
      </c>
      <c r="DC77">
        <v>-4.8846586570143694E-2</v>
      </c>
      <c r="DD77" t="e">
        <v>#VALUE!</v>
      </c>
      <c r="DE77" t="s">
        <v>1238</v>
      </c>
      <c r="DF77">
        <v>-4.5247364401817321E-2</v>
      </c>
      <c r="DG77" t="e">
        <v>#VALUE!</v>
      </c>
      <c r="DH77" t="s">
        <v>1238</v>
      </c>
      <c r="DI77">
        <v>-4.1133967638015745E-2</v>
      </c>
      <c r="DJ77" t="e">
        <v>#VALUE!</v>
      </c>
      <c r="DK77" t="s">
        <v>1238</v>
      </c>
      <c r="DL77">
        <v>-3.5992221683263777E-2</v>
      </c>
      <c r="DM77">
        <v>-678000000</v>
      </c>
      <c r="DN77">
        <v>-5.1417459547519681E-2</v>
      </c>
      <c r="DO77">
        <v>182679460000</v>
      </c>
      <c r="DP77">
        <v>33125551000</v>
      </c>
      <c r="DQ77">
        <v>3162</v>
      </c>
      <c r="DR77">
        <v>1.9688104114232299</v>
      </c>
      <c r="DS77">
        <v>5.970596396815564</v>
      </c>
      <c r="DT77" s="12">
        <v>-0.65666666666666662</v>
      </c>
      <c r="DU77">
        <v>-0.6166666666666667</v>
      </c>
      <c r="DV77">
        <v>-1.2733333333333334</v>
      </c>
      <c r="DW77">
        <v>2.1349999999999998</v>
      </c>
      <c r="DX77">
        <v>0.39495626822157431</v>
      </c>
      <c r="DY77">
        <v>2.0141690962099124</v>
      </c>
      <c r="DZ77">
        <v>4975</v>
      </c>
      <c r="EA77">
        <v>2.0003743303303989</v>
      </c>
      <c r="EB77">
        <v>2</v>
      </c>
      <c r="EC77">
        <v>1.34448356711807E-2</v>
      </c>
      <c r="ED77">
        <v>0.12809940653374943</v>
      </c>
      <c r="EE77" s="13">
        <v>-1.1134999999999999</v>
      </c>
      <c r="EF77">
        <v>-1.0915999999999999</v>
      </c>
      <c r="EG77">
        <v>29.104956268221574</v>
      </c>
      <c r="EH77" t="s">
        <v>1548</v>
      </c>
      <c r="EI77">
        <v>1</v>
      </c>
      <c r="EJ77">
        <v>0</v>
      </c>
      <c r="EK77" s="14">
        <v>45470</v>
      </c>
      <c r="EL77">
        <v>-1.64</v>
      </c>
      <c r="EM77">
        <v>-2.78</v>
      </c>
      <c r="EN77">
        <v>0.86</v>
      </c>
      <c r="EO77">
        <v>3.4</v>
      </c>
      <c r="EP77">
        <v>-2.19</v>
      </c>
    </row>
    <row r="78" spans="1:146" ht="96" x14ac:dyDescent="0.25">
      <c r="A78" s="9"/>
      <c r="B78" s="9"/>
      <c r="C78" s="9" t="s">
        <v>1227</v>
      </c>
      <c r="D78" t="s">
        <v>950</v>
      </c>
      <c r="E78" t="s">
        <v>951</v>
      </c>
      <c r="F78">
        <v>4.17</v>
      </c>
      <c r="G78">
        <v>0.48</v>
      </c>
      <c r="H78" t="s">
        <v>3748</v>
      </c>
      <c r="I78">
        <v>4535856300</v>
      </c>
      <c r="J78">
        <v>36.44</v>
      </c>
      <c r="K78">
        <v>2.17</v>
      </c>
      <c r="L78" t="s">
        <v>2891</v>
      </c>
      <c r="M78" t="s">
        <v>2596</v>
      </c>
      <c r="N78" t="s">
        <v>3749</v>
      </c>
      <c r="O78" t="s">
        <v>361</v>
      </c>
      <c r="P78">
        <v>1.21</v>
      </c>
      <c r="Q78" t="s">
        <v>3750</v>
      </c>
      <c r="R78">
        <v>34774870</v>
      </c>
      <c r="S78" s="6">
        <v>0.19470000000000001</v>
      </c>
      <c r="T78" t="s">
        <v>481</v>
      </c>
      <c r="U78">
        <v>1087735320</v>
      </c>
      <c r="V78">
        <v>1087735320</v>
      </c>
      <c r="W78">
        <v>1.71</v>
      </c>
      <c r="X78">
        <v>0.13</v>
      </c>
      <c r="Y78">
        <v>7.39</v>
      </c>
      <c r="Z78" t="s">
        <v>490</v>
      </c>
      <c r="AA78" t="s">
        <v>287</v>
      </c>
      <c r="AB78" t="s">
        <v>3751</v>
      </c>
      <c r="AC78" t="s">
        <v>3752</v>
      </c>
      <c r="AD78" t="s">
        <v>2</v>
      </c>
      <c r="AE78">
        <v>1447367</v>
      </c>
      <c r="AF78" t="s">
        <v>2598</v>
      </c>
      <c r="AG78" t="s">
        <v>3753</v>
      </c>
      <c r="AH78" t="s">
        <v>2599</v>
      </c>
      <c r="AI78" t="s">
        <v>2833</v>
      </c>
      <c r="AJ78" t="s">
        <v>2600</v>
      </c>
      <c r="AK78" t="s">
        <v>2</v>
      </c>
      <c r="AL78" t="s">
        <v>2601</v>
      </c>
      <c r="AM78" t="s">
        <v>2</v>
      </c>
      <c r="AN78" t="s">
        <v>109</v>
      </c>
      <c r="AO78" t="s">
        <v>563</v>
      </c>
      <c r="AP78" t="s">
        <v>265</v>
      </c>
      <c r="AQ78" t="s">
        <v>459</v>
      </c>
      <c r="AR78" t="s">
        <v>2</v>
      </c>
      <c r="AS78" t="s">
        <v>2832</v>
      </c>
      <c r="AT78" t="s">
        <v>1948</v>
      </c>
      <c r="AU78" t="s">
        <v>3754</v>
      </c>
      <c r="AV78" t="s">
        <v>3755</v>
      </c>
      <c r="AW78" t="s">
        <v>3756</v>
      </c>
      <c r="AX78" t="s">
        <v>1661</v>
      </c>
      <c r="AY78" t="s">
        <v>530</v>
      </c>
      <c r="AZ78" t="s">
        <v>952</v>
      </c>
      <c r="BA78" t="s">
        <v>953</v>
      </c>
      <c r="BB78" t="s">
        <v>954</v>
      </c>
      <c r="BC78" t="s">
        <v>59</v>
      </c>
      <c r="BD78" t="s">
        <v>144</v>
      </c>
      <c r="BE78" t="s">
        <v>99</v>
      </c>
      <c r="BF78" t="s">
        <v>955</v>
      </c>
      <c r="BG78" t="s">
        <v>956</v>
      </c>
      <c r="BH78" t="s">
        <v>2597</v>
      </c>
      <c r="BI78" t="s">
        <v>3757</v>
      </c>
      <c r="BJ78" t="s">
        <v>1661</v>
      </c>
      <c r="BK78" t="s">
        <v>58</v>
      </c>
      <c r="BL78" t="s">
        <v>3758</v>
      </c>
      <c r="BM78" t="s">
        <v>59</v>
      </c>
      <c r="BN78">
        <v>4.34</v>
      </c>
      <c r="BO78">
        <v>5.93</v>
      </c>
      <c r="BP78">
        <v>5.94</v>
      </c>
      <c r="BQ78">
        <v>4.8099999999999996</v>
      </c>
      <c r="BR78">
        <v>6.27</v>
      </c>
      <c r="BS78">
        <v>5.66</v>
      </c>
      <c r="BT78" t="s">
        <v>2553</v>
      </c>
      <c r="BU78" t="s">
        <v>1445</v>
      </c>
      <c r="BV78">
        <v>26.77</v>
      </c>
      <c r="BW78">
        <v>25.52</v>
      </c>
      <c r="BX78">
        <v>24.98</v>
      </c>
      <c r="BY78">
        <v>6.32</v>
      </c>
      <c r="BZ78">
        <v>6.03</v>
      </c>
      <c r="CA78">
        <v>5.18</v>
      </c>
      <c r="CB78">
        <v>-2.5</v>
      </c>
      <c r="CC78">
        <v>-10.84</v>
      </c>
      <c r="CD78" t="s">
        <v>3759</v>
      </c>
      <c r="CE78" t="s">
        <v>173</v>
      </c>
      <c r="CF78" s="10">
        <v>-0.60188827694728564</v>
      </c>
      <c r="CG78" s="11">
        <v>-0.3181504996000063</v>
      </c>
      <c r="CH78" s="10">
        <v>1.5700850486755371</v>
      </c>
      <c r="CI78" s="10">
        <v>-4.572652280330658E-2</v>
      </c>
      <c r="CJ78" s="10">
        <v>6.4120024442672729E-2</v>
      </c>
      <c r="CK78" s="10">
        <v>0.40152972936630249</v>
      </c>
      <c r="CL78" s="10">
        <v>0.15622697770595551</v>
      </c>
      <c r="CM78" s="11">
        <v>1.8842974901199341</v>
      </c>
      <c r="CN78" s="11">
        <v>0.15238095819950104</v>
      </c>
      <c r="CO78" s="11">
        <v>-4.5454546809196472E-2</v>
      </c>
      <c r="CP78" s="11">
        <v>0.95343023538589478</v>
      </c>
      <c r="CQ78" s="11">
        <v>0.19491994380950928</v>
      </c>
      <c r="CR78">
        <v>34.517847532972525</v>
      </c>
      <c r="CS78">
        <v>0.80414873938364861</v>
      </c>
      <c r="CT78">
        <v>0.79136690647482022</v>
      </c>
      <c r="CU78" s="10">
        <v>0.42924705147743225</v>
      </c>
      <c r="CV78" s="11">
        <v>0.62791481614112854</v>
      </c>
      <c r="CW78">
        <v>0.06</v>
      </c>
      <c r="CX78">
        <v>8.4170948244739776</v>
      </c>
      <c r="CY78">
        <v>470572849.96756965</v>
      </c>
      <c r="CZ78">
        <v>0.42924705147743225</v>
      </c>
      <c r="DA78">
        <v>2.0883509467292485</v>
      </c>
      <c r="DB78">
        <v>1896643045.6544902</v>
      </c>
      <c r="DC78">
        <v>0.40778469890356062</v>
      </c>
      <c r="DD78">
        <v>0.68494427546217507</v>
      </c>
      <c r="DE78">
        <v>5782742395.105588</v>
      </c>
      <c r="DF78">
        <v>0.37773740530014038</v>
      </c>
      <c r="DG78">
        <v>0.24707061722132101</v>
      </c>
      <c r="DH78">
        <v>16031272129.991655</v>
      </c>
      <c r="DI78">
        <v>0.34339764118194582</v>
      </c>
      <c r="DJ78">
        <v>3.5756649901646516E-2</v>
      </c>
      <c r="DK78">
        <v>110772578272.70924</v>
      </c>
      <c r="DL78">
        <v>0.30047293603420255</v>
      </c>
      <c r="DM78">
        <v>349000000</v>
      </c>
      <c r="DN78">
        <v>0.42924705147743225</v>
      </c>
      <c r="DO78">
        <v>3960856300</v>
      </c>
      <c r="DP78">
        <v>1035575800</v>
      </c>
      <c r="DQ78">
        <v>3197</v>
      </c>
      <c r="DR78">
        <v>-1.031135328424718</v>
      </c>
      <c r="DS78">
        <v>-0.94606531574113484</v>
      </c>
      <c r="DT78" s="12">
        <v>0.10999999999999995</v>
      </c>
      <c r="DU78">
        <v>0.56333333333333335</v>
      </c>
      <c r="DV78">
        <v>0.67333333333333334</v>
      </c>
      <c r="DW78">
        <v>-8.2306273062730622</v>
      </c>
      <c r="DX78">
        <v>0.29275082742316655</v>
      </c>
      <c r="DY78">
        <v>-8.0260034196086636</v>
      </c>
      <c r="DZ78">
        <v>2809</v>
      </c>
      <c r="EA78">
        <v>-8.0117091719216305</v>
      </c>
      <c r="EB78">
        <v>8</v>
      </c>
      <c r="EC78">
        <v>4.3846696087794595E-2</v>
      </c>
      <c r="ED78">
        <v>0.38888136867707856</v>
      </c>
      <c r="EE78" s="13">
        <v>-3.0194000000000001</v>
      </c>
      <c r="EF78">
        <v>-3.0080100000000001</v>
      </c>
      <c r="EG78">
        <v>18.112750827423167</v>
      </c>
      <c r="EH78" t="s">
        <v>1832</v>
      </c>
      <c r="EI78">
        <v>0</v>
      </c>
      <c r="EJ78">
        <v>0</v>
      </c>
      <c r="EK78" s="14">
        <v>45470</v>
      </c>
      <c r="EL78">
        <v>-1.95</v>
      </c>
      <c r="EM78">
        <v>-6.62</v>
      </c>
      <c r="EN78">
        <v>0.71</v>
      </c>
      <c r="EO78">
        <v>2.82</v>
      </c>
      <c r="EP78">
        <v>-2.74</v>
      </c>
    </row>
    <row r="79" spans="1:146" ht="96" x14ac:dyDescent="0.25">
      <c r="A79" s="9"/>
      <c r="B79" s="9"/>
      <c r="C79" s="9" t="str">
        <f>""&amp;CHAR(10)&amp;Basic_Fundamental_Information_Constructure(F79)&amp;CHAR(10)&amp;Basic_Fundamental_Information_Concatenate("")</f>
        <v xml:space="preserve">
市值53.77594亿, 利润2.29亿; PE63.15; 平均PE-36.75; 平均PEG-5.58, PB1.03; ROIC8.705%; ROE-3.44%; 股利率0%; 毛利35.9967%; 净利-.3967%; 上一年度营收增-42.82%, 利润增-66.02%; 当季营收增163.84%, 利润增-49.49%; 过往5年营收增-6.59%, 利润增-330.19%
Income profile:
</v>
      </c>
      <c r="D79" t="s">
        <v>957</v>
      </c>
      <c r="E79" t="s">
        <v>958</v>
      </c>
      <c r="F79">
        <v>4.09</v>
      </c>
      <c r="G79">
        <v>-0.49</v>
      </c>
      <c r="H79" t="s">
        <v>3760</v>
      </c>
      <c r="I79">
        <v>5377594000</v>
      </c>
      <c r="J79">
        <v>63.15</v>
      </c>
      <c r="K79">
        <v>1.03</v>
      </c>
      <c r="L79" t="s">
        <v>2891</v>
      </c>
      <c r="M79" t="s">
        <v>2603</v>
      </c>
      <c r="N79" t="s">
        <v>3761</v>
      </c>
      <c r="O79" t="s">
        <v>2422</v>
      </c>
      <c r="P79">
        <v>-7.97</v>
      </c>
      <c r="Q79" t="s">
        <v>3762</v>
      </c>
      <c r="R79">
        <v>15443841</v>
      </c>
      <c r="S79" s="6">
        <v>-2.46E-2</v>
      </c>
      <c r="T79" t="s">
        <v>84</v>
      </c>
      <c r="U79">
        <v>1310295150</v>
      </c>
      <c r="V79">
        <v>1314815150</v>
      </c>
      <c r="W79">
        <v>2.84</v>
      </c>
      <c r="X79">
        <v>0.1</v>
      </c>
      <c r="Y79">
        <v>0.32</v>
      </c>
      <c r="Z79" t="s">
        <v>3763</v>
      </c>
      <c r="AA79" t="s">
        <v>668</v>
      </c>
      <c r="AB79" t="s">
        <v>228</v>
      </c>
      <c r="AC79" t="s">
        <v>199</v>
      </c>
      <c r="AD79" t="s">
        <v>2</v>
      </c>
      <c r="AE79">
        <v>71863695</v>
      </c>
      <c r="AF79" t="s">
        <v>2605</v>
      </c>
      <c r="AG79" t="s">
        <v>3764</v>
      </c>
      <c r="AH79" t="s">
        <v>2606</v>
      </c>
      <c r="AI79" t="s">
        <v>1943</v>
      </c>
      <c r="AJ79" t="s">
        <v>2607</v>
      </c>
      <c r="AK79" t="s">
        <v>2</v>
      </c>
      <c r="AL79" t="s">
        <v>2608</v>
      </c>
      <c r="AM79" t="s">
        <v>2</v>
      </c>
      <c r="AN79" t="s">
        <v>279</v>
      </c>
      <c r="AO79" t="s">
        <v>1919</v>
      </c>
      <c r="AP79" t="s">
        <v>377</v>
      </c>
      <c r="AQ79" t="s">
        <v>1257</v>
      </c>
      <c r="AR79" t="s">
        <v>2</v>
      </c>
      <c r="AS79" t="s">
        <v>3765</v>
      </c>
      <c r="AT79" t="s">
        <v>157</v>
      </c>
      <c r="AU79" t="s">
        <v>383</v>
      </c>
      <c r="AV79" t="s">
        <v>3766</v>
      </c>
      <c r="AW79" t="s">
        <v>180</v>
      </c>
      <c r="AX79" t="s">
        <v>1611</v>
      </c>
      <c r="AY79" t="s">
        <v>1356</v>
      </c>
      <c r="AZ79" t="s">
        <v>959</v>
      </c>
      <c r="BA79" t="s">
        <v>960</v>
      </c>
      <c r="BB79" t="s">
        <v>961</v>
      </c>
      <c r="BC79" t="s">
        <v>412</v>
      </c>
      <c r="BD79" t="s">
        <v>1662</v>
      </c>
      <c r="BE79" t="s">
        <v>67</v>
      </c>
      <c r="BF79" t="s">
        <v>962</v>
      </c>
      <c r="BG79" t="s">
        <v>68</v>
      </c>
      <c r="BH79" t="s">
        <v>1930</v>
      </c>
      <c r="BI79" t="s">
        <v>2483</v>
      </c>
      <c r="BJ79" t="s">
        <v>1611</v>
      </c>
      <c r="BK79" t="s">
        <v>2604</v>
      </c>
      <c r="BL79" t="s">
        <v>3767</v>
      </c>
      <c r="BM79" t="s">
        <v>412</v>
      </c>
      <c r="BN79">
        <v>2.33</v>
      </c>
      <c r="BO79">
        <v>15.08</v>
      </c>
      <c r="BP79" t="s">
        <v>2</v>
      </c>
      <c r="BQ79">
        <v>2</v>
      </c>
      <c r="BR79">
        <v>14.5</v>
      </c>
      <c r="BS79">
        <v>-26.82</v>
      </c>
      <c r="BT79" t="s">
        <v>1521</v>
      </c>
      <c r="BU79" t="s">
        <v>1445</v>
      </c>
      <c r="BV79">
        <v>36.06</v>
      </c>
      <c r="BW79">
        <v>35.22</v>
      </c>
      <c r="BX79">
        <v>36.71</v>
      </c>
      <c r="BY79">
        <v>1.1100000000000001</v>
      </c>
      <c r="BZ79">
        <v>14.73</v>
      </c>
      <c r="CA79">
        <v>-17.03</v>
      </c>
      <c r="CB79">
        <v>-3.99</v>
      </c>
      <c r="CC79">
        <v>-6.41</v>
      </c>
      <c r="CD79" t="s">
        <v>3768</v>
      </c>
      <c r="CE79" t="s">
        <v>222</v>
      </c>
      <c r="CF79" s="10">
        <v>1.6383999999999996</v>
      </c>
      <c r="CG79" s="11">
        <v>-0.49489489951104643</v>
      </c>
      <c r="CH79" s="10">
        <v>-0.4282149076461792</v>
      </c>
      <c r="CI79" s="10">
        <v>0.25564903020858765</v>
      </c>
      <c r="CJ79" s="10">
        <v>-2.0200418308377266E-2</v>
      </c>
      <c r="CK79" s="10">
        <v>-3.5385783761739731E-2</v>
      </c>
      <c r="CL79" s="10">
        <v>-0.10116294026374817</v>
      </c>
      <c r="CM79" s="11">
        <v>-0.66023737192153931</v>
      </c>
      <c r="CN79" s="11">
        <v>1.5876199007034302</v>
      </c>
      <c r="CO79" s="11">
        <v>-9.7557258605957031</v>
      </c>
      <c r="CP79" s="11">
        <v>1.1493728160858154</v>
      </c>
      <c r="CQ79" s="11">
        <v>-8.830357551574707</v>
      </c>
      <c r="CR79">
        <v>-36.748933940774485</v>
      </c>
      <c r="CS79">
        <v>-5.5796018605950763</v>
      </c>
      <c r="CT79">
        <v>0</v>
      </c>
      <c r="CU79" s="10">
        <v>-6.5863003954291344E-2</v>
      </c>
      <c r="CV79" s="11">
        <v>-3.3018656134605409</v>
      </c>
      <c r="CW79">
        <v>0.06</v>
      </c>
      <c r="CX79">
        <v>40.666349344978165</v>
      </c>
      <c r="CY79" t="s">
        <v>3769</v>
      </c>
      <c r="CZ79">
        <v>-6.5863003954291344E-2</v>
      </c>
      <c r="DA79">
        <v>13.555449781659389</v>
      </c>
      <c r="DB79" t="s">
        <v>3770</v>
      </c>
      <c r="DC79">
        <v>-6.2569853756576768E-2</v>
      </c>
      <c r="DD79">
        <v>6.7777248908296945</v>
      </c>
      <c r="DE79" t="s">
        <v>3771</v>
      </c>
      <c r="DF79">
        <v>-5.7959443479776385E-2</v>
      </c>
      <c r="DG79">
        <v>4.0666349344978165</v>
      </c>
      <c r="DH79" t="s">
        <v>3772</v>
      </c>
      <c r="DI79">
        <v>-5.2690403163433076E-2</v>
      </c>
      <c r="DJ79">
        <v>2.0333174672489083</v>
      </c>
      <c r="DK79" t="s">
        <v>3773</v>
      </c>
      <c r="DL79">
        <v>-4.6104102768003939E-2</v>
      </c>
      <c r="DM79">
        <v>229000000</v>
      </c>
      <c r="DN79">
        <v>-6.5863003954291344E-2</v>
      </c>
      <c r="DO79">
        <v>9312594000</v>
      </c>
      <c r="DP79">
        <v>-550986200</v>
      </c>
      <c r="DQ79">
        <v>3243</v>
      </c>
      <c r="DR79">
        <v>1.704263003954291</v>
      </c>
      <c r="DS79">
        <v>2.8069707139494944</v>
      </c>
      <c r="DT79" s="12">
        <v>-0.45666666666666672</v>
      </c>
      <c r="DU79">
        <v>-1.54</v>
      </c>
      <c r="DV79">
        <v>-1.9966666666666668</v>
      </c>
      <c r="DW79">
        <v>-8.6224648985959433</v>
      </c>
      <c r="DX79">
        <v>0.32375142857142802</v>
      </c>
      <c r="DY79">
        <v>-8.0645816224648978</v>
      </c>
      <c r="DZ79">
        <v>2918</v>
      </c>
      <c r="EA79">
        <v>-8.027703114763808</v>
      </c>
      <c r="EB79">
        <v>8</v>
      </c>
      <c r="EC79">
        <v>1.9332831691207697E-2</v>
      </c>
      <c r="ED79">
        <v>0.18633798066595142</v>
      </c>
      <c r="EE79" s="13">
        <v>1.0299999999999997E-2</v>
      </c>
      <c r="EF79">
        <v>1.7509999999999998E-2</v>
      </c>
      <c r="EG79">
        <v>22.103751428571428</v>
      </c>
      <c r="EH79">
        <v>-1</v>
      </c>
      <c r="EI79">
        <v>0</v>
      </c>
      <c r="EJ79">
        <v>0</v>
      </c>
      <c r="EK79" s="14">
        <v>45470</v>
      </c>
      <c r="EL79">
        <v>0.3</v>
      </c>
      <c r="EM79">
        <v>-4.6399999999999997</v>
      </c>
      <c r="EN79">
        <v>0.83</v>
      </c>
      <c r="EO79">
        <v>3.28</v>
      </c>
      <c r="EP79">
        <v>-2.78</v>
      </c>
    </row>
    <row r="80" spans="1:146" ht="96" x14ac:dyDescent="0.25">
      <c r="A80" s="9"/>
      <c r="B80" s="9"/>
      <c r="C80" s="9" t="str">
        <f>""&amp;CHAR(10)&amp;Basic_Fundamental_Information_Constructure(F80)&amp;CHAR(10)&amp;Basic_Fundamental_Information_Concatenate("")</f>
        <v xml:space="preserve">
市值94.654564亿, 利润5.55亿; PE; 平均PE-371.82; 平均PEG-11.48, PB18.48; ROIC4.16%; ROE-.2267%; 股利率0%; 毛利17.1533%; 净利-.8933%; 上一年度营收增150.81%, 利润增1780.55%; 当季营收增-60.48%, 利润增-97.58%; 过往5年营收增32.38%, 利润增398.96%
Income profile:
</v>
      </c>
      <c r="D80" t="s">
        <v>963</v>
      </c>
      <c r="E80" t="s">
        <v>964</v>
      </c>
      <c r="F80">
        <v>5.14</v>
      </c>
      <c r="G80">
        <v>4.26</v>
      </c>
      <c r="H80" t="s">
        <v>3774</v>
      </c>
      <c r="I80">
        <v>9465456400</v>
      </c>
      <c r="K80">
        <v>18.48</v>
      </c>
      <c r="L80" t="s">
        <v>2891</v>
      </c>
      <c r="M80" t="s">
        <v>2300</v>
      </c>
      <c r="N80" t="s">
        <v>153</v>
      </c>
      <c r="O80" t="s">
        <v>400</v>
      </c>
      <c r="P80">
        <v>15.14</v>
      </c>
      <c r="Q80" t="s">
        <v>3775</v>
      </c>
      <c r="R80">
        <v>2096290</v>
      </c>
      <c r="S80" s="6">
        <v>-0.62880000000000003</v>
      </c>
      <c r="T80" t="s">
        <v>620</v>
      </c>
      <c r="U80">
        <v>1841528500</v>
      </c>
      <c r="V80">
        <v>1841528500</v>
      </c>
      <c r="W80">
        <v>10.87</v>
      </c>
      <c r="X80">
        <v>0.1</v>
      </c>
      <c r="Y80">
        <v>1.1299999999999999</v>
      </c>
      <c r="Z80" t="s">
        <v>400</v>
      </c>
      <c r="AA80" t="s">
        <v>605</v>
      </c>
      <c r="AB80" t="s">
        <v>3776</v>
      </c>
      <c r="AC80" t="s">
        <v>3777</v>
      </c>
      <c r="AD80" t="s">
        <v>2</v>
      </c>
      <c r="AE80">
        <v>16859054</v>
      </c>
      <c r="AF80" t="s">
        <v>2610</v>
      </c>
      <c r="AG80" t="s">
        <v>3778</v>
      </c>
      <c r="AH80" t="s">
        <v>2611</v>
      </c>
      <c r="AI80" t="s">
        <v>1473</v>
      </c>
      <c r="AJ80" t="s">
        <v>2612</v>
      </c>
      <c r="AK80" t="s">
        <v>3779</v>
      </c>
      <c r="AL80" t="s">
        <v>2613</v>
      </c>
      <c r="AM80" t="s">
        <v>2</v>
      </c>
      <c r="AN80" t="s">
        <v>3780</v>
      </c>
      <c r="AO80" t="s">
        <v>258</v>
      </c>
      <c r="AP80" t="s">
        <v>391</v>
      </c>
      <c r="AQ80" t="s">
        <v>1289</v>
      </c>
      <c r="AR80" t="s">
        <v>3781</v>
      </c>
      <c r="AS80" t="s">
        <v>3782</v>
      </c>
      <c r="AT80" t="s">
        <v>590</v>
      </c>
      <c r="AU80" t="s">
        <v>646</v>
      </c>
      <c r="AV80" t="s">
        <v>3783</v>
      </c>
      <c r="AW80" t="s">
        <v>131</v>
      </c>
      <c r="AX80" t="s">
        <v>1663</v>
      </c>
      <c r="AY80" t="s">
        <v>1357</v>
      </c>
      <c r="AZ80" t="s">
        <v>965</v>
      </c>
      <c r="BA80" t="s">
        <v>967</v>
      </c>
      <c r="BB80" t="s">
        <v>968</v>
      </c>
      <c r="BC80" t="s">
        <v>1936</v>
      </c>
      <c r="BD80" t="s">
        <v>1358</v>
      </c>
      <c r="BE80" t="s">
        <v>966</v>
      </c>
      <c r="BF80" t="s">
        <v>970</v>
      </c>
      <c r="BG80" t="s">
        <v>971</v>
      </c>
      <c r="BH80" t="s">
        <v>2609</v>
      </c>
      <c r="BI80" t="s">
        <v>596</v>
      </c>
      <c r="BJ80" t="s">
        <v>1663</v>
      </c>
      <c r="BK80" t="s">
        <v>2376</v>
      </c>
      <c r="BL80" t="s">
        <v>3784</v>
      </c>
      <c r="BM80" t="s">
        <v>1936</v>
      </c>
      <c r="BN80" t="s">
        <v>2</v>
      </c>
      <c r="BO80">
        <v>3.81</v>
      </c>
      <c r="BP80">
        <v>4.51</v>
      </c>
      <c r="BQ80">
        <v>-10.46</v>
      </c>
      <c r="BR80">
        <v>4.05</v>
      </c>
      <c r="BS80">
        <v>5.73</v>
      </c>
      <c r="BT80" t="s">
        <v>1521</v>
      </c>
      <c r="BU80" t="s">
        <v>1445</v>
      </c>
      <c r="BV80">
        <v>13.77</v>
      </c>
      <c r="BW80">
        <v>20.010000000000002</v>
      </c>
      <c r="BX80">
        <v>17.68</v>
      </c>
      <c r="BY80">
        <v>-5.45</v>
      </c>
      <c r="BZ80">
        <v>1.39</v>
      </c>
      <c r="CA80">
        <v>1.38</v>
      </c>
      <c r="CB80">
        <v>-1.34</v>
      </c>
      <c r="CC80">
        <v>24.15</v>
      </c>
      <c r="CD80" t="s">
        <v>166</v>
      </c>
      <c r="CE80" t="s">
        <v>1993</v>
      </c>
      <c r="CF80" s="10">
        <v>-0.60482921083627794</v>
      </c>
      <c r="CG80" s="11">
        <v>-0.97583474450737251</v>
      </c>
      <c r="CH80" s="10">
        <v>1.5081253051757813</v>
      </c>
      <c r="CI80" s="10">
        <v>-0.1676328182220459</v>
      </c>
      <c r="CJ80" s="10">
        <v>1.346390787512064E-2</v>
      </c>
      <c r="CK80" s="10">
        <v>0.16117106378078461</v>
      </c>
      <c r="CL80" s="10">
        <v>0.10385944694280624</v>
      </c>
      <c r="CM80" s="11">
        <v>17.805526733398438</v>
      </c>
      <c r="CN80" s="11">
        <v>-0.32013499736785889</v>
      </c>
      <c r="CO80" s="11">
        <v>1.0547611713409424</v>
      </c>
      <c r="CP80" s="11">
        <v>0.38918441534042358</v>
      </c>
      <c r="CQ80" s="11">
        <v>1.0186140537261963</v>
      </c>
      <c r="CR80">
        <v>-371.81673638030713</v>
      </c>
      <c r="CS80">
        <v>-11.483006289461994</v>
      </c>
      <c r="CT80">
        <v>0</v>
      </c>
      <c r="CU80" s="10">
        <v>0.32379738111048939</v>
      </c>
      <c r="CV80" s="11">
        <v>3.989590275287628</v>
      </c>
      <c r="CW80">
        <v>0.06</v>
      </c>
      <c r="CX80">
        <v>20.985470827279006</v>
      </c>
      <c r="CY80">
        <v>693120326.90219021</v>
      </c>
      <c r="CZ80">
        <v>0.32379738111048939</v>
      </c>
      <c r="DA80">
        <v>5.6573549341547595</v>
      </c>
      <c r="DB80">
        <v>2571070150.1483879</v>
      </c>
      <c r="DC80">
        <v>0.30760751205496489</v>
      </c>
      <c r="DD80">
        <v>2.1113882287458363</v>
      </c>
      <c r="DE80">
        <v>6889048731.9994173</v>
      </c>
      <c r="DF80">
        <v>0.28494169537723069</v>
      </c>
      <c r="DG80">
        <v>0.90285713423327829</v>
      </c>
      <c r="DH80">
        <v>16110474014.642693</v>
      </c>
      <c r="DI80">
        <v>0.25903790488839151</v>
      </c>
      <c r="DJ80">
        <v>0.20288496260496242</v>
      </c>
      <c r="DK80">
        <v>71693122118.278809</v>
      </c>
      <c r="DL80">
        <v>0.22665816677734255</v>
      </c>
      <c r="DM80">
        <v>555000000</v>
      </c>
      <c r="DN80">
        <v>0.32379738111048939</v>
      </c>
      <c r="DO80">
        <v>14545456400</v>
      </c>
      <c r="DP80">
        <v>-62931500</v>
      </c>
      <c r="DQ80">
        <v>3263</v>
      </c>
      <c r="DR80">
        <v>-0.92862659194676733</v>
      </c>
      <c r="DS80">
        <v>-4.9654250197950009</v>
      </c>
      <c r="DT80" s="12">
        <v>-0.14000000000000004</v>
      </c>
      <c r="DU80">
        <v>0.29333333333333339</v>
      </c>
      <c r="DV80">
        <v>0.15333333333333335</v>
      </c>
      <c r="DW80">
        <v>3.0921726190476191</v>
      </c>
      <c r="DX80">
        <v>0.35771812080537019</v>
      </c>
      <c r="DY80">
        <v>3.0145372922658997</v>
      </c>
      <c r="DZ80">
        <v>945</v>
      </c>
      <c r="EA80">
        <v>3.0118488889016581</v>
      </c>
      <c r="EB80">
        <v>3</v>
      </c>
      <c r="EC80">
        <v>0.12761138369566369</v>
      </c>
      <c r="ED80">
        <v>0.809110475346974</v>
      </c>
      <c r="EE80" s="13">
        <v>3.0999999999999999E-3</v>
      </c>
      <c r="EF80">
        <v>2.3110000000000002E-2</v>
      </c>
      <c r="EG80">
        <v>20.15771812080537</v>
      </c>
      <c r="EH80">
        <v>-1</v>
      </c>
      <c r="EI80">
        <v>0</v>
      </c>
      <c r="EJ80">
        <v>1</v>
      </c>
      <c r="EK80" s="14">
        <v>45470</v>
      </c>
      <c r="EL80">
        <v>-0.94</v>
      </c>
      <c r="EM80">
        <v>-2.58</v>
      </c>
      <c r="EN80">
        <v>0.4</v>
      </c>
      <c r="EO80">
        <v>0.46</v>
      </c>
      <c r="EP80">
        <v>-2.62</v>
      </c>
    </row>
    <row r="81" spans="1:146" ht="96" x14ac:dyDescent="0.25">
      <c r="A81" s="9"/>
      <c r="B81" s="9"/>
      <c r="C81" s="9" t="str">
        <f>""&amp;CHAR(10)&amp;Basic_Fundamental_Information_Constructure(F81)&amp;CHAR(10)&amp;Basic_Fundamental_Information_Concatenate("")</f>
        <v xml:space="preserve">
市值79.235184亿, 利润8.78亿; PE18.23; 平均PE15.33; 平均PEG.57, PB1.5; ROIC7.45%; ROE9.1433%; 股利率3.4121%; 毛利6.4667%; 净利2.7733%; 上一年度营收增87.42%, 利润增130.45%; 当季营收增-47.18%, 利润增-73.26%; 过往5年营收增26.99%, 利润增25.35%
Income profile:
</v>
      </c>
      <c r="D81" t="s">
        <v>1116</v>
      </c>
      <c r="E81" t="s">
        <v>2614</v>
      </c>
      <c r="F81">
        <v>3.81</v>
      </c>
      <c r="G81">
        <v>0.53</v>
      </c>
      <c r="H81" t="s">
        <v>3785</v>
      </c>
      <c r="I81">
        <v>7923518400</v>
      </c>
      <c r="J81">
        <v>18.23</v>
      </c>
      <c r="K81">
        <v>1.5</v>
      </c>
      <c r="L81" t="s">
        <v>2891</v>
      </c>
      <c r="M81" t="s">
        <v>2615</v>
      </c>
      <c r="N81" t="s">
        <v>2232</v>
      </c>
      <c r="O81" t="s">
        <v>2616</v>
      </c>
      <c r="P81">
        <v>13.68</v>
      </c>
      <c r="Q81" t="s">
        <v>3786</v>
      </c>
      <c r="R81">
        <v>109110954</v>
      </c>
      <c r="S81" s="6">
        <v>0.08</v>
      </c>
      <c r="T81" t="s">
        <v>3787</v>
      </c>
      <c r="U81">
        <v>2079663600</v>
      </c>
      <c r="V81">
        <v>2079663600</v>
      </c>
      <c r="W81">
        <v>2.11</v>
      </c>
      <c r="X81">
        <v>0.4</v>
      </c>
      <c r="Y81">
        <v>2.48</v>
      </c>
      <c r="Z81" t="s">
        <v>2880</v>
      </c>
      <c r="AA81" t="s">
        <v>3788</v>
      </c>
      <c r="AB81" t="s">
        <v>3789</v>
      </c>
      <c r="AC81" t="s">
        <v>3790</v>
      </c>
      <c r="AD81" t="s">
        <v>2</v>
      </c>
      <c r="AE81">
        <v>35314012</v>
      </c>
      <c r="AF81" t="s">
        <v>2618</v>
      </c>
      <c r="AG81" t="s">
        <v>3791</v>
      </c>
      <c r="AH81" t="s">
        <v>2619</v>
      </c>
      <c r="AI81" t="s">
        <v>3792</v>
      </c>
      <c r="AJ81" t="s">
        <v>2620</v>
      </c>
      <c r="AK81" t="s">
        <v>3793</v>
      </c>
      <c r="AL81" t="s">
        <v>2621</v>
      </c>
      <c r="AM81" t="s">
        <v>2</v>
      </c>
      <c r="AN81" t="s">
        <v>3794</v>
      </c>
      <c r="AO81" t="s">
        <v>2370</v>
      </c>
      <c r="AP81" t="s">
        <v>976</v>
      </c>
      <c r="AQ81" t="s">
        <v>3118</v>
      </c>
      <c r="AR81" t="s">
        <v>2</v>
      </c>
      <c r="AS81" t="s">
        <v>3795</v>
      </c>
      <c r="AT81" t="s">
        <v>3796</v>
      </c>
      <c r="AU81" t="s">
        <v>3797</v>
      </c>
      <c r="AV81" t="s">
        <v>1815</v>
      </c>
      <c r="AW81" t="s">
        <v>515</v>
      </c>
      <c r="AX81" t="s">
        <v>1664</v>
      </c>
      <c r="AY81" t="s">
        <v>1359</v>
      </c>
      <c r="AZ81" t="s">
        <v>1117</v>
      </c>
      <c r="BA81" t="s">
        <v>1118</v>
      </c>
      <c r="BB81" t="s">
        <v>1119</v>
      </c>
      <c r="BC81" t="s">
        <v>142</v>
      </c>
      <c r="BD81" t="s">
        <v>355</v>
      </c>
      <c r="BE81" t="s">
        <v>534</v>
      </c>
      <c r="BF81" t="s">
        <v>374</v>
      </c>
      <c r="BG81" t="s">
        <v>179</v>
      </c>
      <c r="BH81" t="s">
        <v>2617</v>
      </c>
      <c r="BI81" t="s">
        <v>3798</v>
      </c>
      <c r="BJ81" t="s">
        <v>1664</v>
      </c>
      <c r="BK81" t="s">
        <v>120</v>
      </c>
      <c r="BL81" t="s">
        <v>532</v>
      </c>
      <c r="BM81" t="s">
        <v>142</v>
      </c>
      <c r="BN81">
        <v>4.5999999999999996</v>
      </c>
      <c r="BO81">
        <v>6.56</v>
      </c>
      <c r="BP81">
        <v>11.19</v>
      </c>
      <c r="BQ81">
        <v>6.06</v>
      </c>
      <c r="BR81">
        <v>8.1199999999999992</v>
      </c>
      <c r="BS81">
        <v>13.25</v>
      </c>
      <c r="BT81" t="s">
        <v>1643</v>
      </c>
      <c r="BU81" t="s">
        <v>1274</v>
      </c>
      <c r="BV81">
        <v>6.08</v>
      </c>
      <c r="BW81">
        <v>5.74</v>
      </c>
      <c r="BX81">
        <v>7.58</v>
      </c>
      <c r="BY81">
        <v>2.4500000000000002</v>
      </c>
      <c r="BZ81">
        <v>2.36</v>
      </c>
      <c r="CA81">
        <v>3.51</v>
      </c>
      <c r="CB81">
        <v>-4.03</v>
      </c>
      <c r="CC81">
        <v>-12.81</v>
      </c>
      <c r="CD81" t="s">
        <v>169</v>
      </c>
      <c r="CE81" t="s">
        <v>1194</v>
      </c>
      <c r="CF81" s="10">
        <v>-0.47184330185379503</v>
      </c>
      <c r="CG81" s="11">
        <v>-0.73257119117647063</v>
      </c>
      <c r="CH81" s="10">
        <v>0.87424463033676147</v>
      </c>
      <c r="CI81" s="10">
        <v>-4.2989566922187805E-2</v>
      </c>
      <c r="CJ81" s="10">
        <v>0.47264400124549866</v>
      </c>
      <c r="CK81" s="10">
        <v>3.7509366869926453E-2</v>
      </c>
      <c r="CL81" s="10">
        <v>8.3206668496131897E-3</v>
      </c>
      <c r="CM81" s="11">
        <v>1.3044619560241699</v>
      </c>
      <c r="CN81" s="11">
        <v>-0.30601093173027039</v>
      </c>
      <c r="CO81" s="11">
        <v>0.310262531042099</v>
      </c>
      <c r="CP81" s="11">
        <v>-4.337899386882782E-2</v>
      </c>
      <c r="CQ81" s="11">
        <v>2.2883294150233269E-3</v>
      </c>
      <c r="CR81">
        <v>15.325954352030948</v>
      </c>
      <c r="CS81">
        <v>0.56774186651344294</v>
      </c>
      <c r="CT81">
        <v>3.4120734908136483</v>
      </c>
      <c r="CU81" s="10">
        <v>0.2699458196759224</v>
      </c>
      <c r="CV81" s="11">
        <v>0.25352457817643881</v>
      </c>
      <c r="CW81">
        <v>0.06</v>
      </c>
      <c r="CX81">
        <v>7.9413729105937385</v>
      </c>
      <c r="CY81">
        <v>1051898518.5617542</v>
      </c>
      <c r="CZ81">
        <v>0.2699458196759224</v>
      </c>
      <c r="DA81">
        <v>2.235637212164435</v>
      </c>
      <c r="DB81">
        <v>3736526818.6391163</v>
      </c>
      <c r="DC81">
        <v>0.25644852869212625</v>
      </c>
      <c r="DD81">
        <v>0.89072277933469002</v>
      </c>
      <c r="DE81">
        <v>9378359455.7214718</v>
      </c>
      <c r="DF81">
        <v>0.23755232131481172</v>
      </c>
      <c r="DG81">
        <v>0.41426152149431339</v>
      </c>
      <c r="DH81">
        <v>20164842657.525627</v>
      </c>
      <c r="DI81">
        <v>0.21595665574073794</v>
      </c>
      <c r="DJ81">
        <v>0.11547584225743568</v>
      </c>
      <c r="DK81">
        <v>72339965110.426407</v>
      </c>
      <c r="DL81">
        <v>0.18896207377314567</v>
      </c>
      <c r="DM81">
        <v>877999999.99999988</v>
      </c>
      <c r="DN81">
        <v>0.2699458196759224</v>
      </c>
      <c r="DO81">
        <v>8353518400</v>
      </c>
      <c r="DP81">
        <v>3406562200</v>
      </c>
      <c r="DQ81">
        <v>3285</v>
      </c>
      <c r="DR81">
        <v>-0.74178912152971743</v>
      </c>
      <c r="DS81">
        <v>-0.98609576935290943</v>
      </c>
      <c r="DT81" s="12">
        <v>2.6666666666666616E-2</v>
      </c>
      <c r="DU81">
        <v>-0.12333333333333336</v>
      </c>
      <c r="DV81">
        <v>-9.6666666666666748E-2</v>
      </c>
      <c r="DW81">
        <v>-8.3145979703356758</v>
      </c>
      <c r="DX81">
        <v>0.3209902067464645</v>
      </c>
      <c r="DY81">
        <v>-8.0349172937695741</v>
      </c>
      <c r="DZ81">
        <v>3078</v>
      </c>
      <c r="EA81">
        <v>-8.013884919949076</v>
      </c>
      <c r="EB81">
        <v>8</v>
      </c>
      <c r="EC81">
        <v>4.904639384946681E-2</v>
      </c>
      <c r="ED81">
        <v>0.44189839164372546</v>
      </c>
      <c r="EE81" s="13">
        <v>-2.0286</v>
      </c>
      <c r="EF81">
        <v>-2.0329999999999999</v>
      </c>
      <c r="EG81">
        <v>21.110990206746465</v>
      </c>
      <c r="EH81" t="s">
        <v>1553</v>
      </c>
      <c r="EI81">
        <v>0</v>
      </c>
      <c r="EJ81">
        <v>0</v>
      </c>
      <c r="EK81" s="14">
        <v>45470</v>
      </c>
      <c r="EL81">
        <v>-0.89</v>
      </c>
      <c r="EM81">
        <v>-5.16</v>
      </c>
      <c r="EN81">
        <v>0.95</v>
      </c>
      <c r="EO81">
        <v>5.62</v>
      </c>
      <c r="EP81">
        <v>0.44</v>
      </c>
    </row>
    <row r="82" spans="1:146" ht="96" x14ac:dyDescent="0.25">
      <c r="A82" s="9"/>
      <c r="B82" s="9"/>
      <c r="C82" s="9" t="str">
        <f>""&amp;CHAR(10)&amp;Basic_Fundamental_Information_Constructure(F82)&amp;CHAR(10)&amp;Basic_Fundamental_Information_Concatenate("")</f>
        <v xml:space="preserve">
市值77.233476亿, 利润5.89亿; PE34.46; 平均PE266.48; 平均PEG4.57, PB1.64; ROIC6.6%; ROE12.5267%; 股利率2.0115%; 毛利12.83%; 净利2.1933%; 上一年度营收增268.92%, 利润增6.7%; 当季营收增-73.19%, 利润增-82.84%; 过往5年营收增58.32%, 利润增-758.76%
Income profile:
</v>
      </c>
      <c r="D82" t="s">
        <v>1120</v>
      </c>
      <c r="E82" t="s">
        <v>1121</v>
      </c>
      <c r="F82">
        <v>3.48</v>
      </c>
      <c r="G82">
        <v>0.57999999999999996</v>
      </c>
      <c r="H82" t="s">
        <v>3799</v>
      </c>
      <c r="I82">
        <v>7723347600</v>
      </c>
      <c r="J82">
        <v>34.46</v>
      </c>
      <c r="K82">
        <v>1.64</v>
      </c>
      <c r="L82" t="s">
        <v>2891</v>
      </c>
      <c r="M82" t="s">
        <v>2622</v>
      </c>
      <c r="N82" t="s">
        <v>3800</v>
      </c>
      <c r="O82" t="s">
        <v>2623</v>
      </c>
      <c r="P82">
        <v>11.62</v>
      </c>
      <c r="Q82" t="s">
        <v>3801</v>
      </c>
      <c r="R82">
        <v>24876988</v>
      </c>
      <c r="S82" s="6">
        <v>-0.79339999999999999</v>
      </c>
      <c r="T82" t="s">
        <v>1837</v>
      </c>
      <c r="U82">
        <v>2219352700</v>
      </c>
      <c r="V82">
        <v>2219352700</v>
      </c>
      <c r="W82">
        <v>4.38</v>
      </c>
      <c r="X82">
        <v>0.23</v>
      </c>
      <c r="Y82">
        <v>0.32</v>
      </c>
      <c r="Z82" t="s">
        <v>1211</v>
      </c>
      <c r="AA82" t="s">
        <v>3802</v>
      </c>
      <c r="AB82" t="s">
        <v>69</v>
      </c>
      <c r="AC82" t="s">
        <v>59</v>
      </c>
      <c r="AD82" t="s">
        <v>2</v>
      </c>
      <c r="AE82">
        <v>73569071</v>
      </c>
      <c r="AF82" t="s">
        <v>2625</v>
      </c>
      <c r="AG82" t="s">
        <v>3803</v>
      </c>
      <c r="AH82" t="s">
        <v>2626</v>
      </c>
      <c r="AI82" t="s">
        <v>3804</v>
      </c>
      <c r="AJ82" t="s">
        <v>2627</v>
      </c>
      <c r="AK82" t="s">
        <v>3805</v>
      </c>
      <c r="AL82" t="s">
        <v>2628</v>
      </c>
      <c r="AM82" t="s">
        <v>2</v>
      </c>
      <c r="AN82" t="s">
        <v>1029</v>
      </c>
      <c r="AO82" t="s">
        <v>3806</v>
      </c>
      <c r="AP82" t="s">
        <v>161</v>
      </c>
      <c r="AQ82" t="s">
        <v>3807</v>
      </c>
      <c r="AR82" t="s">
        <v>2</v>
      </c>
      <c r="AS82" t="s">
        <v>3808</v>
      </c>
      <c r="AT82" t="s">
        <v>375</v>
      </c>
      <c r="AU82" t="s">
        <v>2234</v>
      </c>
      <c r="AV82" t="s">
        <v>1856</v>
      </c>
      <c r="AW82" t="s">
        <v>1186</v>
      </c>
      <c r="AX82" t="s">
        <v>1666</v>
      </c>
      <c r="AY82" t="s">
        <v>1360</v>
      </c>
      <c r="AZ82" t="s">
        <v>1122</v>
      </c>
      <c r="BA82" t="s">
        <v>1124</v>
      </c>
      <c r="BB82" t="s">
        <v>1125</v>
      </c>
      <c r="BC82" t="s">
        <v>619</v>
      </c>
      <c r="BD82" t="s">
        <v>513</v>
      </c>
      <c r="BE82" t="s">
        <v>1123</v>
      </c>
      <c r="BF82" t="s">
        <v>1126</v>
      </c>
      <c r="BG82" t="s">
        <v>381</v>
      </c>
      <c r="BH82" t="s">
        <v>2624</v>
      </c>
      <c r="BI82" t="s">
        <v>3809</v>
      </c>
      <c r="BJ82" t="s">
        <v>1666</v>
      </c>
      <c r="BK82" t="s">
        <v>508</v>
      </c>
      <c r="BL82" t="s">
        <v>216</v>
      </c>
      <c r="BM82" t="s">
        <v>619</v>
      </c>
      <c r="BN82">
        <v>5.07</v>
      </c>
      <c r="BO82">
        <v>6.88</v>
      </c>
      <c r="BP82">
        <v>7.85</v>
      </c>
      <c r="BQ82">
        <v>8.49</v>
      </c>
      <c r="BR82">
        <v>13.75</v>
      </c>
      <c r="BS82">
        <v>15.34</v>
      </c>
      <c r="BT82" t="s">
        <v>1531</v>
      </c>
      <c r="BU82" t="s">
        <v>1274</v>
      </c>
      <c r="BV82">
        <v>11.73</v>
      </c>
      <c r="BW82">
        <v>12.92</v>
      </c>
      <c r="BX82">
        <v>13.84</v>
      </c>
      <c r="BY82">
        <v>1.23</v>
      </c>
      <c r="BZ82">
        <v>2.67</v>
      </c>
      <c r="CA82">
        <v>2.68</v>
      </c>
      <c r="CB82">
        <v>-0.28999999999999998</v>
      </c>
      <c r="CC82">
        <v>-15.94</v>
      </c>
      <c r="CD82" t="s">
        <v>3810</v>
      </c>
      <c r="CE82" t="s">
        <v>289</v>
      </c>
      <c r="CF82" s="10">
        <v>-0.73185820978709171</v>
      </c>
      <c r="CG82" s="11">
        <v>-0.82843456551724137</v>
      </c>
      <c r="CH82" s="10">
        <v>2.6891605854034424</v>
      </c>
      <c r="CI82" s="10">
        <v>3.8761965930461884E-2</v>
      </c>
      <c r="CJ82" s="10">
        <v>5.3877994418144226E-2</v>
      </c>
      <c r="CK82" s="10">
        <v>0.15441562235355377</v>
      </c>
      <c r="CL82" s="10">
        <v>-2.0385975018143654E-2</v>
      </c>
      <c r="CM82" s="11">
        <v>6.7028984427452087E-2</v>
      </c>
      <c r="CN82" s="11">
        <v>3.954802080988884E-2</v>
      </c>
      <c r="CO82" s="11">
        <v>1.3140153884887695</v>
      </c>
      <c r="CP82" s="11">
        <v>-38.662059783935547</v>
      </c>
      <c r="CQ82" s="11">
        <v>-0.69662636518478394</v>
      </c>
      <c r="CR82">
        <v>266.47655050940398</v>
      </c>
      <c r="CS82">
        <v>4.5694799227530183</v>
      </c>
      <c r="CT82">
        <v>2.0114942528735633</v>
      </c>
      <c r="CU82" s="10">
        <v>0.58316603861749172</v>
      </c>
      <c r="CV82" s="11">
        <v>-7.5876187510788444</v>
      </c>
      <c r="CW82">
        <v>0.06</v>
      </c>
      <c r="CX82">
        <v>20.767639883871649</v>
      </c>
      <c r="CY82">
        <v>879702638.43934202</v>
      </c>
      <c r="CZ82">
        <v>0.58316603861749172</v>
      </c>
      <c r="DA82">
        <v>4.5841348458283075</v>
      </c>
      <c r="DB82">
        <v>3985342537.7801929</v>
      </c>
      <c r="DC82">
        <v>0.55400773668661707</v>
      </c>
      <c r="DD82">
        <v>1.2447574336148268</v>
      </c>
      <c r="DE82">
        <v>14677034341.498217</v>
      </c>
      <c r="DF82">
        <v>0.51318611398339276</v>
      </c>
      <c r="DG82">
        <v>0.34817011731779229</v>
      </c>
      <c r="DH82">
        <v>52472474492.475334</v>
      </c>
      <c r="DI82">
        <v>0.46653283089399339</v>
      </c>
      <c r="DJ82">
        <v>2.6242258840761694E-2</v>
      </c>
      <c r="DK82">
        <v>696180451189.76208</v>
      </c>
      <c r="DL82">
        <v>0.40821622703224419</v>
      </c>
      <c r="DM82">
        <v>589000000</v>
      </c>
      <c r="DN82">
        <v>0.58316603861749172</v>
      </c>
      <c r="DO82">
        <v>18269347600</v>
      </c>
      <c r="DP82">
        <v>110275000</v>
      </c>
      <c r="DQ82">
        <v>3534</v>
      </c>
      <c r="DR82">
        <v>-1.3150242484045833</v>
      </c>
      <c r="DS82">
        <v>6.7591841855616028</v>
      </c>
      <c r="DT82" s="12">
        <v>-2.3333333333333355E-2</v>
      </c>
      <c r="DU82">
        <v>-1.0233333333333332</v>
      </c>
      <c r="DV82">
        <v>-1.0466666666666666</v>
      </c>
      <c r="DW82">
        <v>-2.1593999999999998</v>
      </c>
      <c r="DX82">
        <v>0.27996900175131173</v>
      </c>
      <c r="DY82">
        <v>-2.0159350588791596</v>
      </c>
      <c r="DZ82">
        <v>4228</v>
      </c>
      <c r="EA82">
        <v>-2.0027504348202383</v>
      </c>
      <c r="EB82">
        <v>2</v>
      </c>
      <c r="EC82">
        <v>2.5720247169366092E-2</v>
      </c>
      <c r="ED82">
        <v>0.25728222467749268</v>
      </c>
      <c r="EE82" s="13">
        <v>-2.0039099999999999</v>
      </c>
      <c r="EF82">
        <v>-2.02841</v>
      </c>
      <c r="EG82">
        <v>18.099969001751312</v>
      </c>
      <c r="EH82" t="s">
        <v>1555</v>
      </c>
      <c r="EI82">
        <v>0</v>
      </c>
      <c r="EJ82">
        <v>0</v>
      </c>
      <c r="EK82" s="14">
        <v>45470</v>
      </c>
      <c r="EL82">
        <v>-1.8</v>
      </c>
      <c r="EM82">
        <v>-0.61</v>
      </c>
      <c r="EN82">
        <v>-1.84</v>
      </c>
      <c r="EO82">
        <v>1.88</v>
      </c>
      <c r="EP82">
        <v>-2.4500000000000002</v>
      </c>
    </row>
    <row r="83" spans="1:146" ht="96" x14ac:dyDescent="0.25">
      <c r="A83" s="9"/>
      <c r="B83" s="9"/>
      <c r="C83" s="9" t="str">
        <f>""&amp;CHAR(10)&amp;Basic_Fundamental_Information_Constructure(F83)&amp;CHAR(10)&amp;Basic_Fundamental_Information_Concatenate("")</f>
        <v xml:space="preserve">
市值276.72616亿, 利润67.05亿; PE19.51; 平均PE14.75; 平均PEG.17, PB3.31; ROIC14.1533%; ROE16.5433%; 股利率1.6541%; 毛利35.1767%; 净利14.5767%; 上一年度营收增386.97%, 利润增436.4%; 当季营收增-73.95%, 利润增-77.94%; 过往5年营收增88.94%, 利润增100.13%
Income profile:
</v>
      </c>
      <c r="D83" t="s">
        <v>972</v>
      </c>
      <c r="E83" t="s">
        <v>973</v>
      </c>
      <c r="F83">
        <v>26.54</v>
      </c>
      <c r="G83">
        <v>1.07</v>
      </c>
      <c r="H83" t="s">
        <v>3811</v>
      </c>
      <c r="I83">
        <v>27672616000</v>
      </c>
      <c r="J83">
        <v>19.510000000000002</v>
      </c>
      <c r="K83">
        <v>3.31</v>
      </c>
      <c r="L83" t="s">
        <v>2891</v>
      </c>
      <c r="M83" t="s">
        <v>2630</v>
      </c>
      <c r="N83" t="s">
        <v>3812</v>
      </c>
      <c r="O83" t="s">
        <v>2631</v>
      </c>
      <c r="P83">
        <v>5.79</v>
      </c>
      <c r="Q83" t="s">
        <v>3813</v>
      </c>
      <c r="R83">
        <v>356020970</v>
      </c>
      <c r="S83" s="6">
        <v>7.7600000000000002E-2</v>
      </c>
      <c r="T83" t="s">
        <v>3814</v>
      </c>
      <c r="U83">
        <v>1042675830</v>
      </c>
      <c r="V83">
        <v>1042675830</v>
      </c>
      <c r="W83">
        <v>1.57</v>
      </c>
      <c r="X83">
        <v>0.19</v>
      </c>
      <c r="Y83">
        <v>13.66</v>
      </c>
      <c r="Z83" t="s">
        <v>1937</v>
      </c>
      <c r="AA83" t="s">
        <v>3815</v>
      </c>
      <c r="AB83" t="s">
        <v>109</v>
      </c>
      <c r="AC83" t="s">
        <v>21</v>
      </c>
      <c r="AD83" t="s">
        <v>2</v>
      </c>
      <c r="AE83">
        <v>28897756</v>
      </c>
      <c r="AF83" t="s">
        <v>2633</v>
      </c>
      <c r="AG83" t="s">
        <v>3816</v>
      </c>
      <c r="AH83" t="s">
        <v>2634</v>
      </c>
      <c r="AI83" t="s">
        <v>1369</v>
      </c>
      <c r="AJ83" t="s">
        <v>2635</v>
      </c>
      <c r="AK83" t="s">
        <v>1912</v>
      </c>
      <c r="AL83" t="s">
        <v>2636</v>
      </c>
      <c r="AM83" t="s">
        <v>2</v>
      </c>
      <c r="AN83" t="s">
        <v>111</v>
      </c>
      <c r="AO83" t="s">
        <v>373</v>
      </c>
      <c r="AP83" t="s">
        <v>262</v>
      </c>
      <c r="AQ83" t="s">
        <v>335</v>
      </c>
      <c r="AR83" t="s">
        <v>3817</v>
      </c>
      <c r="AS83" t="s">
        <v>2505</v>
      </c>
      <c r="AT83" t="s">
        <v>58</v>
      </c>
      <c r="AU83" t="s">
        <v>3818</v>
      </c>
      <c r="AV83" t="s">
        <v>637</v>
      </c>
      <c r="AW83" t="s">
        <v>435</v>
      </c>
      <c r="AX83" t="s">
        <v>2638</v>
      </c>
      <c r="AY83" t="s">
        <v>1361</v>
      </c>
      <c r="AZ83" t="s">
        <v>974</v>
      </c>
      <c r="BA83" t="s">
        <v>977</v>
      </c>
      <c r="BB83" t="s">
        <v>978</v>
      </c>
      <c r="BC83" t="s">
        <v>479</v>
      </c>
      <c r="BD83" t="s">
        <v>529</v>
      </c>
      <c r="BE83" t="s">
        <v>402</v>
      </c>
      <c r="BF83" t="s">
        <v>554</v>
      </c>
      <c r="BG83" t="s">
        <v>32</v>
      </c>
      <c r="BH83" t="s">
        <v>2632</v>
      </c>
      <c r="BI83" t="s">
        <v>3819</v>
      </c>
      <c r="BJ83" t="s">
        <v>2638</v>
      </c>
      <c r="BK83" t="s">
        <v>2388</v>
      </c>
      <c r="BL83" t="s">
        <v>1885</v>
      </c>
      <c r="BM83" t="s">
        <v>479</v>
      </c>
      <c r="BN83">
        <v>11.23</v>
      </c>
      <c r="BO83">
        <v>15.48</v>
      </c>
      <c r="BP83">
        <v>15.75</v>
      </c>
      <c r="BQ83">
        <v>13.58</v>
      </c>
      <c r="BR83">
        <v>17.86</v>
      </c>
      <c r="BS83">
        <v>18.190000000000001</v>
      </c>
      <c r="BT83" t="s">
        <v>2639</v>
      </c>
      <c r="BU83" t="s">
        <v>1445</v>
      </c>
      <c r="BV83">
        <v>36.89</v>
      </c>
      <c r="BW83">
        <v>34.06</v>
      </c>
      <c r="BX83">
        <v>34.58</v>
      </c>
      <c r="BY83">
        <v>14.84</v>
      </c>
      <c r="BZ83">
        <v>14.4</v>
      </c>
      <c r="CA83">
        <v>14.49</v>
      </c>
      <c r="CB83">
        <v>-4.12</v>
      </c>
      <c r="CC83">
        <v>-5.99</v>
      </c>
      <c r="CD83" t="s">
        <v>3820</v>
      </c>
      <c r="CE83" t="s">
        <v>520</v>
      </c>
      <c r="CF83" s="10">
        <v>-0.73951418225709109</v>
      </c>
      <c r="CG83" s="11">
        <v>-0.77941699504337048</v>
      </c>
      <c r="CH83" s="10">
        <v>3.869654655456543</v>
      </c>
      <c r="CI83" s="10">
        <v>0.16192756593227386</v>
      </c>
      <c r="CJ83" s="10">
        <v>0.28187751770019531</v>
      </c>
      <c r="CK83" s="10">
        <v>0.10422255098819733</v>
      </c>
      <c r="CL83" s="10">
        <v>2.921510674059391E-2</v>
      </c>
      <c r="CM83" s="11">
        <v>4.3639998435974121</v>
      </c>
      <c r="CN83" s="11">
        <v>0.17591720819473267</v>
      </c>
      <c r="CO83" s="11">
        <v>0.27764421701431274</v>
      </c>
      <c r="CP83" s="11">
        <v>0.18181818723678589</v>
      </c>
      <c r="CQ83" s="11">
        <v>7.1530756540596485E-3</v>
      </c>
      <c r="CR83">
        <v>14.754793921620902</v>
      </c>
      <c r="CS83">
        <v>0.16589986911075824</v>
      </c>
      <c r="CT83">
        <v>1.6541070082893745</v>
      </c>
      <c r="CU83" s="10">
        <v>0.88937947936356065</v>
      </c>
      <c r="CV83" s="11">
        <v>1.0013065063394606</v>
      </c>
      <c r="CW83">
        <v>0.06</v>
      </c>
      <c r="CX83">
        <v>1.9107357101069915</v>
      </c>
      <c r="CY83">
        <v>11951216423.71007</v>
      </c>
      <c r="CZ83">
        <v>0.88937947936356065</v>
      </c>
      <c r="DA83">
        <v>0.33914617605643327</v>
      </c>
      <c r="DB83">
        <v>67332665417.404556</v>
      </c>
      <c r="DC83">
        <v>0.84491050539538259</v>
      </c>
      <c r="DD83">
        <v>6.3847467641282768E-2</v>
      </c>
      <c r="DE83">
        <v>357658914967.4411</v>
      </c>
      <c r="DF83">
        <v>0.78265394183993342</v>
      </c>
      <c r="DG83">
        <v>1.0855625472576744E-2</v>
      </c>
      <c r="DH83">
        <v>2103574414729.6589</v>
      </c>
      <c r="DI83">
        <v>0.71150358349084852</v>
      </c>
      <c r="DJ83">
        <v>2.3677932652755671E-4</v>
      </c>
      <c r="DK83">
        <v>96442608967985.047</v>
      </c>
      <c r="DL83">
        <v>0.6225656355544924</v>
      </c>
      <c r="DM83">
        <v>6705000000</v>
      </c>
      <c r="DN83">
        <v>0.88937947936356065</v>
      </c>
      <c r="DO83">
        <v>22835616000</v>
      </c>
      <c r="DP83">
        <v>7012173600</v>
      </c>
      <c r="DQ83">
        <v>3548</v>
      </c>
      <c r="DR83">
        <v>-1.6288936616206517</v>
      </c>
      <c r="DS83">
        <v>-1.7807235013828311</v>
      </c>
      <c r="DT83" s="12">
        <v>0.14333333333333331</v>
      </c>
      <c r="DU83">
        <v>0.26</v>
      </c>
      <c r="DV83">
        <v>0.40333333333333332</v>
      </c>
      <c r="DW83">
        <v>-8.6878130217028389</v>
      </c>
      <c r="DX83">
        <v>0.42110147058823544</v>
      </c>
      <c r="DY83">
        <v>-8.1108076892860659</v>
      </c>
      <c r="DZ83">
        <v>4034</v>
      </c>
      <c r="EA83">
        <v>-8.0233324997400803</v>
      </c>
      <c r="EB83">
        <v>8</v>
      </c>
      <c r="EC83">
        <v>3.151957593569614E-2</v>
      </c>
      <c r="ED83">
        <v>0.19565045446579499</v>
      </c>
      <c r="EE83" s="13">
        <v>-1.08911</v>
      </c>
      <c r="EF83">
        <v>-1.11991</v>
      </c>
      <c r="EG83">
        <v>26.161101470588235</v>
      </c>
      <c r="EH83" t="s">
        <v>1550</v>
      </c>
      <c r="EI83">
        <v>0</v>
      </c>
      <c r="EJ83">
        <v>0</v>
      </c>
      <c r="EK83" s="14">
        <v>45470</v>
      </c>
      <c r="EL83">
        <v>-0.74</v>
      </c>
      <c r="EM83">
        <v>-3.62</v>
      </c>
      <c r="EN83">
        <v>-1.43</v>
      </c>
      <c r="EO83">
        <v>1.9</v>
      </c>
      <c r="EP83">
        <v>-3.08</v>
      </c>
    </row>
    <row r="84" spans="1:146" ht="156" x14ac:dyDescent="0.25">
      <c r="A84" s="9" t="s">
        <v>1430</v>
      </c>
      <c r="B84" s="9"/>
      <c r="C84" s="9" t="str">
        <f>"公司是一家主要从事电线电缆及电缆附件开发、制造、销售及相关的生产技术开发的公司.公司产品覆盖裸导体、电气装备用电缆、电力电缆、通信电缆及光缆。"&amp;CHAR(10)&amp;Basic_Fundamental_Information_Constructure(F84)&amp;CHAR(10)&amp;Basic_Fundamental_Information_Concatenate("裸导体及其制品 242.34亿 56.52% 8.20% 0.93%
电力电缆 139.76亿 32.59% 55.24% 10.82%
电气装备用电缆 19.75亿 4.61% 12.65% 17.54%
海上风电 15.09亿 3.52% 21.30% 38.66%")</f>
        <v>公司是一家主要从事电线电缆及电缆附件开发、制造、销售及相关的生产技术开发的公司.公司产品覆盖裸导体、电气装备用电缆、电力电缆、通信电缆及光缆。
市值47.860682亿, 利润-12.03亿; PE379.2; 平均PE-20.49; 平均PEG-1.76, PB1.26; ROIC2.24%; ROE-4.5367%; 股利率0%; 毛利5.6033%; 净利-.4167%; 上一年度营收增-86.42%, 利润增-1941.17%; 当季营收增721.85%, 利润增109%; 过往5年营收增-11.62%, 利润增-438.16%
Income profile:
裸导体及其制品 242.34亿 56.52% 8.20% 0.93%
电力电缆 139.76亿 32.59% 55.24% 10.82%
电气装备用电缆 19.75亿 4.61% 12.65% 17.54%
海上风电 15.09亿 3.52% 21.30% 38.66%</v>
      </c>
      <c r="D84" t="s">
        <v>1127</v>
      </c>
      <c r="E84" t="s">
        <v>1128</v>
      </c>
      <c r="F84">
        <v>3.49</v>
      </c>
      <c r="G84">
        <v>0.28999999999999998</v>
      </c>
      <c r="H84" t="s">
        <v>3821</v>
      </c>
      <c r="I84">
        <v>4786068200</v>
      </c>
      <c r="J84">
        <v>379.2</v>
      </c>
      <c r="K84">
        <v>1.26</v>
      </c>
      <c r="L84" t="s">
        <v>2891</v>
      </c>
      <c r="M84" t="s">
        <v>2640</v>
      </c>
      <c r="N84" t="s">
        <v>3822</v>
      </c>
      <c r="O84" t="s">
        <v>2641</v>
      </c>
      <c r="P84">
        <v>-3.43</v>
      </c>
      <c r="Q84" t="s">
        <v>3823</v>
      </c>
      <c r="R84">
        <v>20528226</v>
      </c>
      <c r="S84" s="6">
        <v>-0.47270000000000001</v>
      </c>
      <c r="T84" t="s">
        <v>3824</v>
      </c>
      <c r="U84">
        <v>1371366200</v>
      </c>
      <c r="V84">
        <v>1371366200</v>
      </c>
      <c r="W84">
        <v>4.42</v>
      </c>
      <c r="X84">
        <v>0.45</v>
      </c>
      <c r="Y84">
        <v>0.13</v>
      </c>
      <c r="Z84" t="s">
        <v>3825</v>
      </c>
      <c r="AA84" t="s">
        <v>3826</v>
      </c>
      <c r="AB84" t="s">
        <v>3827</v>
      </c>
      <c r="AC84" t="s">
        <v>25</v>
      </c>
      <c r="AD84" t="s">
        <v>2</v>
      </c>
      <c r="AE84">
        <v>96487936</v>
      </c>
      <c r="AF84" t="s">
        <v>2644</v>
      </c>
      <c r="AG84" t="s">
        <v>3828</v>
      </c>
      <c r="AH84" t="s">
        <v>2645</v>
      </c>
      <c r="AI84" t="s">
        <v>3829</v>
      </c>
      <c r="AJ84" t="s">
        <v>2646</v>
      </c>
      <c r="AK84" t="s">
        <v>274</v>
      </c>
      <c r="AL84" t="s">
        <v>2647</v>
      </c>
      <c r="AM84" t="s">
        <v>2</v>
      </c>
      <c r="AN84" t="s">
        <v>71</v>
      </c>
      <c r="AO84" t="s">
        <v>2787</v>
      </c>
      <c r="AP84" t="s">
        <v>674</v>
      </c>
      <c r="AQ84" t="s">
        <v>2161</v>
      </c>
      <c r="AR84" t="s">
        <v>3830</v>
      </c>
      <c r="AS84" t="s">
        <v>3831</v>
      </c>
      <c r="AT84" t="s">
        <v>1518</v>
      </c>
      <c r="AU84" t="s">
        <v>3832</v>
      </c>
      <c r="AV84" t="s">
        <v>3833</v>
      </c>
      <c r="AW84" t="s">
        <v>65</v>
      </c>
      <c r="AX84" t="s">
        <v>1667</v>
      </c>
      <c r="AY84" t="s">
        <v>1668</v>
      </c>
      <c r="AZ84" t="s">
        <v>1268</v>
      </c>
      <c r="BA84" t="s">
        <v>1129</v>
      </c>
      <c r="BB84" t="s">
        <v>1130</v>
      </c>
      <c r="BC84" t="s">
        <v>2648</v>
      </c>
      <c r="BD84" t="s">
        <v>1362</v>
      </c>
      <c r="BE84" t="s">
        <v>227</v>
      </c>
      <c r="BF84" t="s">
        <v>113</v>
      </c>
      <c r="BG84" t="s">
        <v>33</v>
      </c>
      <c r="BH84" t="s">
        <v>2642</v>
      </c>
      <c r="BI84" t="s">
        <v>539</v>
      </c>
      <c r="BJ84" t="s">
        <v>1667</v>
      </c>
      <c r="BK84" t="s">
        <v>2643</v>
      </c>
      <c r="BL84" t="s">
        <v>3834</v>
      </c>
      <c r="BM84" t="s">
        <v>2648</v>
      </c>
      <c r="BN84">
        <v>2.33</v>
      </c>
      <c r="BO84">
        <v>2.15</v>
      </c>
      <c r="BP84" t="s">
        <v>2</v>
      </c>
      <c r="BQ84">
        <v>2.4700000000000002</v>
      </c>
      <c r="BR84">
        <v>1.75</v>
      </c>
      <c r="BS84">
        <v>-17.829999999999998</v>
      </c>
      <c r="BT84" t="s">
        <v>1521</v>
      </c>
      <c r="BU84" t="s">
        <v>1274</v>
      </c>
      <c r="BV84">
        <v>5.3</v>
      </c>
      <c r="BW84">
        <v>5.12</v>
      </c>
      <c r="BX84">
        <v>6.39</v>
      </c>
      <c r="BY84">
        <v>0.1</v>
      </c>
      <c r="BZ84">
        <v>0.16</v>
      </c>
      <c r="CA84">
        <v>-1.51</v>
      </c>
      <c r="CB84">
        <v>-3.32</v>
      </c>
      <c r="CC84">
        <v>-16.510000000000002</v>
      </c>
      <c r="CD84" t="s">
        <v>3835</v>
      </c>
      <c r="CE84" t="s">
        <v>262</v>
      </c>
      <c r="CF84" s="10">
        <v>7.2184942716857607</v>
      </c>
      <c r="CG84" s="11">
        <v>1.0900360789473684</v>
      </c>
      <c r="CH84" s="10">
        <v>-0.86423027515411377</v>
      </c>
      <c r="CI84" s="10">
        <v>-3.5055488348007202E-2</v>
      </c>
      <c r="CJ84" s="10">
        <v>0.25390851497650146</v>
      </c>
      <c r="CK84" s="10">
        <v>3.0075380578637123E-2</v>
      </c>
      <c r="CL84" s="10">
        <v>3.4147396683692932E-2</v>
      </c>
      <c r="CM84" s="11">
        <v>-19.411724090576172</v>
      </c>
      <c r="CN84" s="11">
        <v>1.0856341123580933</v>
      </c>
      <c r="CO84" s="11">
        <v>-4.3612337112426758</v>
      </c>
      <c r="CP84" s="11">
        <v>0.47402596473693848</v>
      </c>
      <c r="CQ84" s="11">
        <v>0.30508473515510559</v>
      </c>
      <c r="CR84">
        <v>-20.487411080509329</v>
      </c>
      <c r="CS84">
        <v>-1.7626476344554869</v>
      </c>
      <c r="CT84">
        <v>0</v>
      </c>
      <c r="CU84" s="10">
        <v>-0.1162308942526579</v>
      </c>
      <c r="CV84" s="11">
        <v>-4.3816425979137419</v>
      </c>
      <c r="CW84">
        <v>0.06</v>
      </c>
      <c r="CX84" t="e">
        <v>#VALUE!</v>
      </c>
      <c r="CY84" t="s">
        <v>1238</v>
      </c>
      <c r="CZ84">
        <v>-0.1162308942526579</v>
      </c>
      <c r="DA84" t="e">
        <v>#VALUE!</v>
      </c>
      <c r="DB84" t="s">
        <v>1238</v>
      </c>
      <c r="DC84">
        <v>-0.110419349540025</v>
      </c>
      <c r="DD84" t="e">
        <v>#VALUE!</v>
      </c>
      <c r="DE84" t="s">
        <v>1238</v>
      </c>
      <c r="DF84">
        <v>-0.10228318694233896</v>
      </c>
      <c r="DG84" t="e">
        <v>#VALUE!</v>
      </c>
      <c r="DH84" t="s">
        <v>1238</v>
      </c>
      <c r="DI84">
        <v>-9.2984715402126328E-2</v>
      </c>
      <c r="DJ84" t="e">
        <v>#VALUE!</v>
      </c>
      <c r="DK84" t="s">
        <v>1238</v>
      </c>
      <c r="DL84">
        <v>-8.1361625976860516E-2</v>
      </c>
      <c r="DM84">
        <v>-1203000000</v>
      </c>
      <c r="DN84">
        <v>-0.1162308942526579</v>
      </c>
      <c r="DO84">
        <v>17187068200</v>
      </c>
      <c r="DP84">
        <v>1462175000</v>
      </c>
      <c r="DQ84">
        <v>3596</v>
      </c>
      <c r="DR84">
        <v>7.3347251659384183</v>
      </c>
      <c r="DS84">
        <v>5.4716786768611101</v>
      </c>
      <c r="DT84" s="12">
        <v>-0.64</v>
      </c>
      <c r="DU84">
        <v>-1.3566666666666667</v>
      </c>
      <c r="DV84">
        <v>-1.9966666666666666</v>
      </c>
      <c r="DW84">
        <v>-8.2010902483343422</v>
      </c>
      <c r="DX84">
        <v>0.38597201257861657</v>
      </c>
      <c r="DY84">
        <v>-8.0233208408092676</v>
      </c>
      <c r="DZ84">
        <v>1927</v>
      </c>
      <c r="EA84">
        <v>-8.0145264650285508</v>
      </c>
      <c r="EB84">
        <v>8</v>
      </c>
      <c r="EC84">
        <v>2.6892233453033917E-2</v>
      </c>
      <c r="ED84">
        <v>0.23188554596139238</v>
      </c>
      <c r="EE84" s="13">
        <v>2.0239099999999999</v>
      </c>
      <c r="EF84">
        <v>2.0348099999999998</v>
      </c>
      <c r="EG84">
        <v>27.115972012578617</v>
      </c>
      <c r="EH84" t="s">
        <v>1554</v>
      </c>
      <c r="EI84">
        <v>0</v>
      </c>
      <c r="EJ84">
        <v>0</v>
      </c>
      <c r="EK84" s="14">
        <v>45470</v>
      </c>
      <c r="EL84">
        <v>0.25</v>
      </c>
      <c r="EM84">
        <v>-2.96</v>
      </c>
      <c r="EN84">
        <v>0.59</v>
      </c>
      <c r="EO84">
        <v>0.76</v>
      </c>
      <c r="EP84">
        <v>-1.0900000000000001</v>
      </c>
    </row>
    <row r="85" spans="1:146" ht="96" x14ac:dyDescent="0.25">
      <c r="C85" s="9" t="str">
        <f>""&amp;CHAR(10)&amp;Basic_Fundamental_Information_Constructure(F85)&amp;CHAR(10)&amp;Basic_Fundamental_Information_Concatenate("")</f>
        <v xml:space="preserve">
市值108.878812亿, 利润18.55亿; PE82.44; 平均PE18.1; 平均PEG1.02, PB2.55; ROIC3.9167%; ROE4.21%; 股利率.3423%; 毛利8.97%; 净利2.0567%; 上一年度营收增55.2%, 利润增1017.47%; 当季营收增-5.14%, 利润增-88%; 过往5年营收增17.81%, 利润增259.91%
Income profile:
</v>
      </c>
      <c r="D85" t="s">
        <v>1976</v>
      </c>
      <c r="E85" t="s">
        <v>1977</v>
      </c>
      <c r="F85">
        <v>4.07</v>
      </c>
      <c r="G85">
        <v>1.5</v>
      </c>
      <c r="H85" t="s">
        <v>3836</v>
      </c>
      <c r="I85">
        <v>10887881200</v>
      </c>
      <c r="J85">
        <v>82.44</v>
      </c>
      <c r="K85">
        <v>2.5499999999999998</v>
      </c>
      <c r="L85" t="s">
        <v>2891</v>
      </c>
      <c r="M85" t="s">
        <v>2353</v>
      </c>
      <c r="N85" t="s">
        <v>3837</v>
      </c>
      <c r="O85" t="s">
        <v>1190</v>
      </c>
      <c r="P85" s="6">
        <v>5.54</v>
      </c>
      <c r="Q85" t="s">
        <v>3838</v>
      </c>
      <c r="R85">
        <v>41630680</v>
      </c>
      <c r="S85">
        <v>0.23910000000000001</v>
      </c>
      <c r="T85" t="s">
        <v>486</v>
      </c>
      <c r="U85">
        <v>668788770</v>
      </c>
      <c r="V85">
        <v>2675155100</v>
      </c>
      <c r="W85">
        <v>2.15</v>
      </c>
      <c r="X85">
        <v>0.28000000000000003</v>
      </c>
      <c r="Y85">
        <v>1.65</v>
      </c>
      <c r="Z85" t="s">
        <v>3839</v>
      </c>
      <c r="AA85" t="s">
        <v>3038</v>
      </c>
      <c r="AB85" t="s">
        <v>3840</v>
      </c>
      <c r="AC85" t="s">
        <v>3841</v>
      </c>
      <c r="AD85" t="s">
        <v>2</v>
      </c>
      <c r="AE85">
        <v>1420052</v>
      </c>
      <c r="AF85" t="s">
        <v>2650</v>
      </c>
      <c r="AG85" t="s">
        <v>3842</v>
      </c>
      <c r="AH85" t="s">
        <v>2651</v>
      </c>
      <c r="AI85" t="s">
        <v>1873</v>
      </c>
      <c r="AJ85" t="s">
        <v>2652</v>
      </c>
      <c r="AK85" t="s">
        <v>3843</v>
      </c>
      <c r="AL85" t="s">
        <v>2653</v>
      </c>
      <c r="AM85" t="s">
        <v>2</v>
      </c>
      <c r="AN85" t="s">
        <v>3844</v>
      </c>
      <c r="AO85" t="s">
        <v>598</v>
      </c>
      <c r="AP85" t="s">
        <v>521</v>
      </c>
      <c r="AQ85" t="s">
        <v>2165</v>
      </c>
      <c r="AR85" t="s">
        <v>2</v>
      </c>
      <c r="AS85" t="s">
        <v>3845</v>
      </c>
      <c r="AT85" t="s">
        <v>2654</v>
      </c>
      <c r="AU85" t="s">
        <v>3846</v>
      </c>
      <c r="AV85" t="s">
        <v>3847</v>
      </c>
      <c r="AW85" t="s">
        <v>3848</v>
      </c>
      <c r="AX85" t="s">
        <v>1978</v>
      </c>
      <c r="AY85" t="s">
        <v>2655</v>
      </c>
      <c r="AZ85" t="s">
        <v>2656</v>
      </c>
      <c r="BA85" t="s">
        <v>2657</v>
      </c>
      <c r="BB85" t="s">
        <v>2</v>
      </c>
      <c r="BC85" t="s">
        <v>40</v>
      </c>
      <c r="BD85" t="s">
        <v>290</v>
      </c>
      <c r="BE85" t="s">
        <v>387</v>
      </c>
      <c r="BF85" t="s">
        <v>145</v>
      </c>
      <c r="BG85" t="s">
        <v>2</v>
      </c>
      <c r="BH85" t="s">
        <v>2649</v>
      </c>
      <c r="BI85" t="s">
        <v>3849</v>
      </c>
      <c r="BJ85" t="s">
        <v>1978</v>
      </c>
      <c r="BK85" t="s">
        <v>102</v>
      </c>
      <c r="BL85" t="s">
        <v>155</v>
      </c>
      <c r="BM85" t="s">
        <v>40</v>
      </c>
      <c r="BN85">
        <v>2.15</v>
      </c>
      <c r="BO85">
        <v>4.18</v>
      </c>
      <c r="BP85">
        <v>5.42</v>
      </c>
      <c r="BQ85">
        <v>2.86</v>
      </c>
      <c r="BR85">
        <v>5.56</v>
      </c>
      <c r="BS85" t="s">
        <v>2</v>
      </c>
      <c r="BT85" t="s">
        <v>2658</v>
      </c>
      <c r="BU85" t="s">
        <v>1274</v>
      </c>
      <c r="BV85">
        <v>7.55</v>
      </c>
      <c r="BW85">
        <v>8.25</v>
      </c>
      <c r="BX85">
        <v>11.11</v>
      </c>
      <c r="BY85">
        <v>1.33</v>
      </c>
      <c r="BZ85">
        <v>1.89</v>
      </c>
      <c r="CA85">
        <v>2.95</v>
      </c>
      <c r="CB85">
        <v>-0.49</v>
      </c>
      <c r="CC85" s="10">
        <v>-16.600000000000001</v>
      </c>
      <c r="CD85" s="11" t="s">
        <v>3850</v>
      </c>
      <c r="CE85" s="10" t="s">
        <v>627</v>
      </c>
      <c r="CF85" s="10">
        <v>-5.1426426426426426E-2</v>
      </c>
      <c r="CG85" s="10">
        <v>-0.88002685878962539</v>
      </c>
      <c r="CH85" s="10">
        <v>0.55204641819000244</v>
      </c>
      <c r="CI85" s="10">
        <v>0.22465798258781433</v>
      </c>
      <c r="CJ85" s="11">
        <v>0.17275258898735046</v>
      </c>
      <c r="CK85" s="11">
        <v>-0.23691116273403168</v>
      </c>
      <c r="CL85" s="11" t="s">
        <v>2</v>
      </c>
      <c r="CM85" s="11">
        <v>10.174698829650879</v>
      </c>
      <c r="CN85" s="11">
        <v>-0.19806763529777527</v>
      </c>
      <c r="CO85">
        <v>-0.60344827175140381</v>
      </c>
      <c r="CP85">
        <v>1.0232558250427246</v>
      </c>
      <c r="CQ85" t="s">
        <v>2</v>
      </c>
      <c r="CR85" s="10">
        <v>18.098206781914893</v>
      </c>
      <c r="CS85" s="11">
        <v>1.0159743328971356</v>
      </c>
      <c r="CT85">
        <v>0.34226044226044228</v>
      </c>
      <c r="CU85">
        <v>0.17813645675778389</v>
      </c>
      <c r="CV85">
        <v>2.5991096869111061</v>
      </c>
      <c r="CW85">
        <v>0.06</v>
      </c>
      <c r="CX85">
        <v>5.5384713154412459</v>
      </c>
      <c r="CY85">
        <v>2061738799.3261218</v>
      </c>
      <c r="CZ85">
        <v>0.17813645675778389</v>
      </c>
      <c r="DA85">
        <v>1.6810441481654439</v>
      </c>
      <c r="DB85">
        <v>6792731298.8547306</v>
      </c>
      <c r="DC85">
        <v>0.16922963391989468</v>
      </c>
      <c r="DD85">
        <v>0.74735304530163682</v>
      </c>
      <c r="DE85">
        <v>15279099044.001703</v>
      </c>
      <c r="DF85">
        <v>0.15676008194684982</v>
      </c>
      <c r="DG85">
        <v>0.3983043743314289</v>
      </c>
      <c r="DH85">
        <v>28668731592.935894</v>
      </c>
      <c r="DI85">
        <v>0.14250916540622713</v>
      </c>
      <c r="DJ85">
        <v>0.15597094210135609</v>
      </c>
      <c r="DK85">
        <v>73211593429.881058</v>
      </c>
      <c r="DL85">
        <v>0.12469551973044872</v>
      </c>
      <c r="DM85">
        <v>1855000000</v>
      </c>
      <c r="DN85">
        <v>0.17813645675778389</v>
      </c>
      <c r="DO85">
        <v>11418881200</v>
      </c>
      <c r="DP85">
        <v>3173671500</v>
      </c>
      <c r="DQ85" s="12">
        <v>3653</v>
      </c>
      <c r="DR85">
        <v>-0.22956288318421031</v>
      </c>
      <c r="DS85">
        <v>-3.4791365457007313</v>
      </c>
      <c r="DT85">
        <v>-0.12800000000000003</v>
      </c>
      <c r="DU85">
        <v>-0.38800000000000001</v>
      </c>
      <c r="DV85">
        <v>-0.51600000000000001</v>
      </c>
      <c r="DW85">
        <v>-3.0067857142857144</v>
      </c>
      <c r="DX85">
        <v>0.33357228571428532</v>
      </c>
      <c r="DY85">
        <v>-3.0008385262244897</v>
      </c>
      <c r="DZ85">
        <v>1089</v>
      </c>
      <c r="EA85">
        <v>-3.0006598266044371</v>
      </c>
      <c r="EB85" s="13">
        <v>3</v>
      </c>
      <c r="EC85" s="13">
        <v>3.233479808329618E-2</v>
      </c>
      <c r="ED85">
        <v>0.2616670711914984</v>
      </c>
      <c r="EE85">
        <v>-2.0102000000000002</v>
      </c>
      <c r="EF85">
        <v>-2.0068100000000002</v>
      </c>
      <c r="EG85">
        <v>21.123572285714285</v>
      </c>
      <c r="EH85" s="14" t="s">
        <v>1555</v>
      </c>
      <c r="EI85">
        <v>0</v>
      </c>
      <c r="EJ85">
        <v>1</v>
      </c>
      <c r="EK85">
        <v>45470</v>
      </c>
      <c r="EL85">
        <v>1.1399999999999999</v>
      </c>
      <c r="EM85">
        <v>-3.32</v>
      </c>
      <c r="EN85">
        <v>0.22</v>
      </c>
      <c r="EO85">
        <v>2.77</v>
      </c>
      <c r="EP85">
        <v>-1.7</v>
      </c>
    </row>
    <row r="86" spans="1:146" ht="96" x14ac:dyDescent="0.25">
      <c r="A86" s="9"/>
      <c r="B86" s="9"/>
      <c r="C86" s="9" t="str">
        <f>""&amp;CHAR(10)&amp;Basic_Fundamental_Information_Constructure(F86)&amp;CHAR(10)&amp;Basic_Fundamental_Information_Concatenate("")</f>
        <v xml:space="preserve">
市值146.22211亿, 利润-24.50亿; PE21.95; 平均PE-124.27; 平均PEG-.96, PB3.3; ROIC11.6367%; ROE12.8033%; 股利率3.4149%; 毛利34.2067%; 净利10.72%; 上一年度营收增605.83%, 利润增-551.2%; 当季营收增-69.65%, 利润增128.97%; 过往5年营收增128.9%, 利润增-86.01%
Income profile:
</v>
      </c>
      <c r="D86" t="s">
        <v>790</v>
      </c>
      <c r="E86" t="s">
        <v>2659</v>
      </c>
      <c r="F86">
        <v>17.57</v>
      </c>
      <c r="G86">
        <v>-0.45</v>
      </c>
      <c r="H86" t="s">
        <v>3851</v>
      </c>
      <c r="I86">
        <v>14622211000</v>
      </c>
      <c r="J86">
        <v>21.95</v>
      </c>
      <c r="K86">
        <v>3.3</v>
      </c>
      <c r="L86" t="s">
        <v>2891</v>
      </c>
      <c r="M86" t="s">
        <v>2660</v>
      </c>
      <c r="N86" t="s">
        <v>3852</v>
      </c>
      <c r="O86" t="s">
        <v>2484</v>
      </c>
      <c r="P86">
        <v>31.21</v>
      </c>
      <c r="Q86" t="s">
        <v>3853</v>
      </c>
      <c r="R86">
        <v>181055150</v>
      </c>
      <c r="S86" s="6">
        <v>0.27550000000000002</v>
      </c>
      <c r="T86" t="s">
        <v>3854</v>
      </c>
      <c r="U86">
        <v>813172000</v>
      </c>
      <c r="V86">
        <v>832226000</v>
      </c>
      <c r="W86">
        <v>2.19</v>
      </c>
      <c r="X86">
        <v>0.16</v>
      </c>
      <c r="Y86">
        <v>11.78</v>
      </c>
      <c r="Z86" t="s">
        <v>1887</v>
      </c>
      <c r="AA86" t="s">
        <v>1446</v>
      </c>
      <c r="AB86" t="s">
        <v>58</v>
      </c>
      <c r="AC86" t="s">
        <v>3855</v>
      </c>
      <c r="AD86" t="s">
        <v>2</v>
      </c>
      <c r="AE86">
        <v>-19424103</v>
      </c>
      <c r="AF86" t="s">
        <v>2662</v>
      </c>
      <c r="AG86" t="s">
        <v>3856</v>
      </c>
      <c r="AH86" t="s">
        <v>2663</v>
      </c>
      <c r="AI86" t="s">
        <v>3857</v>
      </c>
      <c r="AJ86" t="s">
        <v>2664</v>
      </c>
      <c r="AK86" t="s">
        <v>3858</v>
      </c>
      <c r="AL86" t="s">
        <v>2665</v>
      </c>
      <c r="AM86" t="s">
        <v>2</v>
      </c>
      <c r="AN86" t="s">
        <v>3859</v>
      </c>
      <c r="AO86" t="s">
        <v>2</v>
      </c>
      <c r="AP86" t="s">
        <v>638</v>
      </c>
      <c r="AQ86" t="s">
        <v>1924</v>
      </c>
      <c r="AR86" t="s">
        <v>2</v>
      </c>
      <c r="AS86" t="s">
        <v>2714</v>
      </c>
      <c r="AT86" t="s">
        <v>2</v>
      </c>
      <c r="AU86" t="s">
        <v>3860</v>
      </c>
      <c r="AV86" t="s">
        <v>621</v>
      </c>
      <c r="AW86" t="s">
        <v>2</v>
      </c>
      <c r="AX86" t="s">
        <v>1669</v>
      </c>
      <c r="AY86" t="s">
        <v>1363</v>
      </c>
      <c r="AZ86" t="s">
        <v>791</v>
      </c>
      <c r="BA86" t="s">
        <v>247</v>
      </c>
      <c r="BB86" t="s">
        <v>792</v>
      </c>
      <c r="BC86" t="s">
        <v>541</v>
      </c>
      <c r="BD86" t="s">
        <v>364</v>
      </c>
      <c r="BE86" t="s">
        <v>316</v>
      </c>
      <c r="BF86" t="s">
        <v>147</v>
      </c>
      <c r="BG86" t="s">
        <v>637</v>
      </c>
      <c r="BH86" t="s">
        <v>2661</v>
      </c>
      <c r="BI86" t="s">
        <v>2824</v>
      </c>
      <c r="BJ86" t="s">
        <v>1669</v>
      </c>
      <c r="BK86" t="s">
        <v>1209</v>
      </c>
      <c r="BL86" t="s">
        <v>3861</v>
      </c>
      <c r="BM86" t="s">
        <v>541</v>
      </c>
      <c r="BN86">
        <v>11.98</v>
      </c>
      <c r="BO86">
        <v>12.58</v>
      </c>
      <c r="BP86">
        <v>10.35</v>
      </c>
      <c r="BQ86">
        <v>12.93</v>
      </c>
      <c r="BR86">
        <v>13.84</v>
      </c>
      <c r="BS86">
        <v>11.64</v>
      </c>
      <c r="BT86" t="s">
        <v>1546</v>
      </c>
      <c r="BU86" t="s">
        <v>1444</v>
      </c>
      <c r="BV86">
        <v>34.44</v>
      </c>
      <c r="BW86">
        <v>32.15</v>
      </c>
      <c r="BX86">
        <v>36.03</v>
      </c>
      <c r="BY86">
        <v>10.92</v>
      </c>
      <c r="BZ86">
        <v>10.71</v>
      </c>
      <c r="CA86">
        <v>10.53</v>
      </c>
      <c r="CB86">
        <v>-8.58</v>
      </c>
      <c r="CC86">
        <v>9.1999999999999993</v>
      </c>
      <c r="CD86" t="s">
        <v>148</v>
      </c>
      <c r="CE86" t="s">
        <v>1837</v>
      </c>
      <c r="CF86" s="10">
        <v>-0.69652327637006484</v>
      </c>
      <c r="CG86" s="11">
        <v>1.28968824</v>
      </c>
      <c r="CH86" s="10">
        <v>6.0582904815673828</v>
      </c>
      <c r="CI86" s="10">
        <v>0.18147982656955719</v>
      </c>
      <c r="CJ86" s="10">
        <v>0.11260673403739929</v>
      </c>
      <c r="CK86" s="10">
        <v>4.9443121999502182E-2</v>
      </c>
      <c r="CL86" s="10">
        <v>4.3071690946817398E-2</v>
      </c>
      <c r="CM86" s="11">
        <v>-5.5119705200195313</v>
      </c>
      <c r="CN86" s="11">
        <v>0.20132742822170258</v>
      </c>
      <c r="CO86" s="11">
        <v>0.31395348906517029</v>
      </c>
      <c r="CP86" s="11">
        <v>0.82978725433349609</v>
      </c>
      <c r="CQ86" s="11">
        <v>-0.13364055752754211</v>
      </c>
      <c r="CR86">
        <v>-124.2680821529745</v>
      </c>
      <c r="CS86">
        <v>-0.96408198109825383</v>
      </c>
      <c r="CT86">
        <v>3.414911781445646</v>
      </c>
      <c r="CU86" s="10">
        <v>1.2889783710241318</v>
      </c>
      <c r="CV86" s="11">
        <v>-0.86010858118534084</v>
      </c>
      <c r="CW86">
        <v>0.06</v>
      </c>
      <c r="CX86" t="e">
        <v>#VALUE!</v>
      </c>
      <c r="CY86" t="s">
        <v>1238</v>
      </c>
      <c r="CZ86">
        <v>1.2889783710241318</v>
      </c>
      <c r="DA86" t="e">
        <v>#VALUE!</v>
      </c>
      <c r="DB86" t="s">
        <v>1238</v>
      </c>
      <c r="DC86">
        <v>1.2245294524729251</v>
      </c>
      <c r="DD86" t="e">
        <v>#VALUE!</v>
      </c>
      <c r="DE86" t="s">
        <v>1238</v>
      </c>
      <c r="DF86">
        <v>1.134300966501236</v>
      </c>
      <c r="DG86" t="e">
        <v>#VALUE!</v>
      </c>
      <c r="DH86" t="s">
        <v>1238</v>
      </c>
      <c r="DI86">
        <v>1.0311826968193054</v>
      </c>
      <c r="DJ86" t="e">
        <v>#VALUE!</v>
      </c>
      <c r="DK86" t="s">
        <v>1238</v>
      </c>
      <c r="DL86">
        <v>0.90228485971689221</v>
      </c>
      <c r="DM86">
        <v>-2450000000</v>
      </c>
      <c r="DN86">
        <v>1.2889783710241318</v>
      </c>
      <c r="DO86">
        <v>15456211000</v>
      </c>
      <c r="DP86">
        <v>3476175700</v>
      </c>
      <c r="DQ86">
        <v>3667</v>
      </c>
      <c r="DR86">
        <v>-1.9855016473941967</v>
      </c>
      <c r="DS86">
        <v>2.1497968211853409</v>
      </c>
      <c r="DT86" s="12">
        <v>1.0000000000000011E-2</v>
      </c>
      <c r="DU86">
        <v>-1.3333333333333308E-2</v>
      </c>
      <c r="DV86">
        <v>-3.3333333333332976E-3</v>
      </c>
      <c r="DW86">
        <v>-7.4825646794150735</v>
      </c>
      <c r="DX86">
        <v>0.49147707979626148</v>
      </c>
      <c r="DY86">
        <v>-7.0827487820389177</v>
      </c>
      <c r="DZ86">
        <v>1231</v>
      </c>
      <c r="EA86">
        <v>-7.0628145842522434</v>
      </c>
      <c r="EB86">
        <v>7</v>
      </c>
      <c r="EC86">
        <v>0.121361264848731</v>
      </c>
      <c r="ED86">
        <v>0.70774044550398574</v>
      </c>
      <c r="EE86" s="13">
        <v>4.0088100000000004</v>
      </c>
      <c r="EF86">
        <v>4.0263099999999996</v>
      </c>
      <c r="EG86">
        <v>32.171477079796261</v>
      </c>
      <c r="EH86" t="s">
        <v>1822</v>
      </c>
      <c r="EI86">
        <v>0</v>
      </c>
      <c r="EJ86">
        <v>1</v>
      </c>
      <c r="EK86" s="14">
        <v>45470</v>
      </c>
      <c r="EL86">
        <v>-0.35</v>
      </c>
      <c r="EM86">
        <v>-3.68</v>
      </c>
      <c r="EN86">
        <v>2</v>
      </c>
      <c r="EO86">
        <v>1.79</v>
      </c>
      <c r="EP86">
        <v>-1.75</v>
      </c>
    </row>
    <row r="87" spans="1:146" ht="96" x14ac:dyDescent="0.25">
      <c r="A87" s="9"/>
      <c r="B87" s="9"/>
      <c r="C87" s="9" t="str">
        <f>""&amp;CHAR(10)&amp;Basic_Fundamental_Information_Constructure(F87)&amp;CHAR(10)&amp;Basic_Fundamental_Information_Concatenate("")</f>
        <v xml:space="preserve">
市值400.33141亿, 利润260.97亿; PE44.53; 平均PE8.43; 平均PEG.01, PB1.84; ROIC2.6733%; ROE2.7%; 股利率.8451%; 毛利18.6533%; 净利4.3667%; 上一年度营收增6033.41%, 利润增4115.99%; 当季营收增-98.29%, 利润增-96.56%; 过往5年营收增1213.81%, 利润增836.88%
Income profile:
</v>
      </c>
      <c r="D87" t="s">
        <v>979</v>
      </c>
      <c r="E87" t="s">
        <v>980</v>
      </c>
      <c r="F87">
        <v>7.81</v>
      </c>
      <c r="G87">
        <v>-0.76</v>
      </c>
      <c r="H87" t="s">
        <v>3862</v>
      </c>
      <c r="I87">
        <v>40033141000</v>
      </c>
      <c r="J87">
        <v>44.53</v>
      </c>
      <c r="K87">
        <v>1.84</v>
      </c>
      <c r="L87" t="s">
        <v>2891</v>
      </c>
      <c r="M87" t="s">
        <v>2666</v>
      </c>
      <c r="N87" t="s">
        <v>3863</v>
      </c>
      <c r="O87" t="s">
        <v>2667</v>
      </c>
      <c r="P87">
        <v>-2.35</v>
      </c>
      <c r="Q87" t="s">
        <v>3864</v>
      </c>
      <c r="R87">
        <v>203266210</v>
      </c>
      <c r="S87" s="6">
        <v>7.2700000000000001E-2</v>
      </c>
      <c r="T87" t="s">
        <v>3865</v>
      </c>
      <c r="U87">
        <v>5125882400</v>
      </c>
      <c r="V87">
        <v>5125882400</v>
      </c>
      <c r="W87">
        <v>1.77</v>
      </c>
      <c r="X87">
        <v>0.11</v>
      </c>
      <c r="Y87">
        <v>5.37</v>
      </c>
      <c r="Z87" t="s">
        <v>3866</v>
      </c>
      <c r="AA87" t="s">
        <v>2317</v>
      </c>
      <c r="AB87" t="s">
        <v>279</v>
      </c>
      <c r="AC87" t="s">
        <v>1465</v>
      </c>
      <c r="AD87" t="s">
        <v>2</v>
      </c>
      <c r="AE87">
        <v>-12017482</v>
      </c>
      <c r="AF87" t="s">
        <v>2669</v>
      </c>
      <c r="AG87" t="s">
        <v>3867</v>
      </c>
      <c r="AH87" t="s">
        <v>2670</v>
      </c>
      <c r="AI87" t="s">
        <v>3868</v>
      </c>
      <c r="AJ87" t="s">
        <v>2671</v>
      </c>
      <c r="AK87" t="s">
        <v>149</v>
      </c>
      <c r="AL87" t="s">
        <v>2672</v>
      </c>
      <c r="AM87" t="s">
        <v>2</v>
      </c>
      <c r="AN87" t="s">
        <v>669</v>
      </c>
      <c r="AO87" t="s">
        <v>2886</v>
      </c>
      <c r="AP87" t="s">
        <v>1210</v>
      </c>
      <c r="AQ87" t="s">
        <v>3869</v>
      </c>
      <c r="AR87" t="s">
        <v>2</v>
      </c>
      <c r="AS87" t="s">
        <v>3870</v>
      </c>
      <c r="AT87" t="s">
        <v>66</v>
      </c>
      <c r="AU87" t="s">
        <v>293</v>
      </c>
      <c r="AV87" t="s">
        <v>3871</v>
      </c>
      <c r="AW87" t="s">
        <v>1841</v>
      </c>
      <c r="AX87" t="s">
        <v>2674</v>
      </c>
      <c r="AY87" t="s">
        <v>1670</v>
      </c>
      <c r="AZ87" t="s">
        <v>1671</v>
      </c>
      <c r="BA87" t="s">
        <v>981</v>
      </c>
      <c r="BB87" t="s">
        <v>982</v>
      </c>
      <c r="BC87" t="s">
        <v>245</v>
      </c>
      <c r="BD87" t="s">
        <v>278</v>
      </c>
      <c r="BE87" t="s">
        <v>167</v>
      </c>
      <c r="BF87" t="s">
        <v>518</v>
      </c>
      <c r="BG87" t="s">
        <v>219</v>
      </c>
      <c r="BH87" t="s">
        <v>2668</v>
      </c>
      <c r="BI87" t="s">
        <v>3872</v>
      </c>
      <c r="BJ87" t="s">
        <v>2674</v>
      </c>
      <c r="BK87" t="s">
        <v>590</v>
      </c>
      <c r="BL87" t="s">
        <v>3873</v>
      </c>
      <c r="BM87" t="s">
        <v>245</v>
      </c>
      <c r="BN87">
        <v>2.46</v>
      </c>
      <c r="BO87">
        <v>2.9</v>
      </c>
      <c r="BP87">
        <v>2.66</v>
      </c>
      <c r="BQ87">
        <v>2.46</v>
      </c>
      <c r="BR87">
        <v>2.94</v>
      </c>
      <c r="BS87">
        <v>2.7</v>
      </c>
      <c r="BT87" t="s">
        <v>2675</v>
      </c>
      <c r="BU87" t="s">
        <v>1445</v>
      </c>
      <c r="BV87">
        <v>17.829999999999998</v>
      </c>
      <c r="BW87">
        <v>16.43</v>
      </c>
      <c r="BX87">
        <v>21.7</v>
      </c>
      <c r="BY87">
        <v>4.8899999999999997</v>
      </c>
      <c r="BZ87">
        <v>3.96</v>
      </c>
      <c r="CA87">
        <v>4.25</v>
      </c>
      <c r="CB87">
        <v>-2.86</v>
      </c>
      <c r="CC87">
        <v>17.62</v>
      </c>
      <c r="CD87" t="s">
        <v>488</v>
      </c>
      <c r="CE87" t="s">
        <v>3874</v>
      </c>
      <c r="CF87" s="10">
        <v>-0.98288361074654806</v>
      </c>
      <c r="CG87" s="11">
        <v>-0.96559475118483418</v>
      </c>
      <c r="CH87" s="10">
        <v>60.334110260009766</v>
      </c>
      <c r="CI87" s="10">
        <v>0.30837029218673706</v>
      </c>
      <c r="CJ87" s="10">
        <v>-0.10280905663967133</v>
      </c>
      <c r="CK87" s="10">
        <v>3.4221015870571136E-2</v>
      </c>
      <c r="CL87" s="10">
        <v>0.1163623034954071</v>
      </c>
      <c r="CM87" s="11">
        <v>41.159934997558594</v>
      </c>
      <c r="CN87" s="11">
        <v>0.13786764442920685</v>
      </c>
      <c r="CO87" s="11">
        <v>1.2295081615447998</v>
      </c>
      <c r="CP87" s="11">
        <v>-0.40920096635818481</v>
      </c>
      <c r="CQ87" s="11">
        <v>-0.27416521310806274</v>
      </c>
      <c r="CR87">
        <v>8.4321718036930413</v>
      </c>
      <c r="CS87">
        <v>6.9468910860625505E-3</v>
      </c>
      <c r="CT87">
        <v>0.84507042253521136</v>
      </c>
      <c r="CU87" s="10">
        <v>12.138050962984561</v>
      </c>
      <c r="CV87" s="11">
        <v>8.3687889248132699</v>
      </c>
      <c r="CW87">
        <v>0.06</v>
      </c>
      <c r="CX87">
        <v>0.10743688452014685</v>
      </c>
      <c r="CY87">
        <v>323456335831.13977</v>
      </c>
      <c r="CZ87">
        <v>12.138050962984561</v>
      </c>
      <c r="DA87">
        <v>7.3824824866890247E-4</v>
      </c>
      <c r="DB87">
        <v>47072432698158.102</v>
      </c>
      <c r="DC87">
        <v>11.531148414835332</v>
      </c>
      <c r="DD87">
        <v>6.7594724312231592E-7</v>
      </c>
      <c r="DE87">
        <v>5.1411025569804144E+16</v>
      </c>
      <c r="DF87">
        <v>10.681484847426415</v>
      </c>
      <c r="DG87">
        <v>1.0816917134901788E-10</v>
      </c>
      <c r="DH87">
        <v>3.212665916416445E+20</v>
      </c>
      <c r="DI87">
        <v>9.710440770387649</v>
      </c>
      <c r="DJ87">
        <v>1.0658590139273095E-19</v>
      </c>
      <c r="DK87">
        <v>3.2603881513329298E+29</v>
      </c>
      <c r="DL87">
        <v>8.4966356740891928</v>
      </c>
      <c r="DM87">
        <v>26097000000.000004</v>
      </c>
      <c r="DN87">
        <v>12.138050962984561</v>
      </c>
      <c r="DO87">
        <v>34751141000</v>
      </c>
      <c r="DP87">
        <v>13711648000</v>
      </c>
      <c r="DQ87">
        <v>3684</v>
      </c>
      <c r="DR87">
        <v>-13.120934573731109</v>
      </c>
      <c r="DS87">
        <v>-9.3343836759981045</v>
      </c>
      <c r="DT87" s="12">
        <v>1.0000000000000011E-2</v>
      </c>
      <c r="DU87">
        <v>-9.0000000000000011E-2</v>
      </c>
      <c r="DV87">
        <v>-0.08</v>
      </c>
      <c r="DW87">
        <v>-6.1396484375</v>
      </c>
      <c r="DX87">
        <v>0.34148577449947154</v>
      </c>
      <c r="DY87">
        <v>-6.0225512360873283</v>
      </c>
      <c r="DZ87">
        <v>754</v>
      </c>
      <c r="EA87">
        <v>-6.019223715146067</v>
      </c>
      <c r="EB87">
        <v>6</v>
      </c>
      <c r="EC87">
        <v>0.11958916576002603</v>
      </c>
      <c r="ED87">
        <v>0.74055542124805673</v>
      </c>
      <c r="EE87" s="13">
        <v>-1.0122</v>
      </c>
      <c r="EF87">
        <v>-1.0121100000000001</v>
      </c>
      <c r="EG87">
        <v>18.161485774499472</v>
      </c>
      <c r="EH87" t="s">
        <v>1550</v>
      </c>
      <c r="EI87">
        <v>0</v>
      </c>
      <c r="EJ87">
        <v>1</v>
      </c>
      <c r="EK87" s="14">
        <v>45470</v>
      </c>
      <c r="EL87">
        <v>-0.28000000000000003</v>
      </c>
      <c r="EM87">
        <v>-3.84</v>
      </c>
      <c r="EN87">
        <v>1.03</v>
      </c>
      <c r="EO87">
        <v>2.4900000000000002</v>
      </c>
      <c r="EP87">
        <v>-2.4300000000000002</v>
      </c>
    </row>
    <row r="88" spans="1:146" ht="96" x14ac:dyDescent="0.25">
      <c r="A88" s="9"/>
      <c r="B88" s="9"/>
      <c r="C88" s="9" t="str">
        <f>""&amp;CHAR(10)&amp;Basic_Fundamental_Information_Constructure(F88)&amp;CHAR(10)&amp;Basic_Fundamental_Information_Concatenate("")</f>
        <v xml:space="preserve">
市值444.95047亿, 利润3.73亿; PE22.26; 平均PE59.6; 平均PEG4.3, PB3.99; ROIC10.0567%; ROE10.8967%; 股利率2.0615%; 毛利29.4133%; 净利12.4833%; 上一年度营收增20.54%, 利润增-60.65%; 当季营收增19.14%, 利润增163.95%; 过往5年营收增13.85%, 利润增8.35%
Income profile:
</v>
      </c>
      <c r="D88" t="s">
        <v>793</v>
      </c>
      <c r="E88" t="s">
        <v>794</v>
      </c>
      <c r="F88">
        <v>31.53</v>
      </c>
      <c r="G88">
        <v>0.25</v>
      </c>
      <c r="H88" t="s">
        <v>3875</v>
      </c>
      <c r="I88">
        <v>44495047000</v>
      </c>
      <c r="J88">
        <v>22.26</v>
      </c>
      <c r="K88">
        <v>3.99</v>
      </c>
      <c r="L88" t="s">
        <v>2891</v>
      </c>
      <c r="M88" t="s">
        <v>2677</v>
      </c>
      <c r="N88" t="s">
        <v>3876</v>
      </c>
      <c r="O88" t="s">
        <v>525</v>
      </c>
      <c r="P88">
        <v>34.53</v>
      </c>
      <c r="Q88" t="s">
        <v>3877</v>
      </c>
      <c r="R88">
        <v>364254830</v>
      </c>
      <c r="S88" s="6">
        <v>0.35149999999999998</v>
      </c>
      <c r="T88" t="s">
        <v>527</v>
      </c>
      <c r="U88">
        <v>1403005900</v>
      </c>
      <c r="V88">
        <v>1411197200</v>
      </c>
      <c r="W88">
        <v>1.88</v>
      </c>
      <c r="X88">
        <v>0.14000000000000001</v>
      </c>
      <c r="Y88">
        <v>12.05</v>
      </c>
      <c r="Z88" t="s">
        <v>3878</v>
      </c>
      <c r="AA88" t="s">
        <v>2793</v>
      </c>
      <c r="AB88" t="s">
        <v>203</v>
      </c>
      <c r="AC88" t="s">
        <v>435</v>
      </c>
      <c r="AD88" t="s">
        <v>2</v>
      </c>
      <c r="AE88">
        <v>18471113</v>
      </c>
      <c r="AF88" t="s">
        <v>2679</v>
      </c>
      <c r="AG88" t="s">
        <v>3879</v>
      </c>
      <c r="AH88" t="s">
        <v>2680</v>
      </c>
      <c r="AI88" t="s">
        <v>3880</v>
      </c>
      <c r="AJ88" t="s">
        <v>2681</v>
      </c>
      <c r="AK88" t="s">
        <v>223</v>
      </c>
      <c r="AL88" t="s">
        <v>2682</v>
      </c>
      <c r="AM88" t="s">
        <v>2</v>
      </c>
      <c r="AN88" t="s">
        <v>203</v>
      </c>
      <c r="AO88" t="s">
        <v>2</v>
      </c>
      <c r="AP88" t="s">
        <v>581</v>
      </c>
      <c r="AQ88" t="s">
        <v>1895</v>
      </c>
      <c r="AR88" t="s">
        <v>3881</v>
      </c>
      <c r="AS88" t="s">
        <v>3882</v>
      </c>
      <c r="AT88" t="s">
        <v>1985</v>
      </c>
      <c r="AU88" t="s">
        <v>3883</v>
      </c>
      <c r="AV88" t="s">
        <v>1804</v>
      </c>
      <c r="AW88" t="s">
        <v>2566</v>
      </c>
      <c r="AX88" t="s">
        <v>1672</v>
      </c>
      <c r="AY88" t="s">
        <v>1364</v>
      </c>
      <c r="AZ88" t="s">
        <v>795</v>
      </c>
      <c r="BA88" t="s">
        <v>662</v>
      </c>
      <c r="BB88" t="s">
        <v>797</v>
      </c>
      <c r="BC88" t="s">
        <v>610</v>
      </c>
      <c r="BD88" t="s">
        <v>1259</v>
      </c>
      <c r="BE88" t="s">
        <v>232</v>
      </c>
      <c r="BF88" t="s">
        <v>545</v>
      </c>
      <c r="BG88" t="s">
        <v>440</v>
      </c>
      <c r="BH88" t="s">
        <v>2678</v>
      </c>
      <c r="BI88" t="s">
        <v>3884</v>
      </c>
      <c r="BJ88" t="s">
        <v>1672</v>
      </c>
      <c r="BK88" t="s">
        <v>380</v>
      </c>
      <c r="BL88" t="s">
        <v>38</v>
      </c>
      <c r="BM88" t="s">
        <v>610</v>
      </c>
      <c r="BN88">
        <v>13.77</v>
      </c>
      <c r="BO88">
        <v>9.31</v>
      </c>
      <c r="BP88">
        <v>7.09</v>
      </c>
      <c r="BQ88">
        <v>14.47</v>
      </c>
      <c r="BR88">
        <v>10.32</v>
      </c>
      <c r="BS88">
        <v>7.9</v>
      </c>
      <c r="BT88" t="s">
        <v>1563</v>
      </c>
      <c r="BU88" t="s">
        <v>1445</v>
      </c>
      <c r="BV88">
        <v>33.99</v>
      </c>
      <c r="BW88">
        <v>28.88</v>
      </c>
      <c r="BX88">
        <v>25.37</v>
      </c>
      <c r="BY88">
        <v>16.760000000000002</v>
      </c>
      <c r="BZ88">
        <v>10.61</v>
      </c>
      <c r="CA88">
        <v>10.08</v>
      </c>
      <c r="CB88">
        <v>-9.91</v>
      </c>
      <c r="CC88">
        <v>-1.93</v>
      </c>
      <c r="CD88" t="s">
        <v>3885</v>
      </c>
      <c r="CE88" t="s">
        <v>352</v>
      </c>
      <c r="CF88" s="10">
        <v>0.19141394249704607</v>
      </c>
      <c r="CG88" s="11">
        <v>1.6395277536231885</v>
      </c>
      <c r="CH88" s="10">
        <v>0.20542971789836884</v>
      </c>
      <c r="CI88" s="10">
        <v>0.29545781016349792</v>
      </c>
      <c r="CJ88" s="10">
        <v>-9.8689021542668343E-3</v>
      </c>
      <c r="CK88" s="10">
        <v>4.2321819812059402E-2</v>
      </c>
      <c r="CL88" s="10">
        <v>0.15928450226783752</v>
      </c>
      <c r="CM88" s="11">
        <v>-0.60654008388519287</v>
      </c>
      <c r="CN88" s="11">
        <v>0.37391304969787598</v>
      </c>
      <c r="CO88" s="11">
        <v>-0.27824267745018005</v>
      </c>
      <c r="CP88" s="11">
        <v>-4.780876636505127E-2</v>
      </c>
      <c r="CQ88" s="11">
        <v>0.97637796401977539</v>
      </c>
      <c r="CR88">
        <v>59.604885465505696</v>
      </c>
      <c r="CS88">
        <v>4.3028254785432356</v>
      </c>
      <c r="CT88">
        <v>2.0615287028227085</v>
      </c>
      <c r="CU88" s="10">
        <v>0.13852498959749937</v>
      </c>
      <c r="CV88" s="11">
        <v>8.3539897203445429E-2</v>
      </c>
      <c r="CW88">
        <v>0.06</v>
      </c>
      <c r="CX88">
        <v>108.66095852611836</v>
      </c>
      <c r="CY88">
        <v>400631906.71685588</v>
      </c>
      <c r="CZ88">
        <v>0.13852498959749937</v>
      </c>
      <c r="DA88">
        <v>34.087687990657166</v>
      </c>
      <c r="DB88">
        <v>1277090045.2952878</v>
      </c>
      <c r="DC88">
        <v>0.1315987401176244</v>
      </c>
      <c r="DD88">
        <v>15.872638236324452</v>
      </c>
      <c r="DE88">
        <v>2742647211.6257801</v>
      </c>
      <c r="DF88">
        <v>0.12190199084579945</v>
      </c>
      <c r="DG88">
        <v>8.9398605099722168</v>
      </c>
      <c r="DH88">
        <v>4869544323.5875826</v>
      </c>
      <c r="DI88">
        <v>0.1108199916779995</v>
      </c>
      <c r="DJ88">
        <v>3.9930577877213014</v>
      </c>
      <c r="DK88">
        <v>10902183067.288588</v>
      </c>
      <c r="DL88">
        <v>9.6967492718249559E-2</v>
      </c>
      <c r="DM88">
        <v>373000000</v>
      </c>
      <c r="DN88">
        <v>0.13852498959749937</v>
      </c>
      <c r="DO88">
        <v>43533047000</v>
      </c>
      <c r="DP88">
        <v>5447676100</v>
      </c>
      <c r="DQ88">
        <v>3736</v>
      </c>
      <c r="DR88">
        <v>5.2888952899546704E-2</v>
      </c>
      <c r="DS88">
        <v>1.5559878564197431</v>
      </c>
      <c r="DT88" s="12">
        <v>-2.3333333333333355E-2</v>
      </c>
      <c r="DU88">
        <v>0.10333333333333332</v>
      </c>
      <c r="DV88">
        <v>7.999999999999996E-2</v>
      </c>
      <c r="DW88">
        <v>-5.1947527749747726</v>
      </c>
      <c r="DX88">
        <v>0.34079209726443815</v>
      </c>
      <c r="DY88">
        <v>-5.0391048181352538</v>
      </c>
      <c r="DZ88">
        <v>3481</v>
      </c>
      <c r="EA88">
        <v>-5.0124660956442915</v>
      </c>
      <c r="EB88">
        <v>5</v>
      </c>
      <c r="EC88">
        <v>4.6811742540305498E-2</v>
      </c>
      <c r="ED88">
        <v>0.23313538320512542</v>
      </c>
      <c r="EE88" s="13">
        <v>1.048</v>
      </c>
      <c r="EF88">
        <v>1.0197000000000001</v>
      </c>
      <c r="EG88">
        <v>14.200792097264438</v>
      </c>
      <c r="EH88" t="s">
        <v>1547</v>
      </c>
      <c r="EI88">
        <v>0</v>
      </c>
      <c r="EJ88">
        <v>0</v>
      </c>
      <c r="EK88" s="14">
        <v>45470</v>
      </c>
      <c r="EL88">
        <v>0.45</v>
      </c>
      <c r="EM88">
        <v>-4.07</v>
      </c>
      <c r="EN88">
        <v>1.18</v>
      </c>
      <c r="EO88">
        <v>2.91</v>
      </c>
      <c r="EP88">
        <v>-2.83</v>
      </c>
    </row>
    <row r="89" spans="1:146" ht="96" x14ac:dyDescent="0.25">
      <c r="A89" s="9"/>
      <c r="B89" s="9"/>
      <c r="C89" s="9" t="str">
        <f>""&amp;CHAR(10)&amp;Basic_Fundamental_Information_Constructure(F89)&amp;CHAR(10)&amp;Basic_Fundamental_Information_Concatenate("")</f>
        <v xml:space="preserve">
市值24.159012亿, 利润86.70亿; PE93.59; 平均PE1.58; 平均PEG0, PB.975; ROIC2.3233%; ROE2.01%; 股利率2.4735%; 毛利31.01%; 净利8.28%; 上一年度营收增64317.68%, 利润增14504.69%; 当季营收增-99.87%, 利润增-99.62%; 过往5年营收增12875.64%, 利润增2893.32%
Income profile:
</v>
      </c>
      <c r="D89" t="s">
        <v>983</v>
      </c>
      <c r="E89" t="s">
        <v>984</v>
      </c>
      <c r="F89">
        <v>2.83</v>
      </c>
      <c r="G89">
        <v>0.71</v>
      </c>
      <c r="H89" t="s">
        <v>3886</v>
      </c>
      <c r="I89">
        <v>2415901200</v>
      </c>
      <c r="J89">
        <v>93.59</v>
      </c>
      <c r="K89">
        <v>0.97499999999999998</v>
      </c>
      <c r="L89" t="s">
        <v>2891</v>
      </c>
      <c r="M89" t="s">
        <v>287</v>
      </c>
      <c r="N89" t="s">
        <v>3887</v>
      </c>
      <c r="O89" t="s">
        <v>52</v>
      </c>
      <c r="P89">
        <v>4.04</v>
      </c>
      <c r="Q89" t="s">
        <v>3888</v>
      </c>
      <c r="R89">
        <v>12810608</v>
      </c>
      <c r="S89" s="6">
        <v>6.9470000000000001</v>
      </c>
      <c r="T89" t="s">
        <v>3889</v>
      </c>
      <c r="U89">
        <v>853675320</v>
      </c>
      <c r="V89">
        <v>853675320</v>
      </c>
      <c r="W89">
        <v>1.1599999999999999</v>
      </c>
      <c r="X89">
        <v>0.06</v>
      </c>
      <c r="Y89">
        <v>9.56</v>
      </c>
      <c r="Z89" t="s">
        <v>55</v>
      </c>
      <c r="AA89" t="s">
        <v>87</v>
      </c>
      <c r="AB89" t="s">
        <v>3890</v>
      </c>
      <c r="AC89" t="s">
        <v>3891</v>
      </c>
      <c r="AD89" t="s">
        <v>2</v>
      </c>
      <c r="AE89">
        <v>-7488321</v>
      </c>
      <c r="AF89" t="s">
        <v>2685</v>
      </c>
      <c r="AG89" t="s">
        <v>3892</v>
      </c>
      <c r="AH89" t="s">
        <v>2686</v>
      </c>
      <c r="AI89" t="s">
        <v>1570</v>
      </c>
      <c r="AJ89" t="s">
        <v>2687</v>
      </c>
      <c r="AK89" t="s">
        <v>3893</v>
      </c>
      <c r="AL89" t="s">
        <v>2688</v>
      </c>
      <c r="AM89" t="s">
        <v>2</v>
      </c>
      <c r="AN89">
        <v>0</v>
      </c>
      <c r="AO89" t="s">
        <v>2</v>
      </c>
      <c r="AP89" t="s">
        <v>3894</v>
      </c>
      <c r="AQ89" t="s">
        <v>38</v>
      </c>
      <c r="AR89" t="s">
        <v>3895</v>
      </c>
      <c r="AS89" t="s">
        <v>286</v>
      </c>
      <c r="AT89" t="s">
        <v>2</v>
      </c>
      <c r="AU89" t="s">
        <v>3896</v>
      </c>
      <c r="AV89" t="s">
        <v>3897</v>
      </c>
      <c r="AW89" t="s">
        <v>3898</v>
      </c>
      <c r="AX89" t="s">
        <v>28</v>
      </c>
      <c r="AY89" t="s">
        <v>907</v>
      </c>
      <c r="AZ89" t="s">
        <v>229</v>
      </c>
      <c r="BA89" t="s">
        <v>32</v>
      </c>
      <c r="BB89" t="s">
        <v>302</v>
      </c>
      <c r="BC89" t="s">
        <v>1673</v>
      </c>
      <c r="BD89" t="s">
        <v>1365</v>
      </c>
      <c r="BE89" t="s">
        <v>985</v>
      </c>
      <c r="BF89" t="s">
        <v>323</v>
      </c>
      <c r="BG89" t="s">
        <v>460</v>
      </c>
      <c r="BH89" t="s">
        <v>328</v>
      </c>
      <c r="BI89" t="s">
        <v>3899</v>
      </c>
      <c r="BJ89" t="s">
        <v>28</v>
      </c>
      <c r="BK89" t="s">
        <v>2684</v>
      </c>
      <c r="BL89" t="s">
        <v>3900</v>
      </c>
      <c r="BM89" t="s">
        <v>1673</v>
      </c>
      <c r="BN89">
        <v>0.23</v>
      </c>
      <c r="BO89">
        <v>2.87</v>
      </c>
      <c r="BP89">
        <v>3.87</v>
      </c>
      <c r="BQ89">
        <v>0.62</v>
      </c>
      <c r="BR89">
        <v>2.46</v>
      </c>
      <c r="BS89">
        <v>2.95</v>
      </c>
      <c r="BT89" t="s">
        <v>1531</v>
      </c>
      <c r="BU89" t="s">
        <v>1445</v>
      </c>
      <c r="BV89">
        <v>30.8</v>
      </c>
      <c r="BW89">
        <v>31.01</v>
      </c>
      <c r="BX89">
        <v>31.22</v>
      </c>
      <c r="BY89">
        <v>4.9800000000000004</v>
      </c>
      <c r="BZ89">
        <v>8.6999999999999993</v>
      </c>
      <c r="CA89">
        <v>11.16</v>
      </c>
      <c r="CB89">
        <v>-2.75</v>
      </c>
      <c r="CC89">
        <v>-8.7100000000000009</v>
      </c>
      <c r="CD89" t="s">
        <v>3901</v>
      </c>
      <c r="CE89" t="s">
        <v>493</v>
      </c>
      <c r="CF89" s="10">
        <v>-0.99874699729323724</v>
      </c>
      <c r="CG89" s="11">
        <v>-0.9962008873072361</v>
      </c>
      <c r="CH89" s="10">
        <v>643.17681884765625</v>
      </c>
      <c r="CI89" s="10">
        <v>-2.0895522087812424E-2</v>
      </c>
      <c r="CJ89" s="10">
        <v>-3.1791906803846359E-2</v>
      </c>
      <c r="CK89" s="10">
        <v>0.48497852683067322</v>
      </c>
      <c r="CL89" s="10">
        <v>0.17281879484653473</v>
      </c>
      <c r="CM89" s="11">
        <v>145.04689025878906</v>
      </c>
      <c r="CN89" s="11">
        <v>-0.20247809588909149</v>
      </c>
      <c r="CO89" s="11">
        <v>-1.6571380198001862E-2</v>
      </c>
      <c r="CP89" s="11">
        <v>-0.56994038820266724</v>
      </c>
      <c r="CQ89" s="11">
        <v>0.40799999237060547</v>
      </c>
      <c r="CR89">
        <v>1.5789359070460194</v>
      </c>
      <c r="CS89">
        <v>1.2262971641151881E-4</v>
      </c>
      <c r="CT89">
        <v>2.4734982332155475</v>
      </c>
      <c r="CU89" s="10">
        <v>128.75638574808835</v>
      </c>
      <c r="CV89" s="11">
        <v>28.933180077373983</v>
      </c>
      <c r="CW89">
        <v>0.06</v>
      </c>
      <c r="CX89">
        <v>1.5066408923885213E-4</v>
      </c>
      <c r="CY89">
        <v>1061309306071.6282</v>
      </c>
      <c r="CZ89">
        <v>128.75638574808835</v>
      </c>
      <c r="DA89">
        <v>1.1612237938815091E-8</v>
      </c>
      <c r="DB89">
        <v>1.3770058867422438E+16</v>
      </c>
      <c r="DC89">
        <v>122.31856646068393</v>
      </c>
      <c r="DD89">
        <v>1.1620268359389798E-14</v>
      </c>
      <c r="DE89">
        <v>1.3760542790803215E+22</v>
      </c>
      <c r="DF89">
        <v>113.30561945831775</v>
      </c>
      <c r="DG89">
        <v>2.2074740365767696E-22</v>
      </c>
      <c r="DH89">
        <v>7.2436276644941226E+29</v>
      </c>
      <c r="DI89">
        <v>103.00510859847068</v>
      </c>
      <c r="DJ89">
        <v>3.7470699621277955E-41</v>
      </c>
      <c r="DK89">
        <v>4.2673662786162435E+48</v>
      </c>
      <c r="DL89">
        <v>90.129470023661838</v>
      </c>
      <c r="DM89">
        <v>8670000000</v>
      </c>
      <c r="DN89">
        <v>128.75638574808835</v>
      </c>
      <c r="DO89">
        <v>159901200</v>
      </c>
      <c r="DP89">
        <v>1426111000</v>
      </c>
      <c r="DQ89">
        <v>3752</v>
      </c>
      <c r="DR89">
        <v>-129.75513274538159</v>
      </c>
      <c r="DS89">
        <v>-29.929380964681219</v>
      </c>
      <c r="DT89" s="12">
        <v>7.6666666666666591E-2</v>
      </c>
      <c r="DU89">
        <v>-0.3066666666666667</v>
      </c>
      <c r="DV89">
        <v>-0.23000000000000009</v>
      </c>
      <c r="DW89">
        <v>-8.3157290470723311</v>
      </c>
      <c r="DX89">
        <v>0.36218835772357771</v>
      </c>
      <c r="DY89">
        <v>-8.0733086089253536</v>
      </c>
      <c r="DZ89">
        <v>564</v>
      </c>
      <c r="EA89">
        <v>-8.0652174043394638</v>
      </c>
      <c r="EB89">
        <v>8</v>
      </c>
      <c r="EC89">
        <v>0.10036309823270984</v>
      </c>
      <c r="ED89">
        <v>0.43224864460179074</v>
      </c>
      <c r="EE89" s="13">
        <v>-2.1169099999999998</v>
      </c>
      <c r="EF89">
        <v>-2.1434099999999998</v>
      </c>
      <c r="EG89">
        <v>13.232188357723578</v>
      </c>
      <c r="EH89" t="s">
        <v>1555</v>
      </c>
      <c r="EI89">
        <v>0</v>
      </c>
      <c r="EJ89">
        <v>1</v>
      </c>
      <c r="EK89" s="14">
        <v>45470</v>
      </c>
      <c r="EL89">
        <v>-0.8</v>
      </c>
      <c r="EM89">
        <v>-1.72</v>
      </c>
      <c r="EN89">
        <v>-0.21</v>
      </c>
      <c r="EO89">
        <v>1.45</v>
      </c>
      <c r="EP89">
        <v>-2.65</v>
      </c>
    </row>
    <row r="90" spans="1:146" ht="96" x14ac:dyDescent="0.25">
      <c r="A90" s="9"/>
      <c r="B90" s="9"/>
      <c r="C90" s="9" t="str">
        <f>""&amp;CHAR(10)&amp;Basic_Fundamental_Information_Constructure(F90)&amp;CHAR(10)&amp;Basic_Fundamental_Information_Concatenate("")</f>
        <v xml:space="preserve">
市值48.317035亿, 利润8.99亿; PE39.62; 平均PE29.11; 平均PEG.51, PB1.78; ROIC2.1267%; ROE2.13%; 股利率1.182%; 毛利10.1767%; 净利2.1267%; 上一年度营收增239.21%, 利润增2687.77%; 当季营收增-50.18%, 利润增-62.07%; 过往5年营收增56.74%, 利润增349.99%
Income profile:
</v>
      </c>
      <c r="D90" t="s">
        <v>1131</v>
      </c>
      <c r="E90" t="s">
        <v>1132</v>
      </c>
      <c r="F90">
        <v>4.2300000000000004</v>
      </c>
      <c r="G90">
        <v>0.95</v>
      </c>
      <c r="H90" t="s">
        <v>3902</v>
      </c>
      <c r="I90">
        <v>4831703500</v>
      </c>
      <c r="J90">
        <v>39.619999999999997</v>
      </c>
      <c r="K90">
        <v>1.78</v>
      </c>
      <c r="L90" t="s">
        <v>2891</v>
      </c>
      <c r="M90" t="s">
        <v>2689</v>
      </c>
      <c r="N90" t="s">
        <v>1612</v>
      </c>
      <c r="O90" t="s">
        <v>1811</v>
      </c>
      <c r="P90">
        <v>100.38</v>
      </c>
      <c r="Q90" t="s">
        <v>3903</v>
      </c>
      <c r="R90">
        <v>64473601</v>
      </c>
      <c r="S90" s="6">
        <v>4.7160000000000002</v>
      </c>
      <c r="T90" t="s">
        <v>3904</v>
      </c>
      <c r="U90">
        <v>1142246700</v>
      </c>
      <c r="V90">
        <v>1142246700</v>
      </c>
      <c r="W90">
        <v>2.59</v>
      </c>
      <c r="X90">
        <v>0.12</v>
      </c>
      <c r="Y90">
        <v>9.82</v>
      </c>
      <c r="Z90" t="s">
        <v>392</v>
      </c>
      <c r="AA90" t="s">
        <v>3905</v>
      </c>
      <c r="AB90" t="s">
        <v>3906</v>
      </c>
      <c r="AC90" t="s">
        <v>3907</v>
      </c>
      <c r="AD90" t="s">
        <v>2</v>
      </c>
      <c r="AE90">
        <v>17406188</v>
      </c>
      <c r="AF90" t="s">
        <v>2692</v>
      </c>
      <c r="AG90" t="s">
        <v>3908</v>
      </c>
      <c r="AH90" t="s">
        <v>2693</v>
      </c>
      <c r="AI90" t="s">
        <v>1855</v>
      </c>
      <c r="AJ90" t="s">
        <v>2694</v>
      </c>
      <c r="AK90" t="s">
        <v>162</v>
      </c>
      <c r="AL90" t="s">
        <v>2695</v>
      </c>
      <c r="AM90" t="s">
        <v>2</v>
      </c>
      <c r="AN90" t="s">
        <v>3909</v>
      </c>
      <c r="AO90" t="s">
        <v>2436</v>
      </c>
      <c r="AP90" t="s">
        <v>3905</v>
      </c>
      <c r="AQ90" t="s">
        <v>126</v>
      </c>
      <c r="AR90" t="s">
        <v>2696</v>
      </c>
      <c r="AS90" t="s">
        <v>3910</v>
      </c>
      <c r="AT90" t="s">
        <v>189</v>
      </c>
      <c r="AU90" t="s">
        <v>3911</v>
      </c>
      <c r="AV90" t="s">
        <v>3912</v>
      </c>
      <c r="AW90" t="s">
        <v>466</v>
      </c>
      <c r="AX90" t="s">
        <v>1674</v>
      </c>
      <c r="AY90" t="s">
        <v>1285</v>
      </c>
      <c r="AZ90" t="s">
        <v>1133</v>
      </c>
      <c r="BA90" t="s">
        <v>523</v>
      </c>
      <c r="BB90" t="s">
        <v>1134</v>
      </c>
      <c r="BC90" t="s">
        <v>1675</v>
      </c>
      <c r="BD90" t="s">
        <v>1366</v>
      </c>
      <c r="BE90" t="s">
        <v>231</v>
      </c>
      <c r="BF90" t="s">
        <v>255</v>
      </c>
      <c r="BG90" t="s">
        <v>1136</v>
      </c>
      <c r="BH90" t="s">
        <v>2690</v>
      </c>
      <c r="BI90" t="s">
        <v>3913</v>
      </c>
      <c r="BJ90" t="s">
        <v>1674</v>
      </c>
      <c r="BK90" t="s">
        <v>2691</v>
      </c>
      <c r="BL90" t="s">
        <v>207</v>
      </c>
      <c r="BM90" t="s">
        <v>1675</v>
      </c>
      <c r="BN90">
        <v>1.43</v>
      </c>
      <c r="BO90">
        <v>1.6</v>
      </c>
      <c r="BP90">
        <v>3.35</v>
      </c>
      <c r="BQ90">
        <v>1.52</v>
      </c>
      <c r="BR90">
        <v>1.24</v>
      </c>
      <c r="BS90">
        <v>3.63</v>
      </c>
      <c r="BT90" t="s">
        <v>1527</v>
      </c>
      <c r="BU90" t="s">
        <v>1274</v>
      </c>
      <c r="BV90">
        <v>10.81</v>
      </c>
      <c r="BW90">
        <v>8.18</v>
      </c>
      <c r="BX90">
        <v>11.54</v>
      </c>
      <c r="BY90">
        <v>2.2200000000000002</v>
      </c>
      <c r="BZ90">
        <v>1.24</v>
      </c>
      <c r="CA90">
        <v>2.92</v>
      </c>
      <c r="CB90">
        <v>-3.64</v>
      </c>
      <c r="CC90">
        <v>-11.13</v>
      </c>
      <c r="CD90" t="s">
        <v>3914</v>
      </c>
      <c r="CE90" t="s">
        <v>110</v>
      </c>
      <c r="CF90" s="10">
        <v>-0.50175262894341521</v>
      </c>
      <c r="CG90" s="11">
        <v>-0.62074352352941176</v>
      </c>
      <c r="CH90" s="10">
        <v>2.3921136856079102</v>
      </c>
      <c r="CI90" s="10">
        <v>-0.14352722465991974</v>
      </c>
      <c r="CJ90" s="10">
        <v>0.22952719032764435</v>
      </c>
      <c r="CK90" s="10">
        <v>-0.11530614644289017</v>
      </c>
      <c r="CL90" s="10">
        <v>0.47442325949668884</v>
      </c>
      <c r="CM90" s="11">
        <v>26.877696990966797</v>
      </c>
      <c r="CN90" s="11">
        <v>-0.65452522039413452</v>
      </c>
      <c r="CO90" s="11">
        <v>-0.57377171516418457</v>
      </c>
      <c r="CP90" s="11">
        <v>1.7849462032318115</v>
      </c>
      <c r="CQ90" s="11">
        <v>-9.9349193572998047</v>
      </c>
      <c r="CR90">
        <v>29.111973093873196</v>
      </c>
      <c r="CS90">
        <v>0.51303498925568847</v>
      </c>
      <c r="CT90">
        <v>1.1820330969267139</v>
      </c>
      <c r="CU90" s="10">
        <v>0.56744615286588673</v>
      </c>
      <c r="CV90" s="11">
        <v>3.4998853802680969</v>
      </c>
      <c r="CW90">
        <v>0.06</v>
      </c>
      <c r="CX90">
        <v>4.7681947026052667</v>
      </c>
      <c r="CY90">
        <v>1329371784.3645587</v>
      </c>
      <c r="CZ90">
        <v>0.56744615286588673</v>
      </c>
      <c r="DA90">
        <v>1.0649017663000422</v>
      </c>
      <c r="DB90">
        <v>5952383309.5174284</v>
      </c>
      <c r="DC90">
        <v>0.53907384522259238</v>
      </c>
      <c r="DD90">
        <v>0.29477021912078005</v>
      </c>
      <c r="DE90">
        <v>21503880272.934765</v>
      </c>
      <c r="DF90">
        <v>0.49935261452198032</v>
      </c>
      <c r="DG90">
        <v>8.4626215467810129E-2</v>
      </c>
      <c r="DH90">
        <v>74902362878.452209</v>
      </c>
      <c r="DI90">
        <v>0.4539569222927094</v>
      </c>
      <c r="DJ90">
        <v>6.8153302319989379E-3</v>
      </c>
      <c r="DK90">
        <v>930065497081.69556</v>
      </c>
      <c r="DL90">
        <v>0.3972123070061207</v>
      </c>
      <c r="DM90">
        <v>899000000</v>
      </c>
      <c r="DN90">
        <v>0.56744615286588673</v>
      </c>
      <c r="DO90">
        <v>6338703500</v>
      </c>
      <c r="DP90">
        <v>962571900</v>
      </c>
      <c r="DQ90">
        <v>3771</v>
      </c>
      <c r="DR90">
        <v>-1.0691987818093018</v>
      </c>
      <c r="DS90">
        <v>-4.1206289037975088</v>
      </c>
      <c r="DT90" s="12">
        <v>9.3333333333333268E-2</v>
      </c>
      <c r="DU90">
        <v>-0.95666666666666667</v>
      </c>
      <c r="DV90">
        <v>-0.8633333333333334</v>
      </c>
      <c r="DW90">
        <v>-8.3270440251572335</v>
      </c>
      <c r="DX90">
        <v>0.32593194444444379</v>
      </c>
      <c r="DY90">
        <v>-8.0444557302585604</v>
      </c>
      <c r="DZ90">
        <v>2200</v>
      </c>
      <c r="EA90">
        <v>-8.0253162769182804</v>
      </c>
      <c r="EB90">
        <v>8</v>
      </c>
      <c r="EC90">
        <v>3.4273156578171773E-2</v>
      </c>
      <c r="ED90">
        <v>0.25213467458474603</v>
      </c>
      <c r="EE90" s="13">
        <v>1.11381</v>
      </c>
      <c r="EF90">
        <v>1.1365099999999999</v>
      </c>
      <c r="EG90">
        <v>19.135931944444444</v>
      </c>
      <c r="EH90" t="s">
        <v>1549</v>
      </c>
      <c r="EI90">
        <v>0</v>
      </c>
      <c r="EJ90">
        <v>0</v>
      </c>
      <c r="EK90" s="14">
        <v>45470</v>
      </c>
      <c r="EL90">
        <v>-0.55000000000000004</v>
      </c>
      <c r="EM90">
        <v>-3.69</v>
      </c>
      <c r="EN90">
        <v>-1.55</v>
      </c>
      <c r="EO90">
        <v>-2.68</v>
      </c>
      <c r="EP90">
        <v>-2.27</v>
      </c>
    </row>
    <row r="91" spans="1:146" ht="204" x14ac:dyDescent="0.25">
      <c r="A91" s="9"/>
      <c r="B91" s="9"/>
      <c r="C91" s="9" t="str">
        <f>"公司主要从事配电电器、终端电器、控制电器、电源电器等低压电器及电子电器、仪器仪表、建筑电器和自动化控制系统等产品的研发、生产和销售；太阳能电池、组件的生产及销售、EPC工程总包，电站开发、建设、运营以及运维等"&amp;CHAR(10)&amp;Basic_Fundamental_Information_Constructure(F91)&amp;CHAR(10)&amp;Basic_Fundamental_Information_Concatenate("光伏电站工程承包 120.33亿 26.17% 15.34% 13.55%
太阳能电池组件 83.96亿 18.26% 5.38% 6.81%
终端电器 63.82亿 13.88% 14.67% 24.44%
电站运营 52.21亿 11.36% 26.82% 54.58%
配电电器 51.51亿 11.20% 12.80% 26.41%
控制电器 29.45亿 6.41% 6.63% 23.91%
仪器仪表 14.60亿 3.18% 5.78% 42.08%")</f>
        <v>公司主要从事配电电器、终端电器、控制电器、电源电器等低压电器及电子电器、仪器仪表、建筑电器和自动化控制系统等产品的研发、生产和销售；太阳能电池、组件的生产及销售、EPC工程总包，电站开发、建设、运营以及运维等
市值396.26988亿, 利润17.54亿; PE11.11; 平均PE10.37; 平均PEG8.33, PB.979; ROIC7.79%; ROE10.2833%; 股利率2.9826%; 毛利23.26%; 净利9.5333%; 上一年度营收增-61.63%, 利润增-56.36%; 当季营收增222.79%, 利润增121.43%; 过往5年营收增-1.25%, 利润增-1.81%
Income profile:
光伏电站工程承包 120.33亿 26.17% 15.34% 13.55%
太阳能电池组件 83.96亿 18.26% 5.38% 6.81%
终端电器 63.82亿 13.88% 14.67% 24.44%
电站运营 52.21亿 11.36% 26.82% 54.58%
配电电器 51.51亿 11.20% 12.80% 26.41%
控制电器 29.45亿 6.41% 6.63% 23.91%
仪器仪表 14.60亿 3.18% 5.78% 42.08%</v>
      </c>
      <c r="D91" t="s">
        <v>986</v>
      </c>
      <c r="E91" t="s">
        <v>987</v>
      </c>
      <c r="F91">
        <v>18.440000000000001</v>
      </c>
      <c r="G91">
        <v>-0.11</v>
      </c>
      <c r="H91" t="s">
        <v>3915</v>
      </c>
      <c r="I91">
        <v>39626988000</v>
      </c>
      <c r="J91">
        <v>11.11</v>
      </c>
      <c r="K91">
        <v>0.97899999999999998</v>
      </c>
      <c r="L91" t="s">
        <v>2891</v>
      </c>
      <c r="M91" t="s">
        <v>2699</v>
      </c>
      <c r="N91" t="s">
        <v>3916</v>
      </c>
      <c r="O91" t="s">
        <v>2700</v>
      </c>
      <c r="P91">
        <v>1.1200000000000001</v>
      </c>
      <c r="Q91" t="s">
        <v>3917</v>
      </c>
      <c r="R91">
        <v>1080597220</v>
      </c>
      <c r="S91" s="6">
        <v>-0.10059999999999999</v>
      </c>
      <c r="T91" t="s">
        <v>1513</v>
      </c>
      <c r="U91">
        <v>2148969000</v>
      </c>
      <c r="V91">
        <v>2148969000</v>
      </c>
      <c r="W91">
        <v>2.54</v>
      </c>
      <c r="X91">
        <v>0.13</v>
      </c>
      <c r="Y91">
        <v>8.61</v>
      </c>
      <c r="Z91" t="s">
        <v>3918</v>
      </c>
      <c r="AA91" t="s">
        <v>3919</v>
      </c>
      <c r="AB91" t="s">
        <v>398</v>
      </c>
      <c r="AC91" t="s">
        <v>756</v>
      </c>
      <c r="AD91" t="s">
        <v>2</v>
      </c>
      <c r="AE91">
        <v>454888080</v>
      </c>
      <c r="AF91" t="s">
        <v>2703</v>
      </c>
      <c r="AG91" t="s">
        <v>3920</v>
      </c>
      <c r="AH91" t="s">
        <v>2704</v>
      </c>
      <c r="AI91" t="s">
        <v>3921</v>
      </c>
      <c r="AJ91" t="s">
        <v>2705</v>
      </c>
      <c r="AK91" t="s">
        <v>3922</v>
      </c>
      <c r="AL91" t="s">
        <v>2706</v>
      </c>
      <c r="AM91" t="s">
        <v>2</v>
      </c>
      <c r="AN91" t="s">
        <v>3923</v>
      </c>
      <c r="AO91" t="s">
        <v>3924</v>
      </c>
      <c r="AP91" t="s">
        <v>3925</v>
      </c>
      <c r="AQ91" t="s">
        <v>3926</v>
      </c>
      <c r="AR91" t="s">
        <v>3927</v>
      </c>
      <c r="AS91" t="s">
        <v>3928</v>
      </c>
      <c r="AT91" t="s">
        <v>3929</v>
      </c>
      <c r="AU91" t="s">
        <v>3930</v>
      </c>
      <c r="AV91" t="s">
        <v>2715</v>
      </c>
      <c r="AW91" t="s">
        <v>3931</v>
      </c>
      <c r="AX91" t="s">
        <v>1813</v>
      </c>
      <c r="AY91" t="s">
        <v>1676</v>
      </c>
      <c r="AZ91" t="s">
        <v>988</v>
      </c>
      <c r="BA91" t="s">
        <v>990</v>
      </c>
      <c r="BB91" t="s">
        <v>991</v>
      </c>
      <c r="BC91" t="s">
        <v>2707</v>
      </c>
      <c r="BD91" t="s">
        <v>1677</v>
      </c>
      <c r="BE91" t="s">
        <v>989</v>
      </c>
      <c r="BF91" t="s">
        <v>992</v>
      </c>
      <c r="BG91" t="s">
        <v>993</v>
      </c>
      <c r="BH91" t="s">
        <v>2701</v>
      </c>
      <c r="BI91" t="s">
        <v>496</v>
      </c>
      <c r="BJ91" t="s">
        <v>1813</v>
      </c>
      <c r="BK91" t="s">
        <v>2702</v>
      </c>
      <c r="BL91" t="s">
        <v>1437</v>
      </c>
      <c r="BM91" t="s">
        <v>2707</v>
      </c>
      <c r="BN91">
        <v>6.31</v>
      </c>
      <c r="BO91">
        <v>8.6999999999999993</v>
      </c>
      <c r="BP91">
        <v>8.36</v>
      </c>
      <c r="BQ91">
        <v>8</v>
      </c>
      <c r="BR91">
        <v>11.95</v>
      </c>
      <c r="BS91">
        <v>10.9</v>
      </c>
      <c r="BT91" t="s">
        <v>2102</v>
      </c>
      <c r="BU91" t="s">
        <v>1445</v>
      </c>
      <c r="BV91">
        <v>21.97</v>
      </c>
      <c r="BW91">
        <v>23.12</v>
      </c>
      <c r="BX91">
        <v>24.69</v>
      </c>
      <c r="BY91">
        <v>8.64</v>
      </c>
      <c r="BZ91">
        <v>10.27</v>
      </c>
      <c r="CA91">
        <v>9.69</v>
      </c>
      <c r="CB91">
        <v>-3.25</v>
      </c>
      <c r="CC91">
        <v>-12.61</v>
      </c>
      <c r="CD91" t="s">
        <v>3932</v>
      </c>
      <c r="CE91" t="s">
        <v>466</v>
      </c>
      <c r="CF91" s="10">
        <v>2.22794564996958</v>
      </c>
      <c r="CG91" s="11">
        <v>1.2143385655737704</v>
      </c>
      <c r="CH91" s="10">
        <v>-0.61634832620620728</v>
      </c>
      <c r="CI91" s="10">
        <v>0.17782388627529144</v>
      </c>
      <c r="CJ91" s="10">
        <v>0.1738189309835434</v>
      </c>
      <c r="CK91" s="10">
        <v>0.10014554858207703</v>
      </c>
      <c r="CL91" s="10">
        <v>0.10229387134313583</v>
      </c>
      <c r="CM91" s="11">
        <v>-0.56357300281524658</v>
      </c>
      <c r="CN91" s="11">
        <v>0.19328980147838593</v>
      </c>
      <c r="CO91" s="11">
        <v>-0.47596076130867004</v>
      </c>
      <c r="CP91" s="11">
        <v>0.70839977264404297</v>
      </c>
      <c r="CQ91" s="11">
        <v>4.7327358275651932E-2</v>
      </c>
      <c r="CR91">
        <v>10.372651950091615</v>
      </c>
      <c r="CS91">
        <v>8.3292945750937903</v>
      </c>
      <c r="CT91">
        <v>2.9826464208242949</v>
      </c>
      <c r="CU91" s="10">
        <v>-1.2453217804431916E-2</v>
      </c>
      <c r="CV91" s="11">
        <v>-1.8103366345167161E-2</v>
      </c>
      <c r="CW91">
        <v>0.06</v>
      </c>
      <c r="CX91">
        <v>37.51937742303307</v>
      </c>
      <c r="CY91" t="s">
        <v>3933</v>
      </c>
      <c r="CZ91">
        <v>-1.2453217804431916E-2</v>
      </c>
      <c r="DA91">
        <v>12.506459141011023</v>
      </c>
      <c r="DB91" t="s">
        <v>3934</v>
      </c>
      <c r="DC91">
        <v>-1.1830556914210319E-2</v>
      </c>
      <c r="DD91">
        <v>6.2532295705055114</v>
      </c>
      <c r="DE91" t="s">
        <v>3935</v>
      </c>
      <c r="DF91">
        <v>-1.0958831667900086E-2</v>
      </c>
      <c r="DG91">
        <v>3.7519377423033067</v>
      </c>
      <c r="DH91" t="s">
        <v>3936</v>
      </c>
      <c r="DI91">
        <v>-9.9625742435455328E-3</v>
      </c>
      <c r="DJ91">
        <v>1.8759688711516533</v>
      </c>
      <c r="DK91" t="s">
        <v>3937</v>
      </c>
      <c r="DL91">
        <v>-8.7172524631023412E-3</v>
      </c>
      <c r="DM91">
        <v>1754000000</v>
      </c>
      <c r="DN91">
        <v>-1.2453217804431916E-2</v>
      </c>
      <c r="DO91">
        <v>65808988000</v>
      </c>
      <c r="DP91">
        <v>25077451000</v>
      </c>
      <c r="DQ91">
        <v>3802</v>
      </c>
      <c r="DR91">
        <v>2.2403988677740121</v>
      </c>
      <c r="DS91">
        <v>1.2324419319189375</v>
      </c>
      <c r="DT91" s="12">
        <v>-0.49</v>
      </c>
      <c r="DU91">
        <v>8.3333333333333329E-2</v>
      </c>
      <c r="DV91">
        <v>-0.40666666666666668</v>
      </c>
      <c r="DW91">
        <v>-8.2577319587628875</v>
      </c>
      <c r="DX91">
        <v>0.28071642228739024</v>
      </c>
      <c r="DY91">
        <v>-8.0362671191462347</v>
      </c>
      <c r="DZ91">
        <v>308</v>
      </c>
      <c r="EA91">
        <v>-8.0340811558004344</v>
      </c>
      <c r="EB91">
        <v>8</v>
      </c>
      <c r="EC91">
        <v>2.2328986597759205E-2</v>
      </c>
      <c r="ED91">
        <v>0.15868074411496863</v>
      </c>
      <c r="EE91" s="13">
        <v>3.0470000000000002</v>
      </c>
      <c r="EF91">
        <v>3.0276999999999998</v>
      </c>
      <c r="EG91">
        <v>14.14071642228739</v>
      </c>
      <c r="EH91" t="s">
        <v>1551</v>
      </c>
      <c r="EI91">
        <v>0</v>
      </c>
      <c r="EJ91">
        <v>1</v>
      </c>
      <c r="EK91" s="14">
        <v>45470</v>
      </c>
      <c r="EL91">
        <v>-1.04</v>
      </c>
      <c r="EM91">
        <v>-1.17</v>
      </c>
      <c r="EN91">
        <v>-0.83</v>
      </c>
      <c r="EO91">
        <v>-1.07</v>
      </c>
      <c r="EP91">
        <v>-1.93</v>
      </c>
    </row>
    <row r="92" spans="1:146" ht="96" x14ac:dyDescent="0.25">
      <c r="A92" s="9"/>
      <c r="B92" s="9"/>
      <c r="C92" s="9" t="str">
        <f>""&amp;CHAR(10)&amp;Basic_Fundamental_Information_Constructure(F92)&amp;CHAR(10)&amp;Basic_Fundamental_Information_Concatenate("")</f>
        <v xml:space="preserve">
市值22.342528亿, 利润1.07亿; PE31.86; 平均PE32.67; 平均PEG.73, PB2.64; ROIC7.1767%; ROE7.0967%; 股利率2.4668%; 毛利29.4833%; 净利11.3133%; 上一年度营收增181.3%, 利润增59.46%; 当季营收增-55.76%, 利润增-44.63%; 过往5年营收增44.77%, 利润增14.57%
Income profile:
</v>
      </c>
      <c r="D92" t="s">
        <v>995</v>
      </c>
      <c r="E92" t="s">
        <v>996</v>
      </c>
      <c r="F92">
        <v>15.08</v>
      </c>
      <c r="G92">
        <v>0.4</v>
      </c>
      <c r="H92" t="s">
        <v>3938</v>
      </c>
      <c r="I92">
        <v>2234252800</v>
      </c>
      <c r="J92">
        <v>31.86</v>
      </c>
      <c r="K92">
        <v>2.64</v>
      </c>
      <c r="L92" t="s">
        <v>2891</v>
      </c>
      <c r="M92" t="s">
        <v>467</v>
      </c>
      <c r="N92" t="s">
        <v>2430</v>
      </c>
      <c r="O92" t="s">
        <v>183</v>
      </c>
      <c r="P92">
        <v>-2.4300000000000002</v>
      </c>
      <c r="Q92" t="s">
        <v>1926</v>
      </c>
      <c r="R92">
        <v>16217263</v>
      </c>
      <c r="S92" s="6">
        <v>9.5799999999999996E-2</v>
      </c>
      <c r="T92" t="s">
        <v>177</v>
      </c>
      <c r="U92">
        <v>148160000</v>
      </c>
      <c r="V92">
        <v>148160000</v>
      </c>
      <c r="W92">
        <v>1.19</v>
      </c>
      <c r="X92">
        <v>0.13</v>
      </c>
      <c r="Y92">
        <v>11.42</v>
      </c>
      <c r="Z92" t="s">
        <v>460</v>
      </c>
      <c r="AA92" t="s">
        <v>3939</v>
      </c>
      <c r="AB92" t="s">
        <v>3940</v>
      </c>
      <c r="AC92" t="s">
        <v>3941</v>
      </c>
      <c r="AD92" t="s">
        <v>2</v>
      </c>
      <c r="AE92">
        <v>-882774</v>
      </c>
      <c r="AF92" t="s">
        <v>2709</v>
      </c>
      <c r="AG92">
        <v>7017.39</v>
      </c>
      <c r="AH92" t="s">
        <v>2710</v>
      </c>
      <c r="AI92" t="s">
        <v>166</v>
      </c>
      <c r="AJ92" t="s">
        <v>2711</v>
      </c>
      <c r="AK92" t="s">
        <v>3942</v>
      </c>
      <c r="AL92" t="s">
        <v>2712</v>
      </c>
      <c r="AM92" t="s">
        <v>2</v>
      </c>
      <c r="AN92">
        <v>0</v>
      </c>
      <c r="AO92" t="s">
        <v>3943</v>
      </c>
      <c r="AP92" t="s">
        <v>2</v>
      </c>
      <c r="AQ92" t="s">
        <v>3944</v>
      </c>
      <c r="AR92" t="s">
        <v>2</v>
      </c>
      <c r="AS92" t="s">
        <v>40</v>
      </c>
      <c r="AT92" t="s">
        <v>2</v>
      </c>
      <c r="AU92" t="s">
        <v>3945</v>
      </c>
      <c r="AV92" t="s">
        <v>3946</v>
      </c>
      <c r="AW92" t="s">
        <v>3943</v>
      </c>
      <c r="AX92" t="s">
        <v>669</v>
      </c>
      <c r="AY92" t="s">
        <v>620</v>
      </c>
      <c r="AZ92" t="s">
        <v>256</v>
      </c>
      <c r="BA92" t="s">
        <v>300</v>
      </c>
      <c r="BB92" t="s">
        <v>463</v>
      </c>
      <c r="BC92" t="s">
        <v>1678</v>
      </c>
      <c r="BD92" t="s">
        <v>1367</v>
      </c>
      <c r="BE92" t="s">
        <v>997</v>
      </c>
      <c r="BF92" t="s">
        <v>998</v>
      </c>
      <c r="BG92" t="s">
        <v>999</v>
      </c>
      <c r="BH92" t="s">
        <v>635</v>
      </c>
      <c r="BI92" t="s">
        <v>200</v>
      </c>
      <c r="BJ92" t="s">
        <v>669</v>
      </c>
      <c r="BK92" t="s">
        <v>2708</v>
      </c>
      <c r="BL92" t="s">
        <v>3947</v>
      </c>
      <c r="BM92" t="s">
        <v>1678</v>
      </c>
      <c r="BN92">
        <v>6.01</v>
      </c>
      <c r="BO92">
        <v>8.5</v>
      </c>
      <c r="BP92">
        <v>7.02</v>
      </c>
      <c r="BQ92">
        <v>6.14</v>
      </c>
      <c r="BR92">
        <v>8.49</v>
      </c>
      <c r="BS92">
        <v>6.66</v>
      </c>
      <c r="BT92" t="s">
        <v>2713</v>
      </c>
      <c r="BU92" t="s">
        <v>1445</v>
      </c>
      <c r="BV92">
        <v>28.98</v>
      </c>
      <c r="BW92">
        <v>29.26</v>
      </c>
      <c r="BX92">
        <v>30.21</v>
      </c>
      <c r="BY92">
        <v>11.76</v>
      </c>
      <c r="BZ92">
        <v>11.88</v>
      </c>
      <c r="CA92">
        <v>10.3</v>
      </c>
      <c r="CB92">
        <v>-2.46</v>
      </c>
      <c r="CC92">
        <v>-8.2100000000000009</v>
      </c>
      <c r="CD92" t="s">
        <v>3948</v>
      </c>
      <c r="CE92" t="s">
        <v>3949</v>
      </c>
      <c r="CF92" s="10">
        <v>-0.55763239875389403</v>
      </c>
      <c r="CG92" s="11">
        <v>-0.44633405825057099</v>
      </c>
      <c r="CH92" s="10">
        <v>1.813008189201355</v>
      </c>
      <c r="CI92" s="10">
        <v>0.10810811072587967</v>
      </c>
      <c r="CJ92" s="10">
        <v>0.25</v>
      </c>
      <c r="CK92" s="10">
        <v>2.2573363967239857E-3</v>
      </c>
      <c r="CL92" s="10">
        <v>6.4903847873210907E-2</v>
      </c>
      <c r="CM92" s="11">
        <v>0.59460633993148804</v>
      </c>
      <c r="CN92" s="11">
        <v>0.26650962233543396</v>
      </c>
      <c r="CO92" s="11">
        <v>-0.14654509723186493</v>
      </c>
      <c r="CP92" s="11">
        <v>3.5805221647024155E-2</v>
      </c>
      <c r="CQ92" s="11">
        <v>-2.1720997989177704E-2</v>
      </c>
      <c r="CR92">
        <v>32.667953351814809</v>
      </c>
      <c r="CS92">
        <v>0.72975655570989728</v>
      </c>
      <c r="CT92">
        <v>2.46684350132626</v>
      </c>
      <c r="CU92" s="10">
        <v>0.4476554968394339</v>
      </c>
      <c r="CV92" s="11">
        <v>0.14573101773858071</v>
      </c>
      <c r="CW92">
        <v>0.06</v>
      </c>
      <c r="CX92">
        <v>10.588102603170324</v>
      </c>
      <c r="CY92">
        <v>146131262.41681078</v>
      </c>
      <c r="CZ92">
        <v>0.4476554968394339</v>
      </c>
      <c r="DA92">
        <v>2.5898332489225733</v>
      </c>
      <c r="DB92">
        <v>597433367.82153475</v>
      </c>
      <c r="DC92">
        <v>0.42527272199746219</v>
      </c>
      <c r="DD92">
        <v>0.83042036844183098</v>
      </c>
      <c r="DE92">
        <v>1863216340.5423279</v>
      </c>
      <c r="DF92">
        <v>0.39393683721870182</v>
      </c>
      <c r="DG92">
        <v>0.29063417311949291</v>
      </c>
      <c r="DH92">
        <v>5323712567.5646343</v>
      </c>
      <c r="DI92">
        <v>0.35812439747154712</v>
      </c>
      <c r="DJ92">
        <v>3.8904014599085851E-2</v>
      </c>
      <c r="DK92">
        <v>39771031754.55719</v>
      </c>
      <c r="DL92">
        <v>0.3133588477876037</v>
      </c>
      <c r="DM92">
        <v>107000000</v>
      </c>
      <c r="DN92">
        <v>0.4476554968394339</v>
      </c>
      <c r="DO92">
        <v>1547252800</v>
      </c>
      <c r="DP92">
        <v>717460260</v>
      </c>
      <c r="DQ92">
        <v>3859</v>
      </c>
      <c r="DR92">
        <v>-1.005287895593328</v>
      </c>
      <c r="DS92">
        <v>-0.5920650759891517</v>
      </c>
      <c r="DT92" s="12">
        <v>-6.6666666666666714E-3</v>
      </c>
      <c r="DU92">
        <v>9.6666666666666637E-2</v>
      </c>
      <c r="DV92">
        <v>8.9999999999999969E-2</v>
      </c>
      <c r="DW92">
        <v>-2.0821000000000001</v>
      </c>
      <c r="DX92">
        <v>0.2271223509514467</v>
      </c>
      <c r="DY92">
        <v>-2.0063317450131137</v>
      </c>
      <c r="DZ92">
        <v>1835</v>
      </c>
      <c r="EA92">
        <v>-2.0040580166179938</v>
      </c>
      <c r="EB92">
        <v>2</v>
      </c>
      <c r="EC92">
        <v>2.4252834773218143E-2</v>
      </c>
      <c r="ED92">
        <v>0.31447219222462203</v>
      </c>
      <c r="EE92" s="13">
        <v>3.0337999999999998</v>
      </c>
      <c r="EF92">
        <v>3.0103</v>
      </c>
      <c r="EG92">
        <v>15.077122350951447</v>
      </c>
      <c r="EH92" t="s">
        <v>1551</v>
      </c>
      <c r="EI92">
        <v>0</v>
      </c>
      <c r="EJ92">
        <v>0</v>
      </c>
      <c r="EK92" s="14">
        <v>45470</v>
      </c>
      <c r="EL92">
        <v>-0.65</v>
      </c>
      <c r="EM92">
        <v>-5.64</v>
      </c>
      <c r="EN92">
        <v>1.25</v>
      </c>
      <c r="EO92">
        <v>5.22</v>
      </c>
      <c r="EP92">
        <v>-2.35</v>
      </c>
    </row>
    <row r="93" spans="1:146" ht="96" x14ac:dyDescent="0.25">
      <c r="A93" s="9"/>
      <c r="B93" s="9"/>
      <c r="C93" s="9" t="str">
        <f>""&amp;CHAR(10)&amp;Basic_Fundamental_Information_Constructure(F93)&amp;CHAR(10)&amp;Basic_Fundamental_Information_Concatenate("")</f>
        <v xml:space="preserve">
市值66.901934亿, 利润-8630.99万; PE20.55; 平均PE99.44; 平均PEG5.12, PB4.07; ROIC6.6867%; ROE9.46%; 股利率1.6293%; 毛利22.8633%; 净利5.6633%; 上一年度营收增12.5%, 利润增-175.71%; 当季营收增6.36%, 利润增291.6%; 过往5年营收增19.43%, 利润增-28.19%
Income profile:
</v>
      </c>
      <c r="D93" t="s">
        <v>798</v>
      </c>
      <c r="E93" t="s">
        <v>799</v>
      </c>
      <c r="F93">
        <v>24.55</v>
      </c>
      <c r="G93">
        <v>7.44</v>
      </c>
      <c r="H93" t="s">
        <v>3950</v>
      </c>
      <c r="I93">
        <v>6690193400</v>
      </c>
      <c r="J93">
        <v>20.55</v>
      </c>
      <c r="K93">
        <v>4.07</v>
      </c>
      <c r="L93" t="s">
        <v>2891</v>
      </c>
      <c r="M93" t="s">
        <v>1931</v>
      </c>
      <c r="N93" t="s">
        <v>3951</v>
      </c>
      <c r="O93" t="s">
        <v>1899</v>
      </c>
      <c r="P93">
        <v>42.86</v>
      </c>
      <c r="Q93" t="s">
        <v>3952</v>
      </c>
      <c r="R93">
        <v>67171538</v>
      </c>
      <c r="S93" s="6">
        <v>0.65049999999999997</v>
      </c>
      <c r="T93" t="s">
        <v>3953</v>
      </c>
      <c r="U93">
        <v>272512970</v>
      </c>
      <c r="V93">
        <v>272512970</v>
      </c>
      <c r="W93">
        <v>3.2</v>
      </c>
      <c r="X93">
        <v>0.14000000000000001</v>
      </c>
      <c r="Y93">
        <v>9.02</v>
      </c>
      <c r="Z93" t="s">
        <v>401</v>
      </c>
      <c r="AA93" t="s">
        <v>604</v>
      </c>
      <c r="AB93" t="s">
        <v>3954</v>
      </c>
      <c r="AC93" t="s">
        <v>3955</v>
      </c>
      <c r="AD93" t="s">
        <v>2</v>
      </c>
      <c r="AE93">
        <v>6775546</v>
      </c>
      <c r="AF93" t="s">
        <v>2717</v>
      </c>
      <c r="AG93" t="s">
        <v>3956</v>
      </c>
      <c r="AH93" t="s">
        <v>2718</v>
      </c>
      <c r="AI93" t="s">
        <v>1400</v>
      </c>
      <c r="AJ93" t="s">
        <v>2719</v>
      </c>
      <c r="AK93" t="s">
        <v>309</v>
      </c>
      <c r="AL93" t="s">
        <v>2720</v>
      </c>
      <c r="AM93" t="s">
        <v>2</v>
      </c>
      <c r="AN93" t="s">
        <v>3957</v>
      </c>
      <c r="AO93" t="s">
        <v>3958</v>
      </c>
      <c r="AP93" t="s">
        <v>1640</v>
      </c>
      <c r="AQ93" t="s">
        <v>579</v>
      </c>
      <c r="AR93" t="s">
        <v>2</v>
      </c>
      <c r="AS93" t="s">
        <v>3959</v>
      </c>
      <c r="AT93" t="s">
        <v>3717</v>
      </c>
      <c r="AU93" t="s">
        <v>3960</v>
      </c>
      <c r="AV93" t="s">
        <v>3961</v>
      </c>
      <c r="AW93" t="s">
        <v>3962</v>
      </c>
      <c r="AX93" t="s">
        <v>1679</v>
      </c>
      <c r="AY93" t="s">
        <v>883</v>
      </c>
      <c r="AZ93" t="s">
        <v>800</v>
      </c>
      <c r="BA93" t="s">
        <v>708</v>
      </c>
      <c r="BB93" t="s">
        <v>439</v>
      </c>
      <c r="BC93" t="s">
        <v>107</v>
      </c>
      <c r="BD93" t="s">
        <v>1368</v>
      </c>
      <c r="BE93" t="s">
        <v>99</v>
      </c>
      <c r="BF93" t="s">
        <v>801</v>
      </c>
      <c r="BG93" t="s">
        <v>802</v>
      </c>
      <c r="BH93" t="s">
        <v>2716</v>
      </c>
      <c r="BI93" t="s">
        <v>615</v>
      </c>
      <c r="BJ93" t="s">
        <v>1679</v>
      </c>
      <c r="BK93" t="s">
        <v>408</v>
      </c>
      <c r="BL93" t="s">
        <v>3963</v>
      </c>
      <c r="BM93" t="s">
        <v>107</v>
      </c>
      <c r="BN93">
        <v>7.52</v>
      </c>
      <c r="BO93">
        <v>6.69</v>
      </c>
      <c r="BP93">
        <v>5.85</v>
      </c>
      <c r="BQ93">
        <v>12.62</v>
      </c>
      <c r="BR93">
        <v>8.6199999999999992</v>
      </c>
      <c r="BS93">
        <v>7.14</v>
      </c>
      <c r="BT93" t="s">
        <v>2721</v>
      </c>
      <c r="BU93" t="s">
        <v>1444</v>
      </c>
      <c r="BV93">
        <v>23.77</v>
      </c>
      <c r="BW93">
        <v>23.11</v>
      </c>
      <c r="BX93">
        <v>21.71</v>
      </c>
      <c r="BY93">
        <v>7.82</v>
      </c>
      <c r="BZ93">
        <v>4.57</v>
      </c>
      <c r="CA93">
        <v>4.5999999999999996</v>
      </c>
      <c r="CB93">
        <v>1.2</v>
      </c>
      <c r="CC93">
        <v>-5.58</v>
      </c>
      <c r="CD93" t="s">
        <v>3964</v>
      </c>
      <c r="CE93" t="s">
        <v>467</v>
      </c>
      <c r="CF93" s="10">
        <v>6.3649222065063654E-2</v>
      </c>
      <c r="CG93" s="11">
        <v>2.9160499525063255</v>
      </c>
      <c r="CH93" s="10">
        <v>0.12504765391349792</v>
      </c>
      <c r="CI93" s="10">
        <v>0.28641489148139954</v>
      </c>
      <c r="CJ93" s="10">
        <v>0.16314896941184998</v>
      </c>
      <c r="CK93" s="10">
        <v>0.22759099304676056</v>
      </c>
      <c r="CL93" s="10">
        <v>0.16953323781490326</v>
      </c>
      <c r="CM93" s="11">
        <v>-1.7571043968200684</v>
      </c>
      <c r="CN93" s="11">
        <v>0.2864958643913269</v>
      </c>
      <c r="CO93" s="11">
        <v>-0.19442908465862274</v>
      </c>
      <c r="CP93" s="11">
        <v>0.21795256435871124</v>
      </c>
      <c r="CQ93" s="11">
        <v>3.744623064994812E-2</v>
      </c>
      <c r="CR93">
        <v>99.439548744779202</v>
      </c>
      <c r="CS93">
        <v>5.1165941557691399</v>
      </c>
      <c r="CT93">
        <v>1.6293279022403258</v>
      </c>
      <c r="CU93" s="10">
        <v>0.19434714913368226</v>
      </c>
      <c r="CV93" s="11">
        <v>-0.28192776441574097</v>
      </c>
      <c r="CW93">
        <v>0.06</v>
      </c>
      <c r="CX93" t="e">
        <v>#VALUE!</v>
      </c>
      <c r="CY93" t="s">
        <v>1238</v>
      </c>
      <c r="CZ93">
        <v>0.19434714913368226</v>
      </c>
      <c r="DA93" t="e">
        <v>#VALUE!</v>
      </c>
      <c r="DB93" t="s">
        <v>1238</v>
      </c>
      <c r="DC93">
        <v>0.18462979167699814</v>
      </c>
      <c r="DD93" t="e">
        <v>#VALUE!</v>
      </c>
      <c r="DE93" t="s">
        <v>1238</v>
      </c>
      <c r="DF93">
        <v>0.17102549123764038</v>
      </c>
      <c r="DG93" t="e">
        <v>#VALUE!</v>
      </c>
      <c r="DH93" t="s">
        <v>1238</v>
      </c>
      <c r="DI93">
        <v>0.15547771930694582</v>
      </c>
      <c r="DJ93" t="e">
        <v>#VALUE!</v>
      </c>
      <c r="DK93" t="s">
        <v>1238</v>
      </c>
      <c r="DL93">
        <v>0.13604300439357758</v>
      </c>
      <c r="DM93">
        <v>-86309900</v>
      </c>
      <c r="DN93">
        <v>0.19434714913368226</v>
      </c>
      <c r="DO93">
        <v>8684193400</v>
      </c>
      <c r="DP93">
        <v>1949583800</v>
      </c>
      <c r="DQ93">
        <v>3887</v>
      </c>
      <c r="DR93">
        <v>-0.1306979270686186</v>
      </c>
      <c r="DS93">
        <v>3.1979777169220664</v>
      </c>
      <c r="DT93" s="12">
        <v>5.9999999999999908E-2</v>
      </c>
      <c r="DU93">
        <v>-0.17666666666666667</v>
      </c>
      <c r="DV93">
        <v>-0.11666666666666675</v>
      </c>
      <c r="DW93">
        <v>-1.0558000000000001</v>
      </c>
      <c r="DX93">
        <v>0.44219035532994977</v>
      </c>
      <c r="DY93">
        <v>-1.0123982218274112</v>
      </c>
      <c r="DZ93">
        <v>1487</v>
      </c>
      <c r="EA93">
        <v>-1.0087903635382995</v>
      </c>
      <c r="EB93">
        <v>1</v>
      </c>
      <c r="EC93">
        <v>0.16062171279407361</v>
      </c>
      <c r="ED93">
        <v>0.72290137236403829</v>
      </c>
      <c r="EE93" s="13">
        <v>1.6100000000000003E-2</v>
      </c>
      <c r="EF93">
        <v>2.8100000000000004E-3</v>
      </c>
      <c r="EG93">
        <v>22.22219035532995</v>
      </c>
      <c r="EH93">
        <v>-1</v>
      </c>
      <c r="EI93">
        <v>0</v>
      </c>
      <c r="EJ93">
        <v>1</v>
      </c>
      <c r="EK93" s="14">
        <v>45470</v>
      </c>
      <c r="EL93">
        <v>-0.56000000000000005</v>
      </c>
      <c r="EM93">
        <v>-3.92</v>
      </c>
      <c r="EN93">
        <v>2.99</v>
      </c>
      <c r="EO93">
        <v>4.88</v>
      </c>
      <c r="EP93">
        <v>-1.89</v>
      </c>
    </row>
    <row r="94" spans="1:146" ht="96" x14ac:dyDescent="0.25">
      <c r="A94" s="9"/>
      <c r="B94" s="9"/>
      <c r="C94" s="9" t="str">
        <f>""&amp;CHAR(10)&amp;Basic_Fundamental_Information_Constructure(F94)&amp;CHAR(10)&amp;Basic_Fundamental_Information_Concatenate("")</f>
        <v xml:space="preserve">
市值49.9245亿, 利润10.59亿; PE32.68; 平均PE15.65; 平均PEG.04, PB2.38; ROIC9.3733%; ROE11.5133%; 股利率1.2048%; 毛利25.5167%; 净利8.5167%; 上一年度营收增1894.91%, 利润增416.59%; 当季营收增-96.36%, 利润增-97.78%; 过往5年营收增388.89%, 利润增95.79%
Income profile:
</v>
      </c>
      <c r="D94" t="s">
        <v>1270</v>
      </c>
      <c r="E94" t="s">
        <v>3965</v>
      </c>
      <c r="F94">
        <v>12.45</v>
      </c>
      <c r="G94">
        <v>2.0499999999999998</v>
      </c>
      <c r="H94" t="s">
        <v>3966</v>
      </c>
      <c r="I94">
        <v>4992450000</v>
      </c>
      <c r="J94">
        <v>32.68</v>
      </c>
      <c r="K94">
        <v>2.38</v>
      </c>
      <c r="L94" t="s">
        <v>2891</v>
      </c>
      <c r="M94" t="s">
        <v>24</v>
      </c>
      <c r="N94" t="s">
        <v>1578</v>
      </c>
      <c r="O94" t="s">
        <v>1949</v>
      </c>
      <c r="P94">
        <v>-0.28000000000000003</v>
      </c>
      <c r="Q94" t="s">
        <v>3967</v>
      </c>
      <c r="R94">
        <v>6825086</v>
      </c>
      <c r="S94" s="6">
        <v>-0.7631</v>
      </c>
      <c r="T94" t="s">
        <v>1345</v>
      </c>
      <c r="U94">
        <v>85738535</v>
      </c>
      <c r="V94">
        <v>401000000</v>
      </c>
      <c r="W94">
        <v>1.57</v>
      </c>
      <c r="X94">
        <v>0.13</v>
      </c>
      <c r="Y94">
        <v>1.4</v>
      </c>
      <c r="Z94" t="s">
        <v>56</v>
      </c>
      <c r="AA94" t="s">
        <v>346</v>
      </c>
      <c r="AB94" t="s">
        <v>3968</v>
      </c>
      <c r="AC94" t="s">
        <v>3969</v>
      </c>
      <c r="AD94" t="s">
        <v>2</v>
      </c>
      <c r="AE94">
        <v>-6861363</v>
      </c>
      <c r="AF94" t="s">
        <v>2722</v>
      </c>
      <c r="AG94" t="s">
        <v>3970</v>
      </c>
      <c r="AH94" t="s">
        <v>2723</v>
      </c>
      <c r="AI94" t="s">
        <v>1953</v>
      </c>
      <c r="AJ94" t="s">
        <v>2724</v>
      </c>
      <c r="AK94" t="s">
        <v>123</v>
      </c>
      <c r="AL94" t="s">
        <v>2725</v>
      </c>
      <c r="AM94" t="s">
        <v>2</v>
      </c>
      <c r="AN94" t="s">
        <v>102</v>
      </c>
      <c r="AO94" t="s">
        <v>133</v>
      </c>
      <c r="AP94" t="s">
        <v>563</v>
      </c>
      <c r="AQ94" t="s">
        <v>163</v>
      </c>
      <c r="AR94" t="s">
        <v>2</v>
      </c>
      <c r="AS94" t="s">
        <v>1944</v>
      </c>
      <c r="AT94" t="s">
        <v>3971</v>
      </c>
      <c r="AU94" t="s">
        <v>3972</v>
      </c>
      <c r="AV94" t="s">
        <v>90</v>
      </c>
      <c r="AW94" t="s">
        <v>99</v>
      </c>
      <c r="AX94" t="s">
        <v>1586</v>
      </c>
      <c r="AY94" t="s">
        <v>1244</v>
      </c>
      <c r="AZ94" t="s">
        <v>1271</v>
      </c>
      <c r="BA94" t="s">
        <v>1245</v>
      </c>
      <c r="BB94" t="s">
        <v>1246</v>
      </c>
      <c r="BC94" t="s">
        <v>557</v>
      </c>
      <c r="BD94" t="s">
        <v>435</v>
      </c>
      <c r="BE94" t="s">
        <v>121</v>
      </c>
      <c r="BF94" t="s">
        <v>174</v>
      </c>
      <c r="BG94" t="s">
        <v>33</v>
      </c>
      <c r="BH94" t="s">
        <v>1834</v>
      </c>
      <c r="BI94" t="s">
        <v>3973</v>
      </c>
      <c r="BJ94" t="s">
        <v>1586</v>
      </c>
      <c r="BK94" t="s">
        <v>220</v>
      </c>
      <c r="BL94" t="s">
        <v>397</v>
      </c>
      <c r="BM94" t="s">
        <v>557</v>
      </c>
      <c r="BN94">
        <v>5.44</v>
      </c>
      <c r="BO94">
        <v>10.210000000000001</v>
      </c>
      <c r="BP94">
        <v>12.47</v>
      </c>
      <c r="BQ94">
        <v>7.01</v>
      </c>
      <c r="BR94">
        <v>11.75</v>
      </c>
      <c r="BS94">
        <v>15.78</v>
      </c>
      <c r="BT94" t="s">
        <v>1537</v>
      </c>
      <c r="BU94" t="s">
        <v>1445</v>
      </c>
      <c r="BV94">
        <v>24.84</v>
      </c>
      <c r="BW94">
        <v>26.37</v>
      </c>
      <c r="BX94">
        <v>25.34</v>
      </c>
      <c r="BY94">
        <v>7.54</v>
      </c>
      <c r="BZ94">
        <v>9.2200000000000006</v>
      </c>
      <c r="CA94">
        <v>8.7899999999999991</v>
      </c>
      <c r="CB94">
        <v>11.26</v>
      </c>
      <c r="CC94">
        <v>1.06</v>
      </c>
      <c r="CD94" t="s">
        <v>3974</v>
      </c>
      <c r="CE94" t="s">
        <v>3975</v>
      </c>
      <c r="CF94" s="10">
        <v>-0.96361197283474465</v>
      </c>
      <c r="CG94" s="11">
        <v>-0.97784062987012987</v>
      </c>
      <c r="CH94" s="10">
        <v>18.949142456054688</v>
      </c>
      <c r="CI94" s="10">
        <v>2.8703762218356133E-2</v>
      </c>
      <c r="CJ94" s="10">
        <v>0.27886328101158142</v>
      </c>
      <c r="CK94" s="10">
        <v>5.4965563118457794E-2</v>
      </c>
      <c r="CL94" s="10">
        <v>0.133050337433815</v>
      </c>
      <c r="CM94" s="11">
        <v>4.1658535003662109</v>
      </c>
      <c r="CN94" s="11">
        <v>7.8947365283966064E-2</v>
      </c>
      <c r="CO94" s="11">
        <v>7.3446325957775116E-2</v>
      </c>
      <c r="CP94" s="11">
        <v>7.2727270424365997E-2</v>
      </c>
      <c r="CQ94" s="11">
        <v>0.39830508828163147</v>
      </c>
      <c r="CR94">
        <v>15.650313479623824</v>
      </c>
      <c r="CS94">
        <v>4.0243081755618672E-2</v>
      </c>
      <c r="CT94">
        <v>1.2048192771084338</v>
      </c>
      <c r="CU94" s="10">
        <v>3.8889450799673795</v>
      </c>
      <c r="CV94" s="11">
        <v>0.95785591006278992</v>
      </c>
      <c r="CW94">
        <v>0.06</v>
      </c>
      <c r="CX94">
        <v>0.84667652923673398</v>
      </c>
      <c r="CY94">
        <v>4884332867.6277885</v>
      </c>
      <c r="CZ94">
        <v>3.8889450799673795</v>
      </c>
      <c r="DA94">
        <v>3.5209580093932935E-2</v>
      </c>
      <c r="DB94">
        <v>117452408945.72871</v>
      </c>
      <c r="DC94">
        <v>3.6944978259690102</v>
      </c>
      <c r="DD94">
        <v>5.6319559502057486E-4</v>
      </c>
      <c r="DE94">
        <v>7342830868286.3936</v>
      </c>
      <c r="DF94">
        <v>3.4222716703712939</v>
      </c>
      <c r="DG94">
        <v>3.7631094981396685E-6</v>
      </c>
      <c r="DH94">
        <v>1098944902359179.7</v>
      </c>
      <c r="DI94">
        <v>3.1111560639739038</v>
      </c>
      <c r="DJ94">
        <v>3.4359767447675582E-11</v>
      </c>
      <c r="DK94">
        <v>1.2035733380028336E+20</v>
      </c>
      <c r="DL94">
        <v>2.7222615559771657</v>
      </c>
      <c r="DM94">
        <v>1059000000</v>
      </c>
      <c r="DN94">
        <v>3.8889450799673795</v>
      </c>
      <c r="DO94">
        <v>4135450000</v>
      </c>
      <c r="DP94">
        <v>1367410000</v>
      </c>
      <c r="DQ94">
        <v>3905</v>
      </c>
      <c r="DR94">
        <v>-4.8525570528021245</v>
      </c>
      <c r="DS94">
        <v>-1.9356965399329198</v>
      </c>
      <c r="DT94" s="12">
        <v>-6.6666666666666714E-3</v>
      </c>
      <c r="DU94">
        <v>-4.0000000000000036E-2</v>
      </c>
      <c r="DV94">
        <v>-4.6666666666666703E-2</v>
      </c>
      <c r="DW94">
        <v>5.0941385435168742</v>
      </c>
      <c r="DX94">
        <v>0.55537152394212275</v>
      </c>
      <c r="DY94">
        <v>5.0362783139767897</v>
      </c>
      <c r="DZ94">
        <v>4838</v>
      </c>
      <c r="EA94">
        <v>5.0019310570257707</v>
      </c>
      <c r="EB94">
        <v>5</v>
      </c>
      <c r="EC94">
        <v>8.8214713216957605E-2</v>
      </c>
      <c r="ED94">
        <v>0.22890822942643391</v>
      </c>
      <c r="EE94" s="13">
        <v>-1.1042099999999999</v>
      </c>
      <c r="EF94">
        <v>-1.1122099999999999</v>
      </c>
      <c r="EG94">
        <v>17.385371523942123</v>
      </c>
      <c r="EH94" t="s">
        <v>1550</v>
      </c>
      <c r="EI94">
        <v>1</v>
      </c>
      <c r="EJ94">
        <v>0</v>
      </c>
      <c r="EK94" s="14">
        <v>45470</v>
      </c>
      <c r="EL94">
        <v>-0.49</v>
      </c>
      <c r="EM94">
        <v>-1.53</v>
      </c>
      <c r="EN94">
        <v>1.43</v>
      </c>
      <c r="EO94">
        <v>0.12</v>
      </c>
      <c r="EP94">
        <v>-0.8</v>
      </c>
    </row>
    <row r="95" spans="1:146" ht="96" x14ac:dyDescent="0.25">
      <c r="A95" s="9"/>
      <c r="B95" s="9"/>
      <c r="C95" s="9" t="str">
        <f>""&amp;CHAR(10)&amp;Basic_Fundamental_Information_Constructure(F95)&amp;CHAR(10)&amp;Basic_Fundamental_Information_Concatenate("")</f>
        <v xml:space="preserve">
市值39.136亿, 利润5780.12万; PE29.64; 平均PE54.69; 平均PEG.91, PB4.11; ROIC11.6533%; ROE12.4067%; 股利率0%; 毛利22.1733%; 净利8.65%; 上一年度营收增242.93%, 利润增-36.66%; 当季营收增-74.52%, 利润增1.41%; 过往5年营收增59.91%, 利润增6.3%
Income profile:
</v>
      </c>
      <c r="D95" t="s">
        <v>1370</v>
      </c>
      <c r="E95" t="s">
        <v>1371</v>
      </c>
      <c r="F95">
        <v>24.46</v>
      </c>
      <c r="G95">
        <v>0.08</v>
      </c>
      <c r="H95" t="s">
        <v>3976</v>
      </c>
      <c r="I95">
        <v>3913600000</v>
      </c>
      <c r="J95">
        <v>29.64</v>
      </c>
      <c r="K95">
        <v>4.1100000000000003</v>
      </c>
      <c r="L95" t="s">
        <v>2891</v>
      </c>
      <c r="M95" t="s">
        <v>1894</v>
      </c>
      <c r="N95" t="s">
        <v>232</v>
      </c>
      <c r="O95" t="s">
        <v>276</v>
      </c>
      <c r="P95">
        <v>16.399999999999999</v>
      </c>
      <c r="Q95" t="s">
        <v>3977</v>
      </c>
      <c r="R95">
        <v>23109895</v>
      </c>
      <c r="S95" s="6">
        <v>0.84340000000000004</v>
      </c>
      <c r="T95" t="s">
        <v>3978</v>
      </c>
      <c r="U95">
        <v>40000000</v>
      </c>
      <c r="V95">
        <v>160000000</v>
      </c>
      <c r="W95">
        <v>1.79</v>
      </c>
      <c r="X95">
        <v>0.14000000000000001</v>
      </c>
      <c r="Y95">
        <v>9.2100000000000009</v>
      </c>
      <c r="Z95" t="s">
        <v>84</v>
      </c>
      <c r="AA95" t="s">
        <v>147</v>
      </c>
      <c r="AB95" t="s">
        <v>3979</v>
      </c>
      <c r="AC95" t="s">
        <v>3980</v>
      </c>
      <c r="AD95" t="s">
        <v>2</v>
      </c>
      <c r="AE95">
        <v>1686762</v>
      </c>
      <c r="AF95" t="s">
        <v>2726</v>
      </c>
      <c r="AG95" t="s">
        <v>3981</v>
      </c>
      <c r="AH95" t="s">
        <v>2727</v>
      </c>
      <c r="AI95" t="s">
        <v>53</v>
      </c>
      <c r="AJ95" t="s">
        <v>2728</v>
      </c>
      <c r="AK95" t="s">
        <v>3982</v>
      </c>
      <c r="AL95" t="s">
        <v>2729</v>
      </c>
      <c r="AM95" t="s">
        <v>2</v>
      </c>
      <c r="AN95" t="s">
        <v>3983</v>
      </c>
      <c r="AO95" t="s">
        <v>36</v>
      </c>
      <c r="AP95" t="s">
        <v>3984</v>
      </c>
      <c r="AQ95" t="s">
        <v>368</v>
      </c>
      <c r="AR95" t="s">
        <v>2</v>
      </c>
      <c r="AS95" t="s">
        <v>267</v>
      </c>
      <c r="AT95" t="s">
        <v>3985</v>
      </c>
      <c r="AU95" t="s">
        <v>3986</v>
      </c>
      <c r="AV95" t="s">
        <v>3987</v>
      </c>
      <c r="AW95" t="s">
        <v>3988</v>
      </c>
      <c r="AX95" t="s">
        <v>334</v>
      </c>
      <c r="AY95" t="s">
        <v>462</v>
      </c>
      <c r="AZ95" t="s">
        <v>1287</v>
      </c>
      <c r="BA95" t="s">
        <v>635</v>
      </c>
      <c r="BB95" t="s">
        <v>1439</v>
      </c>
      <c r="BC95" t="s">
        <v>1681</v>
      </c>
      <c r="BD95" t="s">
        <v>1372</v>
      </c>
      <c r="BE95" t="s">
        <v>1373</v>
      </c>
      <c r="BF95" t="s">
        <v>1407</v>
      </c>
      <c r="BG95" t="s">
        <v>1440</v>
      </c>
      <c r="BH95" t="s">
        <v>1950</v>
      </c>
      <c r="BI95" t="s">
        <v>1942</v>
      </c>
      <c r="BJ95" t="s">
        <v>334</v>
      </c>
      <c r="BK95" t="s">
        <v>59</v>
      </c>
      <c r="BL95" t="s">
        <v>3989</v>
      </c>
      <c r="BM95" t="s">
        <v>1681</v>
      </c>
      <c r="BN95">
        <v>6.24</v>
      </c>
      <c r="BO95">
        <v>12.34</v>
      </c>
      <c r="BP95">
        <v>16.38</v>
      </c>
      <c r="BQ95">
        <v>7.32</v>
      </c>
      <c r="BR95">
        <v>13.06</v>
      </c>
      <c r="BS95">
        <v>16.84</v>
      </c>
      <c r="BT95" t="s">
        <v>1521</v>
      </c>
      <c r="BU95" t="s">
        <v>1445</v>
      </c>
      <c r="BV95">
        <v>22.82</v>
      </c>
      <c r="BW95">
        <v>21.24</v>
      </c>
      <c r="BX95">
        <v>22.46</v>
      </c>
      <c r="BY95">
        <v>8.0399999999999991</v>
      </c>
      <c r="BZ95">
        <v>8.91</v>
      </c>
      <c r="CA95">
        <v>9</v>
      </c>
      <c r="CB95">
        <v>-7.77</v>
      </c>
      <c r="CC95">
        <v>-13.26</v>
      </c>
      <c r="CD95" t="s">
        <v>3990</v>
      </c>
      <c r="CE95" t="s">
        <v>220</v>
      </c>
      <c r="CF95" s="10">
        <v>-0.74517766497461924</v>
      </c>
      <c r="CG95" s="11">
        <v>1.4138987260671327E-2</v>
      </c>
      <c r="CH95" s="10">
        <v>2.4292683601379395</v>
      </c>
      <c r="CI95" s="10">
        <v>0.17680826783180237</v>
      </c>
      <c r="CJ95" s="10">
        <v>0.27900147438049316</v>
      </c>
      <c r="CK95" s="10">
        <v>7.7531643211841583E-2</v>
      </c>
      <c r="CL95" s="10">
        <v>3.2679740339517593E-2</v>
      </c>
      <c r="CM95" s="11">
        <v>-0.36661005020141602</v>
      </c>
      <c r="CN95" s="11">
        <v>0.16374461352825165</v>
      </c>
      <c r="CO95" s="11">
        <v>-5.2224248647689819E-2</v>
      </c>
      <c r="CP95" s="11">
        <v>0.20157751441001892</v>
      </c>
      <c r="CQ95" s="11">
        <v>0.36828425526618958</v>
      </c>
      <c r="CR95">
        <v>54.685504088906796</v>
      </c>
      <c r="CS95">
        <v>0.91285841228875797</v>
      </c>
      <c r="CT95">
        <v>0</v>
      </c>
      <c r="CU95" s="10">
        <v>0.59905789718031888</v>
      </c>
      <c r="CV95" s="11">
        <v>6.2954416871070867E-2</v>
      </c>
      <c r="CW95">
        <v>0.06</v>
      </c>
      <c r="CX95">
        <v>43.621406102154296</v>
      </c>
      <c r="CY95">
        <v>87195722.006131172</v>
      </c>
      <c r="CZ95">
        <v>0.59905789718031888</v>
      </c>
      <c r="DA95">
        <v>9.5159426173267505</v>
      </c>
      <c r="DB95">
        <v>399708169.01253235</v>
      </c>
      <c r="DC95">
        <v>0.5691050023213029</v>
      </c>
      <c r="DD95">
        <v>2.5342715552743535</v>
      </c>
      <c r="DE95">
        <v>1500865206.0525663</v>
      </c>
      <c r="DF95">
        <v>0.5271709495186806</v>
      </c>
      <c r="DG95">
        <v>0.6904428285821218</v>
      </c>
      <c r="DH95">
        <v>5508928245.0959616</v>
      </c>
      <c r="DI95">
        <v>0.47924631774425513</v>
      </c>
      <c r="DJ95">
        <v>4.8677681735558899E-2</v>
      </c>
      <c r="DK95">
        <v>78138478752.193359</v>
      </c>
      <c r="DL95">
        <v>0.41934052802622318</v>
      </c>
      <c r="DM95">
        <v>57801200</v>
      </c>
      <c r="DN95">
        <v>0.59905789718031888</v>
      </c>
      <c r="DO95">
        <v>3803600000</v>
      </c>
      <c r="DP95">
        <v>636078900</v>
      </c>
      <c r="DQ95">
        <v>3926</v>
      </c>
      <c r="DR95">
        <v>-1.344235562154938</v>
      </c>
      <c r="DS95">
        <v>-4.8815429610399544E-2</v>
      </c>
      <c r="DT95" s="12">
        <v>0.14333333333333331</v>
      </c>
      <c r="DU95">
        <v>0.19999999999999996</v>
      </c>
      <c r="DV95">
        <v>0.34333333333333327</v>
      </c>
      <c r="DW95">
        <v>-9.5859728506787327</v>
      </c>
      <c r="DX95">
        <v>0.23789771428571491</v>
      </c>
      <c r="DY95">
        <v>-9.0515056742081441</v>
      </c>
      <c r="DZ95">
        <v>2158</v>
      </c>
      <c r="EA95">
        <v>-9.0297543542587952</v>
      </c>
      <c r="EB95">
        <v>9</v>
      </c>
      <c r="EC95">
        <v>9.6138125000000005E-2</v>
      </c>
      <c r="ED95">
        <v>1.09375</v>
      </c>
      <c r="EE95" s="13">
        <v>2.03091</v>
      </c>
      <c r="EF95">
        <v>2.0160100000000001</v>
      </c>
      <c r="EG95">
        <v>15.087897714285715</v>
      </c>
      <c r="EH95" t="s">
        <v>1554</v>
      </c>
      <c r="EI95">
        <v>0</v>
      </c>
      <c r="EJ95">
        <v>0</v>
      </c>
      <c r="EK95" s="14">
        <v>45470</v>
      </c>
      <c r="EL95">
        <v>0.24</v>
      </c>
      <c r="EM95">
        <v>-4.9400000000000004</v>
      </c>
      <c r="EN95">
        <v>0.56000000000000005</v>
      </c>
      <c r="EO95">
        <v>4.6100000000000003</v>
      </c>
      <c r="EP95">
        <v>1.49</v>
      </c>
    </row>
    <row r="96" spans="1:146" ht="96" x14ac:dyDescent="0.25">
      <c r="C96" s="9" t="str">
        <f>""&amp;CHAR(10)&amp;Basic_Fundamental_Information_Constructure(F96)&amp;CHAR(10)&amp;Basic_Fundamental_Information_Concatenate("")</f>
        <v xml:space="preserve">
市值42.04832亿, 利润1.07亿; PE20.67; 平均PE53.5; 平均PEG.28, PB2.38; ROIC30.8433%; ROE35.38%; 股利率2.4981%; 毛利18.47%; 净利10.09%; 上一年度营收增400.69%, 利润增-30.97%; 当季营收增-76.93%, 利润增195.79%; 过往5年营收增193.25%, 利润增75.09%
Income profile:
</v>
      </c>
      <c r="D96" t="s">
        <v>1962</v>
      </c>
      <c r="E96" t="s">
        <v>1963</v>
      </c>
      <c r="F96">
        <v>26.02</v>
      </c>
      <c r="G96">
        <v>-1.77</v>
      </c>
      <c r="H96" t="s">
        <v>3991</v>
      </c>
      <c r="I96">
        <v>4204832000</v>
      </c>
      <c r="J96">
        <v>20.67</v>
      </c>
      <c r="K96">
        <v>2.38</v>
      </c>
      <c r="L96" t="s">
        <v>2891</v>
      </c>
      <c r="M96" t="s">
        <v>1187</v>
      </c>
      <c r="N96" t="s">
        <v>1239</v>
      </c>
      <c r="O96" t="s">
        <v>420</v>
      </c>
      <c r="P96" s="6">
        <v>0.61</v>
      </c>
      <c r="Q96" t="s">
        <v>3992</v>
      </c>
      <c r="R96">
        <v>49615042</v>
      </c>
      <c r="S96">
        <v>0.1188</v>
      </c>
      <c r="T96" t="s">
        <v>177</v>
      </c>
      <c r="U96">
        <v>34083149</v>
      </c>
      <c r="V96">
        <v>161600000</v>
      </c>
      <c r="W96">
        <v>1.35</v>
      </c>
      <c r="X96">
        <v>0.2</v>
      </c>
      <c r="Y96">
        <v>12.64</v>
      </c>
      <c r="Z96" t="s">
        <v>62</v>
      </c>
      <c r="AA96" t="s">
        <v>208</v>
      </c>
      <c r="AB96" t="s">
        <v>3993</v>
      </c>
      <c r="AC96" t="s">
        <v>3994</v>
      </c>
      <c r="AD96" t="s">
        <v>2</v>
      </c>
      <c r="AE96">
        <v>-4110405</v>
      </c>
      <c r="AF96" t="s">
        <v>2731</v>
      </c>
      <c r="AG96">
        <v>9559.41</v>
      </c>
      <c r="AH96" t="s">
        <v>2732</v>
      </c>
      <c r="AI96" t="s">
        <v>1900</v>
      </c>
      <c r="AJ96" t="s">
        <v>2733</v>
      </c>
      <c r="AK96" t="s">
        <v>3995</v>
      </c>
      <c r="AL96" t="s">
        <v>2734</v>
      </c>
      <c r="AM96" t="s">
        <v>2</v>
      </c>
      <c r="AN96" t="s">
        <v>3996</v>
      </c>
      <c r="AO96" t="s">
        <v>3997</v>
      </c>
      <c r="AP96" t="s">
        <v>3998</v>
      </c>
      <c r="AQ96" t="s">
        <v>1596</v>
      </c>
      <c r="AR96" t="s">
        <v>2</v>
      </c>
      <c r="AS96" t="s">
        <v>1458</v>
      </c>
      <c r="AT96" t="s">
        <v>2</v>
      </c>
      <c r="AU96" t="s">
        <v>3999</v>
      </c>
      <c r="AV96" t="s">
        <v>4000</v>
      </c>
      <c r="AW96" t="s">
        <v>29</v>
      </c>
      <c r="AX96" t="s">
        <v>1848</v>
      </c>
      <c r="AY96" t="s">
        <v>1463</v>
      </c>
      <c r="AZ96" t="s">
        <v>533</v>
      </c>
      <c r="BA96" t="s">
        <v>585</v>
      </c>
      <c r="BB96" t="s">
        <v>2</v>
      </c>
      <c r="BC96" t="s">
        <v>116</v>
      </c>
      <c r="BD96" t="s">
        <v>2735</v>
      </c>
      <c r="BE96" t="s">
        <v>2736</v>
      </c>
      <c r="BF96" t="s">
        <v>2737</v>
      </c>
      <c r="BG96" t="s">
        <v>2</v>
      </c>
      <c r="BH96" t="s">
        <v>2453</v>
      </c>
      <c r="BI96" t="s">
        <v>4001</v>
      </c>
      <c r="BJ96" t="s">
        <v>1848</v>
      </c>
      <c r="BK96" t="s">
        <v>233</v>
      </c>
      <c r="BL96" t="s">
        <v>4002</v>
      </c>
      <c r="BM96" t="s">
        <v>116</v>
      </c>
      <c r="BN96">
        <v>23.81</v>
      </c>
      <c r="BO96">
        <v>35.72</v>
      </c>
      <c r="BP96">
        <v>33</v>
      </c>
      <c r="BQ96">
        <v>27.94</v>
      </c>
      <c r="BR96">
        <v>42.82</v>
      </c>
      <c r="BS96" t="s">
        <v>2</v>
      </c>
      <c r="BT96" t="s">
        <v>1563</v>
      </c>
      <c r="BU96" t="s">
        <v>1445</v>
      </c>
      <c r="BV96">
        <v>18.350000000000001</v>
      </c>
      <c r="BW96">
        <v>17.8</v>
      </c>
      <c r="BX96">
        <v>19.260000000000002</v>
      </c>
      <c r="BY96">
        <v>10.79</v>
      </c>
      <c r="BZ96">
        <v>9.6999999999999993</v>
      </c>
      <c r="CA96">
        <v>9.7799999999999994</v>
      </c>
      <c r="CB96">
        <v>1.25</v>
      </c>
      <c r="CC96" s="10">
        <v>-12.92</v>
      </c>
      <c r="CD96" s="11" t="s">
        <v>4003</v>
      </c>
      <c r="CE96" s="10" t="s">
        <v>4004</v>
      </c>
      <c r="CF96" s="10">
        <v>-0.76927604473219535</v>
      </c>
      <c r="CG96" s="10">
        <v>1.9579421110680537</v>
      </c>
      <c r="CH96" s="10">
        <v>4.0069055557250977</v>
      </c>
      <c r="CI96" s="10">
        <v>0.93795615434646606</v>
      </c>
      <c r="CJ96" s="11">
        <v>2.2880001068115234</v>
      </c>
      <c r="CK96" s="11">
        <v>0.49700599908828735</v>
      </c>
      <c r="CL96" s="11" t="s">
        <v>2</v>
      </c>
      <c r="CM96" s="11">
        <v>-0.30967742204666138</v>
      </c>
      <c r="CN96" s="11">
        <v>0.92925477027893066</v>
      </c>
      <c r="CO96">
        <v>2.5928833484649658</v>
      </c>
      <c r="CP96">
        <v>-0.20895284414291382</v>
      </c>
      <c r="CQ96" t="s">
        <v>2</v>
      </c>
      <c r="CR96" s="10">
        <v>53.500483750216937</v>
      </c>
      <c r="CS96" s="11">
        <v>0.27685070443080428</v>
      </c>
      <c r="CT96">
        <v>2.4980784012298232</v>
      </c>
      <c r="CU96">
        <v>1.9324669539928436</v>
      </c>
      <c r="CV96">
        <v>0.75087696313858032</v>
      </c>
      <c r="CW96">
        <v>0.06</v>
      </c>
      <c r="CX96">
        <v>10.975295321674082</v>
      </c>
      <c r="CY96">
        <v>296013173.65776813</v>
      </c>
      <c r="CZ96">
        <v>1.9324669539928436</v>
      </c>
      <c r="DA96">
        <v>1.0476856872135019</v>
      </c>
      <c r="DB96">
        <v>3100960564.4616766</v>
      </c>
      <c r="DC96">
        <v>1.8358436062932013</v>
      </c>
      <c r="DD96">
        <v>6.7697964455092116E-2</v>
      </c>
      <c r="DE96">
        <v>47990098759.249016</v>
      </c>
      <c r="DF96">
        <v>1.7005709195137024</v>
      </c>
      <c r="DG96">
        <v>2.7738846570710984E-3</v>
      </c>
      <c r="DH96">
        <v>1171221013721.0215</v>
      </c>
      <c r="DI96">
        <v>1.545973563194275</v>
      </c>
      <c r="DJ96">
        <v>1.9813712391385862E-6</v>
      </c>
      <c r="DK96">
        <v>1639688684192494</v>
      </c>
      <c r="DL96">
        <v>1.3527268677949904</v>
      </c>
      <c r="DM96">
        <v>107000000</v>
      </c>
      <c r="DN96">
        <v>1.9324669539928436</v>
      </c>
      <c r="DO96">
        <v>3248832000</v>
      </c>
      <c r="DP96">
        <v>1439939800</v>
      </c>
      <c r="DQ96" s="12">
        <v>4079</v>
      </c>
      <c r="DR96">
        <v>-2.701742998725039</v>
      </c>
      <c r="DS96">
        <v>1.2070651479294734</v>
      </c>
      <c r="DT96">
        <v>0.84800000000000009</v>
      </c>
      <c r="DU96">
        <v>1.044</v>
      </c>
      <c r="DV96">
        <v>1.8920000000000001</v>
      </c>
      <c r="DW96">
        <v>-2.1292</v>
      </c>
      <c r="DX96">
        <v>0.61653313786683461</v>
      </c>
      <c r="DY96">
        <v>-2.0266840814123954</v>
      </c>
      <c r="DZ96">
        <v>31</v>
      </c>
      <c r="EA96">
        <v>-2.0265222014664492</v>
      </c>
      <c r="EB96" s="13">
        <v>2</v>
      </c>
      <c r="EC96" s="13">
        <v>7.1051361386138615E-2</v>
      </c>
      <c r="ED96">
        <v>0.34401918316831681</v>
      </c>
      <c r="EE96">
        <v>1.0706</v>
      </c>
      <c r="EF96">
        <v>1.0514000000000001</v>
      </c>
      <c r="EG96">
        <v>41.206533137866835</v>
      </c>
      <c r="EH96" s="14" t="s">
        <v>1547</v>
      </c>
      <c r="EI96">
        <v>0</v>
      </c>
      <c r="EJ96">
        <v>1</v>
      </c>
      <c r="EK96">
        <v>45470</v>
      </c>
      <c r="EL96">
        <v>-0.85</v>
      </c>
      <c r="EM96">
        <v>-6.23</v>
      </c>
      <c r="EN96">
        <v>0.91</v>
      </c>
      <c r="EO96">
        <v>1.92</v>
      </c>
      <c r="EP96">
        <v>-1.92</v>
      </c>
    </row>
    <row r="97" spans="1:146" ht="96" x14ac:dyDescent="0.25">
      <c r="A97" s="9"/>
      <c r="B97" s="9"/>
      <c r="C97" s="9" t="str">
        <f>""&amp;CHAR(10)&amp;Basic_Fundamental_Information_Constructure(F97)&amp;CHAR(10)&amp;Basic_Fundamental_Information_Concatenate("")</f>
        <v xml:space="preserve">
市值18.956591亿, 利润-1.49亿; PE868.6; 平均PE674.21; 平均PEG238.2, PB.88; ROIC1.18%; ROE.1767%; 股利率.3279%; 毛利17.5933%; 净利.0433%; 上一年度营收增-16.31%, 利润增-915.76%; 当季营收增-52.54%, 利润增42.94%; 过往5年营收增2.83%, 利润增-209.67%
Income profile:
</v>
      </c>
      <c r="D97" t="s">
        <v>1137</v>
      </c>
      <c r="E97" t="s">
        <v>1138</v>
      </c>
      <c r="F97">
        <v>3.05</v>
      </c>
      <c r="G97">
        <v>0.66</v>
      </c>
      <c r="H97" t="s">
        <v>4005</v>
      </c>
      <c r="I97">
        <v>1895659100</v>
      </c>
      <c r="J97">
        <v>868.6</v>
      </c>
      <c r="K97">
        <v>0.88</v>
      </c>
      <c r="L97" t="s">
        <v>2891</v>
      </c>
      <c r="M97" t="s">
        <v>1857</v>
      </c>
      <c r="N97" t="s">
        <v>4006</v>
      </c>
      <c r="O97" t="s">
        <v>91</v>
      </c>
      <c r="P97">
        <v>-28.85</v>
      </c>
      <c r="Q97" t="s">
        <v>3531</v>
      </c>
      <c r="R97">
        <v>-16516893</v>
      </c>
      <c r="S97" s="6">
        <v>-10.47</v>
      </c>
      <c r="T97" t="s">
        <v>4007</v>
      </c>
      <c r="U97">
        <v>621527590</v>
      </c>
      <c r="V97">
        <v>621527590</v>
      </c>
      <c r="W97">
        <v>1.54</v>
      </c>
      <c r="X97">
        <v>0.08</v>
      </c>
      <c r="Y97">
        <v>-6.56</v>
      </c>
      <c r="Z97" t="s">
        <v>390</v>
      </c>
      <c r="AA97" t="s">
        <v>199</v>
      </c>
      <c r="AB97" t="s">
        <v>4008</v>
      </c>
      <c r="AC97" t="s">
        <v>4009</v>
      </c>
      <c r="AD97" t="s">
        <v>2</v>
      </c>
      <c r="AE97">
        <v>4410204</v>
      </c>
      <c r="AF97" t="s">
        <v>2740</v>
      </c>
      <c r="AG97" t="s">
        <v>4010</v>
      </c>
      <c r="AH97" t="s">
        <v>2741</v>
      </c>
      <c r="AI97" t="s">
        <v>1867</v>
      </c>
      <c r="AJ97" t="s">
        <v>2742</v>
      </c>
      <c r="AK97" t="s">
        <v>557</v>
      </c>
      <c r="AL97" t="s">
        <v>2743</v>
      </c>
      <c r="AM97" t="s">
        <v>2</v>
      </c>
      <c r="AN97" t="s">
        <v>114</v>
      </c>
      <c r="AO97" t="s">
        <v>620</v>
      </c>
      <c r="AP97" t="s">
        <v>4011</v>
      </c>
      <c r="AQ97" t="s">
        <v>58</v>
      </c>
      <c r="AR97" t="s">
        <v>4012</v>
      </c>
      <c r="AS97" t="s">
        <v>1902</v>
      </c>
      <c r="AT97" t="s">
        <v>2845</v>
      </c>
      <c r="AU97" t="s">
        <v>4013</v>
      </c>
      <c r="AV97" t="s">
        <v>4014</v>
      </c>
      <c r="AW97" t="s">
        <v>4015</v>
      </c>
      <c r="AX97" t="s">
        <v>1680</v>
      </c>
      <c r="AY97" t="s">
        <v>1254</v>
      </c>
      <c r="AZ97" t="s">
        <v>629</v>
      </c>
      <c r="BA97" t="s">
        <v>1142</v>
      </c>
      <c r="BB97" t="s">
        <v>331</v>
      </c>
      <c r="BC97" t="s">
        <v>2744</v>
      </c>
      <c r="BD97" t="s">
        <v>1375</v>
      </c>
      <c r="BE97" t="s">
        <v>1140</v>
      </c>
      <c r="BF97" t="s">
        <v>77</v>
      </c>
      <c r="BG97" t="s">
        <v>1143</v>
      </c>
      <c r="BH97" t="s">
        <v>1135</v>
      </c>
      <c r="BI97" t="s">
        <v>513</v>
      </c>
      <c r="BJ97" t="s">
        <v>1680</v>
      </c>
      <c r="BK97" t="s">
        <v>2739</v>
      </c>
      <c r="BL97" t="s">
        <v>4016</v>
      </c>
      <c r="BM97" t="s">
        <v>2744</v>
      </c>
      <c r="BN97">
        <v>1.36</v>
      </c>
      <c r="BO97">
        <v>1</v>
      </c>
      <c r="BP97" t="s">
        <v>2</v>
      </c>
      <c r="BQ97">
        <v>1.43</v>
      </c>
      <c r="BR97">
        <v>0.87</v>
      </c>
      <c r="BS97">
        <v>-1.77</v>
      </c>
      <c r="BT97" t="s">
        <v>1529</v>
      </c>
      <c r="BU97" t="s">
        <v>1274</v>
      </c>
      <c r="BV97">
        <v>17.64</v>
      </c>
      <c r="BW97">
        <v>18.579999999999998</v>
      </c>
      <c r="BX97">
        <v>16.559999999999999</v>
      </c>
      <c r="BY97">
        <v>0.9</v>
      </c>
      <c r="BZ97">
        <v>0.86</v>
      </c>
      <c r="CA97">
        <v>-1.63</v>
      </c>
      <c r="CB97">
        <v>-1.93</v>
      </c>
      <c r="CC97">
        <v>-15.51</v>
      </c>
      <c r="CD97" t="s">
        <v>4017</v>
      </c>
      <c r="CE97" t="s">
        <v>320</v>
      </c>
      <c r="CF97" s="10">
        <v>-0.52542372881355925</v>
      </c>
      <c r="CG97" s="11">
        <v>0.42942690143326456</v>
      </c>
      <c r="CH97" s="10">
        <v>-0.16311356425285339</v>
      </c>
      <c r="CI97" s="10">
        <v>-0.13950508832931519</v>
      </c>
      <c r="CJ97" s="10">
        <v>0.1546798050403595</v>
      </c>
      <c r="CK97" s="10">
        <v>-1.9665684085339308E-3</v>
      </c>
      <c r="CL97" s="10">
        <v>0.29142850637435913</v>
      </c>
      <c r="CM97" s="11">
        <v>-9.1576337814331055</v>
      </c>
      <c r="CN97" s="11">
        <v>1.5911667346954346</v>
      </c>
      <c r="CO97" s="11">
        <v>-2.8697171211242676</v>
      </c>
      <c r="CP97" s="11">
        <v>-0.84110766649246216</v>
      </c>
      <c r="CQ97" s="11">
        <v>0.79382097721099854</v>
      </c>
      <c r="CR97">
        <v>674.21189093064618</v>
      </c>
      <c r="CS97">
        <v>238.19854728675219</v>
      </c>
      <c r="CT97">
        <v>0.32786885245901642</v>
      </c>
      <c r="CU97" s="10">
        <v>2.8304618084803224E-2</v>
      </c>
      <c r="CV97" s="11">
        <v>-2.0966941714286804</v>
      </c>
      <c r="CW97">
        <v>0.06</v>
      </c>
      <c r="CX97" t="e">
        <v>#VALUE!</v>
      </c>
      <c r="CY97" t="s">
        <v>1237</v>
      </c>
      <c r="CZ97">
        <v>2.8304618084803224E-2</v>
      </c>
      <c r="DA97" t="e">
        <v>#VALUE!</v>
      </c>
      <c r="DB97" t="s">
        <v>1238</v>
      </c>
      <c r="DC97">
        <v>2.6889387180563062E-2</v>
      </c>
      <c r="DD97" t="e">
        <v>#VALUE!</v>
      </c>
      <c r="DE97" t="s">
        <v>1238</v>
      </c>
      <c r="DF97">
        <v>2.4908063914626837E-2</v>
      </c>
      <c r="DG97" t="e">
        <v>#VALUE!</v>
      </c>
      <c r="DH97" t="s">
        <v>1238</v>
      </c>
      <c r="DI97">
        <v>2.264369446784258E-2</v>
      </c>
      <c r="DJ97" t="e">
        <v>#VALUE!</v>
      </c>
      <c r="DK97" t="s">
        <v>1238</v>
      </c>
      <c r="DL97">
        <v>1.9813232659362256E-2</v>
      </c>
      <c r="DM97">
        <v>-149000000</v>
      </c>
      <c r="DN97">
        <v>2.8304618084803224E-2</v>
      </c>
      <c r="DO97">
        <v>960659100</v>
      </c>
      <c r="DP97">
        <v>1250402300</v>
      </c>
      <c r="DQ97">
        <v>4099</v>
      </c>
      <c r="DR97">
        <v>-0.55372834689836248</v>
      </c>
      <c r="DS97">
        <v>2.5261210728619448</v>
      </c>
      <c r="DT97" s="12">
        <v>-0.37333333333333335</v>
      </c>
      <c r="DU97">
        <v>-2.0650000000000004</v>
      </c>
      <c r="DV97">
        <v>-2.4383333333333339</v>
      </c>
      <c r="DW97">
        <v>-2.1551</v>
      </c>
      <c r="DX97">
        <v>0.29454006309148173</v>
      </c>
      <c r="DY97">
        <v>-2.0208671637854891</v>
      </c>
      <c r="DZ97">
        <v>4037</v>
      </c>
      <c r="EA97">
        <v>-2.0043816960355834</v>
      </c>
      <c r="EB97">
        <v>2</v>
      </c>
      <c r="EC97">
        <v>6.8619962631103787E-2</v>
      </c>
      <c r="ED97">
        <v>0.51003367364592778</v>
      </c>
      <c r="EE97" s="13">
        <v>-2.0134099999999999</v>
      </c>
      <c r="EF97">
        <v>-2.0420099999999999</v>
      </c>
      <c r="EG97">
        <v>16.134540063091482</v>
      </c>
      <c r="EH97" t="s">
        <v>1555</v>
      </c>
      <c r="EI97">
        <v>0</v>
      </c>
      <c r="EJ97">
        <v>0</v>
      </c>
      <c r="EK97" s="14">
        <v>45470</v>
      </c>
      <c r="EL97">
        <v>0.64</v>
      </c>
      <c r="EM97">
        <v>-0.63</v>
      </c>
      <c r="EN97">
        <v>-1.27</v>
      </c>
      <c r="EO97">
        <v>1.61</v>
      </c>
      <c r="EP97">
        <v>-2.86</v>
      </c>
    </row>
    <row r="98" spans="1:146" ht="96" x14ac:dyDescent="0.25">
      <c r="A98" s="9"/>
      <c r="B98" s="9"/>
      <c r="C98" s="9" t="str">
        <f>""&amp;CHAR(10)&amp;Basic_Fundamental_Information_Constructure(F98)&amp;CHAR(10)&amp;Basic_Fundamental_Information_Concatenate("")</f>
        <v xml:space="preserve">
市值106.120647亿, 利润3484.43万; PE51.19; 平均PE112.7; 平均PEG1.95, PB6.42; ROIC4.8433%; ROE5.5967%; 股利率1.0591%; 毛利33.31%; 净利12.31%; 上一年度营收增276.93%, 利润增-29.07%; 当季营收增-61.37%, 利润增855.76%; 过往5年营收增57.92%, 利润增-19.22%
Income profile:
</v>
      </c>
      <c r="D98" t="s">
        <v>1144</v>
      </c>
      <c r="E98" t="s">
        <v>1145</v>
      </c>
      <c r="F98">
        <v>24.55</v>
      </c>
      <c r="G98">
        <v>1.07</v>
      </c>
      <c r="H98" t="s">
        <v>4018</v>
      </c>
      <c r="I98">
        <v>10612064700</v>
      </c>
      <c r="J98">
        <v>51.19</v>
      </c>
      <c r="K98">
        <v>6.42</v>
      </c>
      <c r="L98" t="s">
        <v>2891</v>
      </c>
      <c r="M98" t="s">
        <v>384</v>
      </c>
      <c r="N98" t="s">
        <v>295</v>
      </c>
      <c r="O98" t="s">
        <v>117</v>
      </c>
      <c r="P98">
        <v>18.89</v>
      </c>
      <c r="Q98" t="s">
        <v>4019</v>
      </c>
      <c r="R98">
        <v>63738049</v>
      </c>
      <c r="S98" s="6">
        <v>3.2970000000000002</v>
      </c>
      <c r="T98" t="s">
        <v>4020</v>
      </c>
      <c r="U98">
        <v>428684050</v>
      </c>
      <c r="V98">
        <v>432263330</v>
      </c>
      <c r="W98">
        <v>1.18</v>
      </c>
      <c r="X98">
        <v>0.12</v>
      </c>
      <c r="Y98">
        <v>27.57</v>
      </c>
      <c r="Z98" t="s">
        <v>86</v>
      </c>
      <c r="AA98" t="s">
        <v>58</v>
      </c>
      <c r="AB98" t="s">
        <v>4021</v>
      </c>
      <c r="AC98" t="s">
        <v>4022</v>
      </c>
      <c r="AD98" t="s">
        <v>2</v>
      </c>
      <c r="AE98">
        <v>-1620524</v>
      </c>
      <c r="AF98" t="s">
        <v>2745</v>
      </c>
      <c r="AG98" t="s">
        <v>4023</v>
      </c>
      <c r="AH98" t="s">
        <v>2746</v>
      </c>
      <c r="AI98" t="s">
        <v>563</v>
      </c>
      <c r="AJ98" t="s">
        <v>2747</v>
      </c>
      <c r="AK98" t="s">
        <v>4024</v>
      </c>
      <c r="AL98" t="s">
        <v>2748</v>
      </c>
      <c r="AM98" t="s">
        <v>2</v>
      </c>
      <c r="AN98" t="s">
        <v>4025</v>
      </c>
      <c r="AO98" t="s">
        <v>2</v>
      </c>
      <c r="AP98" t="s">
        <v>4026</v>
      </c>
      <c r="AQ98" t="s">
        <v>422</v>
      </c>
      <c r="AR98" t="s">
        <v>2</v>
      </c>
      <c r="AS98" t="s">
        <v>31</v>
      </c>
      <c r="AT98" t="s">
        <v>2</v>
      </c>
      <c r="AU98" t="s">
        <v>4027</v>
      </c>
      <c r="AV98" t="s">
        <v>4028</v>
      </c>
      <c r="AW98" t="s">
        <v>4029</v>
      </c>
      <c r="AX98" t="s">
        <v>60</v>
      </c>
      <c r="AY98" t="s">
        <v>574</v>
      </c>
      <c r="AZ98" t="s">
        <v>274</v>
      </c>
      <c r="BA98" t="s">
        <v>589</v>
      </c>
      <c r="BB98" t="s">
        <v>616</v>
      </c>
      <c r="BC98" t="s">
        <v>1682</v>
      </c>
      <c r="BD98" t="s">
        <v>148</v>
      </c>
      <c r="BE98" t="s">
        <v>67</v>
      </c>
      <c r="BF98" t="s">
        <v>72</v>
      </c>
      <c r="BG98" t="s">
        <v>87</v>
      </c>
      <c r="BH98" t="s">
        <v>1400</v>
      </c>
      <c r="BI98" t="s">
        <v>3247</v>
      </c>
      <c r="BJ98" t="s">
        <v>60</v>
      </c>
      <c r="BK98" t="s">
        <v>205</v>
      </c>
      <c r="BL98" t="s">
        <v>4030</v>
      </c>
      <c r="BM98" t="s">
        <v>1682</v>
      </c>
      <c r="BN98">
        <v>4.91</v>
      </c>
      <c r="BO98">
        <v>2.4700000000000002</v>
      </c>
      <c r="BP98">
        <v>7.15</v>
      </c>
      <c r="BQ98">
        <v>5.89</v>
      </c>
      <c r="BR98">
        <v>3.1</v>
      </c>
      <c r="BS98">
        <v>7.8</v>
      </c>
      <c r="BT98" t="s">
        <v>2075</v>
      </c>
      <c r="BU98" t="s">
        <v>1274</v>
      </c>
      <c r="BV98">
        <v>40.090000000000003</v>
      </c>
      <c r="BW98">
        <v>24.9</v>
      </c>
      <c r="BX98">
        <v>34.94</v>
      </c>
      <c r="BY98">
        <v>16.52</v>
      </c>
      <c r="BZ98">
        <v>6.66</v>
      </c>
      <c r="CA98">
        <v>13.75</v>
      </c>
      <c r="CB98">
        <v>-7.32</v>
      </c>
      <c r="CC98">
        <v>12.61</v>
      </c>
      <c r="CD98" t="s">
        <v>4031</v>
      </c>
      <c r="CE98" t="s">
        <v>132</v>
      </c>
      <c r="CF98" s="10">
        <v>-0.61371237458193983</v>
      </c>
      <c r="CG98" s="11">
        <v>8.5576489023512483</v>
      </c>
      <c r="CH98" s="10">
        <v>2.7693350315093994</v>
      </c>
      <c r="CI98" s="10">
        <v>8.2079339772462845E-3</v>
      </c>
      <c r="CJ98" s="10">
        <v>0.10256410390138626</v>
      </c>
      <c r="CK98" s="10">
        <v>5.4054055362939835E-2</v>
      </c>
      <c r="CL98" s="10">
        <v>-3.8226298987865448E-2</v>
      </c>
      <c r="CM98" s="11">
        <v>-0.29071858525276184</v>
      </c>
      <c r="CN98" s="11">
        <v>-0.51360195875167847</v>
      </c>
      <c r="CO98" s="11">
        <v>-0.22900763154029846</v>
      </c>
      <c r="CP98" s="11">
        <v>3.1496062874794006E-2</v>
      </c>
      <c r="CQ98" s="11">
        <v>4.098360612988472E-2</v>
      </c>
      <c r="CR98">
        <v>112.70037674533449</v>
      </c>
      <c r="CS98">
        <v>1.9458375883103114</v>
      </c>
      <c r="CT98">
        <v>1.0590631364562118</v>
      </c>
      <c r="CU98" s="10">
        <v>0.57918696515262125</v>
      </c>
      <c r="CV98" s="11">
        <v>-0.192169701308012</v>
      </c>
      <c r="CW98">
        <v>0.06</v>
      </c>
      <c r="CX98">
        <v>179.84750743726153</v>
      </c>
      <c r="CY98">
        <v>51911004.122516498</v>
      </c>
      <c r="CZ98">
        <v>0.57918696515262125</v>
      </c>
      <c r="DA98">
        <v>39.816194462784118</v>
      </c>
      <c r="DB98">
        <v>234479081.33777943</v>
      </c>
      <c r="DC98">
        <v>0.55022761689499011</v>
      </c>
      <c r="DD98">
        <v>10.864225550544543</v>
      </c>
      <c r="DE98">
        <v>859340102.66677988</v>
      </c>
      <c r="DF98">
        <v>0.50968452933430675</v>
      </c>
      <c r="DG98">
        <v>3.0589267501763677</v>
      </c>
      <c r="DH98">
        <v>3052072005.1441941</v>
      </c>
      <c r="DI98">
        <v>0.46334957212209704</v>
      </c>
      <c r="DJ98">
        <v>0.23445240363450204</v>
      </c>
      <c r="DK98">
        <v>39820725039.587967</v>
      </c>
      <c r="DL98">
        <v>0.40543087560683483</v>
      </c>
      <c r="DM98">
        <v>34844300</v>
      </c>
      <c r="DN98">
        <v>0.57918696515262125</v>
      </c>
      <c r="DO98">
        <v>9336064700</v>
      </c>
      <c r="DP98">
        <v>874908880</v>
      </c>
      <c r="DQ98">
        <v>4174</v>
      </c>
      <c r="DR98">
        <v>-1.1928993397345611</v>
      </c>
      <c r="DS98">
        <v>8.7498186036592607</v>
      </c>
      <c r="DT98" s="12">
        <v>-0.14000000000000004</v>
      </c>
      <c r="DU98">
        <v>0.14999999999999994</v>
      </c>
      <c r="DV98">
        <v>9.9999999999998979E-3</v>
      </c>
      <c r="DW98">
        <v>-7.367285499247366</v>
      </c>
      <c r="DX98">
        <v>0.24468482972136116</v>
      </c>
      <c r="DY98">
        <v>-7.0311035099628887</v>
      </c>
      <c r="DZ98">
        <v>3987</v>
      </c>
      <c r="EA98">
        <v>-7.0068354680407676</v>
      </c>
      <c r="EB98">
        <v>7</v>
      </c>
      <c r="EC98">
        <v>6.3279020221308158E-2</v>
      </c>
      <c r="ED98">
        <v>0.74722970370861674</v>
      </c>
      <c r="EE98" s="13">
        <v>4.0766</v>
      </c>
      <c r="EF98">
        <v>4.1257000000000001</v>
      </c>
      <c r="EG98">
        <v>16.084684829721361</v>
      </c>
      <c r="EH98" t="s">
        <v>1820</v>
      </c>
      <c r="EI98">
        <v>0</v>
      </c>
      <c r="EJ98">
        <v>0</v>
      </c>
      <c r="EK98" s="14">
        <v>45470</v>
      </c>
      <c r="EL98">
        <v>-1.1299999999999999</v>
      </c>
      <c r="EM98">
        <v>-4.0599999999999996</v>
      </c>
      <c r="EN98">
        <v>-0.72</v>
      </c>
      <c r="EO98">
        <v>10.029999999999999</v>
      </c>
      <c r="EP98">
        <v>4.91</v>
      </c>
    </row>
    <row r="99" spans="1:146" ht="96" x14ac:dyDescent="0.25">
      <c r="A99" s="9"/>
      <c r="B99" s="9"/>
      <c r="C99" s="9" t="str">
        <f>""&amp;CHAR(10)&amp;Basic_Fundamental_Information_Constructure(F99)&amp;CHAR(10)&amp;Basic_Fundamental_Information_Concatenate("")</f>
        <v xml:space="preserve">
市值219.3214亿, 利润-6.56亿; PE21.5; 平均PE80.58; 平均PEG6.47, PB3.2; ROIC7.2667%; ROE9.5133%; 股利率2.451%; 毛利37.63%; 净利18.3667%; 上一年度营收增-91.9%, 利润增-198.8%; 当季营收增976.92%, 利润增763.13%; 过往5年营收增-12.46%, 利润增-14.87%
Income profile:
</v>
      </c>
      <c r="D99" t="s">
        <v>803</v>
      </c>
      <c r="E99" t="s">
        <v>804</v>
      </c>
      <c r="F99">
        <v>44.88</v>
      </c>
      <c r="G99">
        <v>0.36</v>
      </c>
      <c r="H99" t="s">
        <v>4032</v>
      </c>
      <c r="I99">
        <v>21932140000</v>
      </c>
      <c r="J99">
        <v>21.5</v>
      </c>
      <c r="K99">
        <v>3.2</v>
      </c>
      <c r="L99" t="s">
        <v>2891</v>
      </c>
      <c r="M99" t="s">
        <v>2499</v>
      </c>
      <c r="N99" t="s">
        <v>4033</v>
      </c>
      <c r="O99" t="s">
        <v>218</v>
      </c>
      <c r="P99">
        <v>13.66</v>
      </c>
      <c r="Q99" t="s">
        <v>81</v>
      </c>
      <c r="R99">
        <v>213811040</v>
      </c>
      <c r="S99" s="6">
        <v>0.2152</v>
      </c>
      <c r="T99" t="s">
        <v>4034</v>
      </c>
      <c r="U99">
        <v>488684040</v>
      </c>
      <c r="V99">
        <v>488684040</v>
      </c>
      <c r="W99">
        <v>1.34</v>
      </c>
      <c r="X99">
        <v>0.1</v>
      </c>
      <c r="Y99">
        <v>23.69</v>
      </c>
      <c r="Z99" t="s">
        <v>643</v>
      </c>
      <c r="AA99" t="s">
        <v>656</v>
      </c>
      <c r="AB99" t="s">
        <v>4035</v>
      </c>
      <c r="AC99" t="s">
        <v>4036</v>
      </c>
      <c r="AD99" t="s">
        <v>2</v>
      </c>
      <c r="AE99">
        <v>-36909625</v>
      </c>
      <c r="AF99" t="s">
        <v>2749</v>
      </c>
      <c r="AG99" t="s">
        <v>4037</v>
      </c>
      <c r="AH99" t="s">
        <v>2750</v>
      </c>
      <c r="AI99" t="s">
        <v>4038</v>
      </c>
      <c r="AJ99" t="s">
        <v>2751</v>
      </c>
      <c r="AK99" t="s">
        <v>4039</v>
      </c>
      <c r="AL99" t="s">
        <v>2752</v>
      </c>
      <c r="AM99" t="s">
        <v>2</v>
      </c>
      <c r="AN99" t="s">
        <v>312</v>
      </c>
      <c r="AO99" t="s">
        <v>4040</v>
      </c>
      <c r="AP99" t="s">
        <v>4041</v>
      </c>
      <c r="AQ99" t="s">
        <v>1685</v>
      </c>
      <c r="AR99" t="s">
        <v>2</v>
      </c>
      <c r="AS99" t="s">
        <v>4042</v>
      </c>
      <c r="AT99" t="s">
        <v>314</v>
      </c>
      <c r="AU99" t="s">
        <v>397</v>
      </c>
      <c r="AV99" t="s">
        <v>4043</v>
      </c>
      <c r="AW99" t="s">
        <v>1253</v>
      </c>
      <c r="AX99" t="s">
        <v>1453</v>
      </c>
      <c r="AY99" t="s">
        <v>1256</v>
      </c>
      <c r="AZ99" t="s">
        <v>805</v>
      </c>
      <c r="BA99" t="s">
        <v>806</v>
      </c>
      <c r="BB99" t="s">
        <v>807</v>
      </c>
      <c r="BC99" t="s">
        <v>1401</v>
      </c>
      <c r="BD99" t="s">
        <v>172</v>
      </c>
      <c r="BE99" t="s">
        <v>540</v>
      </c>
      <c r="BF99" t="s">
        <v>57</v>
      </c>
      <c r="BG99" t="s">
        <v>43</v>
      </c>
      <c r="BH99" t="s">
        <v>1831</v>
      </c>
      <c r="BI99" t="s">
        <v>4044</v>
      </c>
      <c r="BJ99" t="s">
        <v>1453</v>
      </c>
      <c r="BK99" t="s">
        <v>1918</v>
      </c>
      <c r="BL99" t="s">
        <v>4045</v>
      </c>
      <c r="BM99" t="s">
        <v>1401</v>
      </c>
      <c r="BN99">
        <v>7.91</v>
      </c>
      <c r="BO99">
        <v>9.48</v>
      </c>
      <c r="BP99">
        <v>4.41</v>
      </c>
      <c r="BQ99">
        <v>11.01</v>
      </c>
      <c r="BR99">
        <v>11.72</v>
      </c>
      <c r="BS99">
        <v>5.81</v>
      </c>
      <c r="BT99" t="s">
        <v>2450</v>
      </c>
      <c r="BU99" t="s">
        <v>1444</v>
      </c>
      <c r="BV99">
        <v>41.9</v>
      </c>
      <c r="BW99">
        <v>38.229999999999997</v>
      </c>
      <c r="BX99">
        <v>32.76</v>
      </c>
      <c r="BY99">
        <v>23.39</v>
      </c>
      <c r="BZ99">
        <v>20.059999999999999</v>
      </c>
      <c r="CA99">
        <v>11.65</v>
      </c>
      <c r="CB99">
        <v>-4.16</v>
      </c>
      <c r="CC99">
        <v>-4.79</v>
      </c>
      <c r="CD99" t="s">
        <v>4046</v>
      </c>
      <c r="CE99" t="s">
        <v>125</v>
      </c>
      <c r="CF99" s="10">
        <v>9.7692362796706202</v>
      </c>
      <c r="CG99" s="11">
        <v>7.6313007285370018</v>
      </c>
      <c r="CH99" s="10">
        <v>-0.9190332293510437</v>
      </c>
      <c r="CI99" s="10">
        <v>0.23002603650093079</v>
      </c>
      <c r="CJ99" s="10">
        <v>-4.0983628481626511E-2</v>
      </c>
      <c r="CK99" s="10">
        <v>-5.0101473927497864E-2</v>
      </c>
      <c r="CL99" s="10">
        <v>0.15707008540630341</v>
      </c>
      <c r="CM99" s="11">
        <v>-1.9879517555236816</v>
      </c>
      <c r="CN99" s="11">
        <v>1.1146496534347534</v>
      </c>
      <c r="CO99" s="11">
        <v>-0.34719336032867432</v>
      </c>
      <c r="CP99" s="11">
        <v>-3.7999998778104782E-2</v>
      </c>
      <c r="CQ99" s="11">
        <v>0.5151515007019043</v>
      </c>
      <c r="CR99">
        <v>80.583490508266991</v>
      </c>
      <c r="CS99">
        <v>6.4671442874635998</v>
      </c>
      <c r="CT99">
        <v>2.4509803921568625</v>
      </c>
      <c r="CU99" s="10">
        <v>-0.12460444197058677</v>
      </c>
      <c r="CV99" s="11">
        <v>-0.1486687920987606</v>
      </c>
      <c r="CW99">
        <v>0.06</v>
      </c>
      <c r="CX99" t="e">
        <v>#VALUE!</v>
      </c>
      <c r="CY99" t="s">
        <v>1238</v>
      </c>
      <c r="CZ99">
        <v>-0.12460444197058677</v>
      </c>
      <c r="DA99" t="e">
        <v>#VALUE!</v>
      </c>
      <c r="DB99" t="s">
        <v>1238</v>
      </c>
      <c r="DC99">
        <v>-0.11837421987205743</v>
      </c>
      <c r="DD99" t="e">
        <v>#VALUE!</v>
      </c>
      <c r="DE99" t="s">
        <v>1238</v>
      </c>
      <c r="DF99">
        <v>-0.10965190893411636</v>
      </c>
      <c r="DG99" t="e">
        <v>#VALUE!</v>
      </c>
      <c r="DH99" t="s">
        <v>1238</v>
      </c>
      <c r="DI99">
        <v>-9.9683553576469422E-2</v>
      </c>
      <c r="DJ99" t="e">
        <v>#VALUE!</v>
      </c>
      <c r="DK99" t="s">
        <v>1238</v>
      </c>
      <c r="DL99">
        <v>-8.7223109379410732E-2</v>
      </c>
      <c r="DM99">
        <v>-656000000</v>
      </c>
      <c r="DN99">
        <v>-0.12460444197058677</v>
      </c>
      <c r="DO99">
        <v>17522140000</v>
      </c>
      <c r="DP99">
        <v>4914650300</v>
      </c>
      <c r="DQ99">
        <v>4180</v>
      </c>
      <c r="DR99">
        <v>9.8938407216412063</v>
      </c>
      <c r="DS99">
        <v>7.7799695206357624</v>
      </c>
      <c r="DT99" s="12">
        <v>-0.52333333333333332</v>
      </c>
      <c r="DU99">
        <v>-0.48333333333333334</v>
      </c>
      <c r="DV99">
        <v>-1.0066666666666666</v>
      </c>
      <c r="DW99">
        <v>-8.8684759916492695</v>
      </c>
      <c r="DX99">
        <v>0.28887037037036956</v>
      </c>
      <c r="DY99">
        <v>-8.1292903425346008</v>
      </c>
      <c r="DZ99">
        <v>4972</v>
      </c>
      <c r="EA99">
        <v>-8.0034915982915411</v>
      </c>
      <c r="EB99">
        <v>8</v>
      </c>
      <c r="EC99">
        <v>4.1125754792401242E-2</v>
      </c>
      <c r="ED99">
        <v>0.27625211578426012</v>
      </c>
      <c r="EE99" s="13">
        <v>-3.03471</v>
      </c>
      <c r="EF99">
        <v>-3.0399099999999999</v>
      </c>
      <c r="EG99">
        <v>14.14887037037037</v>
      </c>
      <c r="EH99" t="s">
        <v>1832</v>
      </c>
      <c r="EI99">
        <v>0</v>
      </c>
      <c r="EJ99">
        <v>0</v>
      </c>
      <c r="EK99" s="14">
        <v>45470</v>
      </c>
      <c r="EL99">
        <v>0.56000000000000005</v>
      </c>
      <c r="EM99">
        <v>-0.56000000000000005</v>
      </c>
      <c r="EN99">
        <v>5.0599999999999996</v>
      </c>
      <c r="EO99">
        <v>2.67</v>
      </c>
      <c r="EP99">
        <v>-0.52</v>
      </c>
    </row>
    <row r="100" spans="1:146" ht="96" x14ac:dyDescent="0.25">
      <c r="A100" s="9"/>
      <c r="B100" s="9"/>
      <c r="C100" s="9" t="str">
        <f>""&amp;CHAR(10)&amp;Basic_Fundamental_Information_Constructure(F100)&amp;CHAR(10)&amp;Basic_Fundamental_Information_Concatenate("")</f>
        <v xml:space="preserve">
市值22.349267亿, 利润1.16亿; PE62.48; 平均PE31.67; 平均PEG1.73, PB1.23; ROIC4.5467%; ROE2.7667%; 股利率0%; 毛利12.1133%; 净利1.5333%; 上一年度营收增-75.28%, 利润增194.76%; 当季营收增173.91%, 利润增-64.3%; 过往5年营收增18.31%, 利润增56.54%
Income profile:
</v>
      </c>
      <c r="D100" t="s">
        <v>1146</v>
      </c>
      <c r="E100" t="s">
        <v>1147</v>
      </c>
      <c r="F100">
        <v>6.59</v>
      </c>
      <c r="G100">
        <v>-0.9</v>
      </c>
      <c r="H100" t="s">
        <v>4047</v>
      </c>
      <c r="I100">
        <v>2234926700</v>
      </c>
      <c r="J100">
        <v>62.48</v>
      </c>
      <c r="K100">
        <v>1.23</v>
      </c>
      <c r="L100" t="s">
        <v>2891</v>
      </c>
      <c r="M100" t="s">
        <v>1886</v>
      </c>
      <c r="N100" t="s">
        <v>2192</v>
      </c>
      <c r="O100" t="s">
        <v>667</v>
      </c>
      <c r="P100">
        <v>-5.89</v>
      </c>
      <c r="Q100" t="s">
        <v>538</v>
      </c>
      <c r="R100">
        <v>14613971</v>
      </c>
      <c r="S100" s="6">
        <v>1.913</v>
      </c>
      <c r="T100" t="s">
        <v>131</v>
      </c>
      <c r="U100">
        <v>288268240</v>
      </c>
      <c r="V100">
        <v>339139100</v>
      </c>
      <c r="W100">
        <v>3.41</v>
      </c>
      <c r="X100">
        <v>0.13</v>
      </c>
      <c r="Y100">
        <v>1.91</v>
      </c>
      <c r="Z100" t="s">
        <v>1447</v>
      </c>
      <c r="AA100" t="s">
        <v>294</v>
      </c>
      <c r="AB100" t="s">
        <v>4048</v>
      </c>
      <c r="AC100" t="s">
        <v>4049</v>
      </c>
      <c r="AD100" t="s">
        <v>2</v>
      </c>
      <c r="AE100">
        <v>34014009</v>
      </c>
      <c r="AF100" t="s">
        <v>23</v>
      </c>
      <c r="AG100" t="s">
        <v>2808</v>
      </c>
      <c r="AH100" t="s">
        <v>2755</v>
      </c>
      <c r="AI100" t="s">
        <v>556</v>
      </c>
      <c r="AJ100" t="s">
        <v>2756</v>
      </c>
      <c r="AK100" t="s">
        <v>4050</v>
      </c>
      <c r="AL100" t="s">
        <v>2757</v>
      </c>
      <c r="AM100" t="s">
        <v>2</v>
      </c>
      <c r="AN100" t="s">
        <v>4051</v>
      </c>
      <c r="AO100" t="s">
        <v>4052</v>
      </c>
      <c r="AP100" t="s">
        <v>4053</v>
      </c>
      <c r="AQ100" t="s">
        <v>1872</v>
      </c>
      <c r="AR100" t="s">
        <v>4054</v>
      </c>
      <c r="AS100" t="s">
        <v>2730</v>
      </c>
      <c r="AT100" t="s">
        <v>615</v>
      </c>
      <c r="AU100" t="s">
        <v>4055</v>
      </c>
      <c r="AV100" t="s">
        <v>4056</v>
      </c>
      <c r="AW100" t="s">
        <v>4057</v>
      </c>
      <c r="AX100" t="s">
        <v>1684</v>
      </c>
      <c r="AY100" t="s">
        <v>1686</v>
      </c>
      <c r="AZ100" t="s">
        <v>657</v>
      </c>
      <c r="BA100" t="s">
        <v>1148</v>
      </c>
      <c r="BB100" t="s">
        <v>569</v>
      </c>
      <c r="BC100" t="s">
        <v>2758</v>
      </c>
      <c r="BD100" t="s">
        <v>1687</v>
      </c>
      <c r="BE100" t="s">
        <v>114</v>
      </c>
      <c r="BF100" t="s">
        <v>1149</v>
      </c>
      <c r="BG100" t="s">
        <v>1150</v>
      </c>
      <c r="BH100" t="s">
        <v>2753</v>
      </c>
      <c r="BI100" t="s">
        <v>408</v>
      </c>
      <c r="BJ100" t="s">
        <v>1684</v>
      </c>
      <c r="BK100" t="s">
        <v>2754</v>
      </c>
      <c r="BL100" t="s">
        <v>4058</v>
      </c>
      <c r="BM100" t="s">
        <v>2758</v>
      </c>
      <c r="BN100">
        <v>3.83</v>
      </c>
      <c r="BO100">
        <v>5.44</v>
      </c>
      <c r="BP100">
        <v>4.37</v>
      </c>
      <c r="BQ100">
        <v>1.83</v>
      </c>
      <c r="BR100">
        <v>1.98</v>
      </c>
      <c r="BS100">
        <v>4.49</v>
      </c>
      <c r="BT100" t="s">
        <v>1521</v>
      </c>
      <c r="BU100" t="s">
        <v>1274</v>
      </c>
      <c r="BV100">
        <v>11.16</v>
      </c>
      <c r="BW100">
        <v>12.64</v>
      </c>
      <c r="BX100">
        <v>12.54</v>
      </c>
      <c r="BY100">
        <v>0.75</v>
      </c>
      <c r="BZ100">
        <v>1.17</v>
      </c>
      <c r="CA100">
        <v>2.68</v>
      </c>
      <c r="CB100">
        <v>-5.04</v>
      </c>
      <c r="CC100">
        <v>-15.62</v>
      </c>
      <c r="CD100" t="s">
        <v>4059</v>
      </c>
      <c r="CE100" t="s">
        <v>170</v>
      </c>
      <c r="CF100" s="10">
        <v>1.7391304347826086</v>
      </c>
      <c r="CG100" s="11">
        <v>-0.64296430124549853</v>
      </c>
      <c r="CH100" s="10">
        <v>-0.75284010171890259</v>
      </c>
      <c r="CI100" s="10">
        <v>0.12289974838495255</v>
      </c>
      <c r="CJ100" s="10">
        <v>0.65926700830459595</v>
      </c>
      <c r="CK100" s="10">
        <v>0.19715695083141327</v>
      </c>
      <c r="CL100" s="10">
        <v>0.68893527984619141</v>
      </c>
      <c r="CM100" s="11">
        <v>1.9475588798522949</v>
      </c>
      <c r="CN100" s="11">
        <v>-0.44765317440032959</v>
      </c>
      <c r="CO100" s="11">
        <v>-0.32783207297325134</v>
      </c>
      <c r="CP100" s="11">
        <v>0.79577010869979858</v>
      </c>
      <c r="CQ100" s="11">
        <v>0.85914874076843262</v>
      </c>
      <c r="CR100">
        <v>31.672500329489839</v>
      </c>
      <c r="CS100">
        <v>1.7299457563113891</v>
      </c>
      <c r="CT100">
        <v>0</v>
      </c>
      <c r="CU100" s="10">
        <v>0.18308377712965013</v>
      </c>
      <c r="CV100" s="11">
        <v>0.56539849638938899</v>
      </c>
      <c r="CW100">
        <v>0.06</v>
      </c>
      <c r="CX100">
        <v>35.953835203769344</v>
      </c>
      <c r="CY100">
        <v>129469545.42173527</v>
      </c>
      <c r="CZ100">
        <v>0.18308377712965013</v>
      </c>
      <c r="DA100">
        <v>10.868104744217812</v>
      </c>
      <c r="DB100">
        <v>428310805.75263816</v>
      </c>
      <c r="DC100">
        <v>0.17392958827316762</v>
      </c>
      <c r="DD100">
        <v>4.8036168825224834</v>
      </c>
      <c r="DE100">
        <v>969046202.85945809</v>
      </c>
      <c r="DF100">
        <v>0.16111372387409212</v>
      </c>
      <c r="DG100">
        <v>2.54207921227608</v>
      </c>
      <c r="DH100">
        <v>1831149351.0983703</v>
      </c>
      <c r="DI100">
        <v>0.14646702170372011</v>
      </c>
      <c r="DJ100">
        <v>0.97850985490521325</v>
      </c>
      <c r="DK100">
        <v>4757158731.3762064</v>
      </c>
      <c r="DL100">
        <v>0.12815864399075508</v>
      </c>
      <c r="DM100">
        <v>115999999.99999999</v>
      </c>
      <c r="DN100">
        <v>0.18308377712965013</v>
      </c>
      <c r="DO100">
        <v>4654926700</v>
      </c>
      <c r="DP100">
        <v>971032100.00000048</v>
      </c>
      <c r="DQ100">
        <v>4189</v>
      </c>
      <c r="DR100">
        <v>1.5560466576529586</v>
      </c>
      <c r="DS100">
        <v>-1.2083627976348876</v>
      </c>
      <c r="DT100" s="12">
        <v>-0.19000000000000003</v>
      </c>
      <c r="DU100">
        <v>9.9999999999998614E-3</v>
      </c>
      <c r="DV100">
        <v>-0.18000000000000016</v>
      </c>
      <c r="DW100">
        <v>-8.3226632522407176</v>
      </c>
      <c r="DX100">
        <v>0.36834523809523828</v>
      </c>
      <c r="DY100">
        <v>-8.0252791293213832</v>
      </c>
      <c r="DZ100">
        <v>1437</v>
      </c>
      <c r="EA100">
        <v>-8.0181703017607511</v>
      </c>
      <c r="EB100">
        <v>8</v>
      </c>
      <c r="EC100">
        <v>4.8512542493625771E-2</v>
      </c>
      <c r="ED100">
        <v>0.61921494749499539</v>
      </c>
      <c r="EE100" s="13">
        <v>3.3710000000000011E-2</v>
      </c>
      <c r="EF100">
        <v>4.691E-2</v>
      </c>
      <c r="EG100">
        <v>29.078345238095238</v>
      </c>
      <c r="EH100">
        <v>-1</v>
      </c>
      <c r="EI100">
        <v>0</v>
      </c>
      <c r="EJ100">
        <v>1</v>
      </c>
      <c r="EK100" s="14">
        <v>45470</v>
      </c>
      <c r="EL100">
        <v>-0.17</v>
      </c>
      <c r="EM100">
        <v>-2.92</v>
      </c>
      <c r="EN100">
        <v>1.98</v>
      </c>
      <c r="EO100">
        <v>2.2799999999999998</v>
      </c>
      <c r="EP100">
        <v>-1.32</v>
      </c>
    </row>
    <row r="101" spans="1:146" ht="144" x14ac:dyDescent="0.25">
      <c r="A101" s="9"/>
      <c r="B101" s="9" t="s">
        <v>1480</v>
      </c>
      <c r="C101" s="9" t="str">
        <f>"公司现拥有陆缆系统、海缆系统、海洋工程三大产品领域。拥有 500kV 及以下交流海缆、陆缆，±535kV 及以下直流海缆、陆缆的系统研发生产能力"&amp;CHAR(10)&amp;Basic_Fundamental_Information_Constructure(F101)&amp;CHAR(10)&amp;Basic_Fundamental_Information_Concatenate("陆缆系统 38.41亿 48.43% 18.15% 9.49%
海缆系统 32.73亿 41.26% 71.48% 43.90%
海洋工程 8.09亿 10.20% 10.12% 25.14%")</f>
        <v>公司现拥有陆缆系统、海缆系统、海洋工程三大产品领域。拥有 500kV 及以下交流海缆、陆缆，±535kV 及以下直流海缆、陆缆的系统研发生产能力
市值313.52944亿, 利润9335.76万; PE31.12; 平均PE51.76; 平均PEG17.1, PB4.99; ROIC17.1267%; ROE20.8767%; 股利率.9871%; 毛利24.31%; 净利13.5633%; 上一年度营收增-89.17%, 利润增-88.91%; 当季营收增561.62%, 利润增863.37%; 过往5年营收增3.03%, 利润增35.3%
Income profile:
陆缆系统 38.41亿 48.43% 18.15% 9.49%
海缆系统 32.73亿 41.26% 71.48% 43.90%
海洋工程 8.09亿 10.20% 10.12% 25.14%</v>
      </c>
      <c r="D101" t="s">
        <v>1151</v>
      </c>
      <c r="E101" t="s">
        <v>1814</v>
      </c>
      <c r="F101">
        <v>45.59</v>
      </c>
      <c r="G101">
        <v>-0.24</v>
      </c>
      <c r="H101" t="s">
        <v>4060</v>
      </c>
      <c r="I101">
        <v>31352944000</v>
      </c>
      <c r="J101">
        <v>31.12</v>
      </c>
      <c r="K101">
        <v>4.99</v>
      </c>
      <c r="L101" t="s">
        <v>2891</v>
      </c>
      <c r="M101" t="s">
        <v>2759</v>
      </c>
      <c r="N101" t="s">
        <v>3924</v>
      </c>
      <c r="O101" t="s">
        <v>1303</v>
      </c>
      <c r="P101">
        <v>-8.86</v>
      </c>
      <c r="Q101" t="s">
        <v>1462</v>
      </c>
      <c r="R101">
        <v>263358240</v>
      </c>
      <c r="S101" s="6">
        <v>2.9499999999999998E-2</v>
      </c>
      <c r="T101" t="s">
        <v>4061</v>
      </c>
      <c r="U101">
        <v>687715370</v>
      </c>
      <c r="V101">
        <v>687715370</v>
      </c>
      <c r="W101">
        <v>1.77</v>
      </c>
      <c r="X101">
        <v>0.12</v>
      </c>
      <c r="Y101">
        <v>20.100000000000001</v>
      </c>
      <c r="Z101" t="s">
        <v>1374</v>
      </c>
      <c r="AA101" t="s">
        <v>1451</v>
      </c>
      <c r="AB101" t="s">
        <v>4062</v>
      </c>
      <c r="AC101" t="s">
        <v>4063</v>
      </c>
      <c r="AD101" t="s">
        <v>2</v>
      </c>
      <c r="AE101">
        <v>-5226807</v>
      </c>
      <c r="AF101" t="s">
        <v>2761</v>
      </c>
      <c r="AG101" t="s">
        <v>4064</v>
      </c>
      <c r="AH101" t="s">
        <v>2762</v>
      </c>
      <c r="AI101" t="s">
        <v>1661</v>
      </c>
      <c r="AJ101" t="s">
        <v>2763</v>
      </c>
      <c r="AK101" t="s">
        <v>4065</v>
      </c>
      <c r="AL101" t="s">
        <v>2764</v>
      </c>
      <c r="AM101" t="s">
        <v>2</v>
      </c>
      <c r="AN101" t="s">
        <v>543</v>
      </c>
      <c r="AO101" t="s">
        <v>2</v>
      </c>
      <c r="AP101" t="s">
        <v>4066</v>
      </c>
      <c r="AQ101" t="s">
        <v>371</v>
      </c>
      <c r="AR101" t="s">
        <v>4067</v>
      </c>
      <c r="AS101" t="s">
        <v>4068</v>
      </c>
      <c r="AT101" t="s">
        <v>2883</v>
      </c>
      <c r="AU101" t="s">
        <v>4069</v>
      </c>
      <c r="AV101" t="s">
        <v>292</v>
      </c>
      <c r="AW101" t="s">
        <v>193</v>
      </c>
      <c r="AX101" t="s">
        <v>1688</v>
      </c>
      <c r="AY101" t="s">
        <v>1378</v>
      </c>
      <c r="AZ101" t="s">
        <v>1152</v>
      </c>
      <c r="BA101" t="s">
        <v>655</v>
      </c>
      <c r="BB101" t="s">
        <v>1153</v>
      </c>
      <c r="BC101" t="s">
        <v>1457</v>
      </c>
      <c r="BD101" t="s">
        <v>1232</v>
      </c>
      <c r="BE101" t="s">
        <v>372</v>
      </c>
      <c r="BF101" t="s">
        <v>364</v>
      </c>
      <c r="BG101" t="s">
        <v>55</v>
      </c>
      <c r="BH101" t="s">
        <v>2760</v>
      </c>
      <c r="BI101" t="s">
        <v>233</v>
      </c>
      <c r="BJ101" t="s">
        <v>1688</v>
      </c>
      <c r="BK101" t="s">
        <v>579</v>
      </c>
      <c r="BL101" t="s">
        <v>4070</v>
      </c>
      <c r="BM101" t="s">
        <v>1457</v>
      </c>
      <c r="BN101">
        <v>11.69</v>
      </c>
      <c r="BO101">
        <v>14.04</v>
      </c>
      <c r="BP101">
        <v>25.65</v>
      </c>
      <c r="BQ101">
        <v>14.15</v>
      </c>
      <c r="BR101">
        <v>16.3</v>
      </c>
      <c r="BS101">
        <v>32.18</v>
      </c>
      <c r="BT101" t="s">
        <v>1541</v>
      </c>
      <c r="BU101" t="s">
        <v>1274</v>
      </c>
      <c r="BV101">
        <v>25.21</v>
      </c>
      <c r="BW101">
        <v>22.38</v>
      </c>
      <c r="BX101">
        <v>25.34</v>
      </c>
      <c r="BY101">
        <v>13.68</v>
      </c>
      <c r="BZ101">
        <v>12.02</v>
      </c>
      <c r="CA101">
        <v>14.99</v>
      </c>
      <c r="CB101">
        <v>-6.6</v>
      </c>
      <c r="CC101">
        <v>-0.52</v>
      </c>
      <c r="CD101" t="s">
        <v>4071</v>
      </c>
      <c r="CE101" t="s">
        <v>225</v>
      </c>
      <c r="CF101" s="10">
        <v>5.6161616161616159</v>
      </c>
      <c r="CG101" s="11">
        <v>8.6336947456213515</v>
      </c>
      <c r="CH101" s="10">
        <v>-0.89171063899993896</v>
      </c>
      <c r="CI101" s="10">
        <v>-0.11636407673358917</v>
      </c>
      <c r="CJ101" s="10">
        <v>0.57007110118865967</v>
      </c>
      <c r="CK101" s="10">
        <v>0.36910581588745117</v>
      </c>
      <c r="CL101" s="10">
        <v>0.22023805975914001</v>
      </c>
      <c r="CM101" s="11">
        <v>-0.88912403583526611</v>
      </c>
      <c r="CN101" s="11">
        <v>-0.29184183478355408</v>
      </c>
      <c r="CO101" s="11">
        <v>0.34047344326972961</v>
      </c>
      <c r="CP101" s="11">
        <v>0.96238940954208374</v>
      </c>
      <c r="CQ101" s="11">
        <v>1.6432749032974243</v>
      </c>
      <c r="CR101">
        <v>51.760912024727567</v>
      </c>
      <c r="CS101">
        <v>17.100840069892797</v>
      </c>
      <c r="CT101">
        <v>0.9870585654748848</v>
      </c>
      <c r="CU101" s="10">
        <v>3.0268052220344545E-2</v>
      </c>
      <c r="CV101" s="11">
        <v>0.3530343770980835</v>
      </c>
      <c r="CW101">
        <v>0.06</v>
      </c>
      <c r="CX101">
        <v>324.24800925160554</v>
      </c>
      <c r="CY101">
        <v>90739011.992420778</v>
      </c>
      <c r="CZ101">
        <v>3.0268052220344545E-2</v>
      </c>
      <c r="DA101">
        <v>111.49591492876837</v>
      </c>
      <c r="DB101">
        <v>263883605.23160744</v>
      </c>
      <c r="DC101">
        <v>2.8754649609327318E-2</v>
      </c>
      <c r="DD101">
        <v>58.65915802978509</v>
      </c>
      <c r="DE101">
        <v>501574604.68594784</v>
      </c>
      <c r="DF101">
        <v>2.6635885953903201E-2</v>
      </c>
      <c r="DG101">
        <v>37.882897429854147</v>
      </c>
      <c r="DH101">
        <v>776655060.62410176</v>
      </c>
      <c r="DI101">
        <v>2.4214441776275637E-2</v>
      </c>
      <c r="DJ101">
        <v>22.782144676461208</v>
      </c>
      <c r="DK101">
        <v>1291447509.3470509</v>
      </c>
      <c r="DL101">
        <v>2.118763655424118E-2</v>
      </c>
      <c r="DM101">
        <v>93357600</v>
      </c>
      <c r="DN101">
        <v>3.0268052220344545E-2</v>
      </c>
      <c r="DO101">
        <v>29421944000</v>
      </c>
      <c r="DP101">
        <v>4315520800</v>
      </c>
      <c r="DQ101">
        <v>4208</v>
      </c>
      <c r="DR101">
        <v>5.585893563941271</v>
      </c>
      <c r="DS101">
        <v>8.280660368523268</v>
      </c>
      <c r="DT101" s="12">
        <v>-0.42333333333333339</v>
      </c>
      <c r="DU101">
        <v>0.30333333333333329</v>
      </c>
      <c r="DV101">
        <v>-0.12000000000000011</v>
      </c>
      <c r="DW101">
        <v>-5.0787878787878791</v>
      </c>
      <c r="DX101">
        <v>0.2930618834080726</v>
      </c>
      <c r="DY101">
        <v>-5.0136351786927573</v>
      </c>
      <c r="DZ101">
        <v>3033</v>
      </c>
      <c r="EA101">
        <v>-5.0055421264471347</v>
      </c>
      <c r="EB101">
        <v>5</v>
      </c>
      <c r="EC101">
        <v>5.6117402174681655E-2</v>
      </c>
      <c r="ED101">
        <v>0.32426205626318921</v>
      </c>
      <c r="EE101" s="13">
        <v>-5.0152099999999997</v>
      </c>
      <c r="EF101">
        <v>-5.0385099999999996</v>
      </c>
      <c r="EG101">
        <v>12.173061883408073</v>
      </c>
      <c r="EH101" t="s">
        <v>1974</v>
      </c>
      <c r="EI101">
        <v>0</v>
      </c>
      <c r="EJ101">
        <v>0</v>
      </c>
      <c r="EK101" s="14">
        <v>45470</v>
      </c>
      <c r="EL101">
        <v>-1.95</v>
      </c>
      <c r="EM101">
        <v>-4.7</v>
      </c>
      <c r="EN101">
        <v>0.08</v>
      </c>
      <c r="EO101">
        <v>3.93</v>
      </c>
      <c r="EP101">
        <v>-2.33</v>
      </c>
    </row>
    <row r="102" spans="1:146" ht="96" x14ac:dyDescent="0.25">
      <c r="A102" s="9"/>
      <c r="B102" s="9"/>
      <c r="C102" s="9" t="str">
        <f>""&amp;CHAR(10)&amp;Basic_Fundamental_Information_Constructure(F102)&amp;CHAR(10)&amp;Basic_Fundamental_Information_Concatenate("")</f>
        <v xml:space="preserve">
市值33.877405亿, 利润8.10亿; PE24.44; 平均PE15.15; 平均PEG5.54, PB1.14; ROIC3.46%; ROE4.3633%; 股利率1.2245%; 毛利14.7933%; 净利1.7467%; 上一年度营收增-54.16%, 利润增466.43%; 当季营收增83.63%, 利润增-88.19%; 过往5年营收增2.74%, 利润增104.98%
Income profile:
</v>
      </c>
      <c r="D102" t="s">
        <v>1154</v>
      </c>
      <c r="E102" t="s">
        <v>1155</v>
      </c>
      <c r="F102">
        <v>4.9000000000000004</v>
      </c>
      <c r="G102">
        <v>2.5099999999999998</v>
      </c>
      <c r="H102" t="s">
        <v>4072</v>
      </c>
      <c r="I102">
        <v>3387740500</v>
      </c>
      <c r="J102">
        <v>24.44</v>
      </c>
      <c r="K102">
        <v>1.1399999999999999</v>
      </c>
      <c r="L102" t="s">
        <v>2891</v>
      </c>
      <c r="M102" t="s">
        <v>1954</v>
      </c>
      <c r="N102" t="s">
        <v>4073</v>
      </c>
      <c r="O102" t="s">
        <v>1877</v>
      </c>
      <c r="P102">
        <v>12.04</v>
      </c>
      <c r="Q102" t="s">
        <v>4074</v>
      </c>
      <c r="R102">
        <v>25398027</v>
      </c>
      <c r="S102" s="6">
        <v>0.13619999999999999</v>
      </c>
      <c r="T102" t="s">
        <v>1187</v>
      </c>
      <c r="U102">
        <v>691375620</v>
      </c>
      <c r="V102">
        <v>691375620</v>
      </c>
      <c r="W102">
        <v>3.35</v>
      </c>
      <c r="X102">
        <v>0.16</v>
      </c>
      <c r="Y102">
        <v>1.61</v>
      </c>
      <c r="Z102" t="s">
        <v>1376</v>
      </c>
      <c r="AA102" t="s">
        <v>1199</v>
      </c>
      <c r="AB102" t="s">
        <v>4075</v>
      </c>
      <c r="AC102" t="s">
        <v>4076</v>
      </c>
      <c r="AD102" t="s">
        <v>2</v>
      </c>
      <c r="AE102">
        <v>36999082</v>
      </c>
      <c r="AF102" t="s">
        <v>2766</v>
      </c>
      <c r="AG102" t="s">
        <v>4077</v>
      </c>
      <c r="AH102" t="s">
        <v>2767</v>
      </c>
      <c r="AI102" t="s">
        <v>1798</v>
      </c>
      <c r="AJ102" t="s">
        <v>2768</v>
      </c>
      <c r="AK102" t="s">
        <v>4078</v>
      </c>
      <c r="AL102" t="s">
        <v>2769</v>
      </c>
      <c r="AM102" t="s">
        <v>2</v>
      </c>
      <c r="AN102" t="s">
        <v>277</v>
      </c>
      <c r="AO102" t="s">
        <v>4079</v>
      </c>
      <c r="AP102" t="s">
        <v>184</v>
      </c>
      <c r="AQ102" t="s">
        <v>1636</v>
      </c>
      <c r="AR102" t="s">
        <v>4080</v>
      </c>
      <c r="AS102" t="s">
        <v>1202</v>
      </c>
      <c r="AT102" t="s">
        <v>29</v>
      </c>
      <c r="AU102" t="s">
        <v>4081</v>
      </c>
      <c r="AV102" t="s">
        <v>1306</v>
      </c>
      <c r="AW102" t="s">
        <v>4082</v>
      </c>
      <c r="AX102" t="s">
        <v>1689</v>
      </c>
      <c r="AY102" t="s">
        <v>1379</v>
      </c>
      <c r="AZ102" t="s">
        <v>1207</v>
      </c>
      <c r="BA102" t="s">
        <v>1156</v>
      </c>
      <c r="BB102" t="s">
        <v>1157</v>
      </c>
      <c r="BC102" t="s">
        <v>228</v>
      </c>
      <c r="BD102" t="s">
        <v>1380</v>
      </c>
      <c r="BE102" t="s">
        <v>1381</v>
      </c>
      <c r="BF102" t="s">
        <v>131</v>
      </c>
      <c r="BG102" t="s">
        <v>148</v>
      </c>
      <c r="BH102" t="s">
        <v>2765</v>
      </c>
      <c r="BI102" t="s">
        <v>932</v>
      </c>
      <c r="BJ102" t="s">
        <v>1689</v>
      </c>
      <c r="BK102" t="s">
        <v>160</v>
      </c>
      <c r="BL102" t="s">
        <v>524</v>
      </c>
      <c r="BM102" t="s">
        <v>228</v>
      </c>
      <c r="BN102">
        <v>2.52</v>
      </c>
      <c r="BO102">
        <v>4.16</v>
      </c>
      <c r="BP102">
        <v>3.7</v>
      </c>
      <c r="BQ102">
        <v>4.24</v>
      </c>
      <c r="BR102">
        <v>5.2</v>
      </c>
      <c r="BS102">
        <v>3.65</v>
      </c>
      <c r="BT102" t="s">
        <v>1522</v>
      </c>
      <c r="BU102" t="s">
        <v>1274</v>
      </c>
      <c r="BV102">
        <v>15.13</v>
      </c>
      <c r="BW102">
        <v>14.69</v>
      </c>
      <c r="BX102">
        <v>14.56</v>
      </c>
      <c r="BY102">
        <v>1.91</v>
      </c>
      <c r="BZ102">
        <v>1.87</v>
      </c>
      <c r="CA102">
        <v>1.46</v>
      </c>
      <c r="CB102">
        <v>11.87</v>
      </c>
      <c r="CC102">
        <v>-3.35</v>
      </c>
      <c r="CD102" t="s">
        <v>312</v>
      </c>
      <c r="CE102" t="s">
        <v>378</v>
      </c>
      <c r="CF102" s="10">
        <v>0.83628318584070849</v>
      </c>
      <c r="CG102" s="11">
        <v>-0.88186964186046513</v>
      </c>
      <c r="CH102" s="10">
        <v>-0.54157966375350952</v>
      </c>
      <c r="CI102" s="10">
        <v>9.3779444694519043E-2</v>
      </c>
      <c r="CJ102" s="10">
        <v>0.25197643041610718</v>
      </c>
      <c r="CK102" s="10">
        <v>0.21104088425636292</v>
      </c>
      <c r="CL102" s="10">
        <v>0.1215444952249527</v>
      </c>
      <c r="CM102" s="11">
        <v>4.6643357276916504</v>
      </c>
      <c r="CN102" s="11">
        <v>0.43698236346244812</v>
      </c>
      <c r="CO102" s="11">
        <v>0.37583813071250916</v>
      </c>
      <c r="CP102" s="11">
        <v>-0.37646722793579102</v>
      </c>
      <c r="CQ102" s="11">
        <v>0.14851485192775726</v>
      </c>
      <c r="CR102">
        <v>15.148142790677813</v>
      </c>
      <c r="CS102">
        <v>5.5381568384114352</v>
      </c>
      <c r="CT102">
        <v>1.2244897959183672</v>
      </c>
      <c r="CU102" s="10">
        <v>2.7352318167686462E-2</v>
      </c>
      <c r="CV102" s="11">
        <v>1.0498407691717149</v>
      </c>
      <c r="CW102">
        <v>0.06</v>
      </c>
      <c r="CX102">
        <v>9.2105214185341602</v>
      </c>
      <c r="CY102">
        <v>785052243.12813771</v>
      </c>
      <c r="CZ102">
        <v>2.7352318167686462E-2</v>
      </c>
      <c r="DA102">
        <v>3.1750639246725276</v>
      </c>
      <c r="DB102">
        <v>2277352731.0149417</v>
      </c>
      <c r="DC102">
        <v>2.5984702259302137E-2</v>
      </c>
      <c r="DD102">
        <v>1.6757543593841673</v>
      </c>
      <c r="DE102">
        <v>4314916717.6609745</v>
      </c>
      <c r="DF102">
        <v>2.4070039987564087E-2</v>
      </c>
      <c r="DG102">
        <v>1.0858657784898931</v>
      </c>
      <c r="DH102">
        <v>6658963421.8473549</v>
      </c>
      <c r="DI102">
        <v>2.1881854534149172E-2</v>
      </c>
      <c r="DJ102">
        <v>0.65735206095225696</v>
      </c>
      <c r="DK102">
        <v>10999798935.026331</v>
      </c>
      <c r="DL102">
        <v>1.9146622717380522E-2</v>
      </c>
      <c r="DM102">
        <v>810000000</v>
      </c>
      <c r="DN102">
        <v>2.7352318167686462E-2</v>
      </c>
      <c r="DO102">
        <v>7230740500</v>
      </c>
      <c r="DP102">
        <v>1216868500</v>
      </c>
      <c r="DQ102">
        <v>4219</v>
      </c>
      <c r="DR102">
        <v>0.80893086767302202</v>
      </c>
      <c r="DS102">
        <v>-1.9317104110321801</v>
      </c>
      <c r="DT102" s="12">
        <v>-0.35666666666666669</v>
      </c>
      <c r="DU102">
        <v>2.6666666666666616E-2</v>
      </c>
      <c r="DV102">
        <v>-0.33000000000000007</v>
      </c>
      <c r="DW102">
        <v>5.2822240943555183</v>
      </c>
      <c r="DX102">
        <v>0.83174934725848693</v>
      </c>
      <c r="DY102">
        <v>5.144427996067054</v>
      </c>
      <c r="DZ102">
        <v>1941</v>
      </c>
      <c r="EA102">
        <v>5.0895679685981401</v>
      </c>
      <c r="EB102">
        <v>5</v>
      </c>
      <c r="EC102">
        <v>0.28349278500737413</v>
      </c>
      <c r="ED102">
        <v>0.55396804417257295</v>
      </c>
      <c r="EE102" s="13">
        <v>3.0678999999999998</v>
      </c>
      <c r="EF102">
        <v>3.0335000000000001</v>
      </c>
      <c r="EG102">
        <v>32.511749347258487</v>
      </c>
      <c r="EH102" t="s">
        <v>1551</v>
      </c>
      <c r="EI102">
        <v>1</v>
      </c>
      <c r="EJ102">
        <v>0</v>
      </c>
      <c r="EK102" s="14">
        <v>45470</v>
      </c>
      <c r="EL102">
        <v>-2.2400000000000002</v>
      </c>
      <c r="EM102">
        <v>-3.63</v>
      </c>
      <c r="EN102">
        <v>2.2999999999999998</v>
      </c>
      <c r="EO102">
        <v>-1.57</v>
      </c>
      <c r="EP102">
        <v>-3.44</v>
      </c>
    </row>
    <row r="103" spans="1:146" ht="96" x14ac:dyDescent="0.25">
      <c r="A103" s="9"/>
      <c r="B103" s="9"/>
      <c r="C103" s="9" t="str">
        <f>""&amp;CHAR(10)&amp;Basic_Fundamental_Information_Constructure(F103)&amp;CHAR(10)&amp;Basic_Fundamental_Information_Concatenate("")</f>
        <v xml:space="preserve">
市值20.848亿, 利润30.36亿; PE19.01; 平均PE3.73; 平均PEG.01, PB2.19; ROIC9.4833%; ROE9.1667%; 股利率.7675%; 毛利22.2933%; 净利7.5767%; 上一年度营收增1315.91%, 利润增3928.66%; 当季营收增-87.79%, 利润增-87.91%; 过往5年营收增288.08%, 利润增791.79%
Income profile:
</v>
      </c>
      <c r="D103" t="s">
        <v>1000</v>
      </c>
      <c r="E103" t="s">
        <v>1001</v>
      </c>
      <c r="F103">
        <v>13.03</v>
      </c>
      <c r="G103">
        <v>2.6</v>
      </c>
      <c r="H103" t="s">
        <v>4083</v>
      </c>
      <c r="I103">
        <v>2084800000</v>
      </c>
      <c r="J103">
        <v>19.010000000000002</v>
      </c>
      <c r="K103">
        <v>2.19</v>
      </c>
      <c r="L103" t="s">
        <v>2891</v>
      </c>
      <c r="M103" t="s">
        <v>282</v>
      </c>
      <c r="N103" t="s">
        <v>3717</v>
      </c>
      <c r="O103" t="s">
        <v>744</v>
      </c>
      <c r="P103">
        <v>15.49</v>
      </c>
      <c r="Q103" t="s">
        <v>4084</v>
      </c>
      <c r="R103">
        <v>18369933</v>
      </c>
      <c r="S103" s="6">
        <v>4.1599999999999998E-2</v>
      </c>
      <c r="T103" t="s">
        <v>4085</v>
      </c>
      <c r="U103">
        <v>160000000</v>
      </c>
      <c r="V103">
        <v>160000000</v>
      </c>
      <c r="W103">
        <v>1.97</v>
      </c>
      <c r="X103">
        <v>0.18</v>
      </c>
      <c r="Y103">
        <v>7.45</v>
      </c>
      <c r="Z103" t="s">
        <v>630</v>
      </c>
      <c r="AA103" t="s">
        <v>22</v>
      </c>
      <c r="AB103" t="s">
        <v>4086</v>
      </c>
      <c r="AC103" t="s">
        <v>4087</v>
      </c>
      <c r="AD103" t="s">
        <v>2</v>
      </c>
      <c r="AE103">
        <v>2819244</v>
      </c>
      <c r="AF103" t="s">
        <v>2771</v>
      </c>
      <c r="AG103" t="s">
        <v>4088</v>
      </c>
      <c r="AH103" t="s">
        <v>2772</v>
      </c>
      <c r="AI103" t="s">
        <v>125</v>
      </c>
      <c r="AJ103" t="s">
        <v>2773</v>
      </c>
      <c r="AK103" t="s">
        <v>4089</v>
      </c>
      <c r="AL103" t="s">
        <v>2774</v>
      </c>
      <c r="AM103" t="s">
        <v>2</v>
      </c>
      <c r="AN103" t="s">
        <v>4090</v>
      </c>
      <c r="AO103" t="s">
        <v>128</v>
      </c>
      <c r="AP103" t="s">
        <v>4091</v>
      </c>
      <c r="AQ103" t="s">
        <v>302</v>
      </c>
      <c r="AR103" t="s">
        <v>4092</v>
      </c>
      <c r="AS103" t="s">
        <v>1406</v>
      </c>
      <c r="AT103" t="s">
        <v>4093</v>
      </c>
      <c r="AU103" t="s">
        <v>4094</v>
      </c>
      <c r="AV103" t="s">
        <v>4095</v>
      </c>
      <c r="AW103" t="s">
        <v>4096</v>
      </c>
      <c r="AX103" t="s">
        <v>1601</v>
      </c>
      <c r="AY103" t="s">
        <v>1692</v>
      </c>
      <c r="AZ103" t="s">
        <v>670</v>
      </c>
      <c r="BA103" t="s">
        <v>288</v>
      </c>
      <c r="BB103" t="s">
        <v>209</v>
      </c>
      <c r="BC103" t="s">
        <v>1691</v>
      </c>
      <c r="BD103" t="s">
        <v>1693</v>
      </c>
      <c r="BE103" t="s">
        <v>1002</v>
      </c>
      <c r="BF103" t="s">
        <v>1003</v>
      </c>
      <c r="BG103" t="s">
        <v>1004</v>
      </c>
      <c r="BH103" t="s">
        <v>1925</v>
      </c>
      <c r="BI103" t="s">
        <v>4097</v>
      </c>
      <c r="BJ103" t="s">
        <v>1601</v>
      </c>
      <c r="BK103" t="s">
        <v>223</v>
      </c>
      <c r="BL103" t="s">
        <v>78</v>
      </c>
      <c r="BM103" t="s">
        <v>1691</v>
      </c>
      <c r="BN103">
        <v>9.48</v>
      </c>
      <c r="BO103">
        <v>9.5</v>
      </c>
      <c r="BP103">
        <v>9.4700000000000006</v>
      </c>
      <c r="BQ103">
        <v>8.7899999999999991</v>
      </c>
      <c r="BR103">
        <v>9.08</v>
      </c>
      <c r="BS103">
        <v>9.6300000000000008</v>
      </c>
      <c r="BT103" t="s">
        <v>1520</v>
      </c>
      <c r="BU103" t="s">
        <v>1445</v>
      </c>
      <c r="BV103">
        <v>24.25</v>
      </c>
      <c r="BW103">
        <v>21.33</v>
      </c>
      <c r="BX103">
        <v>21.3</v>
      </c>
      <c r="BY103">
        <v>8.3800000000000008</v>
      </c>
      <c r="BZ103">
        <v>6.88</v>
      </c>
      <c r="CA103">
        <v>7.47</v>
      </c>
      <c r="CB103">
        <v>10.14</v>
      </c>
      <c r="CC103">
        <v>3.33</v>
      </c>
      <c r="CD103" t="s">
        <v>4098</v>
      </c>
      <c r="CE103" t="s">
        <v>68</v>
      </c>
      <c r="CF103" s="10">
        <v>-0.87787114845938374</v>
      </c>
      <c r="CG103" s="11">
        <v>-0.87914517763157896</v>
      </c>
      <c r="CH103" s="10">
        <v>13.159104347229004</v>
      </c>
      <c r="CI103" s="10">
        <v>0.23674097657203674</v>
      </c>
      <c r="CJ103" s="10">
        <v>0.47840902209281921</v>
      </c>
      <c r="CK103" s="10">
        <v>0.43322476744651794</v>
      </c>
      <c r="CL103" s="10">
        <v>9.6428573131561279E-2</v>
      </c>
      <c r="CM103" s="11">
        <v>39.286575317382812</v>
      </c>
      <c r="CN103" s="11">
        <v>1.4277389273047447E-2</v>
      </c>
      <c r="CO103" s="11">
        <v>0.16261410713195801</v>
      </c>
      <c r="CP103" s="11">
        <v>0.32368743419647217</v>
      </c>
      <c r="CQ103" s="11">
        <v>-0.19773343205451965</v>
      </c>
      <c r="CR103">
        <v>3.7250466055182256</v>
      </c>
      <c r="CS103">
        <v>1.2930680640978997E-2</v>
      </c>
      <c r="CT103">
        <v>0.76745970836531086</v>
      </c>
      <c r="CU103" s="10">
        <v>2.8807815372943879</v>
      </c>
      <c r="CV103" s="11">
        <v>7.9178841631859544</v>
      </c>
      <c r="CW103">
        <v>0.06</v>
      </c>
      <c r="CX103">
        <v>0.19440143828411532</v>
      </c>
      <c r="CY103">
        <v>11115144101.156378</v>
      </c>
      <c r="CZ103">
        <v>2.8807815372943879</v>
      </c>
      <c r="DA103">
        <v>1.1909474820653685E-2</v>
      </c>
      <c r="DB103">
        <v>181435372469.37967</v>
      </c>
      <c r="DC103">
        <v>2.7367424604296682</v>
      </c>
      <c r="DD103">
        <v>3.6245406778469535E-4</v>
      </c>
      <c r="DE103">
        <v>5961582975759.4463</v>
      </c>
      <c r="DF103">
        <v>2.5350877528190612</v>
      </c>
      <c r="DG103">
        <v>5.5741152965478458E-6</v>
      </c>
      <c r="DH103">
        <v>387648960425742.19</v>
      </c>
      <c r="DI103">
        <v>2.3046252298355103</v>
      </c>
      <c r="DJ103">
        <v>3.803716657248252E-10</v>
      </c>
      <c r="DK103">
        <v>5.6807596219935109E+18</v>
      </c>
      <c r="DL103">
        <v>2.0165470761060713</v>
      </c>
      <c r="DM103">
        <v>3036000000</v>
      </c>
      <c r="DN103">
        <v>2.8807815372943879</v>
      </c>
      <c r="DO103">
        <v>2160800000</v>
      </c>
      <c r="DP103">
        <v>587084600</v>
      </c>
      <c r="DQ103">
        <v>4330</v>
      </c>
      <c r="DR103">
        <v>-3.7586526857537716</v>
      </c>
      <c r="DS103">
        <v>-8.7970293408175326</v>
      </c>
      <c r="DT103" s="12">
        <v>0.26</v>
      </c>
      <c r="DU103">
        <v>1.0000000000000011E-2</v>
      </c>
      <c r="DV103">
        <v>0.27</v>
      </c>
      <c r="DW103">
        <v>5.3284023668639051</v>
      </c>
      <c r="DX103">
        <v>0.73003035714285847</v>
      </c>
      <c r="DY103">
        <v>5.1871993184699914</v>
      </c>
      <c r="DZ103">
        <v>1662</v>
      </c>
      <c r="EA103">
        <v>5.1263137475703582</v>
      </c>
      <c r="EB103">
        <v>5</v>
      </c>
      <c r="EC103">
        <v>0.39902124999999999</v>
      </c>
      <c r="ED103">
        <v>0.70000000000000007</v>
      </c>
      <c r="EE103" s="13">
        <v>-1.0669999999999999</v>
      </c>
      <c r="EF103">
        <v>-1.0329999999999999</v>
      </c>
      <c r="EG103">
        <v>16.570030357142858</v>
      </c>
      <c r="EH103" t="s">
        <v>1548</v>
      </c>
      <c r="EI103">
        <v>1</v>
      </c>
      <c r="EJ103">
        <v>0</v>
      </c>
      <c r="EK103" s="14">
        <v>45470</v>
      </c>
      <c r="EL103">
        <v>-1.29</v>
      </c>
      <c r="EM103">
        <v>-3.2</v>
      </c>
      <c r="EN103">
        <v>-0.53</v>
      </c>
      <c r="EO103">
        <v>-0.71</v>
      </c>
      <c r="EP103">
        <v>-3.4</v>
      </c>
    </row>
    <row r="104" spans="1:146" ht="96" x14ac:dyDescent="0.25">
      <c r="A104" s="9"/>
      <c r="B104" s="9"/>
      <c r="C104" s="9" t="str">
        <f>""&amp;CHAR(10)&amp;Basic_Fundamental_Information_Constructure(F104)&amp;CHAR(10)&amp;Basic_Fundamental_Information_Concatenate("")</f>
        <v xml:space="preserve">
市值34.448492亿, 利润-2.37亿; PE32.03; 平均PE74.36; 平均PEG7.55, PB1.23; ROIC1.6033%; ROE1.8567%; 股利率1.0633%; 毛利17.7%; 净利1.4933%; 上一年度营收增-80.81%, 利润增-764.35%; 当季营收增676.67%, 利润增226.36%; 过往5年营收增-9.85%, 利润增-177.69%
Income profile:
</v>
      </c>
      <c r="D104" t="s">
        <v>1005</v>
      </c>
      <c r="E104" t="s">
        <v>1006</v>
      </c>
      <c r="F104">
        <v>7.9</v>
      </c>
      <c r="G104">
        <v>0.64</v>
      </c>
      <c r="H104" t="s">
        <v>2770</v>
      </c>
      <c r="I104">
        <v>3444849200</v>
      </c>
      <c r="J104">
        <v>32.03</v>
      </c>
      <c r="K104">
        <v>1.23</v>
      </c>
      <c r="L104" t="s">
        <v>2891</v>
      </c>
      <c r="M104" t="s">
        <v>2775</v>
      </c>
      <c r="N104" t="s">
        <v>2162</v>
      </c>
      <c r="O104" t="s">
        <v>1854</v>
      </c>
      <c r="P104">
        <v>20.14</v>
      </c>
      <c r="Q104" t="s">
        <v>594</v>
      </c>
      <c r="R104">
        <v>32871853</v>
      </c>
      <c r="S104" s="6">
        <v>-5.9900000000000002E-2</v>
      </c>
      <c r="T104" t="s">
        <v>1638</v>
      </c>
      <c r="U104">
        <v>424115380</v>
      </c>
      <c r="V104">
        <v>436056860</v>
      </c>
      <c r="W104">
        <v>2.94</v>
      </c>
      <c r="X104">
        <v>0.1</v>
      </c>
      <c r="Y104">
        <v>3.45</v>
      </c>
      <c r="Z104" t="s">
        <v>1325</v>
      </c>
      <c r="AA104" t="s">
        <v>1462</v>
      </c>
      <c r="AB104" t="s">
        <v>4099</v>
      </c>
      <c r="AC104" t="s">
        <v>4100</v>
      </c>
      <c r="AD104" t="s">
        <v>2</v>
      </c>
      <c r="AE104">
        <v>19036278</v>
      </c>
      <c r="AF104" t="s">
        <v>2777</v>
      </c>
      <c r="AG104">
        <v>3886.27</v>
      </c>
      <c r="AH104" t="s">
        <v>2778</v>
      </c>
      <c r="AI104" t="s">
        <v>656</v>
      </c>
      <c r="AJ104" t="s">
        <v>2779</v>
      </c>
      <c r="AK104" t="s">
        <v>144</v>
      </c>
      <c r="AL104" t="s">
        <v>2780</v>
      </c>
      <c r="AM104" t="s">
        <v>2</v>
      </c>
      <c r="AN104" t="s">
        <v>4101</v>
      </c>
      <c r="AO104" t="s">
        <v>356</v>
      </c>
      <c r="AP104" t="s">
        <v>344</v>
      </c>
      <c r="AQ104" t="s">
        <v>4102</v>
      </c>
      <c r="AR104" t="s">
        <v>2</v>
      </c>
      <c r="AS104" t="s">
        <v>4103</v>
      </c>
      <c r="AT104" t="s">
        <v>214</v>
      </c>
      <c r="AU104" t="s">
        <v>4104</v>
      </c>
      <c r="AV104" t="s">
        <v>4105</v>
      </c>
      <c r="AW104" t="s">
        <v>4106</v>
      </c>
      <c r="AX104" t="s">
        <v>1494</v>
      </c>
      <c r="AY104" t="s">
        <v>1309</v>
      </c>
      <c r="AZ104" t="s">
        <v>1007</v>
      </c>
      <c r="BA104" t="s">
        <v>1009</v>
      </c>
      <c r="BB104" t="s">
        <v>1010</v>
      </c>
      <c r="BC104" t="s">
        <v>1694</v>
      </c>
      <c r="BD104" t="s">
        <v>1382</v>
      </c>
      <c r="BE104" t="s">
        <v>1008</v>
      </c>
      <c r="BF104" t="s">
        <v>86</v>
      </c>
      <c r="BG104" t="s">
        <v>207</v>
      </c>
      <c r="BH104" t="s">
        <v>2776</v>
      </c>
      <c r="BI104" t="s">
        <v>134</v>
      </c>
      <c r="BJ104" t="s">
        <v>1494</v>
      </c>
      <c r="BK104" t="s">
        <v>99</v>
      </c>
      <c r="BL104" t="s">
        <v>4107</v>
      </c>
      <c r="BM104" t="s">
        <v>1694</v>
      </c>
      <c r="BN104">
        <v>1.87</v>
      </c>
      <c r="BO104">
        <v>1.3</v>
      </c>
      <c r="BP104">
        <v>1.64</v>
      </c>
      <c r="BQ104">
        <v>2.1800000000000002</v>
      </c>
      <c r="BR104">
        <v>1.29</v>
      </c>
      <c r="BS104">
        <v>2.1</v>
      </c>
      <c r="BT104" t="s">
        <v>2781</v>
      </c>
      <c r="BU104" t="s">
        <v>1445</v>
      </c>
      <c r="BV104">
        <v>18.079999999999998</v>
      </c>
      <c r="BW104">
        <v>16.91</v>
      </c>
      <c r="BX104">
        <v>18.11</v>
      </c>
      <c r="BY104">
        <v>2.5</v>
      </c>
      <c r="BZ104">
        <v>0.72</v>
      </c>
      <c r="CA104">
        <v>1.26</v>
      </c>
      <c r="CB104">
        <v>-4.66</v>
      </c>
      <c r="CC104">
        <v>-10.39</v>
      </c>
      <c r="CD104" t="s">
        <v>4108</v>
      </c>
      <c r="CE104" t="s">
        <v>314</v>
      </c>
      <c r="CF104" s="10">
        <v>6.7666666666666666</v>
      </c>
      <c r="CG104" s="11">
        <v>2.263602197244603</v>
      </c>
      <c r="CH104" s="10">
        <v>-0.80808085203170776</v>
      </c>
      <c r="CI104" s="10">
        <v>-1.3663535937666893E-2</v>
      </c>
      <c r="CJ104" s="10">
        <v>0.16017170250415802</v>
      </c>
      <c r="CK104" s="10">
        <v>5.8371223509311676E-2</v>
      </c>
      <c r="CL104" s="10">
        <v>0.11063662171363831</v>
      </c>
      <c r="CM104" s="11">
        <v>-7.6435308456420898</v>
      </c>
      <c r="CN104" s="11">
        <v>-0.36414873600006104</v>
      </c>
      <c r="CO104" s="11">
        <v>-0.40424856543540955</v>
      </c>
      <c r="CP104" s="11">
        <v>-0.40771380066871643</v>
      </c>
      <c r="CQ104" s="11">
        <v>-6.4705885946750641E-2</v>
      </c>
      <c r="CR104">
        <v>74.362290084629933</v>
      </c>
      <c r="CS104">
        <v>7.5484772774336717</v>
      </c>
      <c r="CT104">
        <v>1.0632911392405062</v>
      </c>
      <c r="CU104" s="10">
        <v>-9.8512968048453331E-2</v>
      </c>
      <c r="CV104" s="11">
        <v>-1.7768695667386054</v>
      </c>
      <c r="CW104">
        <v>0.06</v>
      </c>
      <c r="CX104" t="e">
        <v>#VALUE!</v>
      </c>
      <c r="CY104" t="s">
        <v>1238</v>
      </c>
      <c r="CZ104">
        <v>-9.8512968048453331E-2</v>
      </c>
      <c r="DA104" t="e">
        <v>#VALUE!</v>
      </c>
      <c r="DB104" t="s">
        <v>1238</v>
      </c>
      <c r="DC104">
        <v>-9.3587319646030662E-2</v>
      </c>
      <c r="DD104" t="e">
        <v>#VALUE!</v>
      </c>
      <c r="DE104" t="s">
        <v>1238</v>
      </c>
      <c r="DF104">
        <v>-8.669141188263893E-2</v>
      </c>
      <c r="DG104" t="e">
        <v>#VALUE!</v>
      </c>
      <c r="DH104" t="s">
        <v>1238</v>
      </c>
      <c r="DI104">
        <v>-7.8810374438762668E-2</v>
      </c>
      <c r="DJ104" t="e">
        <v>#VALUE!</v>
      </c>
      <c r="DK104" t="s">
        <v>1238</v>
      </c>
      <c r="DL104">
        <v>-6.8959077633917329E-2</v>
      </c>
      <c r="DM104">
        <v>-237000000</v>
      </c>
      <c r="DN104">
        <v>-9.8512968048453331E-2</v>
      </c>
      <c r="DO104">
        <v>6142849200</v>
      </c>
      <c r="DP104">
        <v>662656900</v>
      </c>
      <c r="DQ104">
        <v>4342</v>
      </c>
      <c r="DR104">
        <v>6.8651796347151199</v>
      </c>
      <c r="DS104">
        <v>4.0404717639832084</v>
      </c>
      <c r="DT104" s="12">
        <v>-0.64</v>
      </c>
      <c r="DU104">
        <v>-0.55000000000000016</v>
      </c>
      <c r="DV104">
        <v>-1.1900000000000002</v>
      </c>
      <c r="DW104">
        <v>-8.4485081809432145</v>
      </c>
      <c r="DX104">
        <v>0.24813896713615166</v>
      </c>
      <c r="DY104">
        <v>-8.0350459660110172</v>
      </c>
      <c r="DZ104">
        <v>4210</v>
      </c>
      <c r="EA104">
        <v>-8.0061724793365787</v>
      </c>
      <c r="EB104">
        <v>8</v>
      </c>
      <c r="EC104">
        <v>3.8168416843619886E-2</v>
      </c>
      <c r="ED104">
        <v>0.4884684075374941</v>
      </c>
      <c r="EE104" s="13">
        <v>0.12909999999999999</v>
      </c>
      <c r="EF104">
        <v>1.008</v>
      </c>
      <c r="EG104">
        <v>17.078138967136152</v>
      </c>
      <c r="EH104" t="s">
        <v>1547</v>
      </c>
      <c r="EI104">
        <v>0</v>
      </c>
      <c r="EJ104">
        <v>0</v>
      </c>
      <c r="EK104" s="14">
        <v>45470</v>
      </c>
      <c r="EL104">
        <v>-6.23</v>
      </c>
      <c r="EM104">
        <v>10.029999999999999</v>
      </c>
      <c r="EN104">
        <v>0.41</v>
      </c>
      <c r="EO104">
        <v>10</v>
      </c>
      <c r="EP104">
        <v>2.89</v>
      </c>
    </row>
    <row r="105" spans="1:146" ht="96" x14ac:dyDescent="0.25">
      <c r="A105" s="9"/>
      <c r="B105" s="9"/>
      <c r="C105" s="9" t="str">
        <f>""&amp;CHAR(10)&amp;Basic_Fundamental_Information_Constructure(F105)&amp;CHAR(10)&amp;Basic_Fundamental_Information_Concatenate("")</f>
        <v xml:space="preserve">
市值36.394611亿, 利润2.17亿; PE15.03; 平均PE18.12; 平均PEG6.92, PB1.29; ROIC6.3%; ROE8.2733%; 股利率8.5082%; 毛利4.6433%; 净利2.1633%; 上一年度营收增-77.41%, 利润增59.56%; 当季营收增656.9%, 利润增368.3%; 过往5年营收增2.62%, 利润增18.63%
Income profile:
</v>
      </c>
      <c r="D105" t="s">
        <v>1158</v>
      </c>
      <c r="E105" t="s">
        <v>1159</v>
      </c>
      <c r="F105">
        <v>17.63</v>
      </c>
      <c r="G105">
        <v>2.3199999999999998</v>
      </c>
      <c r="H105" t="s">
        <v>4109</v>
      </c>
      <c r="I105">
        <v>3639461100</v>
      </c>
      <c r="J105">
        <v>15.03</v>
      </c>
      <c r="K105">
        <v>1.29</v>
      </c>
      <c r="L105" t="s">
        <v>2891</v>
      </c>
      <c r="M105" t="s">
        <v>2673</v>
      </c>
      <c r="N105" t="s">
        <v>4110</v>
      </c>
      <c r="O105" t="s">
        <v>2420</v>
      </c>
      <c r="P105">
        <v>11.76</v>
      </c>
      <c r="Q105" t="s">
        <v>2095</v>
      </c>
      <c r="R105">
        <v>56232285</v>
      </c>
      <c r="S105" s="6">
        <v>0.83650000000000002</v>
      </c>
      <c r="T105" t="s">
        <v>637</v>
      </c>
      <c r="U105">
        <v>206435680</v>
      </c>
      <c r="V105">
        <v>206435680</v>
      </c>
      <c r="W105">
        <v>2.4</v>
      </c>
      <c r="X105">
        <v>0.41</v>
      </c>
      <c r="Y105">
        <v>2.13</v>
      </c>
      <c r="Z105" t="s">
        <v>4111</v>
      </c>
      <c r="AA105" t="s">
        <v>4112</v>
      </c>
      <c r="AB105" t="s">
        <v>4113</v>
      </c>
      <c r="AC105" t="s">
        <v>4114</v>
      </c>
      <c r="AD105" t="s">
        <v>2</v>
      </c>
      <c r="AE105">
        <v>-4366389</v>
      </c>
      <c r="AF105" t="s">
        <v>2783</v>
      </c>
      <c r="AG105" t="s">
        <v>2</v>
      </c>
      <c r="AH105" t="s">
        <v>2784</v>
      </c>
      <c r="AI105" t="s">
        <v>1449</v>
      </c>
      <c r="AJ105" t="s">
        <v>2785</v>
      </c>
      <c r="AK105" t="s">
        <v>2</v>
      </c>
      <c r="AL105" t="s">
        <v>2786</v>
      </c>
      <c r="AM105" t="s">
        <v>2</v>
      </c>
      <c r="AN105" t="s">
        <v>4115</v>
      </c>
      <c r="AO105" t="s">
        <v>4116</v>
      </c>
      <c r="AP105" t="s">
        <v>4117</v>
      </c>
      <c r="AQ105" t="s">
        <v>2885</v>
      </c>
      <c r="AR105" t="s">
        <v>2</v>
      </c>
      <c r="AS105" t="s">
        <v>4118</v>
      </c>
      <c r="AT105" t="s">
        <v>2</v>
      </c>
      <c r="AU105" t="s">
        <v>559</v>
      </c>
      <c r="AV105" t="s">
        <v>4119</v>
      </c>
      <c r="AW105" t="s">
        <v>259</v>
      </c>
      <c r="AX105" t="s">
        <v>1695</v>
      </c>
      <c r="AY105" t="s">
        <v>1383</v>
      </c>
      <c r="AZ105" t="s">
        <v>1160</v>
      </c>
      <c r="BA105" t="s">
        <v>1161</v>
      </c>
      <c r="BB105" t="s">
        <v>1162</v>
      </c>
      <c r="BC105" t="s">
        <v>160</v>
      </c>
      <c r="BD105" t="s">
        <v>466</v>
      </c>
      <c r="BE105" t="s">
        <v>47</v>
      </c>
      <c r="BF105" t="s">
        <v>75</v>
      </c>
      <c r="BG105" t="s">
        <v>52</v>
      </c>
      <c r="BH105" t="s">
        <v>2782</v>
      </c>
      <c r="BI105" t="s">
        <v>468</v>
      </c>
      <c r="BJ105" t="s">
        <v>1695</v>
      </c>
      <c r="BK105" t="s">
        <v>637</v>
      </c>
      <c r="BL105" t="s">
        <v>4120</v>
      </c>
      <c r="BM105" t="s">
        <v>160</v>
      </c>
      <c r="BN105">
        <v>2.81</v>
      </c>
      <c r="BO105">
        <v>3.83</v>
      </c>
      <c r="BP105">
        <v>12.26</v>
      </c>
      <c r="BQ105">
        <v>3.95</v>
      </c>
      <c r="BR105">
        <v>5.01</v>
      </c>
      <c r="BS105">
        <v>15.86</v>
      </c>
      <c r="BT105" t="s">
        <v>2256</v>
      </c>
      <c r="BU105" t="s">
        <v>1274</v>
      </c>
      <c r="BV105">
        <v>4.28</v>
      </c>
      <c r="BW105">
        <v>3.71</v>
      </c>
      <c r="BX105">
        <v>5.94</v>
      </c>
      <c r="BY105">
        <v>1.95</v>
      </c>
      <c r="BZ105">
        <v>1.36</v>
      </c>
      <c r="CA105">
        <v>3.18</v>
      </c>
      <c r="CB105">
        <v>0.46</v>
      </c>
      <c r="CC105">
        <v>-8.56</v>
      </c>
      <c r="CD105" t="s">
        <v>4121</v>
      </c>
      <c r="CE105" t="s">
        <v>77</v>
      </c>
      <c r="CF105" s="10">
        <v>6.568965517241379</v>
      </c>
      <c r="CG105" s="11">
        <v>3.682979813121471</v>
      </c>
      <c r="CH105" s="10">
        <v>-0.77408736944198608</v>
      </c>
      <c r="CI105" s="10">
        <v>-6.5349087119102478E-2</v>
      </c>
      <c r="CJ105" s="10">
        <v>0.71002709865570068</v>
      </c>
      <c r="CK105" s="10">
        <v>0.26191917061805725</v>
      </c>
      <c r="CL105" s="10">
        <v>-1.6067484393715858E-3</v>
      </c>
      <c r="CM105" s="11">
        <v>0.59558820724487305</v>
      </c>
      <c r="CN105" s="11">
        <v>-0.6011730432510376</v>
      </c>
      <c r="CO105" s="11">
        <v>0.95977014303207397</v>
      </c>
      <c r="CP105" s="11">
        <v>0.11538461595773697</v>
      </c>
      <c r="CQ105" s="11">
        <v>-0.13812154531478882</v>
      </c>
      <c r="CR105">
        <v>18.121798008298754</v>
      </c>
      <c r="CS105">
        <v>6.9218387319277301</v>
      </c>
      <c r="CT105">
        <v>8.5082246171298923</v>
      </c>
      <c r="CU105" s="10">
        <v>2.6180612854659557E-2</v>
      </c>
      <c r="CV105" s="11">
        <v>0.18628967553377151</v>
      </c>
      <c r="CW105">
        <v>0.06</v>
      </c>
      <c r="CX105">
        <v>19.261836657229505</v>
      </c>
      <c r="CY105">
        <v>210076597.15986899</v>
      </c>
      <c r="CZ105">
        <v>2.6180612854659557E-2</v>
      </c>
      <c r="DA105">
        <v>6.6466498667211686</v>
      </c>
      <c r="DB105">
        <v>608797090.43499577</v>
      </c>
      <c r="DC105">
        <v>2.4871582211926577E-2</v>
      </c>
      <c r="DD105">
        <v>3.5124881080754466</v>
      </c>
      <c r="DE105">
        <v>1152021295.3025844</v>
      </c>
      <c r="DF105">
        <v>2.3038939312100409E-2</v>
      </c>
      <c r="DG105">
        <v>2.2791055858122933</v>
      </c>
      <c r="DH105">
        <v>1775460130.1447847</v>
      </c>
      <c r="DI105">
        <v>2.0944490283727649E-2</v>
      </c>
      <c r="DJ105">
        <v>1.3833448276899585</v>
      </c>
      <c r="DK105">
        <v>2925128297.0112143</v>
      </c>
      <c r="DL105">
        <v>1.8326428998261687E-2</v>
      </c>
      <c r="DM105">
        <v>217000000</v>
      </c>
      <c r="DN105">
        <v>2.6180612854659557E-2</v>
      </c>
      <c r="DO105">
        <v>4046461100</v>
      </c>
      <c r="DP105">
        <v>1823492100</v>
      </c>
      <c r="DQ105">
        <v>4366</v>
      </c>
      <c r="DR105">
        <v>6.5427849043867194</v>
      </c>
      <c r="DS105">
        <v>3.4966901375876995</v>
      </c>
      <c r="DT105" s="12">
        <v>-0.39000000000000007</v>
      </c>
      <c r="DU105">
        <v>0.35333333333333333</v>
      </c>
      <c r="DV105">
        <v>-3.6666666666666736E-2</v>
      </c>
      <c r="DW105">
        <v>-2.0855999999999999</v>
      </c>
      <c r="DX105">
        <v>0.36329423076923106</v>
      </c>
      <c r="DY105">
        <v>-2.0096979861538462</v>
      </c>
      <c r="DZ105">
        <v>3398</v>
      </c>
      <c r="EA105">
        <v>-2.0032491100382357</v>
      </c>
      <c r="EB105">
        <v>2</v>
      </c>
      <c r="EC105">
        <v>5.7076373619134056E-2</v>
      </c>
      <c r="ED105">
        <v>0.50378887990680676</v>
      </c>
      <c r="EE105" s="13">
        <v>-5.04291</v>
      </c>
      <c r="EF105">
        <v>-5.0616099999999999</v>
      </c>
      <c r="EG105">
        <v>25.113294230769231</v>
      </c>
      <c r="EH105" t="s">
        <v>1974</v>
      </c>
      <c r="EI105">
        <v>0</v>
      </c>
      <c r="EJ105">
        <v>0</v>
      </c>
      <c r="EK105" s="14">
        <v>45470</v>
      </c>
      <c r="EL105">
        <v>0.13</v>
      </c>
      <c r="EM105">
        <v>-5.17</v>
      </c>
      <c r="EN105">
        <v>2.52</v>
      </c>
      <c r="EO105">
        <v>2.1800000000000002</v>
      </c>
      <c r="EP105">
        <v>-1.87</v>
      </c>
    </row>
    <row r="106" spans="1:146" ht="180" x14ac:dyDescent="0.25">
      <c r="A106" s="9" t="s">
        <v>1228</v>
      </c>
      <c r="B106" s="9" t="s">
        <v>1229</v>
      </c>
      <c r="C106" s="9" t="s">
        <v>1230</v>
      </c>
      <c r="D106" t="s">
        <v>1012</v>
      </c>
      <c r="E106" t="s">
        <v>1013</v>
      </c>
      <c r="F106">
        <v>5.2</v>
      </c>
      <c r="G106">
        <v>-2.62</v>
      </c>
      <c r="H106" t="s">
        <v>4122</v>
      </c>
      <c r="I106">
        <v>2641463500</v>
      </c>
      <c r="J106">
        <v>19.37</v>
      </c>
      <c r="K106">
        <v>1.42</v>
      </c>
      <c r="L106" t="s">
        <v>2891</v>
      </c>
      <c r="M106" t="s">
        <v>1853</v>
      </c>
      <c r="N106" t="s">
        <v>4123</v>
      </c>
      <c r="O106" t="s">
        <v>271</v>
      </c>
      <c r="P106">
        <v>7.96</v>
      </c>
      <c r="Q106" t="s">
        <v>4124</v>
      </c>
      <c r="R106">
        <v>28938069</v>
      </c>
      <c r="S106" s="6">
        <v>-0.46689999999999998</v>
      </c>
      <c r="T106" t="s">
        <v>4125</v>
      </c>
      <c r="U106">
        <v>501250000</v>
      </c>
      <c r="V106">
        <v>507973750</v>
      </c>
      <c r="W106">
        <v>1.78</v>
      </c>
      <c r="X106">
        <v>0.2</v>
      </c>
      <c r="Y106">
        <v>4.33</v>
      </c>
      <c r="Z106" t="s">
        <v>226</v>
      </c>
      <c r="AA106" t="s">
        <v>636</v>
      </c>
      <c r="AB106" t="s">
        <v>4126</v>
      </c>
      <c r="AC106" t="s">
        <v>4127</v>
      </c>
      <c r="AD106" t="s">
        <v>2</v>
      </c>
      <c r="AE106">
        <v>-5739520</v>
      </c>
      <c r="AF106" t="s">
        <v>2788</v>
      </c>
      <c r="AG106" t="s">
        <v>4128</v>
      </c>
      <c r="AH106" t="s">
        <v>2789</v>
      </c>
      <c r="AI106" t="s">
        <v>622</v>
      </c>
      <c r="AJ106" t="s">
        <v>2790</v>
      </c>
      <c r="AK106" t="s">
        <v>4129</v>
      </c>
      <c r="AL106" t="s">
        <v>2791</v>
      </c>
      <c r="AM106" t="s">
        <v>2</v>
      </c>
      <c r="AN106" t="s">
        <v>4130</v>
      </c>
      <c r="AO106" t="s">
        <v>2</v>
      </c>
      <c r="AP106" t="s">
        <v>59</v>
      </c>
      <c r="AQ106" t="s">
        <v>4131</v>
      </c>
      <c r="AR106" t="s">
        <v>2</v>
      </c>
      <c r="AS106" t="s">
        <v>1809</v>
      </c>
      <c r="AT106" t="s">
        <v>2</v>
      </c>
      <c r="AU106" t="s">
        <v>4132</v>
      </c>
      <c r="AV106" t="s">
        <v>4133</v>
      </c>
      <c r="AW106" t="s">
        <v>4134</v>
      </c>
      <c r="AX106" t="s">
        <v>1696</v>
      </c>
      <c r="AY106" t="s">
        <v>1248</v>
      </c>
      <c r="AZ106" t="s">
        <v>1014</v>
      </c>
      <c r="BA106" t="s">
        <v>1015</v>
      </c>
      <c r="BB106" t="s">
        <v>658</v>
      </c>
      <c r="BC106" t="s">
        <v>1697</v>
      </c>
      <c r="BD106" t="s">
        <v>223</v>
      </c>
      <c r="BE106" t="s">
        <v>405</v>
      </c>
      <c r="BF106" t="s">
        <v>547</v>
      </c>
      <c r="BG106" t="s">
        <v>38</v>
      </c>
      <c r="BH106" t="s">
        <v>1923</v>
      </c>
      <c r="BI106" t="s">
        <v>42</v>
      </c>
      <c r="BJ106" t="s">
        <v>1696</v>
      </c>
      <c r="BK106" t="s">
        <v>165</v>
      </c>
      <c r="BL106" t="s">
        <v>4135</v>
      </c>
      <c r="BM106" t="s">
        <v>1697</v>
      </c>
      <c r="BN106">
        <v>7.56</v>
      </c>
      <c r="BO106">
        <v>1.33</v>
      </c>
      <c r="BP106">
        <v>5.24</v>
      </c>
      <c r="BQ106">
        <v>8.06</v>
      </c>
      <c r="BR106">
        <v>2.59</v>
      </c>
      <c r="BS106">
        <v>6.02</v>
      </c>
      <c r="BT106" t="s">
        <v>2792</v>
      </c>
      <c r="BU106" t="s">
        <v>1445</v>
      </c>
      <c r="BV106">
        <v>26.49</v>
      </c>
      <c r="BW106">
        <v>26.17</v>
      </c>
      <c r="BX106">
        <v>23.78</v>
      </c>
      <c r="BY106">
        <v>5.61</v>
      </c>
      <c r="BZ106">
        <v>1.82</v>
      </c>
      <c r="CA106">
        <v>3.73</v>
      </c>
      <c r="CB106">
        <v>-6.64</v>
      </c>
      <c r="CC106">
        <v>-12.87</v>
      </c>
      <c r="CD106" t="s">
        <v>181</v>
      </c>
      <c r="CE106" t="s">
        <v>185</v>
      </c>
      <c r="CF106" s="10">
        <v>3.4832214765100673</v>
      </c>
      <c r="CG106" s="11">
        <v>6.0844362646051131</v>
      </c>
      <c r="CH106" s="10">
        <v>-0.62823140621185303</v>
      </c>
      <c r="CI106" s="10">
        <v>-0.16598218679428101</v>
      </c>
      <c r="CJ106" s="10">
        <v>0.18156082928180695</v>
      </c>
      <c r="CK106" s="10">
        <v>0.1235801950097084</v>
      </c>
      <c r="CL106" s="10">
        <v>4.6600032597780228E-2</v>
      </c>
      <c r="CM106" s="11">
        <v>0.22063998878002167</v>
      </c>
      <c r="CN106" s="11">
        <v>-0.58600002527236938</v>
      </c>
      <c r="CO106" s="11">
        <v>-0.5587044358253479</v>
      </c>
      <c r="CP106" s="11">
        <v>0.14351852238178253</v>
      </c>
      <c r="CQ106" s="11">
        <v>0.56521737575531006</v>
      </c>
      <c r="CR106">
        <v>19.561358642700164</v>
      </c>
      <c r="CS106">
        <v>2.2104602032898635</v>
      </c>
      <c r="CT106">
        <v>4.8076923076923075</v>
      </c>
      <c r="CU106" s="10">
        <v>-8.8494507223367685E-2</v>
      </c>
      <c r="CV106" s="11">
        <v>-4.3065714836120608E-2</v>
      </c>
      <c r="CW106">
        <v>0.06</v>
      </c>
      <c r="CX106">
        <v>43.597497213276064</v>
      </c>
      <c r="CY106" t="s">
        <v>4136</v>
      </c>
      <c r="CZ106">
        <v>-8.8494507223367685E-2</v>
      </c>
      <c r="DA106">
        <v>14.532499071092021</v>
      </c>
      <c r="DB106" t="s">
        <v>4137</v>
      </c>
      <c r="DC106">
        <v>-8.4069781862199294E-2</v>
      </c>
      <c r="DD106">
        <v>7.2662495355460104</v>
      </c>
      <c r="DE106" t="s">
        <v>4138</v>
      </c>
      <c r="DF106">
        <v>-7.7875166356563566E-2</v>
      </c>
      <c r="DG106">
        <v>4.3597497213276064</v>
      </c>
      <c r="DH106" t="s">
        <v>4139</v>
      </c>
      <c r="DI106">
        <v>-7.0795605778694148E-2</v>
      </c>
      <c r="DJ106">
        <v>2.1798748606638032</v>
      </c>
      <c r="DK106" t="s">
        <v>4140</v>
      </c>
      <c r="DL106">
        <v>-6.1946155056357373E-2</v>
      </c>
      <c r="DM106">
        <v>55082600</v>
      </c>
      <c r="DN106">
        <v>-8.8494507223367685E-2</v>
      </c>
      <c r="DO106">
        <v>2401463500</v>
      </c>
      <c r="DP106">
        <v>1011653100</v>
      </c>
      <c r="DQ106">
        <v>4445</v>
      </c>
      <c r="DR106">
        <v>3.5717159837334349</v>
      </c>
      <c r="DS106">
        <v>6.1275019794412335</v>
      </c>
      <c r="DT106" s="12">
        <v>-0.79</v>
      </c>
      <c r="DU106">
        <v>-1.666666666666668E-2</v>
      </c>
      <c r="DV106">
        <v>-0.80666666666666675</v>
      </c>
      <c r="DW106">
        <v>-9.5159285159285165</v>
      </c>
      <c r="DX106">
        <v>0.62841750841750865</v>
      </c>
      <c r="DY106">
        <v>-9.2623070905899194</v>
      </c>
      <c r="DZ106">
        <v>2591</v>
      </c>
      <c r="EA106">
        <v>-9.1293055892751482</v>
      </c>
      <c r="EB106">
        <v>9</v>
      </c>
      <c r="EC106">
        <v>0.29725945484387728</v>
      </c>
      <c r="ED106">
        <v>0.58467588138166593</v>
      </c>
      <c r="EE106" s="13">
        <v>3.85E-2</v>
      </c>
      <c r="EF106">
        <v>1.9999999999999997E-2</v>
      </c>
      <c r="EG106">
        <v>12.508417508417509</v>
      </c>
      <c r="EH106" t="s">
        <v>1398</v>
      </c>
      <c r="EI106">
        <v>0</v>
      </c>
      <c r="EJ106">
        <v>0</v>
      </c>
      <c r="EK106" s="14">
        <v>45470</v>
      </c>
      <c r="EL106">
        <v>-0.45</v>
      </c>
      <c r="EM106">
        <v>-2.95</v>
      </c>
      <c r="EN106">
        <v>2.96</v>
      </c>
      <c r="EO106">
        <v>1.97</v>
      </c>
      <c r="EP106">
        <v>-1.85</v>
      </c>
    </row>
    <row r="107" spans="1:146" ht="96" x14ac:dyDescent="0.25">
      <c r="A107" s="9"/>
      <c r="B107" s="9"/>
      <c r="C107" s="9" t="str">
        <f>""&amp;CHAR(10)&amp;Basic_Fundamental_Information_Constructure(F107)&amp;CHAR(10)&amp;Basic_Fundamental_Information_Concatenate("")</f>
        <v xml:space="preserve">
市值49.413294亿, 利润2.56亿; PE12.2; 平均PE29.83; 平均PEG19.79, PB1.69; ROIC6.6633%; ROE9.31%; 股利率.735%; 毛利15.4267%; 净利4.8%; 上一年度营收增-83.13%, 利润增-.39%; 当季营收增516.07%, 利润增45.76%; 过往5年营收增-1.51%, 利润增32.25%
Income profile:
</v>
      </c>
      <c r="D107" t="s">
        <v>1163</v>
      </c>
      <c r="E107" t="s">
        <v>1164</v>
      </c>
      <c r="F107">
        <v>9.66</v>
      </c>
      <c r="G107">
        <v>0.94</v>
      </c>
      <c r="H107" t="s">
        <v>4141</v>
      </c>
      <c r="I107">
        <v>4941329400</v>
      </c>
      <c r="J107">
        <v>12.2</v>
      </c>
      <c r="K107">
        <v>1.69</v>
      </c>
      <c r="L107" t="s">
        <v>2891</v>
      </c>
      <c r="M107" t="s">
        <v>2794</v>
      </c>
      <c r="N107" t="s">
        <v>4142</v>
      </c>
      <c r="O107" t="s">
        <v>601</v>
      </c>
      <c r="P107">
        <v>7.35</v>
      </c>
      <c r="Q107" t="s">
        <v>4143</v>
      </c>
      <c r="R107">
        <v>90243579</v>
      </c>
      <c r="S107" s="6">
        <v>0.83260000000000001</v>
      </c>
      <c r="T107" t="s">
        <v>464</v>
      </c>
      <c r="U107">
        <v>508845430</v>
      </c>
      <c r="V107">
        <v>511524780</v>
      </c>
      <c r="W107">
        <v>1.98</v>
      </c>
      <c r="X107">
        <v>0.24</v>
      </c>
      <c r="Y107">
        <v>6.53</v>
      </c>
      <c r="Z107" t="s">
        <v>1929</v>
      </c>
      <c r="AA107" t="s">
        <v>2207</v>
      </c>
      <c r="AB107" t="s">
        <v>4144</v>
      </c>
      <c r="AC107" t="s">
        <v>4145</v>
      </c>
      <c r="AD107" t="s">
        <v>2</v>
      </c>
      <c r="AE107">
        <v>30721940</v>
      </c>
      <c r="AF107" t="s">
        <v>2796</v>
      </c>
      <c r="AG107" t="s">
        <v>4146</v>
      </c>
      <c r="AH107" t="s">
        <v>2797</v>
      </c>
      <c r="AI107" t="s">
        <v>617</v>
      </c>
      <c r="AJ107" t="s">
        <v>2798</v>
      </c>
      <c r="AK107" t="s">
        <v>99</v>
      </c>
      <c r="AL107" t="s">
        <v>2799</v>
      </c>
      <c r="AM107" t="s">
        <v>2</v>
      </c>
      <c r="AN107" t="s">
        <v>485</v>
      </c>
      <c r="AO107" t="s">
        <v>1191</v>
      </c>
      <c r="AP107" t="s">
        <v>254</v>
      </c>
      <c r="AQ107" t="s">
        <v>583</v>
      </c>
      <c r="AR107" t="s">
        <v>2</v>
      </c>
      <c r="AS107" t="s">
        <v>1955</v>
      </c>
      <c r="AT107" t="s">
        <v>103</v>
      </c>
      <c r="AU107" t="s">
        <v>4147</v>
      </c>
      <c r="AV107" t="s">
        <v>4148</v>
      </c>
      <c r="AW107" t="s">
        <v>265</v>
      </c>
      <c r="AX107" t="s">
        <v>1651</v>
      </c>
      <c r="AY107" t="s">
        <v>1384</v>
      </c>
      <c r="AZ107" t="s">
        <v>1165</v>
      </c>
      <c r="BA107" t="s">
        <v>1167</v>
      </c>
      <c r="BB107" t="s">
        <v>50</v>
      </c>
      <c r="BC107" t="s">
        <v>394</v>
      </c>
      <c r="BD107" t="s">
        <v>151</v>
      </c>
      <c r="BE107" t="s">
        <v>113</v>
      </c>
      <c r="BF107" t="s">
        <v>25</v>
      </c>
      <c r="BG107" t="s">
        <v>1168</v>
      </c>
      <c r="BH107" t="s">
        <v>2795</v>
      </c>
      <c r="BI107" t="s">
        <v>206</v>
      </c>
      <c r="BJ107" t="s">
        <v>1651</v>
      </c>
      <c r="BK107" t="s">
        <v>651</v>
      </c>
      <c r="BL107" t="s">
        <v>4149</v>
      </c>
      <c r="BM107" t="s">
        <v>394</v>
      </c>
      <c r="BN107">
        <v>6.73</v>
      </c>
      <c r="BO107">
        <v>7.83</v>
      </c>
      <c r="BP107">
        <v>5.43</v>
      </c>
      <c r="BQ107">
        <v>11.05</v>
      </c>
      <c r="BR107">
        <v>11.09</v>
      </c>
      <c r="BS107">
        <v>5.79</v>
      </c>
      <c r="BT107" t="s">
        <v>2800</v>
      </c>
      <c r="BU107" t="s">
        <v>1274</v>
      </c>
      <c r="BV107">
        <v>17.59</v>
      </c>
      <c r="BW107">
        <v>14.47</v>
      </c>
      <c r="BX107">
        <v>14.22</v>
      </c>
      <c r="BY107">
        <v>6.79</v>
      </c>
      <c r="BZ107">
        <v>4.93</v>
      </c>
      <c r="CA107">
        <v>2.68</v>
      </c>
      <c r="CB107">
        <v>-8.17</v>
      </c>
      <c r="CC107">
        <v>-20.82</v>
      </c>
      <c r="CD107" t="s">
        <v>4150</v>
      </c>
      <c r="CE107" t="s">
        <v>212</v>
      </c>
      <c r="CF107" s="10">
        <v>5.1607142857142847</v>
      </c>
      <c r="CG107" s="11">
        <v>0.45760340029364133</v>
      </c>
      <c r="CH107" s="10">
        <v>-0.83131134510040283</v>
      </c>
      <c r="CI107" s="10">
        <v>0.1810324490070343</v>
      </c>
      <c r="CJ107" s="10">
        <v>0.3024289608001709</v>
      </c>
      <c r="CK107" s="10">
        <v>0.14247035980224609</v>
      </c>
      <c r="CL107" s="10">
        <v>0.13001911342144012</v>
      </c>
      <c r="CM107" s="11">
        <v>-3.8910505827516317E-3</v>
      </c>
      <c r="CN107" s="11">
        <v>1.2347825765609741</v>
      </c>
      <c r="CO107" s="11">
        <v>-0.25324675440788269</v>
      </c>
      <c r="CP107" s="11">
        <v>0.25203251838684082</v>
      </c>
      <c r="CQ107" s="11">
        <v>0.38283973932266235</v>
      </c>
      <c r="CR107">
        <v>29.828516478839827</v>
      </c>
      <c r="CS107">
        <v>19.790561031410896</v>
      </c>
      <c r="CT107">
        <v>0.73498964803312627</v>
      </c>
      <c r="CU107" s="10">
        <v>-1.5072092413902283E-2</v>
      </c>
      <c r="CV107" s="11">
        <v>0.32250340585596859</v>
      </c>
      <c r="CW107">
        <v>0.06</v>
      </c>
      <c r="CX107">
        <v>18.309880468749999</v>
      </c>
      <c r="CY107" t="s">
        <v>4151</v>
      </c>
      <c r="CZ107">
        <v>-1.5072092413902283E-2</v>
      </c>
      <c r="DA107">
        <v>6.1032934895833337</v>
      </c>
      <c r="DB107" t="s">
        <v>4152</v>
      </c>
      <c r="DC107">
        <v>-1.4318487793207168E-2</v>
      </c>
      <c r="DD107">
        <v>3.0516467447916669</v>
      </c>
      <c r="DE107" t="s">
        <v>4153</v>
      </c>
      <c r="DF107">
        <v>-1.3263441324234009E-2</v>
      </c>
      <c r="DG107">
        <v>1.8309880468749999</v>
      </c>
      <c r="DH107" t="s">
        <v>4154</v>
      </c>
      <c r="DI107">
        <v>-1.2057673931121827E-2</v>
      </c>
      <c r="DJ107">
        <v>0.91549402343749997</v>
      </c>
      <c r="DK107" t="s">
        <v>4155</v>
      </c>
      <c r="DL107">
        <v>-1.0550464689731597E-2</v>
      </c>
      <c r="DM107">
        <v>256000000</v>
      </c>
      <c r="DN107">
        <v>-1.5072092413902283E-2</v>
      </c>
      <c r="DO107">
        <v>4687329400</v>
      </c>
      <c r="DP107">
        <v>1611199000</v>
      </c>
      <c r="DQ107">
        <v>4485</v>
      </c>
      <c r="DR107">
        <v>5.175786378128187</v>
      </c>
      <c r="DS107">
        <v>0.13509999443767273</v>
      </c>
      <c r="DT107" s="12">
        <v>-0.49</v>
      </c>
      <c r="DU107">
        <v>0.60333333333333328</v>
      </c>
      <c r="DV107">
        <v>0.11333333333333329</v>
      </c>
      <c r="DW107">
        <v>-9.3924111431316035</v>
      </c>
      <c r="DX107">
        <v>0.32071315789473598</v>
      </c>
      <c r="DY107">
        <v>-9.0434450768491832</v>
      </c>
      <c r="DZ107">
        <v>2035</v>
      </c>
      <c r="EA107">
        <v>-9.026143563857385</v>
      </c>
      <c r="EB107">
        <v>9</v>
      </c>
      <c r="EC107">
        <v>7.4021633907940879E-2</v>
      </c>
      <c r="ED107">
        <v>0.6685893105706433</v>
      </c>
      <c r="EE107" s="13">
        <v>5.0185000000000004</v>
      </c>
      <c r="EF107">
        <v>5.0007000000000001</v>
      </c>
      <c r="EG107">
        <v>21.110713157894736</v>
      </c>
      <c r="EH107" t="s">
        <v>1982</v>
      </c>
      <c r="EI107">
        <v>0</v>
      </c>
      <c r="EJ107">
        <v>0</v>
      </c>
      <c r="EK107" s="14">
        <v>45470</v>
      </c>
      <c r="EL107">
        <v>-0.47</v>
      </c>
      <c r="EM107">
        <v>-3.05</v>
      </c>
      <c r="EN107">
        <v>0.37</v>
      </c>
      <c r="EO107">
        <v>0.9</v>
      </c>
      <c r="EP107">
        <v>-1.78</v>
      </c>
    </row>
    <row r="108" spans="1:146" ht="132" x14ac:dyDescent="0.25">
      <c r="A108" s="9" t="s">
        <v>1475</v>
      </c>
      <c r="B108" s="9"/>
      <c r="C108" s="9" t="str">
        <f>"公司是一家从事电线电缆研发、生产、销售和服务的专业制造商。公司的主要产品为电力电缆、电气装备用电线电缆。"&amp;CHAR(10)&amp;Basic_Fundamental_Information_Constructure(C108)&amp;CHAR(10)&amp;Basic_Fundamental_Information_Concatenate("电力电缆 52.96亿 64.88% 50.91% 7.63%
电气装备用电线电缆 26.25亿 32.16% 49.24% 14.89%
其他业务 2.42亿 2.97% -0.15% -0.48%")</f>
        <v>公司是一家从事电线电缆研发、生产、销售和服务的专业制造商。公司的主要产品为电力电缆、电气装备用电线电缆。
市值70.916029亿, 利润4.23亿; PE20.04; 平均PE17.24; 平均PEG.52, PB1.59; ROIC7.8967%; ROE12.1067%; 股利率.9434%; 毛利7.5%; 净利2.6033%; 上一年度营收增13.1%, 利润增15.26%; 当季营收增5.26%, 利润增-44.79%; 过往5年营收增32.92%, 利润增18.31%
Income profile:
电力电缆 52.96亿 64.88% 50.91% 7.63%
电气装备用电线电缆 26.25亿 32.16% 49.24% 14.89%
其他业务 2.42亿 2.97% -0.15% -0.48%</v>
      </c>
      <c r="D108" t="s">
        <v>1169</v>
      </c>
      <c r="E108" t="s">
        <v>1170</v>
      </c>
      <c r="F108">
        <v>15.47</v>
      </c>
      <c r="G108">
        <v>1.84</v>
      </c>
      <c r="H108" t="s">
        <v>4156</v>
      </c>
      <c r="I108">
        <v>6468580400</v>
      </c>
      <c r="J108">
        <v>18.28</v>
      </c>
      <c r="K108">
        <v>1.45</v>
      </c>
      <c r="L108" t="s">
        <v>2891</v>
      </c>
      <c r="M108" t="s">
        <v>2801</v>
      </c>
      <c r="N108" t="s">
        <v>2242</v>
      </c>
      <c r="O108" t="s">
        <v>1864</v>
      </c>
      <c r="P108">
        <v>5.27</v>
      </c>
      <c r="Q108" t="s">
        <v>4157</v>
      </c>
      <c r="R108">
        <v>85030962</v>
      </c>
      <c r="S108" s="6">
        <v>-0.44890000000000002</v>
      </c>
      <c r="T108" t="s">
        <v>4158</v>
      </c>
      <c r="U108">
        <v>412900570</v>
      </c>
      <c r="V108">
        <v>418137070</v>
      </c>
      <c r="W108">
        <v>2.9</v>
      </c>
      <c r="X108">
        <v>0.35</v>
      </c>
      <c r="Y108">
        <v>1.77</v>
      </c>
      <c r="Z108" t="s">
        <v>4159</v>
      </c>
      <c r="AA108" t="s">
        <v>4160</v>
      </c>
      <c r="AB108" t="s">
        <v>4161</v>
      </c>
      <c r="AC108" t="s">
        <v>4162</v>
      </c>
      <c r="AD108" t="s">
        <v>2</v>
      </c>
      <c r="AE108">
        <v>49960255</v>
      </c>
      <c r="AF108" t="s">
        <v>23</v>
      </c>
      <c r="AG108" t="s">
        <v>4163</v>
      </c>
      <c r="AH108" t="s">
        <v>2803</v>
      </c>
      <c r="AI108" t="s">
        <v>347</v>
      </c>
      <c r="AJ108" t="s">
        <v>2804</v>
      </c>
      <c r="AK108" t="s">
        <v>123</v>
      </c>
      <c r="AL108" t="s">
        <v>2805</v>
      </c>
      <c r="AM108" t="s">
        <v>2</v>
      </c>
      <c r="AN108" t="s">
        <v>407</v>
      </c>
      <c r="AO108" t="s">
        <v>2208</v>
      </c>
      <c r="AP108" t="s">
        <v>671</v>
      </c>
      <c r="AQ108" t="s">
        <v>4164</v>
      </c>
      <c r="AR108" t="s">
        <v>2</v>
      </c>
      <c r="AS108" t="s">
        <v>1250</v>
      </c>
      <c r="AT108" t="s">
        <v>467</v>
      </c>
      <c r="AU108" t="s">
        <v>870</v>
      </c>
      <c r="AV108" t="s">
        <v>1351</v>
      </c>
      <c r="AW108" t="s">
        <v>4165</v>
      </c>
      <c r="AX108" t="s">
        <v>1698</v>
      </c>
      <c r="AY108" t="s">
        <v>1385</v>
      </c>
      <c r="AZ108" t="s">
        <v>1171</v>
      </c>
      <c r="BA108" t="s">
        <v>1172</v>
      </c>
      <c r="BB108" t="s">
        <v>1173</v>
      </c>
      <c r="BC108" t="s">
        <v>575</v>
      </c>
      <c r="BD108" t="s">
        <v>362</v>
      </c>
      <c r="BE108" t="s">
        <v>298</v>
      </c>
      <c r="BF108" t="s">
        <v>19</v>
      </c>
      <c r="BG108" t="s">
        <v>276</v>
      </c>
      <c r="BH108" t="s">
        <v>2802</v>
      </c>
      <c r="BI108" t="s">
        <v>304</v>
      </c>
      <c r="BJ108" t="s">
        <v>1698</v>
      </c>
      <c r="BK108" t="s">
        <v>173</v>
      </c>
      <c r="BL108" t="s">
        <v>4166</v>
      </c>
      <c r="BM108" t="s">
        <v>575</v>
      </c>
      <c r="BN108">
        <v>5.08</v>
      </c>
      <c r="BO108">
        <v>6.26</v>
      </c>
      <c r="BP108">
        <v>14.15</v>
      </c>
      <c r="BQ108">
        <v>9.3000000000000007</v>
      </c>
      <c r="BR108">
        <v>9.4</v>
      </c>
      <c r="BS108">
        <v>21.13</v>
      </c>
      <c r="BT108" t="s">
        <v>1535</v>
      </c>
      <c r="BU108" t="s">
        <v>1274</v>
      </c>
      <c r="BV108">
        <v>5.87</v>
      </c>
      <c r="BW108">
        <v>7.49</v>
      </c>
      <c r="BX108">
        <v>8.69</v>
      </c>
      <c r="BY108">
        <v>1.82</v>
      </c>
      <c r="BZ108">
        <v>1.79</v>
      </c>
      <c r="CA108">
        <v>3.62</v>
      </c>
      <c r="CB108">
        <v>0.85</v>
      </c>
      <c r="CC108">
        <v>-14.86</v>
      </c>
      <c r="CD108" t="s">
        <v>4167</v>
      </c>
      <c r="CE108" t="s">
        <v>4168</v>
      </c>
      <c r="CF108" s="10">
        <v>15.110738255033556</v>
      </c>
      <c r="CG108" s="11">
        <v>39.220879807010078</v>
      </c>
      <c r="CH108" s="10">
        <v>-0.92065489292144775</v>
      </c>
      <c r="CI108" s="10">
        <v>9.3548081815242767E-2</v>
      </c>
      <c r="CJ108" s="10">
        <v>0.93898934125900269</v>
      </c>
      <c r="CK108" s="10">
        <v>0.27317893505096436</v>
      </c>
      <c r="CL108" s="10">
        <v>0.20939432084560394</v>
      </c>
      <c r="CM108" s="11">
        <v>-0.85075145959854126</v>
      </c>
      <c r="CN108" s="11">
        <v>-0.46345028281211853</v>
      </c>
      <c r="CO108" s="11">
        <v>0.66829270124435425</v>
      </c>
      <c r="CP108" s="11">
        <v>0.23123122751712799</v>
      </c>
      <c r="CQ108" s="11">
        <v>0.32669323682785034</v>
      </c>
      <c r="CR108">
        <v>18.483645717715742</v>
      </c>
      <c r="CS108">
        <v>1.5546695104571482</v>
      </c>
      <c r="CT108">
        <v>1.0342598577892697</v>
      </c>
      <c r="CU108" s="10">
        <v>0.1188911572098732</v>
      </c>
      <c r="CV108" s="11">
        <v>-1.7596915364265442E-2</v>
      </c>
      <c r="CW108">
        <v>0.06</v>
      </c>
      <c r="CX108">
        <v>186.40744414266732</v>
      </c>
      <c r="CY108">
        <v>57817328.323816068</v>
      </c>
      <c r="CZ108">
        <v>0.1188911572098732</v>
      </c>
      <c r="DA108">
        <v>59.448812786087913</v>
      </c>
      <c r="DB108">
        <v>181291768.4122726</v>
      </c>
      <c r="DC108">
        <v>0.11294659934937953</v>
      </c>
      <c r="DD108">
        <v>28.316341791914084</v>
      </c>
      <c r="DE108">
        <v>380613445.02762038</v>
      </c>
      <c r="DF108">
        <v>0.10462421834468842</v>
      </c>
      <c r="DG108">
        <v>16.375804463815978</v>
      </c>
      <c r="DH108">
        <v>658140516.01642966</v>
      </c>
      <c r="DI108">
        <v>9.5112925767898565E-2</v>
      </c>
      <c r="DJ108">
        <v>7.7749876283670947</v>
      </c>
      <c r="DK108">
        <v>1386186179.9854093</v>
      </c>
      <c r="DL108">
        <v>8.3223810046911234E-2</v>
      </c>
      <c r="DM108">
        <v>54774200</v>
      </c>
      <c r="DN108">
        <v>0.1188911572098732</v>
      </c>
      <c r="DO108">
        <v>10777580400</v>
      </c>
      <c r="DP108">
        <v>3607754100</v>
      </c>
      <c r="DQ108">
        <v>4490</v>
      </c>
      <c r="DR108">
        <v>14.991847097823683</v>
      </c>
      <c r="DS108">
        <v>39.238476722374344</v>
      </c>
      <c r="DT108" s="12">
        <v>-0.29000000000000004</v>
      </c>
      <c r="DU108">
        <v>0</v>
      </c>
      <c r="DV108">
        <v>-0.29000000000000004</v>
      </c>
      <c r="DW108">
        <v>-2.1486000000000001</v>
      </c>
      <c r="DX108">
        <v>0.32366551560353712</v>
      </c>
      <c r="DY108">
        <v>-2.0213486956186859</v>
      </c>
      <c r="DZ108">
        <v>3126</v>
      </c>
      <c r="EA108">
        <v>-2.0082888086315993</v>
      </c>
      <c r="EB108">
        <v>2</v>
      </c>
      <c r="EC108">
        <v>2.6764907497916896E-2</v>
      </c>
      <c r="ED108">
        <v>0.18630015272264666</v>
      </c>
      <c r="EE108" s="13">
        <v>8.709999999999999E-3</v>
      </c>
      <c r="EF108">
        <v>4.521E-2</v>
      </c>
      <c r="EG108">
        <v>18.143665515603537</v>
      </c>
      <c r="EH108">
        <v>-1</v>
      </c>
      <c r="EI108">
        <v>0</v>
      </c>
      <c r="EJ108">
        <v>0</v>
      </c>
      <c r="EK108" s="14">
        <v>45470</v>
      </c>
      <c r="EL108">
        <v>-1.0900000000000001</v>
      </c>
      <c r="EM108">
        <v>-5.27</v>
      </c>
      <c r="EN108">
        <v>1.62</v>
      </c>
      <c r="EO108">
        <v>3.31</v>
      </c>
      <c r="EP108">
        <v>-3.65</v>
      </c>
    </row>
    <row r="109" spans="1:146" x14ac:dyDescent="0.25">
      <c r="A109" s="9"/>
      <c r="B109" s="9"/>
      <c r="C109" s="9" t="e">
        <f>""&amp;CHAR(10)&amp;Basic_Fundamental_Information_Constructure(F109)&amp;CHAR(10)&amp;Basic_Fundamental_Information_Concatenate("")</f>
        <v>#VALUE!</v>
      </c>
      <c r="D109" t="s">
        <v>808</v>
      </c>
      <c r="E109" t="s">
        <v>809</v>
      </c>
      <c r="F109">
        <v>15.56</v>
      </c>
      <c r="G109">
        <v>0.19</v>
      </c>
      <c r="H109" t="s">
        <v>4169</v>
      </c>
      <c r="I109">
        <v>2388655200</v>
      </c>
      <c r="J109">
        <v>54.57</v>
      </c>
      <c r="K109">
        <v>2.8</v>
      </c>
      <c r="L109" t="s">
        <v>2891</v>
      </c>
      <c r="M109" t="s">
        <v>571</v>
      </c>
      <c r="N109" t="s">
        <v>785</v>
      </c>
      <c r="O109" t="s">
        <v>109</v>
      </c>
      <c r="P109">
        <v>20.43</v>
      </c>
      <c r="Q109" t="s">
        <v>4170</v>
      </c>
      <c r="R109">
        <v>-2508847</v>
      </c>
      <c r="S109" s="6">
        <v>0.47139999999999999</v>
      </c>
      <c r="T109" t="s">
        <v>2948</v>
      </c>
      <c r="U109">
        <v>153512550</v>
      </c>
      <c r="V109">
        <v>153512550</v>
      </c>
      <c r="W109">
        <v>1.57</v>
      </c>
      <c r="X109">
        <v>0.08</v>
      </c>
      <c r="Y109">
        <v>-2.5099999999999998</v>
      </c>
      <c r="Z109" t="s">
        <v>102</v>
      </c>
      <c r="AA109" t="s">
        <v>4171</v>
      </c>
      <c r="AB109" t="s">
        <v>4172</v>
      </c>
      <c r="AC109" t="s">
        <v>4173</v>
      </c>
      <c r="AD109" t="s">
        <v>2</v>
      </c>
      <c r="AE109">
        <v>-131817</v>
      </c>
      <c r="AF109" t="s">
        <v>2810</v>
      </c>
      <c r="AG109" t="s">
        <v>4174</v>
      </c>
      <c r="AH109" t="s">
        <v>2811</v>
      </c>
      <c r="AI109" t="s">
        <v>4175</v>
      </c>
      <c r="AJ109" t="s">
        <v>2812</v>
      </c>
      <c r="AK109" t="s">
        <v>4176</v>
      </c>
      <c r="AL109" t="s">
        <v>2813</v>
      </c>
      <c r="AM109" t="s">
        <v>2</v>
      </c>
      <c r="AN109">
        <v>0</v>
      </c>
      <c r="AO109" t="s">
        <v>2814</v>
      </c>
      <c r="AP109" t="s">
        <v>4177</v>
      </c>
      <c r="AQ109" t="s">
        <v>253</v>
      </c>
      <c r="AR109" t="s">
        <v>2</v>
      </c>
      <c r="AS109" t="s">
        <v>80</v>
      </c>
      <c r="AT109" t="s">
        <v>2</v>
      </c>
      <c r="AU109" t="s">
        <v>4178</v>
      </c>
      <c r="AV109" t="s">
        <v>1959</v>
      </c>
      <c r="AW109" t="s">
        <v>4179</v>
      </c>
      <c r="AX109" t="s">
        <v>400</v>
      </c>
      <c r="AY109" t="s">
        <v>491</v>
      </c>
      <c r="AZ109" t="s">
        <v>20</v>
      </c>
      <c r="BA109" t="s">
        <v>352</v>
      </c>
      <c r="BB109" t="s">
        <v>231</v>
      </c>
      <c r="BC109" t="s">
        <v>1700</v>
      </c>
      <c r="BD109" t="s">
        <v>1386</v>
      </c>
      <c r="BE109" t="s">
        <v>810</v>
      </c>
      <c r="BF109" t="s">
        <v>811</v>
      </c>
      <c r="BG109" t="s">
        <v>812</v>
      </c>
      <c r="BH109" t="s">
        <v>330</v>
      </c>
      <c r="BI109" t="s">
        <v>2</v>
      </c>
      <c r="BJ109" t="s">
        <v>400</v>
      </c>
      <c r="BK109" t="s">
        <v>1927</v>
      </c>
      <c r="BL109" t="s">
        <v>4180</v>
      </c>
      <c r="BM109" t="s">
        <v>1700</v>
      </c>
      <c r="BN109">
        <v>3.81</v>
      </c>
      <c r="BO109">
        <v>2.91</v>
      </c>
      <c r="BP109">
        <v>10.57</v>
      </c>
      <c r="BQ109">
        <v>3.91</v>
      </c>
      <c r="BR109">
        <v>3.42</v>
      </c>
      <c r="BS109">
        <v>10.58</v>
      </c>
      <c r="BT109" t="s">
        <v>1525</v>
      </c>
      <c r="BU109" t="s">
        <v>1444</v>
      </c>
      <c r="BV109">
        <v>34.89</v>
      </c>
      <c r="BW109">
        <v>31.96</v>
      </c>
      <c r="BX109">
        <v>35.03</v>
      </c>
      <c r="BY109">
        <v>5.12</v>
      </c>
      <c r="BZ109">
        <v>4.13</v>
      </c>
      <c r="CA109">
        <v>10.74</v>
      </c>
      <c r="CB109">
        <v>-8.09</v>
      </c>
      <c r="CC109">
        <v>-10.68</v>
      </c>
      <c r="CD109" t="s">
        <v>4181</v>
      </c>
      <c r="CE109" t="s">
        <v>4182</v>
      </c>
      <c r="CF109" s="10" t="s">
        <v>2</v>
      </c>
      <c r="CG109" s="11">
        <v>0.98954647083333336</v>
      </c>
      <c r="CH109" s="10">
        <v>-0.86395144462585449</v>
      </c>
      <c r="CI109" s="10">
        <v>2.2865854203701019E-2</v>
      </c>
      <c r="CJ109" s="10">
        <v>0.30677291750907898</v>
      </c>
      <c r="CK109" s="10">
        <v>0.52583587169647217</v>
      </c>
      <c r="CL109" s="10">
        <v>0.50228309631347656</v>
      </c>
      <c r="CM109" s="11">
        <v>-40.581321716308594</v>
      </c>
      <c r="CN109" s="11">
        <v>-0.60275530815124512</v>
      </c>
      <c r="CO109" s="11">
        <v>-0.23551532626152039</v>
      </c>
      <c r="CP109" s="11">
        <v>8.0903969705104828E-2</v>
      </c>
      <c r="CQ109" s="11">
        <v>1.1333343982696533</v>
      </c>
      <c r="CR109">
        <v>-18.093348339657155</v>
      </c>
      <c r="CS109">
        <v>-1.8320289270621415</v>
      </c>
      <c r="CT109">
        <v>1.2853470437017995</v>
      </c>
      <c r="CU109" s="10">
        <v>9.8761259019374853E-2</v>
      </c>
      <c r="CV109" s="11">
        <v>-8.0410707965493202</v>
      </c>
      <c r="CW109">
        <v>0.06</v>
      </c>
      <c r="CX109" t="e">
        <v>#VALUE!</v>
      </c>
      <c r="CY109" t="s">
        <v>1237</v>
      </c>
      <c r="CZ109">
        <v>9.8761259019374853E-2</v>
      </c>
      <c r="DA109" t="e">
        <v>#VALUE!</v>
      </c>
      <c r="DB109" t="s">
        <v>1238</v>
      </c>
      <c r="DC109">
        <v>9.3823196068406112E-2</v>
      </c>
      <c r="DD109" t="e">
        <v>#VALUE!</v>
      </c>
      <c r="DE109" t="s">
        <v>1238</v>
      </c>
      <c r="DF109">
        <v>8.6909907937049877E-2</v>
      </c>
      <c r="DG109" t="e">
        <v>#VALUE!</v>
      </c>
      <c r="DH109" t="s">
        <v>1238</v>
      </c>
      <c r="DI109">
        <v>7.9009007215499888E-2</v>
      </c>
      <c r="DJ109" t="e">
        <v>#VALUE!</v>
      </c>
      <c r="DK109" t="s">
        <v>1238</v>
      </c>
      <c r="DL109">
        <v>6.9132881313562392E-2</v>
      </c>
      <c r="DM109">
        <v>-1108000000</v>
      </c>
      <c r="DN109">
        <v>9.8761259019374853E-2</v>
      </c>
      <c r="DO109">
        <v>2073655200</v>
      </c>
      <c r="DP109">
        <v>591235680</v>
      </c>
      <c r="DQ109">
        <v>4707</v>
      </c>
      <c r="DR109" t="e">
        <v>#VALUE!</v>
      </c>
      <c r="DS109">
        <v>9.0306172673826541</v>
      </c>
      <c r="DT109" s="12" t="e">
        <v>#VALUE!</v>
      </c>
      <c r="DU109">
        <v>-1.8816666666666668</v>
      </c>
      <c r="DV109" t="e">
        <v>#VALUE!</v>
      </c>
      <c r="DW109">
        <v>-9.7574906367041194</v>
      </c>
      <c r="DX109">
        <v>0.17985344230070624</v>
      </c>
      <c r="DY109">
        <v>-9.0604882348513769</v>
      </c>
      <c r="DZ109" t="s">
        <v>4183</v>
      </c>
      <c r="EA109" t="e">
        <v>#VALUE!</v>
      </c>
      <c r="EB109" t="e">
        <v>#VALUE!</v>
      </c>
      <c r="EC109">
        <v>2.3340111280804078E-2</v>
      </c>
      <c r="ED109">
        <v>0.29228685211730249</v>
      </c>
      <c r="EE109" s="13">
        <v>0.11760999999999999</v>
      </c>
      <c r="EF109">
        <v>-1.01841</v>
      </c>
      <c r="EG109">
        <v>10.079853442300706</v>
      </c>
      <c r="EH109" t="s">
        <v>1550</v>
      </c>
      <c r="EI109" t="e">
        <v>#VALUE!</v>
      </c>
      <c r="EJ109">
        <v>0</v>
      </c>
      <c r="EK109" s="14">
        <v>45470</v>
      </c>
      <c r="EL109">
        <v>3.39</v>
      </c>
      <c r="EM109">
        <v>-4.95</v>
      </c>
      <c r="EN109">
        <v>-4.42</v>
      </c>
      <c r="EO109">
        <v>2.2799999999999998</v>
      </c>
      <c r="EP109">
        <v>-5.08</v>
      </c>
    </row>
    <row r="110" spans="1:146" ht="96" x14ac:dyDescent="0.25">
      <c r="A110" s="9"/>
      <c r="B110" s="9"/>
      <c r="C110" s="9" t="str">
        <f>""&amp;CHAR(10)&amp;Basic_Fundamental_Information_Constructure(F110)&amp;CHAR(10)&amp;Basic_Fundamental_Information_Concatenate("")</f>
        <v xml:space="preserve">
市值24.368059亿, 利润-1068.04万; PE17.1; 平均PE53.78; 平均PEG113.59, PB2.27; ROIC6.8733%; ROE8.3067%; 股利率1.498%; 毛利18.6333%; 净利4.6733%; 上一年度营收增-66.63%, 利润增-115.28%; 当季营收增1258.66%, 利润增319.95%; 过往5年营收增-.47%, 利润增-15.53%
Income profile:
</v>
      </c>
      <c r="D110" t="s">
        <v>1174</v>
      </c>
      <c r="E110" t="s">
        <v>1175</v>
      </c>
      <c r="F110">
        <v>15.57</v>
      </c>
      <c r="G110">
        <v>1.76</v>
      </c>
      <c r="H110" t="s">
        <v>4184</v>
      </c>
      <c r="I110">
        <v>2436805900</v>
      </c>
      <c r="J110">
        <v>17.100000000000001</v>
      </c>
      <c r="K110">
        <v>2.27</v>
      </c>
      <c r="L110" t="s">
        <v>2891</v>
      </c>
      <c r="M110" t="s">
        <v>74</v>
      </c>
      <c r="N110" t="s">
        <v>1802</v>
      </c>
      <c r="O110" t="s">
        <v>1260</v>
      </c>
      <c r="P110">
        <v>84.68</v>
      </c>
      <c r="Q110" t="s">
        <v>605</v>
      </c>
      <c r="R110">
        <v>35290582</v>
      </c>
      <c r="S110" s="6">
        <v>1.6559999999999999</v>
      </c>
      <c r="T110" t="s">
        <v>4185</v>
      </c>
      <c r="U110">
        <v>84768480</v>
      </c>
      <c r="V110">
        <v>156506480</v>
      </c>
      <c r="W110">
        <v>3.09</v>
      </c>
      <c r="X110">
        <v>0.24</v>
      </c>
      <c r="Y110">
        <v>4.8</v>
      </c>
      <c r="Z110" t="s">
        <v>46</v>
      </c>
      <c r="AA110" t="s">
        <v>396</v>
      </c>
      <c r="AB110" t="s">
        <v>4186</v>
      </c>
      <c r="AC110" t="s">
        <v>4187</v>
      </c>
      <c r="AD110" t="s">
        <v>2</v>
      </c>
      <c r="AE110">
        <v>9042109</v>
      </c>
      <c r="AF110" t="s">
        <v>2815</v>
      </c>
      <c r="AG110" t="s">
        <v>4188</v>
      </c>
      <c r="AH110" t="s">
        <v>2816</v>
      </c>
      <c r="AI110" t="s">
        <v>262</v>
      </c>
      <c r="AJ110" t="s">
        <v>2817</v>
      </c>
      <c r="AK110" t="s">
        <v>85</v>
      </c>
      <c r="AL110" t="s">
        <v>2818</v>
      </c>
      <c r="AM110" t="s">
        <v>2</v>
      </c>
      <c r="AN110" t="s">
        <v>269</v>
      </c>
      <c r="AO110" t="s">
        <v>334</v>
      </c>
      <c r="AP110" t="s">
        <v>269</v>
      </c>
      <c r="AQ110" t="s">
        <v>280</v>
      </c>
      <c r="AR110" t="s">
        <v>2</v>
      </c>
      <c r="AS110" t="s">
        <v>1291</v>
      </c>
      <c r="AT110" t="s">
        <v>652</v>
      </c>
      <c r="AU110" t="s">
        <v>3673</v>
      </c>
      <c r="AV110" t="s">
        <v>4189</v>
      </c>
      <c r="AW110" t="s">
        <v>133</v>
      </c>
      <c r="AX110" t="s">
        <v>1448</v>
      </c>
      <c r="AY110" t="s">
        <v>1315</v>
      </c>
      <c r="AZ110" t="s">
        <v>610</v>
      </c>
      <c r="BA110" t="s">
        <v>428</v>
      </c>
      <c r="BB110" t="s">
        <v>1177</v>
      </c>
      <c r="BC110" t="s">
        <v>1701</v>
      </c>
      <c r="BD110" t="s">
        <v>1387</v>
      </c>
      <c r="BE110" t="s">
        <v>1176</v>
      </c>
      <c r="BF110" t="s">
        <v>1178</v>
      </c>
      <c r="BG110" t="s">
        <v>1179</v>
      </c>
      <c r="BH110" t="s">
        <v>2074</v>
      </c>
      <c r="BI110" t="s">
        <v>4190</v>
      </c>
      <c r="BJ110" t="s">
        <v>1448</v>
      </c>
      <c r="BK110" t="s">
        <v>134</v>
      </c>
      <c r="BL110" t="s">
        <v>4191</v>
      </c>
      <c r="BM110" t="s">
        <v>1701</v>
      </c>
      <c r="BN110">
        <v>6.36</v>
      </c>
      <c r="BO110">
        <v>6.97</v>
      </c>
      <c r="BP110">
        <v>7.29</v>
      </c>
      <c r="BQ110">
        <v>8.91</v>
      </c>
      <c r="BR110">
        <v>7.89</v>
      </c>
      <c r="BS110">
        <v>8.1199999999999992</v>
      </c>
      <c r="BT110" t="s">
        <v>4192</v>
      </c>
      <c r="BU110" t="s">
        <v>1274</v>
      </c>
      <c r="BV110">
        <v>17.670000000000002</v>
      </c>
      <c r="BW110">
        <v>18.77</v>
      </c>
      <c r="BX110">
        <v>19.46</v>
      </c>
      <c r="BY110">
        <v>4.7</v>
      </c>
      <c r="BZ110">
        <v>4.51</v>
      </c>
      <c r="CA110">
        <v>4.8099999999999996</v>
      </c>
      <c r="CB110">
        <v>-10.93</v>
      </c>
      <c r="CC110">
        <v>-21.23</v>
      </c>
      <c r="CD110" t="s">
        <v>4193</v>
      </c>
      <c r="CE110" t="s">
        <v>131</v>
      </c>
      <c r="CF110" s="10">
        <v>12.586608218616217</v>
      </c>
      <c r="CG110" s="11">
        <v>3.1995438935460752</v>
      </c>
      <c r="CH110" s="10">
        <v>-0.66625916957855225</v>
      </c>
      <c r="CI110" s="10">
        <v>0.30462521314620972</v>
      </c>
      <c r="CJ110" s="10">
        <v>0.32278481125831604</v>
      </c>
      <c r="CK110" s="10">
        <v>4.4052861630916595E-2</v>
      </c>
      <c r="CL110" s="10">
        <v>-2.8877004981040955E-2</v>
      </c>
      <c r="CM110" s="11">
        <v>-1.1527670621871948</v>
      </c>
      <c r="CN110" s="11">
        <v>0.16948723793029785</v>
      </c>
      <c r="CO110" s="11">
        <v>0.25895342230796814</v>
      </c>
      <c r="CP110" s="11">
        <v>-0.13193716108798981</v>
      </c>
      <c r="CQ110" s="11">
        <v>7.9554848372936249E-2</v>
      </c>
      <c r="CR110">
        <v>53.778655728129486</v>
      </c>
      <c r="CS110">
        <v>113.58509755259806</v>
      </c>
      <c r="CT110">
        <v>1.4980089916506101</v>
      </c>
      <c r="CU110" s="10">
        <v>-4.7346577048301697E-3</v>
      </c>
      <c r="CV110" s="11">
        <v>-0.15534174293279648</v>
      </c>
      <c r="CW110">
        <v>0.06</v>
      </c>
      <c r="CX110" t="e">
        <v>#VALUE!</v>
      </c>
      <c r="CY110" t="s">
        <v>1238</v>
      </c>
      <c r="CZ110">
        <v>-4.7346577048301697E-3</v>
      </c>
      <c r="DA110" t="e">
        <v>#VALUE!</v>
      </c>
      <c r="DB110" t="s">
        <v>1238</v>
      </c>
      <c r="DC110">
        <v>-4.4979248195886612E-3</v>
      </c>
      <c r="DD110" t="e">
        <v>#VALUE!</v>
      </c>
      <c r="DE110" t="s">
        <v>1238</v>
      </c>
      <c r="DF110">
        <v>-4.1664987802505493E-3</v>
      </c>
      <c r="DG110" t="e">
        <v>#VALUE!</v>
      </c>
      <c r="DH110" t="s">
        <v>1238</v>
      </c>
      <c r="DI110">
        <v>-3.7877261638641357E-3</v>
      </c>
      <c r="DJ110" t="e">
        <v>#VALUE!</v>
      </c>
      <c r="DK110" t="s">
        <v>1238</v>
      </c>
      <c r="DL110">
        <v>-3.3142603933811188E-3</v>
      </c>
      <c r="DM110">
        <v>-10680400</v>
      </c>
      <c r="DN110">
        <v>-4.7346577048301697E-3</v>
      </c>
      <c r="DO110">
        <v>3327805900</v>
      </c>
      <c r="DP110">
        <v>731260300</v>
      </c>
      <c r="DQ110">
        <v>4738</v>
      </c>
      <c r="DR110">
        <v>12.591342876321047</v>
      </c>
      <c r="DS110">
        <v>3.3548856364788717</v>
      </c>
      <c r="DT110" s="12">
        <v>-0.49</v>
      </c>
      <c r="DU110">
        <v>-2.6666666666666616E-2</v>
      </c>
      <c r="DV110">
        <v>-0.51666666666666661</v>
      </c>
      <c r="DW110">
        <v>-9.5148374941121059</v>
      </c>
      <c r="DX110">
        <v>0.30674224137931072</v>
      </c>
      <c r="DY110">
        <v>-9.0806967827732397</v>
      </c>
      <c r="DZ110">
        <v>4151</v>
      </c>
      <c r="EA110">
        <v>-9.0151444647122378</v>
      </c>
      <c r="EB110">
        <v>9</v>
      </c>
      <c r="EC110">
        <v>0.11617474241322148</v>
      </c>
      <c r="ED110">
        <v>0.74118336825414499</v>
      </c>
      <c r="EE110" s="13">
        <v>-4.1266999999999996</v>
      </c>
      <c r="EF110">
        <v>-4.1054000000000004</v>
      </c>
      <c r="EG110">
        <v>15.156742241379311</v>
      </c>
      <c r="EH110" t="s">
        <v>4194</v>
      </c>
      <c r="EI110">
        <v>0</v>
      </c>
      <c r="EJ110">
        <v>0</v>
      </c>
      <c r="EK110" s="14">
        <v>45470</v>
      </c>
      <c r="EL110">
        <v>-3.49</v>
      </c>
      <c r="EM110">
        <v>-5.46</v>
      </c>
      <c r="EN110">
        <v>0.34</v>
      </c>
      <c r="EO110">
        <v>7.11</v>
      </c>
      <c r="EP110">
        <v>-2.13</v>
      </c>
    </row>
    <row r="111" spans="1:146" ht="96" x14ac:dyDescent="0.25">
      <c r="A111" s="9"/>
      <c r="B111" s="9"/>
      <c r="C111" s="9" t="str">
        <f>""&amp;CHAR(10)&amp;Basic_Fundamental_Information_Constructure(F111)&amp;CHAR(10)&amp;Basic_Fundamental_Information_Concatenate("")</f>
        <v xml:space="preserve">
市值27.076亿, 利润-15.11亿; PE15.33; 平均PE-129.42; 平均PEG-5.43, PB.742; ROIC7.9733%; ROE8.4667%; 股利率1.8046%; 毛利48.9467%; 净利28.6467%; 上一年度营收增1.03%, 利润增-575.16%; 当季营收增29.17%, 利润增111.25%; 过往5年营收增23.81%, 利润增-78.01%
Income profile:
</v>
      </c>
      <c r="D111" t="s">
        <v>813</v>
      </c>
      <c r="E111" t="s">
        <v>814</v>
      </c>
      <c r="F111">
        <v>19.34</v>
      </c>
      <c r="G111">
        <v>0.94</v>
      </c>
      <c r="H111" t="s">
        <v>4195</v>
      </c>
      <c r="I111">
        <v>2707600000</v>
      </c>
      <c r="J111">
        <v>15.33</v>
      </c>
      <c r="K111">
        <v>0.74199999999999999</v>
      </c>
      <c r="L111" t="s">
        <v>2891</v>
      </c>
      <c r="M111" t="s">
        <v>643</v>
      </c>
      <c r="N111" t="s">
        <v>1812</v>
      </c>
      <c r="O111" t="s">
        <v>637</v>
      </c>
      <c r="P111">
        <v>0.16</v>
      </c>
      <c r="Q111" t="s">
        <v>2528</v>
      </c>
      <c r="R111">
        <v>36458013</v>
      </c>
      <c r="S111" s="6">
        <v>-0.33019999999999999</v>
      </c>
      <c r="T111" t="s">
        <v>4196</v>
      </c>
      <c r="U111">
        <v>140000000</v>
      </c>
      <c r="V111">
        <v>140000000</v>
      </c>
      <c r="W111">
        <v>1.1200000000000001</v>
      </c>
      <c r="X111">
        <v>0.05</v>
      </c>
      <c r="Y111">
        <v>16.77</v>
      </c>
      <c r="Z111" t="s">
        <v>216</v>
      </c>
      <c r="AA111" t="s">
        <v>422</v>
      </c>
      <c r="AB111" t="s">
        <v>4197</v>
      </c>
      <c r="AC111" t="s">
        <v>4198</v>
      </c>
      <c r="AD111" t="s">
        <v>2</v>
      </c>
      <c r="AE111">
        <v>-3444377</v>
      </c>
      <c r="AF111" t="s">
        <v>2819</v>
      </c>
      <c r="AG111" t="s">
        <v>2</v>
      </c>
      <c r="AH111" t="s">
        <v>2820</v>
      </c>
      <c r="AI111" t="s">
        <v>438</v>
      </c>
      <c r="AJ111" t="s">
        <v>2821</v>
      </c>
      <c r="AK111" t="s">
        <v>4199</v>
      </c>
      <c r="AL111" t="s">
        <v>2822</v>
      </c>
      <c r="AM111" t="s">
        <v>2</v>
      </c>
      <c r="AN111" t="s">
        <v>147</v>
      </c>
      <c r="AO111" t="s">
        <v>4200</v>
      </c>
      <c r="AP111" t="s">
        <v>4201</v>
      </c>
      <c r="AQ111" t="s">
        <v>183</v>
      </c>
      <c r="AR111" t="s">
        <v>2</v>
      </c>
      <c r="AS111" t="s">
        <v>534</v>
      </c>
      <c r="AT111" t="s">
        <v>4202</v>
      </c>
      <c r="AU111" t="s">
        <v>4203</v>
      </c>
      <c r="AV111" t="s">
        <v>4204</v>
      </c>
      <c r="AW111" t="s">
        <v>4205</v>
      </c>
      <c r="AX111" t="s">
        <v>1183</v>
      </c>
      <c r="AY111" t="s">
        <v>711</v>
      </c>
      <c r="AZ111" t="s">
        <v>392</v>
      </c>
      <c r="BA111" t="s">
        <v>291</v>
      </c>
      <c r="BB111" t="s">
        <v>95</v>
      </c>
      <c r="BC111" t="s">
        <v>262</v>
      </c>
      <c r="BD111" t="s">
        <v>518</v>
      </c>
      <c r="BE111" t="s">
        <v>262</v>
      </c>
      <c r="BF111" t="s">
        <v>221</v>
      </c>
      <c r="BG111" t="s">
        <v>815</v>
      </c>
      <c r="BH111" t="s">
        <v>1942</v>
      </c>
      <c r="BI111" t="s">
        <v>254</v>
      </c>
      <c r="BJ111" t="s">
        <v>1183</v>
      </c>
      <c r="BK111" t="s">
        <v>41</v>
      </c>
      <c r="BL111" t="s">
        <v>4206</v>
      </c>
      <c r="BM111" t="s">
        <v>262</v>
      </c>
      <c r="BN111">
        <v>2.86</v>
      </c>
      <c r="BO111">
        <v>8.66</v>
      </c>
      <c r="BP111">
        <v>12.4</v>
      </c>
      <c r="BQ111">
        <v>3.15</v>
      </c>
      <c r="BR111">
        <v>9.24</v>
      </c>
      <c r="BS111">
        <v>13.01</v>
      </c>
      <c r="BT111" t="s">
        <v>2823</v>
      </c>
      <c r="BU111" t="s">
        <v>1444</v>
      </c>
      <c r="BV111">
        <v>44.64</v>
      </c>
      <c r="BW111">
        <v>50.24</v>
      </c>
      <c r="BX111">
        <v>51.96</v>
      </c>
      <c r="BY111">
        <v>19.75</v>
      </c>
      <c r="BZ111">
        <v>29.72</v>
      </c>
      <c r="CA111">
        <v>36.47</v>
      </c>
      <c r="CB111">
        <v>-5.15</v>
      </c>
      <c r="CC111">
        <v>-13.43</v>
      </c>
      <c r="CD111" t="s">
        <v>4207</v>
      </c>
      <c r="CE111" t="s">
        <v>4208</v>
      </c>
      <c r="CF111" s="10">
        <v>0.29166666666666669</v>
      </c>
      <c r="CG111" s="11">
        <v>1.1125247314814815</v>
      </c>
      <c r="CH111" s="10">
        <v>1.0261253453791142E-2</v>
      </c>
      <c r="CI111" s="10">
        <v>-5.300353467464447E-2</v>
      </c>
      <c r="CJ111" s="10">
        <v>0.24532453715801239</v>
      </c>
      <c r="CK111" s="10">
        <v>0.28936171531677246</v>
      </c>
      <c r="CL111" s="10">
        <v>0.69879519939422607</v>
      </c>
      <c r="CM111" s="11">
        <v>-5.7515726089477539</v>
      </c>
      <c r="CN111" s="11">
        <v>-0.23002421855926514</v>
      </c>
      <c r="CO111" s="11">
        <v>0.2987421452999115</v>
      </c>
      <c r="CP111" s="11">
        <v>0.33054393529891968</v>
      </c>
      <c r="CQ111" s="11">
        <v>1.4519410133361816</v>
      </c>
      <c r="CR111">
        <v>-129.41999359496265</v>
      </c>
      <c r="CS111">
        <v>-5.4344392451839472</v>
      </c>
      <c r="CT111">
        <v>1.8045501551189247</v>
      </c>
      <c r="CU111" s="10">
        <v>0.23814783412963153</v>
      </c>
      <c r="CV111" s="11">
        <v>-0.78007394671440122</v>
      </c>
      <c r="CW111">
        <v>0.06</v>
      </c>
      <c r="CX111" t="s">
        <v>2882</v>
      </c>
      <c r="CY111" t="s">
        <v>1238</v>
      </c>
      <c r="CZ111">
        <v>0.23814783412963153</v>
      </c>
      <c r="DA111" t="s">
        <v>2882</v>
      </c>
      <c r="DB111" t="s">
        <v>1238</v>
      </c>
      <c r="DC111">
        <v>0.22624044242314995</v>
      </c>
      <c r="DD111" t="s">
        <v>2882</v>
      </c>
      <c r="DE111" t="s">
        <v>1238</v>
      </c>
      <c r="DF111">
        <v>0.20957009403407575</v>
      </c>
      <c r="DG111" t="s">
        <v>2882</v>
      </c>
      <c r="DH111" t="s">
        <v>1238</v>
      </c>
      <c r="DI111">
        <v>0.19051826730370525</v>
      </c>
      <c r="DJ111" t="s">
        <v>2882</v>
      </c>
      <c r="DK111" t="s">
        <v>1238</v>
      </c>
      <c r="DL111">
        <v>0.16670348389074205</v>
      </c>
      <c r="DM111">
        <v>-1511000000</v>
      </c>
      <c r="DN111">
        <v>0.23814783412963153</v>
      </c>
      <c r="DO111">
        <v>-302400000</v>
      </c>
      <c r="DP111">
        <v>2873746500</v>
      </c>
      <c r="DQ111">
        <v>4828</v>
      </c>
      <c r="DR111">
        <v>5.3518832537035155E-2</v>
      </c>
      <c r="DS111">
        <v>1.8925986781958826</v>
      </c>
      <c r="DT111" s="12">
        <v>1.0000000000000011E-2</v>
      </c>
      <c r="DU111">
        <v>-0.89</v>
      </c>
      <c r="DV111">
        <v>-0.88</v>
      </c>
      <c r="DW111">
        <v>-8.3834698436336552</v>
      </c>
      <c r="DX111">
        <v>0.32658323358633085</v>
      </c>
      <c r="DY111">
        <v>-8.0485408527899924</v>
      </c>
      <c r="DZ111">
        <v>5017</v>
      </c>
      <c r="EA111">
        <v>-8.0008834245224012</v>
      </c>
      <c r="EB111">
        <v>8</v>
      </c>
      <c r="EC111">
        <v>2.6362857142857143E-2</v>
      </c>
      <c r="ED111">
        <v>0.20826500000000001</v>
      </c>
      <c r="EE111" s="13">
        <v>-1.0742</v>
      </c>
      <c r="EF111">
        <v>-1.0428999999999999</v>
      </c>
      <c r="EG111">
        <v>20.126583233586331</v>
      </c>
      <c r="EH111" t="s">
        <v>1548</v>
      </c>
      <c r="EI111">
        <v>0</v>
      </c>
      <c r="EJ111">
        <v>0</v>
      </c>
      <c r="EK111" s="14">
        <v>45470</v>
      </c>
      <c r="EL111">
        <v>0.43</v>
      </c>
      <c r="EM111">
        <v>-2.36</v>
      </c>
      <c r="EN111">
        <v>-0.5</v>
      </c>
      <c r="EO111">
        <v>3.91</v>
      </c>
      <c r="EP111">
        <v>-3.13</v>
      </c>
    </row>
    <row r="112" spans="1:146" ht="96" x14ac:dyDescent="0.25">
      <c r="C112" s="9" t="str">
        <f>""&amp;CHAR(10)&amp;Basic_Fundamental_Information_Constructure(F112)&amp;CHAR(10)&amp;Basic_Fundamental_Information_Concatenate("")</f>
        <v xml:space="preserve">
市值13.9986亿, 利润-7792.91万; PE30.53; 平均PE64.27; 平均PEG.64, PB1.29; ROIC21.5367%; ROE16.845%; 股利率1.0372%; 毛利58.4033%; 净利20.6633%; 上一年度营收增281.4%, 利润增-212.7%; 当季营收增-14.08%, 利润增53.03%; 过往5年营收增100.51%, 利润增-1.36%
Income profile:
</v>
      </c>
      <c r="D112" t="s">
        <v>1828</v>
      </c>
      <c r="E112" t="s">
        <v>1829</v>
      </c>
      <c r="F112">
        <v>21.21</v>
      </c>
      <c r="G112">
        <v>0.05</v>
      </c>
      <c r="H112" t="s">
        <v>4209</v>
      </c>
      <c r="I112">
        <v>1399860000</v>
      </c>
      <c r="J112">
        <v>30.53</v>
      </c>
      <c r="K112">
        <v>1.29</v>
      </c>
      <c r="L112" t="s">
        <v>2891</v>
      </c>
      <c r="M112" t="s">
        <v>404</v>
      </c>
      <c r="N112" t="s">
        <v>666</v>
      </c>
      <c r="O112" t="s">
        <v>2825</v>
      </c>
      <c r="P112" s="6">
        <v>-48.01</v>
      </c>
      <c r="Q112" t="s">
        <v>2207</v>
      </c>
      <c r="R112">
        <v>-12053308</v>
      </c>
      <c r="S112">
        <v>-0.1004</v>
      </c>
      <c r="T112" t="s">
        <v>4210</v>
      </c>
      <c r="U112">
        <v>15746563</v>
      </c>
      <c r="V112">
        <v>66000000</v>
      </c>
      <c r="W112">
        <v>1.18</v>
      </c>
      <c r="X112">
        <v>0.01</v>
      </c>
      <c r="Y112">
        <v>-138.05000000000001</v>
      </c>
      <c r="Z112" t="s">
        <v>4211</v>
      </c>
      <c r="AA112" t="s">
        <v>4212</v>
      </c>
      <c r="AB112" t="s">
        <v>4213</v>
      </c>
      <c r="AC112" t="s">
        <v>4214</v>
      </c>
      <c r="AD112" t="s">
        <v>2</v>
      </c>
      <c r="AE112">
        <v>-67357</v>
      </c>
      <c r="AF112" t="s">
        <v>2827</v>
      </c>
      <c r="AG112" t="s">
        <v>4215</v>
      </c>
      <c r="AH112" t="s">
        <v>2828</v>
      </c>
      <c r="AI112" t="s">
        <v>549</v>
      </c>
      <c r="AJ112" t="s">
        <v>2829</v>
      </c>
      <c r="AK112" t="s">
        <v>4216</v>
      </c>
      <c r="AL112" t="s">
        <v>2830</v>
      </c>
      <c r="AM112" t="s">
        <v>2</v>
      </c>
      <c r="AN112" t="s">
        <v>4217</v>
      </c>
      <c r="AO112" t="s">
        <v>114</v>
      </c>
      <c r="AP112" t="s">
        <v>4218</v>
      </c>
      <c r="AQ112" t="s">
        <v>4219</v>
      </c>
      <c r="AR112" t="s">
        <v>2</v>
      </c>
      <c r="AS112" t="s">
        <v>333</v>
      </c>
      <c r="AT112" t="s">
        <v>2</v>
      </c>
      <c r="AU112" t="s">
        <v>4220</v>
      </c>
      <c r="AV112" t="s">
        <v>107</v>
      </c>
      <c r="AW112" t="s">
        <v>4221</v>
      </c>
      <c r="AX112" t="s">
        <v>250</v>
      </c>
      <c r="AY112" t="s">
        <v>480</v>
      </c>
      <c r="AZ112" t="s">
        <v>41</v>
      </c>
      <c r="BA112" t="s">
        <v>151</v>
      </c>
      <c r="BB112" t="s">
        <v>2</v>
      </c>
      <c r="BC112" t="s">
        <v>2831</v>
      </c>
      <c r="BD112" t="s">
        <v>1830</v>
      </c>
      <c r="BE112" t="s">
        <v>1897</v>
      </c>
      <c r="BF112" t="s">
        <v>1898</v>
      </c>
      <c r="BG112" t="s">
        <v>2</v>
      </c>
      <c r="BH112" t="s">
        <v>336</v>
      </c>
      <c r="BI112" t="s">
        <v>4222</v>
      </c>
      <c r="BJ112" t="s">
        <v>250</v>
      </c>
      <c r="BK112" t="s">
        <v>2826</v>
      </c>
      <c r="BL112" t="s">
        <v>4223</v>
      </c>
      <c r="BM112" t="s">
        <v>2831</v>
      </c>
      <c r="BN112">
        <v>1.53</v>
      </c>
      <c r="BO112">
        <v>25.45</v>
      </c>
      <c r="BP112">
        <v>37.630000000000003</v>
      </c>
      <c r="BQ112">
        <v>3.04</v>
      </c>
      <c r="BR112">
        <v>30.65</v>
      </c>
      <c r="BS112" t="s">
        <v>2</v>
      </c>
      <c r="BT112" t="s">
        <v>1536</v>
      </c>
      <c r="BU112" t="s">
        <v>1444</v>
      </c>
      <c r="BV112">
        <v>57.09</v>
      </c>
      <c r="BW112">
        <v>58.36</v>
      </c>
      <c r="BX112">
        <v>59.76</v>
      </c>
      <c r="BY112">
        <v>15.42</v>
      </c>
      <c r="BZ112">
        <v>22.97</v>
      </c>
      <c r="CA112">
        <v>23.6</v>
      </c>
      <c r="CB112">
        <v>-12.86</v>
      </c>
      <c r="CC112" s="10">
        <v>-9.9</v>
      </c>
      <c r="CD112" s="11" t="s">
        <v>4224</v>
      </c>
      <c r="CE112" s="10" t="s">
        <v>4225</v>
      </c>
      <c r="CF112" s="10">
        <v>-0.14077507479137144</v>
      </c>
      <c r="CG112" s="10">
        <v>0.53027957257429681</v>
      </c>
      <c r="CH112" s="10">
        <v>2.8139533996582031</v>
      </c>
      <c r="CI112" s="10">
        <v>7.5000002980232239E-2</v>
      </c>
      <c r="CJ112" s="11">
        <v>0.43589743971824646</v>
      </c>
      <c r="CK112" s="11">
        <v>0.69565218687057495</v>
      </c>
      <c r="CL112" s="11" t="s">
        <v>2</v>
      </c>
      <c r="CM112" s="11">
        <v>-2.1269638538360596</v>
      </c>
      <c r="CN112" s="11">
        <v>4.6731576323509216E-2</v>
      </c>
      <c r="CO112">
        <v>0.8744775652885437</v>
      </c>
      <c r="CP112">
        <v>1.1513701677322388</v>
      </c>
      <c r="CQ112" t="s">
        <v>2</v>
      </c>
      <c r="CR112" s="10">
        <v>64.268183057763594</v>
      </c>
      <c r="CS112" s="11">
        <v>0.63940439880843447</v>
      </c>
      <c r="CT112">
        <v>1.0372465818010372</v>
      </c>
      <c r="CU112">
        <v>1.0051257573068142</v>
      </c>
      <c r="CV112">
        <v>-1.3596136122941971E-2</v>
      </c>
      <c r="CW112">
        <v>0.06</v>
      </c>
      <c r="CX112" t="e">
        <v>#VALUE!</v>
      </c>
      <c r="CY112" t="s">
        <v>1237</v>
      </c>
      <c r="CZ112">
        <v>1.0051257573068142</v>
      </c>
      <c r="DA112" t="e">
        <v>#VALUE!</v>
      </c>
      <c r="DB112" t="s">
        <v>1238</v>
      </c>
      <c r="DC112">
        <v>0.95486946944147344</v>
      </c>
      <c r="DD112" t="e">
        <v>#VALUE!</v>
      </c>
      <c r="DE112" t="s">
        <v>1238</v>
      </c>
      <c r="DF112">
        <v>0.88451066642999654</v>
      </c>
      <c r="DG112" t="e">
        <v>#VALUE!</v>
      </c>
      <c r="DH112" t="s">
        <v>1238</v>
      </c>
      <c r="DI112">
        <v>0.8041006058454514</v>
      </c>
      <c r="DJ112" t="e">
        <v>#VALUE!</v>
      </c>
      <c r="DK112" t="s">
        <v>1238</v>
      </c>
      <c r="DL112">
        <v>0.70358803011476989</v>
      </c>
      <c r="DM112">
        <v>-77929100</v>
      </c>
      <c r="DN112">
        <v>1.0051257573068142</v>
      </c>
      <c r="DO112">
        <v>528860000</v>
      </c>
      <c r="DP112">
        <v>626081340</v>
      </c>
      <c r="DQ112" s="12">
        <v>4907</v>
      </c>
      <c r="DR112">
        <v>-1.1459008320981856</v>
      </c>
      <c r="DS112">
        <v>0.54387570869723878</v>
      </c>
      <c r="DT112">
        <v>0.27199999999999996</v>
      </c>
      <c r="DU112">
        <v>-0.85</v>
      </c>
      <c r="DV112">
        <v>-0.57800000000000007</v>
      </c>
      <c r="DW112">
        <v>-5.7698289269051326</v>
      </c>
      <c r="DX112">
        <v>0.33682218633493077</v>
      </c>
      <c r="DY112">
        <v>-5.0822348090758798</v>
      </c>
      <c r="DZ112">
        <v>3564</v>
      </c>
      <c r="EA112">
        <v>-5.0248796506519202</v>
      </c>
      <c r="EB112" s="13">
        <v>5</v>
      </c>
      <c r="EC112" s="13">
        <v>5.9431818181818183E-2</v>
      </c>
      <c r="ED112">
        <v>0.55636212121212125</v>
      </c>
      <c r="EE112">
        <v>-2.0888</v>
      </c>
      <c r="EF112">
        <v>-2.0802</v>
      </c>
      <c r="EG112">
        <v>23.106822186334931</v>
      </c>
      <c r="EH112" s="14" t="s">
        <v>1553</v>
      </c>
      <c r="EI112">
        <v>0</v>
      </c>
      <c r="EJ112">
        <v>0</v>
      </c>
      <c r="EK112">
        <v>45470</v>
      </c>
      <c r="EL112">
        <v>-3.74</v>
      </c>
      <c r="EM112">
        <v>-4.74</v>
      </c>
      <c r="EN112">
        <v>0.38</v>
      </c>
      <c r="EO112">
        <v>2.92</v>
      </c>
      <c r="EP112">
        <v>-0.86</v>
      </c>
    </row>
    <row r="113" spans="1:146" ht="96" x14ac:dyDescent="0.25">
      <c r="A113" s="9"/>
      <c r="B113" s="9"/>
      <c r="C113" s="9" t="str">
        <f>""&amp;CHAR(10)&amp;Basic_Fundamental_Information_Constructure(F113)&amp;CHAR(10)&amp;Basic_Fundamental_Information_Concatenate("")</f>
        <v xml:space="preserve">
市值20.150445亿, 利润2.86亿; PE21.8; 平均PE19.55; 平均PEG.2, PB2.51; ROIC9.0733%; ROE9.7767%; 股利率3.3898%; 毛利32.8533%; 净利13.3867%; 上一年度营收增479.54%, 利润增262.81%; 当季营收增-83.16%, 利润增-76.64%; 过往5年营收增99.51%, 利润增64.94%
Income profile:
</v>
      </c>
      <c r="D113" t="s">
        <v>1016</v>
      </c>
      <c r="E113" t="s">
        <v>4226</v>
      </c>
      <c r="F113">
        <v>14.75</v>
      </c>
      <c r="G113">
        <v>2.5</v>
      </c>
      <c r="H113" t="s">
        <v>4227</v>
      </c>
      <c r="I113">
        <v>2015044500</v>
      </c>
      <c r="J113">
        <v>21.8</v>
      </c>
      <c r="K113">
        <v>2.5099999999999998</v>
      </c>
      <c r="L113" t="s">
        <v>2891</v>
      </c>
      <c r="M113" t="s">
        <v>283</v>
      </c>
      <c r="N113" t="s">
        <v>369</v>
      </c>
      <c r="O113" t="s">
        <v>53</v>
      </c>
      <c r="P113">
        <v>49.82</v>
      </c>
      <c r="Q113" t="s">
        <v>4228</v>
      </c>
      <c r="R113">
        <v>20566411</v>
      </c>
      <c r="S113" s="6">
        <v>1.2989999999999999</v>
      </c>
      <c r="T113" t="s">
        <v>139</v>
      </c>
      <c r="U113">
        <v>136613180</v>
      </c>
      <c r="V113">
        <v>136613180</v>
      </c>
      <c r="W113">
        <v>1.57</v>
      </c>
      <c r="X113">
        <v>0.1</v>
      </c>
      <c r="Y113">
        <v>15.98</v>
      </c>
      <c r="Z113" t="s">
        <v>177</v>
      </c>
      <c r="AA113" t="s">
        <v>4229</v>
      </c>
      <c r="AB113" t="s">
        <v>4230</v>
      </c>
      <c r="AC113" t="s">
        <v>4231</v>
      </c>
      <c r="AD113" t="s">
        <v>2</v>
      </c>
      <c r="AE113">
        <v>181804</v>
      </c>
      <c r="AF113" t="s">
        <v>2835</v>
      </c>
      <c r="AG113" t="s">
        <v>4232</v>
      </c>
      <c r="AH113" t="s">
        <v>2836</v>
      </c>
      <c r="AI113" t="s">
        <v>127</v>
      </c>
      <c r="AJ113" t="s">
        <v>2837</v>
      </c>
      <c r="AK113" t="s">
        <v>4233</v>
      </c>
      <c r="AL113" t="s">
        <v>2838</v>
      </c>
      <c r="AM113" t="s">
        <v>2</v>
      </c>
      <c r="AN113" t="s">
        <v>4234</v>
      </c>
      <c r="AO113" t="s">
        <v>1646</v>
      </c>
      <c r="AP113" t="s">
        <v>4235</v>
      </c>
      <c r="AQ113" t="s">
        <v>424</v>
      </c>
      <c r="AR113" t="s">
        <v>2</v>
      </c>
      <c r="AS113" t="s">
        <v>173</v>
      </c>
      <c r="AT113" t="s">
        <v>1405</v>
      </c>
      <c r="AU113" t="s">
        <v>4236</v>
      </c>
      <c r="AV113" t="s">
        <v>4237</v>
      </c>
      <c r="AW113" t="s">
        <v>4238</v>
      </c>
      <c r="AX113" t="s">
        <v>204</v>
      </c>
      <c r="AY113" t="s">
        <v>317</v>
      </c>
      <c r="AZ113" t="s">
        <v>584</v>
      </c>
      <c r="BA113" t="s">
        <v>361</v>
      </c>
      <c r="BB113" t="s">
        <v>516</v>
      </c>
      <c r="BC113" t="s">
        <v>2839</v>
      </c>
      <c r="BD113" t="s">
        <v>1389</v>
      </c>
      <c r="BE113" t="s">
        <v>1017</v>
      </c>
      <c r="BF113" t="s">
        <v>1018</v>
      </c>
      <c r="BG113" t="s">
        <v>1019</v>
      </c>
      <c r="BH113" t="s">
        <v>289</v>
      </c>
      <c r="BI113" t="s">
        <v>382</v>
      </c>
      <c r="BJ113" t="s">
        <v>204</v>
      </c>
      <c r="BK113" t="s">
        <v>2834</v>
      </c>
      <c r="BL113" t="s">
        <v>4239</v>
      </c>
      <c r="BM113" t="s">
        <v>2839</v>
      </c>
      <c r="BN113">
        <v>6.02</v>
      </c>
      <c r="BO113">
        <v>10.06</v>
      </c>
      <c r="BP113">
        <v>11.14</v>
      </c>
      <c r="BQ113">
        <v>6.44</v>
      </c>
      <c r="BR113">
        <v>10.97</v>
      </c>
      <c r="BS113">
        <v>11.92</v>
      </c>
      <c r="BT113" t="s">
        <v>1539</v>
      </c>
      <c r="BU113" t="s">
        <v>1445</v>
      </c>
      <c r="BV113">
        <v>37.909999999999997</v>
      </c>
      <c r="BW113">
        <v>29.74</v>
      </c>
      <c r="BX113">
        <v>30.91</v>
      </c>
      <c r="BY113">
        <v>14.15</v>
      </c>
      <c r="BZ113">
        <v>13.01</v>
      </c>
      <c r="CA113">
        <v>13</v>
      </c>
      <c r="CB113">
        <v>5.51</v>
      </c>
      <c r="CC113">
        <v>16.32</v>
      </c>
      <c r="CD113" t="s">
        <v>4240</v>
      </c>
      <c r="CE113" t="s">
        <v>124</v>
      </c>
      <c r="CF113" s="10">
        <v>-0.83159268929503916</v>
      </c>
      <c r="CG113" s="11">
        <v>-0.76636485705100321</v>
      </c>
      <c r="CH113" s="10">
        <v>4.7953791618347168</v>
      </c>
      <c r="CI113" s="10">
        <v>0.13909775018692017</v>
      </c>
      <c r="CJ113" s="10">
        <v>7.5757578015327454E-3</v>
      </c>
      <c r="CK113" s="10">
        <v>4.3478261679410934E-2</v>
      </c>
      <c r="CL113" s="10">
        <v>-9.7847357392311096E-3</v>
      </c>
      <c r="CM113" s="11">
        <v>2.628138542175293</v>
      </c>
      <c r="CN113" s="11">
        <v>0.14000716805458069</v>
      </c>
      <c r="CO113" s="11">
        <v>-6.59380704164505E-2</v>
      </c>
      <c r="CP113" s="11">
        <v>0.15408952534198761</v>
      </c>
      <c r="CQ113" s="11">
        <v>0.39073300361633301</v>
      </c>
      <c r="CR113">
        <v>19.554954273310113</v>
      </c>
      <c r="CS113">
        <v>0.19650273048452893</v>
      </c>
      <c r="CT113">
        <v>3.3898305084745761</v>
      </c>
      <c r="CU113" s="10">
        <v>0.99514923915266995</v>
      </c>
      <c r="CV113" s="11">
        <v>0.6494060337543488</v>
      </c>
      <c r="CW113">
        <v>0.06</v>
      </c>
      <c r="CX113">
        <v>3.1376575131084588</v>
      </c>
      <c r="CY113">
        <v>538313851.31855059</v>
      </c>
      <c r="CZ113">
        <v>0.99514923915266995</v>
      </c>
      <c r="DA113">
        <v>0.51872397726570318</v>
      </c>
      <c r="DB113">
        <v>3256152740.2363162</v>
      </c>
      <c r="DC113">
        <v>0.94539177719503642</v>
      </c>
      <c r="DD113">
        <v>8.6465568366772272E-2</v>
      </c>
      <c r="DE113">
        <v>19534301709.963436</v>
      </c>
      <c r="DF113">
        <v>0.87573133045434959</v>
      </c>
      <c r="DG113">
        <v>1.2468847108103847E-2</v>
      </c>
      <c r="DH113">
        <v>135461160551.26248</v>
      </c>
      <c r="DI113">
        <v>0.79611939132213605</v>
      </c>
      <c r="DJ113">
        <v>1.8201408025696623E-4</v>
      </c>
      <c r="DK113">
        <v>9279746366959.1855</v>
      </c>
      <c r="DL113">
        <v>0.69660446740686888</v>
      </c>
      <c r="DM113">
        <v>286000000</v>
      </c>
      <c r="DN113">
        <v>0.99514923915266995</v>
      </c>
      <c r="DO113">
        <v>1689044500</v>
      </c>
      <c r="DP113">
        <v>555351480</v>
      </c>
      <c r="DQ113">
        <v>4943</v>
      </c>
      <c r="DR113">
        <v>-1.8267419284477091</v>
      </c>
      <c r="DS113">
        <v>-1.4157708908053519</v>
      </c>
      <c r="DT113" s="12">
        <v>-0.14000000000000004</v>
      </c>
      <c r="DU113">
        <v>7.6666666666666591E-2</v>
      </c>
      <c r="DV113">
        <v>-6.333333333333345E-2</v>
      </c>
      <c r="DW113">
        <v>8.3376225490196081</v>
      </c>
      <c r="DX113">
        <v>0.38695076923077082</v>
      </c>
      <c r="DY113">
        <v>8.0664950207390653</v>
      </c>
      <c r="DZ113">
        <v>1262</v>
      </c>
      <c r="EA113">
        <v>8.0500729627796321</v>
      </c>
      <c r="EB113">
        <v>8</v>
      </c>
      <c r="EC113">
        <v>0.18741676315564867</v>
      </c>
      <c r="ED113">
        <v>0.9515919327842306</v>
      </c>
      <c r="EE113" s="13">
        <v>-1.0315000000000001</v>
      </c>
      <c r="EF113">
        <v>-1.0528</v>
      </c>
      <c r="EG113">
        <v>19.196950769230771</v>
      </c>
      <c r="EH113" t="s">
        <v>1548</v>
      </c>
      <c r="EI113">
        <v>0</v>
      </c>
      <c r="EJ113">
        <v>1</v>
      </c>
      <c r="EK113" s="14">
        <v>45470</v>
      </c>
      <c r="EL113">
        <v>-0.43</v>
      </c>
      <c r="EM113">
        <v>-4.59</v>
      </c>
      <c r="EN113">
        <v>-2.0099999999999998</v>
      </c>
      <c r="EO113">
        <v>2.85</v>
      </c>
      <c r="EP113">
        <v>2.13</v>
      </c>
    </row>
    <row r="114" spans="1:146" ht="96" x14ac:dyDescent="0.25">
      <c r="A114" s="9"/>
      <c r="B114" s="9"/>
      <c r="C114" s="9" t="str">
        <f>""&amp;CHAR(10)&amp;Basic_Fundamental_Information_Constructure(F114)&amp;CHAR(10)&amp;Basic_Fundamental_Information_Concatenate("")</f>
        <v xml:space="preserve">
市值16.133256亿, 利润2.02亿; PE46.3; 平均PE20.74; 平均PEG.81, PB2.13; ROIC5.2333%; ROE5.6733%; 股利率.7871%; 毛利38.14%; 净利9.54%; 上一年度营收增72.35%, 利润增154.86%; 当季营收增-68.42%, 利润增-106.7%; 过往5年营收增25.47%, 利润增64.35%
Income profile:
</v>
      </c>
      <c r="D114" t="s">
        <v>816</v>
      </c>
      <c r="E114" t="s">
        <v>817</v>
      </c>
      <c r="F114">
        <v>6.53</v>
      </c>
      <c r="G114">
        <v>1.24</v>
      </c>
      <c r="H114" t="s">
        <v>4241</v>
      </c>
      <c r="I114">
        <v>1613325600</v>
      </c>
      <c r="J114">
        <v>46.3</v>
      </c>
      <c r="K114">
        <v>2.13</v>
      </c>
      <c r="L114" t="s">
        <v>2891</v>
      </c>
      <c r="M114" t="s">
        <v>733</v>
      </c>
      <c r="N114" t="s">
        <v>587</v>
      </c>
      <c r="O114" t="s">
        <v>2840</v>
      </c>
      <c r="P114">
        <v>35.97</v>
      </c>
      <c r="Q114" t="s">
        <v>1183</v>
      </c>
      <c r="R114">
        <v>-7900134</v>
      </c>
      <c r="S114" s="6">
        <v>-0.54820000000000002</v>
      </c>
      <c r="T114" t="s">
        <v>101</v>
      </c>
      <c r="U114">
        <v>247063650</v>
      </c>
      <c r="V114">
        <v>247063650</v>
      </c>
      <c r="W114">
        <v>1.95</v>
      </c>
      <c r="X114">
        <v>0.06</v>
      </c>
      <c r="Y114">
        <v>-8.9600000000000009</v>
      </c>
      <c r="Z114" t="s">
        <v>223</v>
      </c>
      <c r="AA114" t="s">
        <v>4242</v>
      </c>
      <c r="AB114" t="s">
        <v>4243</v>
      </c>
      <c r="AC114" t="s">
        <v>4244</v>
      </c>
      <c r="AD114" t="s">
        <v>2</v>
      </c>
      <c r="AE114">
        <v>2424466</v>
      </c>
      <c r="AF114" t="s">
        <v>23</v>
      </c>
      <c r="AG114">
        <v>1829.75</v>
      </c>
      <c r="AH114" t="s">
        <v>2842</v>
      </c>
      <c r="AI114" t="s">
        <v>178</v>
      </c>
      <c r="AJ114" t="s">
        <v>2843</v>
      </c>
      <c r="AK114" t="s">
        <v>4245</v>
      </c>
      <c r="AL114" t="s">
        <v>2844</v>
      </c>
      <c r="AM114" t="s">
        <v>2</v>
      </c>
      <c r="AN114" t="s">
        <v>4246</v>
      </c>
      <c r="AO114" t="s">
        <v>2</v>
      </c>
      <c r="AP114" t="s">
        <v>4247</v>
      </c>
      <c r="AQ114" t="s">
        <v>206</v>
      </c>
      <c r="AR114" t="s">
        <v>2</v>
      </c>
      <c r="AS114" t="s">
        <v>348</v>
      </c>
      <c r="AT114" t="s">
        <v>2</v>
      </c>
      <c r="AU114" t="s">
        <v>4248</v>
      </c>
      <c r="AV114" t="s">
        <v>1816</v>
      </c>
      <c r="AW114" t="s">
        <v>4249</v>
      </c>
      <c r="AX114" t="s">
        <v>603</v>
      </c>
      <c r="AY114" t="s">
        <v>286</v>
      </c>
      <c r="AZ114" t="s">
        <v>544</v>
      </c>
      <c r="BA114" t="s">
        <v>257</v>
      </c>
      <c r="BB114" t="s">
        <v>154</v>
      </c>
      <c r="BC114" t="s">
        <v>1703</v>
      </c>
      <c r="BD114" t="s">
        <v>1390</v>
      </c>
      <c r="BE114" t="s">
        <v>818</v>
      </c>
      <c r="BF114" t="s">
        <v>820</v>
      </c>
      <c r="BG114" t="s">
        <v>821</v>
      </c>
      <c r="BH114" t="s">
        <v>586</v>
      </c>
      <c r="BI114" t="s">
        <v>477</v>
      </c>
      <c r="BJ114" t="s">
        <v>603</v>
      </c>
      <c r="BK114" t="s">
        <v>2841</v>
      </c>
      <c r="BL114" t="s">
        <v>33</v>
      </c>
      <c r="BM114" t="s">
        <v>1703</v>
      </c>
      <c r="BN114">
        <v>1.83</v>
      </c>
      <c r="BO114">
        <v>8.75</v>
      </c>
      <c r="BP114">
        <v>5.12</v>
      </c>
      <c r="BQ114">
        <v>1.87</v>
      </c>
      <c r="BR114">
        <v>9.69</v>
      </c>
      <c r="BS114">
        <v>5.46</v>
      </c>
      <c r="BT114" t="s">
        <v>4250</v>
      </c>
      <c r="BU114" t="s">
        <v>1444</v>
      </c>
      <c r="BV114">
        <v>36.22</v>
      </c>
      <c r="BW114">
        <v>37.97</v>
      </c>
      <c r="BX114">
        <v>40.229999999999997</v>
      </c>
      <c r="BY114">
        <v>6.61</v>
      </c>
      <c r="BZ114">
        <v>12.73</v>
      </c>
      <c r="CA114">
        <v>9.2799999999999994</v>
      </c>
      <c r="CB114">
        <v>-6.18</v>
      </c>
      <c r="CC114">
        <v>-5.91</v>
      </c>
      <c r="CD114" t="s">
        <v>4251</v>
      </c>
      <c r="CE114" t="s">
        <v>136</v>
      </c>
      <c r="CF114" s="10">
        <v>-0.6842056291390729</v>
      </c>
      <c r="CG114" s="11">
        <v>-1.0669502881355932</v>
      </c>
      <c r="CH114" s="10">
        <v>0.72347265481948853</v>
      </c>
      <c r="CI114" s="10">
        <v>0.59079283475875854</v>
      </c>
      <c r="CJ114" s="10">
        <v>-0.14814814925193787</v>
      </c>
      <c r="CK114" s="10">
        <v>-0.14044943451881409</v>
      </c>
      <c r="CL114" s="10">
        <v>0.24766355752944946</v>
      </c>
      <c r="CM114" s="11">
        <v>1.548596978187561</v>
      </c>
      <c r="CN114" s="11">
        <v>1.1820330619812012</v>
      </c>
      <c r="CO114" s="11">
        <v>-0.41768479347229004</v>
      </c>
      <c r="CP114" s="11">
        <v>0.12382487952709198</v>
      </c>
      <c r="CQ114" s="11">
        <v>0.78090149164199829</v>
      </c>
      <c r="CR114">
        <v>20.744272046145081</v>
      </c>
      <c r="CS114">
        <v>0.81456685252172245</v>
      </c>
      <c r="CT114">
        <v>0.78713629402756502</v>
      </c>
      <c r="CU114" s="10">
        <v>0.25466629266738894</v>
      </c>
      <c r="CV114" s="11">
        <v>0.64353432357311247</v>
      </c>
      <c r="CW114">
        <v>0.06</v>
      </c>
      <c r="CX114">
        <v>6.6011996192687858</v>
      </c>
      <c r="CY114">
        <v>239096784.07435146</v>
      </c>
      <c r="CZ114">
        <v>0.25466629266738894</v>
      </c>
      <c r="DA114">
        <v>1.8815454773075118</v>
      </c>
      <c r="DB114">
        <v>838845310.42990315</v>
      </c>
      <c r="DC114">
        <v>0.24193297803401947</v>
      </c>
      <c r="DD114">
        <v>0.76358578499502172</v>
      </c>
      <c r="DE114">
        <v>2066991857.3854673</v>
      </c>
      <c r="DF114">
        <v>0.22410633754730228</v>
      </c>
      <c r="DG114">
        <v>0.36352067233625784</v>
      </c>
      <c r="DH114">
        <v>4341776740.9388027</v>
      </c>
      <c r="DI114">
        <v>0.20373303413391117</v>
      </c>
      <c r="DJ114">
        <v>0.10752522849001504</v>
      </c>
      <c r="DK114">
        <v>14678653764.930765</v>
      </c>
      <c r="DL114">
        <v>0.17826640486717224</v>
      </c>
      <c r="DM114">
        <v>202000000</v>
      </c>
      <c r="DN114">
        <v>0.25466629266738894</v>
      </c>
      <c r="DO114">
        <v>1578325600</v>
      </c>
      <c r="DP114">
        <v>679727470</v>
      </c>
      <c r="DQ114">
        <v>5003</v>
      </c>
      <c r="DR114">
        <v>-0.93887192180646184</v>
      </c>
      <c r="DS114">
        <v>-1.7104846117087056</v>
      </c>
      <c r="DT114" s="12">
        <v>0.14333333333333331</v>
      </c>
      <c r="DU114">
        <v>-0.19833333333333336</v>
      </c>
      <c r="DV114">
        <v>-5.5000000000000049E-2</v>
      </c>
      <c r="DW114">
        <v>-5.9563106796116507</v>
      </c>
      <c r="DX114">
        <v>0.18802301587301601</v>
      </c>
      <c r="DY114">
        <v>-5.103303563723224</v>
      </c>
      <c r="DZ114">
        <v>2713</v>
      </c>
      <c r="EA114">
        <v>-5.0484576599304436</v>
      </c>
      <c r="EB114">
        <v>5</v>
      </c>
      <c r="EC114">
        <v>5.5090661859808189E-2</v>
      </c>
      <c r="ED114">
        <v>0.50999003698034895</v>
      </c>
      <c r="EE114" s="13">
        <v>-7.0849099999999998</v>
      </c>
      <c r="EF114">
        <v>-7.1124099999999997</v>
      </c>
      <c r="EG114">
        <v>8.108023015873016</v>
      </c>
      <c r="EH114" t="s">
        <v>1984</v>
      </c>
      <c r="EI114">
        <v>0</v>
      </c>
      <c r="EJ114">
        <v>0</v>
      </c>
      <c r="EK114" s="14">
        <v>45470</v>
      </c>
      <c r="EL114">
        <v>-1.48</v>
      </c>
      <c r="EM114">
        <v>-6</v>
      </c>
      <c r="EN114">
        <v>-0.89</v>
      </c>
      <c r="EO114">
        <v>5.44</v>
      </c>
      <c r="EP114">
        <v>-2.75</v>
      </c>
    </row>
    <row r="115" spans="1:146" ht="96" x14ac:dyDescent="0.25">
      <c r="A115" s="9"/>
      <c r="B115" s="9"/>
      <c r="C115" s="9" t="str">
        <f>""&amp;CHAR(10)&amp;Basic_Fundamental_Information_Constructure(F115)&amp;CHAR(10)&amp;Basic_Fundamental_Information_Concatenate("")</f>
        <v xml:space="preserve">
市值28.311338亿, 利润5.02亿; PE73.22; 平均PE18.37; 平均PEG.03, PB3.34; ROIC7.9733%; ROE8.2233%; 股利率.9675%; 毛利62.9133%; 净利31.6067%; 上一年度营收增2806.84%, 利润增780.76%; 当季营收增-96.99%, 利润增-94.91%; 过往5年营收增565.91%, 利润增156.03%
Income profile:
</v>
      </c>
      <c r="D115" t="s">
        <v>822</v>
      </c>
      <c r="E115" t="s">
        <v>823</v>
      </c>
      <c r="F115">
        <v>25.84</v>
      </c>
      <c r="G115">
        <v>4.28</v>
      </c>
      <c r="H115" t="s">
        <v>4252</v>
      </c>
      <c r="I115">
        <v>2831133800</v>
      </c>
      <c r="J115">
        <v>73.22</v>
      </c>
      <c r="K115">
        <v>3.34</v>
      </c>
      <c r="L115" t="s">
        <v>2891</v>
      </c>
      <c r="M115" t="s">
        <v>2847</v>
      </c>
      <c r="N115" t="s">
        <v>171</v>
      </c>
      <c r="O115" t="s">
        <v>2848</v>
      </c>
      <c r="P115">
        <v>-15.7</v>
      </c>
      <c r="Q115" t="s">
        <v>4253</v>
      </c>
      <c r="R115">
        <v>4490859</v>
      </c>
      <c r="S115" s="6">
        <v>-0.65539999999999998</v>
      </c>
      <c r="T115" t="s">
        <v>20</v>
      </c>
      <c r="U115">
        <v>109564000</v>
      </c>
      <c r="V115">
        <v>109564000</v>
      </c>
      <c r="W115">
        <v>1.08</v>
      </c>
      <c r="X115">
        <v>0.03</v>
      </c>
      <c r="Y115">
        <v>13.77</v>
      </c>
      <c r="Z115" t="s">
        <v>4254</v>
      </c>
      <c r="AA115" t="s">
        <v>4255</v>
      </c>
      <c r="AB115" t="s">
        <v>4256</v>
      </c>
      <c r="AC115" t="s">
        <v>4257</v>
      </c>
      <c r="AD115" t="s">
        <v>2</v>
      </c>
      <c r="AE115">
        <v>-2046454</v>
      </c>
      <c r="AF115" t="s">
        <v>2850</v>
      </c>
      <c r="AG115" t="s">
        <v>2</v>
      </c>
      <c r="AH115" t="s">
        <v>2851</v>
      </c>
      <c r="AI115" t="s">
        <v>4258</v>
      </c>
      <c r="AJ115" t="s">
        <v>2852</v>
      </c>
      <c r="AK115" t="s">
        <v>1945</v>
      </c>
      <c r="AL115" t="s">
        <v>2853</v>
      </c>
      <c r="AM115" t="s">
        <v>2</v>
      </c>
      <c r="AN115" t="s">
        <v>228</v>
      </c>
      <c r="AO115" t="s">
        <v>4259</v>
      </c>
      <c r="AP115" t="s">
        <v>2</v>
      </c>
      <c r="AQ115" t="s">
        <v>4260</v>
      </c>
      <c r="AR115" t="s">
        <v>2</v>
      </c>
      <c r="AS115" t="s">
        <v>4261</v>
      </c>
      <c r="AT115" t="s">
        <v>2</v>
      </c>
      <c r="AU115" t="s">
        <v>4262</v>
      </c>
      <c r="AV115" t="s">
        <v>4263</v>
      </c>
      <c r="AW115" t="s">
        <v>4264</v>
      </c>
      <c r="AX115" t="s">
        <v>435</v>
      </c>
      <c r="AY115" t="s">
        <v>193</v>
      </c>
      <c r="AZ115" t="s">
        <v>31</v>
      </c>
      <c r="BA115" t="s">
        <v>365</v>
      </c>
      <c r="BB115" t="s">
        <v>165</v>
      </c>
      <c r="BC115" t="s">
        <v>2854</v>
      </c>
      <c r="BD115" t="s">
        <v>148</v>
      </c>
      <c r="BE115" t="s">
        <v>114</v>
      </c>
      <c r="BF115" t="s">
        <v>824</v>
      </c>
      <c r="BG115" t="s">
        <v>825</v>
      </c>
      <c r="BH115" t="s">
        <v>101</v>
      </c>
      <c r="BI115" t="s">
        <v>2067</v>
      </c>
      <c r="BJ115" t="s">
        <v>435</v>
      </c>
      <c r="BK115" t="s">
        <v>2849</v>
      </c>
      <c r="BL115" t="s">
        <v>4265</v>
      </c>
      <c r="BM115" t="s">
        <v>2854</v>
      </c>
      <c r="BN115">
        <v>1.77</v>
      </c>
      <c r="BO115">
        <v>6.08</v>
      </c>
      <c r="BP115">
        <v>16.07</v>
      </c>
      <c r="BQ115">
        <v>2.4500000000000002</v>
      </c>
      <c r="BR115">
        <v>6.89</v>
      </c>
      <c r="BS115">
        <v>15.33</v>
      </c>
      <c r="BT115" t="s">
        <v>2855</v>
      </c>
      <c r="BU115" t="s">
        <v>1444</v>
      </c>
      <c r="BV115">
        <v>59.38</v>
      </c>
      <c r="BW115">
        <v>57.55</v>
      </c>
      <c r="BX115">
        <v>71.81</v>
      </c>
      <c r="BY115">
        <v>23.42</v>
      </c>
      <c r="BZ115">
        <v>29.99</v>
      </c>
      <c r="CA115">
        <v>41.41</v>
      </c>
      <c r="CB115">
        <v>-3.04</v>
      </c>
      <c r="CC115">
        <v>-4.12</v>
      </c>
      <c r="CD115" t="s">
        <v>4266</v>
      </c>
      <c r="CE115" t="s">
        <v>4267</v>
      </c>
      <c r="CF115" s="10">
        <v>-0.96989377394636012</v>
      </c>
      <c r="CG115" s="11">
        <v>-0.94905862695587662</v>
      </c>
      <c r="CH115" s="10">
        <v>28.068418502807617</v>
      </c>
      <c r="CI115" s="10">
        <v>-0.21810699999332428</v>
      </c>
      <c r="CJ115" s="10">
        <v>2.5316456332802773E-2</v>
      </c>
      <c r="CK115" s="10">
        <v>0.17910447716712952</v>
      </c>
      <c r="CL115" s="10">
        <v>0.24074074625968933</v>
      </c>
      <c r="CM115" s="11">
        <v>7.8075895309448242</v>
      </c>
      <c r="CN115" s="11">
        <v>-0.43568021059036255</v>
      </c>
      <c r="CO115" s="11">
        <v>-4.7169812023639679E-2</v>
      </c>
      <c r="CP115" s="11">
        <v>0.18430989980697632</v>
      </c>
      <c r="CQ115" s="11">
        <v>0.29228982329368591</v>
      </c>
      <c r="CR115">
        <v>18.368885059425175</v>
      </c>
      <c r="CS115">
        <v>3.24590526210706E-2</v>
      </c>
      <c r="CT115">
        <v>0.96749226006191946</v>
      </c>
      <c r="CU115" s="10">
        <v>5.6590946365147827</v>
      </c>
      <c r="CV115" s="11">
        <v>1.5602678462862969</v>
      </c>
      <c r="CW115">
        <v>0.06</v>
      </c>
      <c r="CX115">
        <v>0.65936114421436742</v>
      </c>
      <c r="CY115">
        <v>3153646705.2173777</v>
      </c>
      <c r="CZ115">
        <v>5.6590946365147827</v>
      </c>
      <c r="DA115">
        <v>1.5940990755317092E-2</v>
      </c>
      <c r="DB115">
        <v>130443090515.33839</v>
      </c>
      <c r="DC115">
        <v>5.376139904689043</v>
      </c>
      <c r="DD115">
        <v>1.057150385589021E-4</v>
      </c>
      <c r="DE115">
        <v>19669785191833.5</v>
      </c>
      <c r="DF115">
        <v>4.9800032801330092</v>
      </c>
      <c r="DG115">
        <v>2.252743258583659E-7</v>
      </c>
      <c r="DH115">
        <v>9230488614611822</v>
      </c>
      <c r="DI115">
        <v>4.5272757092118265</v>
      </c>
      <c r="DJ115">
        <v>1.2792035617400748E-13</v>
      </c>
      <c r="DK115">
        <v>1.625536515213767E+22</v>
      </c>
      <c r="DL115">
        <v>3.9613662455603476</v>
      </c>
      <c r="DM115">
        <v>501999999.99999994</v>
      </c>
      <c r="DN115">
        <v>5.6590946365147827</v>
      </c>
      <c r="DO115">
        <v>2079392100</v>
      </c>
      <c r="DP115">
        <v>572054840</v>
      </c>
      <c r="DQ115">
        <v>5015</v>
      </c>
      <c r="DR115">
        <v>-6.628988410461143</v>
      </c>
      <c r="DS115">
        <v>-2.5093264732421736</v>
      </c>
      <c r="DT115" s="12">
        <v>-7.3333333333333403E-2</v>
      </c>
      <c r="DU115">
        <v>-7.3333333333333403E-2</v>
      </c>
      <c r="DV115">
        <v>-0.14666666666666681</v>
      </c>
      <c r="DW115">
        <v>-8.7378640776699026</v>
      </c>
      <c r="DX115">
        <v>0.5022662866668457</v>
      </c>
      <c r="DY115">
        <v>-8.0533226969580607</v>
      </c>
      <c r="DZ115">
        <v>64</v>
      </c>
      <c r="EA115">
        <v>-8.0526548588748295</v>
      </c>
      <c r="EB115">
        <v>8</v>
      </c>
      <c r="EC115">
        <v>1.2265890255923477E-2</v>
      </c>
      <c r="ED115">
        <v>0.16973184622686283</v>
      </c>
      <c r="EE115" s="13">
        <v>3.0000000000000165E-4</v>
      </c>
      <c r="EF115">
        <v>2.2609999999999998E-2</v>
      </c>
      <c r="EG115">
        <v>43.072266286666846</v>
      </c>
      <c r="EH115">
        <v>-1</v>
      </c>
      <c r="EI115">
        <v>0</v>
      </c>
      <c r="EJ115">
        <v>1</v>
      </c>
      <c r="EK115" s="14">
        <v>45470</v>
      </c>
      <c r="EL115">
        <v>-2.66</v>
      </c>
      <c r="EM115">
        <v>-5.29</v>
      </c>
      <c r="EN115">
        <v>-0.91</v>
      </c>
      <c r="EO115">
        <v>3.87</v>
      </c>
      <c r="EP115">
        <v>-2.29</v>
      </c>
    </row>
    <row r="116" spans="1:146" ht="96" x14ac:dyDescent="0.25">
      <c r="A116" s="9"/>
      <c r="B116" s="9"/>
      <c r="C116" s="9" t="str">
        <f>""&amp;CHAR(10)&amp;Basic_Fundamental_Information_Constructure(F116)&amp;CHAR(10)&amp;Basic_Fundamental_Information_Concatenate("")</f>
        <v xml:space="preserve">
市值15.695598亿, 利润5.34亿; PE17.66; 平均PE11.29; 平均PEG.22, PB1.95; ROIC8.4833%; ROE8.5733%; 股利率3.4286%; 毛利29.1867%; 净利14.1133%; 上一年度营收增204.43%, 利润增739.12%; 当季营收增-69.43%, 利润增-83.32%; 过往5年营收增50.4%, 利润增170.12%
Income profile:
</v>
      </c>
      <c r="D116" t="s">
        <v>826</v>
      </c>
      <c r="E116" t="s">
        <v>827</v>
      </c>
      <c r="F116">
        <v>8.75</v>
      </c>
      <c r="G116">
        <v>2.82</v>
      </c>
      <c r="H116" t="s">
        <v>4268</v>
      </c>
      <c r="I116">
        <v>1569559800</v>
      </c>
      <c r="J116">
        <v>17.66</v>
      </c>
      <c r="K116">
        <v>1.95</v>
      </c>
      <c r="L116" t="s">
        <v>2891</v>
      </c>
      <c r="M116" t="s">
        <v>365</v>
      </c>
      <c r="N116" t="s">
        <v>63</v>
      </c>
      <c r="O116" t="s">
        <v>177</v>
      </c>
      <c r="P116">
        <v>99.38</v>
      </c>
      <c r="Q116" t="s">
        <v>434</v>
      </c>
      <c r="R116">
        <v>17178061</v>
      </c>
      <c r="S116" s="6">
        <v>5.218</v>
      </c>
      <c r="T116" t="s">
        <v>257</v>
      </c>
      <c r="U116">
        <v>179378270</v>
      </c>
      <c r="V116">
        <v>179378270</v>
      </c>
      <c r="W116">
        <v>1.23</v>
      </c>
      <c r="X116">
        <v>0.11</v>
      </c>
      <c r="Y116">
        <v>16.100000000000001</v>
      </c>
      <c r="Z116" t="s">
        <v>4269</v>
      </c>
      <c r="AA116" t="s">
        <v>4270</v>
      </c>
      <c r="AB116" t="s">
        <v>4271</v>
      </c>
      <c r="AC116" t="s">
        <v>4272</v>
      </c>
      <c r="AD116" t="s">
        <v>2</v>
      </c>
      <c r="AE116">
        <v>-713745</v>
      </c>
      <c r="AF116" t="s">
        <v>2857</v>
      </c>
      <c r="AG116" t="s">
        <v>2</v>
      </c>
      <c r="AH116" t="s">
        <v>2858</v>
      </c>
      <c r="AI116" t="s">
        <v>242</v>
      </c>
      <c r="AJ116" t="s">
        <v>2859</v>
      </c>
      <c r="AK116" t="s">
        <v>4273</v>
      </c>
      <c r="AL116" t="s">
        <v>2860</v>
      </c>
      <c r="AM116" t="s">
        <v>2</v>
      </c>
      <c r="AN116" t="s">
        <v>4274</v>
      </c>
      <c r="AO116" t="s">
        <v>2</v>
      </c>
      <c r="AP116" t="s">
        <v>2</v>
      </c>
      <c r="AQ116" t="s">
        <v>116</v>
      </c>
      <c r="AR116" t="s">
        <v>2</v>
      </c>
      <c r="AS116" t="s">
        <v>323</v>
      </c>
      <c r="AT116" t="s">
        <v>2</v>
      </c>
      <c r="AU116" t="s">
        <v>4275</v>
      </c>
      <c r="AV116" t="s">
        <v>4276</v>
      </c>
      <c r="AW116" t="s">
        <v>4277</v>
      </c>
      <c r="AX116" t="s">
        <v>214</v>
      </c>
      <c r="AY116" t="s">
        <v>35</v>
      </c>
      <c r="AZ116" t="s">
        <v>654</v>
      </c>
      <c r="BA116" t="s">
        <v>210</v>
      </c>
      <c r="BB116" t="s">
        <v>393</v>
      </c>
      <c r="BC116" t="s">
        <v>1704</v>
      </c>
      <c r="BD116" t="s">
        <v>1391</v>
      </c>
      <c r="BE116" t="s">
        <v>828</v>
      </c>
      <c r="BF116" t="s">
        <v>829</v>
      </c>
      <c r="BG116" t="s">
        <v>830</v>
      </c>
      <c r="BH116" t="s">
        <v>606</v>
      </c>
      <c r="BI116" t="s">
        <v>536</v>
      </c>
      <c r="BJ116" t="s">
        <v>214</v>
      </c>
      <c r="BK116" t="s">
        <v>2856</v>
      </c>
      <c r="BL116" t="s">
        <v>49</v>
      </c>
      <c r="BM116" t="s">
        <v>1704</v>
      </c>
      <c r="BN116">
        <v>5.87</v>
      </c>
      <c r="BO116">
        <v>8.4499999999999993</v>
      </c>
      <c r="BP116">
        <v>11.13</v>
      </c>
      <c r="BQ116">
        <v>6.36</v>
      </c>
      <c r="BR116">
        <v>8.57</v>
      </c>
      <c r="BS116">
        <v>10.79</v>
      </c>
      <c r="BT116" t="s">
        <v>2861</v>
      </c>
      <c r="BU116" t="s">
        <v>1444</v>
      </c>
      <c r="BV116">
        <v>29</v>
      </c>
      <c r="BW116">
        <v>26.33</v>
      </c>
      <c r="BX116">
        <v>32.229999999999997</v>
      </c>
      <c r="BY116">
        <v>13.16</v>
      </c>
      <c r="BZ116">
        <v>12.06</v>
      </c>
      <c r="CA116">
        <v>17.12</v>
      </c>
      <c r="CB116">
        <v>-4.8899999999999997</v>
      </c>
      <c r="CC116">
        <v>-12.28</v>
      </c>
      <c r="CD116" t="s">
        <v>4278</v>
      </c>
      <c r="CE116" t="s">
        <v>4279</v>
      </c>
      <c r="CF116" s="10">
        <v>-0.69428571428571428</v>
      </c>
      <c r="CG116" s="11">
        <v>-0.83322270873786408</v>
      </c>
      <c r="CH116" s="10">
        <v>2.0442805290222168</v>
      </c>
      <c r="CI116" s="10">
        <v>0.3187347948551178</v>
      </c>
      <c r="CJ116" s="10">
        <v>-9.2715233564376831E-2</v>
      </c>
      <c r="CK116" s="10">
        <v>6.5882354974746704E-2</v>
      </c>
      <c r="CL116" s="10">
        <v>0.18384401500225067</v>
      </c>
      <c r="CM116" s="11">
        <v>7.3911600112915039</v>
      </c>
      <c r="CN116" s="11">
        <v>-9.454713761806488E-2</v>
      </c>
      <c r="CO116" s="11">
        <v>-4.662979394197464E-2</v>
      </c>
      <c r="CP116" s="11">
        <v>0.18556983768939972</v>
      </c>
      <c r="CQ116" s="11">
        <v>1.0703799724578857</v>
      </c>
      <c r="CR116">
        <v>11.293705135555875</v>
      </c>
      <c r="CS116">
        <v>0.22407909824598463</v>
      </c>
      <c r="CT116">
        <v>3.4285714285714284</v>
      </c>
      <c r="CU116" s="10">
        <v>0.50400529205799105</v>
      </c>
      <c r="CV116" s="11">
        <v>1.70118657797575</v>
      </c>
      <c r="CW116">
        <v>0.06</v>
      </c>
      <c r="CX116">
        <v>1.2756865374758326</v>
      </c>
      <c r="CY116">
        <v>757678137.69713879</v>
      </c>
      <c r="CZ116">
        <v>0.50400529205799105</v>
      </c>
      <c r="DA116">
        <v>0.29884952040239915</v>
      </c>
      <c r="DB116">
        <v>3234269202.4351687</v>
      </c>
      <c r="DC116">
        <v>0.47880502745509146</v>
      </c>
      <c r="DD116">
        <v>8.9413990424082365E-2</v>
      </c>
      <c r="DE116">
        <v>10809939198.728247</v>
      </c>
      <c r="DF116">
        <v>0.44352465701103211</v>
      </c>
      <c r="DG116">
        <v>2.8515323769679045E-2</v>
      </c>
      <c r="DH116">
        <v>33896153794.605125</v>
      </c>
      <c r="DI116">
        <v>0.40320423364639285</v>
      </c>
      <c r="DJ116">
        <v>3.0044763327197405E-3</v>
      </c>
      <c r="DK116">
        <v>321706578106.08936</v>
      </c>
      <c r="DL116">
        <v>0.35280370444059372</v>
      </c>
      <c r="DM116">
        <v>534000000</v>
      </c>
      <c r="DN116">
        <v>0.50400529205799105</v>
      </c>
      <c r="DO116">
        <v>966559800.00000012</v>
      </c>
      <c r="DP116">
        <v>385274070</v>
      </c>
      <c r="DQ116">
        <v>5018</v>
      </c>
      <c r="DR116">
        <v>-1.1982910063437053</v>
      </c>
      <c r="DS116">
        <v>-2.5344092867136139</v>
      </c>
      <c r="DT116" s="12">
        <v>0.10999999999999995</v>
      </c>
      <c r="DU116">
        <v>0.17666666666666661</v>
      </c>
      <c r="DV116">
        <v>0.28666666666666657</v>
      </c>
      <c r="DW116">
        <v>-8.3982084690553744</v>
      </c>
      <c r="DX116">
        <v>0.40105659521556558</v>
      </c>
      <c r="DY116">
        <v>-8.0720982695931696</v>
      </c>
      <c r="DZ116">
        <v>7</v>
      </c>
      <c r="EA116">
        <v>-8.0719995048403028</v>
      </c>
      <c r="EB116">
        <v>8</v>
      </c>
      <c r="EC116">
        <v>5.1627769628952269E-2</v>
      </c>
      <c r="ED116">
        <v>0.28514713627241473</v>
      </c>
      <c r="EE116" s="13">
        <v>3.0608</v>
      </c>
      <c r="EF116">
        <v>3.0348999999999999</v>
      </c>
      <c r="EG116">
        <v>22.181056595215566</v>
      </c>
      <c r="EH116" t="s">
        <v>1551</v>
      </c>
      <c r="EI116">
        <v>0</v>
      </c>
      <c r="EJ116">
        <v>1</v>
      </c>
      <c r="EK116" s="14">
        <v>45470</v>
      </c>
      <c r="EL116">
        <v>2.14</v>
      </c>
      <c r="EM116">
        <v>1.94</v>
      </c>
      <c r="EN116">
        <v>-0.67</v>
      </c>
      <c r="EO116">
        <v>4.7</v>
      </c>
      <c r="EP116">
        <v>-2.59</v>
      </c>
    </row>
    <row r="117" spans="1:146" ht="96" x14ac:dyDescent="0.25">
      <c r="A117" s="9"/>
      <c r="B117" s="9"/>
      <c r="C117" s="9" t="str">
        <f>""&amp;CHAR(10)&amp;Basic_Fundamental_Information_Constructure(F117)&amp;CHAR(10)&amp;Basic_Fundamental_Information_Concatenate("")</f>
        <v xml:space="preserve">
市值30.20121亿, 利润1.33亿; PE16.37; 平均PE26.7; 平均PEG2.41, PB2.29; ROIC11.6833%; ROE11.6367%; 股利率2.317%; 毛利27.3867%; 净利10.6367%; 上一年度营收增-46.89%, 利润增3.1%; 当季营收增109.29%, 利润增1.77%; 过往5年营收增11.08%, 利润增8.61%
Income profile:
</v>
      </c>
      <c r="D117" t="s">
        <v>1020</v>
      </c>
      <c r="E117" t="s">
        <v>1021</v>
      </c>
      <c r="F117">
        <v>21.58</v>
      </c>
      <c r="G117">
        <v>1.31</v>
      </c>
      <c r="H117" t="s">
        <v>4280</v>
      </c>
      <c r="I117">
        <v>3020121000</v>
      </c>
      <c r="J117">
        <v>16.37</v>
      </c>
      <c r="K117">
        <v>2.29</v>
      </c>
      <c r="L117" t="s">
        <v>2891</v>
      </c>
      <c r="M117" t="s">
        <v>1096</v>
      </c>
      <c r="N117" t="s">
        <v>573</v>
      </c>
      <c r="O117" t="s">
        <v>301</v>
      </c>
      <c r="P117">
        <v>36.630000000000003</v>
      </c>
      <c r="Q117" t="s">
        <v>243</v>
      </c>
      <c r="R117">
        <v>39470968</v>
      </c>
      <c r="S117" s="6">
        <v>0.91579999999999995</v>
      </c>
      <c r="T117" t="s">
        <v>69</v>
      </c>
      <c r="U117">
        <v>139950000</v>
      </c>
      <c r="V117">
        <v>139950000</v>
      </c>
      <c r="W117">
        <v>1.92</v>
      </c>
      <c r="X117">
        <v>0.11</v>
      </c>
      <c r="Y117">
        <v>13.49</v>
      </c>
      <c r="Z117" t="s">
        <v>609</v>
      </c>
      <c r="AA117" t="s">
        <v>191</v>
      </c>
      <c r="AB117" t="s">
        <v>4281</v>
      </c>
      <c r="AC117" t="s">
        <v>4282</v>
      </c>
      <c r="AD117" t="s">
        <v>2</v>
      </c>
      <c r="AE117">
        <v>-2721805</v>
      </c>
      <c r="AF117" t="s">
        <v>2863</v>
      </c>
      <c r="AG117" t="s">
        <v>4283</v>
      </c>
      <c r="AH117" t="s">
        <v>2864</v>
      </c>
      <c r="AI117" t="s">
        <v>487</v>
      </c>
      <c r="AJ117" t="s">
        <v>2865</v>
      </c>
      <c r="AK117" t="s">
        <v>113</v>
      </c>
      <c r="AL117" t="s">
        <v>2866</v>
      </c>
      <c r="AM117" t="s">
        <v>2</v>
      </c>
      <c r="AN117" t="s">
        <v>4284</v>
      </c>
      <c r="AO117" t="s">
        <v>2</v>
      </c>
      <c r="AP117" t="s">
        <v>55</v>
      </c>
      <c r="AQ117" t="s">
        <v>268</v>
      </c>
      <c r="AR117" t="s">
        <v>2</v>
      </c>
      <c r="AS117" t="s">
        <v>1857</v>
      </c>
      <c r="AT117" t="s">
        <v>2</v>
      </c>
      <c r="AU117" t="s">
        <v>4285</v>
      </c>
      <c r="AV117" t="s">
        <v>4286</v>
      </c>
      <c r="AW117" t="s">
        <v>2</v>
      </c>
      <c r="AX117" t="s">
        <v>628</v>
      </c>
      <c r="AY117" t="s">
        <v>887</v>
      </c>
      <c r="AZ117" t="s">
        <v>624</v>
      </c>
      <c r="BA117" t="s">
        <v>577</v>
      </c>
      <c r="BB117" t="s">
        <v>317</v>
      </c>
      <c r="BC117" t="s">
        <v>53</v>
      </c>
      <c r="BD117" t="s">
        <v>131</v>
      </c>
      <c r="BE117" t="s">
        <v>177</v>
      </c>
      <c r="BF117" t="s">
        <v>144</v>
      </c>
      <c r="BG117" t="s">
        <v>1022</v>
      </c>
      <c r="BH117" t="s">
        <v>555</v>
      </c>
      <c r="BI117" t="s">
        <v>106</v>
      </c>
      <c r="BJ117" t="s">
        <v>628</v>
      </c>
      <c r="BK117" t="s">
        <v>40</v>
      </c>
      <c r="BL117" t="s">
        <v>4287</v>
      </c>
      <c r="BM117" t="s">
        <v>53</v>
      </c>
      <c r="BN117">
        <v>9.7100000000000009</v>
      </c>
      <c r="BO117">
        <v>11.24</v>
      </c>
      <c r="BP117">
        <v>14.1</v>
      </c>
      <c r="BQ117">
        <v>9.99</v>
      </c>
      <c r="BR117">
        <v>11.67</v>
      </c>
      <c r="BS117">
        <v>13.25</v>
      </c>
      <c r="BT117" t="s">
        <v>1539</v>
      </c>
      <c r="BU117" t="s">
        <v>1444</v>
      </c>
      <c r="BV117">
        <v>27.65</v>
      </c>
      <c r="BW117">
        <v>26.28</v>
      </c>
      <c r="BX117">
        <v>28.23</v>
      </c>
      <c r="BY117">
        <v>9.77</v>
      </c>
      <c r="BZ117">
        <v>9.83</v>
      </c>
      <c r="CA117">
        <v>12.31</v>
      </c>
      <c r="CB117">
        <v>-7.26</v>
      </c>
      <c r="CC117">
        <v>-15.31</v>
      </c>
      <c r="CD117" t="s">
        <v>4288</v>
      </c>
      <c r="CE117" t="s">
        <v>4289</v>
      </c>
      <c r="CF117" s="10">
        <v>1.0928571428571427</v>
      </c>
      <c r="CG117" s="11">
        <v>1.7725785449998067E-2</v>
      </c>
      <c r="CH117" s="10">
        <v>-0.46891790628433228</v>
      </c>
      <c r="CI117" s="10">
        <v>0.38176041841506958</v>
      </c>
      <c r="CJ117" s="10">
        <v>0.11729858070611954</v>
      </c>
      <c r="CK117" s="10">
        <v>0.33755943179130554</v>
      </c>
      <c r="CL117" s="10">
        <v>0.18609023094177246</v>
      </c>
      <c r="CM117" s="11">
        <v>3.1007751822471619E-2</v>
      </c>
      <c r="CN117" s="11">
        <v>0.11206896603107452</v>
      </c>
      <c r="CO117" s="11">
        <v>8.4112152457237244E-2</v>
      </c>
      <c r="CP117" s="11">
        <v>1.904761977493763E-2</v>
      </c>
      <c r="CQ117" s="11">
        <v>0.18438634276390076</v>
      </c>
      <c r="CR117">
        <v>26.700998373986135</v>
      </c>
      <c r="CS117">
        <v>2.4107479319067675</v>
      </c>
      <c r="CT117">
        <v>2.3169601482854496</v>
      </c>
      <c r="CU117" s="10">
        <v>0.11075815111398697</v>
      </c>
      <c r="CV117" s="11">
        <v>8.6124566569924357E-2</v>
      </c>
      <c r="CW117">
        <v>0.06</v>
      </c>
      <c r="CX117">
        <v>22.638660916094082</v>
      </c>
      <c r="CY117">
        <v>139368711.41335875</v>
      </c>
      <c r="CZ117">
        <v>0.11075815111398697</v>
      </c>
      <c r="DA117">
        <v>7.2695007162411729</v>
      </c>
      <c r="DB117">
        <v>434021691.88194436</v>
      </c>
      <c r="DC117">
        <v>0.10522024355828762</v>
      </c>
      <c r="DD117">
        <v>3.4950175765979021</v>
      </c>
      <c r="DE117">
        <v>902748249.71588206</v>
      </c>
      <c r="DF117">
        <v>9.7467172980308533E-2</v>
      </c>
      <c r="DG117">
        <v>2.0430871155742758</v>
      </c>
      <c r="DH117">
        <v>1544290978.0737133</v>
      </c>
      <c r="DI117">
        <v>8.8606520891189589E-2</v>
      </c>
      <c r="DJ117">
        <v>0.99401666040503511</v>
      </c>
      <c r="DK117">
        <v>3174112794.7637949</v>
      </c>
      <c r="DL117">
        <v>7.7530705779790876E-2</v>
      </c>
      <c r="DM117">
        <v>133000000</v>
      </c>
      <c r="DN117">
        <v>0.11075815111398697</v>
      </c>
      <c r="DO117">
        <v>3155121000</v>
      </c>
      <c r="DP117">
        <v>1078612700</v>
      </c>
      <c r="DQ117">
        <v>5050</v>
      </c>
      <c r="DR117">
        <v>0.98209899174315574</v>
      </c>
      <c r="DS117">
        <v>-6.8398781119926283E-2</v>
      </c>
      <c r="DT117" s="12">
        <v>-0.24000000000000007</v>
      </c>
      <c r="DU117">
        <v>9.9999999999999992E-2</v>
      </c>
      <c r="DV117">
        <v>-0.14000000000000007</v>
      </c>
      <c r="DW117">
        <v>-9.4741998693664264</v>
      </c>
      <c r="DX117">
        <v>0.32652380692068023</v>
      </c>
      <c r="DY117">
        <v>-9.0599975727135291</v>
      </c>
      <c r="DZ117">
        <v>477</v>
      </c>
      <c r="EA117">
        <v>-9.0543970165130681</v>
      </c>
      <c r="EB117">
        <v>9</v>
      </c>
      <c r="EC117">
        <v>4.2998928188638798E-2</v>
      </c>
      <c r="ED117">
        <v>0.33984851732761701</v>
      </c>
      <c r="EE117" s="13">
        <v>-4.0350099999999998</v>
      </c>
      <c r="EF117">
        <v>-4.0656100000000004</v>
      </c>
      <c r="EG117">
        <v>20.12652380692068</v>
      </c>
      <c r="EH117" t="s">
        <v>1964</v>
      </c>
      <c r="EI117">
        <v>0</v>
      </c>
      <c r="EJ117">
        <v>1</v>
      </c>
      <c r="EK117" s="14">
        <v>45470</v>
      </c>
      <c r="EL117">
        <v>-1.94</v>
      </c>
      <c r="EM117">
        <v>-6.67</v>
      </c>
      <c r="EN117">
        <v>-3.92</v>
      </c>
      <c r="EO117">
        <v>3.79</v>
      </c>
      <c r="EP117">
        <v>-3.06</v>
      </c>
    </row>
    <row r="118" spans="1:146" ht="96" x14ac:dyDescent="0.25">
      <c r="A118" s="9"/>
      <c r="B118" s="9"/>
      <c r="C118" s="9" t="str">
        <f>""&amp;CHAR(10)&amp;Basic_Fundamental_Information_Constructure(F118)&amp;CHAR(10)&amp;Basic_Fundamental_Information_Concatenate("")</f>
        <v xml:space="preserve">
市值210.70042亿, 利润1.46亿; PE41.14; 平均PE97.32; 平均PEG801.17, PB6.07; ROIC8.6033%; ROE10.76%; 股利率.9759%; 毛利22.2033%; 净利6.8767%; 上一年度营收增-90.08%, 利润增-48.41%; 当季营收增781.76%, 利润增95.28%; 过往5年营收增.12%, 利润增-1.48%
Income profile:
</v>
      </c>
      <c r="D118" t="s">
        <v>1023</v>
      </c>
      <c r="E118" t="s">
        <v>1819</v>
      </c>
      <c r="F118">
        <v>46.11</v>
      </c>
      <c r="G118">
        <v>1.81</v>
      </c>
      <c r="H118" t="s">
        <v>4290</v>
      </c>
      <c r="I118">
        <v>21070042000</v>
      </c>
      <c r="J118">
        <v>41.14</v>
      </c>
      <c r="K118">
        <v>6.07</v>
      </c>
      <c r="L118" t="s">
        <v>2891</v>
      </c>
      <c r="M118" t="s">
        <v>2867</v>
      </c>
      <c r="N118" t="s">
        <v>4291</v>
      </c>
      <c r="O118" t="s">
        <v>2500</v>
      </c>
      <c r="P118">
        <v>0.6</v>
      </c>
      <c r="Q118" t="s">
        <v>553</v>
      </c>
      <c r="R118">
        <v>94639573</v>
      </c>
      <c r="S118" s="6">
        <v>8.5699999999999998E-2</v>
      </c>
      <c r="T118" t="s">
        <v>122</v>
      </c>
      <c r="U118">
        <v>456951670</v>
      </c>
      <c r="V118">
        <v>456951670</v>
      </c>
      <c r="W118">
        <v>2.4500000000000002</v>
      </c>
      <c r="X118">
        <v>0.15</v>
      </c>
      <c r="Y118">
        <v>7.16</v>
      </c>
      <c r="Z118" t="s">
        <v>489</v>
      </c>
      <c r="AA118" t="s">
        <v>484</v>
      </c>
      <c r="AB118" t="s">
        <v>4292</v>
      </c>
      <c r="AC118" t="s">
        <v>4293</v>
      </c>
      <c r="AD118" t="s">
        <v>2</v>
      </c>
      <c r="AE118">
        <v>17418291</v>
      </c>
      <c r="AF118" t="s">
        <v>2869</v>
      </c>
      <c r="AG118" t="s">
        <v>4294</v>
      </c>
      <c r="AH118" t="s">
        <v>2870</v>
      </c>
      <c r="AI118" t="s">
        <v>370</v>
      </c>
      <c r="AJ118" t="s">
        <v>2871</v>
      </c>
      <c r="AK118" t="s">
        <v>217</v>
      </c>
      <c r="AL118" t="s">
        <v>2872</v>
      </c>
      <c r="AM118" t="s">
        <v>2</v>
      </c>
      <c r="AN118" t="s">
        <v>4295</v>
      </c>
      <c r="AO118" t="s">
        <v>159</v>
      </c>
      <c r="AP118" t="s">
        <v>583</v>
      </c>
      <c r="AQ118" t="s">
        <v>1272</v>
      </c>
      <c r="AR118" t="s">
        <v>2</v>
      </c>
      <c r="AS118" t="s">
        <v>4296</v>
      </c>
      <c r="AT118" t="s">
        <v>605</v>
      </c>
      <c r="AU118" t="s">
        <v>1141</v>
      </c>
      <c r="AV118" t="s">
        <v>1351</v>
      </c>
      <c r="AW118" t="s">
        <v>376</v>
      </c>
      <c r="AX118" t="s">
        <v>1705</v>
      </c>
      <c r="AY118" t="s">
        <v>1392</v>
      </c>
      <c r="AZ118" t="s">
        <v>1024</v>
      </c>
      <c r="BA118" t="s">
        <v>1025</v>
      </c>
      <c r="BB118" t="s">
        <v>994</v>
      </c>
      <c r="BC118" t="s">
        <v>567</v>
      </c>
      <c r="BD118" t="s">
        <v>166</v>
      </c>
      <c r="BE118" t="s">
        <v>159</v>
      </c>
      <c r="BF118" t="s">
        <v>170</v>
      </c>
      <c r="BG118" t="s">
        <v>93</v>
      </c>
      <c r="BH118" t="s">
        <v>2868</v>
      </c>
      <c r="BI118" t="s">
        <v>381</v>
      </c>
      <c r="BJ118" t="s">
        <v>1705</v>
      </c>
      <c r="BK118" t="s">
        <v>409</v>
      </c>
      <c r="BL118" t="s">
        <v>4297</v>
      </c>
      <c r="BM118" t="s">
        <v>567</v>
      </c>
      <c r="BN118">
        <v>7.62</v>
      </c>
      <c r="BO118">
        <v>8.61</v>
      </c>
      <c r="BP118">
        <v>9.58</v>
      </c>
      <c r="BQ118">
        <v>11.13</v>
      </c>
      <c r="BR118">
        <v>10.86</v>
      </c>
      <c r="BS118">
        <v>10.29</v>
      </c>
      <c r="BT118" t="s">
        <v>1541</v>
      </c>
      <c r="BU118" t="s">
        <v>1445</v>
      </c>
      <c r="BV118">
        <v>22.81</v>
      </c>
      <c r="BW118">
        <v>20.29</v>
      </c>
      <c r="BX118">
        <v>23.51</v>
      </c>
      <c r="BY118">
        <v>7.53</v>
      </c>
      <c r="BZ118">
        <v>5.97</v>
      </c>
      <c r="CA118">
        <v>7.13</v>
      </c>
      <c r="CB118">
        <v>-11.58</v>
      </c>
      <c r="CC118">
        <v>-18.3</v>
      </c>
      <c r="CD118" t="s">
        <v>4298</v>
      </c>
      <c r="CE118" t="s">
        <v>93</v>
      </c>
      <c r="CF118" s="10">
        <v>7.8175675675675675</v>
      </c>
      <c r="CG118" s="11">
        <v>0.95277685957234326</v>
      </c>
      <c r="CH118" s="10">
        <v>-0.90075850486755371</v>
      </c>
      <c r="CI118" s="10">
        <v>0.43687549233436584</v>
      </c>
      <c r="CJ118" s="10">
        <v>0.36318612098693848</v>
      </c>
      <c r="CK118" s="10">
        <v>7.976830005645752E-2</v>
      </c>
      <c r="CL118" s="10">
        <v>2.7002317830920219E-2</v>
      </c>
      <c r="CM118" s="11">
        <v>-0.48409894108772278</v>
      </c>
      <c r="CN118" s="11">
        <v>0.20425531268119812</v>
      </c>
      <c r="CO118" s="11">
        <v>1.2931034900248051E-2</v>
      </c>
      <c r="CP118" s="11">
        <v>0.10476190596818924</v>
      </c>
      <c r="CQ118" s="11">
        <v>8.8082902133464813E-2</v>
      </c>
      <c r="CR118">
        <v>97.321210161662819</v>
      </c>
      <c r="CS118">
        <v>801.16558349567435</v>
      </c>
      <c r="CT118">
        <v>0.97592713077423554</v>
      </c>
      <c r="CU118" s="10">
        <v>1.2147452682256699E-3</v>
      </c>
      <c r="CV118" s="11">
        <v>-1.4813557080924512E-2</v>
      </c>
      <c r="CW118">
        <v>0.06</v>
      </c>
      <c r="CX118">
        <v>165.91383038426505</v>
      </c>
      <c r="CY118">
        <v>137903163.02751032</v>
      </c>
      <c r="CZ118">
        <v>1.2147452682256699E-3</v>
      </c>
      <c r="DA118">
        <v>58.495241044232586</v>
      </c>
      <c r="DB118">
        <v>391143648.46703863</v>
      </c>
      <c r="DC118">
        <v>1.1540080048143863E-3</v>
      </c>
      <c r="DD118">
        <v>31.756239920004379</v>
      </c>
      <c r="DE118">
        <v>720489644.16555667</v>
      </c>
      <c r="DF118">
        <v>1.0689758360385895E-3</v>
      </c>
      <c r="DG118">
        <v>21.188531639666902</v>
      </c>
      <c r="DH118">
        <v>1079831410.1750417</v>
      </c>
      <c r="DI118">
        <v>9.7179621458053599E-4</v>
      </c>
      <c r="DJ118">
        <v>13.563201050100007</v>
      </c>
      <c r="DK118">
        <v>1686920507.59148</v>
      </c>
      <c r="DL118">
        <v>8.5032168775796887E-4</v>
      </c>
      <c r="DM118">
        <v>146000000</v>
      </c>
      <c r="DN118">
        <v>1.2147452682256699E-3</v>
      </c>
      <c r="DO118">
        <v>22880042000</v>
      </c>
      <c r="DP118">
        <v>2531293800</v>
      </c>
      <c r="DQ118">
        <v>5057</v>
      </c>
      <c r="DR118">
        <v>7.8163528222993417</v>
      </c>
      <c r="DS118">
        <v>0.96759041665326773</v>
      </c>
      <c r="DT118" s="12">
        <v>-0.49</v>
      </c>
      <c r="DU118">
        <v>0.20333333333333334</v>
      </c>
      <c r="DV118">
        <v>-0.28666666666666663</v>
      </c>
      <c r="DW118">
        <v>-9.6327868852459009</v>
      </c>
      <c r="DX118">
        <v>0.38003160621761711</v>
      </c>
      <c r="DY118">
        <v>-9.1392331147540986</v>
      </c>
      <c r="DZ118">
        <v>1896</v>
      </c>
      <c r="EA118">
        <v>-9.0875724522152002</v>
      </c>
      <c r="EB118">
        <v>9</v>
      </c>
      <c r="EC118">
        <v>9.2933460556124017E-2</v>
      </c>
      <c r="ED118">
        <v>0.42236414192336796</v>
      </c>
      <c r="EE118" s="13">
        <v>-5.0334099999999999</v>
      </c>
      <c r="EF118">
        <v>-5.0617099999999997</v>
      </c>
      <c r="EG118">
        <v>16.220031606217617</v>
      </c>
      <c r="EH118" t="s">
        <v>1974</v>
      </c>
      <c r="EI118">
        <v>0</v>
      </c>
      <c r="EJ118">
        <v>0</v>
      </c>
      <c r="EK118" s="14">
        <v>45470</v>
      </c>
      <c r="EL118">
        <v>0.1</v>
      </c>
      <c r="EM118">
        <v>-0.56999999999999995</v>
      </c>
      <c r="EN118">
        <v>-1.32</v>
      </c>
      <c r="EO118">
        <v>2.5499999999999998</v>
      </c>
      <c r="EP118">
        <v>-2.83</v>
      </c>
    </row>
    <row r="119" spans="1:146" ht="96" x14ac:dyDescent="0.25">
      <c r="A119" s="9"/>
      <c r="B119" s="9"/>
      <c r="C119" s="9" t="str">
        <f>""&amp;CHAR(10)&amp;Basic_Fundamental_Information_Constructure(F119)&amp;CHAR(10)&amp;Basic_Fundamental_Information_Concatenate("")</f>
        <v xml:space="preserve">
市值9.52497亿, 利润2711.25万; PE73.93; 平均PE30.31; 平均PEG2.77, PB1.69; ROIC5.91%; ROE3.81%; 股利率1.0989%; 毛利45.2033%; 净利5.2133%; 上一年度营收增27.1%, 利润增464.71%; 当季营收增-17.39%, 利润增-215.11%; 过往5年营收增10.96%, 利润增103.2%
Income profile:
</v>
      </c>
      <c r="D119" t="s">
        <v>831</v>
      </c>
      <c r="E119" t="s">
        <v>832</v>
      </c>
      <c r="F119">
        <v>9.1</v>
      </c>
      <c r="G119">
        <v>0.11</v>
      </c>
      <c r="H119" t="s">
        <v>4299</v>
      </c>
      <c r="I119">
        <v>952497000</v>
      </c>
      <c r="J119">
        <v>73.930000000000007</v>
      </c>
      <c r="K119">
        <v>1.69</v>
      </c>
      <c r="L119" t="s">
        <v>2891</v>
      </c>
      <c r="M119" t="s">
        <v>55</v>
      </c>
      <c r="N119" t="s">
        <v>606</v>
      </c>
      <c r="O119" t="s">
        <v>2873</v>
      </c>
      <c r="P119">
        <v>12.82</v>
      </c>
      <c r="Q119" t="s">
        <v>565</v>
      </c>
      <c r="R119">
        <v>-4823124</v>
      </c>
      <c r="S119" s="6">
        <v>3.32E-2</v>
      </c>
      <c r="T119" t="s">
        <v>4300</v>
      </c>
      <c r="U119">
        <v>104670000</v>
      </c>
      <c r="V119">
        <v>104670000</v>
      </c>
      <c r="W119">
        <v>1.29</v>
      </c>
      <c r="X119">
        <v>0.09</v>
      </c>
      <c r="Y119">
        <v>-7.63</v>
      </c>
      <c r="Z119" t="s">
        <v>4301</v>
      </c>
      <c r="AA119" t="s">
        <v>4302</v>
      </c>
      <c r="AB119" t="s">
        <v>4303</v>
      </c>
      <c r="AC119" t="s">
        <v>4304</v>
      </c>
      <c r="AD119" t="s">
        <v>2</v>
      </c>
      <c r="AE119">
        <v>155692</v>
      </c>
      <c r="AF119" t="s">
        <v>2875</v>
      </c>
      <c r="AG119" t="s">
        <v>4305</v>
      </c>
      <c r="AH119" t="s">
        <v>2876</v>
      </c>
      <c r="AI119" t="s">
        <v>4306</v>
      </c>
      <c r="AJ119" t="s">
        <v>2877</v>
      </c>
      <c r="AK119" t="s">
        <v>4307</v>
      </c>
      <c r="AL119" t="s">
        <v>2878</v>
      </c>
      <c r="AM119" t="s">
        <v>2</v>
      </c>
      <c r="AN119" t="s">
        <v>4308</v>
      </c>
      <c r="AO119" t="s">
        <v>4309</v>
      </c>
      <c r="AP119" t="s">
        <v>4310</v>
      </c>
      <c r="AQ119" t="s">
        <v>4311</v>
      </c>
      <c r="AR119" t="s">
        <v>4312</v>
      </c>
      <c r="AS119" t="s">
        <v>113</v>
      </c>
      <c r="AT119" t="s">
        <v>2</v>
      </c>
      <c r="AU119" t="s">
        <v>4313</v>
      </c>
      <c r="AV119" t="s">
        <v>2846</v>
      </c>
      <c r="AW119" t="s">
        <v>4314</v>
      </c>
      <c r="AX119" t="s">
        <v>234</v>
      </c>
      <c r="AY119" t="s">
        <v>493</v>
      </c>
      <c r="AZ119" t="s">
        <v>19</v>
      </c>
      <c r="BA119" t="s">
        <v>304</v>
      </c>
      <c r="BB119" t="s">
        <v>395</v>
      </c>
      <c r="BC119" t="s">
        <v>2879</v>
      </c>
      <c r="BD119" t="s">
        <v>1393</v>
      </c>
      <c r="BE119" t="s">
        <v>833</v>
      </c>
      <c r="BF119" t="s">
        <v>834</v>
      </c>
      <c r="BG119" t="s">
        <v>835</v>
      </c>
      <c r="BH119" t="s">
        <v>316</v>
      </c>
      <c r="BI119" t="s">
        <v>4315</v>
      </c>
      <c r="BJ119" t="s">
        <v>234</v>
      </c>
      <c r="BK119" t="s">
        <v>2874</v>
      </c>
      <c r="BL119" t="s">
        <v>4316</v>
      </c>
      <c r="BM119" t="s">
        <v>2879</v>
      </c>
      <c r="BN119">
        <v>0.38</v>
      </c>
      <c r="BO119" t="s">
        <v>2</v>
      </c>
      <c r="BP119">
        <v>11.44</v>
      </c>
      <c r="BQ119">
        <v>0.85</v>
      </c>
      <c r="BR119">
        <v>-1.3</v>
      </c>
      <c r="BS119">
        <v>11.88</v>
      </c>
      <c r="BT119" t="s">
        <v>2738</v>
      </c>
      <c r="BU119" t="s">
        <v>1444</v>
      </c>
      <c r="BV119">
        <v>47.89</v>
      </c>
      <c r="BW119">
        <v>40.68</v>
      </c>
      <c r="BX119">
        <v>47.04</v>
      </c>
      <c r="BY119">
        <v>3.37</v>
      </c>
      <c r="BZ119">
        <v>-2.52</v>
      </c>
      <c r="CA119">
        <v>14.79</v>
      </c>
      <c r="CB119">
        <v>-10.87</v>
      </c>
      <c r="CC119">
        <v>-7.8</v>
      </c>
      <c r="CD119" t="s">
        <v>1340</v>
      </c>
      <c r="CE119" t="s">
        <v>4317</v>
      </c>
      <c r="CF119" s="10">
        <v>-0.1738996889069741</v>
      </c>
      <c r="CG119" s="11">
        <v>-2.1510761079687835</v>
      </c>
      <c r="CH119" s="10">
        <v>0.2709677517414093</v>
      </c>
      <c r="CI119" s="10">
        <v>-0.15989160537719727</v>
      </c>
      <c r="CJ119" s="10">
        <v>0.10810811072587967</v>
      </c>
      <c r="CK119" s="10">
        <v>0.11744966357946396</v>
      </c>
      <c r="CL119" s="10">
        <v>0.21138212084770203</v>
      </c>
      <c r="CM119" s="11">
        <v>4.6471433639526367</v>
      </c>
      <c r="CN119" s="11">
        <v>-1.1361081600189209</v>
      </c>
      <c r="CO119" s="11">
        <v>-1.2757712043821812E-2</v>
      </c>
      <c r="CP119" s="11">
        <v>0.34317588806152344</v>
      </c>
      <c r="CQ119" s="11">
        <v>1.3184151649475098</v>
      </c>
      <c r="CR119">
        <v>30.306325530733577</v>
      </c>
      <c r="CS119">
        <v>2.7650947449299434</v>
      </c>
      <c r="CT119">
        <v>1.098901098901099</v>
      </c>
      <c r="CU119" s="10">
        <v>0.10960320830345154</v>
      </c>
      <c r="CV119" s="11">
        <v>1.0319737089797854</v>
      </c>
      <c r="CW119">
        <v>0.06</v>
      </c>
      <c r="CX119">
        <v>19.678384454251063</v>
      </c>
      <c r="CY119">
        <v>28381242.438799366</v>
      </c>
      <c r="CZ119">
        <v>0.10960320830345154</v>
      </c>
      <c r="DA119">
        <v>6.325080585072647</v>
      </c>
      <c r="DB119">
        <v>88298795.958120644</v>
      </c>
      <c r="DC119">
        <v>0.10412304788827895</v>
      </c>
      <c r="DD119">
        <v>3.0449824339011249</v>
      </c>
      <c r="DE119">
        <v>183415508.0114775</v>
      </c>
      <c r="DF119">
        <v>9.6450823307037345E-2</v>
      </c>
      <c r="DG119">
        <v>1.7827137670521416</v>
      </c>
      <c r="DH119">
        <v>313284729.33909017</v>
      </c>
      <c r="DI119">
        <v>8.7682566642761237E-2</v>
      </c>
      <c r="DJ119">
        <v>0.87031537880880894</v>
      </c>
      <c r="DK119">
        <v>641717949.14667451</v>
      </c>
      <c r="DL119">
        <v>7.6722245812416073E-2</v>
      </c>
      <c r="DM119">
        <v>27112500</v>
      </c>
      <c r="DN119">
        <v>0.10960320830345154</v>
      </c>
      <c r="DO119">
        <v>558497000</v>
      </c>
      <c r="DP119">
        <v>348514630</v>
      </c>
      <c r="DQ119">
        <v>5062</v>
      </c>
      <c r="DR119">
        <v>-0.28350289721042565</v>
      </c>
      <c r="DS119">
        <v>-3.1830498169485688</v>
      </c>
      <c r="DT119" s="12">
        <v>-0.32333333333333336</v>
      </c>
      <c r="DU119">
        <v>-0.99833333333333341</v>
      </c>
      <c r="DV119">
        <v>-1.3216666666666668</v>
      </c>
      <c r="DW119">
        <v>-5.7175712971481145</v>
      </c>
      <c r="DX119">
        <v>0.29680759149255398</v>
      </c>
      <c r="DY119">
        <v>-5.0909934879155401</v>
      </c>
      <c r="DZ119">
        <v>2234</v>
      </c>
      <c r="EA119">
        <v>-5.0512127732377872</v>
      </c>
      <c r="EB119">
        <v>5</v>
      </c>
      <c r="EC119">
        <v>8.5361612687494023E-2</v>
      </c>
      <c r="ED119">
        <v>0.67315849813700201</v>
      </c>
      <c r="EE119" s="13">
        <v>1.5009999999999996E-2</v>
      </c>
      <c r="EF119">
        <v>3.7010000000000008E-2</v>
      </c>
      <c r="EG119">
        <v>17.126807591492554</v>
      </c>
      <c r="EH119">
        <v>-1</v>
      </c>
      <c r="EI119">
        <v>0</v>
      </c>
      <c r="EJ119">
        <v>0</v>
      </c>
      <c r="EK119" s="14">
        <v>45470</v>
      </c>
      <c r="EL119">
        <v>-3.06</v>
      </c>
      <c r="EM119">
        <v>-5.17</v>
      </c>
      <c r="EN119">
        <v>-4.7699999999999996</v>
      </c>
      <c r="EO119">
        <v>2.95</v>
      </c>
      <c r="EP119">
        <v>-2.2000000000000002</v>
      </c>
    </row>
    <row r="120" spans="1:146" x14ac:dyDescent="0.25">
      <c r="A120" s="9"/>
      <c r="B120" s="9"/>
      <c r="C120" s="9"/>
      <c r="D120"/>
      <c r="S120" s="6"/>
    </row>
    <row r="121" spans="1:146" x14ac:dyDescent="0.25">
      <c r="A121" s="9"/>
      <c r="B121" s="9"/>
      <c r="C121" s="9"/>
      <c r="D121"/>
      <c r="S121" s="6"/>
    </row>
    <row r="122" spans="1:146" x14ac:dyDescent="0.25">
      <c r="A122" s="9"/>
      <c r="B122" s="9"/>
      <c r="C122" s="9"/>
      <c r="D122"/>
      <c r="S122" s="6"/>
    </row>
    <row r="123" spans="1:146" x14ac:dyDescent="0.25">
      <c r="A123" s="9"/>
      <c r="B123" s="9"/>
      <c r="C123" s="9"/>
      <c r="D123"/>
      <c r="S123" s="6"/>
    </row>
    <row r="124" spans="1:146" x14ac:dyDescent="0.25">
      <c r="A124" s="9"/>
      <c r="B124" s="9"/>
      <c r="C124" s="9"/>
      <c r="D124"/>
      <c r="S124" s="6"/>
    </row>
    <row r="125" spans="1:146" x14ac:dyDescent="0.25">
      <c r="A125" s="9"/>
      <c r="B125" s="9"/>
      <c r="C125" s="9"/>
      <c r="D125"/>
      <c r="S125" s="6"/>
    </row>
  </sheetData>
  <autoFilter ref="BU1:BU125"/>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电网设备&quot;,&quot;&quot;'" altText="更新基本面按钮_x000a_">
                <anchor moveWithCells="1" sizeWithCells="1">
                  <from>
                    <xdr:col>147</xdr:col>
                    <xdr:colOff>412750</xdr:colOff>
                    <xdr:row>0</xdr:row>
                    <xdr:rowOff>50800</xdr:rowOff>
                  </from>
                  <to>
                    <xdr:col>147</xdr:col>
                    <xdr:colOff>1593850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
  <sheetViews>
    <sheetView workbookViewId="0">
      <selection activeCell="B2" sqref="B2"/>
    </sheetView>
  </sheetViews>
  <sheetFormatPr defaultRowHeight="14" x14ac:dyDescent="0.25"/>
  <sheetData>
    <row r="1" spans="1:33" x14ac:dyDescent="0.25">
      <c r="A1" t="s">
        <v>1408</v>
      </c>
      <c r="B1" t="s">
        <v>1409</v>
      </c>
      <c r="C1" t="s">
        <v>1410</v>
      </c>
      <c r="D1" t="s">
        <v>1411</v>
      </c>
      <c r="E1" t="s">
        <v>1412</v>
      </c>
      <c r="F1" t="s">
        <v>1413</v>
      </c>
      <c r="G1" t="s">
        <v>1414</v>
      </c>
      <c r="H1" t="s">
        <v>1415</v>
      </c>
      <c r="I1" t="s">
        <v>1416</v>
      </c>
      <c r="J1" t="s">
        <v>1417</v>
      </c>
      <c r="K1" t="s">
        <v>1418</v>
      </c>
      <c r="L1" t="s">
        <v>1419</v>
      </c>
      <c r="M1" t="s">
        <v>1420</v>
      </c>
      <c r="N1" t="s">
        <v>1421</v>
      </c>
      <c r="O1" t="s">
        <v>1422</v>
      </c>
      <c r="P1" t="s">
        <v>1423</v>
      </c>
      <c r="S1" t="s">
        <v>1409</v>
      </c>
      <c r="T1" t="s">
        <v>1410</v>
      </c>
      <c r="U1" t="s">
        <v>1411</v>
      </c>
      <c r="V1" t="s">
        <v>1412</v>
      </c>
      <c r="W1" t="s">
        <v>1413</v>
      </c>
      <c r="X1" t="s">
        <v>1414</v>
      </c>
      <c r="Y1" t="s">
        <v>1415</v>
      </c>
      <c r="Z1" t="s">
        <v>1416</v>
      </c>
      <c r="AA1" t="s">
        <v>1417</v>
      </c>
      <c r="AB1" t="s">
        <v>1418</v>
      </c>
      <c r="AC1" t="s">
        <v>1419</v>
      </c>
      <c r="AD1" t="s">
        <v>1420</v>
      </c>
      <c r="AE1" t="s">
        <v>1424</v>
      </c>
      <c r="AF1" t="s">
        <v>1425</v>
      </c>
      <c r="AG1" t="s">
        <v>1426</v>
      </c>
    </row>
    <row r="2" spans="1:33" x14ac:dyDescent="0.25">
      <c r="A2" t="s">
        <v>1427</v>
      </c>
      <c r="B2" t="e">
        <f>COUNTIFS(电力设备!#REF!,$A$2,电力设备!CF:CF,"&lt;-18%")</f>
        <v>#REF!</v>
      </c>
      <c r="C2" t="e">
        <f>COUNTIFS(电力设备!#REF!,$A$2,电力设备!CF:CF,"&lt;0%") - COUNTIFS(电力设备!#REF!,$A$2,电力设备!CF:CF,"&lt;-18%")</f>
        <v>#REF!</v>
      </c>
      <c r="D2" t="e">
        <f>COUNTIFS(电力设备!#REF!,$A$2,电力设备!CF:CF,"&lt;10%") - COUNTIFS(电力设备!#REF!,$A$2,电力设备!CF:CF,"&lt;=0%")</f>
        <v>#REF!</v>
      </c>
      <c r="E2" t="e">
        <f>COUNTIFS(电力设备!#REF!,$A$2,电力设备!CF:CF,"&lt;30%") - COUNTIFS(电力设备!#REF!,$A$2,电力设备!CF:CF,"&lt;10%")</f>
        <v>#REF!</v>
      </c>
      <c r="F2" t="e">
        <f>COUNTIFS(电力设备!#REF!,$A$2,电力设备!CF:CF,"&lt;80%") - COUNTIFS(电力设备!#REF!,$A$2,电力设备!CF:CF,"&lt;=30%")</f>
        <v>#REF!</v>
      </c>
      <c r="G2" t="e">
        <f>COUNTIFS(电力设备!#REF!,$A$2,电力设备!CF:CF,"&gt;=80%")</f>
        <v>#REF!</v>
      </c>
      <c r="H2" t="e">
        <f>COUNTIFS(电力设备!#REF!,$A$2,电力设备!CG:CG,"&lt;-18%")</f>
        <v>#REF!</v>
      </c>
      <c r="I2" t="e">
        <f>COUNTIFS(电力设备!#REF!,$A$2,电力设备!CG:CG,"&lt;0%") - COUNTIFS(电力设备!#REF!,$A$2,电力设备!CG:CG,"&lt;-18%")</f>
        <v>#REF!</v>
      </c>
      <c r="J2" t="e">
        <f>COUNTIFS(电力设备!#REF!,$A$2,电力设备!CG:CG,"&lt;10%") - COUNTIFS(电力设备!#REF!,$A$2,电力设备!CG:CG,"&lt;=0%")</f>
        <v>#REF!</v>
      </c>
      <c r="K2" t="e">
        <f>COUNTIFS(电力设备!#REF!,$A$2,电力设备!CG:CG,"&lt;30%") - COUNTIFS(电力设备!#REF!,$A$2,电力设备!CG:CG,"&lt;10%")</f>
        <v>#REF!</v>
      </c>
      <c r="L2" t="e">
        <f>COUNTIFS(电力设备!#REF!,$A$2,电力设备!CG:CG,"&lt;80%") - COUNTIFS(电力设备!#REF!,$A$2,电力设备!CG:CG,"&lt;=30%")</f>
        <v>#REF!</v>
      </c>
      <c r="M2" t="e">
        <f>COUNTIFS(电力设备!#REF!,$A$2,电力设备!CG:CG,"&gt;=80%")</f>
        <v>#REF!</v>
      </c>
      <c r="N2" t="e">
        <f>SUM(H2:M2)</f>
        <v>#REF!</v>
      </c>
      <c r="O2" t="e">
        <f>SUM(E2:G2)/N2</f>
        <v>#REF!</v>
      </c>
      <c r="P2" t="e">
        <f>SUM(K2:M2)/N2</f>
        <v>#REF!</v>
      </c>
      <c r="S2" t="e">
        <f>COUNTIFS(电力设备!#REF!,$A$2,电力设备!CH:CH,"&lt;-18%")</f>
        <v>#REF!</v>
      </c>
      <c r="T2" t="e">
        <f>COUNTIFS(电力设备!#REF!,$A$2,电力设备!CH:CH,"&lt;0%") - COUNTIFS(电力设备!#REF!,$A$2,电力设备!CH:CH,"&lt;-18%")</f>
        <v>#REF!</v>
      </c>
      <c r="U2" t="e">
        <f>COUNTIFS(电力设备!#REF!,$A$2,电力设备!CH:CH,"&lt;10%") - COUNTIFS(电力设备!#REF!,$A$2,电力设备!CH:CH,"&lt;=0%")</f>
        <v>#REF!</v>
      </c>
      <c r="V2" t="e">
        <f>COUNTIFS(电力设备!#REF!,$A$2,电力设备!CH:CH,"&lt;30%") - COUNTIFS(电力设备!#REF!,$A$2,电力设备!CH:CH,"&lt;10%")</f>
        <v>#REF!</v>
      </c>
      <c r="W2" t="e">
        <f>COUNTIFS(电力设备!#REF!,$A$2,电力设备!CH:CH,"&lt;80%") - COUNTIFS(电力设备!#REF!,$A$2,电力设备!CH:CH,"&lt;=30%")</f>
        <v>#REF!</v>
      </c>
      <c r="X2" t="e">
        <f>COUNTIFS(电力设备!#REF!,$A$2,电力设备!CH:CH,"&gt;=80%")</f>
        <v>#REF!</v>
      </c>
      <c r="Y2" t="e">
        <f>COUNTIFS(电力设备!#REF!,$A$2,电力设备!CM:CM,"&lt;-18%")</f>
        <v>#REF!</v>
      </c>
      <c r="Z2" t="e">
        <f>COUNTIFS(电力设备!#REF!,$A$2,电力设备!CM:CM,"&lt;0%") - COUNTIFS(电力设备!#REF!,$A$2,电力设备!CM:CM,"&lt;-18%")</f>
        <v>#REF!</v>
      </c>
      <c r="AA2" t="e">
        <f>COUNTIFS(电力设备!#REF!,$A$2,电力设备!CM:CM,"&lt;10%") - COUNTIFS(电力设备!#REF!,$A$2,电力设备!CM:CM,"&lt;=0%")</f>
        <v>#REF!</v>
      </c>
      <c r="AB2" t="e">
        <f>COUNTIFS(电力设备!#REF!,$A$2,电力设备!CM:CM,"&lt;30%") - COUNTIFS(电力设备!#REF!,$A$2,电力设备!CM:CM,"&lt;10%")</f>
        <v>#REF!</v>
      </c>
      <c r="AC2" t="e">
        <f>COUNTIFS(电力设备!#REF!,$A$2,电力设备!CM:CM,"&lt;80%") - COUNTIFS(电力设备!#REF!,$A$2,电力设备!CM:CM,"&lt;=30%")</f>
        <v>#REF!</v>
      </c>
      <c r="AD2" t="e">
        <f>COUNTIFS(电力设备!#REF!,$A$2,电力设备!CM:CM,"&gt;=80%")</f>
        <v>#REF!</v>
      </c>
      <c r="AE2" t="e">
        <f>SUM(Y2:AD2)</f>
        <v>#REF!</v>
      </c>
      <c r="AF2" t="e">
        <f>SUM(V2:X2)/AE2</f>
        <v>#REF!</v>
      </c>
      <c r="AG2" t="e">
        <f>SUM(AB2:AD2)/AE2</f>
        <v>#REF!</v>
      </c>
    </row>
    <row r="3" spans="1:33" x14ac:dyDescent="0.25">
      <c r="A3" t="s">
        <v>1428</v>
      </c>
      <c r="B3" t="e">
        <f>COUNTIFS(电力设备!#REF!,$A$3,电力设备!CF:CF,"&lt;-18%")</f>
        <v>#REF!</v>
      </c>
      <c r="C3" t="e">
        <f>COUNTIFS(电力设备!#REF!,$A$3,电力设备!CF:CF,"&lt;0%") - COUNTIFS(电力设备!#REF!,$A$3,电力设备!CF:CF,"&lt;-18%")</f>
        <v>#REF!</v>
      </c>
      <c r="D3" t="e">
        <f>COUNTIFS(电力设备!#REF!,$A$3,电力设备!CF:CF,"&lt;10%") - COUNTIFS(电力设备!#REF!,$A$3,电力设备!CF:CF,"&lt;=0%")</f>
        <v>#REF!</v>
      </c>
      <c r="E3" t="e">
        <f>COUNTIFS(电力设备!#REF!,$A$3,电力设备!CF:CF,"&lt;30%") - COUNTIFS(电力设备!#REF!,$A$3,电力设备!CF:CF,"&lt;10%")</f>
        <v>#REF!</v>
      </c>
      <c r="F3" t="e">
        <f>COUNTIFS(电力设备!#REF!,$A$3,电力设备!CF:CF,"&lt;80%") - COUNTIFS(电力设备!#REF!,$A$3,电力设备!CF:CF,"&lt;=30%")</f>
        <v>#REF!</v>
      </c>
      <c r="G3" t="e">
        <f>COUNTIFS(电力设备!#REF!,$A$3,电力设备!CF:CF,"&gt;=80%")</f>
        <v>#REF!</v>
      </c>
      <c r="H3" t="e">
        <f>COUNTIFS(电力设备!#REF!,$A$3,电力设备!CG:CG,"&lt;-18%")</f>
        <v>#REF!</v>
      </c>
      <c r="I3" t="e">
        <f>COUNTIFS(电力设备!#REF!,$A$3,电力设备!CG:CG,"&lt;0%") - COUNTIFS(电力设备!#REF!,$A$3,电力设备!CG:CG,"&lt;-18%")</f>
        <v>#REF!</v>
      </c>
      <c r="J3" t="e">
        <f>COUNTIFS(电力设备!#REF!,$A$3,电力设备!CG:CG,"&lt;10%") - COUNTIFS(电力设备!#REF!,$A$3,电力设备!CG:CG,"&lt;=0%")</f>
        <v>#REF!</v>
      </c>
      <c r="K3" t="e">
        <f>COUNTIFS(电力设备!#REF!,$A$3,电力设备!CG:CG,"&lt;30%") - COUNTIFS(电力设备!#REF!,$A$3,电力设备!CG:CG,"&lt;10%")</f>
        <v>#REF!</v>
      </c>
      <c r="L3" t="e">
        <f>COUNTIFS(电力设备!#REF!,$A$3,电力设备!CG:CG,"&lt;80%") - COUNTIFS(电力设备!#REF!,$A$3,电力设备!CG:CG,"&lt;=30%")</f>
        <v>#REF!</v>
      </c>
      <c r="M3" t="e">
        <f>COUNTIFS(电力设备!#REF!,$A$3,电力设备!CG:CG,"&gt;=80%")</f>
        <v>#REF!</v>
      </c>
      <c r="N3" t="e">
        <f>SUM(H3:M3)</f>
        <v>#REF!</v>
      </c>
      <c r="O3" t="e">
        <f>SUM(E3:G3)/N3</f>
        <v>#REF!</v>
      </c>
      <c r="P3" t="e">
        <f>SUM(K3:M3)/N3</f>
        <v>#REF!</v>
      </c>
      <c r="S3" t="e">
        <f>COUNTIFS(电力设备!#REF!,$A$3,电力设备!CH:CH,"&lt;-18%")</f>
        <v>#REF!</v>
      </c>
      <c r="T3" t="e">
        <f>COUNTIFS(电力设备!#REF!,$A$3,电力设备!CH:CH,"&lt;0%") - COUNTIFS(电力设备!#REF!,$A$3,电力设备!CH:CH,"&lt;-18%")</f>
        <v>#REF!</v>
      </c>
      <c r="U3" t="e">
        <f>COUNTIFS(电力设备!#REF!,$A$3,电力设备!CH:CH,"&lt;10%") - COUNTIFS(电力设备!#REF!,$A$3,电力设备!CH:CH,"&lt;=0%")</f>
        <v>#REF!</v>
      </c>
      <c r="V3" t="e">
        <f>COUNTIFS(电力设备!#REF!,$A$3,电力设备!CH:CH,"&lt;30%") - COUNTIFS(电力设备!#REF!,$A$3,电力设备!CH:CH,"&lt;10%")</f>
        <v>#REF!</v>
      </c>
      <c r="W3" t="e">
        <f>COUNTIFS(电力设备!#REF!,$A$3,电力设备!CH:CH,"&lt;80%") - COUNTIFS(电力设备!#REF!,$A$3,电力设备!CH:CH,"&lt;=30%")</f>
        <v>#REF!</v>
      </c>
      <c r="X3" t="e">
        <f>COUNTIFS(电力设备!#REF!,$A$3,电力设备!CH:CH,"&gt;=80%")</f>
        <v>#REF!</v>
      </c>
      <c r="Y3" t="e">
        <f>COUNTIFS(电力设备!#REF!,$A$3,电力设备!CM:CM,"&lt;-18%")</f>
        <v>#REF!</v>
      </c>
      <c r="Z3" t="e">
        <f>COUNTIFS(电力设备!#REF!,$A$3,电力设备!CM:CM,"&lt;0%") - COUNTIFS(电力设备!#REF!,$A$3,电力设备!CM:CM,"&lt;-18%")</f>
        <v>#REF!</v>
      </c>
      <c r="AA3" t="e">
        <f>COUNTIFS(电力设备!#REF!,$A$3,电力设备!CM:CM,"&lt;10%") - COUNTIFS(电力设备!#REF!,$A$3,电力设备!CM:CM,"&lt;=0%")</f>
        <v>#REF!</v>
      </c>
      <c r="AB3" t="e">
        <f>COUNTIFS(电力设备!#REF!,$A$3,电力设备!CM:CM,"&lt;30%") - COUNTIFS(电力设备!#REF!,$A$3,电力设备!CM:CM,"&lt;10%")</f>
        <v>#REF!</v>
      </c>
      <c r="AC3" t="e">
        <f>COUNTIFS(电力设备!#REF!,$A$3,电力设备!CM:CM,"&lt;80%") - COUNTIFS(电力设备!#REF!,$A$3,电力设备!CM:CM,"&lt;=30%")</f>
        <v>#REF!</v>
      </c>
      <c r="AD3" t="e">
        <f>COUNTIFS(电力设备!#REF!,$A$3,电力设备!CM:CM,"&gt;=80%")</f>
        <v>#REF!</v>
      </c>
      <c r="AE3" t="e">
        <f>SUM(Y3:AD3)</f>
        <v>#REF!</v>
      </c>
      <c r="AF3" t="e">
        <f>SUM(V3:X3)/AE3</f>
        <v>#REF!</v>
      </c>
      <c r="AG3" t="e">
        <f>SUM(AB3:AD3)/AE3</f>
        <v>#REF!</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4"/>
  <sheetViews>
    <sheetView workbookViewId="0">
      <selection activeCell="A7" sqref="A7"/>
    </sheetView>
  </sheetViews>
  <sheetFormatPr defaultRowHeight="14" x14ac:dyDescent="0.25"/>
  <sheetData>
    <row r="1" spans="1:30" x14ac:dyDescent="0.25">
      <c r="A1">
        <f>A6</f>
        <v>24.78</v>
      </c>
      <c r="B1">
        <f>A1+A1*$A$2</f>
        <v>25.523400000000002</v>
      </c>
      <c r="C1">
        <f t="shared" ref="C1:AD1" si="0">B1+B1*$A$2</f>
        <v>26.289102000000003</v>
      </c>
      <c r="D1">
        <f t="shared" si="0"/>
        <v>27.077775060000004</v>
      </c>
      <c r="E1">
        <f t="shared" si="0"/>
        <v>27.890108311800002</v>
      </c>
      <c r="F1">
        <f t="shared" si="0"/>
        <v>28.726811561154001</v>
      </c>
      <c r="G1">
        <f t="shared" si="0"/>
        <v>29.588615907988622</v>
      </c>
      <c r="H1">
        <f t="shared" si="0"/>
        <v>30.47627438522828</v>
      </c>
      <c r="I1">
        <f t="shared" si="0"/>
        <v>31.390562616785129</v>
      </c>
      <c r="J1">
        <f t="shared" si="0"/>
        <v>32.332279495288681</v>
      </c>
      <c r="K1">
        <f t="shared" si="0"/>
        <v>33.302247880147341</v>
      </c>
      <c r="L1">
        <f t="shared" si="0"/>
        <v>34.301315316551758</v>
      </c>
      <c r="M1">
        <f t="shared" si="0"/>
        <v>35.33035477604831</v>
      </c>
      <c r="N1">
        <f t="shared" si="0"/>
        <v>36.390265419329758</v>
      </c>
      <c r="O1">
        <f t="shared" si="0"/>
        <v>37.481973381909654</v>
      </c>
      <c r="P1">
        <f t="shared" si="0"/>
        <v>38.606432583366946</v>
      </c>
      <c r="Q1">
        <f t="shared" si="0"/>
        <v>39.764625560867955</v>
      </c>
      <c r="R1">
        <f t="shared" si="0"/>
        <v>40.957564327693994</v>
      </c>
      <c r="S1">
        <f t="shared" si="0"/>
        <v>42.186291257524815</v>
      </c>
      <c r="T1">
        <f t="shared" si="0"/>
        <v>43.451879995250557</v>
      </c>
      <c r="U1">
        <f t="shared" si="0"/>
        <v>44.755436395108077</v>
      </c>
      <c r="V1">
        <f t="shared" si="0"/>
        <v>46.098099486961317</v>
      </c>
      <c r="W1">
        <f t="shared" si="0"/>
        <v>47.481042471570156</v>
      </c>
      <c r="X1">
        <f t="shared" si="0"/>
        <v>48.905473745717259</v>
      </c>
      <c r="Y1">
        <f t="shared" si="0"/>
        <v>50.372637958088774</v>
      </c>
      <c r="Z1">
        <f t="shared" si="0"/>
        <v>51.883817096831436</v>
      </c>
      <c r="AA1">
        <f t="shared" si="0"/>
        <v>53.440331609736376</v>
      </c>
      <c r="AB1">
        <f t="shared" si="0"/>
        <v>55.043541558028465</v>
      </c>
      <c r="AC1">
        <f t="shared" si="0"/>
        <v>56.694847804769317</v>
      </c>
      <c r="AD1">
        <f t="shared" si="0"/>
        <v>58.395693238912393</v>
      </c>
    </row>
    <row r="2" spans="1:30" x14ac:dyDescent="0.25">
      <c r="A2">
        <v>0.03</v>
      </c>
      <c r="B2" t="s">
        <v>1965</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0.43</v>
      </c>
      <c r="B4" t="s">
        <v>1966</v>
      </c>
    </row>
    <row r="5" spans="1:30" x14ac:dyDescent="0.25">
      <c r="A5" s="15">
        <v>1</v>
      </c>
      <c r="B5" s="15">
        <f>A5*$A$4+A5</f>
        <v>1.43</v>
      </c>
      <c r="C5" s="15">
        <f t="shared" ref="C5:AD5" si="1">B5*$A$4+B5</f>
        <v>2.0449000000000002</v>
      </c>
      <c r="D5" s="15">
        <f t="shared" si="1"/>
        <v>2.924207</v>
      </c>
      <c r="E5" s="15">
        <f t="shared" si="1"/>
        <v>4.1816160099999999</v>
      </c>
      <c r="F5" s="15">
        <f t="shared" si="1"/>
        <v>5.9797108943000001</v>
      </c>
      <c r="G5" s="15">
        <f t="shared" si="1"/>
        <v>8.5509865788490007</v>
      </c>
      <c r="H5" s="15">
        <f t="shared" si="1"/>
        <v>12.227910807754071</v>
      </c>
      <c r="I5" s="15">
        <f t="shared" si="1"/>
        <v>17.485912455088322</v>
      </c>
      <c r="J5" s="15">
        <f t="shared" si="1"/>
        <v>25.004854810776301</v>
      </c>
      <c r="K5" s="15">
        <f t="shared" si="1"/>
        <v>35.756942379410113</v>
      </c>
      <c r="L5" s="15">
        <f t="shared" si="1"/>
        <v>51.132427602556461</v>
      </c>
      <c r="M5" s="15">
        <f t="shared" si="1"/>
        <v>73.119371471655739</v>
      </c>
      <c r="N5" s="15">
        <f t="shared" si="1"/>
        <v>104.5607012044677</v>
      </c>
      <c r="O5" s="15">
        <f t="shared" si="1"/>
        <v>149.52180272238883</v>
      </c>
      <c r="P5">
        <f t="shared" si="1"/>
        <v>213.816177893016</v>
      </c>
      <c r="Q5">
        <f t="shared" si="1"/>
        <v>305.75713438701291</v>
      </c>
      <c r="R5">
        <f t="shared" si="1"/>
        <v>437.23270217342849</v>
      </c>
      <c r="S5" s="15">
        <f t="shared" si="1"/>
        <v>625.2427641080028</v>
      </c>
      <c r="T5">
        <f t="shared" si="1"/>
        <v>894.09715267444403</v>
      </c>
      <c r="U5">
        <f t="shared" si="1"/>
        <v>1278.5589283244549</v>
      </c>
      <c r="V5">
        <f t="shared" si="1"/>
        <v>1828.3392675039704</v>
      </c>
      <c r="W5">
        <f t="shared" si="1"/>
        <v>2614.5251525306776</v>
      </c>
      <c r="X5">
        <f t="shared" si="1"/>
        <v>3738.770968118869</v>
      </c>
      <c r="Y5">
        <f t="shared" si="1"/>
        <v>5346.4424844099831</v>
      </c>
      <c r="Z5">
        <f t="shared" si="1"/>
        <v>7645.4127527062756</v>
      </c>
      <c r="AA5">
        <f t="shared" si="1"/>
        <v>10932.940236369974</v>
      </c>
      <c r="AB5">
        <f t="shared" si="1"/>
        <v>15634.104538009062</v>
      </c>
      <c r="AC5">
        <f t="shared" si="1"/>
        <v>22356.769489352959</v>
      </c>
      <c r="AD5">
        <f t="shared" si="1"/>
        <v>31970.180369774731</v>
      </c>
    </row>
    <row r="6" spans="1:30" x14ac:dyDescent="0.25">
      <c r="A6">
        <v>24.78</v>
      </c>
      <c r="B6" t="s">
        <v>1967</v>
      </c>
    </row>
    <row r="7" spans="1:30" x14ac:dyDescent="0.25">
      <c r="A7" s="16">
        <f>SUM($A$5:A5)</f>
        <v>1</v>
      </c>
      <c r="B7" s="16">
        <f>SUM($A$5:B5)</f>
        <v>2.4299999999999997</v>
      </c>
      <c r="C7" s="16">
        <f>SUM($A$5:C5)</f>
        <v>4.4748999999999999</v>
      </c>
      <c r="D7" s="16">
        <f>SUM($A$5:D5)</f>
        <v>7.3991069999999999</v>
      </c>
      <c r="E7" s="16">
        <f>SUM($A$5:E5)</f>
        <v>11.58072301</v>
      </c>
      <c r="F7" s="16">
        <f>SUM($A$5:F5)</f>
        <v>17.560433904299998</v>
      </c>
      <c r="G7" s="16">
        <f>SUM($A$5:G5)</f>
        <v>26.111420483148997</v>
      </c>
      <c r="H7" s="16">
        <f>SUM($A$5:H5)</f>
        <v>38.339331290903068</v>
      </c>
      <c r="I7" s="16">
        <f>SUM($A$5:I5)</f>
        <v>55.825243745991386</v>
      </c>
      <c r="J7" s="16">
        <f>SUM($A$5:J5)</f>
        <v>80.830098556767695</v>
      </c>
      <c r="K7" s="16">
        <f>SUM($A$5:K5)</f>
        <v>116.5870409361778</v>
      </c>
      <c r="L7" s="16">
        <f>SUM($A$5:L5)</f>
        <v>167.71946853873425</v>
      </c>
      <c r="M7" s="16">
        <f>SUM($A$5:M5)</f>
        <v>240.83884001038999</v>
      </c>
      <c r="N7" s="16">
        <f>SUM($A$5:N5)</f>
        <v>345.39954121485766</v>
      </c>
      <c r="O7" s="16">
        <f>SUM($A$5:O5)</f>
        <v>494.92134393724649</v>
      </c>
      <c r="P7" s="16">
        <f>SUM($A$5:P5)</f>
        <v>708.73752183026249</v>
      </c>
      <c r="Q7" s="16">
        <f>SUM($A$5:Q5)</f>
        <v>1014.4946562172754</v>
      </c>
      <c r="R7" s="16">
        <f>SUM($A$5:R5)</f>
        <v>1451.727358390704</v>
      </c>
      <c r="S7" s="16">
        <f>SUM($A$5:S5)</f>
        <v>2076.9701224987066</v>
      </c>
      <c r="T7" s="16">
        <f>SUM($A$5:T5)</f>
        <v>2971.0672751731508</v>
      </c>
      <c r="U7" s="16">
        <f>SUM($A$5:U5)</f>
        <v>4249.6262034976062</v>
      </c>
      <c r="V7" s="16">
        <f>SUM($A$5:V5)</f>
        <v>6077.9654710015766</v>
      </c>
      <c r="W7" s="16">
        <f>SUM($A$5:W5)</f>
        <v>8692.4906235322542</v>
      </c>
      <c r="X7" s="16">
        <f>SUM($A$5:X5)</f>
        <v>12431.261591651124</v>
      </c>
      <c r="Y7" s="16">
        <f>SUM($A$5:Y5)</f>
        <v>17777.704076061105</v>
      </c>
      <c r="Z7" s="16">
        <f>SUM($A$5:Z5)</f>
        <v>25423.116828767379</v>
      </c>
      <c r="AA7" s="16">
        <f>SUM($A$5:AA5)</f>
        <v>36356.057065137356</v>
      </c>
      <c r="AB7" s="16">
        <f>SUM($A$5:AB5)</f>
        <v>51990.161603146422</v>
      </c>
      <c r="AC7" s="16">
        <f>SUM($A$5:AC5)</f>
        <v>74346.931092499377</v>
      </c>
      <c r="AD7" s="16">
        <f>SUM($A$5:AD5)</f>
        <v>106317.1114622741</v>
      </c>
    </row>
    <row r="8" spans="1:30" x14ac:dyDescent="0.25">
      <c r="A8" s="1" t="s">
        <v>1968</v>
      </c>
      <c r="B8" s="1">
        <v>1</v>
      </c>
      <c r="C8" s="1">
        <v>2</v>
      </c>
      <c r="D8" s="1">
        <v>3</v>
      </c>
      <c r="E8" s="1">
        <v>4</v>
      </c>
      <c r="F8" s="1">
        <v>5</v>
      </c>
      <c r="G8" s="1">
        <v>6</v>
      </c>
      <c r="H8" s="1">
        <v>7</v>
      </c>
      <c r="I8" s="1">
        <v>8</v>
      </c>
      <c r="J8" s="1">
        <v>9</v>
      </c>
      <c r="K8" s="1">
        <v>10</v>
      </c>
      <c r="L8" s="1">
        <v>11</v>
      </c>
      <c r="M8" s="1">
        <v>12</v>
      </c>
      <c r="N8" s="1">
        <v>13</v>
      </c>
      <c r="O8" s="1">
        <v>14</v>
      </c>
      <c r="P8" s="1">
        <v>15</v>
      </c>
      <c r="Q8" s="1">
        <v>16</v>
      </c>
      <c r="R8" s="1">
        <v>17</v>
      </c>
      <c r="S8" s="1">
        <v>18</v>
      </c>
      <c r="T8" s="1">
        <v>19</v>
      </c>
      <c r="U8" s="1">
        <v>20</v>
      </c>
      <c r="V8" s="1">
        <v>21</v>
      </c>
      <c r="W8" s="1">
        <v>22</v>
      </c>
      <c r="X8" s="1">
        <v>23</v>
      </c>
      <c r="Y8" s="1">
        <v>24</v>
      </c>
      <c r="Z8" s="1">
        <v>25</v>
      </c>
      <c r="AA8" s="1">
        <v>26</v>
      </c>
      <c r="AB8" s="1">
        <v>27</v>
      </c>
      <c r="AC8" s="1">
        <v>28</v>
      </c>
      <c r="AD8" s="1">
        <v>29</v>
      </c>
    </row>
    <row r="9" spans="1:30" x14ac:dyDescent="0.25">
      <c r="A9">
        <f>IF(A7&gt;A1,(A7-A1)/$A$6,0)</f>
        <v>0</v>
      </c>
      <c r="B9">
        <f t="shared" ref="B9:AD9" si="2">IF(B7&gt;B1,(B7-B1)/$A$6,0)</f>
        <v>0</v>
      </c>
      <c r="C9">
        <f t="shared" si="2"/>
        <v>0</v>
      </c>
      <c r="D9">
        <f t="shared" si="2"/>
        <v>0</v>
      </c>
      <c r="E9">
        <f t="shared" si="2"/>
        <v>0</v>
      </c>
      <c r="F9">
        <f t="shared" si="2"/>
        <v>0</v>
      </c>
      <c r="G9">
        <f t="shared" si="2"/>
        <v>0</v>
      </c>
      <c r="H9">
        <f t="shared" si="2"/>
        <v>0.31731464510390589</v>
      </c>
      <c r="I9">
        <f t="shared" si="2"/>
        <v>0.98606461376942112</v>
      </c>
      <c r="J9">
        <f t="shared" si="2"/>
        <v>1.9571355553462071</v>
      </c>
      <c r="K9">
        <f t="shared" si="2"/>
        <v>3.3609682427776613</v>
      </c>
      <c r="L9">
        <f t="shared" si="2"/>
        <v>5.384106264010593</v>
      </c>
      <c r="M9">
        <f t="shared" si="2"/>
        <v>8.2933206309258125</v>
      </c>
      <c r="N9">
        <f t="shared" si="2"/>
        <v>12.470107982063272</v>
      </c>
      <c r="O9">
        <f t="shared" si="2"/>
        <v>18.460023024831994</v>
      </c>
      <c r="P9">
        <f t="shared" si="2"/>
        <v>27.043223940552682</v>
      </c>
      <c r="Q9">
        <f t="shared" si="2"/>
        <v>39.335352326731538</v>
      </c>
      <c r="R9">
        <f t="shared" si="2"/>
        <v>56.931791527966503</v>
      </c>
      <c r="S9">
        <f t="shared" si="2"/>
        <v>82.11395606300168</v>
      </c>
      <c r="T9">
        <f t="shared" si="2"/>
        <v>118.14428551968926</v>
      </c>
      <c r="U9">
        <f t="shared" si="2"/>
        <v>169.6880858394874</v>
      </c>
      <c r="V9">
        <f t="shared" si="2"/>
        <v>243.41676236943562</v>
      </c>
      <c r="W9">
        <f t="shared" si="2"/>
        <v>348.87044314207759</v>
      </c>
      <c r="X9">
        <f t="shared" si="2"/>
        <v>499.69153018181623</v>
      </c>
      <c r="Y9">
        <f t="shared" si="2"/>
        <v>715.38867788954872</v>
      </c>
      <c r="Z9">
        <f t="shared" si="2"/>
        <v>1023.8592821497397</v>
      </c>
      <c r="AA9">
        <f t="shared" si="2"/>
        <v>1464.9966397710903</v>
      </c>
      <c r="AB9">
        <f t="shared" si="2"/>
        <v>2095.8481865047775</v>
      </c>
      <c r="AC9">
        <f t="shared" si="2"/>
        <v>2997.9917774291607</v>
      </c>
      <c r="AD9">
        <f t="shared" si="2"/>
        <v>4288.0837679190954</v>
      </c>
    </row>
    <row r="11" spans="1:30" x14ac:dyDescent="0.25">
      <c r="A11" t="s">
        <v>1969</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1970</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1971</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1972</v>
      </c>
      <c r="B14">
        <v>0.3</v>
      </c>
      <c r="C14" t="s">
        <v>1973</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电力设备</vt:lpstr>
      <vt:lpstr>利基分析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2024-07-09T14:15:19Z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