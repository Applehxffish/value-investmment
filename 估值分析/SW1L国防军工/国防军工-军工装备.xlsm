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国防军工\"/>
    </mc:Choice>
  </mc:AlternateContent>
  <bookViews>
    <workbookView xWindow="0" yWindow="0" windowWidth="3800" windowHeight="2950"/>
  </bookViews>
  <sheets>
    <sheet name="国防军工" sheetId="15" r:id="rId1"/>
    <sheet name="估值-增速与年化收益" sheetId="14" r:id="rId2"/>
  </sheets>
  <functionGroups builtInGroupCount="18"/>
  <definedNames>
    <definedName name="_xlnm._FilterDatabase" localSheetId="0" hidden="1">国防军工!$BU$1:$BU$78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 i="15"/>
  <c r="C69" i="15"/>
  <c r="C35" i="15"/>
  <c r="C71" i="15"/>
  <c r="C15" i="15"/>
  <c r="C68" i="15"/>
  <c r="C34" i="15"/>
  <c r="C23" i="15"/>
  <c r="C16" i="15"/>
  <c r="C60" i="15"/>
  <c r="C24" i="15"/>
  <c r="C44" i="15"/>
  <c r="C62" i="15"/>
  <c r="C52" i="15"/>
  <c r="C27" i="15"/>
  <c r="C20" i="15"/>
  <c r="C11" i="15"/>
  <c r="C74" i="15"/>
  <c r="C47" i="15"/>
  <c r="C75" i="15"/>
  <c r="C66" i="15"/>
  <c r="C58" i="15"/>
  <c r="C45" i="15"/>
  <c r="C8" i="15"/>
  <c r="C37" i="15"/>
  <c r="C65" i="15"/>
  <c r="C57" i="15"/>
  <c r="C43" i="15"/>
  <c r="C53" i="15"/>
  <c r="C77" i="15"/>
  <c r="C70" i="15"/>
  <c r="C48" i="15"/>
  <c r="C36" i="15"/>
  <c r="C72" i="15"/>
  <c r="C31" i="15"/>
  <c r="C6" i="15"/>
  <c r="C3" i="15"/>
  <c r="C64" i="15"/>
  <c r="C55" i="15"/>
  <c r="C29" i="15"/>
  <c r="C12" i="15"/>
  <c r="C5" i="15"/>
  <c r="C56" i="15"/>
  <c r="C9" i="15"/>
  <c r="C54" i="15"/>
  <c r="C39" i="15"/>
  <c r="C28" i="15"/>
  <c r="C21" i="15"/>
  <c r="C42" i="15"/>
  <c r="C76" i="15"/>
  <c r="C67" i="15"/>
  <c r="C59" i="15"/>
  <c r="C46" i="15"/>
  <c r="C32" i="15"/>
  <c r="C22" i="15"/>
  <c r="C14" i="15"/>
  <c r="C4" i="15"/>
  <c r="C7" i="15"/>
  <c r="C26" i="15"/>
  <c r="C19" i="15"/>
  <c r="C10" i="15"/>
  <c r="C50" i="15"/>
  <c r="C49" i="15"/>
  <c r="C51" i="15"/>
  <c r="C38" i="15"/>
  <c r="C25" i="15"/>
  <c r="C18" i="15"/>
  <c r="C33" i="15"/>
  <c r="C40" i="15"/>
  <c r="C73" i="15"/>
  <c r="C41" i="15"/>
  <c r="C30" i="15"/>
  <c r="C61" i="15"/>
  <c r="C17" i="15"/>
</calcChain>
</file>

<file path=xl/sharedStrings.xml><?xml version="1.0" encoding="utf-8"?>
<sst xmlns="http://schemas.openxmlformats.org/spreadsheetml/2006/main" count="4322" uniqueCount="2900">
  <si>
    <t>&lt;-增速</t>
    <phoneticPr fontId="1" type="noConversion"/>
  </si>
  <si>
    <t>&lt;-估值</t>
    <phoneticPr fontId="1" type="noConversion"/>
  </si>
  <si>
    <t>&lt;-折合年化收益</t>
    <phoneticPr fontId="1" type="noConversion"/>
  </si>
  <si>
    <t>现价</t>
  </si>
  <si>
    <t>市净率</t>
  </si>
  <si>
    <t>北方导航</t>
  </si>
  <si>
    <t>博云新材</t>
  </si>
  <si>
    <t>长城军工</t>
  </si>
  <si>
    <t>海特高新</t>
  </si>
  <si>
    <t>航天彩虹</t>
  </si>
  <si>
    <t>中航沈飞</t>
  </si>
  <si>
    <t>星网宇达</t>
  </si>
  <si>
    <t>光电股份</t>
  </si>
  <si>
    <t>江龙船艇</t>
  </si>
  <si>
    <t>航新科技</t>
  </si>
  <si>
    <t>中国卫星</t>
  </si>
  <si>
    <t>中直股份</t>
  </si>
  <si>
    <t>航发动力</t>
  </si>
  <si>
    <t>晨曦航空</t>
  </si>
  <si>
    <t>中国重工</t>
  </si>
  <si>
    <t>新余国科</t>
  </si>
  <si>
    <t>钢研高纳</t>
  </si>
  <si>
    <t>航发控制</t>
  </si>
  <si>
    <t>内蒙一机</t>
  </si>
  <si>
    <t>爱乐达</t>
  </si>
  <si>
    <t>航天电子</t>
  </si>
  <si>
    <t>新兴装备</t>
  </si>
  <si>
    <t>中航高科</t>
  </si>
  <si>
    <t>中兵红箭</t>
  </si>
  <si>
    <t>安达维尔</t>
  </si>
  <si>
    <t>天海防务</t>
  </si>
  <si>
    <t>亚星锚链</t>
  </si>
  <si>
    <t>中船防务</t>
  </si>
  <si>
    <t>航发科技</t>
  </si>
  <si>
    <t>洪都航空</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</si>
  <si>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</si>
  <si>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</si>
  <si>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</si>
  <si>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</si>
  <si>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</si>
  <si>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</si>
  <si>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</si>
  <si>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</si>
  <si>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</si>
  <si>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</si>
  <si>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</si>
  <si>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</si>
  <si>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</si>
  <si>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</si>
  <si>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</si>
  <si>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</si>
  <si>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SZ000519</t>
  </si>
  <si>
    <t>53.22亿</t>
  </si>
  <si>
    <t>2.55亿</t>
  </si>
  <si>
    <t>1.17亿</t>
  </si>
  <si>
    <t>1.50亿</t>
  </si>
  <si>
    <t>1.75亿</t>
  </si>
  <si>
    <t>6.14亿</t>
  </si>
  <si>
    <t>1.23亿</t>
  </si>
  <si>
    <t>1.21亿</t>
  </si>
  <si>
    <t>2.98亿</t>
  </si>
  <si>
    <t>SZ000561</t>
  </si>
  <si>
    <t>烽火电子</t>
  </si>
  <si>
    <t>2.90亿</t>
  </si>
  <si>
    <t>2.83亿</t>
  </si>
  <si>
    <t>2.33亿</t>
  </si>
  <si>
    <t>2.04亿</t>
  </si>
  <si>
    <t>SZ000576</t>
  </si>
  <si>
    <t>4.95亿</t>
  </si>
  <si>
    <t>9817.73万</t>
  </si>
  <si>
    <t>1.73亿</t>
  </si>
  <si>
    <t>1.37亿</t>
  </si>
  <si>
    <t>2.50亿</t>
  </si>
  <si>
    <t>1.01亿</t>
  </si>
  <si>
    <t>1.65亿</t>
  </si>
  <si>
    <t>1.49亿</t>
  </si>
  <si>
    <t>SZ000697</t>
  </si>
  <si>
    <t>19.80亿</t>
  </si>
  <si>
    <t>-15.48亿</t>
  </si>
  <si>
    <t>1.02亿</t>
  </si>
  <si>
    <t>1.67亿</t>
  </si>
  <si>
    <t>2.40亿</t>
  </si>
  <si>
    <t>1.84亿</t>
  </si>
  <si>
    <t>SZ000738</t>
  </si>
  <si>
    <t>30.92亿</t>
  </si>
  <si>
    <t>2.81亿</t>
  </si>
  <si>
    <t>1.71亿</t>
  </si>
  <si>
    <t>2.11亿</t>
  </si>
  <si>
    <t>2.74亿</t>
  </si>
  <si>
    <t>3.85亿</t>
  </si>
  <si>
    <t>6.15亿</t>
  </si>
  <si>
    <t>SZ000768</t>
  </si>
  <si>
    <t>2.45亿</t>
  </si>
  <si>
    <t>2.64亿</t>
  </si>
  <si>
    <t>SZ002023</t>
  </si>
  <si>
    <t>8.08亿</t>
  </si>
  <si>
    <t>7630.86万</t>
  </si>
  <si>
    <t>5.16亿</t>
  </si>
  <si>
    <t>3.04亿</t>
  </si>
  <si>
    <t>4.02亿</t>
  </si>
  <si>
    <t>1.41亿</t>
  </si>
  <si>
    <t>1.55亿</t>
  </si>
  <si>
    <t>0亿</t>
  </si>
  <si>
    <t>5.15亿</t>
  </si>
  <si>
    <t>5.58亿</t>
  </si>
  <si>
    <t>2.14亿</t>
  </si>
  <si>
    <t>1.51亿</t>
  </si>
  <si>
    <t>5.89亿</t>
  </si>
  <si>
    <t>5.34亿</t>
  </si>
  <si>
    <t>40.74亿</t>
  </si>
  <si>
    <t>1.29亿</t>
  </si>
  <si>
    <t>2.59亿</t>
  </si>
  <si>
    <t>3.33亿</t>
  </si>
  <si>
    <t>SZ002297</t>
  </si>
  <si>
    <t>3.49亿</t>
  </si>
  <si>
    <t>-1.64亿</t>
  </si>
  <si>
    <t>1.24亿</t>
  </si>
  <si>
    <t>2.05亿</t>
  </si>
  <si>
    <t>SZ002389</t>
  </si>
  <si>
    <t>31.00亿</t>
  </si>
  <si>
    <t>2.32亿</t>
  </si>
  <si>
    <t>2.89亿</t>
  </si>
  <si>
    <t>2.24亿</t>
  </si>
  <si>
    <t>2.41亿</t>
  </si>
  <si>
    <t>5.19亿</t>
  </si>
  <si>
    <t>1.18亿</t>
  </si>
  <si>
    <t>3.08亿</t>
  </si>
  <si>
    <t>3.01亿</t>
  </si>
  <si>
    <t>SZ002829</t>
  </si>
  <si>
    <t>3.99亿</t>
  </si>
  <si>
    <t>1201.59万</t>
  </si>
  <si>
    <t>1.80亿</t>
  </si>
  <si>
    <t>2.22亿</t>
  </si>
  <si>
    <t>1.64亿</t>
  </si>
  <si>
    <t>SZ002933</t>
  </si>
  <si>
    <t>1.22亿</t>
  </si>
  <si>
    <t>3.69亿</t>
  </si>
  <si>
    <t>1.06亿</t>
  </si>
  <si>
    <t>1.11亿</t>
  </si>
  <si>
    <t>2.71亿</t>
  </si>
  <si>
    <t>2.01亿</t>
  </si>
  <si>
    <t>1.03亿</t>
  </si>
  <si>
    <t>1.82亿</t>
  </si>
  <si>
    <t>2.77亿</t>
  </si>
  <si>
    <t>SZ002985</t>
  </si>
  <si>
    <t>北摩高科</t>
  </si>
  <si>
    <t>4.14亿</t>
  </si>
  <si>
    <t>2.12亿</t>
  </si>
  <si>
    <t>1.07亿</t>
  </si>
  <si>
    <t>1.04亿</t>
  </si>
  <si>
    <t>1.61亿</t>
  </si>
  <si>
    <t>SZ300008</t>
  </si>
  <si>
    <t>-3.58亿</t>
  </si>
  <si>
    <t>1.66亿</t>
  </si>
  <si>
    <t>1.60亿</t>
  </si>
  <si>
    <t>3.06亿</t>
  </si>
  <si>
    <t>SZ300034</t>
  </si>
  <si>
    <t>14.46亿</t>
  </si>
  <si>
    <t>1.56亿</t>
  </si>
  <si>
    <t>5.56亿</t>
  </si>
  <si>
    <t>SZ300065</t>
  </si>
  <si>
    <t>海兰信</t>
  </si>
  <si>
    <t>1.05亿</t>
  </si>
  <si>
    <t>1.85亿</t>
  </si>
  <si>
    <t>1.58亿</t>
  </si>
  <si>
    <t>2.80亿</t>
  </si>
  <si>
    <t>12.24亿</t>
  </si>
  <si>
    <t>2.96亿</t>
  </si>
  <si>
    <t>4.78亿</t>
  </si>
  <si>
    <t>5.09亿</t>
  </si>
  <si>
    <t>SZ300424</t>
  </si>
  <si>
    <t>6767.86万</t>
  </si>
  <si>
    <t>2.13亿</t>
  </si>
  <si>
    <t>3.16亿</t>
  </si>
  <si>
    <t>2.51亿</t>
  </si>
  <si>
    <t>1.76亿</t>
  </si>
  <si>
    <t>2.18亿</t>
  </si>
  <si>
    <t>2.42亿</t>
  </si>
  <si>
    <t>SZ300527</t>
  </si>
  <si>
    <t>中船应急</t>
  </si>
  <si>
    <t>24.64亿</t>
  </si>
  <si>
    <t>SZ300581</t>
  </si>
  <si>
    <t>2.39亿</t>
  </si>
  <si>
    <t>4859.88万</t>
  </si>
  <si>
    <t>1.25亿</t>
  </si>
  <si>
    <t>SZ300589</t>
  </si>
  <si>
    <t>5.51亿</t>
  </si>
  <si>
    <t>3404.26万</t>
  </si>
  <si>
    <t>1.95亿</t>
  </si>
  <si>
    <t>2.72亿</t>
  </si>
  <si>
    <t>SZ300600</t>
  </si>
  <si>
    <t>4.86亿</t>
  </si>
  <si>
    <t>8616.99万</t>
  </si>
  <si>
    <t>1.00亿</t>
  </si>
  <si>
    <t>1.19亿</t>
  </si>
  <si>
    <t>1.90亿</t>
  </si>
  <si>
    <t>SZ300696</t>
  </si>
  <si>
    <t>7805.13万</t>
  </si>
  <si>
    <t>SZ300719</t>
  </si>
  <si>
    <t>5.52亿</t>
  </si>
  <si>
    <t>7314.91万</t>
  </si>
  <si>
    <t>2.02亿</t>
  </si>
  <si>
    <t>1.13亿</t>
  </si>
  <si>
    <t>SZ300722</t>
  </si>
  <si>
    <t>2.25亿</t>
  </si>
  <si>
    <t>3988.87万</t>
  </si>
  <si>
    <t>1.91亿</t>
  </si>
  <si>
    <t>4.18亿</t>
  </si>
  <si>
    <t>1.15亿</t>
  </si>
  <si>
    <t>1.33亿</t>
  </si>
  <si>
    <t>4.69亿</t>
  </si>
  <si>
    <t>2.29亿</t>
  </si>
  <si>
    <t>SZ300775</t>
  </si>
  <si>
    <t>三角防务</t>
  </si>
  <si>
    <t>1.92亿</t>
  </si>
  <si>
    <t>1.83亿</t>
  </si>
  <si>
    <t>SZ300810</t>
  </si>
  <si>
    <t>中科海讯</t>
  </si>
  <si>
    <t>8181.43万</t>
  </si>
  <si>
    <t>SZ300875</t>
  </si>
  <si>
    <t>捷强装备</t>
  </si>
  <si>
    <t>9513.13万</t>
  </si>
  <si>
    <t>SH600038</t>
  </si>
  <si>
    <t>157.95亿</t>
  </si>
  <si>
    <t>1.69亿</t>
  </si>
  <si>
    <t>1.35亿</t>
  </si>
  <si>
    <t>1.38亿</t>
  </si>
  <si>
    <t>SH600118</t>
  </si>
  <si>
    <t>64.63亿</t>
  </si>
  <si>
    <t>3.36亿</t>
  </si>
  <si>
    <t>1.08亿</t>
  </si>
  <si>
    <t>SH600150</t>
  </si>
  <si>
    <t>中国船舶</t>
  </si>
  <si>
    <t>SH600184</t>
  </si>
  <si>
    <t>23.32亿</t>
  </si>
  <si>
    <t>SH600316</t>
  </si>
  <si>
    <t>44.20亿</t>
  </si>
  <si>
    <t>8286.82万</t>
  </si>
  <si>
    <t>1.87亿</t>
  </si>
  <si>
    <t>SH600372</t>
  </si>
  <si>
    <t>83.52亿</t>
  </si>
  <si>
    <t>3.31亿</t>
  </si>
  <si>
    <t>7.58亿</t>
  </si>
  <si>
    <t>SH600391</t>
  </si>
  <si>
    <t>33.84亿</t>
  </si>
  <si>
    <t>2257.75万</t>
  </si>
  <si>
    <t>SH600435</t>
  </si>
  <si>
    <t>22.93亿</t>
  </si>
  <si>
    <t>4459.75万</t>
  </si>
  <si>
    <t>1.70亿</t>
  </si>
  <si>
    <t>1.12亿</t>
  </si>
  <si>
    <t>4.49亿</t>
  </si>
  <si>
    <t>13.87亿</t>
  </si>
  <si>
    <t>2.07亿</t>
  </si>
  <si>
    <t>SH600685</t>
  </si>
  <si>
    <t>218.29亿</t>
  </si>
  <si>
    <t>5.48亿</t>
  </si>
  <si>
    <t>SH600760</t>
  </si>
  <si>
    <t>237.61亿</t>
  </si>
  <si>
    <t>8.78亿</t>
  </si>
  <si>
    <t>4.58亿</t>
  </si>
  <si>
    <t>SH600764</t>
  </si>
  <si>
    <t>6.46亿</t>
  </si>
  <si>
    <t>2.03亿</t>
  </si>
  <si>
    <t>SH600765</t>
  </si>
  <si>
    <t>中航重机</t>
  </si>
  <si>
    <t>59.85亿</t>
  </si>
  <si>
    <t>2.75亿</t>
  </si>
  <si>
    <t>SH600862</t>
  </si>
  <si>
    <t>24.73亿</t>
  </si>
  <si>
    <t>1.26亿</t>
  </si>
  <si>
    <t>2.30亿</t>
  </si>
  <si>
    <t>SH600879</t>
  </si>
  <si>
    <t>137.12亿</t>
  </si>
  <si>
    <t>SH600893</t>
  </si>
  <si>
    <t>252.10亿</t>
  </si>
  <si>
    <t>10.77亿</t>
  </si>
  <si>
    <t>1.44亿</t>
  </si>
  <si>
    <t>1.20亿</t>
  </si>
  <si>
    <t>3.07亿</t>
  </si>
  <si>
    <t>SH600967</t>
  </si>
  <si>
    <t>126.81亿</t>
  </si>
  <si>
    <t>5.72亿</t>
  </si>
  <si>
    <t>1.94亿</t>
  </si>
  <si>
    <t>8.71亿</t>
  </si>
  <si>
    <t>SH601606</t>
  </si>
  <si>
    <t>14.99亿</t>
  </si>
  <si>
    <t>3.15亿</t>
  </si>
  <si>
    <t>SH601698</t>
  </si>
  <si>
    <t>中国卫通</t>
  </si>
  <si>
    <t>27.34亿</t>
  </si>
  <si>
    <t>4.46亿</t>
  </si>
  <si>
    <t>SH601890</t>
  </si>
  <si>
    <t>12.84亿</t>
  </si>
  <si>
    <t>8990.54万</t>
  </si>
  <si>
    <t>SH601989</t>
  </si>
  <si>
    <t>6.56亿</t>
  </si>
  <si>
    <t>SH688066</t>
  </si>
  <si>
    <t>航天宏图</t>
  </si>
  <si>
    <t>6.01亿</t>
  </si>
  <si>
    <t>8351.92万</t>
  </si>
  <si>
    <t>SH688586</t>
  </si>
  <si>
    <t>江航装备</t>
  </si>
  <si>
    <t>6.74亿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</si>
  <si>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</si>
  <si>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</si>
  <si>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</si>
  <si>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</si>
  <si>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</si>
  <si>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</si>
  <si>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</si>
  <si>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</si>
  <si>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</si>
  <si>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</si>
  <si>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</si>
  <si>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</si>
  <si>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3.11亿</t>
  </si>
  <si>
    <t>49.54亿</t>
  </si>
  <si>
    <t>38.01亿</t>
  </si>
  <si>
    <t>3.47亿</t>
  </si>
  <si>
    <t>7.41亿</t>
  </si>
  <si>
    <t>3.44亿</t>
  </si>
  <si>
    <t>2.44亿</t>
  </si>
  <si>
    <t>2.16亿</t>
  </si>
  <si>
    <t>9867.18万</t>
  </si>
  <si>
    <t>4.79亿</t>
  </si>
  <si>
    <t>9.67亿</t>
  </si>
  <si>
    <t>1.77亿</t>
  </si>
  <si>
    <t>13.46亿</t>
  </si>
  <si>
    <t>12.17亿</t>
  </si>
  <si>
    <t>9259.36万</t>
  </si>
  <si>
    <t>8650.54万</t>
  </si>
  <si>
    <t>甘化科工</t>
  </si>
  <si>
    <t>6.78亿</t>
  </si>
  <si>
    <t>2.68亿</t>
  </si>
  <si>
    <t>1.09亿</t>
  </si>
  <si>
    <t>2.00亿</t>
  </si>
  <si>
    <t>4.09亿</t>
  </si>
  <si>
    <t>4.75亿</t>
  </si>
  <si>
    <t>4.73亿</t>
  </si>
  <si>
    <t>3.98亿</t>
  </si>
  <si>
    <t>9807.12万</t>
  </si>
  <si>
    <t>2.69亿</t>
  </si>
  <si>
    <t>16.03亿</t>
  </si>
  <si>
    <t>11.31亿</t>
  </si>
  <si>
    <t>-4.80亿</t>
  </si>
  <si>
    <t>1.36亿</t>
  </si>
  <si>
    <t>2455.20万</t>
  </si>
  <si>
    <t>3.68亿</t>
  </si>
  <si>
    <t>1.46亿</t>
  </si>
  <si>
    <t>1.28亿</t>
  </si>
  <si>
    <t>2.66亿</t>
  </si>
  <si>
    <t>27.46亿</t>
  </si>
  <si>
    <t>1.96亿</t>
  </si>
  <si>
    <t>中航西飞</t>
  </si>
  <si>
    <t>334.84亿</t>
  </si>
  <si>
    <t>7.77亿</t>
  </si>
  <si>
    <t>1.10亿</t>
  </si>
  <si>
    <t>320.79亿</t>
  </si>
  <si>
    <t>334.68亿</t>
  </si>
  <si>
    <t>10.74亿</t>
  </si>
  <si>
    <t>4.71亿</t>
  </si>
  <si>
    <t>4.13亿</t>
  </si>
  <si>
    <t>1.93亿</t>
  </si>
  <si>
    <t>5.83亿</t>
  </si>
  <si>
    <t>9.64亿</t>
  </si>
  <si>
    <t>3170.39万</t>
  </si>
  <si>
    <t>4.26亿</t>
  </si>
  <si>
    <t>6404.89万</t>
  </si>
  <si>
    <t>1.63亿</t>
  </si>
  <si>
    <t>7.24亿</t>
  </si>
  <si>
    <t>4.28亿</t>
  </si>
  <si>
    <t>1.47亿</t>
  </si>
  <si>
    <t>3.05亿</t>
  </si>
  <si>
    <t>9.52亿</t>
  </si>
  <si>
    <t>1.86亿</t>
  </si>
  <si>
    <t>2.48亿</t>
  </si>
  <si>
    <t>3.90亿</t>
  </si>
  <si>
    <t>3.45亿</t>
  </si>
  <si>
    <t>2249.62万</t>
  </si>
  <si>
    <t>2706.80万</t>
  </si>
  <si>
    <t>29.88亿</t>
  </si>
  <si>
    <t>3.71亿</t>
  </si>
  <si>
    <t>1.98亿</t>
  </si>
  <si>
    <t>27.19亿</t>
  </si>
  <si>
    <t>9.23亿</t>
  </si>
  <si>
    <t>12.16亿</t>
  </si>
  <si>
    <t>1.72亿</t>
  </si>
  <si>
    <t>1.99亿</t>
  </si>
  <si>
    <t>1.54亿</t>
  </si>
  <si>
    <t>2.37亿</t>
  </si>
  <si>
    <t>1.78亿</t>
  </si>
  <si>
    <t>9.94亿</t>
  </si>
  <si>
    <t>7.67亿</t>
  </si>
  <si>
    <t>41.43亿</t>
  </si>
  <si>
    <t>2.93亿</t>
  </si>
  <si>
    <t>6.85亿</t>
  </si>
  <si>
    <t>4.10亿</t>
  </si>
  <si>
    <t>1851.31万</t>
  </si>
  <si>
    <t>3.20亿</t>
  </si>
  <si>
    <t>9833.98万</t>
  </si>
  <si>
    <t>1.74亿</t>
  </si>
  <si>
    <t>3.78亿</t>
  </si>
  <si>
    <t>8.64亿</t>
  </si>
  <si>
    <t>2.76亿</t>
  </si>
  <si>
    <t>6.87亿</t>
  </si>
  <si>
    <t>1.14亿</t>
  </si>
  <si>
    <t>SZ003009</t>
  </si>
  <si>
    <t>中天火箭</t>
  </si>
  <si>
    <t>8.63亿</t>
  </si>
  <si>
    <t>7.97亿</t>
  </si>
  <si>
    <t>6.68亿</t>
  </si>
  <si>
    <t>9894.75万</t>
  </si>
  <si>
    <t>7749.15万</t>
  </si>
  <si>
    <t>5.24亿</t>
  </si>
  <si>
    <t>2555.75万</t>
  </si>
  <si>
    <t>3.84亿</t>
  </si>
  <si>
    <t>10.29亿</t>
  </si>
  <si>
    <t>-18.78亿</t>
  </si>
  <si>
    <t>1.62亿</t>
  </si>
  <si>
    <t>15.85亿</t>
  </si>
  <si>
    <t>2.97亿</t>
  </si>
  <si>
    <t>8.93亿</t>
  </si>
  <si>
    <t>6.81亿</t>
  </si>
  <si>
    <t>5712.77万</t>
  </si>
  <si>
    <t>8.11亿</t>
  </si>
  <si>
    <t>7.70亿</t>
  </si>
  <si>
    <t>9328.67万</t>
  </si>
  <si>
    <t>5.77亿</t>
  </si>
  <si>
    <t>2.58亿</t>
  </si>
  <si>
    <t>1.52亿</t>
  </si>
  <si>
    <t>2.06亿</t>
  </si>
  <si>
    <t>-3.27亿</t>
  </si>
  <si>
    <t>7.55亿</t>
  </si>
  <si>
    <t>5030.18万</t>
  </si>
  <si>
    <t>2.78亿</t>
  </si>
  <si>
    <t>18.21亿</t>
  </si>
  <si>
    <t>7781.12万</t>
  </si>
  <si>
    <t>1.43亿</t>
  </si>
  <si>
    <t>26.53亿</t>
  </si>
  <si>
    <t>6295.65万</t>
  </si>
  <si>
    <t>6458.94万</t>
  </si>
  <si>
    <t>6.13亿</t>
  </si>
  <si>
    <t>3486.00万</t>
  </si>
  <si>
    <t>1.39亿</t>
  </si>
  <si>
    <t>1.27亿</t>
  </si>
  <si>
    <t>4.23亿</t>
  </si>
  <si>
    <t>3113.10万</t>
  </si>
  <si>
    <t>6.88亿</t>
  </si>
  <si>
    <t>6818.92万</t>
  </si>
  <si>
    <t>4.89亿</t>
  </si>
  <si>
    <t>3.02亿</t>
  </si>
  <si>
    <t>6847.99万</t>
  </si>
  <si>
    <t>6.10亿</t>
  </si>
  <si>
    <t>9547.85万</t>
  </si>
  <si>
    <t>2.38亿</t>
  </si>
  <si>
    <t>4.99亿</t>
  </si>
  <si>
    <t>5544.07万</t>
  </si>
  <si>
    <t>4920.27万</t>
  </si>
  <si>
    <t>7402.83万</t>
  </si>
  <si>
    <t>4.66亿</t>
  </si>
  <si>
    <t>3.75亿</t>
  </si>
  <si>
    <t>2120.94万</t>
  </si>
  <si>
    <t>8580.64万</t>
  </si>
  <si>
    <t>6189.23万</t>
  </si>
  <si>
    <t>SZ300900</t>
  </si>
  <si>
    <t>广联航空</t>
  </si>
  <si>
    <t>7464.85万</t>
  </si>
  <si>
    <t>5296.27万</t>
  </si>
  <si>
    <t>SZ300922</t>
  </si>
  <si>
    <t>天秦装备</t>
  </si>
  <si>
    <t>6439.70万</t>
  </si>
  <si>
    <t>5255.24万</t>
  </si>
  <si>
    <t>6122.05万</t>
  </si>
  <si>
    <t>SZ300965</t>
  </si>
  <si>
    <t>9763.20万</t>
  </si>
  <si>
    <t>7765.59万</t>
  </si>
  <si>
    <t>1510.92万</t>
  </si>
  <si>
    <t>196.55亿</t>
  </si>
  <si>
    <t>130.66亿</t>
  </si>
  <si>
    <t>4.55亿</t>
  </si>
  <si>
    <t>70.07亿</t>
  </si>
  <si>
    <t>75.83亿</t>
  </si>
  <si>
    <t>552.44亿</t>
  </si>
  <si>
    <t>7.07亿</t>
  </si>
  <si>
    <t>526.57亿</t>
  </si>
  <si>
    <t>169.10亿</t>
  </si>
  <si>
    <t>24.92亿</t>
  </si>
  <si>
    <t>3.63亿</t>
  </si>
  <si>
    <t>24.22亿</t>
  </si>
  <si>
    <t>18.86亿</t>
  </si>
  <si>
    <t>50.69亿</t>
  </si>
  <si>
    <t>30.20亿</t>
  </si>
  <si>
    <t>87.47亿</t>
  </si>
  <si>
    <t>6.31亿</t>
  </si>
  <si>
    <t>6.58亿</t>
  </si>
  <si>
    <t>30.06亿</t>
  </si>
  <si>
    <t>76.43亿</t>
  </si>
  <si>
    <t>5.42亿</t>
  </si>
  <si>
    <t>27.21亿</t>
  </si>
  <si>
    <t>-1602.63万</t>
  </si>
  <si>
    <t>6.37亿</t>
  </si>
  <si>
    <t>23.64亿</t>
  </si>
  <si>
    <t>-3.03亿</t>
  </si>
  <si>
    <t>6249.94万</t>
  </si>
  <si>
    <t>4.31亿</t>
  </si>
  <si>
    <t>19.99亿</t>
  </si>
  <si>
    <t>20.03亿</t>
  </si>
  <si>
    <t>4953.18万</t>
  </si>
  <si>
    <t>36.06亿</t>
  </si>
  <si>
    <t>2.28亿</t>
  </si>
  <si>
    <t>116.08亿</t>
  </si>
  <si>
    <t>36.62亿</t>
  </si>
  <si>
    <t>192.14亿</t>
  </si>
  <si>
    <t>-18.69亿</t>
  </si>
  <si>
    <t>273.16亿</t>
  </si>
  <si>
    <t>14.80亿</t>
  </si>
  <si>
    <t>54.44亿</t>
  </si>
  <si>
    <t>201.51亿</t>
  </si>
  <si>
    <t>7.43亿</t>
  </si>
  <si>
    <t>46.70亿</t>
  </si>
  <si>
    <t>7.48亿</t>
  </si>
  <si>
    <t>3.26亿</t>
  </si>
  <si>
    <t>2.34亿</t>
  </si>
  <si>
    <t>35.36亿</t>
  </si>
  <si>
    <t>3.12亿</t>
  </si>
  <si>
    <t>4.74亿</t>
  </si>
  <si>
    <t>66.98亿</t>
  </si>
  <si>
    <t>29.12亿</t>
  </si>
  <si>
    <t>140.09亿</t>
  </si>
  <si>
    <t>135.30亿</t>
  </si>
  <si>
    <t>4.57亿</t>
  </si>
  <si>
    <t>5.25亿</t>
  </si>
  <si>
    <t>286.33亿</t>
  </si>
  <si>
    <t>11.46亿</t>
  </si>
  <si>
    <t>231.02亿</t>
  </si>
  <si>
    <t>10.64亿</t>
  </si>
  <si>
    <t>9.60亿</t>
  </si>
  <si>
    <t>8.91亿</t>
  </si>
  <si>
    <t>132.34亿</t>
  </si>
  <si>
    <t>122.67亿</t>
  </si>
  <si>
    <t>2.57亿</t>
  </si>
  <si>
    <t>15.86亿</t>
  </si>
  <si>
    <t>14.30亿</t>
  </si>
  <si>
    <t>9800.09万</t>
  </si>
  <si>
    <t>27.10亿</t>
  </si>
  <si>
    <t>26.94亿</t>
  </si>
  <si>
    <t>24.76亿</t>
  </si>
  <si>
    <t>3.89亿</t>
  </si>
  <si>
    <t>11.09亿</t>
  </si>
  <si>
    <t>8716.38万</t>
  </si>
  <si>
    <t>10.38亿</t>
  </si>
  <si>
    <t>-1468.32万</t>
  </si>
  <si>
    <t>349.06亿</t>
  </si>
  <si>
    <t>382.16亿</t>
  </si>
  <si>
    <t>447.83亿</t>
  </si>
  <si>
    <t>7.37亿</t>
  </si>
  <si>
    <t>8.47亿</t>
  </si>
  <si>
    <t>6359.43万</t>
  </si>
  <si>
    <t>SH688070</t>
  </si>
  <si>
    <t>纵横股份</t>
  </si>
  <si>
    <t>4097.82万</t>
  </si>
  <si>
    <t>3914.53万</t>
  </si>
  <si>
    <t>2419.28万</t>
  </si>
  <si>
    <t>SH688510</t>
  </si>
  <si>
    <t>航亚科技</t>
  </si>
  <si>
    <t>5989.66万</t>
  </si>
  <si>
    <t>4218.55万</t>
  </si>
  <si>
    <t>1398.70万</t>
  </si>
  <si>
    <t>8.31亿</t>
  </si>
  <si>
    <t>6.61亿</t>
  </si>
  <si>
    <t>6.79亿</t>
  </si>
  <si>
    <t>7109.87万</t>
  </si>
  <si>
    <t>2.35亿</t>
  </si>
  <si>
    <t>SH688685</t>
  </si>
  <si>
    <t>迈信林</t>
  </si>
  <si>
    <t>5119.93万</t>
  </si>
  <si>
    <t>2.49亿</t>
  </si>
  <si>
    <t>4216.63万</t>
  </si>
  <si>
    <t>2051.96万</t>
  </si>
  <si>
    <t>6.55亿</t>
  </si>
  <si>
    <t>6.71亿</t>
  </si>
  <si>
    <t>1.34亿</t>
  </si>
  <si>
    <t>1.48亿</t>
  </si>
  <si>
    <t>6.48亿</t>
  </si>
  <si>
    <t>2.52亿</t>
  </si>
  <si>
    <t>1.57亿</t>
  </si>
  <si>
    <t>4.81亿</t>
  </si>
  <si>
    <t>2.60亿</t>
  </si>
  <si>
    <t>SH688239</t>
  </si>
  <si>
    <t>航宇科技</t>
  </si>
  <si>
    <t>7269.49万</t>
  </si>
  <si>
    <t>5386.49万</t>
  </si>
  <si>
    <t>2440.92万</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</si>
  <si>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</si>
  <si>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</si>
  <si>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</si>
  <si>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</si>
  <si>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</si>
  <si>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</si>
  <si>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</si>
  <si>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</si>
  <si>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</si>
  <si>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</si>
  <si>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</si>
  <si>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</si>
  <si>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</si>
  <si>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</si>
  <si>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</si>
  <si>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</si>
  <si>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</si>
  <si>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1.88亿</t>
  </si>
  <si>
    <t>17.15亿</t>
  </si>
  <si>
    <t>4.85亿</t>
  </si>
  <si>
    <t>2.20亿</t>
  </si>
  <si>
    <t>10.28亿</t>
  </si>
  <si>
    <t>4.88亿</t>
  </si>
  <si>
    <t>-5.55亿</t>
  </si>
  <si>
    <t>6.42亿</t>
  </si>
  <si>
    <t>3.60亿</t>
  </si>
  <si>
    <t>4.24亿</t>
  </si>
  <si>
    <t>1.81亿</t>
  </si>
  <si>
    <t>2.31亿</t>
  </si>
  <si>
    <t>-1.06亿</t>
  </si>
  <si>
    <t>3.77亿</t>
  </si>
  <si>
    <t>4.96亿</t>
  </si>
  <si>
    <t>3.70亿</t>
  </si>
  <si>
    <t>4.22亿</t>
  </si>
  <si>
    <t>2.21亿</t>
  </si>
  <si>
    <t>2.26亿</t>
  </si>
  <si>
    <t>SZ002625</t>
  </si>
  <si>
    <t>光启技术</t>
  </si>
  <si>
    <t>5.40亿</t>
  </si>
  <si>
    <t>4.64亿</t>
  </si>
  <si>
    <t>7053.29万</t>
  </si>
  <si>
    <t>5.91亿</t>
  </si>
  <si>
    <t>5.61亿</t>
  </si>
  <si>
    <t>3.55亿</t>
  </si>
  <si>
    <t>2.63亿</t>
  </si>
  <si>
    <t>12.41亿</t>
  </si>
  <si>
    <t>SZ300395</t>
  </si>
  <si>
    <t>菲利华</t>
  </si>
  <si>
    <t>7.79亿</t>
  </si>
  <si>
    <t>7.22亿</t>
  </si>
  <si>
    <t>7.13亿</t>
  </si>
  <si>
    <t>6.25亿</t>
  </si>
  <si>
    <t>3.30亿</t>
  </si>
  <si>
    <t>SZ300699</t>
  </si>
  <si>
    <t>光威复材</t>
  </si>
  <si>
    <t>21.16亿</t>
  </si>
  <si>
    <t>13.64亿</t>
  </si>
  <si>
    <t>5.22亿</t>
  </si>
  <si>
    <t>8.44亿</t>
  </si>
  <si>
    <t>SZ300777</t>
  </si>
  <si>
    <t>中简科技</t>
  </si>
  <si>
    <t>2.46亿</t>
  </si>
  <si>
    <t>8.49亿</t>
  </si>
  <si>
    <t>SH605123</t>
  </si>
  <si>
    <t>派克新材</t>
  </si>
  <si>
    <t>8.84亿</t>
  </si>
  <si>
    <t>6.53亿</t>
  </si>
  <si>
    <t>SH688122</t>
  </si>
  <si>
    <t>西部超导</t>
  </si>
  <si>
    <t>21.13亿</t>
  </si>
  <si>
    <t>10.88亿</t>
  </si>
  <si>
    <r>
      <t>1.公司尖端装备批产产品主要分为航空结构产品与海洋结构产品。公司超材料产品凭借在电磁调制、综合射频传感、功能结构一体化等性能方面的特殊优势，可满足各类尖端装备的要求，该类产品对现有产品具有革新及替代作用，已经大量列装于我国航空与海洋装备中；2.完成了深圳生产厂房的扩建工程，产能由4,000公斤/年增加至</t>
    </r>
    <r>
      <rPr>
        <sz val="9"/>
        <color rgb="FFFF0000"/>
        <rFont val="宋体"/>
        <family val="3"/>
        <charset val="134"/>
        <scheme val="minor"/>
      </rPr>
      <t>8,000公斤/年</t>
    </r>
    <r>
      <rPr>
        <sz val="9"/>
        <color theme="1"/>
        <rFont val="宋体"/>
        <family val="2"/>
        <charset val="134"/>
        <scheme val="minor"/>
      </rPr>
      <t>；同时，并于2021年3月18日顺利通过竣工验收并正式投产为公司新增产能</t>
    </r>
    <r>
      <rPr>
        <b/>
        <sz val="9"/>
        <color rgb="FFFF0000"/>
        <rFont val="宋体"/>
        <family val="3"/>
        <charset val="134"/>
        <scheme val="minor"/>
      </rPr>
      <t>40,000公斤/年。</t>
    </r>
    <phoneticPr fontId="1" type="noConversion"/>
  </si>
  <si>
    <t>2017 年 2 月，公司完成非公开发行，并将募集资金用于超材料智能结构及装备产业化项目；公司主营业务已从传统汽车零部件的生产制造转型成为超材料尖端装备的研制与生产；
超材料产品 2.58亿 40.58%（毛利58.26%，增速65.55%）超材料研发业务 1.50亿 23.53%（毛利43.47%，增速136.76%）汽车零部件产品 2.02亿 31.68%（毛利8.46%，增速-17.96%）下角料、租赁等 1681.85万 2.64%（毛利36.38%，增速206%）其他主营业务 999.52万 1.57%（毛利38.56%，增速-6.92%）</t>
    <phoneticPr fontId="1" type="noConversion"/>
  </si>
  <si>
    <t>1.公司在制导控制、导航控制、探测控制、环境控制、稳定控制等领域处于国内领先地位。</t>
    <phoneticPr fontId="1" type="noConversion"/>
  </si>
  <si>
    <t>1.纵横股份是国内率先推出垂直起降固定翼无人机的企业，目前在该细分领域市占率达53%；2.军工类的市场可以期待；3.公司与多旋翼无人机厂商形成差异化竞争一方面，多旋翼无人机市场成熟，行业厂商数量众多，竞争激烈；另一方面，鉴于多旋翼无人机能量效率相对较低，适合低空、小面积、短距离的应用场景，公司产品定位于高空、大面积、长距离作业的应用场景，追求提升作业效率，二者定位有明显差异。</t>
    <phoneticPr fontId="1" type="noConversion"/>
  </si>
  <si>
    <t>我国有超过 1,300 家无人机生产企业，其中深圳近 400 家企业，成都、南京亦有上百家无人机企业；尽管 2019 年前五大工业无人机整机厂商占据 68.5%的市场份额，但除大疆创新以 55.1%的市场份额位列第一外，其他厂商的市场份额均相对较低；
对比了其他几家，从市场销售角度看貌似没有明显的需求大于供给的局面.
一季度财报：公司的销售收入具有季节性，环比上升，受下游市场特征影响，公司产品和服务的销售收入集中在下半年尤其是第四季度实现，而研发投入、人员工资及其他费用的支出则较为均匀，导致净利润在全年不均衡分布，公司预计年初至下一报告期期末的累计净利润可能为亏损</t>
    <phoneticPr fontId="1" type="noConversion"/>
  </si>
  <si>
    <r>
      <t>公司目前的核心产品为垂直起降固定翼无人机系统。2019 年，我国工业无人机整机市场规模（按订单统计）为 50.62 亿元，其中多旋翼无人机整机市场规模为 40.77 亿元，占比 80.54%；垂直起降固定翼无人机整机市场规模为 5.12 亿元，占比 10.12%；2019 年，大疆创新以 55.1%的市场份额位列</t>
    </r>
    <r>
      <rPr>
        <b/>
        <sz val="9"/>
        <color rgb="FFFF0000"/>
        <rFont val="宋体"/>
        <family val="3"/>
        <charset val="134"/>
        <scheme val="minor"/>
      </rPr>
      <t>中国工业无人机整机市场</t>
    </r>
    <r>
      <rPr>
        <sz val="9"/>
        <color theme="1"/>
        <rFont val="宋体"/>
        <family val="2"/>
        <charset val="134"/>
        <scheme val="minor"/>
      </rPr>
      <t>第一，公司以 5.4%的市场份额位列第二；公司的主营业务收入的分布存在季度性波动：第一季度较低，二、三季度增加，四季度为全年最高；
大疆创新尚无垂直起降固定翼无人机产品推出，华测导航和中海达的垂直起降无人机均主要为本企业业务服务，产品的研发进展尚无法知晓。观典防务的垂直起降无人机只服务于禁毒、反恐、资源调查等，暂时未和公司形成正面竞争；
无人机系统 2.10亿 77.21%（毛利58.79%）无人机服务 2531.80万 9.31%（毛利22.14%）无人机配件 1717.91万 6.32%（毛利41.55%）其他 1669.85万 6.14%（毛利74.78%）</t>
    </r>
    <phoneticPr fontId="1" type="noConversion"/>
  </si>
  <si>
    <t/>
  </si>
  <si>
    <t>涨幅%</t>
  </si>
  <si>
    <t>流通股本</t>
  </si>
  <si>
    <t>投入资本回报率roic%[20201231]</t>
  </si>
  <si>
    <t>净资产收益率%[20201231]</t>
  </si>
  <si>
    <t>营业收入[20171231]</t>
  </si>
  <si>
    <t>净利润[20201231]</t>
  </si>
  <si>
    <t>3185.82万</t>
  </si>
  <si>
    <t>14.91亿</t>
  </si>
  <si>
    <t>35.15亿</t>
  </si>
  <si>
    <t>3.73亿</t>
  </si>
  <si>
    <t>4.12亿</t>
  </si>
  <si>
    <t>3.18亿</t>
  </si>
  <si>
    <t>-1.67亿</t>
  </si>
  <si>
    <t>1890.26万</t>
  </si>
  <si>
    <t>4.01亿</t>
  </si>
  <si>
    <t>-184.22万</t>
  </si>
  <si>
    <t>1.40亿</t>
  </si>
  <si>
    <t>2597.08万</t>
  </si>
  <si>
    <t>4891.02万</t>
  </si>
  <si>
    <t>2553.14万</t>
  </si>
  <si>
    <t>14.35亿</t>
  </si>
  <si>
    <t>6748.08万</t>
  </si>
  <si>
    <t>2672.27万</t>
  </si>
  <si>
    <t>4117.68万</t>
  </si>
  <si>
    <t>5.49亿</t>
  </si>
  <si>
    <t>-2.68亿</t>
  </si>
  <si>
    <t>1042.57万</t>
  </si>
  <si>
    <t>6213.76万</t>
  </si>
  <si>
    <t>1144.73万</t>
  </si>
  <si>
    <t>3099.48万</t>
  </si>
  <si>
    <t>3837.48万</t>
  </si>
  <si>
    <t>8066.96万</t>
  </si>
  <si>
    <t>6786.60万</t>
  </si>
  <si>
    <t>7.99亿</t>
  </si>
  <si>
    <t>2128.57万</t>
  </si>
  <si>
    <t>7938.74万</t>
  </si>
  <si>
    <t>16.96亿</t>
  </si>
  <si>
    <t>11.88亿</t>
  </si>
  <si>
    <t>7.47亿</t>
  </si>
  <si>
    <t>9.98亿</t>
  </si>
  <si>
    <t>SH603261</t>
  </si>
  <si>
    <t>立航科技</t>
  </si>
  <si>
    <t>6981.86万</t>
  </si>
  <si>
    <t>6932.98万</t>
  </si>
  <si>
    <t>6816.84万</t>
  </si>
  <si>
    <t>7311.60万</t>
  </si>
  <si>
    <t>-2293.28万</t>
  </si>
  <si>
    <t>SH688281</t>
  </si>
  <si>
    <t>华秦科技</t>
  </si>
  <si>
    <t>4756.09万</t>
  </si>
  <si>
    <t>1024.99万</t>
  </si>
  <si>
    <t>SH688282</t>
  </si>
  <si>
    <t>7307.28万</t>
  </si>
  <si>
    <t>9267.81万</t>
  </si>
  <si>
    <t>7125.48万</t>
  </si>
  <si>
    <t>6669.68万</t>
  </si>
  <si>
    <t>2136.46万</t>
  </si>
  <si>
    <t>5.17亿</t>
  </si>
  <si>
    <t>3.13亿</t>
  </si>
  <si>
    <t>2427.11万</t>
  </si>
  <si>
    <t>5096.20万</t>
  </si>
  <si>
    <t>航空装备</t>
  </si>
  <si>
    <t xml:space="preserve">    名称</t>
  </si>
  <si>
    <t>净利润?</t>
  </si>
  <si>
    <t>扣非净利润</t>
  </si>
  <si>
    <t>营业总收入[20201231]</t>
  </si>
  <si>
    <t>1-0</t>
  </si>
  <si>
    <t>亏损</t>
  </si>
  <si>
    <t>扭亏</t>
  </si>
  <si>
    <t>5.82亿</t>
  </si>
  <si>
    <t>开始亏损</t>
  </si>
  <si>
    <t>3.61亿</t>
  </si>
  <si>
    <t>营业收入(同比增长率) %[20220630]</t>
  </si>
  <si>
    <t>销售费用[20220630]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</si>
  <si>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</si>
  <si>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</si>
  <si>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</si>
  <si>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</si>
  <si>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</si>
  <si>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</si>
  <si>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</si>
  <si>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</si>
  <si>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</si>
  <si>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</si>
  <si>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</si>
  <si>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</si>
  <si>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</si>
  <si>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</si>
  <si>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</si>
  <si>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投入资本回报率roic%[20220331]</t>
  </si>
  <si>
    <t>销售毛利率%[20220331]</t>
  </si>
  <si>
    <t>销售净利率%[20220331]</t>
  </si>
  <si>
    <t>5.78亿</t>
  </si>
  <si>
    <t>SZ002651</t>
  </si>
  <si>
    <t>利君股份</t>
  </si>
  <si>
    <t>8.19亿</t>
  </si>
  <si>
    <t>4.62亿</t>
  </si>
  <si>
    <t>2.91亿</t>
  </si>
  <si>
    <t>2.85亿</t>
  </si>
  <si>
    <t>2.94亿</t>
  </si>
  <si>
    <t>SH688231</t>
  </si>
  <si>
    <t>隆达股份</t>
  </si>
  <si>
    <t>5.66亿</t>
  </si>
  <si>
    <t>3474.04万</t>
  </si>
  <si>
    <t>-2234.82万</t>
  </si>
  <si>
    <t>-2114.33万</t>
  </si>
  <si>
    <t>7020.81万</t>
  </si>
  <si>
    <t>SH688237</t>
  </si>
  <si>
    <t>超卓航科</t>
  </si>
  <si>
    <t>5123.06万</t>
  </si>
  <si>
    <t>4111.15万</t>
  </si>
  <si>
    <t>6420.64万</t>
  </si>
  <si>
    <t>1071.28万</t>
  </si>
  <si>
    <t>683.93万</t>
  </si>
  <si>
    <t>7073.11万</t>
  </si>
  <si>
    <t>SH688287</t>
  </si>
  <si>
    <t>观典防务</t>
  </si>
  <si>
    <t>5346.08万</t>
  </si>
  <si>
    <t>4170.42万</t>
  </si>
  <si>
    <t>2057.06万</t>
  </si>
  <si>
    <t>7228.79万</t>
  </si>
  <si>
    <t>SH688297</t>
  </si>
  <si>
    <t>中无人机</t>
  </si>
  <si>
    <t>4742.44万</t>
  </si>
  <si>
    <t>-988.07万</t>
  </si>
  <si>
    <t>147.52万</t>
  </si>
  <si>
    <t>3.67亿</t>
  </si>
  <si>
    <t>2.70亿</t>
  </si>
  <si>
    <t>成交量[20220902]</t>
  </si>
  <si>
    <t>LY营业总收入[20211231]</t>
  </si>
  <si>
    <t>净利润[20211231]</t>
  </si>
  <si>
    <t>权益乘数[20220630]</t>
  </si>
  <si>
    <t>总资产周转率[20220630]</t>
  </si>
  <si>
    <t>净利润／营业总收入%[20220630]</t>
  </si>
  <si>
    <t>营业总成本[20220630]</t>
  </si>
  <si>
    <t>营业成本[20220630]</t>
  </si>
  <si>
    <t>管理费用[20220630]</t>
  </si>
  <si>
    <t>CYLQ营业收入[20220331]</t>
  </si>
  <si>
    <t>LYCQ营业收入[20210630]</t>
  </si>
  <si>
    <t>LYLQ营业收入[20210331]</t>
  </si>
  <si>
    <t>CYLQ净利润[20220331]</t>
  </si>
  <si>
    <t>LYCQ净利润[20210630]</t>
  </si>
  <si>
    <t>LYLQ净利润[20210331]</t>
  </si>
  <si>
    <t>投入资本回报率roic%[20211231]</t>
  </si>
  <si>
    <t>净资产收益率%[20211231]</t>
  </si>
  <si>
    <t>细分行业</t>
  </si>
  <si>
    <t>区间涨跌幅:前复权%[20220829-20220902]</t>
  </si>
  <si>
    <t>区间涨跌幅:前复权%[20220725-20220902]</t>
  </si>
  <si>
    <t>区间成交量[20220829-20220902]</t>
  </si>
  <si>
    <t>指数@区间成交量[20220725-20220902]</t>
  </si>
  <si>
    <t>75.14亿</t>
  </si>
  <si>
    <t>地面兵装</t>
  </si>
  <si>
    <t>16.00亿</t>
  </si>
  <si>
    <t>5.90亿</t>
  </si>
  <si>
    <t>15.02亿</t>
  </si>
  <si>
    <t>1.53亿</t>
  </si>
  <si>
    <t>2.17亿</t>
  </si>
  <si>
    <t>9.86亿</t>
  </si>
  <si>
    <t>41.57亿</t>
  </si>
  <si>
    <t>-1.10亿</t>
  </si>
  <si>
    <t>327.00亿</t>
  </si>
  <si>
    <t>7.35亿</t>
  </si>
  <si>
    <t>2.27亿</t>
  </si>
  <si>
    <t>5.47亿</t>
  </si>
  <si>
    <t>1.68亿</t>
  </si>
  <si>
    <t>10.15亿</t>
  </si>
  <si>
    <t>29.14亿</t>
  </si>
  <si>
    <t>11.60亿</t>
  </si>
  <si>
    <t>3.37亿</t>
  </si>
  <si>
    <t>8.59亿</t>
  </si>
  <si>
    <t>9.59亿</t>
  </si>
  <si>
    <t>7.68亿</t>
  </si>
  <si>
    <t>航天装备</t>
  </si>
  <si>
    <t>11.32亿</t>
  </si>
  <si>
    <t>航海装备</t>
  </si>
  <si>
    <t>6.65亿</t>
  </si>
  <si>
    <t>9.02亿</t>
  </si>
  <si>
    <t>7.94亿</t>
  </si>
  <si>
    <t>8.37亿</t>
  </si>
  <si>
    <t>11.68亿</t>
  </si>
  <si>
    <t>5.59亿</t>
  </si>
  <si>
    <t>1500.00万</t>
  </si>
  <si>
    <t>16.98亿</t>
  </si>
  <si>
    <t>1.45亿</t>
  </si>
  <si>
    <t>6.91亿</t>
  </si>
  <si>
    <t>3.21亿</t>
  </si>
  <si>
    <t>26.07亿</t>
  </si>
  <si>
    <t>11.72亿</t>
  </si>
  <si>
    <t>6.86亿</t>
  </si>
  <si>
    <t>72.14亿</t>
  </si>
  <si>
    <t>98.39亿</t>
  </si>
  <si>
    <t>35.05亿</t>
  </si>
  <si>
    <t>39.92亿</t>
  </si>
  <si>
    <t>7.26亿</t>
  </si>
  <si>
    <t>116.72亿</t>
  </si>
  <si>
    <t>48.74亿</t>
  </si>
  <si>
    <t>87.90亿</t>
  </si>
  <si>
    <t>38.08亿</t>
  </si>
  <si>
    <t>159.89亿</t>
  </si>
  <si>
    <t>341.02亿</t>
  </si>
  <si>
    <t>138.16亿</t>
  </si>
  <si>
    <t>26.34亿</t>
  </si>
  <si>
    <t>13.20亿</t>
  </si>
  <si>
    <t>60.07万</t>
  </si>
  <si>
    <t>395.39亿</t>
  </si>
  <si>
    <t>17.33亿</t>
  </si>
  <si>
    <t>4.45亿</t>
  </si>
  <si>
    <t>14.68亿</t>
  </si>
  <si>
    <t>-1.97亿</t>
  </si>
  <si>
    <t>29.27亿</t>
  </si>
  <si>
    <t>5.12亿</t>
  </si>
  <si>
    <t>4.93亿</t>
  </si>
  <si>
    <t>9.53亿</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</si>
  <si>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</si>
  <si>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</si>
  <si>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</si>
  <si>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</si>
  <si>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</si>
  <si>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</si>
  <si>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</si>
  <si>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</si>
  <si>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</si>
  <si>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</si>
  <si>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</si>
  <si>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</si>
  <si>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</si>
  <si>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</si>
  <si>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</si>
  <si>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</si>
  <si>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</si>
  <si>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</si>
  <si>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</si>
  <si>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</si>
  <si>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</si>
  <si>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</si>
  <si>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</si>
  <si>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</si>
  <si>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</si>
  <si>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</si>
  <si>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</si>
  <si>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</si>
  <si>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</si>
  <si>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</si>
  <si>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</si>
  <si>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</si>
  <si>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</si>
  <si>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</si>
  <si>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</si>
  <si>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</si>
  <si>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</si>
  <si>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</si>
  <si>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</si>
  <si>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</si>
  <si>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</si>
  <si>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</si>
  <si>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r>
      <t>1.试飞和生产了</t>
    </r>
    <r>
      <rPr>
        <sz val="9"/>
        <color rgb="FFFF0000"/>
        <rFont val="宋体"/>
        <family val="3"/>
        <charset val="134"/>
        <scheme val="minor"/>
      </rPr>
      <t>中国大部分的战斗机</t>
    </r>
    <r>
      <rPr>
        <sz val="9"/>
        <color theme="1"/>
        <rFont val="宋体"/>
        <family val="2"/>
        <charset val="134"/>
        <scheme val="minor"/>
      </rPr>
      <t>，从早期的歼 5、歼 6、歼 7、歼 8，到 现在的歼 11，歼 15，歼 16 等。目前主要产品有歼-11、歼-16 系列歼击机，歼-15 系列 舰载机，以及第四代鹘鹰战斗机等;2.净利率水平在 2020年突破 5%，2021 前三季度毛利率达 9.8%、较 2020 年提升 0.6 个百分点；</t>
    </r>
    <r>
      <rPr>
        <sz val="9"/>
        <color rgb="FFFF0000"/>
        <rFont val="宋体"/>
        <family val="3"/>
        <charset val="134"/>
        <scheme val="minor"/>
      </rPr>
      <t>净利率达 5.8%</t>
    </r>
    <r>
      <rPr>
        <sz val="9"/>
        <color theme="1"/>
        <rFont val="宋体"/>
        <family val="2"/>
        <charset val="134"/>
        <scheme val="minor"/>
      </rPr>
      <t>;</t>
    </r>
    <phoneticPr fontId="1" type="noConversion"/>
  </si>
  <si>
    <r>
      <t>1.公司</t>
    </r>
    <r>
      <rPr>
        <sz val="9"/>
        <color rgb="FFFF0000"/>
        <rFont val="宋体"/>
        <family val="3"/>
        <charset val="134"/>
        <scheme val="minor"/>
      </rPr>
      <t>军机领域</t>
    </r>
    <r>
      <rPr>
        <sz val="9"/>
        <color theme="1"/>
        <rFont val="宋体"/>
        <family val="2"/>
        <charset val="134"/>
        <scheme val="minor"/>
      </rPr>
      <t>主要包括运 20、运 9、运 8 等军用运输机、轰 6 系列军用轰炸机、空 警-500 等基于运输机平台的特种飞机。2.</t>
    </r>
    <r>
      <rPr>
        <sz val="9"/>
        <color rgb="FFFF0000"/>
        <rFont val="宋体"/>
        <family val="3"/>
        <charset val="134"/>
        <scheme val="minor"/>
      </rPr>
      <t>民用飞机</t>
    </r>
    <r>
      <rPr>
        <sz val="9"/>
        <color theme="1"/>
        <rFont val="宋体"/>
        <family val="2"/>
        <charset val="134"/>
        <scheme val="minor"/>
      </rPr>
      <t>及国际航空零部件方面，承担了新舟系 列飞机、ARJ21 支线飞机、C919 大型客机、AG600 飞机的机身、机翼等关键核心部件 研制工作；3.公司积极参与国际</t>
    </r>
    <r>
      <rPr>
        <sz val="9"/>
        <color rgb="FFFF0000"/>
        <rFont val="宋体"/>
        <family val="3"/>
        <charset val="134"/>
        <scheme val="minor"/>
      </rPr>
      <t>合作与转包生产</t>
    </r>
    <r>
      <rPr>
        <sz val="9"/>
        <color theme="1"/>
        <rFont val="宋体"/>
        <family val="2"/>
        <charset val="134"/>
        <scheme val="minor"/>
      </rPr>
      <t>，承担了波音公司737系列飞机垂尾、波音 747 飞机组合件，空客公司A319/A320 系列飞机机翼等产品的制造工作；4.</t>
    </r>
    <r>
      <rPr>
        <sz val="9"/>
        <color rgb="FFFF0000"/>
        <rFont val="宋体"/>
        <family val="3"/>
        <charset val="134"/>
        <scheme val="minor"/>
      </rPr>
      <t>合同负债大幅增长</t>
    </r>
    <r>
      <rPr>
        <sz val="9"/>
        <color theme="1"/>
        <rFont val="宋体"/>
        <family val="2"/>
        <charset val="134"/>
        <scheme val="minor"/>
      </rPr>
      <t>，公司订单饱满。2017-2020 年预收账款与合同负债 CAGR 达 91%，2020 年总和 97 亿元，同比增长 176%；</t>
    </r>
    <phoneticPr fontId="1" type="noConversion"/>
  </si>
  <si>
    <t>1.直升机零部件方面，公司聚焦核心主业，是直 8、直 9、直 10、直 11、直 19 等型 号国产直升机及零部件的主要供应商；2.民机方面，公司多年来坚持走自主创新的发展道 路，研发制造 AC301、AC311、AC312、AC352、AC313 等适用范围广泛的 AC 系列民 用直升机；</t>
    <phoneticPr fontId="1" type="noConversion"/>
  </si>
  <si>
    <t>1.由于军用直升机总装类资产仍在公司体外，公司的军用直升机零 部件产品销售需通过关联方完成；</t>
    <phoneticPr fontId="1" type="noConversion"/>
  </si>
  <si>
    <r>
      <t>1.教练机业务受疫情影响大幅下降，同期导弹业务快速提升。从产品结构来看，2020 年教练机营收占比为 41.3%，较 2019 年下降 19.6%，而以</t>
    </r>
    <r>
      <rPr>
        <b/>
        <sz val="9"/>
        <color rgb="FFFF0000"/>
        <rFont val="宋体"/>
        <family val="3"/>
        <charset val="134"/>
        <scheme val="minor"/>
      </rPr>
      <t>导弹业务为核心</t>
    </r>
    <r>
      <rPr>
        <sz val="9"/>
        <color theme="1"/>
        <rFont val="宋体"/>
        <family val="2"/>
        <charset val="134"/>
        <scheme val="minor"/>
      </rPr>
      <t>的其他 航空产品营收占比从 30.1%增长至 53.1%；</t>
    </r>
    <phoneticPr fontId="1" type="noConversion"/>
  </si>
  <si>
    <t>2.36亿</t>
  </si>
  <si>
    <t>9.10亿</t>
  </si>
  <si>
    <t>38.58亿</t>
  </si>
  <si>
    <t>2.67亿</t>
  </si>
  <si>
    <t>3.00亿</t>
  </si>
  <si>
    <t>25.13亿</t>
  </si>
  <si>
    <t>28.79亿</t>
  </si>
  <si>
    <t>6.39亿</t>
  </si>
  <si>
    <t>10.20亿</t>
  </si>
  <si>
    <t>3.58亿</t>
  </si>
  <si>
    <t>4.30亿</t>
  </si>
  <si>
    <t>12.00亿</t>
  </si>
  <si>
    <t>10.80亿</t>
  </si>
  <si>
    <t>12.36亿</t>
  </si>
  <si>
    <t>8.23亿</t>
  </si>
  <si>
    <t>10派0.5元(含税)</t>
  </si>
  <si>
    <t>不分配不转增</t>
  </si>
  <si>
    <t>10派1元(含税)</t>
  </si>
  <si>
    <t>10派0.4元(含税)</t>
  </si>
  <si>
    <t>10派1.5元(含税)</t>
  </si>
  <si>
    <t>10派0.3元(含税)</t>
  </si>
  <si>
    <t>10派5元(含税)</t>
  </si>
  <si>
    <t>10派0.2元(含税)</t>
  </si>
  <si>
    <t>10派0.6元(含税)</t>
  </si>
  <si>
    <t>3.41亿</t>
  </si>
  <si>
    <t>-3.74亿</t>
  </si>
  <si>
    <t>-1.61亿</t>
  </si>
  <si>
    <t>3.24亿</t>
  </si>
  <si>
    <t>10派2元(含税)</t>
  </si>
  <si>
    <t>4.56亿</t>
  </si>
  <si>
    <t>SZ002265</t>
  </si>
  <si>
    <t>-5876.86万</t>
  </si>
  <si>
    <t>704.79万</t>
  </si>
  <si>
    <t>-6838.73万</t>
  </si>
  <si>
    <r>
      <t>1.公司近日中标了广州金航游轮股份有限公司一艘500客位</t>
    </r>
    <r>
      <rPr>
        <sz val="9"/>
        <color rgb="FFFF0000"/>
        <rFont val="宋体"/>
        <family val="3"/>
        <charset val="134"/>
        <scheme val="minor"/>
      </rPr>
      <t>纯电动船艇</t>
    </r>
    <r>
      <rPr>
        <sz val="9"/>
        <color theme="1"/>
        <rFont val="宋体"/>
        <family val="2"/>
        <charset val="134"/>
        <scheme val="minor"/>
      </rPr>
      <t>，若该船顺利建成将突破了公司目前交付的最大客位纯电动船艇“珠江王子号”；2.国内首艘入级CCS的</t>
    </r>
    <r>
      <rPr>
        <b/>
        <sz val="9"/>
        <color rgb="FFFF0000"/>
        <rFont val="宋体"/>
        <family val="3"/>
        <charset val="134"/>
        <scheme val="minor"/>
      </rPr>
      <t>500KW级氢燃料电池</t>
    </r>
    <r>
      <rPr>
        <sz val="9"/>
        <color theme="1"/>
        <rFont val="宋体"/>
        <family val="2"/>
        <charset val="134"/>
        <scheme val="minor"/>
      </rPr>
      <t>动力交通船“三峡氢舟1号”正在建设。</t>
    </r>
    <phoneticPr fontId="1" type="noConversion"/>
  </si>
  <si>
    <t xml:space="preserve">
</t>
    <phoneticPr fontId="1" type="noConversion"/>
  </si>
  <si>
    <r>
      <t>1.</t>
    </r>
    <r>
      <rPr>
        <b/>
        <sz val="9"/>
        <color rgb="FFFF0000"/>
        <rFont val="宋体"/>
        <family val="3"/>
        <charset val="134"/>
        <scheme val="minor"/>
      </rPr>
      <t>培育钻石和工业金刚石</t>
    </r>
    <r>
      <rPr>
        <sz val="9"/>
        <color theme="1"/>
        <rFont val="宋体"/>
        <family val="2"/>
        <charset val="134"/>
        <scheme val="minor"/>
      </rPr>
      <t>虽然分属不同市场领域，但目前来说都是支撑中南钻石高质量可持续发展的重要产品，在公司的心目中地位都是一样的。</t>
    </r>
    <phoneticPr fontId="1" type="noConversion"/>
  </si>
  <si>
    <t>1-1</t>
  </si>
  <si>
    <t>3-0</t>
  </si>
  <si>
    <t>-1-1</t>
  </si>
  <si>
    <r>
      <t>1.钛合金、超导和高温合金的产销量都相应放量，各业务板块前三季度毛利率和净利率未出现下降。2.公司的超导线材目前主要应用于</t>
    </r>
    <r>
      <rPr>
        <sz val="9"/>
        <color rgb="FFFF0000"/>
        <rFont val="宋体"/>
        <family val="3"/>
        <charset val="134"/>
        <scheme val="minor"/>
      </rPr>
      <t>磁约束核聚变、人体核磁共振成像仪（MRI）、核磁共振谱仪（NMR）、磁控直拉单晶硅（MCZ）磁体等领域</t>
    </r>
    <r>
      <rPr>
        <sz val="9"/>
        <color theme="1"/>
        <rFont val="宋体"/>
        <family val="2"/>
        <charset val="134"/>
        <scheme val="minor"/>
      </rPr>
      <t>。</t>
    </r>
    <phoneticPr fontId="1" type="noConversion"/>
  </si>
  <si>
    <t>1.公司短期内面临的短板是产能瓶颈。面临的风险是原材料涨价及产品降价。2.生产高端钛合金及高温合金的设备目前以进口设备为主，但国产设备也可以作为替代，不存在过分依赖进口设备的情况。贸易战目前未影响产能搭建。3.尽管公司目前面临产能不足的情况，但未来会继续拓展和巩固在民用和外贸领域的市场，为公司的长远发展做好规划。</t>
    <phoneticPr fontId="1" type="noConversion"/>
  </si>
  <si>
    <t>2.87亿</t>
  </si>
  <si>
    <t>2-1</t>
  </si>
  <si>
    <t>67.14亿</t>
  </si>
  <si>
    <t>23.05亿</t>
  </si>
  <si>
    <t>10派0.55元(含税)</t>
  </si>
  <si>
    <t>5.92亿</t>
  </si>
  <si>
    <t>4.91亿</t>
  </si>
  <si>
    <t>-8.02亿</t>
  </si>
  <si>
    <t>-1-0</t>
  </si>
  <si>
    <t>3.23亿</t>
  </si>
  <si>
    <t>4.17亿</t>
  </si>
  <si>
    <t>49.42亿</t>
  </si>
  <si>
    <t>376.60亿</t>
  </si>
  <si>
    <t>3.09亿</t>
  </si>
  <si>
    <t>5.55亿</t>
  </si>
  <si>
    <t>4000.00万</t>
  </si>
  <si>
    <t>5.76亿</t>
  </si>
  <si>
    <t>3.50亿</t>
  </si>
  <si>
    <t>42.56亿</t>
  </si>
  <si>
    <t>45.28亿</t>
  </si>
  <si>
    <t>5.57亿</t>
  </si>
  <si>
    <t>2394.91万</t>
  </si>
  <si>
    <t>4.00亿</t>
  </si>
  <si>
    <t>5.85亿</t>
  </si>
  <si>
    <t>10派0.1元(含税)</t>
  </si>
  <si>
    <t>2.56亿</t>
  </si>
  <si>
    <t>15.19亿</t>
  </si>
  <si>
    <t>3.43亿</t>
  </si>
  <si>
    <t>6.64亿</t>
  </si>
  <si>
    <t>4.80亿</t>
  </si>
  <si>
    <t>2-0</t>
  </si>
  <si>
    <t>-7.89亿</t>
  </si>
  <si>
    <t>17.13亿</t>
  </si>
  <si>
    <t>13.18亿</t>
  </si>
  <si>
    <t>17.19亿</t>
  </si>
  <si>
    <t>13.97亿</t>
  </si>
  <si>
    <t>2703.36万</t>
  </si>
  <si>
    <t>18.76亿</t>
  </si>
  <si>
    <t>1.89亿</t>
  </si>
  <si>
    <t>3.62亿</t>
  </si>
  <si>
    <t>10派1.2元(含税)</t>
  </si>
  <si>
    <t>3567.90万</t>
  </si>
  <si>
    <t>1309.98万</t>
  </si>
  <si>
    <t>-46.53万</t>
  </si>
  <si>
    <t>25.11亿</t>
  </si>
  <si>
    <t>9.34亿</t>
  </si>
  <si>
    <t>-4581.54万</t>
  </si>
  <si>
    <t>6639.04万</t>
  </si>
  <si>
    <t>5.96亿</t>
  </si>
  <si>
    <t>10派2.5元(含税)</t>
  </si>
  <si>
    <t>1267.46万</t>
  </si>
  <si>
    <t>-1742.56万</t>
  </si>
  <si>
    <t>2689.18万</t>
  </si>
  <si>
    <t>3311.69万</t>
  </si>
  <si>
    <t>SZ301357</t>
  </si>
  <si>
    <t>北方长龙</t>
  </si>
  <si>
    <t>5985.91万</t>
  </si>
  <si>
    <t>9316.14万</t>
  </si>
  <si>
    <t>5217.75万</t>
  </si>
  <si>
    <t>1494.99万</t>
  </si>
  <si>
    <t>194.73亿</t>
  </si>
  <si>
    <t>82.42亿</t>
  </si>
  <si>
    <t>10派0.57元(含税)</t>
  </si>
  <si>
    <t>72.51亿</t>
  </si>
  <si>
    <t>23.46亿</t>
  </si>
  <si>
    <t>38.39亿</t>
  </si>
  <si>
    <t>127.95亿</t>
  </si>
  <si>
    <t>415.98亿</t>
  </si>
  <si>
    <t>346.86亿</t>
  </si>
  <si>
    <t>42.92亿</t>
  </si>
  <si>
    <t>3.03亿</t>
  </si>
  <si>
    <t>105.70亿</t>
  </si>
  <si>
    <t>7.65亿</t>
  </si>
  <si>
    <t>44.46亿</t>
  </si>
  <si>
    <t>174.76亿</t>
  </si>
  <si>
    <t>10派0.7元(含税)</t>
  </si>
  <si>
    <t>370.97亿</t>
  </si>
  <si>
    <t>143.49亿</t>
  </si>
  <si>
    <t>17.14亿</t>
  </si>
  <si>
    <t>7998.34万</t>
  </si>
  <si>
    <t>27.33亿</t>
  </si>
  <si>
    <t>15.16亿</t>
  </si>
  <si>
    <t>441.55亿</t>
  </si>
  <si>
    <t>3509.48万</t>
  </si>
  <si>
    <t>27.82亿</t>
  </si>
  <si>
    <t>11.15亿</t>
  </si>
  <si>
    <t>24.57亿</t>
  </si>
  <si>
    <t>6.72亿</t>
  </si>
  <si>
    <t>42.27亿</t>
  </si>
  <si>
    <t>102.74万</t>
  </si>
  <si>
    <t>3.17亿</t>
  </si>
  <si>
    <t>9444.10万</t>
  </si>
  <si>
    <t>14.54亿</t>
  </si>
  <si>
    <t>-2-0</t>
  </si>
  <si>
    <t>5580.26万</t>
  </si>
  <si>
    <t>27.73亿</t>
  </si>
  <si>
    <t>2006.22万</t>
  </si>
  <si>
    <t>4247.36万</t>
  </si>
  <si>
    <t>5.68亿</t>
  </si>
  <si>
    <t>650.00万</t>
  </si>
  <si>
    <t>6.69亿</t>
  </si>
  <si>
    <t>2.54亿</t>
  </si>
  <si>
    <t>2.09亿</t>
  </si>
  <si>
    <t>5.54亿</t>
  </si>
  <si>
    <t>3.91亿</t>
  </si>
  <si>
    <t>13.25亿</t>
  </si>
  <si>
    <t>3.29亿</t>
  </si>
  <si>
    <t>7.73亿</t>
  </si>
  <si>
    <t>2.47亿</t>
  </si>
  <si>
    <t>3.34亿</t>
  </si>
  <si>
    <t>3.32亿</t>
  </si>
  <si>
    <t>6.21亿</t>
  </si>
  <si>
    <t>4.43亿</t>
  </si>
  <si>
    <t>3.40亿</t>
  </si>
  <si>
    <t>7.54亿</t>
  </si>
  <si>
    <t>SH688523</t>
  </si>
  <si>
    <t>航天环宇</t>
  </si>
  <si>
    <t>SH688543</t>
  </si>
  <si>
    <t>国科军工</t>
  </si>
  <si>
    <t>7543.26万</t>
  </si>
  <si>
    <t>SZ002111</t>
  </si>
  <si>
    <t>威海广泰</t>
  </si>
  <si>
    <t>4.42亿</t>
  </si>
  <si>
    <t>29.65亿</t>
  </si>
  <si>
    <t>25.51亿</t>
  </si>
  <si>
    <t>21.87亿</t>
  </si>
  <si>
    <t>3.83亿</t>
  </si>
  <si>
    <t>建设工业</t>
  </si>
  <si>
    <t>4-0</t>
  </si>
  <si>
    <t>-3-0</t>
  </si>
  <si>
    <t>SH688563</t>
  </si>
  <si>
    <t>航材股份</t>
  </si>
  <si>
    <t>23.35亿</t>
  </si>
  <si>
    <t>中国海防</t>
  </si>
  <si>
    <t>4.20亿</t>
  </si>
  <si>
    <t>6.63亿</t>
  </si>
  <si>
    <t>2.99亿</t>
  </si>
  <si>
    <t>13.29亿</t>
  </si>
  <si>
    <t>5.44亿</t>
  </si>
  <si>
    <t>3.19亿</t>
  </si>
  <si>
    <t>-2-1</t>
  </si>
  <si>
    <t>43.33亿</t>
  </si>
  <si>
    <t>33.69亿</t>
  </si>
  <si>
    <t>23.23亿</t>
  </si>
  <si>
    <t>22.01亿</t>
  </si>
  <si>
    <t>10.73亿</t>
  </si>
  <si>
    <t>24.60亿</t>
  </si>
  <si>
    <t>8.53亿</t>
  </si>
  <si>
    <t>27.30亿</t>
  </si>
  <si>
    <t>1.97亿</t>
  </si>
  <si>
    <t>6.02亿</t>
  </si>
  <si>
    <t>8.90亿</t>
  </si>
  <si>
    <t>5.14亿</t>
  </si>
  <si>
    <t>10.49亿</t>
  </si>
  <si>
    <t>8.07亿</t>
  </si>
  <si>
    <t>3.56亿</t>
  </si>
  <si>
    <t>10.31亿</t>
  </si>
  <si>
    <t>5.79亿</t>
  </si>
  <si>
    <t>11.08亿</t>
  </si>
  <si>
    <t>6.43亿</t>
  </si>
  <si>
    <t>8.34亿</t>
  </si>
  <si>
    <t>6.16亿</t>
  </si>
  <si>
    <t>7.49亿</t>
  </si>
  <si>
    <t>8.73亿</t>
  </si>
  <si>
    <t>6.26亿</t>
  </si>
  <si>
    <t>8.86亿</t>
  </si>
  <si>
    <t>8.55亿</t>
  </si>
  <si>
    <t>7.76亿</t>
  </si>
  <si>
    <t>5.73亿</t>
  </si>
  <si>
    <t>8.15亿</t>
  </si>
  <si>
    <t>9.44亿</t>
  </si>
  <si>
    <t>-1.55亿</t>
  </si>
  <si>
    <t>7.25亿</t>
  </si>
  <si>
    <t>5.99亿</t>
  </si>
  <si>
    <t>35.92亿</t>
  </si>
  <si>
    <t>14.15亿</t>
  </si>
  <si>
    <t>中航机载</t>
  </si>
  <si>
    <t>26.64亿</t>
  </si>
  <si>
    <t>3.35亿</t>
  </si>
  <si>
    <t>15.28亿</t>
  </si>
  <si>
    <t>-2.17亿</t>
  </si>
  <si>
    <t>9.76亿</t>
  </si>
  <si>
    <t>3.88亿</t>
  </si>
  <si>
    <t>12.14亿</t>
  </si>
  <si>
    <t>724837亿</t>
  </si>
  <si>
    <t>-1.01亿</t>
  </si>
  <si>
    <t>4.72万</t>
  </si>
  <si>
    <t>-3-1</t>
  </si>
  <si>
    <t>-1.57亿</t>
  </si>
  <si>
    <t>16.58亿</t>
  </si>
  <si>
    <t>8332.45万</t>
  </si>
  <si>
    <t>8691.70万</t>
  </si>
  <si>
    <t>6667.35万</t>
  </si>
  <si>
    <t>5.74亿</t>
  </si>
  <si>
    <t>6337.79万</t>
  </si>
  <si>
    <t>1316.86万</t>
  </si>
  <si>
    <t>3.65亿</t>
  </si>
  <si>
    <t>19.47亿</t>
  </si>
  <si>
    <t>14.53亿</t>
  </si>
  <si>
    <t>7.14亿</t>
  </si>
  <si>
    <t>-1.16亿</t>
  </si>
  <si>
    <r>
      <t>0.石英玻璃是半导体</t>
    </r>
    <r>
      <rPr>
        <sz val="9"/>
        <color rgb="FFFF0000"/>
        <rFont val="宋体"/>
        <family val="3"/>
        <charset val="134"/>
        <scheme val="minor"/>
      </rPr>
      <t>刻蚀、扩散、氧化</t>
    </r>
    <r>
      <rPr>
        <sz val="9"/>
        <color theme="1"/>
        <rFont val="宋体"/>
        <family val="2"/>
        <charset val="134"/>
        <scheme val="minor"/>
      </rPr>
      <t>等工序所需的重要耗材；0-0.</t>
    </r>
    <r>
      <rPr>
        <sz val="9"/>
        <color rgb="FFFF0000"/>
        <rFont val="宋体"/>
        <family val="3"/>
        <charset val="134"/>
        <scheme val="minor"/>
      </rPr>
      <t>玻璃纤维</t>
    </r>
    <r>
      <rPr>
        <sz val="9"/>
        <color theme="1"/>
        <rFont val="宋体"/>
        <family val="2"/>
        <charset val="134"/>
        <scheme val="minor"/>
      </rPr>
      <t>的二氧化硅含量在60%左右，使用温度达到600℃左右;</t>
    </r>
    <r>
      <rPr>
        <b/>
        <sz val="9"/>
        <color rgb="FFFF0000"/>
        <rFont val="宋体"/>
        <family val="3"/>
        <charset val="134"/>
        <scheme val="minor"/>
      </rPr>
      <t>石英纤维</t>
    </r>
    <r>
      <rPr>
        <sz val="9"/>
        <color theme="1"/>
        <rFont val="宋体"/>
        <family val="2"/>
        <charset val="134"/>
        <scheme val="minor"/>
      </rPr>
      <t>是指二氧化硅含量大于99.95%以上，单丝直径在1~13μm左右的特种的玻璃纤维，正常情况下可以在1050 ℃的温度下使用，耐高温性极好。</t>
    </r>
    <phoneticPr fontId="1" type="noConversion"/>
  </si>
  <si>
    <r>
      <t>0.玻璃纤维由于价格的原因有着很大的优势，石英纤维没有竞争力。然而在高温和透波，绝缘方面，石英纤维是目前无机纤维中性能很好的。简单来说，低温环境玻纤和石英纤维都能用，在超高温行业玻纤就要被淘汰，石英纤维的优势更大。1.</t>
    </r>
    <r>
      <rPr>
        <sz val="9"/>
        <color rgb="FFFF0000"/>
        <rFont val="宋体"/>
        <family val="3"/>
        <charset val="134"/>
        <scheme val="minor"/>
      </rPr>
      <t>高温工艺主要使用羟基含量低</t>
    </r>
    <r>
      <rPr>
        <sz val="9"/>
        <color theme="1"/>
        <rFont val="宋体"/>
        <family val="2"/>
        <charset val="134"/>
        <scheme val="minor"/>
      </rPr>
      <t>的电熔石英玻璃材料。</t>
    </r>
    <r>
      <rPr>
        <sz val="9"/>
        <color rgb="FFFF0000"/>
        <rFont val="宋体"/>
        <family val="3"/>
        <charset val="134"/>
        <scheme val="minor"/>
      </rPr>
      <t>低温工艺</t>
    </r>
    <r>
      <rPr>
        <sz val="9"/>
        <color theme="1"/>
        <rFont val="宋体"/>
        <family val="2"/>
        <charset val="134"/>
        <scheme val="minor"/>
      </rPr>
      <t>包括刻蚀、封装、光刻、清洗等，由于石英部件无须经历高温过程，因此对石英材料的</t>
    </r>
    <r>
      <rPr>
        <sz val="9"/>
        <color rgb="FFFF0000"/>
        <rFont val="宋体"/>
        <family val="3"/>
        <charset val="134"/>
        <scheme val="minor"/>
      </rPr>
      <t>羟基含量无要求</t>
    </r>
    <r>
      <rPr>
        <sz val="9"/>
        <color theme="1"/>
        <rFont val="宋体"/>
        <family val="2"/>
        <charset val="134"/>
        <scheme val="minor"/>
      </rPr>
      <t xml:space="preserve">；2.石英制品规模与半导体销售规模的比例约为 </t>
    </r>
    <r>
      <rPr>
        <b/>
        <sz val="9"/>
        <color rgb="FFFF0000"/>
        <rFont val="宋体"/>
        <family val="3"/>
        <charset val="134"/>
        <scheme val="minor"/>
      </rPr>
      <t>6.6:1000</t>
    </r>
    <r>
      <rPr>
        <sz val="9"/>
        <color theme="1"/>
        <rFont val="宋体"/>
        <family val="2"/>
        <charset val="134"/>
        <scheme val="minor"/>
      </rPr>
      <t>；</t>
    </r>
    <phoneticPr fontId="1" type="noConversion"/>
  </si>
  <si>
    <t>50.88亿</t>
  </si>
  <si>
    <t>61.16亿</t>
  </si>
  <si>
    <t>8.28亿</t>
  </si>
  <si>
    <t>-12172683亿</t>
  </si>
  <si>
    <t>1537951800亿</t>
  </si>
  <si>
    <t>10127766900亿</t>
  </si>
  <si>
    <t>-3428.26万</t>
  </si>
  <si>
    <t>-1.15亿</t>
  </si>
  <si>
    <t>22.75亿</t>
  </si>
  <si>
    <t>14.70亿</t>
  </si>
  <si>
    <t>5234.19万</t>
  </si>
  <si>
    <t>1501460亿</t>
  </si>
  <si>
    <t>-62330648亿</t>
  </si>
  <si>
    <t>1501738300亿</t>
  </si>
  <si>
    <t>3088080700亿</t>
  </si>
  <si>
    <t>11.59亿</t>
  </si>
  <si>
    <t>9701.20万</t>
  </si>
  <si>
    <t>9767.57万</t>
  </si>
  <si>
    <t>-1887.84万</t>
  </si>
  <si>
    <t>7784.87万</t>
  </si>
  <si>
    <t>-2.33亿</t>
  </si>
  <si>
    <t>-1906502亿</t>
  </si>
  <si>
    <t>7571162亿</t>
  </si>
  <si>
    <t>171435980亿</t>
  </si>
  <si>
    <t>887104900亿</t>
  </si>
  <si>
    <t>8490.59万</t>
  </si>
  <si>
    <t>2145.04万</t>
  </si>
  <si>
    <t>33.85亿</t>
  </si>
  <si>
    <t>-2.62亿</t>
  </si>
  <si>
    <t>-92284亿</t>
  </si>
  <si>
    <t>-75838378亿</t>
  </si>
  <si>
    <t>457296330亿</t>
  </si>
  <si>
    <t>1815190900亿</t>
  </si>
  <si>
    <t>-8799.70万</t>
  </si>
  <si>
    <t>7.12亿</t>
  </si>
  <si>
    <t>11.04亿</t>
  </si>
  <si>
    <t>35.74亿</t>
  </si>
  <si>
    <t>53.24亿</t>
  </si>
  <si>
    <t>7.27亿</t>
  </si>
  <si>
    <t>1875000亿</t>
  </si>
  <si>
    <t>255052180亿</t>
  </si>
  <si>
    <t>2777078200亿</t>
  </si>
  <si>
    <t>11278341900亿</t>
  </si>
  <si>
    <t>13.33亿</t>
  </si>
  <si>
    <t>9.83亿</t>
  </si>
  <si>
    <t>13.41亿</t>
  </si>
  <si>
    <t>10派1.66元(含税)</t>
  </si>
  <si>
    <t>613.76亿</t>
  </si>
  <si>
    <t>84.55亿</t>
  </si>
  <si>
    <t>403.01亿</t>
  </si>
  <si>
    <t>8.61亿</t>
  </si>
  <si>
    <t>-4773566亿</t>
  </si>
  <si>
    <t>277208900亿</t>
  </si>
  <si>
    <t>22290157000亿</t>
  </si>
  <si>
    <t>62474823000亿</t>
  </si>
  <si>
    <t>79.43亿</t>
  </si>
  <si>
    <t>31.11亿</t>
  </si>
  <si>
    <t>10.53亿</t>
  </si>
  <si>
    <t>4683.63万</t>
  </si>
  <si>
    <t>-7832652亿</t>
  </si>
  <si>
    <t>15114145亿</t>
  </si>
  <si>
    <t>638006580亿</t>
  </si>
  <si>
    <t>1955501700亿</t>
  </si>
  <si>
    <t>12.92亿</t>
  </si>
  <si>
    <t>1289.51万</t>
  </si>
  <si>
    <t>1272.55万</t>
  </si>
  <si>
    <t>34.08亿</t>
  </si>
  <si>
    <t>27.65亿</t>
  </si>
  <si>
    <t>24.04亿</t>
  </si>
  <si>
    <t>-13897亿</t>
  </si>
  <si>
    <t>46199864亿</t>
  </si>
  <si>
    <t>1509282600亿</t>
  </si>
  <si>
    <t>4324472400亿</t>
  </si>
  <si>
    <t>30.79亿</t>
  </si>
  <si>
    <t>5123.33万</t>
  </si>
  <si>
    <t>3059.81万</t>
  </si>
  <si>
    <t>24.15亿</t>
  </si>
  <si>
    <t>10558783亿</t>
  </si>
  <si>
    <t>12448528亿</t>
  </si>
  <si>
    <t>1214399860亿</t>
  </si>
  <si>
    <t>4747807000亿</t>
  </si>
  <si>
    <t>2927.54万</t>
  </si>
  <si>
    <t>339210亿</t>
  </si>
  <si>
    <t>-4847362亿</t>
  </si>
  <si>
    <t>275687910亿</t>
  </si>
  <si>
    <t>1497657900亿</t>
  </si>
  <si>
    <t>731.45万</t>
  </si>
  <si>
    <t>7.11亿</t>
  </si>
  <si>
    <t>10派0.25元(含税)</t>
  </si>
  <si>
    <t>11.79亿</t>
  </si>
  <si>
    <t>24.36亿</t>
  </si>
  <si>
    <t>28.66亿</t>
  </si>
  <si>
    <t>1051509亿</t>
  </si>
  <si>
    <t>2687786300亿</t>
  </si>
  <si>
    <t>6045189300亿</t>
  </si>
  <si>
    <t>1864.85万</t>
  </si>
  <si>
    <t>12.70亿</t>
  </si>
  <si>
    <t>-1.72亿</t>
  </si>
  <si>
    <t>13.59亿</t>
  </si>
  <si>
    <t>11.87亿</t>
  </si>
  <si>
    <t>11.44亿</t>
  </si>
  <si>
    <t>7.03亿</t>
  </si>
  <si>
    <t>14.94亿</t>
  </si>
  <si>
    <t>131125714亿</t>
  </si>
  <si>
    <t>1211137630亿</t>
  </si>
  <si>
    <t>7519166100亿</t>
  </si>
  <si>
    <t>54481071亿</t>
  </si>
  <si>
    <t>281147950亿</t>
  </si>
  <si>
    <t>2199189100亿</t>
  </si>
  <si>
    <t>8017.21万</t>
  </si>
  <si>
    <t>7.60亿</t>
  </si>
  <si>
    <t>4507.16万</t>
  </si>
  <si>
    <t>7.71亿</t>
  </si>
  <si>
    <t>5397.55万</t>
  </si>
  <si>
    <t>-397919亿</t>
  </si>
  <si>
    <t>-12324821亿</t>
  </si>
  <si>
    <t>816352170亿</t>
  </si>
  <si>
    <t>2029057700亿</t>
  </si>
  <si>
    <t>138.95万</t>
  </si>
  <si>
    <t>2114.46万</t>
  </si>
  <si>
    <t>9160.39万</t>
  </si>
  <si>
    <t>4.16亿</t>
  </si>
  <si>
    <t>1425.08万</t>
  </si>
  <si>
    <t>680503亿</t>
  </si>
  <si>
    <t>-7748689亿</t>
  </si>
  <si>
    <t>316261780亿</t>
  </si>
  <si>
    <t>2007254500亿</t>
  </si>
  <si>
    <t>129.24万</t>
  </si>
  <si>
    <t>-2.03亿</t>
  </si>
  <si>
    <t>-5764.59万</t>
  </si>
  <si>
    <t>4410.43万</t>
  </si>
  <si>
    <t>-1190.23万</t>
  </si>
  <si>
    <t>8.04亿</t>
  </si>
  <si>
    <t>4.92亿</t>
  </si>
  <si>
    <t>9.54亿</t>
  </si>
  <si>
    <t>367782亿</t>
  </si>
  <si>
    <t>71822631亿</t>
  </si>
  <si>
    <t>7.52亿</t>
  </si>
  <si>
    <t>1966180700亿</t>
  </si>
  <si>
    <t>3232107200亿</t>
  </si>
  <si>
    <t>4.39亿</t>
  </si>
  <si>
    <t>14.42亿</t>
  </si>
  <si>
    <t>11.80亿</t>
  </si>
  <si>
    <t>9601.27万</t>
  </si>
  <si>
    <t>5961121亿</t>
  </si>
  <si>
    <t>564767510亿</t>
  </si>
  <si>
    <t>2238283300亿</t>
  </si>
  <si>
    <t>1220.00万</t>
  </si>
  <si>
    <t>2755.87万</t>
  </si>
  <si>
    <t>23.91亿</t>
  </si>
  <si>
    <t>6.73亿</t>
  </si>
  <si>
    <t>-859909亿</t>
  </si>
  <si>
    <t>29595509亿</t>
  </si>
  <si>
    <t>317331440亿</t>
  </si>
  <si>
    <t>3044141400亿</t>
  </si>
  <si>
    <t>2450.00万</t>
  </si>
  <si>
    <t>13.91亿</t>
  </si>
  <si>
    <t>793.81万</t>
  </si>
  <si>
    <t>34.93亿</t>
  </si>
  <si>
    <t>37.27亿</t>
  </si>
  <si>
    <t>-5534598亿</t>
  </si>
  <si>
    <t>92295270亿</t>
  </si>
  <si>
    <t>1546945100亿</t>
  </si>
  <si>
    <t>4924991100亿</t>
  </si>
  <si>
    <t>6007.10万</t>
  </si>
  <si>
    <t>10派1.24元(含税)</t>
  </si>
  <si>
    <t>4687.54万</t>
  </si>
  <si>
    <t>-4798155亿</t>
  </si>
  <si>
    <t>-2437727亿</t>
  </si>
  <si>
    <t>371531520亿</t>
  </si>
  <si>
    <t>1412296100亿</t>
  </si>
  <si>
    <t>101.03万</t>
  </si>
  <si>
    <t>1000.00万</t>
  </si>
  <si>
    <t>1.22万</t>
  </si>
  <si>
    <t>469.91万</t>
  </si>
  <si>
    <t>15.49亿</t>
  </si>
  <si>
    <t>12.67亿</t>
  </si>
  <si>
    <t>-1.80亿</t>
  </si>
  <si>
    <t>17.05亿</t>
  </si>
  <si>
    <t>14.14亿</t>
  </si>
  <si>
    <t>20.91亿</t>
  </si>
  <si>
    <t>5.38亿</t>
  </si>
  <si>
    <t>2883830亿</t>
  </si>
  <si>
    <t>49124741亿</t>
  </si>
  <si>
    <t>544868660亿</t>
  </si>
  <si>
    <t>3111366800亿</t>
  </si>
  <si>
    <t>10派2.1元(含税)</t>
  </si>
  <si>
    <t>16.92亿</t>
  </si>
  <si>
    <t>15.79亿</t>
  </si>
  <si>
    <t>2403.51万</t>
  </si>
  <si>
    <t>3731179亿</t>
  </si>
  <si>
    <t>9971853亿</t>
  </si>
  <si>
    <t>643247640亿</t>
  </si>
  <si>
    <t>1617102400亿</t>
  </si>
  <si>
    <t>-215.00万</t>
  </si>
  <si>
    <t>9-0</t>
  </si>
  <si>
    <t>13.68亿</t>
  </si>
  <si>
    <t>6.03亿</t>
  </si>
  <si>
    <t>-11927479亿</t>
  </si>
  <si>
    <t>105582253亿</t>
  </si>
  <si>
    <t>2404973600亿</t>
  </si>
  <si>
    <t>-530.86万</t>
  </si>
  <si>
    <t>-1991.95万</t>
  </si>
  <si>
    <t>132.20万</t>
  </si>
  <si>
    <t>575.42万</t>
  </si>
  <si>
    <t>-15286283亿</t>
  </si>
  <si>
    <t>431540800亿</t>
  </si>
  <si>
    <t>988646480亿</t>
  </si>
  <si>
    <t>3015.73万</t>
  </si>
  <si>
    <t>-839.43万</t>
  </si>
  <si>
    <t>10派0.13元(含税)</t>
  </si>
  <si>
    <t>15.09亿</t>
  </si>
  <si>
    <t>3.57亿</t>
  </si>
  <si>
    <t>4407.43万</t>
  </si>
  <si>
    <t>-1366727亿</t>
  </si>
  <si>
    <t>13407458亿</t>
  </si>
  <si>
    <t>412667680亿</t>
  </si>
  <si>
    <t>1317373070亿</t>
  </si>
  <si>
    <t>538.14万</t>
  </si>
  <si>
    <t>5345.25万</t>
  </si>
  <si>
    <t>-2313.47万</t>
  </si>
  <si>
    <t>12496亿</t>
  </si>
  <si>
    <t>-43861亿</t>
  </si>
  <si>
    <t>323041480亿</t>
  </si>
  <si>
    <t>773956580亿</t>
  </si>
  <si>
    <t>4467.78万</t>
  </si>
  <si>
    <t>-581.22万</t>
  </si>
  <si>
    <t>5472.43万</t>
  </si>
  <si>
    <t>6885.58万</t>
  </si>
  <si>
    <t>-199850亿</t>
  </si>
  <si>
    <t>-8263971亿</t>
  </si>
  <si>
    <t>303108580亿</t>
  </si>
  <si>
    <t>1483367500亿</t>
  </si>
  <si>
    <t>5639.78万</t>
  </si>
  <si>
    <t>25.18亿</t>
  </si>
  <si>
    <t>125950366亿</t>
  </si>
  <si>
    <t>755072980亿</t>
  </si>
  <si>
    <t>3623067700亿</t>
  </si>
  <si>
    <t>4626.85万</t>
  </si>
  <si>
    <t>9675.24万</t>
  </si>
  <si>
    <t>8.51亿</t>
  </si>
  <si>
    <t>8.13万</t>
  </si>
  <si>
    <t>5332865亿</t>
  </si>
  <si>
    <t>722469070亿</t>
  </si>
  <si>
    <t>1311525430亿</t>
  </si>
  <si>
    <t>64.01万</t>
  </si>
  <si>
    <t>7892.60万</t>
  </si>
  <si>
    <t>7573.03万</t>
  </si>
  <si>
    <t>-10095亿</t>
  </si>
  <si>
    <t>7353981亿</t>
  </si>
  <si>
    <t>170719290亿</t>
  </si>
  <si>
    <t>541940460亿</t>
  </si>
  <si>
    <t>1.38万</t>
  </si>
  <si>
    <t>6484.36万</t>
  </si>
  <si>
    <t>1318.86万</t>
  </si>
  <si>
    <t>10转2股派1.6元(含税)</t>
  </si>
  <si>
    <t>3.10亿</t>
  </si>
  <si>
    <t>17.06亿</t>
  </si>
  <si>
    <t>6.93亿</t>
  </si>
  <si>
    <t>28.51亿</t>
  </si>
  <si>
    <t>24.94亿</t>
  </si>
  <si>
    <t>15.18亿</t>
  </si>
  <si>
    <t>2427555亿</t>
  </si>
  <si>
    <t>207818920亿</t>
  </si>
  <si>
    <t>2269584600亿</t>
  </si>
  <si>
    <t>6881633400亿</t>
  </si>
  <si>
    <t>432.64万</t>
  </si>
  <si>
    <t>10派1.82元(含税)</t>
  </si>
  <si>
    <t>609367亿</t>
  </si>
  <si>
    <t>53541956亿</t>
  </si>
  <si>
    <t>540769200亿</t>
  </si>
  <si>
    <t>2570217100亿</t>
  </si>
  <si>
    <t>10派1.19元(含税)</t>
  </si>
  <si>
    <t>4988.84万</t>
  </si>
  <si>
    <t>551680亿</t>
  </si>
  <si>
    <t>-14536519亿</t>
  </si>
  <si>
    <t>427093390亿</t>
  </si>
  <si>
    <t>937539210亿</t>
  </si>
  <si>
    <t>1433.65万</t>
  </si>
  <si>
    <t>2137.44万</t>
  </si>
  <si>
    <t>-6790.42万</t>
  </si>
  <si>
    <t>108601亿</t>
  </si>
  <si>
    <t>-8868591亿</t>
  </si>
  <si>
    <t>169722600亿</t>
  </si>
  <si>
    <t>879849690亿</t>
  </si>
  <si>
    <t>26.50亿</t>
  </si>
  <si>
    <t>7.40亿</t>
  </si>
  <si>
    <t>-623818亿</t>
  </si>
  <si>
    <t>27080606亿</t>
  </si>
  <si>
    <t>783321270亿</t>
  </si>
  <si>
    <t>1764832300亿</t>
  </si>
  <si>
    <t>9.17亿</t>
  </si>
  <si>
    <t>10送2股转2股派1元(含税)</t>
  </si>
  <si>
    <t>8319.80万</t>
  </si>
  <si>
    <t>3852.50万</t>
  </si>
  <si>
    <t>3218.89万</t>
  </si>
  <si>
    <t>25392亿</t>
  </si>
  <si>
    <t>9981025亿</t>
  </si>
  <si>
    <t>33081695亿</t>
  </si>
  <si>
    <t>627680050亿</t>
  </si>
  <si>
    <t>-1.02亿</t>
  </si>
  <si>
    <t>*ST恒宇</t>
  </si>
  <si>
    <t>3465.01万</t>
  </si>
  <si>
    <t>-8176.94万</t>
  </si>
  <si>
    <t>4236883亿</t>
  </si>
  <si>
    <t>4428324亿</t>
  </si>
  <si>
    <t>208655210亿</t>
  </si>
  <si>
    <t>1035635020亿</t>
  </si>
  <si>
    <t>-2.22亿</t>
  </si>
  <si>
    <t>11.21亿</t>
  </si>
  <si>
    <t>2474.11万</t>
  </si>
  <si>
    <t>1154.07万</t>
  </si>
  <si>
    <t>1727503亿</t>
  </si>
  <si>
    <t>730770亿</t>
  </si>
  <si>
    <t>328251850亿</t>
  </si>
  <si>
    <t>922059640亿</t>
  </si>
  <si>
    <t>-2.27亿</t>
  </si>
  <si>
    <t>8019.59万</t>
  </si>
  <si>
    <t>10转4股派0.5元(含税)</t>
  </si>
  <si>
    <t>10派1.31元(含税)</t>
  </si>
  <si>
    <t>320.11亿</t>
  </si>
  <si>
    <t>33.73亿</t>
  </si>
  <si>
    <t>233.30亿</t>
  </si>
  <si>
    <t>592245亿</t>
  </si>
  <si>
    <t>118414042亿</t>
  </si>
  <si>
    <t>6116251700亿</t>
  </si>
  <si>
    <t>35191158000亿</t>
  </si>
  <si>
    <t>1253.60亿</t>
  </si>
  <si>
    <t>152.70亿</t>
  </si>
  <si>
    <t>748.39亿</t>
  </si>
  <si>
    <t>29.57亿</t>
  </si>
  <si>
    <t>51102709亿</t>
  </si>
  <si>
    <t>338368350亿</t>
  </si>
  <si>
    <t>2240672500亿</t>
  </si>
  <si>
    <t>132760748000亿</t>
  </si>
  <si>
    <t>594.85亿</t>
  </si>
  <si>
    <t>10派2.0元(含税)</t>
  </si>
  <si>
    <t>15.56亿</t>
  </si>
  <si>
    <t>6917.06万</t>
  </si>
  <si>
    <t>2495948亿</t>
  </si>
  <si>
    <t>-17760928亿</t>
  </si>
  <si>
    <t>347615070亿</t>
  </si>
  <si>
    <t>2889473400亿</t>
  </si>
  <si>
    <t>7101.51万</t>
  </si>
  <si>
    <t>103.23亿</t>
  </si>
  <si>
    <t>3250.12万</t>
  </si>
  <si>
    <t>-2701436亿</t>
  </si>
  <si>
    <t>-10866294亿</t>
  </si>
  <si>
    <t>2704651600亿</t>
  </si>
  <si>
    <t>13315853300亿</t>
  </si>
  <si>
    <t>10派0.15元(含税)</t>
  </si>
  <si>
    <t>358.28亿</t>
  </si>
  <si>
    <t>56.43亿</t>
  </si>
  <si>
    <t>290.07亿</t>
  </si>
  <si>
    <t>48625156亿</t>
  </si>
  <si>
    <t>361219070亿</t>
  </si>
  <si>
    <t>21822046000亿</t>
  </si>
  <si>
    <t>56244603000亿</t>
  </si>
  <si>
    <t>277.22亿</t>
  </si>
  <si>
    <t>13.51亿</t>
  </si>
  <si>
    <t>62.72亿</t>
  </si>
  <si>
    <t>10派1.26元(含税)</t>
  </si>
  <si>
    <t>46.00亿</t>
  </si>
  <si>
    <t>45.18亿</t>
  </si>
  <si>
    <t>4815.64万</t>
  </si>
  <si>
    <t>-2713亿</t>
  </si>
  <si>
    <t>-6682742亿</t>
  </si>
  <si>
    <t>1582362400亿</t>
  </si>
  <si>
    <t>6077782100亿</t>
  </si>
  <si>
    <t>4671.87万</t>
  </si>
  <si>
    <t>38.17亿</t>
  </si>
  <si>
    <t>7860.70万</t>
  </si>
  <si>
    <t>35.65亿</t>
  </si>
  <si>
    <t>-59080659亿</t>
  </si>
  <si>
    <t>3016743700亿</t>
  </si>
  <si>
    <t>5523783500亿</t>
  </si>
  <si>
    <t>27.97亿</t>
  </si>
  <si>
    <t>18.19亿</t>
  </si>
  <si>
    <t>12.20亿</t>
  </si>
  <si>
    <t>312.55亿</t>
  </si>
  <si>
    <t>28.07亿</t>
  </si>
  <si>
    <t>161.46亿</t>
  </si>
  <si>
    <t>4806.76万</t>
  </si>
  <si>
    <t>-1317114亿</t>
  </si>
  <si>
    <t>25228892亿</t>
  </si>
  <si>
    <t>1674211600亿</t>
  </si>
  <si>
    <t>28055508000亿</t>
  </si>
  <si>
    <t>33.14亿</t>
  </si>
  <si>
    <t>10派0.11元(含税)</t>
  </si>
  <si>
    <t>392.09亿</t>
  </si>
  <si>
    <t>94.93亿</t>
  </si>
  <si>
    <t>462.48亿</t>
  </si>
  <si>
    <t>30.07亿</t>
  </si>
  <si>
    <t>-1731476亿</t>
  </si>
  <si>
    <t>718255540亿</t>
  </si>
  <si>
    <t>10185631900亿</t>
  </si>
  <si>
    <t>40435168000亿</t>
  </si>
  <si>
    <t>10派4元(含税)</t>
  </si>
  <si>
    <t>-968206亿</t>
  </si>
  <si>
    <t>3507905500亿</t>
  </si>
  <si>
    <t>9103181300亿</t>
  </si>
  <si>
    <t>131.74亿</t>
  </si>
  <si>
    <t>26.48亿</t>
  </si>
  <si>
    <t>105.77亿</t>
  </si>
  <si>
    <t>-5719302亿</t>
  </si>
  <si>
    <t>288058930亿</t>
  </si>
  <si>
    <t>6935372200亿</t>
  </si>
  <si>
    <t>18272894000亿</t>
  </si>
  <si>
    <t>23.40亿</t>
  </si>
  <si>
    <t>13.17亿</t>
  </si>
  <si>
    <t>15.93亿</t>
  </si>
  <si>
    <t>17.61亿</t>
  </si>
  <si>
    <t>47.80亿</t>
  </si>
  <si>
    <t>1061587亿</t>
  </si>
  <si>
    <t>351080720亿</t>
  </si>
  <si>
    <t>3402993500亿</t>
  </si>
  <si>
    <t>7199929700亿</t>
  </si>
  <si>
    <t>4.25亿</t>
  </si>
  <si>
    <t>10派2.23元(含税)</t>
  </si>
  <si>
    <t>227.91亿</t>
  </si>
  <si>
    <t>38.14亿</t>
  </si>
  <si>
    <t>187.27亿</t>
  </si>
  <si>
    <t>-7035572亿</t>
  </si>
  <si>
    <t>121637268亿</t>
  </si>
  <si>
    <t>9570702100亿</t>
  </si>
  <si>
    <t>39528272000亿</t>
  </si>
  <si>
    <t>10派0.48元(含税)</t>
  </si>
  <si>
    <t>559.40亿</t>
  </si>
  <si>
    <t>437.34亿</t>
  </si>
  <si>
    <t>14.21亿</t>
  </si>
  <si>
    <t>38597565亿</t>
  </si>
  <si>
    <t>105955528亿</t>
  </si>
  <si>
    <t>22121557000亿</t>
  </si>
  <si>
    <t>70220041000亿</t>
  </si>
  <si>
    <t>10派1.6元(含税)</t>
  </si>
  <si>
    <t>122.69亿</t>
  </si>
  <si>
    <t>22.84亿</t>
  </si>
  <si>
    <t>100.10亿</t>
  </si>
  <si>
    <t>1133786亿</t>
  </si>
  <si>
    <t>164707940亿</t>
  </si>
  <si>
    <t>1225116660亿</t>
  </si>
  <si>
    <t>14232254000亿</t>
  </si>
  <si>
    <t>20.86亿</t>
  </si>
  <si>
    <t>18.67亿</t>
  </si>
  <si>
    <t>16.15亿</t>
  </si>
  <si>
    <t>2674.35万</t>
  </si>
  <si>
    <t>-39028282亿</t>
  </si>
  <si>
    <t>1386155000亿</t>
  </si>
  <si>
    <t>2710692600亿</t>
  </si>
  <si>
    <t>10派0.08元(含税)</t>
  </si>
  <si>
    <t>31.84亿</t>
  </si>
  <si>
    <t>26.16亿</t>
  </si>
  <si>
    <t>-11590503亿</t>
  </si>
  <si>
    <t>107171199亿</t>
  </si>
  <si>
    <t>628510370亿</t>
  </si>
  <si>
    <t>8287978800亿</t>
  </si>
  <si>
    <t>5.97亿</t>
  </si>
  <si>
    <t>10派0.248元(含税)</t>
  </si>
  <si>
    <t>19.31亿</t>
  </si>
  <si>
    <t>5885306亿</t>
  </si>
  <si>
    <t>44075323亿</t>
  </si>
  <si>
    <t>438631400亿</t>
  </si>
  <si>
    <t>3995439500亿</t>
  </si>
  <si>
    <t>10派1.05元(含税)</t>
  </si>
  <si>
    <t>1137.62亿</t>
  </si>
  <si>
    <t>101.67亿</t>
  </si>
  <si>
    <t>466.94亿</t>
  </si>
  <si>
    <t>-7.82亿</t>
  </si>
  <si>
    <t>21413831亿</t>
  </si>
  <si>
    <t>88907300亿</t>
  </si>
  <si>
    <t>9304792400亿</t>
  </si>
  <si>
    <t>141199720000亿</t>
  </si>
  <si>
    <t>-22.11亿</t>
  </si>
  <si>
    <t>-3.77亿</t>
  </si>
  <si>
    <t>1247.03万</t>
  </si>
  <si>
    <t>-6831.02万</t>
  </si>
  <si>
    <t>290914910亿</t>
  </si>
  <si>
    <t>685216960亿</t>
  </si>
  <si>
    <t>9.97亿</t>
  </si>
  <si>
    <t>36.18亿</t>
  </si>
  <si>
    <t>2282742亿</t>
  </si>
  <si>
    <t>70262125亿</t>
  </si>
  <si>
    <t>1394817600亿</t>
  </si>
  <si>
    <t>5233446000亿</t>
  </si>
  <si>
    <t>10派12.8元(含税)</t>
  </si>
  <si>
    <t>-4-1</t>
  </si>
  <si>
    <t>41.70亿</t>
  </si>
  <si>
    <t>-580321亿</t>
  </si>
  <si>
    <t>-151687530亿</t>
  </si>
  <si>
    <t>2089378000亿</t>
  </si>
  <si>
    <t>4847320500亿</t>
  </si>
  <si>
    <t>2726.87万</t>
  </si>
  <si>
    <t>-6449.99万</t>
  </si>
  <si>
    <t>-77774亿</t>
  </si>
  <si>
    <t>-35588221亿</t>
  </si>
  <si>
    <t>89537589亿</t>
  </si>
  <si>
    <t>469147350亿</t>
  </si>
  <si>
    <t>-2605.57万</t>
  </si>
  <si>
    <t>53.48亿</t>
  </si>
  <si>
    <t>41.59亿</t>
  </si>
  <si>
    <t>718960亿</t>
  </si>
  <si>
    <t>92722730亿</t>
  </si>
  <si>
    <t>2271779700亿</t>
  </si>
  <si>
    <t>9836386900亿</t>
  </si>
  <si>
    <t>10派7元(含税)</t>
  </si>
  <si>
    <t>-3.98亿</t>
  </si>
  <si>
    <t>27.83亿</t>
  </si>
  <si>
    <t>12.08亿</t>
  </si>
  <si>
    <t>5537.93万</t>
  </si>
  <si>
    <t>1349亿</t>
  </si>
  <si>
    <t>15473572亿</t>
  </si>
  <si>
    <t>465962090亿</t>
  </si>
  <si>
    <t>1577146900亿</t>
  </si>
  <si>
    <t>8581.12万</t>
  </si>
  <si>
    <t>-3500.16万</t>
  </si>
  <si>
    <t>332800亿</t>
  </si>
  <si>
    <t>16228561亿</t>
  </si>
  <si>
    <t>151529980亿</t>
  </si>
  <si>
    <t>2735.27万</t>
  </si>
  <si>
    <t>657076650亿</t>
  </si>
  <si>
    <t>3537.01万</t>
  </si>
  <si>
    <t>5868.62万</t>
  </si>
  <si>
    <t>10派3.4元(含税)</t>
  </si>
  <si>
    <t>21.04亿</t>
  </si>
  <si>
    <t>18.35亿</t>
  </si>
  <si>
    <t>-1400993亿</t>
  </si>
  <si>
    <t>51882925亿</t>
  </si>
  <si>
    <t>1124495390亿</t>
  </si>
  <si>
    <t>2275188700亿</t>
  </si>
  <si>
    <t>12.65亿</t>
  </si>
  <si>
    <t>16084113亿</t>
  </si>
  <si>
    <t>111361681亿</t>
  </si>
  <si>
    <t>817919310亿</t>
  </si>
  <si>
    <t>3886999100亿</t>
  </si>
  <si>
    <t>10转4股派3.4元(含税)</t>
  </si>
  <si>
    <t>*ST导航</t>
  </si>
  <si>
    <t>1131.69万</t>
  </si>
  <si>
    <t>2175.04万</t>
  </si>
  <si>
    <t>-2254.94万</t>
  </si>
  <si>
    <t>-630098亿</t>
  </si>
  <si>
    <t>1036057060亿</t>
  </si>
  <si>
    <t>826.93万</t>
  </si>
  <si>
    <t>1097.93万</t>
  </si>
  <si>
    <t>4794.80万</t>
  </si>
  <si>
    <t>6129.20万</t>
  </si>
  <si>
    <t>21.59亿</t>
  </si>
  <si>
    <t>-35929238亿</t>
  </si>
  <si>
    <t>1400783000亿</t>
  </si>
  <si>
    <t>6944980100亿</t>
  </si>
  <si>
    <t>10派1.77元(含税)</t>
  </si>
  <si>
    <t>3.52亿</t>
  </si>
  <si>
    <t>9020.13万</t>
  </si>
  <si>
    <t>-176947亿</t>
  </si>
  <si>
    <t>31226636亿</t>
  </si>
  <si>
    <t>228050840亿</t>
  </si>
  <si>
    <t>686151970亿</t>
  </si>
  <si>
    <t>4970.43万</t>
  </si>
  <si>
    <t>4131.37万</t>
  </si>
  <si>
    <t>1751.41万</t>
  </si>
  <si>
    <t>1.58万</t>
  </si>
  <si>
    <t>4360.56万</t>
  </si>
  <si>
    <t>1521676亿</t>
  </si>
  <si>
    <t>-2100663亿</t>
  </si>
  <si>
    <t>328656210亿</t>
  </si>
  <si>
    <t>1329146320亿</t>
  </si>
  <si>
    <t>10.40亿</t>
  </si>
  <si>
    <t>2077572亿</t>
  </si>
  <si>
    <t>30353725亿</t>
  </si>
  <si>
    <t>295043270亿</t>
  </si>
  <si>
    <t>2102326400亿</t>
  </si>
  <si>
    <t>10转2股派8元(含税)</t>
  </si>
  <si>
    <t>28.03亿</t>
  </si>
  <si>
    <t>5409315亿</t>
  </si>
  <si>
    <t>127574289亿</t>
  </si>
  <si>
    <t>1361611600亿</t>
  </si>
  <si>
    <t>10950034600亿</t>
  </si>
  <si>
    <t>4.19亿</t>
  </si>
  <si>
    <t>10派3.45元(含税)</t>
  </si>
  <si>
    <t>790818亿</t>
  </si>
  <si>
    <t>54206967亿</t>
  </si>
  <si>
    <t>10.27亿</t>
  </si>
  <si>
    <t>693338600亿</t>
  </si>
  <si>
    <t>2839772000亿</t>
  </si>
  <si>
    <t>10派1.3元(含税)</t>
  </si>
  <si>
    <t>-3.23亿</t>
  </si>
  <si>
    <t>5.93亿</t>
  </si>
  <si>
    <t>7000.10万</t>
  </si>
  <si>
    <t>1524.55万</t>
  </si>
  <si>
    <t>-12336亿</t>
  </si>
  <si>
    <t>5207715亿</t>
  </si>
  <si>
    <t>202204420亿</t>
  </si>
  <si>
    <t>10送3股派0.77元(含税)</t>
  </si>
  <si>
    <r>
      <t>0.公司拥有包括锻造工艺、热处理工艺、机加工艺、性能检测等在内的完整锻件制 造流程，可加工普通碳钢、合金钢、不锈钢以及高温合金、铝合金、钛合金、镁 合金等特种合金，具备跨行业、多规格、大中小批量等多种类型业务的承接能力。0-1.航空锻件产品主要用于</t>
    </r>
    <r>
      <rPr>
        <sz val="9"/>
        <color rgb="FFFF0000"/>
        <rFont val="宋体"/>
        <family val="3"/>
        <charset val="134"/>
        <scheme val="minor"/>
      </rPr>
      <t>航空发动机机匣、燃烧室、密封环、支撑环、承力环</t>
    </r>
    <r>
      <rPr>
        <sz val="9"/>
        <color theme="1"/>
        <rFont val="宋体"/>
        <family val="2"/>
        <charset val="134"/>
        <scheme val="minor"/>
      </rPr>
      <t>等重要部位。</t>
    </r>
    <phoneticPr fontId="1" type="noConversion"/>
  </si>
  <si>
    <r>
      <t>0.金属材料经过锻造加工后，形状、尺寸稳定性好，组织均匀，纤维组织合理，具有优良的综合力学性能，因此机械装备中的</t>
    </r>
    <r>
      <rPr>
        <sz val="9"/>
        <color rgb="FFFF0000"/>
        <rFont val="宋体"/>
        <family val="3"/>
        <charset val="134"/>
        <scheme val="minor"/>
      </rPr>
      <t>主承力结构或次承力结构件一般都是由锻件制成</t>
    </r>
    <r>
      <rPr>
        <sz val="9"/>
        <color theme="1"/>
        <rFont val="宋体"/>
        <family val="2"/>
        <charset val="134"/>
        <scheme val="minor"/>
      </rPr>
      <t>的。1.公司业务布局涉及范围较广，在航空、航天、电力、石化及其他机械等领域均有布局。过去5年营收保持增长态势，与从事军品业务的公司如</t>
    </r>
    <r>
      <rPr>
        <sz val="9"/>
        <color rgb="FFFF0000"/>
        <rFont val="宋体"/>
        <family val="3"/>
        <charset val="134"/>
        <scheme val="minor"/>
      </rPr>
      <t>三角防务、航宇科技</t>
    </r>
    <r>
      <rPr>
        <sz val="9"/>
        <color theme="1"/>
        <rFont val="宋体"/>
        <family val="2"/>
        <charset val="134"/>
        <scheme val="minor"/>
      </rPr>
      <t>等增长幅度相近，与从事民品业务的</t>
    </r>
    <r>
      <rPr>
        <sz val="9"/>
        <color rgb="FFFF0000"/>
        <rFont val="宋体"/>
        <family val="3"/>
        <charset val="134"/>
        <scheme val="minor"/>
      </rPr>
      <t>恒润股份和通裕重工</t>
    </r>
    <r>
      <rPr>
        <sz val="9"/>
        <color theme="1"/>
        <rFont val="宋体"/>
        <family val="2"/>
        <charset val="134"/>
        <scheme val="minor"/>
      </rPr>
      <t>差异较大。2.2021 年陆上风电结束抢装潮，公司</t>
    </r>
    <r>
      <rPr>
        <sz val="9"/>
        <color rgb="FFFF0000"/>
        <rFont val="宋体"/>
        <family val="3"/>
        <charset val="134"/>
        <scheme val="minor"/>
      </rPr>
      <t>风电锻件收入同比下滑</t>
    </r>
    <r>
      <rPr>
        <sz val="9"/>
        <color theme="1"/>
        <rFont val="宋体"/>
        <family val="2"/>
        <charset val="134"/>
        <scheme val="minor"/>
      </rPr>
      <t>32%， 与恒润股份和通裕重工趋势保持一致。</t>
    </r>
    <phoneticPr fontId="1" type="noConversion"/>
  </si>
  <si>
    <t>53.15亿</t>
  </si>
  <si>
    <t>68.81亿</t>
  </si>
  <si>
    <t>-1558057亿</t>
  </si>
  <si>
    <t>1845762700亿</t>
  </si>
  <si>
    <t>10001545700亿</t>
  </si>
  <si>
    <t>0.金属材料经过锻造加工后，形状、尺寸稳定性好，组织均匀，纤维组织合理，具有最佳的综合力学性能。</t>
    <phoneticPr fontId="1" type="noConversion"/>
  </si>
  <si>
    <r>
      <t>0.无实控人；1.在航空锻造领域，</t>
    </r>
    <r>
      <rPr>
        <b/>
        <sz val="9"/>
        <color rgb="FFFF0000"/>
        <rFont val="宋体"/>
        <family val="3"/>
        <charset val="134"/>
        <scheme val="minor"/>
      </rPr>
      <t>大锻件</t>
    </r>
    <r>
      <rPr>
        <sz val="9"/>
        <color theme="1"/>
        <rFont val="宋体"/>
        <family val="2"/>
        <charset val="134"/>
        <scheme val="minor"/>
      </rPr>
      <t>方面，公司的主要和中国二重为下游主机厂提供机体结构件，</t>
    </r>
    <r>
      <rPr>
        <b/>
        <sz val="9"/>
        <color rgb="FFFF0000"/>
        <rFont val="宋体"/>
        <family val="3"/>
        <charset val="134"/>
        <scheme val="minor"/>
      </rPr>
      <t>小锻件</t>
    </r>
    <r>
      <rPr>
        <sz val="9"/>
        <color theme="1"/>
        <rFont val="宋体"/>
        <family val="2"/>
        <charset val="134"/>
        <scheme val="minor"/>
      </rPr>
      <t>方面公司主要和中国二重、中航重机提供飞机结构的中小锻件。</t>
    </r>
    <r>
      <rPr>
        <b/>
        <sz val="9"/>
        <color rgb="FFFF0000"/>
        <rFont val="宋体"/>
        <family val="3"/>
        <charset val="134"/>
        <scheme val="minor"/>
      </rPr>
      <t>发动机锻件</t>
    </r>
    <r>
      <rPr>
        <sz val="9"/>
        <color theme="1"/>
        <rFont val="宋体"/>
        <family val="2"/>
        <charset val="134"/>
        <scheme val="minor"/>
      </rPr>
      <t>方面，主要竞争公司包括航宇科技、派克新材。</t>
    </r>
    <phoneticPr fontId="1" type="noConversion"/>
  </si>
  <si>
    <t>5-1</t>
  </si>
  <si>
    <t>-5-1</t>
  </si>
  <si>
    <t>炼石航空</t>
  </si>
  <si>
    <t>-4-0</t>
  </si>
  <si>
    <t>19.40亿</t>
  </si>
  <si>
    <t>13.43亿</t>
  </si>
  <si>
    <t>3-1</t>
  </si>
  <si>
    <t>9.03亿</t>
  </si>
  <si>
    <t>6.97亿</t>
  </si>
  <si>
    <t>ST瑞科</t>
  </si>
  <si>
    <t>3.46亿</t>
  </si>
  <si>
    <t>8.77亿</t>
  </si>
  <si>
    <t>-7-1</t>
  </si>
  <si>
    <t>2523.81万</t>
  </si>
  <si>
    <t>军工装备</t>
  </si>
  <si>
    <t>105.21亿</t>
  </si>
  <si>
    <t>854.85万</t>
  </si>
  <si>
    <t>247.51万</t>
  </si>
  <si>
    <t>59.92亿</t>
  </si>
  <si>
    <t>11.14亿</t>
  </si>
  <si>
    <t>19.90亿</t>
  </si>
  <si>
    <t>38.72亿</t>
  </si>
  <si>
    <t>14.57亿</t>
  </si>
  <si>
    <t>392.13万</t>
  </si>
  <si>
    <t>19.66亿</t>
  </si>
  <si>
    <t>689.27万</t>
  </si>
  <si>
    <t>4636.20万</t>
  </si>
  <si>
    <t>4.59万</t>
  </si>
  <si>
    <t>18.36亿</t>
  </si>
  <si>
    <t>-3.10亿</t>
  </si>
  <si>
    <t>-8805.44万</t>
  </si>
  <si>
    <t>121.09万</t>
  </si>
  <si>
    <t>1995.95万</t>
  </si>
  <si>
    <t>263.62万</t>
  </si>
  <si>
    <t>16.45亿</t>
  </si>
  <si>
    <t>6506.98万</t>
  </si>
  <si>
    <t>3181.33万</t>
  </si>
  <si>
    <t>228.88万</t>
  </si>
  <si>
    <t>1150.34万</t>
  </si>
  <si>
    <t>337.76万</t>
  </si>
  <si>
    <t>7928.84万</t>
  </si>
  <si>
    <t>383.48万</t>
  </si>
  <si>
    <t>2004.12万</t>
  </si>
  <si>
    <t>4555.32万</t>
  </si>
  <si>
    <t>-611.64万</t>
  </si>
  <si>
    <t>875.20万</t>
  </si>
  <si>
    <t>1497.09万</t>
  </si>
  <si>
    <t>671.15万</t>
  </si>
  <si>
    <t>5.01亿</t>
  </si>
  <si>
    <t>264.32万</t>
  </si>
  <si>
    <t>5928.18万</t>
  </si>
  <si>
    <t>50.01万</t>
  </si>
  <si>
    <t>1607.25万</t>
  </si>
  <si>
    <t>5048.77万</t>
  </si>
  <si>
    <t>245.23万</t>
  </si>
  <si>
    <t>25.71亿</t>
  </si>
  <si>
    <t>2393.95万</t>
  </si>
  <si>
    <t>-9617.47万</t>
  </si>
  <si>
    <t>-1366.38万</t>
  </si>
  <si>
    <t>7976.59万</t>
  </si>
  <si>
    <t>3631.90万</t>
  </si>
  <si>
    <t>552.35万</t>
  </si>
  <si>
    <t>124.67亿</t>
  </si>
  <si>
    <t>11.13亿</t>
  </si>
  <si>
    <t>9.49亿</t>
  </si>
  <si>
    <t>966.42万</t>
  </si>
  <si>
    <t>250.91万</t>
  </si>
  <si>
    <t>38.54亿</t>
  </si>
  <si>
    <t>18.25亿</t>
  </si>
  <si>
    <t>29.10亿</t>
  </si>
  <si>
    <t>-1.95亿</t>
  </si>
  <si>
    <t>-571.79万</t>
  </si>
  <si>
    <t>2569.83万</t>
  </si>
  <si>
    <t>1076.10万</t>
  </si>
  <si>
    <t>198.50亿</t>
  </si>
  <si>
    <t>81.12亿</t>
  </si>
  <si>
    <t>77.75亿</t>
  </si>
  <si>
    <t>9421.76万</t>
  </si>
  <si>
    <t>342.06万</t>
  </si>
  <si>
    <t>83.89亿</t>
  </si>
  <si>
    <t>9.18亿</t>
  </si>
  <si>
    <t>4046.53万</t>
  </si>
  <si>
    <t>104.01亿</t>
  </si>
  <si>
    <t>294.67亿</t>
  </si>
  <si>
    <t>223.56万</t>
  </si>
  <si>
    <t>597.62亿</t>
  </si>
  <si>
    <t>6570.00万</t>
  </si>
  <si>
    <t>-91.39亿</t>
  </si>
  <si>
    <t>-4.46亿</t>
  </si>
  <si>
    <t>-13.29亿</t>
  </si>
  <si>
    <t>5624.87万</t>
  </si>
  <si>
    <t>754.25万</t>
  </si>
  <si>
    <t>42.88亿</t>
  </si>
  <si>
    <t>528.53万</t>
  </si>
  <si>
    <t>3439.64万</t>
  </si>
  <si>
    <t>1.67万</t>
  </si>
  <si>
    <t>3834.79万</t>
  </si>
  <si>
    <t>1712.53万</t>
  </si>
  <si>
    <t>12.34亿</t>
  </si>
  <si>
    <t>16.75亿</t>
  </si>
  <si>
    <t>7641.85万</t>
  </si>
  <si>
    <t>2247.17万</t>
  </si>
  <si>
    <t>-1.05亿</t>
  </si>
  <si>
    <t>4444.90万</t>
  </si>
  <si>
    <t>537.93万</t>
  </si>
  <si>
    <t>31.98亿</t>
  </si>
  <si>
    <t>4.03亿</t>
  </si>
  <si>
    <t>2779.59万</t>
  </si>
  <si>
    <t>4376.73万</t>
  </si>
  <si>
    <t>40.97万</t>
  </si>
  <si>
    <t>112.17万</t>
  </si>
  <si>
    <t>6.50亿</t>
  </si>
  <si>
    <t>19.13亿</t>
  </si>
  <si>
    <t>-8740.03万</t>
  </si>
  <si>
    <t>4844.90万</t>
  </si>
  <si>
    <t>4027.30万</t>
  </si>
  <si>
    <t>214.91万</t>
  </si>
  <si>
    <t>34.39亿</t>
  </si>
  <si>
    <t>8.45亿</t>
  </si>
  <si>
    <t>404.33万</t>
  </si>
  <si>
    <t>6498.69万</t>
  </si>
  <si>
    <t>66.74万</t>
  </si>
  <si>
    <t>7637.66万</t>
  </si>
  <si>
    <t>12.49亿</t>
  </si>
  <si>
    <t>37.28亿</t>
  </si>
  <si>
    <t>-4.73亿</t>
  </si>
  <si>
    <t>-2.00亿</t>
  </si>
  <si>
    <t>1323.53万</t>
  </si>
  <si>
    <t>696.39万</t>
  </si>
  <si>
    <t>21.62亿</t>
  </si>
  <si>
    <t>9160.01万</t>
  </si>
  <si>
    <t>365.29万</t>
  </si>
  <si>
    <t>1411.03万</t>
  </si>
  <si>
    <t>8.26万</t>
  </si>
  <si>
    <t>6314.38万</t>
  </si>
  <si>
    <t>7785.81万</t>
  </si>
  <si>
    <t>6.23亿</t>
  </si>
  <si>
    <t>3493.43万</t>
  </si>
  <si>
    <t>-2148.77万</t>
  </si>
  <si>
    <t>1822.63万</t>
  </si>
  <si>
    <t>3702.85万</t>
  </si>
  <si>
    <t>851.17万</t>
  </si>
  <si>
    <t>82.10亿</t>
  </si>
  <si>
    <t>775.06万</t>
  </si>
  <si>
    <t>5957.92万</t>
  </si>
  <si>
    <t>64.46万</t>
  </si>
  <si>
    <t>13.22亿</t>
  </si>
  <si>
    <t>4213.35万</t>
  </si>
  <si>
    <t>2612.26万</t>
  </si>
  <si>
    <t>6333.92万</t>
  </si>
  <si>
    <t>312.62万</t>
  </si>
  <si>
    <t>19.71亿</t>
  </si>
  <si>
    <t>-3.24亿</t>
  </si>
  <si>
    <t>-1.75亿</t>
  </si>
  <si>
    <t>-1.31亿</t>
  </si>
  <si>
    <t>4685.22万</t>
  </si>
  <si>
    <t>1580.91万</t>
  </si>
  <si>
    <t>88.93亿</t>
  </si>
  <si>
    <t>112.98万</t>
  </si>
  <si>
    <t>1523.65万</t>
  </si>
  <si>
    <t>53.52亿</t>
  </si>
  <si>
    <t>4.21亿</t>
  </si>
  <si>
    <t>-6556.07万</t>
  </si>
  <si>
    <t>-2.30亿</t>
  </si>
  <si>
    <t>-6463.56万</t>
  </si>
  <si>
    <t>7007.06万</t>
  </si>
  <si>
    <t>315.43万</t>
  </si>
  <si>
    <t>27.55亿</t>
  </si>
  <si>
    <t>838.42万</t>
  </si>
  <si>
    <t>1705.92万</t>
  </si>
  <si>
    <t>2.98万</t>
  </si>
  <si>
    <t>13.65亿</t>
  </si>
  <si>
    <t>5014.84万</t>
  </si>
  <si>
    <t>4510.88万</t>
  </si>
  <si>
    <t>4991.46万</t>
  </si>
  <si>
    <t>-386.35万</t>
  </si>
  <si>
    <t>-183.46万</t>
  </si>
  <si>
    <t>2034.93万</t>
  </si>
  <si>
    <t>446.86万</t>
  </si>
  <si>
    <t>20.57亿</t>
  </si>
  <si>
    <t>6387.05万</t>
  </si>
  <si>
    <t>2746.00万</t>
  </si>
  <si>
    <t>494.11万</t>
  </si>
  <si>
    <t>1610.08万</t>
  </si>
  <si>
    <t>5.60万</t>
  </si>
  <si>
    <t>1478.60万</t>
  </si>
  <si>
    <t>8313.63万</t>
  </si>
  <si>
    <t>8661.67万</t>
  </si>
  <si>
    <t>-1.00亿</t>
  </si>
  <si>
    <t>-6539.96万</t>
  </si>
  <si>
    <t>-4118.85万</t>
  </si>
  <si>
    <t>2404.03万</t>
  </si>
  <si>
    <t>136.79万</t>
  </si>
  <si>
    <t>14.76亿</t>
  </si>
  <si>
    <t>8882.69万</t>
  </si>
  <si>
    <t>6931.04万</t>
  </si>
  <si>
    <t>85.83万</t>
  </si>
  <si>
    <t>1337.07万</t>
  </si>
  <si>
    <t>20.80万</t>
  </si>
  <si>
    <t>10.98亿</t>
  </si>
  <si>
    <t>3594.84万</t>
  </si>
  <si>
    <t>6287.64万</t>
  </si>
  <si>
    <t>-1476.30万</t>
  </si>
  <si>
    <t>-9420.24万</t>
  </si>
  <si>
    <t>-124.47万</t>
  </si>
  <si>
    <t>588.74万</t>
  </si>
  <si>
    <t>4837.19万</t>
  </si>
  <si>
    <t>211.18万</t>
  </si>
  <si>
    <t>8969.84万</t>
  </si>
  <si>
    <t>711.02万</t>
  </si>
  <si>
    <t>1768.53万</t>
  </si>
  <si>
    <t>7075.03万</t>
  </si>
  <si>
    <t>9082.21万</t>
  </si>
  <si>
    <t>5249.93万</t>
  </si>
  <si>
    <t>11.04万</t>
  </si>
  <si>
    <t>-6133.52万</t>
  </si>
  <si>
    <t>-6.43亿</t>
  </si>
  <si>
    <t>1130.59万</t>
  </si>
  <si>
    <t>40.30万</t>
  </si>
  <si>
    <t>16.24亿</t>
  </si>
  <si>
    <t>505.43万</t>
  </si>
  <si>
    <t>1173.87万</t>
  </si>
  <si>
    <t>11.49亿</t>
  </si>
  <si>
    <t>5508.15万</t>
  </si>
  <si>
    <t>7253.18万</t>
  </si>
  <si>
    <t>4607.12万</t>
  </si>
  <si>
    <t>9.55亿</t>
  </si>
  <si>
    <t>-5951.14万</t>
  </si>
  <si>
    <t>-1800.96万</t>
  </si>
  <si>
    <t>2727.60万</t>
  </si>
  <si>
    <t>10派0.619999元(含税)</t>
  </si>
  <si>
    <t>246.38万</t>
  </si>
  <si>
    <t>3390.87万</t>
  </si>
  <si>
    <t>2722.96万</t>
  </si>
  <si>
    <t>6.18亿</t>
  </si>
  <si>
    <t>5.43亿</t>
  </si>
  <si>
    <t>449.98万</t>
  </si>
  <si>
    <t>5162.01万</t>
  </si>
  <si>
    <t>210.61万</t>
  </si>
  <si>
    <t>1674.11万</t>
  </si>
  <si>
    <t>21.86亿</t>
  </si>
  <si>
    <t>-1090.84万</t>
  </si>
  <si>
    <t>-3772.41万</t>
  </si>
  <si>
    <t>1107.34万</t>
  </si>
  <si>
    <t>38.56亿</t>
  </si>
  <si>
    <t>1535.00万</t>
  </si>
  <si>
    <t>5575.19万</t>
  </si>
  <si>
    <t>10.76亿</t>
  </si>
  <si>
    <t>27.36亿</t>
  </si>
  <si>
    <t>-3.93亿</t>
  </si>
  <si>
    <t>-2403.32万</t>
  </si>
  <si>
    <t>128.41万</t>
  </si>
  <si>
    <t>4496.59万</t>
  </si>
  <si>
    <t>1051.30万</t>
  </si>
  <si>
    <t>17.01亿</t>
  </si>
  <si>
    <t>6531.82万</t>
  </si>
  <si>
    <t>3051.23万</t>
  </si>
  <si>
    <t>777.83万</t>
  </si>
  <si>
    <t>1269.09万</t>
  </si>
  <si>
    <t>1212.11万</t>
  </si>
  <si>
    <t>5041.89万</t>
  </si>
  <si>
    <t>4.08亿</t>
  </si>
  <si>
    <t>523.20万</t>
  </si>
  <si>
    <t>-3435.64万</t>
  </si>
  <si>
    <t>2915.98万</t>
  </si>
  <si>
    <t>-1.26亿</t>
  </si>
  <si>
    <t>5236.82万</t>
  </si>
  <si>
    <t>5.28亿</t>
  </si>
  <si>
    <t>305.48万</t>
  </si>
  <si>
    <t>45.78亿</t>
  </si>
  <si>
    <t>516.13万</t>
  </si>
  <si>
    <t>3442.53万</t>
  </si>
  <si>
    <t>72.06万</t>
  </si>
  <si>
    <t>-415.87万</t>
  </si>
  <si>
    <t>9988.86万</t>
  </si>
  <si>
    <t>1916.16万</t>
  </si>
  <si>
    <t>564.65万</t>
  </si>
  <si>
    <t>8.12亿</t>
  </si>
  <si>
    <t>808.83万</t>
  </si>
  <si>
    <t>5536.75万</t>
  </si>
  <si>
    <t>94.50万</t>
  </si>
  <si>
    <t>926.64万</t>
  </si>
  <si>
    <t>608.50万</t>
  </si>
  <si>
    <t>3510.96万</t>
  </si>
  <si>
    <t>10.79亿</t>
  </si>
  <si>
    <t>-3804.10万</t>
  </si>
  <si>
    <t>163.40万</t>
  </si>
  <si>
    <t>-3005.20万</t>
  </si>
  <si>
    <t>3474.50万</t>
  </si>
  <si>
    <t>682.14万</t>
  </si>
  <si>
    <t>25.37亿</t>
  </si>
  <si>
    <t>273.55万</t>
  </si>
  <si>
    <t>2913.06万</t>
  </si>
  <si>
    <t>5.78万</t>
  </si>
  <si>
    <t>14.71亿</t>
  </si>
  <si>
    <t>223.66万</t>
  </si>
  <si>
    <t>2552.01万</t>
  </si>
  <si>
    <t>7.89亿</t>
  </si>
  <si>
    <t>-1.44亿</t>
  </si>
  <si>
    <t>-1674.55万</t>
  </si>
  <si>
    <t>4131.13万</t>
  </si>
  <si>
    <t>484.19万</t>
  </si>
  <si>
    <t>10.18亿</t>
  </si>
  <si>
    <t>1126.86万</t>
  </si>
  <si>
    <t>68.70万</t>
  </si>
  <si>
    <t>51.71万</t>
  </si>
  <si>
    <t>576.29万</t>
  </si>
  <si>
    <t>1404.78万</t>
  </si>
  <si>
    <t>1149.59万</t>
  </si>
  <si>
    <t>1994.42万</t>
  </si>
  <si>
    <t>-4847.82万</t>
  </si>
  <si>
    <t>-77.08万</t>
  </si>
  <si>
    <t>-13.80万</t>
  </si>
  <si>
    <t>2886.70万</t>
  </si>
  <si>
    <t>384.05万</t>
  </si>
  <si>
    <t>8.35亿</t>
  </si>
  <si>
    <t>381.90万</t>
  </si>
  <si>
    <t>1368.07万</t>
  </si>
  <si>
    <t>1.95万</t>
  </si>
  <si>
    <t>4736.37万</t>
  </si>
  <si>
    <t>1001.33万</t>
  </si>
  <si>
    <t>4.60亿</t>
  </si>
  <si>
    <t>13.79亿</t>
  </si>
  <si>
    <t>-1578.27万</t>
  </si>
  <si>
    <t>-386.39万</t>
  </si>
  <si>
    <t>2802.38万</t>
  </si>
  <si>
    <t>227.20万</t>
  </si>
  <si>
    <t>5753.29万</t>
  </si>
  <si>
    <t>3674.75万</t>
  </si>
  <si>
    <t>226.84万</t>
  </si>
  <si>
    <t>1397.94万</t>
  </si>
  <si>
    <t>3.34万</t>
  </si>
  <si>
    <t>1516.45万</t>
  </si>
  <si>
    <t>723.58万</t>
  </si>
  <si>
    <t>7860.00万</t>
  </si>
  <si>
    <t>401.70万</t>
  </si>
  <si>
    <t>7294.55万</t>
  </si>
  <si>
    <t>-494.82万</t>
  </si>
  <si>
    <t>-465.34万</t>
  </si>
  <si>
    <t>-66.89万</t>
  </si>
  <si>
    <t>1649.58万</t>
  </si>
  <si>
    <t>1084.05万</t>
  </si>
  <si>
    <t>18.83亿</t>
  </si>
  <si>
    <t>6697.36万</t>
  </si>
  <si>
    <t>5732.53万</t>
  </si>
  <si>
    <t>77.19万</t>
  </si>
  <si>
    <t>412.97万</t>
  </si>
  <si>
    <t>4321.26万</t>
  </si>
  <si>
    <t>946.81万</t>
  </si>
  <si>
    <t>8946.66万</t>
  </si>
  <si>
    <t>-2962.42万</t>
  </si>
  <si>
    <t>1367.62万</t>
  </si>
  <si>
    <t>-106.38万</t>
  </si>
  <si>
    <t>9150.61万</t>
  </si>
  <si>
    <t>6.51亿</t>
  </si>
  <si>
    <t>1263.30万</t>
  </si>
  <si>
    <t>55.23亿</t>
  </si>
  <si>
    <t>345.47万</t>
  </si>
  <si>
    <t>2841.05万</t>
  </si>
  <si>
    <t>168.99万</t>
  </si>
  <si>
    <t>6175.52万</t>
  </si>
  <si>
    <t>11.16亿</t>
  </si>
  <si>
    <t>4921.76万</t>
  </si>
  <si>
    <t>9417.18万</t>
  </si>
  <si>
    <t>5710.59万</t>
  </si>
  <si>
    <t>698.51万</t>
  </si>
  <si>
    <t>5437.49万</t>
  </si>
  <si>
    <t>787.24万</t>
  </si>
  <si>
    <t>3078.84万</t>
  </si>
  <si>
    <t>2132.88万</t>
  </si>
  <si>
    <t>138.84万</t>
  </si>
  <si>
    <t>3425.84万</t>
  </si>
  <si>
    <t>-7558.40万</t>
  </si>
  <si>
    <t>-3273.56万</t>
  </si>
  <si>
    <t>-627.31万</t>
  </si>
  <si>
    <t>4511.85万</t>
  </si>
  <si>
    <t>487.63万</t>
  </si>
  <si>
    <t>6968.56万</t>
  </si>
  <si>
    <t>5039.30万</t>
  </si>
  <si>
    <t>152.86万</t>
  </si>
  <si>
    <t>978.01万</t>
  </si>
  <si>
    <t>4684.67万</t>
  </si>
  <si>
    <t>624.50万</t>
  </si>
  <si>
    <t>6492.50万</t>
  </si>
  <si>
    <t>-2235.76万</t>
  </si>
  <si>
    <t>-293.14万</t>
  </si>
  <si>
    <t>-41.60万</t>
  </si>
  <si>
    <t>3392.68万</t>
  </si>
  <si>
    <t>883.28万</t>
  </si>
  <si>
    <t>57.27亿</t>
  </si>
  <si>
    <t>3.79亿</t>
  </si>
  <si>
    <t>211.85万</t>
  </si>
  <si>
    <t>1537.83万</t>
  </si>
  <si>
    <t>33.06亿</t>
  </si>
  <si>
    <t>6.20亿</t>
  </si>
  <si>
    <t>20.67亿</t>
  </si>
  <si>
    <t>-5740.22万</t>
  </si>
  <si>
    <t>4914.90万</t>
  </si>
  <si>
    <t>352.04万</t>
  </si>
  <si>
    <t>8746.47万</t>
  </si>
  <si>
    <t>5587.94万</t>
  </si>
  <si>
    <t>49.60万</t>
  </si>
  <si>
    <t>881.28万</t>
  </si>
  <si>
    <t>8.76亿</t>
  </si>
  <si>
    <t>7699.21万</t>
  </si>
  <si>
    <t>5322.62万</t>
  </si>
  <si>
    <t>5726.60万</t>
  </si>
  <si>
    <t>266.24万</t>
  </si>
  <si>
    <t>1970.25万</t>
  </si>
  <si>
    <t>96.35万</t>
  </si>
  <si>
    <t>8.36亿</t>
  </si>
  <si>
    <t>4834.81万</t>
  </si>
  <si>
    <t>2923.07万</t>
  </si>
  <si>
    <t>173.19万</t>
  </si>
  <si>
    <t>1110.31万</t>
  </si>
  <si>
    <t>8182.08万</t>
  </si>
  <si>
    <t>4045.08万</t>
  </si>
  <si>
    <t>177.14万</t>
  </si>
  <si>
    <t>8756.74万</t>
  </si>
  <si>
    <t>499.37万</t>
  </si>
  <si>
    <t>-5413.21万</t>
  </si>
  <si>
    <t>-354.44万</t>
  </si>
  <si>
    <t>6562.66万</t>
  </si>
  <si>
    <t>673.89万</t>
  </si>
  <si>
    <t>7412.03万</t>
  </si>
  <si>
    <t>288.00万</t>
  </si>
  <si>
    <t>13.24亿</t>
  </si>
  <si>
    <t>2147.77万</t>
  </si>
  <si>
    <t>3936.18万</t>
  </si>
  <si>
    <t>1445.17万</t>
  </si>
  <si>
    <t>677.03万</t>
  </si>
  <si>
    <t>1111.51万</t>
  </si>
  <si>
    <t>731.86万</t>
  </si>
  <si>
    <t>70.22万</t>
  </si>
  <si>
    <t>205.00万</t>
  </si>
  <si>
    <t>4105.32万</t>
  </si>
  <si>
    <t>10.21万</t>
  </si>
  <si>
    <t>-1482.36万</t>
  </si>
  <si>
    <t>-636.87万</t>
  </si>
  <si>
    <t>8193.35万</t>
  </si>
  <si>
    <t>929.47万</t>
  </si>
  <si>
    <t>1700.49万</t>
  </si>
  <si>
    <t>8965.71万</t>
  </si>
  <si>
    <t>578.11万</t>
  </si>
  <si>
    <t>17.36亿</t>
  </si>
  <si>
    <t>2134.56万</t>
  </si>
  <si>
    <t>237.38万</t>
  </si>
  <si>
    <t>2625.37万</t>
  </si>
  <si>
    <t>9.77万</t>
  </si>
  <si>
    <t>6921.22万</t>
  </si>
  <si>
    <t>2999.53万</t>
  </si>
  <si>
    <t>10.62亿</t>
  </si>
  <si>
    <t>-9190.51万</t>
  </si>
  <si>
    <t>731.19万</t>
  </si>
  <si>
    <t>3527.21万</t>
  </si>
  <si>
    <t>270.57万</t>
  </si>
  <si>
    <t>4701.47万</t>
  </si>
  <si>
    <t>2621.43万</t>
  </si>
  <si>
    <t>2216.38万</t>
  </si>
  <si>
    <t>60.04万</t>
  </si>
  <si>
    <t>282.52万</t>
  </si>
  <si>
    <t>4887.92万</t>
  </si>
  <si>
    <t>1434.00万</t>
  </si>
  <si>
    <t>2599.42万</t>
  </si>
  <si>
    <t>5124.20万</t>
  </si>
  <si>
    <t>1192.15万</t>
  </si>
  <si>
    <t>-2977.52万</t>
  </si>
  <si>
    <t>7783.11万</t>
  </si>
  <si>
    <t>673.25万</t>
  </si>
  <si>
    <t>1803.12万</t>
  </si>
  <si>
    <t>37.96万</t>
  </si>
  <si>
    <t>2300.50万</t>
  </si>
  <si>
    <t>2976.67万</t>
  </si>
  <si>
    <t>1996.04万</t>
  </si>
  <si>
    <t>155.40万</t>
  </si>
  <si>
    <t>452.83万</t>
  </si>
  <si>
    <t>4627.86万</t>
  </si>
  <si>
    <t>40.24万</t>
  </si>
  <si>
    <t>4011.07万</t>
  </si>
  <si>
    <t>-3016.28万</t>
  </si>
  <si>
    <t>-8769.88万</t>
  </si>
  <si>
    <t>-3.14万</t>
  </si>
  <si>
    <t>402.44万</t>
  </si>
  <si>
    <t>172.81万</t>
  </si>
  <si>
    <t>1542.21万</t>
  </si>
  <si>
    <t>541.27万</t>
  </si>
  <si>
    <t>413.58亿</t>
  </si>
  <si>
    <t>15.81亿</t>
  </si>
  <si>
    <t>2080.82万</t>
  </si>
  <si>
    <t>1083.78万</t>
  </si>
  <si>
    <t>-9.95万</t>
  </si>
  <si>
    <t>541.30万</t>
  </si>
  <si>
    <t>674.74万</t>
  </si>
  <si>
    <t>2883.43万</t>
  </si>
  <si>
    <t>9304.60万</t>
  </si>
  <si>
    <t>1501.74万</t>
  </si>
  <si>
    <t>-3826.59万</t>
  </si>
  <si>
    <t>-2.11亿</t>
  </si>
  <si>
    <t>1167.78万</t>
  </si>
  <si>
    <t>131.76亿</t>
  </si>
  <si>
    <t>4411.30万</t>
  </si>
  <si>
    <t>329.80万</t>
  </si>
  <si>
    <t>132.26亿</t>
  </si>
  <si>
    <t>1150.42亿</t>
  </si>
  <si>
    <t>90.04亿</t>
  </si>
  <si>
    <t>35.28万</t>
  </si>
  <si>
    <t>41.12亿</t>
  </si>
  <si>
    <t>21.01亿</t>
  </si>
  <si>
    <t>140.57亿</t>
  </si>
  <si>
    <t>-52.44亿</t>
  </si>
  <si>
    <t>-7931.31万</t>
  </si>
  <si>
    <t>308.93亿</t>
  </si>
  <si>
    <t>1826.62万</t>
  </si>
  <si>
    <t>533.36万</t>
  </si>
  <si>
    <t>81.74亿</t>
  </si>
  <si>
    <t>890.18万</t>
  </si>
  <si>
    <t>7.52万</t>
  </si>
  <si>
    <t>-24284214亿</t>
  </si>
  <si>
    <t>20.82亿</t>
  </si>
  <si>
    <t>142.81万</t>
  </si>
  <si>
    <t>29.77亿</t>
  </si>
  <si>
    <t>392.60万</t>
  </si>
  <si>
    <t>-2.96亿</t>
  </si>
  <si>
    <t>-1802.91万</t>
  </si>
  <si>
    <t>-3891.55万</t>
  </si>
  <si>
    <t>-398.85万</t>
  </si>
  <si>
    <t>2348.24万</t>
  </si>
  <si>
    <t>026705400</t>
  </si>
  <si>
    <t>053410800</t>
  </si>
  <si>
    <t>089018000</t>
  </si>
  <si>
    <t>0178036000</t>
  </si>
  <si>
    <t>3417.93万</t>
  </si>
  <si>
    <t>526.66亿</t>
  </si>
  <si>
    <t>92.26亿</t>
  </si>
  <si>
    <t>-4.26亿</t>
  </si>
  <si>
    <t>308.74万</t>
  </si>
  <si>
    <t>613.38亿</t>
  </si>
  <si>
    <t>14.50亿</t>
  </si>
  <si>
    <t>24.20亿</t>
  </si>
  <si>
    <t>246.69亿</t>
  </si>
  <si>
    <t>-30.99亿</t>
  </si>
  <si>
    <t>-31.83亿</t>
  </si>
  <si>
    <t>-34.94亿</t>
  </si>
  <si>
    <t>23.01亿</t>
  </si>
  <si>
    <t>-2343.76万</t>
  </si>
  <si>
    <t>342.64万</t>
  </si>
  <si>
    <t>25.43亿</t>
  </si>
  <si>
    <t>47.32亿</t>
  </si>
  <si>
    <t>-7.33亿</t>
  </si>
  <si>
    <t>22.70万</t>
  </si>
  <si>
    <t>8274.25万</t>
  </si>
  <si>
    <t>8.94亿</t>
  </si>
  <si>
    <t>-5773.73万</t>
  </si>
  <si>
    <t>-49.55万</t>
  </si>
  <si>
    <t>9.89亿</t>
  </si>
  <si>
    <t>1001.80万</t>
  </si>
  <si>
    <t>1521.57万</t>
  </si>
  <si>
    <t>330.57万</t>
  </si>
  <si>
    <t>52.85亿</t>
  </si>
  <si>
    <t>2849.66万</t>
  </si>
  <si>
    <t>82.96万</t>
  </si>
  <si>
    <t>946.21万</t>
  </si>
  <si>
    <t>3.95亿</t>
  </si>
  <si>
    <t>13.02亿</t>
  </si>
  <si>
    <t>145.21万</t>
  </si>
  <si>
    <t>39.84亿</t>
  </si>
  <si>
    <t>98.29亿</t>
  </si>
  <si>
    <t>-3.60亿</t>
  </si>
  <si>
    <t>-2975.98万</t>
  </si>
  <si>
    <t>7945.68万</t>
  </si>
  <si>
    <t>1041.47万</t>
  </si>
  <si>
    <t>1710.43万</t>
  </si>
  <si>
    <t>2145.10万</t>
  </si>
  <si>
    <t>381.10亿</t>
  </si>
  <si>
    <t>100.84亿</t>
  </si>
  <si>
    <t>19.67亿</t>
  </si>
  <si>
    <t>51.57亿</t>
  </si>
  <si>
    <t>42.25亿</t>
  </si>
  <si>
    <t>6054.50万</t>
  </si>
  <si>
    <t>342.60万</t>
  </si>
  <si>
    <t>132.87亿</t>
  </si>
  <si>
    <t>55.01亿</t>
  </si>
  <si>
    <t>17.38亿</t>
  </si>
  <si>
    <t>45.07亿</t>
  </si>
  <si>
    <t>44.97亿</t>
  </si>
  <si>
    <t>160.95亿</t>
  </si>
  <si>
    <t>4421.60万</t>
  </si>
  <si>
    <t>315.66亿</t>
  </si>
  <si>
    <t>38.90亿</t>
  </si>
  <si>
    <t>-12.70亿</t>
  </si>
  <si>
    <t>-2.97亿</t>
  </si>
  <si>
    <t>11.77亿</t>
  </si>
  <si>
    <t>24.91亿</t>
  </si>
  <si>
    <t>9869.09万</t>
  </si>
  <si>
    <t>229.74万</t>
  </si>
  <si>
    <t>25.42亿</t>
  </si>
  <si>
    <t>178.77亿</t>
  </si>
  <si>
    <t>500.00万</t>
  </si>
  <si>
    <t>4212.64万</t>
  </si>
  <si>
    <t>7.56万</t>
  </si>
  <si>
    <t>8366.48万</t>
  </si>
  <si>
    <t>8.87亿</t>
  </si>
  <si>
    <t>18.98万</t>
  </si>
  <si>
    <t>50.09亿</t>
  </si>
  <si>
    <t>-9.69亿</t>
  </si>
  <si>
    <t>-2613.06万</t>
  </si>
  <si>
    <t>48.03亿</t>
  </si>
  <si>
    <t>7737.83万</t>
  </si>
  <si>
    <t>1278.27万</t>
  </si>
  <si>
    <t>1423.70万</t>
  </si>
  <si>
    <t>34.29亿</t>
  </si>
  <si>
    <t>100.58亿</t>
  </si>
  <si>
    <t>3680.02万</t>
  </si>
  <si>
    <t>1290.00万</t>
  </si>
  <si>
    <t>5672.57万</t>
  </si>
  <si>
    <t>92.67万</t>
  </si>
  <si>
    <t>13.54亿</t>
  </si>
  <si>
    <t>9910.57万</t>
  </si>
  <si>
    <t>24.38亿</t>
  </si>
  <si>
    <t>31.83亿</t>
  </si>
  <si>
    <t>-7.03亿</t>
  </si>
  <si>
    <t>-2.61亿</t>
  </si>
  <si>
    <t>1462.39万</t>
  </si>
  <si>
    <t>26.30亿</t>
  </si>
  <si>
    <t>9355.62万</t>
  </si>
  <si>
    <t>10.03亿</t>
  </si>
  <si>
    <t>615.06万</t>
  </si>
  <si>
    <t>209.28亿</t>
  </si>
  <si>
    <t>194.00亿</t>
  </si>
  <si>
    <t>7509.68万</t>
  </si>
  <si>
    <t>27.67亿</t>
  </si>
  <si>
    <t>25.50亿</t>
  </si>
  <si>
    <t>2650.34万</t>
  </si>
  <si>
    <t>55.93万</t>
  </si>
  <si>
    <t>128.22亿</t>
  </si>
  <si>
    <t>4115.81万</t>
  </si>
  <si>
    <t>24.46亿</t>
  </si>
  <si>
    <t>246.72亿</t>
  </si>
  <si>
    <t>-34.03亿</t>
  </si>
  <si>
    <t>1607.40万</t>
  </si>
  <si>
    <t>37.46亿</t>
  </si>
  <si>
    <t>1067.33万</t>
  </si>
  <si>
    <t>3702.67万</t>
  </si>
  <si>
    <t>742.58万</t>
  </si>
  <si>
    <t>170.31亿</t>
  </si>
  <si>
    <t>174.71亿</t>
  </si>
  <si>
    <t>12.78亿</t>
  </si>
  <si>
    <t>86.31亿</t>
  </si>
  <si>
    <t>83.45亿</t>
  </si>
  <si>
    <t>86.28万</t>
  </si>
  <si>
    <t>60.15万</t>
  </si>
  <si>
    <t>80.62亿</t>
  </si>
  <si>
    <t>14.83亿</t>
  </si>
  <si>
    <t>12.06亿</t>
  </si>
  <si>
    <t>56.66亿</t>
  </si>
  <si>
    <t>166.08亿</t>
  </si>
  <si>
    <t>291.91亿</t>
  </si>
  <si>
    <t>-72.75亿</t>
  </si>
  <si>
    <t>8741.59万</t>
  </si>
  <si>
    <t>42.00亿</t>
  </si>
  <si>
    <t>4782.78万</t>
  </si>
  <si>
    <t>225.78万</t>
  </si>
  <si>
    <t>83.33亿</t>
  </si>
  <si>
    <t>2647.16万</t>
  </si>
  <si>
    <t>6809.68万</t>
  </si>
  <si>
    <t>12.69万</t>
  </si>
  <si>
    <t>24.25亿</t>
  </si>
  <si>
    <t>6.80亿</t>
  </si>
  <si>
    <t>14.64亿</t>
  </si>
  <si>
    <t>-3.02亿</t>
  </si>
  <si>
    <t>-4747.02万</t>
  </si>
  <si>
    <t>1509.73万</t>
  </si>
  <si>
    <t>1746.02万</t>
  </si>
  <si>
    <t>127.52亿</t>
  </si>
  <si>
    <t>1573.91万</t>
  </si>
  <si>
    <t>22.09亿</t>
  </si>
  <si>
    <t>18.60亿</t>
  </si>
  <si>
    <t>2050.33万</t>
  </si>
  <si>
    <t>76.94万</t>
  </si>
  <si>
    <t>47.99亿</t>
  </si>
  <si>
    <t>26.72亿</t>
  </si>
  <si>
    <t>7.92亿</t>
  </si>
  <si>
    <t>11.10亿</t>
  </si>
  <si>
    <t>12.83亿</t>
  </si>
  <si>
    <t>58.24亿</t>
  </si>
  <si>
    <t>105.57亿</t>
  </si>
  <si>
    <t>-2.88亿</t>
  </si>
  <si>
    <t>-1.35亿</t>
  </si>
  <si>
    <t>3360.47万</t>
  </si>
  <si>
    <t>6726.05万</t>
  </si>
  <si>
    <t>74.68万</t>
  </si>
  <si>
    <t>10派2.6903元(含税)</t>
  </si>
  <si>
    <t>015739100</t>
  </si>
  <si>
    <t>047217300</t>
  </si>
  <si>
    <t>094434600</t>
  </si>
  <si>
    <t>0157391000</t>
  </si>
  <si>
    <t>0314782000</t>
  </si>
  <si>
    <t>645.82万</t>
  </si>
  <si>
    <t>68.01亿</t>
  </si>
  <si>
    <t>225.25亿</t>
  </si>
  <si>
    <t>20.05亿</t>
  </si>
  <si>
    <t>7.74亿</t>
  </si>
  <si>
    <t>876.79万</t>
  </si>
  <si>
    <t>8588.44万</t>
  </si>
  <si>
    <t>18.20亿</t>
  </si>
  <si>
    <t>7.98亿</t>
  </si>
  <si>
    <t>300.00万</t>
  </si>
  <si>
    <t>7911.29万</t>
  </si>
  <si>
    <t>14.55亿</t>
  </si>
  <si>
    <t>4603.26万</t>
  </si>
  <si>
    <t>24.37亿</t>
  </si>
  <si>
    <t>-8207.68万</t>
  </si>
  <si>
    <t>-303.93万</t>
  </si>
  <si>
    <t>60.19亿</t>
  </si>
  <si>
    <t>3220.11万</t>
  </si>
  <si>
    <t>3.64亿</t>
  </si>
  <si>
    <t>3868.88万</t>
  </si>
  <si>
    <t>237.85亿</t>
  </si>
  <si>
    <t>3606.72万</t>
  </si>
  <si>
    <t>36.73亿</t>
  </si>
  <si>
    <t>30.83亿</t>
  </si>
  <si>
    <t>9569.71万</t>
  </si>
  <si>
    <t>209.63万</t>
  </si>
  <si>
    <t>36.04亿</t>
  </si>
  <si>
    <t>9.65亿</t>
  </si>
  <si>
    <t>31.47亿</t>
  </si>
  <si>
    <t>29.82亿</t>
  </si>
  <si>
    <t>95.88亿</t>
  </si>
  <si>
    <t>226.37亿</t>
  </si>
  <si>
    <t>-12.55亿</t>
  </si>
  <si>
    <t>-2.07亿</t>
  </si>
  <si>
    <t>911.38万</t>
  </si>
  <si>
    <t>036067200</t>
  </si>
  <si>
    <t>0108201600</t>
  </si>
  <si>
    <t>0216403200</t>
  </si>
  <si>
    <t>0360672000</t>
  </si>
  <si>
    <t>0721344000</t>
  </si>
  <si>
    <t>1019.30万</t>
  </si>
  <si>
    <t>443.67亿</t>
  </si>
  <si>
    <t>73.84亿</t>
  </si>
  <si>
    <t>7.62亿</t>
  </si>
  <si>
    <t>61.76亿</t>
  </si>
  <si>
    <t>55.42亿</t>
  </si>
  <si>
    <t>4323.98万</t>
  </si>
  <si>
    <t>32.87亿</t>
  </si>
  <si>
    <t>41.86亿</t>
  </si>
  <si>
    <t>71.53亿</t>
  </si>
  <si>
    <t>136.86亿</t>
  </si>
  <si>
    <t>234.85亿</t>
  </si>
  <si>
    <t>145.67万</t>
  </si>
  <si>
    <t>601.32亿</t>
  </si>
  <si>
    <t>-30.10亿</t>
  </si>
  <si>
    <t>-6.59亿</t>
  </si>
  <si>
    <t>-14.21亿</t>
  </si>
  <si>
    <t>1631.85万</t>
  </si>
  <si>
    <t>3898.60万</t>
  </si>
  <si>
    <t>0762000000</t>
  </si>
  <si>
    <t>02286000000</t>
  </si>
  <si>
    <t>04572000000</t>
  </si>
  <si>
    <t>07620000000</t>
  </si>
  <si>
    <t>015240000000</t>
  </si>
  <si>
    <t>745.61万</t>
  </si>
  <si>
    <t>116.47亿</t>
  </si>
  <si>
    <t>493.08亿</t>
  </si>
  <si>
    <t>30.81亿</t>
  </si>
  <si>
    <t>19.74亿</t>
  </si>
  <si>
    <t>361.86万</t>
  </si>
  <si>
    <t>7408.20万</t>
  </si>
  <si>
    <t>62.07万</t>
  </si>
  <si>
    <t>32.67亿</t>
  </si>
  <si>
    <t>7.36亿</t>
  </si>
  <si>
    <t>4.67亿</t>
  </si>
  <si>
    <t>4300.00万</t>
  </si>
  <si>
    <t>30.18亿</t>
  </si>
  <si>
    <t>34.22亿</t>
  </si>
  <si>
    <t>104.79亿</t>
  </si>
  <si>
    <t>-10.03亿</t>
  </si>
  <si>
    <t>-7.75亿</t>
  </si>
  <si>
    <t>8028.24万</t>
  </si>
  <si>
    <t>95.38亿</t>
  </si>
  <si>
    <t>3370.84万</t>
  </si>
  <si>
    <t>367.74万</t>
  </si>
  <si>
    <t>25.89亿</t>
  </si>
  <si>
    <t>2602.95亿</t>
  </si>
  <si>
    <t>37.68亿</t>
  </si>
  <si>
    <t>484.93万</t>
  </si>
  <si>
    <t>4541.85万</t>
  </si>
  <si>
    <t>96.02万</t>
  </si>
  <si>
    <t>9676.55万</t>
  </si>
  <si>
    <t>7647.34万</t>
  </si>
  <si>
    <t>-6950.13万</t>
  </si>
  <si>
    <t>-2289.38万</t>
  </si>
  <si>
    <t>-471.43万</t>
  </si>
  <si>
    <t>662.26亿</t>
  </si>
  <si>
    <t>2329.31万</t>
  </si>
  <si>
    <t>664.19万</t>
  </si>
  <si>
    <t>196.02亿</t>
  </si>
  <si>
    <t>431.37亿</t>
  </si>
  <si>
    <t>79.22亿</t>
  </si>
  <si>
    <t>1090.08万</t>
  </si>
  <si>
    <t>3716.65万</t>
  </si>
  <si>
    <t>56.71万</t>
  </si>
  <si>
    <t>72.75亿</t>
  </si>
  <si>
    <t>1456.08万</t>
  </si>
  <si>
    <t>15.27亿</t>
  </si>
  <si>
    <t>17.53亿</t>
  </si>
  <si>
    <t>8032.59万</t>
  </si>
  <si>
    <t>483.13万</t>
  </si>
  <si>
    <t>118.92亿</t>
  </si>
  <si>
    <t>33.80亿</t>
  </si>
  <si>
    <t>3772.14万</t>
  </si>
  <si>
    <t>750.98万</t>
  </si>
  <si>
    <t>36.80亿</t>
  </si>
  <si>
    <t>1929.69亿</t>
  </si>
  <si>
    <t>195.34亿</t>
  </si>
  <si>
    <t>1833.01万</t>
  </si>
  <si>
    <t>3152.74万</t>
  </si>
  <si>
    <t>13.85亿</t>
  </si>
  <si>
    <t>8307.13万</t>
  </si>
  <si>
    <t>6070.29万</t>
  </si>
  <si>
    <t>2000.00万</t>
  </si>
  <si>
    <t>2426.70万</t>
  </si>
  <si>
    <t>7328.33万</t>
  </si>
  <si>
    <t>7.21亿</t>
  </si>
  <si>
    <t>-9140.31万</t>
  </si>
  <si>
    <t>1643.85万</t>
  </si>
  <si>
    <t>591.58亿</t>
  </si>
  <si>
    <t>71.55亿</t>
  </si>
  <si>
    <t>5055.57万</t>
  </si>
  <si>
    <t>6842.57万</t>
  </si>
  <si>
    <t>840.87亿</t>
  </si>
  <si>
    <t>6.77亿</t>
  </si>
  <si>
    <t>101.09亿</t>
  </si>
  <si>
    <t>88.36亿</t>
  </si>
  <si>
    <t>664.38万</t>
  </si>
  <si>
    <t>723.60亿</t>
  </si>
  <si>
    <t>19.64亿</t>
  </si>
  <si>
    <t>60.41亿</t>
  </si>
  <si>
    <t>232.65亿</t>
  </si>
  <si>
    <t>905.98亿</t>
  </si>
  <si>
    <t>146.65亿</t>
  </si>
  <si>
    <t>-32.41亿</t>
  </si>
  <si>
    <t>61.33亿</t>
  </si>
  <si>
    <t>-9.72亿</t>
  </si>
  <si>
    <t>28.92亿</t>
  </si>
  <si>
    <t>0677000000</t>
  </si>
  <si>
    <t>02031000000</t>
  </si>
  <si>
    <t>04062000000</t>
  </si>
  <si>
    <t>06770000000</t>
  </si>
  <si>
    <t>013540000000</t>
  </si>
  <si>
    <t>140.42万</t>
  </si>
  <si>
    <t>8.06亿</t>
  </si>
  <si>
    <t>1252.77万</t>
  </si>
  <si>
    <t>155.85万</t>
  </si>
  <si>
    <t>1048.61万</t>
  </si>
  <si>
    <t>117.52万</t>
  </si>
  <si>
    <t>7169.23万</t>
  </si>
  <si>
    <t>5426.08万</t>
  </si>
  <si>
    <t>1522.60万</t>
  </si>
  <si>
    <t>7981.20万</t>
  </si>
  <si>
    <t>-4716.71万</t>
  </si>
  <si>
    <t>-1477.81万</t>
  </si>
  <si>
    <t>78.55万</t>
  </si>
  <si>
    <t>2875.24万</t>
  </si>
  <si>
    <t>858.07万</t>
  </si>
  <si>
    <t>8843.58万</t>
  </si>
  <si>
    <t>43.64亿</t>
  </si>
  <si>
    <t>9117.82万</t>
  </si>
  <si>
    <t>1256.67万</t>
  </si>
  <si>
    <t>1656.56万</t>
  </si>
  <si>
    <t>3.14万</t>
  </si>
  <si>
    <t>21.52亿</t>
  </si>
  <si>
    <t>-2904.13万</t>
  </si>
  <si>
    <t>3995.05万</t>
  </si>
  <si>
    <t>1116.26万</t>
  </si>
  <si>
    <t>396.47万</t>
  </si>
  <si>
    <t>2864.38万</t>
  </si>
  <si>
    <t>466.48万</t>
  </si>
  <si>
    <t>2153.38万</t>
  </si>
  <si>
    <t>5840.36万</t>
  </si>
  <si>
    <t>9307.91万</t>
  </si>
  <si>
    <t>15.64万</t>
  </si>
  <si>
    <t>316.55万</t>
  </si>
  <si>
    <t>272.05万</t>
  </si>
  <si>
    <t>9453.51万</t>
  </si>
  <si>
    <t>27.08亿</t>
  </si>
  <si>
    <t>-3.92亿</t>
  </si>
  <si>
    <t>-6433.80万</t>
  </si>
  <si>
    <t>-5777.04万</t>
  </si>
  <si>
    <t>4089.87万</t>
  </si>
  <si>
    <t>214.53万</t>
  </si>
  <si>
    <t>2365.43万</t>
  </si>
  <si>
    <t>69.84万</t>
  </si>
  <si>
    <t>-1600.94万</t>
  </si>
  <si>
    <t>5497.42万</t>
  </si>
  <si>
    <t>1324.90万</t>
  </si>
  <si>
    <t>1903.42万</t>
  </si>
  <si>
    <t>1114.30万</t>
  </si>
  <si>
    <t>22.39万</t>
  </si>
  <si>
    <t>915.27万</t>
  </si>
  <si>
    <t>4930.85万</t>
  </si>
  <si>
    <t>1700.00万</t>
  </si>
  <si>
    <t>-3862.88万</t>
  </si>
  <si>
    <t>-2759.18万</t>
  </si>
  <si>
    <t>-415.16万</t>
  </si>
  <si>
    <t>1200.64万</t>
  </si>
  <si>
    <t>287.79万</t>
  </si>
  <si>
    <t>2939.84万</t>
  </si>
  <si>
    <t>836.45万</t>
  </si>
  <si>
    <t>69.85亿</t>
  </si>
  <si>
    <t>568.28万</t>
  </si>
  <si>
    <t>2461.00万</t>
  </si>
  <si>
    <t>27.79万</t>
  </si>
  <si>
    <t>18.55亿</t>
  </si>
  <si>
    <t>5.53亿</t>
  </si>
  <si>
    <t>38.73亿</t>
  </si>
  <si>
    <t>5532.98万</t>
  </si>
  <si>
    <t>2146.20万</t>
  </si>
  <si>
    <t>2957.33万</t>
  </si>
  <si>
    <t>139.95万</t>
  </si>
  <si>
    <t>28.18亿</t>
  </si>
  <si>
    <t>24.41亿</t>
  </si>
  <si>
    <t>490.38万</t>
  </si>
  <si>
    <t>1995.34万</t>
  </si>
  <si>
    <t>22.09万</t>
  </si>
  <si>
    <t>9598.60万</t>
  </si>
  <si>
    <t>6792.90万</t>
  </si>
  <si>
    <t>-3576.81万</t>
  </si>
  <si>
    <t>-1.39亿</t>
  </si>
  <si>
    <t>-64.32万</t>
  </si>
  <si>
    <t>-8635.55万</t>
  </si>
  <si>
    <t>556.08万</t>
  </si>
  <si>
    <t>3553.32万</t>
  </si>
  <si>
    <t>39.70万</t>
  </si>
  <si>
    <t>-1.28亿</t>
  </si>
  <si>
    <t>6754.20万</t>
  </si>
  <si>
    <t>5479.11万</t>
  </si>
  <si>
    <t>266.80万</t>
  </si>
  <si>
    <t>814.22万</t>
  </si>
  <si>
    <t>4.07万</t>
  </si>
  <si>
    <t>3058.03万</t>
  </si>
  <si>
    <t>5865.46万</t>
  </si>
  <si>
    <t>4.62万</t>
  </si>
  <si>
    <t>-4271.82万</t>
  </si>
  <si>
    <t>-3581.34万</t>
  </si>
  <si>
    <t>-22.24万</t>
  </si>
  <si>
    <t>3079.14万</t>
  </si>
  <si>
    <t>-3174.33万</t>
  </si>
  <si>
    <t>220.26万</t>
  </si>
  <si>
    <t>1783.07万</t>
  </si>
  <si>
    <t>208.82万</t>
  </si>
  <si>
    <t>17.59亿</t>
  </si>
  <si>
    <t>3.96亿</t>
  </si>
  <si>
    <t>3110.54万</t>
  </si>
  <si>
    <t>802.83万</t>
  </si>
  <si>
    <t>2671.89万</t>
  </si>
  <si>
    <t>1.10万</t>
  </si>
  <si>
    <t>8444.39万</t>
  </si>
  <si>
    <t>3228.34万</t>
  </si>
  <si>
    <t>11.84亿</t>
  </si>
  <si>
    <t>-4705.13万</t>
  </si>
  <si>
    <t>-2382.41万</t>
  </si>
  <si>
    <t>1019.55万</t>
  </si>
  <si>
    <t>2661.07万</t>
  </si>
  <si>
    <t>-1646.82万</t>
  </si>
  <si>
    <t>1065.87万</t>
  </si>
  <si>
    <t>9721.16万</t>
  </si>
  <si>
    <t>85.34万</t>
  </si>
  <si>
    <t>364.52万</t>
  </si>
  <si>
    <t>1615.91万</t>
  </si>
  <si>
    <t>1.65万</t>
  </si>
  <si>
    <t>7.69亿</t>
  </si>
  <si>
    <t>9801.19万</t>
  </si>
  <si>
    <t>1476.66万</t>
  </si>
  <si>
    <t>1457.73万</t>
  </si>
  <si>
    <t>-1.13亿</t>
  </si>
  <si>
    <t>-3.57亿</t>
  </si>
  <si>
    <t>368.51万</t>
  </si>
  <si>
    <t>2405.37万</t>
  </si>
  <si>
    <t>34.54万</t>
  </si>
  <si>
    <t>8709.90万</t>
  </si>
  <si>
    <t>2174.95万</t>
  </si>
  <si>
    <t>893.73万</t>
  </si>
  <si>
    <t>107.31万</t>
  </si>
  <si>
    <t>667.84万</t>
  </si>
  <si>
    <t>-18728920亿</t>
  </si>
  <si>
    <t>5198.76万</t>
  </si>
  <si>
    <t>7670.71万</t>
  </si>
  <si>
    <t>-5164.90万</t>
  </si>
  <si>
    <t>-5372.37万</t>
  </si>
  <si>
    <t>-3083.10万</t>
  </si>
  <si>
    <t>1927.12万</t>
  </si>
  <si>
    <t>273.89万</t>
  </si>
  <si>
    <t>1511.68万</t>
  </si>
  <si>
    <t>680.67万</t>
  </si>
  <si>
    <t>7702.02万</t>
  </si>
  <si>
    <t>-7160.02万</t>
  </si>
  <si>
    <t>3990.42万</t>
  </si>
  <si>
    <t>2121.54万</t>
  </si>
  <si>
    <t>182.14万</t>
  </si>
  <si>
    <t>424.02万</t>
  </si>
  <si>
    <t>11.18万</t>
  </si>
  <si>
    <t>4279838亿</t>
  </si>
  <si>
    <t>167535010亿</t>
  </si>
  <si>
    <t>669867340亿</t>
  </si>
  <si>
    <t>1509.66万</t>
  </si>
  <si>
    <t>4298.89万</t>
  </si>
  <si>
    <t>6723.70万</t>
  </si>
  <si>
    <t>660.44万</t>
  </si>
  <si>
    <t>2659.22万</t>
  </si>
  <si>
    <t>-4462.82万</t>
  </si>
  <si>
    <t>7034.99万</t>
  </si>
  <si>
    <t>8232.60万</t>
  </si>
  <si>
    <t>8500.62万</t>
  </si>
  <si>
    <t>2115.31万</t>
  </si>
  <si>
    <t>-1078.80万</t>
  </si>
  <si>
    <t>6168.90万</t>
  </si>
  <si>
    <t>165.22万</t>
  </si>
  <si>
    <t>58.26亿</t>
  </si>
  <si>
    <t>8.20亿</t>
  </si>
  <si>
    <t>9040.34万</t>
  </si>
  <si>
    <t>4465.23万</t>
  </si>
  <si>
    <t>324.85万</t>
  </si>
  <si>
    <t>2405.35万</t>
  </si>
  <si>
    <t>1.50万</t>
  </si>
  <si>
    <t>42.14亿</t>
  </si>
  <si>
    <t>7888.03万</t>
  </si>
  <si>
    <t>11.34亿</t>
  </si>
  <si>
    <t>12.87亿</t>
  </si>
  <si>
    <t>-4.69亿</t>
  </si>
  <si>
    <t>-978.26万</t>
  </si>
  <si>
    <t>3.76亿</t>
  </si>
  <si>
    <t>-5033.01万</t>
  </si>
  <si>
    <t>945.72万</t>
  </si>
  <si>
    <t>9145.40万</t>
  </si>
  <si>
    <t>287.00万</t>
  </si>
  <si>
    <t>9225.05万</t>
  </si>
  <si>
    <t>362.70万</t>
  </si>
  <si>
    <t>979.14万</t>
  </si>
  <si>
    <t>6795.63万</t>
  </si>
  <si>
    <t>8958.10万</t>
  </si>
  <si>
    <t>5765.79万</t>
  </si>
  <si>
    <t>4856.00万</t>
  </si>
  <si>
    <t>2245.21万</t>
  </si>
  <si>
    <t>6917.80万</t>
  </si>
  <si>
    <t>1176.61万</t>
  </si>
  <si>
    <t>6422.10万</t>
  </si>
  <si>
    <t>97.67万</t>
  </si>
  <si>
    <t>16.88亿</t>
  </si>
  <si>
    <t>35.91亿</t>
  </si>
  <si>
    <t>-6.24亿</t>
  </si>
  <si>
    <t>4859.93万</t>
  </si>
  <si>
    <t>2792.05万</t>
  </si>
  <si>
    <t>226.72万</t>
  </si>
  <si>
    <t>757.07万</t>
  </si>
  <si>
    <t>1.45万</t>
  </si>
  <si>
    <t>4636.59万</t>
  </si>
  <si>
    <t>2501.09万</t>
  </si>
  <si>
    <t>5997.10万</t>
  </si>
  <si>
    <t>7004.71万</t>
  </si>
  <si>
    <t>-6956.90万</t>
  </si>
  <si>
    <t>-3130.74万</t>
  </si>
  <si>
    <t>-4079.57万</t>
  </si>
  <si>
    <t>576.38万</t>
  </si>
  <si>
    <t>7721.25万</t>
  </si>
  <si>
    <t>92.32万</t>
  </si>
  <si>
    <t>22.48亿</t>
  </si>
  <si>
    <t>275.11万</t>
  </si>
  <si>
    <t>1857.90万</t>
  </si>
  <si>
    <t>14.58亿</t>
  </si>
  <si>
    <t>2965.86万</t>
  </si>
  <si>
    <t>4885.96万</t>
  </si>
  <si>
    <t>-6102.75万</t>
  </si>
  <si>
    <t>7476.25万</t>
  </si>
  <si>
    <t>468.62万</t>
  </si>
  <si>
    <t>5354.39万</t>
  </si>
  <si>
    <t>36.61万</t>
  </si>
  <si>
    <t>101.62亿</t>
  </si>
  <si>
    <t>-8784.25万</t>
  </si>
  <si>
    <t>348.17万</t>
  </si>
  <si>
    <t>2365.42万</t>
  </si>
  <si>
    <t>46.24亿</t>
  </si>
  <si>
    <t>13.58亿</t>
  </si>
  <si>
    <t>-762.69万</t>
  </si>
  <si>
    <t>4276.43万</t>
  </si>
  <si>
    <t>-360.05万</t>
  </si>
  <si>
    <t>194.64万</t>
  </si>
  <si>
    <t>2091.09万</t>
  </si>
  <si>
    <t>395.21万</t>
  </si>
  <si>
    <t>25.39亿</t>
  </si>
  <si>
    <t>6.96亿</t>
  </si>
  <si>
    <t>8652.65万</t>
  </si>
  <si>
    <t>602.99万</t>
  </si>
  <si>
    <t>2760.99万</t>
  </si>
  <si>
    <t>90.79万</t>
  </si>
  <si>
    <t>3317.54万</t>
  </si>
  <si>
    <t>8628.41万</t>
  </si>
  <si>
    <t>4.98亿</t>
  </si>
  <si>
    <t>-8094.77万</t>
  </si>
  <si>
    <t>258.92万</t>
  </si>
  <si>
    <t>-96.15万</t>
  </si>
  <si>
    <t>3980.85万</t>
  </si>
  <si>
    <t>1910.52万</t>
  </si>
  <si>
    <t>237.94万</t>
  </si>
  <si>
    <t>7.06亿</t>
  </si>
  <si>
    <t>6195.84万</t>
  </si>
  <si>
    <t>4589.15万</t>
  </si>
  <si>
    <t>140.39万</t>
  </si>
  <si>
    <t>726.03万</t>
  </si>
  <si>
    <t>4027.04万</t>
  </si>
  <si>
    <t>1100.62万</t>
  </si>
  <si>
    <t>392405760亿</t>
  </si>
  <si>
    <t>5.75亿</t>
  </si>
  <si>
    <t>5120.49万</t>
  </si>
  <si>
    <t>8143.41万</t>
  </si>
  <si>
    <t>7289.77万</t>
  </si>
  <si>
    <t>-594.88万</t>
  </si>
  <si>
    <t>-5.27亿</t>
  </si>
  <si>
    <t>6561.47万</t>
  </si>
  <si>
    <t>1433.81万</t>
  </si>
  <si>
    <t>7518.09万</t>
  </si>
  <si>
    <t>-6-1</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</si>
</sst>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pplyAlignment="1">
      <alignment vertical="center" wrapText="1"/>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279400</xdr:colOff>
          <xdr:row>0</xdr:row>
          <xdr:rowOff>50800</xdr:rowOff>
        </xdr:from>
        <xdr:to>
          <xdr:col>147</xdr:col>
          <xdr:colOff>1365250</xdr:colOff>
          <xdr:row>0</xdr:row>
          <xdr:rowOff>406400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8"/>
  <sheetViews>
    <sheetView tabSelected="1" zoomScale="85" zoomScaleNormal="85" workbookViewId="0">
      <pane xSplit="5" ySplit="1" topLeftCell="F2" activePane="bottomRight" state="frozen"/>
      <selection pane="topRight" activeCell="F1" sqref="F1"/>
      <selection pane="bottomLeft" activeCell="A2" sqref="A2"/>
      <selection pane="bottomRight" activeCell="C2" sqref="C2"/>
    </sheetView>
  </sheetViews>
  <sheetFormatPr defaultRowHeight="14" x14ac:dyDescent="0.25"/>
  <cols>
    <col min="1" max="1" width="36.453125" customWidth="1"/>
    <col min="2" max="2" width="38.36328125" customWidth="1"/>
    <col min="3" max="3" width="51.6328125" customWidth="1"/>
    <col min="4" max="4" width="8.81640625" style="3"/>
    <col min="148" max="148" width="23.08984375" customWidth="1"/>
  </cols>
  <sheetData>
    <row r="1" spans="1:146" ht="39.5" customHeight="1" x14ac:dyDescent="0.25">
      <c r="A1" s="4" t="s">
        <v>36</v>
      </c>
      <c r="B1" s="5" t="s">
        <v>37</v>
      </c>
      <c r="C1" s="4" t="s">
        <v>38</v>
      </c>
      <c r="D1" t="s">
        <v>39</v>
      </c>
      <c r="E1" t="s">
        <v>734</v>
      </c>
      <c r="F1" t="s">
        <v>3</v>
      </c>
      <c r="G1" t="s">
        <v>672</v>
      </c>
      <c r="H1" t="s">
        <v>800</v>
      </c>
      <c r="I1" t="s">
        <v>40</v>
      </c>
      <c r="J1" t="s">
        <v>41</v>
      </c>
      <c r="K1" t="s">
        <v>4</v>
      </c>
      <c r="L1" t="s">
        <v>42</v>
      </c>
      <c r="M1" t="s">
        <v>43</v>
      </c>
      <c r="N1" t="s">
        <v>44</v>
      </c>
      <c r="O1" t="s">
        <v>45</v>
      </c>
      <c r="P1" t="s">
        <v>744</v>
      </c>
      <c r="Q1" t="s">
        <v>801</v>
      </c>
      <c r="R1" t="s">
        <v>735</v>
      </c>
      <c r="S1" t="s">
        <v>46</v>
      </c>
      <c r="T1" t="s">
        <v>802</v>
      </c>
      <c r="U1" t="s">
        <v>673</v>
      </c>
      <c r="V1" t="s">
        <v>47</v>
      </c>
      <c r="W1" t="s">
        <v>803</v>
      </c>
      <c r="X1" t="s">
        <v>804</v>
      </c>
      <c r="Y1" t="s">
        <v>805</v>
      </c>
      <c r="Z1" t="s">
        <v>806</v>
      </c>
      <c r="AA1" t="s">
        <v>807</v>
      </c>
      <c r="AB1" t="s">
        <v>745</v>
      </c>
      <c r="AC1" t="s">
        <v>808</v>
      </c>
      <c r="AD1" t="s">
        <v>746</v>
      </c>
      <c r="AE1" t="s">
        <v>48</v>
      </c>
      <c r="AF1" t="s">
        <v>49</v>
      </c>
      <c r="AG1" t="s">
        <v>747</v>
      </c>
      <c r="AH1" t="s">
        <v>736</v>
      </c>
      <c r="AI1" t="s">
        <v>748</v>
      </c>
      <c r="AJ1" t="s">
        <v>50</v>
      </c>
      <c r="AK1" t="s">
        <v>749</v>
      </c>
      <c r="AL1" t="s">
        <v>304</v>
      </c>
      <c r="AM1" t="s">
        <v>750</v>
      </c>
      <c r="AN1" t="s">
        <v>751</v>
      </c>
      <c r="AO1" t="s">
        <v>752</v>
      </c>
      <c r="AP1" t="s">
        <v>753</v>
      </c>
      <c r="AQ1" t="s">
        <v>754</v>
      </c>
      <c r="AR1" t="s">
        <v>755</v>
      </c>
      <c r="AS1" t="s">
        <v>756</v>
      </c>
      <c r="AT1" t="s">
        <v>757</v>
      </c>
      <c r="AU1" t="s">
        <v>758</v>
      </c>
      <c r="AV1" t="s">
        <v>759</v>
      </c>
      <c r="AW1" t="s">
        <v>760</v>
      </c>
      <c r="AX1" t="s">
        <v>737</v>
      </c>
      <c r="AY1" t="s">
        <v>305</v>
      </c>
      <c r="AZ1" t="s">
        <v>306</v>
      </c>
      <c r="BA1" t="s">
        <v>676</v>
      </c>
      <c r="BB1" t="s">
        <v>307</v>
      </c>
      <c r="BC1" t="s">
        <v>677</v>
      </c>
      <c r="BD1" t="s">
        <v>308</v>
      </c>
      <c r="BE1" t="s">
        <v>309</v>
      </c>
      <c r="BF1" t="s">
        <v>310</v>
      </c>
      <c r="BG1" t="s">
        <v>311</v>
      </c>
      <c r="BH1" t="s">
        <v>809</v>
      </c>
      <c r="BI1" t="s">
        <v>810</v>
      </c>
      <c r="BJ1" t="s">
        <v>811</v>
      </c>
      <c r="BK1" t="s">
        <v>812</v>
      </c>
      <c r="BL1" t="s">
        <v>813</v>
      </c>
      <c r="BM1" t="s">
        <v>814</v>
      </c>
      <c r="BN1" t="s">
        <v>761</v>
      </c>
      <c r="BO1" t="s">
        <v>815</v>
      </c>
      <c r="BP1" t="s">
        <v>674</v>
      </c>
      <c r="BQ1" t="s">
        <v>312</v>
      </c>
      <c r="BR1" t="s">
        <v>816</v>
      </c>
      <c r="BS1" t="s">
        <v>675</v>
      </c>
      <c r="BT1" t="s">
        <v>313</v>
      </c>
      <c r="BU1" t="s">
        <v>817</v>
      </c>
      <c r="BV1" t="s">
        <v>762</v>
      </c>
      <c r="BW1" t="s">
        <v>609</v>
      </c>
      <c r="BX1" t="s">
        <v>314</v>
      </c>
      <c r="BY1" t="s">
        <v>763</v>
      </c>
      <c r="BZ1" t="s">
        <v>610</v>
      </c>
      <c r="CA1" t="s">
        <v>315</v>
      </c>
      <c r="CB1" t="s">
        <v>818</v>
      </c>
      <c r="CC1" t="s">
        <v>819</v>
      </c>
      <c r="CD1" t="s">
        <v>820</v>
      </c>
      <c r="CE1" t="s">
        <v>821</v>
      </c>
      <c r="CF1" s="1" t="s">
        <v>594</v>
      </c>
      <c r="CG1" s="1" t="s">
        <v>595</v>
      </c>
      <c r="CH1" s="1" t="s">
        <v>596</v>
      </c>
      <c r="CI1" s="1" t="s">
        <v>597</v>
      </c>
      <c r="CJ1" s="1" t="s">
        <v>598</v>
      </c>
      <c r="CK1" s="1" t="s">
        <v>599</v>
      </c>
      <c r="CL1" s="1" t="s">
        <v>600</v>
      </c>
      <c r="CM1" s="1" t="s">
        <v>601</v>
      </c>
      <c r="CN1" s="1" t="s">
        <v>602</v>
      </c>
      <c r="CO1" s="1" t="s">
        <v>603</v>
      </c>
      <c r="CP1" s="1" t="s">
        <v>604</v>
      </c>
      <c r="CQ1" s="1" t="s">
        <v>605</v>
      </c>
      <c r="CR1" s="1" t="s">
        <v>885</v>
      </c>
      <c r="CS1" s="1" t="s">
        <v>886</v>
      </c>
      <c r="CT1" s="1" t="s">
        <v>887</v>
      </c>
      <c r="CU1" s="1" t="s">
        <v>888</v>
      </c>
      <c r="CV1" s="1" t="s">
        <v>889</v>
      </c>
      <c r="CW1" s="1" t="s">
        <v>890</v>
      </c>
      <c r="CX1">
        <v>1</v>
      </c>
      <c r="CY1" t="s">
        <v>891</v>
      </c>
      <c r="CZ1" t="s">
        <v>892</v>
      </c>
      <c r="DA1">
        <v>3</v>
      </c>
      <c r="DB1" t="s">
        <v>893</v>
      </c>
      <c r="DC1" t="s">
        <v>894</v>
      </c>
      <c r="DD1">
        <v>6</v>
      </c>
      <c r="DE1" t="s">
        <v>895</v>
      </c>
      <c r="DF1" t="s">
        <v>896</v>
      </c>
      <c r="DG1">
        <v>10</v>
      </c>
      <c r="DH1" t="s">
        <v>897</v>
      </c>
      <c r="DI1" t="s">
        <v>898</v>
      </c>
      <c r="DJ1">
        <v>20</v>
      </c>
      <c r="DK1" t="s">
        <v>899</v>
      </c>
      <c r="DL1" t="s">
        <v>606</v>
      </c>
      <c r="DM1" t="s">
        <v>607</v>
      </c>
      <c r="DN1" s="2" t="s">
        <v>608</v>
      </c>
      <c r="DO1" t="s">
        <v>900</v>
      </c>
      <c r="DP1" t="s">
        <v>901</v>
      </c>
      <c r="DQ1" s="12" t="s">
        <v>902</v>
      </c>
      <c r="DR1" s="1" t="s">
        <v>903</v>
      </c>
      <c r="DS1" s="1" t="s">
        <v>904</v>
      </c>
      <c r="DT1" t="s">
        <v>905</v>
      </c>
      <c r="DU1" t="s">
        <v>906</v>
      </c>
      <c r="DV1" t="s">
        <v>907</v>
      </c>
      <c r="DW1" t="s">
        <v>908</v>
      </c>
      <c r="DX1" t="s">
        <v>909</v>
      </c>
      <c r="DY1" t="s">
        <v>910</v>
      </c>
      <c r="DZ1" t="s">
        <v>911</v>
      </c>
      <c r="EA1" t="s">
        <v>912</v>
      </c>
      <c r="EB1" t="s">
        <v>913</v>
      </c>
      <c r="EC1" t="s">
        <v>914</v>
      </c>
      <c r="ED1" t="s">
        <v>915</v>
      </c>
      <c r="EE1" t="s">
        <v>916</v>
      </c>
      <c r="EF1" t="s">
        <v>917</v>
      </c>
      <c r="EG1" t="s">
        <v>918</v>
      </c>
      <c r="EH1" t="s">
        <v>919</v>
      </c>
      <c r="EI1" t="s">
        <v>920</v>
      </c>
      <c r="EK1" s="13" t="s">
        <v>921</v>
      </c>
      <c r="EL1" t="s">
        <v>922</v>
      </c>
      <c r="EM1" t="s">
        <v>923</v>
      </c>
      <c r="EN1" t="s">
        <v>924</v>
      </c>
      <c r="EO1" t="s">
        <v>925</v>
      </c>
      <c r="EP1" t="s">
        <v>926</v>
      </c>
    </row>
    <row r="2" spans="1:146" ht="132" x14ac:dyDescent="0.25">
      <c r="A2" s="7" t="s">
        <v>968</v>
      </c>
      <c r="B2" s="7"/>
      <c r="C2" s="7" t="str">
        <f>"公司主营业务为特种装备、超硬材料、专用车及汽车零部件三大业务板块。公司的主要产品为特种装备业务、人造金刚石、培育钻石、立方氮化硼、冷藏保温车、危险化学品运输车、军警消用各类方舱、汽车零部件。”"&amp;CHAR(10)&amp;Basic_Fundamental_Information_Constructure(F2)&amp;CHAR(10)&amp;Basic_Fundamental_Information_Concatenate("特种装备 33.87亿 55.38% 11.36亿 58.07% 33.53%
超硬材料及其制品 23.00亿 37.61% 8.20亿 41.93% 35.65%")</f>
        <v>公司主营业务为特种装备、超硬材料、专用车及汽车零部件三大业务板块。公司的主要产品为特种装备业务、人造金刚石、培育钻石、立方氮化硼、冷藏保温车、危险化学品运输车、军警消用各类方舱、汽车零部件。”
市值196.90784亿, 利润8.28亿; PE23.19; 平均PE39.26; 平均PEG7.68, PB1.88; ROIC4.62%; ROE5.4533%; 股利率.389%; 毛利27.29%; 净利10.7333%; 上一年度营收增-8.91%, 利润增1.1%; 当季营收增14.18%, 利润增60.14%; 过往5年营收增5.12%, 利润增25.53%
Income profile:
特种装备 33.87亿 55.38% 11.36亿 58.07% 33.53%
超硬材料及其制品 23.00亿 37.61% 8.20亿 41.93% 35.65%</v>
      </c>
      <c r="D2" t="s">
        <v>51</v>
      </c>
      <c r="E2" t="s">
        <v>28</v>
      </c>
      <c r="F2">
        <v>14.14</v>
      </c>
      <c r="G2">
        <v>1.58</v>
      </c>
      <c r="H2" t="s">
        <v>1791</v>
      </c>
      <c r="I2">
        <v>19690784000</v>
      </c>
      <c r="J2">
        <v>23.19</v>
      </c>
      <c r="K2">
        <v>1.88</v>
      </c>
      <c r="L2" t="s">
        <v>1792</v>
      </c>
      <c r="M2" t="s">
        <v>1177</v>
      </c>
      <c r="N2" t="s">
        <v>1793</v>
      </c>
      <c r="O2" t="s">
        <v>1139</v>
      </c>
      <c r="P2">
        <v>14.13</v>
      </c>
      <c r="Q2" t="s">
        <v>1178</v>
      </c>
      <c r="R2">
        <v>-13665915</v>
      </c>
      <c r="S2" s="6">
        <v>0.60140000000000005</v>
      </c>
      <c r="T2" t="s">
        <v>1179</v>
      </c>
      <c r="U2">
        <v>1392559000</v>
      </c>
      <c r="V2">
        <v>1392559000</v>
      </c>
      <c r="W2">
        <v>1.44</v>
      </c>
      <c r="X2">
        <v>0.06</v>
      </c>
      <c r="Y2">
        <v>-1.54</v>
      </c>
      <c r="Z2" t="s">
        <v>1125</v>
      </c>
      <c r="AA2" t="s">
        <v>1211</v>
      </c>
      <c r="AB2" t="s">
        <v>1794</v>
      </c>
      <c r="AC2" t="s">
        <v>73</v>
      </c>
      <c r="AD2" t="s">
        <v>35</v>
      </c>
      <c r="AE2">
        <v>-18444178</v>
      </c>
      <c r="AF2" t="s">
        <v>102</v>
      </c>
      <c r="AG2" t="s">
        <v>1795</v>
      </c>
      <c r="AH2" t="s">
        <v>1180</v>
      </c>
      <c r="AI2" t="s">
        <v>1796</v>
      </c>
      <c r="AJ2" t="s">
        <v>1181</v>
      </c>
      <c r="AK2" t="s">
        <v>86</v>
      </c>
      <c r="AL2" t="s">
        <v>1182</v>
      </c>
      <c r="AM2" t="s">
        <v>35</v>
      </c>
      <c r="AN2" t="s">
        <v>1797</v>
      </c>
      <c r="AO2" t="s">
        <v>35</v>
      </c>
      <c r="AP2" t="s">
        <v>276</v>
      </c>
      <c r="AQ2" t="s">
        <v>1798</v>
      </c>
      <c r="AR2" t="s">
        <v>35</v>
      </c>
      <c r="AS2" t="s">
        <v>1799</v>
      </c>
      <c r="AT2" t="s">
        <v>336</v>
      </c>
      <c r="AU2" t="s">
        <v>1485</v>
      </c>
      <c r="AV2" t="s">
        <v>958</v>
      </c>
      <c r="AW2" t="s">
        <v>1174</v>
      </c>
      <c r="AX2" t="s">
        <v>976</v>
      </c>
      <c r="AY2" t="s">
        <v>822</v>
      </c>
      <c r="AZ2" t="s">
        <v>228</v>
      </c>
      <c r="BA2" t="s">
        <v>52</v>
      </c>
      <c r="BB2" t="s">
        <v>317</v>
      </c>
      <c r="BC2" t="s">
        <v>767</v>
      </c>
      <c r="BD2" t="s">
        <v>613</v>
      </c>
      <c r="BE2" t="s">
        <v>267</v>
      </c>
      <c r="BF2" t="s">
        <v>53</v>
      </c>
      <c r="BG2" t="s">
        <v>319</v>
      </c>
      <c r="BH2" t="s">
        <v>1178</v>
      </c>
      <c r="BI2" t="s">
        <v>1141</v>
      </c>
      <c r="BJ2" t="s">
        <v>976</v>
      </c>
      <c r="BK2" t="s">
        <v>1179</v>
      </c>
      <c r="BL2" t="s">
        <v>1183</v>
      </c>
      <c r="BM2" t="s">
        <v>767</v>
      </c>
      <c r="BN2">
        <v>1.52</v>
      </c>
      <c r="BO2">
        <v>7.54</v>
      </c>
      <c r="BP2">
        <v>4.8</v>
      </c>
      <c r="BQ2">
        <v>2.09</v>
      </c>
      <c r="BR2">
        <v>8.73</v>
      </c>
      <c r="BS2">
        <v>5.54</v>
      </c>
      <c r="BT2" t="s">
        <v>978</v>
      </c>
      <c r="BU2" t="s">
        <v>823</v>
      </c>
      <c r="BV2">
        <v>32.25</v>
      </c>
      <c r="BW2">
        <v>28.88</v>
      </c>
      <c r="BX2">
        <v>20.74</v>
      </c>
      <c r="BY2">
        <v>13.54</v>
      </c>
      <c r="BZ2">
        <v>12.2</v>
      </c>
      <c r="CA2">
        <v>6.46</v>
      </c>
      <c r="CB2">
        <v>-3.61</v>
      </c>
      <c r="CC2">
        <v>0.11</v>
      </c>
      <c r="CD2" t="s">
        <v>224</v>
      </c>
      <c r="CE2" t="s">
        <v>1800</v>
      </c>
      <c r="CF2" s="8">
        <v>0.14175257731958762</v>
      </c>
      <c r="CG2" s="9">
        <v>0.60137460402653242</v>
      </c>
      <c r="CH2" s="8">
        <v>-8.9067637920379639E-2</v>
      </c>
      <c r="CI2" s="8">
        <v>-0.10646792501211166</v>
      </c>
      <c r="CJ2" s="8">
        <v>0.16261795163154602</v>
      </c>
      <c r="CK2" s="8">
        <v>0.21439312398433685</v>
      </c>
      <c r="CL2" s="8">
        <v>7.4283406138420105E-2</v>
      </c>
      <c r="CM2" s="9">
        <v>1.0989011265337467E-2</v>
      </c>
      <c r="CN2" s="9">
        <v>0.68865978717803955</v>
      </c>
      <c r="CO2" s="9">
        <v>0.76363635063171387</v>
      </c>
      <c r="CP2" s="9">
        <v>7.8431375324726105E-2</v>
      </c>
      <c r="CQ2" s="9">
        <v>-0.2651296854019165</v>
      </c>
      <c r="CR2">
        <v>39.26377666999003</v>
      </c>
      <c r="CS2">
        <v>7.6759349880864312</v>
      </c>
      <c r="CT2">
        <v>0.38896746817538896</v>
      </c>
      <c r="CU2" s="8">
        <v>5.1151783764362337E-2</v>
      </c>
      <c r="CV2" s="9">
        <v>0.25531736779958009</v>
      </c>
      <c r="CW2">
        <v>0.06</v>
      </c>
      <c r="CX2">
        <v>17.364493814562874</v>
      </c>
      <c r="CY2">
        <v>821088374.48763371</v>
      </c>
      <c r="CZ2">
        <v>5.1151783764362337E-2</v>
      </c>
      <c r="DA2">
        <v>5.8651662794258153</v>
      </c>
      <c r="DB2">
        <v>2430925794.8942242</v>
      </c>
      <c r="DC2">
        <v>4.8594194576144216E-2</v>
      </c>
      <c r="DD2">
        <v>3.0156838809934783</v>
      </c>
      <c r="DE2">
        <v>4727877510.5907173</v>
      </c>
      <c r="DF2">
        <v>4.5013569712638854E-2</v>
      </c>
      <c r="DG2">
        <v>1.9002661507857888</v>
      </c>
      <c r="DH2">
        <v>7503045820.2416496</v>
      </c>
      <c r="DI2">
        <v>4.0921427011489875E-2</v>
      </c>
      <c r="DJ2">
        <v>1.0875183177971037</v>
      </c>
      <c r="DK2">
        <v>13110385146.321781</v>
      </c>
      <c r="DL2">
        <v>3.5806248635053634E-2</v>
      </c>
      <c r="DM2">
        <v>827999999.99999988</v>
      </c>
      <c r="DN2">
        <v>5.1151783764362337E-2</v>
      </c>
      <c r="DO2">
        <v>14257784000</v>
      </c>
      <c r="DP2">
        <v>6255766900</v>
      </c>
      <c r="DQ2">
        <v>106</v>
      </c>
      <c r="DR2">
        <v>9.0600793555225295E-2</v>
      </c>
      <c r="DS2">
        <v>0.34605723622695234</v>
      </c>
      <c r="DT2" s="10">
        <v>-0.19000000000000003</v>
      </c>
      <c r="DU2">
        <v>0.22833333333333328</v>
      </c>
      <c r="DV2">
        <v>3.8333333333333247E-2</v>
      </c>
      <c r="DW2">
        <v>-4.0304709141274238</v>
      </c>
      <c r="DX2">
        <v>0.28599176899346024</v>
      </c>
      <c r="DY2">
        <v>-4.0035343752324879</v>
      </c>
      <c r="DZ2">
        <v>1625</v>
      </c>
      <c r="EA2">
        <v>-4.0024104300753853</v>
      </c>
      <c r="EB2">
        <v>4</v>
      </c>
      <c r="EC2">
        <v>0.12135931044932387</v>
      </c>
      <c r="ED2">
        <v>1.0462752386074845</v>
      </c>
      <c r="EE2" s="11">
        <v>1.07901</v>
      </c>
      <c r="EF2">
        <v>1.0959099999999999</v>
      </c>
      <c r="EG2">
        <v>17.11599176899346</v>
      </c>
      <c r="EH2" t="s">
        <v>969</v>
      </c>
      <c r="EI2">
        <v>0</v>
      </c>
      <c r="EJ2">
        <v>0</v>
      </c>
      <c r="EK2" s="13">
        <v>45470</v>
      </c>
      <c r="EL2" s="14">
        <v>-0.78</v>
      </c>
      <c r="EM2" s="14">
        <v>-2.4900000000000002</v>
      </c>
      <c r="EN2" s="14">
        <v>3.5</v>
      </c>
      <c r="EO2" s="14">
        <v>0.35</v>
      </c>
      <c r="EP2" s="14">
        <v>-1.69</v>
      </c>
    </row>
    <row r="3" spans="1:146" ht="84" x14ac:dyDescent="0.25">
      <c r="A3" s="7"/>
      <c r="B3" s="7"/>
      <c r="C3" s="7" t="str">
        <f>""&amp;CHAR(10)&amp;Basic_Fundamental_Information_Constructure(F3)&amp;CHAR(10)&amp;Basic_Fundamental_Information_Concatenate("")</f>
        <v xml:space="preserve">
市值36.800212亿, 利润5234.19万; PE294.1; 平均PE40.98; 平均PEG10.4, PB2.01; ROIC5.38%; ROE3.75%; 股利率0%; 毛利39.2967%; 净利6.0467%; 上一年度营收增-8.12%, 利润增-46.41%; 当季营收增-42.32%, 利润增-210.97%; 过往5年营收增3.94%, 利润增-6.46%
Income profile:
</v>
      </c>
      <c r="D3" t="s">
        <v>61</v>
      </c>
      <c r="E3" t="s">
        <v>62</v>
      </c>
      <c r="F3">
        <v>6.09</v>
      </c>
      <c r="G3">
        <v>0</v>
      </c>
      <c r="H3" t="s">
        <v>1801</v>
      </c>
      <c r="I3">
        <v>3680021200</v>
      </c>
      <c r="J3">
        <v>294.10000000000002</v>
      </c>
      <c r="K3">
        <v>2.0099999999999998</v>
      </c>
      <c r="L3" t="s">
        <v>1792</v>
      </c>
      <c r="M3" t="s">
        <v>1185</v>
      </c>
      <c r="N3" t="s">
        <v>1802</v>
      </c>
      <c r="O3" t="s">
        <v>444</v>
      </c>
      <c r="P3">
        <v>-42.24</v>
      </c>
      <c r="Q3" t="s">
        <v>1186</v>
      </c>
      <c r="R3">
        <v>-58707100</v>
      </c>
      <c r="S3" s="6">
        <v>-2.11</v>
      </c>
      <c r="T3" t="s">
        <v>1187</v>
      </c>
      <c r="U3">
        <v>602026690</v>
      </c>
      <c r="V3">
        <v>604272780</v>
      </c>
      <c r="W3">
        <v>2.0499999999999998</v>
      </c>
      <c r="X3">
        <v>0.03</v>
      </c>
      <c r="Y3">
        <v>-48.33</v>
      </c>
      <c r="Z3" t="s">
        <v>176</v>
      </c>
      <c r="AA3" t="s">
        <v>141</v>
      </c>
      <c r="AB3" t="s">
        <v>1803</v>
      </c>
      <c r="AC3" t="s">
        <v>1804</v>
      </c>
      <c r="AD3" t="s">
        <v>35</v>
      </c>
      <c r="AE3">
        <v>3687628</v>
      </c>
      <c r="AF3" t="s">
        <v>1188</v>
      </c>
      <c r="AG3" t="s">
        <v>1805</v>
      </c>
      <c r="AH3" t="s">
        <v>1189</v>
      </c>
      <c r="AI3" t="s">
        <v>98</v>
      </c>
      <c r="AJ3" t="s">
        <v>1190</v>
      </c>
      <c r="AK3" t="s">
        <v>1075</v>
      </c>
      <c r="AL3" t="s">
        <v>1191</v>
      </c>
      <c r="AM3" t="s">
        <v>35</v>
      </c>
      <c r="AN3" t="s">
        <v>277</v>
      </c>
      <c r="AO3" t="s">
        <v>362</v>
      </c>
      <c r="AP3" t="s">
        <v>238</v>
      </c>
      <c r="AQ3" t="s">
        <v>374</v>
      </c>
      <c r="AR3" t="s">
        <v>35</v>
      </c>
      <c r="AS3" t="s">
        <v>1806</v>
      </c>
      <c r="AT3" t="s">
        <v>1193</v>
      </c>
      <c r="AU3" t="s">
        <v>1807</v>
      </c>
      <c r="AV3" t="s">
        <v>1808</v>
      </c>
      <c r="AW3" t="s">
        <v>1809</v>
      </c>
      <c r="AX3" t="s">
        <v>824</v>
      </c>
      <c r="AY3" t="s">
        <v>826</v>
      </c>
      <c r="AZ3" t="s">
        <v>252</v>
      </c>
      <c r="BA3" t="s">
        <v>328</v>
      </c>
      <c r="BB3" t="s">
        <v>166</v>
      </c>
      <c r="BC3" t="s">
        <v>1194</v>
      </c>
      <c r="BD3" t="s">
        <v>138</v>
      </c>
      <c r="BE3" t="s">
        <v>324</v>
      </c>
      <c r="BF3" t="s">
        <v>330</v>
      </c>
      <c r="BG3" t="s">
        <v>331</v>
      </c>
      <c r="BH3" t="s">
        <v>1186</v>
      </c>
      <c r="BI3" t="s">
        <v>123</v>
      </c>
      <c r="BJ3" t="s">
        <v>824</v>
      </c>
      <c r="BK3" t="s">
        <v>1187</v>
      </c>
      <c r="BL3" t="s">
        <v>1195</v>
      </c>
      <c r="BM3" t="s">
        <v>1194</v>
      </c>
      <c r="BN3" t="s">
        <v>35</v>
      </c>
      <c r="BO3">
        <v>4.8499999999999996</v>
      </c>
      <c r="BP3">
        <v>5.91</v>
      </c>
      <c r="BQ3">
        <v>-1.1100000000000001</v>
      </c>
      <c r="BR3">
        <v>5.57</v>
      </c>
      <c r="BS3">
        <v>6.79</v>
      </c>
      <c r="BT3" t="s">
        <v>948</v>
      </c>
      <c r="BU3" t="s">
        <v>733</v>
      </c>
      <c r="BV3">
        <v>35.78</v>
      </c>
      <c r="BW3">
        <v>40.47</v>
      </c>
      <c r="BX3">
        <v>41.64</v>
      </c>
      <c r="BY3">
        <v>4.2699999999999996</v>
      </c>
      <c r="BZ3">
        <v>6.27</v>
      </c>
      <c r="CA3">
        <v>7.6</v>
      </c>
      <c r="CB3">
        <v>-4.99</v>
      </c>
      <c r="CC3">
        <v>-17.7</v>
      </c>
      <c r="CD3" t="s">
        <v>1810</v>
      </c>
      <c r="CE3" t="s">
        <v>1012</v>
      </c>
      <c r="CF3" s="8">
        <v>-0.42323651452282157</v>
      </c>
      <c r="CG3" s="9">
        <v>-2.1097497669294007</v>
      </c>
      <c r="CH3" s="8">
        <v>-8.1249997019767761E-2</v>
      </c>
      <c r="CI3" s="8">
        <v>6.5246336162090302E-2</v>
      </c>
      <c r="CJ3" s="8">
        <v>8.2912713289260864E-2</v>
      </c>
      <c r="CK3" s="8">
        <v>3.0460672453045845E-2</v>
      </c>
      <c r="CL3" s="8">
        <v>9.9673204123973846E-2</v>
      </c>
      <c r="CM3" s="9">
        <v>-0.46412566304206848</v>
      </c>
      <c r="CN3" s="9">
        <v>-0.12003877758979797</v>
      </c>
      <c r="CO3" s="9">
        <v>0.12494147568941116</v>
      </c>
      <c r="CP3" s="9">
        <v>6.5643846988677979E-2</v>
      </c>
      <c r="CQ3" s="9">
        <v>7.037942111492157E-2</v>
      </c>
      <c r="CR3">
        <v>40.981073831582115</v>
      </c>
      <c r="CS3">
        <v>10.399021684709338</v>
      </c>
      <c r="CT3">
        <v>0</v>
      </c>
      <c r="CU3" s="8">
        <v>3.9408585801720616E-2</v>
      </c>
      <c r="CV3" s="9">
        <v>-6.4639939367771154E-2</v>
      </c>
      <c r="CW3">
        <v>0.06</v>
      </c>
      <c r="CX3">
        <v>77.720650415574752</v>
      </c>
      <c r="CY3">
        <v>51325113.45016516</v>
      </c>
      <c r="CZ3">
        <v>3.9408585801720616E-2</v>
      </c>
      <c r="DA3">
        <v>26.516481532184027</v>
      </c>
      <c r="DB3">
        <v>150435539.31385574</v>
      </c>
      <c r="DC3">
        <v>3.7438156511634582E-2</v>
      </c>
      <c r="DD3">
        <v>13.81164655310762</v>
      </c>
      <c r="DE3">
        <v>288815760.28330022</v>
      </c>
      <c r="DF3">
        <v>3.4679555505514145E-2</v>
      </c>
      <c r="DG3">
        <v>8.8252851325492276</v>
      </c>
      <c r="DH3">
        <v>451999129.7831021</v>
      </c>
      <c r="DI3">
        <v>3.1526868641376493E-2</v>
      </c>
      <c r="DJ3">
        <v>5.1959617621489507</v>
      </c>
      <c r="DK3">
        <v>767715657.38971424</v>
      </c>
      <c r="DL3">
        <v>2.7586010061204428E-2</v>
      </c>
      <c r="DM3">
        <v>52341899.999999993</v>
      </c>
      <c r="DN3">
        <v>3.9408585801720616E-2</v>
      </c>
      <c r="DO3">
        <v>3989021200</v>
      </c>
      <c r="DP3">
        <v>1252080700</v>
      </c>
      <c r="DQ3">
        <v>141</v>
      </c>
      <c r="DR3">
        <v>-0.4626451003245422</v>
      </c>
      <c r="DS3">
        <v>-2.0451098275616295</v>
      </c>
      <c r="DT3" s="10">
        <v>-0.44</v>
      </c>
      <c r="DU3">
        <v>-1.0649999999999999</v>
      </c>
      <c r="DV3">
        <v>-1.5049999999999999</v>
      </c>
      <c r="DW3">
        <v>-8.2819209039548021</v>
      </c>
      <c r="DX3">
        <v>0.34560582010581853</v>
      </c>
      <c r="DY3">
        <v>-8.0297724882671204</v>
      </c>
      <c r="DZ3">
        <v>4018</v>
      </c>
      <c r="EA3">
        <v>-8.0063623399584536</v>
      </c>
      <c r="EB3">
        <v>8</v>
      </c>
      <c r="EC3">
        <v>3.3030612433014112E-2</v>
      </c>
      <c r="ED3">
        <v>0.31277265211251115</v>
      </c>
      <c r="EE3" s="11">
        <v>-5.0114099999999997</v>
      </c>
      <c r="EF3">
        <v>-5.0224099999999998</v>
      </c>
      <c r="EG3">
        <v>24.105605820105819</v>
      </c>
      <c r="EH3" t="s">
        <v>1779</v>
      </c>
      <c r="EI3">
        <v>0</v>
      </c>
      <c r="EJ3">
        <v>0</v>
      </c>
      <c r="EK3" s="13">
        <v>45470</v>
      </c>
      <c r="EL3" s="14">
        <v>0.46</v>
      </c>
      <c r="EM3" s="14">
        <v>-4.45</v>
      </c>
      <c r="EN3" s="14">
        <v>0.16</v>
      </c>
      <c r="EO3" s="14">
        <v>2.57</v>
      </c>
      <c r="EP3" s="14">
        <v>-1.1000000000000001</v>
      </c>
    </row>
    <row r="4" spans="1:146" ht="84" x14ac:dyDescent="0.25">
      <c r="A4" s="7"/>
      <c r="B4" s="7"/>
      <c r="C4" s="7" t="str">
        <f>""&amp;CHAR(10)&amp;Basic_Fundamental_Information_Constructure(F4)&amp;CHAR(10)&amp;Basic_Fundamental_Information_Concatenate("")</f>
        <v xml:space="preserve">
市值25.719362亿, 利润-2.33亿; PE; 平均PE19.48; 平均PEG6.46, PB1.59; ROIC2.255%; ROE3.8733%; 股利率0%; 毛利46.105%; 净利-33.875%; 上一年度营收增-27.42%, 利润增-295.8%; 当季营收增-8.31%, 利润增-35.57%; 过往5年营收增-3.02%, 利润增94.63%
Income profile:
</v>
      </c>
      <c r="D4" t="s">
        <v>67</v>
      </c>
      <c r="E4" t="s">
        <v>332</v>
      </c>
      <c r="F4">
        <v>5.87</v>
      </c>
      <c r="G4">
        <v>2.09</v>
      </c>
      <c r="H4" t="s">
        <v>1811</v>
      </c>
      <c r="I4">
        <v>2571936200</v>
      </c>
      <c r="K4">
        <v>1.59</v>
      </c>
      <c r="L4" t="s">
        <v>1792</v>
      </c>
      <c r="M4" t="s">
        <v>1076</v>
      </c>
      <c r="N4" t="s">
        <v>1812</v>
      </c>
      <c r="O4" t="s">
        <v>1196</v>
      </c>
      <c r="P4">
        <v>-8.31</v>
      </c>
      <c r="Q4" t="s">
        <v>983</v>
      </c>
      <c r="R4">
        <v>13820019</v>
      </c>
      <c r="S4" s="6">
        <v>-0.35570000000000002</v>
      </c>
      <c r="T4" t="s">
        <v>1197</v>
      </c>
      <c r="U4">
        <v>423501390</v>
      </c>
      <c r="V4">
        <v>438149270</v>
      </c>
      <c r="W4">
        <v>1.1299999999999999</v>
      </c>
      <c r="X4">
        <v>0.04</v>
      </c>
      <c r="Y4">
        <v>17.559999999999999</v>
      </c>
      <c r="Z4" t="s">
        <v>1813</v>
      </c>
      <c r="AA4" t="s">
        <v>1814</v>
      </c>
      <c r="AB4" t="s">
        <v>1815</v>
      </c>
      <c r="AC4" t="s">
        <v>1816</v>
      </c>
      <c r="AD4" t="s">
        <v>35</v>
      </c>
      <c r="AE4">
        <v>-19259</v>
      </c>
      <c r="AF4" t="s">
        <v>1198</v>
      </c>
      <c r="AG4" t="s">
        <v>1817</v>
      </c>
      <c r="AH4" t="s">
        <v>1199</v>
      </c>
      <c r="AI4" t="s">
        <v>375</v>
      </c>
      <c r="AJ4" t="s">
        <v>1200</v>
      </c>
      <c r="AK4" t="s">
        <v>1818</v>
      </c>
      <c r="AL4" t="s">
        <v>1201</v>
      </c>
      <c r="AM4" t="s">
        <v>35</v>
      </c>
      <c r="AN4" t="s">
        <v>1819</v>
      </c>
      <c r="AO4" t="s">
        <v>1349</v>
      </c>
      <c r="AP4" t="s">
        <v>1820</v>
      </c>
      <c r="AQ4" t="s">
        <v>1821</v>
      </c>
      <c r="AR4" t="s">
        <v>35</v>
      </c>
      <c r="AS4" t="s">
        <v>116</v>
      </c>
      <c r="AT4" t="s">
        <v>35</v>
      </c>
      <c r="AU4" t="s">
        <v>1822</v>
      </c>
      <c r="AV4" t="s">
        <v>1159</v>
      </c>
      <c r="AW4" t="s">
        <v>1823</v>
      </c>
      <c r="AX4" t="s">
        <v>878</v>
      </c>
      <c r="AY4" t="s">
        <v>632</v>
      </c>
      <c r="AZ4" t="s">
        <v>103</v>
      </c>
      <c r="BA4" t="s">
        <v>68</v>
      </c>
      <c r="BB4" t="s">
        <v>337</v>
      </c>
      <c r="BC4" t="s">
        <v>194</v>
      </c>
      <c r="BD4" t="s">
        <v>678</v>
      </c>
      <c r="BE4" t="s">
        <v>333</v>
      </c>
      <c r="BF4" t="s">
        <v>69</v>
      </c>
      <c r="BG4" t="s">
        <v>341</v>
      </c>
      <c r="BH4" t="s">
        <v>983</v>
      </c>
      <c r="BI4" t="s">
        <v>1202</v>
      </c>
      <c r="BJ4" t="s">
        <v>878</v>
      </c>
      <c r="BK4" t="s">
        <v>1197</v>
      </c>
      <c r="BL4" t="s">
        <v>1203</v>
      </c>
      <c r="BM4" t="s">
        <v>194</v>
      </c>
      <c r="BN4">
        <v>2.4300000000000002</v>
      </c>
      <c r="BO4" t="s">
        <v>35</v>
      </c>
      <c r="BP4">
        <v>2.08</v>
      </c>
      <c r="BQ4">
        <v>2.63</v>
      </c>
      <c r="BR4">
        <v>7.07</v>
      </c>
      <c r="BS4">
        <v>1.92</v>
      </c>
      <c r="BT4" t="s">
        <v>948</v>
      </c>
      <c r="BU4" t="s">
        <v>823</v>
      </c>
      <c r="BV4">
        <v>51.79</v>
      </c>
      <c r="BW4" t="s">
        <v>35</v>
      </c>
      <c r="BX4">
        <v>40.42</v>
      </c>
      <c r="BY4">
        <v>-75.040000000000006</v>
      </c>
      <c r="BZ4" t="s">
        <v>35</v>
      </c>
      <c r="CA4">
        <v>7.29</v>
      </c>
      <c r="CB4">
        <v>-2.17</v>
      </c>
      <c r="CC4">
        <v>-19.149999999999999</v>
      </c>
      <c r="CD4" t="s">
        <v>1824</v>
      </c>
      <c r="CE4" t="s">
        <v>335</v>
      </c>
      <c r="CF4" s="8">
        <v>-8.31178987561524E-2</v>
      </c>
      <c r="CG4" s="9">
        <v>-0.35572208443665387</v>
      </c>
      <c r="CH4" s="8">
        <v>-0.27415731549263</v>
      </c>
      <c r="CI4" s="8">
        <v>-0.17592592537403107</v>
      </c>
      <c r="CJ4" s="8">
        <v>4.8543687909841537E-2</v>
      </c>
      <c r="CK4" s="8">
        <v>4.0404040366411209E-2</v>
      </c>
      <c r="CL4" s="8">
        <v>0.21026894450187683</v>
      </c>
      <c r="CM4" s="9">
        <v>-2.9579832553863525</v>
      </c>
      <c r="CN4" s="9">
        <v>2.7353019714355469</v>
      </c>
      <c r="CO4" s="9">
        <v>-0.95301151275634766</v>
      </c>
      <c r="CP4" s="9">
        <v>5.9058737754821777</v>
      </c>
      <c r="CQ4" s="9">
        <v>1.0818262817338109E-3</v>
      </c>
      <c r="CR4">
        <v>19.481740528138445</v>
      </c>
      <c r="CS4">
        <v>6.4566128781779453</v>
      </c>
      <c r="CT4">
        <v>0</v>
      </c>
      <c r="CU4" s="8">
        <v>-3.01733136177063E-2</v>
      </c>
      <c r="CV4" s="9">
        <v>0.94625256101135169</v>
      </c>
      <c r="CW4">
        <v>0.06</v>
      </c>
      <c r="CX4" t="e">
        <v>#VALUE!</v>
      </c>
      <c r="CY4" t="s">
        <v>740</v>
      </c>
      <c r="CZ4">
        <v>-3.01733136177063E-2</v>
      </c>
      <c r="DA4" t="e">
        <v>#VALUE!</v>
      </c>
      <c r="DB4" t="s">
        <v>740</v>
      </c>
      <c r="DC4">
        <v>-2.8664647936820983E-2</v>
      </c>
      <c r="DD4" t="e">
        <v>#VALUE!</v>
      </c>
      <c r="DE4" t="s">
        <v>740</v>
      </c>
      <c r="DF4">
        <v>-2.6552515983581545E-2</v>
      </c>
      <c r="DG4" t="e">
        <v>#VALUE!</v>
      </c>
      <c r="DH4" t="s">
        <v>740</v>
      </c>
      <c r="DI4">
        <v>-2.4138650894165042E-2</v>
      </c>
      <c r="DJ4" t="e">
        <v>#VALUE!</v>
      </c>
      <c r="DK4" t="s">
        <v>740</v>
      </c>
      <c r="DL4">
        <v>-2.1121319532394409E-2</v>
      </c>
      <c r="DM4">
        <v>-233000000</v>
      </c>
      <c r="DN4">
        <v>-3.01733136177063E-2</v>
      </c>
      <c r="DO4">
        <v>1135936200</v>
      </c>
      <c r="DP4">
        <v>763104900</v>
      </c>
      <c r="DQ4">
        <v>152</v>
      </c>
      <c r="DR4">
        <v>-5.2944585138446104E-2</v>
      </c>
      <c r="DS4">
        <v>-1.3019746454480057</v>
      </c>
      <c r="DT4" s="10">
        <v>-0.65666666666666662</v>
      </c>
      <c r="DU4">
        <v>-0.62083333333333346</v>
      </c>
      <c r="DV4">
        <v>-1.2775000000000001</v>
      </c>
      <c r="DW4">
        <v>-3.035625</v>
      </c>
      <c r="DX4">
        <v>0.34734770642201962</v>
      </c>
      <c r="DY4">
        <v>-3.0048930120412845</v>
      </c>
      <c r="DZ4">
        <v>3835</v>
      </c>
      <c r="EA4">
        <v>-3.0012208591688134</v>
      </c>
      <c r="EB4">
        <v>3</v>
      </c>
      <c r="EC4">
        <v>3.4168492395297158E-2</v>
      </c>
      <c r="ED4">
        <v>0.24877366565052136</v>
      </c>
      <c r="EE4" s="11">
        <v>-1.1211</v>
      </c>
      <c r="EF4">
        <v>-1.0916999999999999</v>
      </c>
      <c r="EG4">
        <v>21.13734770642202</v>
      </c>
      <c r="EH4" t="s">
        <v>982</v>
      </c>
      <c r="EI4">
        <v>0</v>
      </c>
      <c r="EJ4">
        <v>0</v>
      </c>
      <c r="EK4" s="13">
        <v>45470</v>
      </c>
      <c r="EL4" s="14">
        <v>0</v>
      </c>
      <c r="EM4" s="14">
        <v>-4.6900000000000004</v>
      </c>
      <c r="EN4" s="14">
        <v>0</v>
      </c>
      <c r="EO4" s="14">
        <v>4.07</v>
      </c>
      <c r="EP4" s="14">
        <v>-2.94</v>
      </c>
    </row>
    <row r="5" spans="1:146" ht="84" x14ac:dyDescent="0.25">
      <c r="A5" s="7"/>
      <c r="B5" s="7"/>
      <c r="C5" s="7" t="str">
        <f>""&amp;CHAR(10)&amp;Basic_Fundamental_Information_Constructure(F5)&amp;CHAR(10)&amp;Basic_Fundamental_Information_Concatenate("")</f>
        <v xml:space="preserve">
市值49.94137亿, 利润-2.62亿; PE; 平均PE-8.27; 平均PEG-2.61, PB14.39; ROIC0%; ROE-76.11%; 股利率0%; 毛利9.78%; 净利-46.2267%; 上一年度营收增22.65%, 利润增67.33%; 当季营收增16.8%, 利润增15.41%; 过往5年营收增3.17%, 利润增-1265.76%
Income profile:
</v>
      </c>
      <c r="D5" t="s">
        <v>76</v>
      </c>
      <c r="E5" t="s">
        <v>1780</v>
      </c>
      <c r="F5">
        <v>5.72</v>
      </c>
      <c r="G5">
        <v>2.14</v>
      </c>
      <c r="H5" t="s">
        <v>1825</v>
      </c>
      <c r="I5">
        <v>4994137000</v>
      </c>
      <c r="K5">
        <v>14.39</v>
      </c>
      <c r="L5" t="s">
        <v>1792</v>
      </c>
      <c r="M5" t="s">
        <v>1204</v>
      </c>
      <c r="N5" t="s">
        <v>229</v>
      </c>
      <c r="O5" t="s">
        <v>620</v>
      </c>
      <c r="P5">
        <v>16.82</v>
      </c>
      <c r="Q5" t="s">
        <v>1055</v>
      </c>
      <c r="R5">
        <v>-74435850</v>
      </c>
      <c r="S5" s="6">
        <v>0.15409999999999999</v>
      </c>
      <c r="T5" t="s">
        <v>1205</v>
      </c>
      <c r="U5">
        <v>581451910</v>
      </c>
      <c r="V5">
        <v>873100880</v>
      </c>
      <c r="W5">
        <v>11.6</v>
      </c>
      <c r="X5">
        <v>0.11</v>
      </c>
      <c r="Y5">
        <v>-17.59</v>
      </c>
      <c r="Z5" t="s">
        <v>1826</v>
      </c>
      <c r="AA5" t="s">
        <v>416</v>
      </c>
      <c r="AB5" t="s">
        <v>1827</v>
      </c>
      <c r="AC5" t="s">
        <v>1828</v>
      </c>
      <c r="AD5" t="s">
        <v>35</v>
      </c>
      <c r="AE5">
        <v>48144789</v>
      </c>
      <c r="AF5" t="s">
        <v>1206</v>
      </c>
      <c r="AG5" t="s">
        <v>1829</v>
      </c>
      <c r="AH5" t="s">
        <v>1207</v>
      </c>
      <c r="AI5" t="s">
        <v>370</v>
      </c>
      <c r="AJ5" t="s">
        <v>1208</v>
      </c>
      <c r="AK5" t="s">
        <v>1830</v>
      </c>
      <c r="AL5" t="s">
        <v>1209</v>
      </c>
      <c r="AM5" t="s">
        <v>35</v>
      </c>
      <c r="AN5" t="s">
        <v>1831</v>
      </c>
      <c r="AO5" t="s">
        <v>1352</v>
      </c>
      <c r="AP5" t="s">
        <v>35</v>
      </c>
      <c r="AQ5" t="s">
        <v>999</v>
      </c>
      <c r="AR5" t="s">
        <v>1832</v>
      </c>
      <c r="AS5" t="s">
        <v>1833</v>
      </c>
      <c r="AT5" t="s">
        <v>1834</v>
      </c>
      <c r="AU5" t="s">
        <v>1835</v>
      </c>
      <c r="AV5" t="s">
        <v>1836</v>
      </c>
      <c r="AW5" t="s">
        <v>1837</v>
      </c>
      <c r="AX5" t="s">
        <v>945</v>
      </c>
      <c r="AY5" t="s">
        <v>829</v>
      </c>
      <c r="AZ5" t="s">
        <v>344</v>
      </c>
      <c r="BA5" t="s">
        <v>77</v>
      </c>
      <c r="BB5" t="s">
        <v>343</v>
      </c>
      <c r="BC5" t="s">
        <v>981</v>
      </c>
      <c r="BD5" t="s">
        <v>617</v>
      </c>
      <c r="BE5" t="s">
        <v>345</v>
      </c>
      <c r="BF5" t="s">
        <v>78</v>
      </c>
      <c r="BG5" t="s">
        <v>347</v>
      </c>
      <c r="BH5" t="s">
        <v>1055</v>
      </c>
      <c r="BI5" t="s">
        <v>488</v>
      </c>
      <c r="BJ5" t="s">
        <v>945</v>
      </c>
      <c r="BK5" t="s">
        <v>1205</v>
      </c>
      <c r="BL5" t="s">
        <v>1210</v>
      </c>
      <c r="BM5" t="s">
        <v>981</v>
      </c>
      <c r="BN5" t="s">
        <v>35</v>
      </c>
      <c r="BO5" t="s">
        <v>35</v>
      </c>
      <c r="BP5" t="s">
        <v>35</v>
      </c>
      <c r="BQ5" t="s">
        <v>35</v>
      </c>
      <c r="BR5" t="s">
        <v>35</v>
      </c>
      <c r="BS5">
        <v>-76.11</v>
      </c>
      <c r="BT5" t="s">
        <v>948</v>
      </c>
      <c r="BU5" t="s">
        <v>733</v>
      </c>
      <c r="BV5">
        <v>11.2</v>
      </c>
      <c r="BW5">
        <v>9.65</v>
      </c>
      <c r="BX5">
        <v>8.49</v>
      </c>
      <c r="BY5">
        <v>-17.329999999999998</v>
      </c>
      <c r="BZ5">
        <v>-65</v>
      </c>
      <c r="CA5">
        <v>-56.35</v>
      </c>
      <c r="CB5">
        <v>-4.3499999999999996</v>
      </c>
      <c r="CC5">
        <v>-36.020000000000003</v>
      </c>
      <c r="CD5" t="s">
        <v>1838</v>
      </c>
      <c r="CE5" t="s">
        <v>210</v>
      </c>
      <c r="CF5" s="8">
        <v>0.16804407713498623</v>
      </c>
      <c r="CG5" s="9">
        <v>0.15410923099651125</v>
      </c>
      <c r="CH5" s="8">
        <v>0.22653721272945404</v>
      </c>
      <c r="CI5" s="8">
        <v>0.25354969501495361</v>
      </c>
      <c r="CJ5" s="8">
        <v>-0.12820518016815186</v>
      </c>
      <c r="CK5" s="8">
        <v>-0.42878785729408264</v>
      </c>
      <c r="CL5" s="8">
        <v>0.23518398404121399</v>
      </c>
      <c r="CM5" s="9">
        <v>0.67331671714782715</v>
      </c>
      <c r="CN5" s="9">
        <v>-0.44504505395889282</v>
      </c>
      <c r="CO5" s="9">
        <v>-0.15625</v>
      </c>
      <c r="CP5" s="9">
        <v>0.68992245197296143</v>
      </c>
      <c r="CQ5" s="9">
        <v>-64.049850463867187</v>
      </c>
      <c r="CR5">
        <v>-8.2719812679160611</v>
      </c>
      <c r="CS5">
        <v>-2.6131202319103566</v>
      </c>
      <c r="CT5">
        <v>0</v>
      </c>
      <c r="CU5" s="8">
        <v>3.1655570864677428E-2</v>
      </c>
      <c r="CV5" s="9">
        <v>-12.657581269741058</v>
      </c>
      <c r="CW5">
        <v>0.06</v>
      </c>
      <c r="CX5" t="e">
        <v>#VALUE!</v>
      </c>
      <c r="CY5" t="s">
        <v>739</v>
      </c>
      <c r="CZ5">
        <v>3.1655570864677428E-2</v>
      </c>
      <c r="DA5" t="e">
        <v>#VALUE!</v>
      </c>
      <c r="DB5" t="s">
        <v>740</v>
      </c>
      <c r="DC5">
        <v>3.0072792321443553E-2</v>
      </c>
      <c r="DD5" t="e">
        <v>#VALUE!</v>
      </c>
      <c r="DE5" t="s">
        <v>740</v>
      </c>
      <c r="DF5">
        <v>2.7856902360916137E-2</v>
      </c>
      <c r="DG5" t="e">
        <v>#VALUE!</v>
      </c>
      <c r="DH5" t="s">
        <v>740</v>
      </c>
      <c r="DI5">
        <v>2.5324456691741944E-2</v>
      </c>
      <c r="DJ5" t="e">
        <v>#VALUE!</v>
      </c>
      <c r="DK5" t="s">
        <v>740</v>
      </c>
      <c r="DL5">
        <v>2.2158899605274198E-2</v>
      </c>
      <c r="DM5">
        <v>-262000000</v>
      </c>
      <c r="DN5">
        <v>3.1655570864677428E-2</v>
      </c>
      <c r="DO5">
        <v>8043137000</v>
      </c>
      <c r="DP5">
        <v>-755809100</v>
      </c>
      <c r="DQ5">
        <v>225</v>
      </c>
      <c r="DR5">
        <v>0.1363885062703088</v>
      </c>
      <c r="DS5">
        <v>12.811690500737569</v>
      </c>
      <c r="DT5" s="10">
        <v>-0.14000000000000001</v>
      </c>
      <c r="DU5">
        <v>-2.8983333333333334</v>
      </c>
      <c r="DV5">
        <v>-3.0383333333333336</v>
      </c>
      <c r="DW5">
        <v>-8.1207662409772343</v>
      </c>
      <c r="DX5">
        <v>0.29743923240938241</v>
      </c>
      <c r="DY5">
        <v>-8.0093520450022435</v>
      </c>
      <c r="DZ5">
        <v>4918</v>
      </c>
      <c r="EA5">
        <v>-8.0003513879922572</v>
      </c>
      <c r="EB5">
        <v>8</v>
      </c>
      <c r="EC5">
        <v>4.1597713198960468E-2</v>
      </c>
      <c r="ED5">
        <v>0.53716587709773023</v>
      </c>
      <c r="EE5" s="11">
        <v>-2.0803099999999999</v>
      </c>
      <c r="EF5">
        <v>-2.1053099999999998</v>
      </c>
      <c r="EG5">
        <v>22.077439232409382</v>
      </c>
      <c r="EH5" t="s">
        <v>1114</v>
      </c>
      <c r="EI5">
        <v>0</v>
      </c>
      <c r="EJ5">
        <v>0</v>
      </c>
      <c r="EK5" s="13">
        <v>45470</v>
      </c>
      <c r="EL5" s="14">
        <v>0.5</v>
      </c>
      <c r="EM5" s="14">
        <v>-3.62</v>
      </c>
      <c r="EN5" s="14">
        <v>0.34</v>
      </c>
      <c r="EO5" s="14">
        <v>2.04</v>
      </c>
      <c r="EP5" s="14">
        <v>-2.5</v>
      </c>
    </row>
    <row r="6" spans="1:146" ht="84" x14ac:dyDescent="0.25">
      <c r="A6" s="7"/>
      <c r="B6" s="7"/>
      <c r="C6" s="7" t="str">
        <f>""&amp;CHAR(10)&amp;Basic_Fundamental_Information_Constructure(F6)&amp;CHAR(10)&amp;Basic_Fundamental_Information_Concatenate("")</f>
        <v xml:space="preserve">
市值258.30214亿, 利润7.27亿; PE34.75; 平均PE55.04; 平均PEG3.87, PB2.14; ROIC5.23%; ROE6.0067%; 股利率.8452%; 毛利27.82%; 净利13.37%; 上一年度营收增7.73%, 利润增5.67%; 当季营收增5.52%, 利润增6.7%; 过往5年营收增14.23%, 利润增23.74%
Income profile:
</v>
      </c>
      <c r="D6" t="s">
        <v>83</v>
      </c>
      <c r="E6" t="s">
        <v>22</v>
      </c>
      <c r="F6">
        <v>19.64</v>
      </c>
      <c r="G6">
        <v>1.39</v>
      </c>
      <c r="H6" t="s">
        <v>1839</v>
      </c>
      <c r="I6">
        <v>25830214000</v>
      </c>
      <c r="J6">
        <v>34.75</v>
      </c>
      <c r="K6">
        <v>2.14</v>
      </c>
      <c r="L6" t="s">
        <v>1792</v>
      </c>
      <c r="M6" t="s">
        <v>1213</v>
      </c>
      <c r="N6" t="s">
        <v>1840</v>
      </c>
      <c r="O6" t="s">
        <v>1149</v>
      </c>
      <c r="P6">
        <v>5.54</v>
      </c>
      <c r="Q6" t="s">
        <v>1214</v>
      </c>
      <c r="R6">
        <v>260341250</v>
      </c>
      <c r="S6" s="6">
        <v>6.8900000000000003E-2</v>
      </c>
      <c r="T6" t="s">
        <v>1215</v>
      </c>
      <c r="U6">
        <v>1315184000</v>
      </c>
      <c r="V6">
        <v>1315184000</v>
      </c>
      <c r="W6">
        <v>1.28</v>
      </c>
      <c r="X6">
        <v>0.09</v>
      </c>
      <c r="Y6">
        <v>18.46</v>
      </c>
      <c r="Z6" t="s">
        <v>1841</v>
      </c>
      <c r="AA6" t="s">
        <v>1842</v>
      </c>
      <c r="AB6" t="s">
        <v>1843</v>
      </c>
      <c r="AC6" t="s">
        <v>148</v>
      </c>
      <c r="AD6" t="s">
        <v>35</v>
      </c>
      <c r="AE6">
        <v>-7884378</v>
      </c>
      <c r="AF6" t="s">
        <v>1216</v>
      </c>
      <c r="AG6" t="s">
        <v>1844</v>
      </c>
      <c r="AH6" t="s">
        <v>1217</v>
      </c>
      <c r="AI6" t="s">
        <v>1845</v>
      </c>
      <c r="AJ6" t="s">
        <v>1218</v>
      </c>
      <c r="AK6" t="s">
        <v>1846</v>
      </c>
      <c r="AL6" t="s">
        <v>1219</v>
      </c>
      <c r="AM6" t="s">
        <v>35</v>
      </c>
      <c r="AN6" t="s">
        <v>961</v>
      </c>
      <c r="AO6" t="s">
        <v>1073</v>
      </c>
      <c r="AP6" t="s">
        <v>1140</v>
      </c>
      <c r="AQ6" t="s">
        <v>1706</v>
      </c>
      <c r="AR6" t="s">
        <v>35</v>
      </c>
      <c r="AS6" t="s">
        <v>1847</v>
      </c>
      <c r="AT6" t="s">
        <v>35</v>
      </c>
      <c r="AU6" t="s">
        <v>1848</v>
      </c>
      <c r="AV6" t="s">
        <v>55</v>
      </c>
      <c r="AW6" t="s">
        <v>1849</v>
      </c>
      <c r="AX6" t="s">
        <v>985</v>
      </c>
      <c r="AY6" t="s">
        <v>830</v>
      </c>
      <c r="AZ6" t="s">
        <v>680</v>
      </c>
      <c r="BA6" t="s">
        <v>84</v>
      </c>
      <c r="BB6" t="s">
        <v>352</v>
      </c>
      <c r="BC6" t="s">
        <v>448</v>
      </c>
      <c r="BD6" t="s">
        <v>616</v>
      </c>
      <c r="BE6" t="s">
        <v>681</v>
      </c>
      <c r="BF6" t="s">
        <v>85</v>
      </c>
      <c r="BG6" t="s">
        <v>111</v>
      </c>
      <c r="BH6" t="s">
        <v>1214</v>
      </c>
      <c r="BI6" t="s">
        <v>1222</v>
      </c>
      <c r="BJ6" t="s">
        <v>985</v>
      </c>
      <c r="BK6" t="s">
        <v>1215</v>
      </c>
      <c r="BL6" t="s">
        <v>322</v>
      </c>
      <c r="BM6" t="s">
        <v>448</v>
      </c>
      <c r="BN6">
        <v>4.67</v>
      </c>
      <c r="BO6">
        <v>5.63</v>
      </c>
      <c r="BP6">
        <v>5.39</v>
      </c>
      <c r="BQ6">
        <v>5.21</v>
      </c>
      <c r="BR6">
        <v>6.35</v>
      </c>
      <c r="BS6">
        <v>6.46</v>
      </c>
      <c r="BT6" t="s">
        <v>1223</v>
      </c>
      <c r="BU6" t="s">
        <v>733</v>
      </c>
      <c r="BV6">
        <v>27.46</v>
      </c>
      <c r="BW6">
        <v>27.76</v>
      </c>
      <c r="BX6">
        <v>28.24</v>
      </c>
      <c r="BY6">
        <v>13.71</v>
      </c>
      <c r="BZ6">
        <v>14.01</v>
      </c>
      <c r="CA6">
        <v>12.39</v>
      </c>
      <c r="CB6">
        <v>-2.14</v>
      </c>
      <c r="CC6">
        <v>-1.77</v>
      </c>
      <c r="CD6" t="s">
        <v>1850</v>
      </c>
      <c r="CE6" t="s">
        <v>585</v>
      </c>
      <c r="CF6" s="8">
        <v>5.5182699478001494E-2</v>
      </c>
      <c r="CG6" s="9">
        <v>6.6972336065573776E-2</v>
      </c>
      <c r="CH6" s="8">
        <v>7.72966668009758E-2</v>
      </c>
      <c r="CI6" s="8">
        <v>0.18883815407752991</v>
      </c>
      <c r="CJ6" s="8">
        <v>0.1826457679271698</v>
      </c>
      <c r="CK6" s="8">
        <v>0.13680468499660492</v>
      </c>
      <c r="CL6" s="8">
        <v>0.1260015070438385</v>
      </c>
      <c r="CM6" s="9">
        <v>5.6686047464609146E-2</v>
      </c>
      <c r="CN6" s="9">
        <v>0.4098360538482666</v>
      </c>
      <c r="CO6" s="9">
        <v>0.30831098556518555</v>
      </c>
      <c r="CP6" s="9">
        <v>0.32740214467048645</v>
      </c>
      <c r="CQ6" s="9">
        <v>8.4942087531089783E-2</v>
      </c>
      <c r="CR6">
        <v>55.035967329545457</v>
      </c>
      <c r="CS6">
        <v>3.8671296889540603</v>
      </c>
      <c r="CT6">
        <v>0.84521384928716903</v>
      </c>
      <c r="CU6" s="8">
        <v>0.14231735616922378</v>
      </c>
      <c r="CV6" s="9">
        <v>0.23743546381592751</v>
      </c>
      <c r="CW6">
        <v>0.06</v>
      </c>
      <c r="CX6">
        <v>21.618554590304285</v>
      </c>
      <c r="CY6">
        <v>783457281.07077885</v>
      </c>
      <c r="CZ6">
        <v>0.14231735616922378</v>
      </c>
      <c r="DA6">
        <v>6.7603987229206401</v>
      </c>
      <c r="DB6">
        <v>2505357256.8990064</v>
      </c>
      <c r="DC6">
        <v>0.1352014883607626</v>
      </c>
      <c r="DD6">
        <v>3.1341004170111737</v>
      </c>
      <c r="DE6">
        <v>5404170813.4393883</v>
      </c>
      <c r="DF6">
        <v>0.12523927342891691</v>
      </c>
      <c r="DG6">
        <v>1.756078750493913</v>
      </c>
      <c r="DH6">
        <v>9644905728.3087425</v>
      </c>
      <c r="DI6">
        <v>0.11385388493537903</v>
      </c>
      <c r="DJ6">
        <v>0.77491217019927239</v>
      </c>
      <c r="DK6">
        <v>21856946698.416821</v>
      </c>
      <c r="DL6">
        <v>9.9622149318456643E-2</v>
      </c>
      <c r="DM6">
        <v>727000000</v>
      </c>
      <c r="DN6">
        <v>0.14231735616922378</v>
      </c>
      <c r="DO6">
        <v>16937214000</v>
      </c>
      <c r="DP6">
        <v>8368341900</v>
      </c>
      <c r="DQ6">
        <v>258</v>
      </c>
      <c r="DR6">
        <v>-8.7134656691222279E-2</v>
      </c>
      <c r="DS6">
        <v>-0.17046312775035372</v>
      </c>
      <c r="DT6" s="10">
        <v>-0.15666666666666665</v>
      </c>
      <c r="DU6">
        <v>0.39999999999999997</v>
      </c>
      <c r="DV6">
        <v>0.24333333333333332</v>
      </c>
      <c r="DW6">
        <v>-1.77E-2</v>
      </c>
      <c r="DX6">
        <v>0.37197738095238053</v>
      </c>
      <c r="DY6">
        <v>-1.804999642857143E-3</v>
      </c>
      <c r="DZ6">
        <v>1164</v>
      </c>
      <c r="EA6">
        <v>-1.3938412114900755E-3</v>
      </c>
      <c r="EB6">
        <v>0</v>
      </c>
      <c r="EC6">
        <v>1.9539699388070413E-2</v>
      </c>
      <c r="ED6">
        <v>0.1916081704156985</v>
      </c>
      <c r="EE6" s="11">
        <v>2.9510000000000002E-2</v>
      </c>
      <c r="EF6">
        <v>5.4609999999999999E-2</v>
      </c>
      <c r="EG6">
        <v>27.101977380952381</v>
      </c>
      <c r="EH6">
        <v>-1</v>
      </c>
      <c r="EI6">
        <v>0</v>
      </c>
      <c r="EJ6">
        <v>1</v>
      </c>
      <c r="EK6" s="13">
        <v>45470</v>
      </c>
      <c r="EL6" s="14">
        <v>-0.35</v>
      </c>
      <c r="EM6" s="14">
        <v>-1.54</v>
      </c>
      <c r="EN6" s="14">
        <v>-0.4</v>
      </c>
      <c r="EO6" s="14">
        <v>1.22</v>
      </c>
      <c r="EP6" s="14">
        <v>-2.5099999999999998</v>
      </c>
    </row>
    <row r="7" spans="1:146" ht="144" x14ac:dyDescent="0.25">
      <c r="A7" s="7" t="s">
        <v>928</v>
      </c>
      <c r="B7" s="7"/>
      <c r="C7" s="7" t="str">
        <f>"公司主要从事军用大中型飞机整机、起落架和机轮刹车系统等军民用航空零部件产品的研发、生产、销售、维修与服务。主要产品有军用飞机整机、飞机零部件、航空服务。"&amp;CHAR(10)&amp;Basic_Fundamental_Information_Constructure(C7)&amp;CHAR(10)&amp;Basic_Fundamental_Information_Concatenate("航空工业 189.35亿 99.03% 100.00% 7.08%
其他 2.89亿 1.51%")</f>
        <v>公司主要从事军用大中型飞机整机、起落架和机轮刹车系统等军民用航空零部件产品的研发、生产、销售、维修与服务。主要产品有军用飞机整机、飞机零部件、航空服务。
市值701.83302亿, 利润8.61亿; PE78.16; 平均PE94.69; 平均PEG23.59, PB3.54; ROIC2.2933%; ROE3.6533%; 股利率.3964%; 毛利7.23%; 净利2.0733%; 上一年度营收增7.01%, 利润增64.31%; 当季营收增6.45%, 利润增15.46%; 过往5年营收增4.01%, 利润增18.68%
Income profile:
航空工业 189.35亿 99.03% 100.00% 7.08%
其他 2.89亿 1.51%</v>
      </c>
      <c r="D7" t="s">
        <v>91</v>
      </c>
      <c r="E7" t="s">
        <v>354</v>
      </c>
      <c r="F7">
        <v>23.54</v>
      </c>
      <c r="G7">
        <v>1.03</v>
      </c>
      <c r="H7" t="s">
        <v>1851</v>
      </c>
      <c r="I7">
        <v>65482161000</v>
      </c>
      <c r="J7">
        <v>72.930000000000007</v>
      </c>
      <c r="K7">
        <v>3.3</v>
      </c>
      <c r="L7" t="s">
        <v>1792</v>
      </c>
      <c r="M7" t="s">
        <v>1224</v>
      </c>
      <c r="N7" t="s">
        <v>1852</v>
      </c>
      <c r="O7" t="s">
        <v>1225</v>
      </c>
      <c r="P7">
        <v>6.45</v>
      </c>
      <c r="Q7" t="s">
        <v>1226</v>
      </c>
      <c r="R7">
        <v>272476720</v>
      </c>
      <c r="S7" s="6">
        <v>0.15670000000000001</v>
      </c>
      <c r="T7" t="s">
        <v>1227</v>
      </c>
      <c r="U7">
        <v>2768638700</v>
      </c>
      <c r="V7">
        <v>2781740100</v>
      </c>
      <c r="W7">
        <v>3.92</v>
      </c>
      <c r="X7">
        <v>0.11</v>
      </c>
      <c r="Y7">
        <v>3.22</v>
      </c>
      <c r="Z7" t="s">
        <v>1853</v>
      </c>
      <c r="AA7" t="s">
        <v>1854</v>
      </c>
      <c r="AB7" t="s">
        <v>1855</v>
      </c>
      <c r="AC7" t="s">
        <v>614</v>
      </c>
      <c r="AD7" t="s">
        <v>35</v>
      </c>
      <c r="AE7">
        <v>-71495007</v>
      </c>
      <c r="AF7" t="s">
        <v>1228</v>
      </c>
      <c r="AG7" t="s">
        <v>1856</v>
      </c>
      <c r="AH7" t="s">
        <v>1229</v>
      </c>
      <c r="AI7" t="s">
        <v>1857</v>
      </c>
      <c r="AJ7" t="s">
        <v>1230</v>
      </c>
      <c r="AK7" t="s">
        <v>105</v>
      </c>
      <c r="AL7" t="s">
        <v>1231</v>
      </c>
      <c r="AM7" t="s">
        <v>35</v>
      </c>
      <c r="AN7" t="s">
        <v>1858</v>
      </c>
      <c r="AO7" t="s">
        <v>1859</v>
      </c>
      <c r="AP7" t="s">
        <v>1860</v>
      </c>
      <c r="AQ7" t="s">
        <v>1861</v>
      </c>
      <c r="AR7" t="s">
        <v>1862</v>
      </c>
      <c r="AS7" t="s">
        <v>1863</v>
      </c>
      <c r="AT7" t="s">
        <v>1864</v>
      </c>
      <c r="AU7" t="s">
        <v>1865</v>
      </c>
      <c r="AV7" t="s">
        <v>1866</v>
      </c>
      <c r="AW7" t="s">
        <v>1867</v>
      </c>
      <c r="AX7" t="s">
        <v>986</v>
      </c>
      <c r="AY7" t="s">
        <v>832</v>
      </c>
      <c r="AZ7" t="s">
        <v>355</v>
      </c>
      <c r="BA7" t="s">
        <v>358</v>
      </c>
      <c r="BB7" t="s">
        <v>359</v>
      </c>
      <c r="BC7" t="s">
        <v>414</v>
      </c>
      <c r="BD7" t="s">
        <v>660</v>
      </c>
      <c r="BE7" t="s">
        <v>356</v>
      </c>
      <c r="BF7" t="s">
        <v>360</v>
      </c>
      <c r="BG7" t="s">
        <v>104</v>
      </c>
      <c r="BH7" t="s">
        <v>1226</v>
      </c>
      <c r="BI7" t="s">
        <v>1232</v>
      </c>
      <c r="BJ7" t="s">
        <v>986</v>
      </c>
      <c r="BK7" t="s">
        <v>1227</v>
      </c>
      <c r="BL7" t="s">
        <v>932</v>
      </c>
      <c r="BM7" t="s">
        <v>414</v>
      </c>
      <c r="BN7">
        <v>3.28</v>
      </c>
      <c r="BO7">
        <v>1.93</v>
      </c>
      <c r="BP7">
        <v>2.76</v>
      </c>
      <c r="BQ7">
        <v>4.91</v>
      </c>
      <c r="BR7">
        <v>3.28</v>
      </c>
      <c r="BS7">
        <v>4.21</v>
      </c>
      <c r="BT7" t="s">
        <v>949</v>
      </c>
      <c r="BU7" t="s">
        <v>733</v>
      </c>
      <c r="BV7">
        <v>6.87</v>
      </c>
      <c r="BW7">
        <v>7.05</v>
      </c>
      <c r="BX7">
        <v>7.49</v>
      </c>
      <c r="BY7">
        <v>2.14</v>
      </c>
      <c r="BZ7">
        <v>1.39</v>
      </c>
      <c r="CA7">
        <v>2</v>
      </c>
      <c r="CB7">
        <v>-2.04</v>
      </c>
      <c r="CC7">
        <v>-1.59</v>
      </c>
      <c r="CD7" t="s">
        <v>1868</v>
      </c>
      <c r="CE7" t="s">
        <v>1126</v>
      </c>
      <c r="CF7" s="8">
        <v>6.4459272315245994E-2</v>
      </c>
      <c r="CG7" s="9">
        <v>0.15456237288135594</v>
      </c>
      <c r="CH7" s="8">
        <v>7.0127412676811218E-2</v>
      </c>
      <c r="CI7" s="8">
        <v>0.15168195962905884</v>
      </c>
      <c r="CJ7" s="8">
        <v>-2.3414138704538345E-2</v>
      </c>
      <c r="CK7" s="8">
        <v>4.3798115104436874E-2</v>
      </c>
      <c r="CL7" s="8">
        <v>-4.1502352803945541E-2</v>
      </c>
      <c r="CM7" s="9">
        <v>0.64312976598739624</v>
      </c>
      <c r="CN7" s="9">
        <v>-0.19754977524280548</v>
      </c>
      <c r="CO7" s="9">
        <v>-0.15958815813064575</v>
      </c>
      <c r="CP7" s="9">
        <v>-0.27653631567955017</v>
      </c>
      <c r="CQ7" s="9">
        <v>0.92473119497299194</v>
      </c>
      <c r="CR7">
        <v>88.350116033280869</v>
      </c>
      <c r="CS7">
        <v>22.011479796657461</v>
      </c>
      <c r="CT7">
        <v>0.42480883602378933</v>
      </c>
      <c r="CU7" s="8">
        <v>4.0138199180364612E-2</v>
      </c>
      <c r="CV7" s="9">
        <v>0.18683734238147737</v>
      </c>
      <c r="CW7">
        <v>0.06</v>
      </c>
      <c r="CX7">
        <v>126.65681657000744</v>
      </c>
      <c r="CY7">
        <v>844866971.22103202</v>
      </c>
      <c r="CZ7">
        <v>4.0138199180364612E-2</v>
      </c>
      <c r="DA7">
        <v>43.185380767109329</v>
      </c>
      <c r="DB7">
        <v>2477879298.4847112</v>
      </c>
      <c r="DC7">
        <v>3.8131289221346377E-2</v>
      </c>
      <c r="DD7">
        <v>22.475954536942602</v>
      </c>
      <c r="DE7">
        <v>4761006293.3752623</v>
      </c>
      <c r="DF7">
        <v>3.532161527872086E-2</v>
      </c>
      <c r="DG7">
        <v>14.349242033193709</v>
      </c>
      <c r="DH7">
        <v>7457408604.0545521</v>
      </c>
      <c r="DI7">
        <v>3.2110559344291689E-2</v>
      </c>
      <c r="DJ7">
        <v>8.4336702158735815</v>
      </c>
      <c r="DK7">
        <v>12688207892.999266</v>
      </c>
      <c r="DL7">
        <v>2.8096739426255225E-2</v>
      </c>
      <c r="DM7">
        <v>861000000</v>
      </c>
      <c r="DN7">
        <v>4.0138199180364612E-2</v>
      </c>
      <c r="DO7">
        <v>107008161000</v>
      </c>
      <c r="DP7">
        <v>2712823000</v>
      </c>
      <c r="DQ7">
        <v>273</v>
      </c>
      <c r="DR7">
        <v>2.4321073134881382E-2</v>
      </c>
      <c r="DS7">
        <v>-3.2274969500121431E-2</v>
      </c>
      <c r="DT7" s="10">
        <v>-0.28999999999999998</v>
      </c>
      <c r="DU7">
        <v>0.35333333333333328</v>
      </c>
      <c r="DV7">
        <v>6.3333333333333297E-2</v>
      </c>
      <c r="DW7">
        <v>-1.5900000000000001E-2</v>
      </c>
      <c r="DX7">
        <v>0.33943326848249056</v>
      </c>
      <c r="DY7">
        <v>-1.7399889688715954E-3</v>
      </c>
      <c r="DZ7">
        <v>1556</v>
      </c>
      <c r="EA7">
        <v>-1.2101606253169569E-3</v>
      </c>
      <c r="EB7">
        <v>0</v>
      </c>
      <c r="EC7">
        <v>2.0220688482004482E-2</v>
      </c>
      <c r="ED7">
        <v>0.18477642825079163</v>
      </c>
      <c r="EE7" s="11">
        <v>2.4999999999999998E-2</v>
      </c>
      <c r="EF7">
        <v>3.8000000000000013E-3</v>
      </c>
      <c r="EG7">
        <v>23.109433268482491</v>
      </c>
      <c r="EH7" t="s">
        <v>671</v>
      </c>
      <c r="EI7">
        <v>0</v>
      </c>
      <c r="EJ7">
        <v>0</v>
      </c>
      <c r="EK7" s="13">
        <v>45470</v>
      </c>
      <c r="EL7" s="14">
        <v>2.2999999999999998</v>
      </c>
      <c r="EM7" s="14">
        <v>-1.79</v>
      </c>
      <c r="EN7" s="14">
        <v>-1.69</v>
      </c>
      <c r="EO7" s="14">
        <v>1.64</v>
      </c>
      <c r="EP7" s="14">
        <v>-2.12</v>
      </c>
    </row>
    <row r="8" spans="1:146" ht="96" x14ac:dyDescent="0.25">
      <c r="A8" s="7"/>
      <c r="B8" s="7"/>
      <c r="C8" s="7" t="str">
        <f>""&amp;CHAR(10)&amp;Basic_Fundamental_Information_Constructure(F8)&amp;CHAR(10)&amp;Basic_Fundamental_Information_Concatenate("")</f>
        <v xml:space="preserve">
市值65.195701亿, 利润4683.63万; PE108.9; 平均PE40.38; 平均PEG2.32, PB1.52; ROIC4.57%; ROE6.91%; 股利率.5682%; 毛利37.8333%; 净利28.7367%; 上一年度营收增15.71%, 利润增263.21%; 当季营收增16.59%, 利润增102.28%; 过往5年营收增17.38%, 利润增470.06%
Income profile:
</v>
      </c>
      <c r="D8" t="s">
        <v>94</v>
      </c>
      <c r="E8" t="s">
        <v>8</v>
      </c>
      <c r="F8">
        <v>8.8000000000000007</v>
      </c>
      <c r="G8">
        <v>0.23</v>
      </c>
      <c r="H8" t="s">
        <v>1869</v>
      </c>
      <c r="I8">
        <v>6519570100</v>
      </c>
      <c r="J8">
        <v>108.9</v>
      </c>
      <c r="K8">
        <v>1.52</v>
      </c>
      <c r="L8" t="s">
        <v>1792</v>
      </c>
      <c r="M8" t="s">
        <v>1233</v>
      </c>
      <c r="N8" t="s">
        <v>1870</v>
      </c>
      <c r="O8" t="s">
        <v>935</v>
      </c>
      <c r="P8">
        <v>16.88</v>
      </c>
      <c r="Q8" t="s">
        <v>1234</v>
      </c>
      <c r="R8">
        <v>25740792</v>
      </c>
      <c r="S8" s="6">
        <v>1.0229999999999999</v>
      </c>
      <c r="T8" t="s">
        <v>1235</v>
      </c>
      <c r="U8">
        <v>740860240</v>
      </c>
      <c r="V8">
        <v>740860240</v>
      </c>
      <c r="W8">
        <v>1.71</v>
      </c>
      <c r="X8">
        <v>0.04</v>
      </c>
      <c r="Y8">
        <v>8.58</v>
      </c>
      <c r="Z8" t="s">
        <v>177</v>
      </c>
      <c r="AA8" t="s">
        <v>836</v>
      </c>
      <c r="AB8" t="s">
        <v>1871</v>
      </c>
      <c r="AC8" t="s">
        <v>1872</v>
      </c>
      <c r="AD8" t="s">
        <v>35</v>
      </c>
      <c r="AE8">
        <v>20743986</v>
      </c>
      <c r="AF8" t="s">
        <v>1236</v>
      </c>
      <c r="AG8" t="s">
        <v>1873</v>
      </c>
      <c r="AH8" t="s">
        <v>1237</v>
      </c>
      <c r="AI8" t="s">
        <v>1753</v>
      </c>
      <c r="AJ8" t="s">
        <v>1238</v>
      </c>
      <c r="AK8" t="s">
        <v>35</v>
      </c>
      <c r="AL8" t="s">
        <v>1239</v>
      </c>
      <c r="AM8" t="s">
        <v>35</v>
      </c>
      <c r="AN8" t="s">
        <v>1874</v>
      </c>
      <c r="AO8" t="s">
        <v>35</v>
      </c>
      <c r="AP8" t="s">
        <v>1875</v>
      </c>
      <c r="AQ8" t="s">
        <v>353</v>
      </c>
      <c r="AR8" t="s">
        <v>35</v>
      </c>
      <c r="AS8" t="s">
        <v>1876</v>
      </c>
      <c r="AT8" t="s">
        <v>1877</v>
      </c>
      <c r="AU8" t="s">
        <v>1878</v>
      </c>
      <c r="AV8" t="s">
        <v>1879</v>
      </c>
      <c r="AW8" t="s">
        <v>1880</v>
      </c>
      <c r="AX8" t="s">
        <v>933</v>
      </c>
      <c r="AY8" t="s">
        <v>557</v>
      </c>
      <c r="AZ8" t="s">
        <v>365</v>
      </c>
      <c r="BA8" t="s">
        <v>95</v>
      </c>
      <c r="BB8" t="s">
        <v>97</v>
      </c>
      <c r="BC8" t="s">
        <v>1241</v>
      </c>
      <c r="BD8" t="s">
        <v>556</v>
      </c>
      <c r="BE8" t="s">
        <v>366</v>
      </c>
      <c r="BF8" t="s">
        <v>96</v>
      </c>
      <c r="BG8" t="s">
        <v>368</v>
      </c>
      <c r="BH8" t="s">
        <v>1234</v>
      </c>
      <c r="BI8" t="s">
        <v>211</v>
      </c>
      <c r="BJ8" t="s">
        <v>933</v>
      </c>
      <c r="BK8" t="s">
        <v>1235</v>
      </c>
      <c r="BL8" t="s">
        <v>1242</v>
      </c>
      <c r="BM8" t="s">
        <v>1241</v>
      </c>
      <c r="BN8">
        <v>0.94</v>
      </c>
      <c r="BO8">
        <v>0.22</v>
      </c>
      <c r="BP8">
        <v>12.55</v>
      </c>
      <c r="BQ8">
        <v>0.79</v>
      </c>
      <c r="BR8">
        <v>0.31</v>
      </c>
      <c r="BS8">
        <v>19.63</v>
      </c>
      <c r="BT8" t="s">
        <v>947</v>
      </c>
      <c r="BU8" t="s">
        <v>733</v>
      </c>
      <c r="BV8">
        <v>36.47</v>
      </c>
      <c r="BW8">
        <v>40.229999999999997</v>
      </c>
      <c r="BX8">
        <v>36.799999999999997</v>
      </c>
      <c r="BY8">
        <v>3.51</v>
      </c>
      <c r="BZ8">
        <v>0.24</v>
      </c>
      <c r="CA8">
        <v>82.46</v>
      </c>
      <c r="CB8">
        <v>-3.83</v>
      </c>
      <c r="CC8">
        <v>-12.52</v>
      </c>
      <c r="CD8" t="s">
        <v>1881</v>
      </c>
      <c r="CE8" t="s">
        <v>613</v>
      </c>
      <c r="CF8" s="8">
        <v>0.16593886462882096</v>
      </c>
      <c r="CG8" s="9">
        <v>1.0227725433185337</v>
      </c>
      <c r="CH8" s="8">
        <v>0.15714286267757416</v>
      </c>
      <c r="CI8" s="8">
        <v>7.4380166828632355E-2</v>
      </c>
      <c r="CJ8" s="8">
        <v>-0.12136929482221603</v>
      </c>
      <c r="CK8" s="8">
        <v>0.19306930899620056</v>
      </c>
      <c r="CL8" s="8">
        <v>0.56589144468307495</v>
      </c>
      <c r="CM8" s="9">
        <v>2.6321005821228027</v>
      </c>
      <c r="CN8" s="9">
        <v>-0.98250323534011841</v>
      </c>
      <c r="CO8" s="9">
        <v>22.246353149414063</v>
      </c>
      <c r="CP8" s="9">
        <v>-0.58453047275543213</v>
      </c>
      <c r="CQ8" s="9">
        <v>0.19141155481338501</v>
      </c>
      <c r="CR8">
        <v>40.377488973906495</v>
      </c>
      <c r="CS8">
        <v>2.3229096692396762</v>
      </c>
      <c r="CT8">
        <v>0.56818181818181812</v>
      </c>
      <c r="CU8" s="8">
        <v>0.17382289767265319</v>
      </c>
      <c r="CV8" s="9">
        <v>4.7005663156509403</v>
      </c>
      <c r="CW8">
        <v>0.06</v>
      </c>
      <c r="CX8">
        <v>103.00799606121886</v>
      </c>
      <c r="CY8">
        <v>51865586.20968461</v>
      </c>
      <c r="CZ8">
        <v>0.17382289767265319</v>
      </c>
      <c r="DA8">
        <v>31.377218424297286</v>
      </c>
      <c r="DB8">
        <v>170269079.55177197</v>
      </c>
      <c r="DC8">
        <v>0.16513175278902051</v>
      </c>
      <c r="DD8">
        <v>14.020557484830178</v>
      </c>
      <c r="DE8">
        <v>381052615.47413504</v>
      </c>
      <c r="DF8">
        <v>0.1529641499519348</v>
      </c>
      <c r="DG8">
        <v>7.5182627652518521</v>
      </c>
      <c r="DH8">
        <v>710612313.88352931</v>
      </c>
      <c r="DI8">
        <v>0.13905831813812256</v>
      </c>
      <c r="DJ8">
        <v>2.988061773247555</v>
      </c>
      <c r="DK8">
        <v>1787971770.8089628</v>
      </c>
      <c r="DL8">
        <v>0.12167602837085723</v>
      </c>
      <c r="DM8">
        <v>46836300</v>
      </c>
      <c r="DN8">
        <v>0.17382289767265319</v>
      </c>
      <c r="DO8">
        <v>5342570100</v>
      </c>
      <c r="DP8">
        <v>721501700</v>
      </c>
      <c r="DQ8">
        <v>541</v>
      </c>
      <c r="DR8">
        <v>-7.8840330438322281E-3</v>
      </c>
      <c r="DS8">
        <v>-3.6777937723324063</v>
      </c>
      <c r="DT8" s="10">
        <v>-5.6666666666666719E-2</v>
      </c>
      <c r="DU8">
        <v>0.79333333333333333</v>
      </c>
      <c r="DV8">
        <v>0.73666666666666658</v>
      </c>
      <c r="DW8">
        <v>-8.3059105431309899</v>
      </c>
      <c r="DX8">
        <v>0.29164742268041338</v>
      </c>
      <c r="DY8">
        <v>-8.0280359128487202</v>
      </c>
      <c r="DZ8">
        <v>420</v>
      </c>
      <c r="EA8">
        <v>-8.0257315912447158</v>
      </c>
      <c r="EB8">
        <v>8</v>
      </c>
      <c r="EC8">
        <v>5.9996471129291538E-2</v>
      </c>
      <c r="ED8">
        <v>0.65464439014840359</v>
      </c>
      <c r="EE8" s="11">
        <v>2.0493000000000001</v>
      </c>
      <c r="EF8">
        <v>2.0188000000000001</v>
      </c>
      <c r="EG8">
        <v>20.091647422680413</v>
      </c>
      <c r="EH8" t="s">
        <v>1004</v>
      </c>
      <c r="EI8">
        <v>0</v>
      </c>
      <c r="EJ8">
        <v>1</v>
      </c>
      <c r="EK8" s="13">
        <v>45470</v>
      </c>
      <c r="EL8" s="14">
        <v>0.42</v>
      </c>
      <c r="EM8" s="14">
        <v>-4.63</v>
      </c>
      <c r="EN8" s="14">
        <v>-1.98</v>
      </c>
      <c r="EO8" s="14">
        <v>3.26</v>
      </c>
      <c r="EP8" s="14">
        <v>-3.05</v>
      </c>
    </row>
    <row r="9" spans="1:146" ht="84" x14ac:dyDescent="0.25">
      <c r="C9" s="7" t="str">
        <f>""&amp;CHAR(10)&amp;Basic_Fundamental_Information_Constructure(F9)&amp;CHAR(10)&amp;Basic_Fundamental_Information_Concatenate("")</f>
        <v xml:space="preserve">
市值54.724299亿, 利润1.26亿; PE37.87; 平均PE24.02; 平均PEG7.81, PB1.81; ROIC3.3767%; ROE3.8833%; 股利率.9709%; 毛利31.3267%; 净利5.5967%; 上一年度营收增2.47%, 利润增-47.5%; 当季营收增20.08%, 利润增61.51%; 过往5年营收增3.08%, 利润增58.19%
Income profile:
</v>
      </c>
      <c r="D9" t="s">
        <v>1094</v>
      </c>
      <c r="E9" t="s">
        <v>1095</v>
      </c>
      <c r="F9">
        <v>10.3</v>
      </c>
      <c r="G9">
        <v>0.39</v>
      </c>
      <c r="H9" t="s">
        <v>1882</v>
      </c>
      <c r="I9">
        <v>5472429900</v>
      </c>
      <c r="J9">
        <v>37.869999999999997</v>
      </c>
      <c r="K9">
        <v>1.81</v>
      </c>
      <c r="L9" t="s">
        <v>1792</v>
      </c>
      <c r="M9" t="s">
        <v>1244</v>
      </c>
      <c r="N9" t="s">
        <v>1883</v>
      </c>
      <c r="O9" t="s">
        <v>1072</v>
      </c>
      <c r="P9" s="6">
        <v>19.940000000000001</v>
      </c>
      <c r="Q9" t="s">
        <v>1245</v>
      </c>
      <c r="R9">
        <v>49420415</v>
      </c>
      <c r="S9">
        <v>0.61509999999999998</v>
      </c>
      <c r="T9" t="s">
        <v>270</v>
      </c>
      <c r="U9">
        <v>476491440</v>
      </c>
      <c r="V9">
        <v>531303880</v>
      </c>
      <c r="W9">
        <v>1.9</v>
      </c>
      <c r="X9">
        <v>0.09</v>
      </c>
      <c r="Y9">
        <v>8.61</v>
      </c>
      <c r="Z9" t="s">
        <v>97</v>
      </c>
      <c r="AA9" t="s">
        <v>1884</v>
      </c>
      <c r="AB9" t="s">
        <v>1885</v>
      </c>
      <c r="AC9" t="s">
        <v>1886</v>
      </c>
      <c r="AD9" t="s">
        <v>35</v>
      </c>
      <c r="AE9">
        <v>4696696</v>
      </c>
      <c r="AF9" t="s">
        <v>1246</v>
      </c>
      <c r="AG9" t="s">
        <v>1887</v>
      </c>
      <c r="AH9" t="s">
        <v>1247</v>
      </c>
      <c r="AI9" t="s">
        <v>1327</v>
      </c>
      <c r="AJ9" t="s">
        <v>1248</v>
      </c>
      <c r="AK9" t="s">
        <v>1888</v>
      </c>
      <c r="AL9" t="s">
        <v>1249</v>
      </c>
      <c r="AM9" t="s">
        <v>35</v>
      </c>
      <c r="AN9" t="s">
        <v>834</v>
      </c>
      <c r="AO9" t="s">
        <v>1889</v>
      </c>
      <c r="AP9" t="s">
        <v>798</v>
      </c>
      <c r="AQ9" t="s">
        <v>98</v>
      </c>
      <c r="AR9" t="s">
        <v>35</v>
      </c>
      <c r="AS9" t="s">
        <v>1890</v>
      </c>
      <c r="AT9" t="s">
        <v>153</v>
      </c>
      <c r="AU9" t="s">
        <v>1162</v>
      </c>
      <c r="AV9" t="s">
        <v>1891</v>
      </c>
      <c r="AW9" t="s">
        <v>1892</v>
      </c>
      <c r="AX9" t="s">
        <v>1038</v>
      </c>
      <c r="AY9" t="s">
        <v>1250</v>
      </c>
      <c r="AZ9" t="s">
        <v>1097</v>
      </c>
      <c r="BA9" t="s">
        <v>1098</v>
      </c>
      <c r="BB9" t="s">
        <v>1099</v>
      </c>
      <c r="BC9" t="s">
        <v>81</v>
      </c>
      <c r="BD9" t="s">
        <v>1251</v>
      </c>
      <c r="BE9" t="s">
        <v>1100</v>
      </c>
      <c r="BF9" t="s">
        <v>1084</v>
      </c>
      <c r="BG9" t="s">
        <v>573</v>
      </c>
      <c r="BH9" t="s">
        <v>1245</v>
      </c>
      <c r="BI9" t="s">
        <v>339</v>
      </c>
      <c r="BJ9" t="s">
        <v>1038</v>
      </c>
      <c r="BK9" t="s">
        <v>270</v>
      </c>
      <c r="BL9" t="s">
        <v>1252</v>
      </c>
      <c r="BM9" t="s">
        <v>81</v>
      </c>
      <c r="BN9">
        <v>2.15</v>
      </c>
      <c r="BO9">
        <v>6.46</v>
      </c>
      <c r="BP9">
        <v>1.52</v>
      </c>
      <c r="BQ9">
        <v>2.2599999999999998</v>
      </c>
      <c r="BR9">
        <v>7.76</v>
      </c>
      <c r="BS9">
        <v>1.63</v>
      </c>
      <c r="BT9" t="s">
        <v>949</v>
      </c>
      <c r="BU9" t="s">
        <v>733</v>
      </c>
      <c r="BV9">
        <v>27.02</v>
      </c>
      <c r="BW9">
        <v>33.130000000000003</v>
      </c>
      <c r="BX9">
        <v>33.83</v>
      </c>
      <c r="BY9">
        <v>5.13</v>
      </c>
      <c r="BZ9">
        <v>10.02</v>
      </c>
      <c r="CA9">
        <v>1.64</v>
      </c>
      <c r="CB9">
        <v>-1.1499999999999999</v>
      </c>
      <c r="CC9" s="8">
        <v>-10.75</v>
      </c>
      <c r="CD9" s="9" t="s">
        <v>1893</v>
      </c>
      <c r="CE9" s="8" t="s">
        <v>267</v>
      </c>
      <c r="CF9" s="8">
        <v>0.20084566596194489</v>
      </c>
      <c r="CG9" s="8">
        <v>0.61514652870603082</v>
      </c>
      <c r="CH9" s="8">
        <v>2.4722987785935402E-2</v>
      </c>
      <c r="CI9" s="8">
        <v>-0.23806436359882355</v>
      </c>
      <c r="CJ9" s="9">
        <v>3.8448609411716461E-2</v>
      </c>
      <c r="CK9" s="9">
        <v>0.16228924691677094</v>
      </c>
      <c r="CL9" s="9">
        <v>0.16643804311752319</v>
      </c>
      <c r="CM9" s="9">
        <v>-0.47499999403953552</v>
      </c>
      <c r="CN9" s="9">
        <v>3.6844532489776611</v>
      </c>
      <c r="CO9">
        <v>-0.86623156070709229</v>
      </c>
      <c r="CP9">
        <v>0.15361446142196655</v>
      </c>
      <c r="CQ9">
        <v>0.41276594996452332</v>
      </c>
      <c r="CR9" s="8">
        <v>24.015345003665434</v>
      </c>
      <c r="CS9" s="9">
        <v>7.8055771996080852</v>
      </c>
      <c r="CT9">
        <v>0.97087378640776689</v>
      </c>
      <c r="CU9">
        <v>3.0766904726624487E-2</v>
      </c>
      <c r="CV9">
        <v>0.58192042112350462</v>
      </c>
      <c r="CW9">
        <v>0.06</v>
      </c>
      <c r="CX9">
        <v>41.129768259176686</v>
      </c>
      <c r="CY9">
        <v>122525122.63731575</v>
      </c>
      <c r="CZ9">
        <v>3.0766904726624487E-2</v>
      </c>
      <c r="DA9">
        <v>14.136830670207399</v>
      </c>
      <c r="DB9">
        <v>356475225.42802501</v>
      </c>
      <c r="DC9">
        <v>2.9228559490293262E-2</v>
      </c>
      <c r="DD9">
        <v>7.4334832529686903</v>
      </c>
      <c r="DE9">
        <v>677936537.75804448</v>
      </c>
      <c r="DF9">
        <v>2.7074876159429551E-2</v>
      </c>
      <c r="DG9">
        <v>4.7978801955823487</v>
      </c>
      <c r="DH9">
        <v>1050345088.7831794</v>
      </c>
      <c r="DI9">
        <v>2.4613523781299593E-2</v>
      </c>
      <c r="DJ9">
        <v>2.8820822550155838</v>
      </c>
      <c r="DK9">
        <v>1748537846.6315672</v>
      </c>
      <c r="DL9">
        <v>2.1536833308637138E-2</v>
      </c>
      <c r="DM9">
        <v>126000000</v>
      </c>
      <c r="DN9">
        <v>3.0766904726624487E-2</v>
      </c>
      <c r="DO9">
        <v>5039429900</v>
      </c>
      <c r="DP9">
        <v>2411472400</v>
      </c>
      <c r="DQ9" s="10">
        <v>625</v>
      </c>
      <c r="DR9">
        <v>0.1700787612353204</v>
      </c>
      <c r="DS9">
        <v>3.3226107582526199E-2</v>
      </c>
      <c r="DT9">
        <v>-0.37333333333333335</v>
      </c>
      <c r="DU9">
        <v>0.55666666666666653</v>
      </c>
      <c r="DV9">
        <v>0.18333333333333318</v>
      </c>
      <c r="DW9">
        <v>-2.1074999999999999</v>
      </c>
      <c r="DX9">
        <v>0.29644727272727212</v>
      </c>
      <c r="DY9">
        <v>-2.0157430818181816</v>
      </c>
      <c r="DZ9">
        <v>1292</v>
      </c>
      <c r="EA9">
        <v>-2.0117626392136629</v>
      </c>
      <c r="EB9" s="11">
        <v>2</v>
      </c>
      <c r="EC9" s="11">
        <v>7.5800312243155463E-2</v>
      </c>
      <c r="ED9">
        <v>0.51759456377393664</v>
      </c>
      <c r="EE9">
        <v>0.10360999999999999</v>
      </c>
      <c r="EF9">
        <v>0.13661000000000001</v>
      </c>
      <c r="EG9">
        <v>15.146447272727272</v>
      </c>
      <c r="EH9" s="13">
        <v>-1</v>
      </c>
      <c r="EI9">
        <v>0</v>
      </c>
      <c r="EJ9">
        <v>1</v>
      </c>
      <c r="EK9">
        <v>45470</v>
      </c>
      <c r="EL9">
        <v>-0.38</v>
      </c>
      <c r="EM9">
        <v>-4.49</v>
      </c>
      <c r="EN9" s="14">
        <v>1.3</v>
      </c>
      <c r="EO9" s="14">
        <v>1.68</v>
      </c>
      <c r="EP9" s="14">
        <v>-3.3</v>
      </c>
    </row>
    <row r="10" spans="1:146" ht="84" x14ac:dyDescent="0.25">
      <c r="C10" s="7" t="str">
        <f>""&amp;CHAR(10)&amp;Basic_Fundamental_Information_Constructure(F10)&amp;CHAR(10)&amp;Basic_Fundamental_Information_Concatenate("")</f>
        <v xml:space="preserve">
市值89.667907亿, 利润2.91亿; PE44.31; 平均PE77.53; 平均PEG.66, PB2.65; ROIC4.6067%; ROE6.43%; 股利率0%; 毛利15.5333%; 净利4.3433%; 上一年度营收增0%, 利润增27.07%; 当季营收增3.35%, 利润增-79.43%; 过往5年营收增117.11%, 利润增-43.66%
Income profile:
</v>
      </c>
      <c r="D10" t="s">
        <v>962</v>
      </c>
      <c r="E10" t="s">
        <v>1101</v>
      </c>
      <c r="F10">
        <v>8.68</v>
      </c>
      <c r="G10">
        <v>1.52</v>
      </c>
      <c r="H10" t="s">
        <v>1894</v>
      </c>
      <c r="I10">
        <v>8966790700</v>
      </c>
      <c r="J10">
        <v>44.31</v>
      </c>
      <c r="K10">
        <v>2.65</v>
      </c>
      <c r="L10" t="s">
        <v>1792</v>
      </c>
      <c r="M10" t="s">
        <v>1115</v>
      </c>
      <c r="N10" t="s">
        <v>1895</v>
      </c>
      <c r="O10" t="s">
        <v>1134</v>
      </c>
      <c r="P10" s="6">
        <v>3.28</v>
      </c>
      <c r="Q10" t="s">
        <v>992</v>
      </c>
      <c r="R10">
        <v>23035268</v>
      </c>
      <c r="S10">
        <v>-0.79390000000000005</v>
      </c>
      <c r="T10" t="s">
        <v>769</v>
      </c>
      <c r="U10">
        <v>403097030</v>
      </c>
      <c r="V10">
        <v>1033040410</v>
      </c>
      <c r="W10">
        <v>2.27</v>
      </c>
      <c r="X10">
        <v>0.11</v>
      </c>
      <c r="Y10">
        <v>2.84</v>
      </c>
      <c r="Z10" t="s">
        <v>1896</v>
      </c>
      <c r="AA10" t="s">
        <v>833</v>
      </c>
      <c r="AB10" t="s">
        <v>1897</v>
      </c>
      <c r="AC10" t="s">
        <v>1898</v>
      </c>
      <c r="AD10" t="s">
        <v>35</v>
      </c>
      <c r="AE10">
        <v>-2978711</v>
      </c>
      <c r="AF10" t="s">
        <v>1254</v>
      </c>
      <c r="AG10" t="s">
        <v>1899</v>
      </c>
      <c r="AH10" t="s">
        <v>1255</v>
      </c>
      <c r="AI10" t="s">
        <v>1588</v>
      </c>
      <c r="AJ10" t="s">
        <v>1256</v>
      </c>
      <c r="AK10" t="s">
        <v>1900</v>
      </c>
      <c r="AL10" t="s">
        <v>1257</v>
      </c>
      <c r="AM10" t="s">
        <v>35</v>
      </c>
      <c r="AN10" t="s">
        <v>158</v>
      </c>
      <c r="AO10" t="s">
        <v>999</v>
      </c>
      <c r="AP10" t="s">
        <v>618</v>
      </c>
      <c r="AQ10" t="s">
        <v>1901</v>
      </c>
      <c r="AR10" t="s">
        <v>35</v>
      </c>
      <c r="AS10" t="s">
        <v>1902</v>
      </c>
      <c r="AT10" t="s">
        <v>35</v>
      </c>
      <c r="AU10" t="s">
        <v>1903</v>
      </c>
      <c r="AV10" t="s">
        <v>1904</v>
      </c>
      <c r="AW10" t="s">
        <v>53</v>
      </c>
      <c r="AX10" t="s">
        <v>992</v>
      </c>
      <c r="AY10" t="s">
        <v>993</v>
      </c>
      <c r="AZ10" t="s">
        <v>939</v>
      </c>
      <c r="BA10" t="s">
        <v>710</v>
      </c>
      <c r="BB10" t="s">
        <v>393</v>
      </c>
      <c r="BC10" t="s">
        <v>211</v>
      </c>
      <c r="BD10" t="s">
        <v>771</v>
      </c>
      <c r="BE10" t="s">
        <v>963</v>
      </c>
      <c r="BF10" t="s">
        <v>964</v>
      </c>
      <c r="BG10" t="s">
        <v>965</v>
      </c>
      <c r="BH10" t="s">
        <v>992</v>
      </c>
      <c r="BI10" t="s">
        <v>1128</v>
      </c>
      <c r="BJ10" t="s">
        <v>992</v>
      </c>
      <c r="BK10" t="s">
        <v>769</v>
      </c>
      <c r="BL10" t="s">
        <v>250</v>
      </c>
      <c r="BM10" t="s">
        <v>211</v>
      </c>
      <c r="BN10">
        <v>5.89</v>
      </c>
      <c r="BO10">
        <v>7.14</v>
      </c>
      <c r="BP10">
        <v>0.79</v>
      </c>
      <c r="BQ10">
        <v>6.98</v>
      </c>
      <c r="BR10">
        <v>11.6</v>
      </c>
      <c r="BS10">
        <v>0.71</v>
      </c>
      <c r="BT10" t="s">
        <v>948</v>
      </c>
      <c r="BU10" t="s">
        <v>823</v>
      </c>
      <c r="BV10">
        <v>14.62</v>
      </c>
      <c r="BW10">
        <v>14.33</v>
      </c>
      <c r="BX10">
        <v>17.649999999999999</v>
      </c>
      <c r="BY10">
        <v>6.87</v>
      </c>
      <c r="BZ10">
        <v>5.38</v>
      </c>
      <c r="CA10">
        <v>0.78</v>
      </c>
      <c r="CB10">
        <v>0.57999999999999996</v>
      </c>
      <c r="CC10" s="1">
        <v>-12.68</v>
      </c>
      <c r="CD10" s="1" t="s">
        <v>1905</v>
      </c>
      <c r="CE10" s="1" t="s">
        <v>73</v>
      </c>
      <c r="CF10" s="8">
        <v>3.3457249070631967E-2</v>
      </c>
      <c r="CG10" s="9">
        <v>-0.79432796428571428</v>
      </c>
      <c r="CH10" s="8">
        <v>0</v>
      </c>
      <c r="CI10" s="8">
        <v>-6.0070671141147614E-2</v>
      </c>
      <c r="CJ10" s="8">
        <v>6.0860719680786133</v>
      </c>
      <c r="CK10" s="8">
        <v>-0.14457830786705017</v>
      </c>
      <c r="CL10" s="8">
        <v>-2.6075620204210281E-2</v>
      </c>
      <c r="CM10" s="9">
        <v>0.27074235677719116</v>
      </c>
      <c r="CN10" s="9">
        <v>-0.22108843922615051</v>
      </c>
      <c r="CO10" s="9">
        <v>6.0026717185974121</v>
      </c>
      <c r="CP10" s="9">
        <v>-9.3384552001953125</v>
      </c>
      <c r="CQ10" s="9">
        <v>1.1030586957931519</v>
      </c>
      <c r="CR10" s="1">
        <v>77.534752093985801</v>
      </c>
      <c r="CS10" s="1">
        <v>0.66208499009170807</v>
      </c>
      <c r="CT10" s="1">
        <v>0</v>
      </c>
      <c r="CU10" s="8">
        <v>1.171069473773241</v>
      </c>
      <c r="CV10" s="9">
        <v>-0.43661417365074157</v>
      </c>
      <c r="CW10">
        <v>0.06</v>
      </c>
      <c r="CX10">
        <v>16.544395216142746</v>
      </c>
      <c r="CY10">
        <v>596020015.91321993</v>
      </c>
      <c r="CZ10">
        <v>1.171069473773241</v>
      </c>
      <c r="DA10">
        <v>2.4412890610560392</v>
      </c>
      <c r="DB10">
        <v>4039173753.44912</v>
      </c>
      <c r="DC10">
        <v>1.1125160000845788</v>
      </c>
      <c r="DD10">
        <v>0.33455281502748685</v>
      </c>
      <c r="DE10">
        <v>29474541110.018272</v>
      </c>
      <c r="DF10">
        <v>1.030541136920452</v>
      </c>
      <c r="DG10">
        <v>3.7066700267583103E-2</v>
      </c>
      <c r="DH10">
        <v>266028284924.61768</v>
      </c>
      <c r="DI10">
        <v>0.93685557901859284</v>
      </c>
      <c r="DJ10">
        <v>2.8613786751811654E-4</v>
      </c>
      <c r="DK10">
        <v>34461676762778.258</v>
      </c>
      <c r="DL10">
        <v>0.81974863164126865</v>
      </c>
      <c r="DM10">
        <v>291000000</v>
      </c>
      <c r="DN10">
        <v>1.171069473773241</v>
      </c>
      <c r="DO10">
        <v>9860790700</v>
      </c>
      <c r="DP10">
        <v>1019807000</v>
      </c>
      <c r="DQ10" s="10">
        <v>772</v>
      </c>
      <c r="DR10">
        <v>-1.137612224702609</v>
      </c>
      <c r="DS10">
        <v>-0.35771379063497272</v>
      </c>
      <c r="DT10">
        <v>-3.9999999999999959E-2</v>
      </c>
      <c r="DU10">
        <v>-0.25166666666666671</v>
      </c>
      <c r="DV10">
        <v>-0.29166666666666669</v>
      </c>
      <c r="DW10">
        <v>-2.1267999999999998</v>
      </c>
      <c r="DX10">
        <v>0.32104257425742461</v>
      </c>
      <c r="DY10">
        <v>-2.0166161984158415</v>
      </c>
      <c r="DZ10">
        <v>2426</v>
      </c>
      <c r="EA10">
        <v>-2.0087275687961093</v>
      </c>
      <c r="EB10" s="11">
        <v>2</v>
      </c>
      <c r="EC10" s="11">
        <v>1.2811986706309002E-2</v>
      </c>
      <c r="ED10">
        <v>9.7769650656744395E-2</v>
      </c>
      <c r="EE10">
        <v>1.01311</v>
      </c>
      <c r="EF10">
        <v>1.04131</v>
      </c>
      <c r="EG10">
        <v>19.131042574257425</v>
      </c>
      <c r="EH10" s="13" t="s">
        <v>969</v>
      </c>
      <c r="EI10" s="14">
        <v>0</v>
      </c>
      <c r="EJ10" s="14">
        <v>0</v>
      </c>
      <c r="EK10" s="14">
        <v>45470</v>
      </c>
      <c r="EL10" s="14">
        <v>0.79</v>
      </c>
      <c r="EM10" s="14">
        <v>-4.38</v>
      </c>
      <c r="EN10" s="14">
        <v>0.12</v>
      </c>
      <c r="EO10" s="14">
        <v>3.87</v>
      </c>
      <c r="EP10" s="14">
        <v>-2.82</v>
      </c>
    </row>
    <row r="11" spans="1:146" ht="96" x14ac:dyDescent="0.25">
      <c r="A11" s="7"/>
      <c r="B11" s="7"/>
      <c r="C11" s="7" t="str">
        <f>""&amp;CHAR(10)&amp;Basic_Fundamental_Information_Constructure(F11)&amp;CHAR(10)&amp;Basic_Fundamental_Information_Concatenate("")</f>
        <v xml:space="preserve">
市值33.3547亿, 利润2927.54万; PE84.36; 平均PE-473.02; 平均PEG-82.56, PB1.56; ROIC.9667%; ROE1.09%; 股利率0%; 毛利29.02%; 净利4.62%; 上一年度营收增6.1%, 利润增22.24%; 当季营收增-15.79%, 利润增140.33%; 过往5年营收增5.73%, 利润增-111.84%
Income profile:
</v>
      </c>
      <c r="D11" t="s">
        <v>113</v>
      </c>
      <c r="E11" t="s">
        <v>6</v>
      </c>
      <c r="F11">
        <v>5.82</v>
      </c>
      <c r="G11">
        <v>1.22</v>
      </c>
      <c r="H11" t="s">
        <v>1906</v>
      </c>
      <c r="I11">
        <v>3335470000</v>
      </c>
      <c r="J11">
        <v>84.36</v>
      </c>
      <c r="K11">
        <v>1.56</v>
      </c>
      <c r="L11" t="s">
        <v>1792</v>
      </c>
      <c r="M11" t="s">
        <v>1173</v>
      </c>
      <c r="N11" t="s">
        <v>1907</v>
      </c>
      <c r="O11" t="s">
        <v>250</v>
      </c>
      <c r="P11">
        <v>-16.36</v>
      </c>
      <c r="Q11" t="s">
        <v>635</v>
      </c>
      <c r="R11">
        <v>17578584</v>
      </c>
      <c r="S11" s="6">
        <v>1.403</v>
      </c>
      <c r="T11" t="s">
        <v>1258</v>
      </c>
      <c r="U11">
        <v>573104820</v>
      </c>
      <c r="V11">
        <v>573104820</v>
      </c>
      <c r="W11">
        <v>1.34</v>
      </c>
      <c r="X11">
        <v>0.04</v>
      </c>
      <c r="Y11">
        <v>15.67</v>
      </c>
      <c r="Z11" t="s">
        <v>194</v>
      </c>
      <c r="AA11" t="s">
        <v>1908</v>
      </c>
      <c r="AB11" t="s">
        <v>1909</v>
      </c>
      <c r="AC11" t="s">
        <v>1910</v>
      </c>
      <c r="AD11" t="s">
        <v>35</v>
      </c>
      <c r="AE11">
        <v>-245322</v>
      </c>
      <c r="AF11" t="s">
        <v>1259</v>
      </c>
      <c r="AG11" t="s">
        <v>1911</v>
      </c>
      <c r="AH11" t="s">
        <v>1260</v>
      </c>
      <c r="AI11" t="s">
        <v>108</v>
      </c>
      <c r="AJ11" t="s">
        <v>1261</v>
      </c>
      <c r="AK11" t="s">
        <v>1912</v>
      </c>
      <c r="AL11" t="s">
        <v>1262</v>
      </c>
      <c r="AM11" t="s">
        <v>35</v>
      </c>
      <c r="AN11" t="s">
        <v>1123</v>
      </c>
      <c r="AO11" t="s">
        <v>72</v>
      </c>
      <c r="AP11" t="s">
        <v>1913</v>
      </c>
      <c r="AQ11" t="s">
        <v>163</v>
      </c>
      <c r="AR11">
        <v>1526</v>
      </c>
      <c r="AS11" t="s">
        <v>1914</v>
      </c>
      <c r="AT11" t="s">
        <v>35</v>
      </c>
      <c r="AU11" t="s">
        <v>1915</v>
      </c>
      <c r="AV11" t="s">
        <v>1916</v>
      </c>
      <c r="AW11" t="s">
        <v>1917</v>
      </c>
      <c r="AX11" t="s">
        <v>994</v>
      </c>
      <c r="AY11" t="s">
        <v>325</v>
      </c>
      <c r="AZ11" t="s">
        <v>378</v>
      </c>
      <c r="BA11" t="s">
        <v>114</v>
      </c>
      <c r="BB11" t="s">
        <v>169</v>
      </c>
      <c r="BC11" t="s">
        <v>995</v>
      </c>
      <c r="BD11" t="s">
        <v>685</v>
      </c>
      <c r="BE11" t="s">
        <v>379</v>
      </c>
      <c r="BF11" t="s">
        <v>115</v>
      </c>
      <c r="BG11" t="s">
        <v>380</v>
      </c>
      <c r="BH11" t="s">
        <v>635</v>
      </c>
      <c r="BI11" t="s">
        <v>209</v>
      </c>
      <c r="BJ11" t="s">
        <v>994</v>
      </c>
      <c r="BK11" t="s">
        <v>1258</v>
      </c>
      <c r="BL11" t="s">
        <v>1263</v>
      </c>
      <c r="BM11" t="s">
        <v>995</v>
      </c>
      <c r="BN11">
        <v>0.81</v>
      </c>
      <c r="BO11">
        <v>0.85</v>
      </c>
      <c r="BP11">
        <v>1.24</v>
      </c>
      <c r="BQ11">
        <v>0.97</v>
      </c>
      <c r="BR11">
        <v>1.1599999999999999</v>
      </c>
      <c r="BS11">
        <v>1.1399999999999999</v>
      </c>
      <c r="BT11" t="s">
        <v>948</v>
      </c>
      <c r="BU11" t="s">
        <v>733</v>
      </c>
      <c r="BV11">
        <v>26.11</v>
      </c>
      <c r="BW11">
        <v>28.23</v>
      </c>
      <c r="BX11">
        <v>32.72</v>
      </c>
      <c r="BY11">
        <v>4.96</v>
      </c>
      <c r="BZ11">
        <v>4.3600000000000003</v>
      </c>
      <c r="CA11">
        <v>4.54</v>
      </c>
      <c r="CB11">
        <v>-3</v>
      </c>
      <c r="CC11">
        <v>-15.53</v>
      </c>
      <c r="CD11" t="s">
        <v>1918</v>
      </c>
      <c r="CE11" t="s">
        <v>584</v>
      </c>
      <c r="CF11" s="8">
        <v>-0.15789473684210514</v>
      </c>
      <c r="CG11" s="9">
        <v>1.4032516234875931</v>
      </c>
      <c r="CH11" s="8">
        <v>6.1041291803121567E-2</v>
      </c>
      <c r="CI11" s="8">
        <v>0.16283924877643585</v>
      </c>
      <c r="CJ11" s="8">
        <v>0.38840579986572266</v>
      </c>
      <c r="CK11" s="8">
        <v>-1.1461318470537663E-2</v>
      </c>
      <c r="CL11" s="8">
        <v>-0.31434184312820435</v>
      </c>
      <c r="CM11" s="9">
        <v>0.22240084409713745</v>
      </c>
      <c r="CN11" s="9">
        <v>0.26697385311126709</v>
      </c>
      <c r="CO11" s="9">
        <v>-0.15974253416061401</v>
      </c>
      <c r="CP11" s="9">
        <v>1.1371718645095825</v>
      </c>
      <c r="CQ11" s="9">
        <v>-7.0588150024414062</v>
      </c>
      <c r="CR11">
        <v>-473.01902445596295</v>
      </c>
      <c r="CS11">
        <v>-82.556160253539261</v>
      </c>
      <c r="CT11">
        <v>0</v>
      </c>
      <c r="CU11" s="8">
        <v>5.7296635769307616E-2</v>
      </c>
      <c r="CV11" s="9">
        <v>-1.1184021949768066</v>
      </c>
      <c r="CW11">
        <v>0.06</v>
      </c>
      <c r="CX11">
        <v>64.63775063814559</v>
      </c>
      <c r="CY11">
        <v>29200737.670566782</v>
      </c>
      <c r="CZ11">
        <v>5.7296635769307616E-2</v>
      </c>
      <c r="DA11">
        <v>21.718342938453226</v>
      </c>
      <c r="DB11">
        <v>86906722.36592029</v>
      </c>
      <c r="DC11">
        <v>5.4431803980842235E-2</v>
      </c>
      <c r="DD11">
        <v>11.091042395179182</v>
      </c>
      <c r="DE11">
        <v>170179675.8815389</v>
      </c>
      <c r="DF11">
        <v>5.0421039476990705E-2</v>
      </c>
      <c r="DG11">
        <v>6.9371754275820985</v>
      </c>
      <c r="DH11">
        <v>272080477.09092802</v>
      </c>
      <c r="DI11">
        <v>4.5837308615446097E-2</v>
      </c>
      <c r="DJ11">
        <v>3.9097461383617809</v>
      </c>
      <c r="DK11">
        <v>482760244.06813967</v>
      </c>
      <c r="DL11">
        <v>4.0107645038515327E-2</v>
      </c>
      <c r="DM11">
        <v>29275400</v>
      </c>
      <c r="DN11">
        <v>5.7296635769307616E-2</v>
      </c>
      <c r="DO11">
        <v>1887470000</v>
      </c>
      <c r="DP11">
        <v>874657900</v>
      </c>
      <c r="DQ11">
        <v>804</v>
      </c>
      <c r="DR11">
        <v>-0.21519137261141275</v>
      </c>
      <c r="DS11">
        <v>2.5216538184644</v>
      </c>
      <c r="DT11" s="10">
        <v>-0.25666666666666665</v>
      </c>
      <c r="DU11">
        <v>0.23999999999999991</v>
      </c>
      <c r="DV11">
        <v>-1.6666666666666746E-2</v>
      </c>
      <c r="DW11">
        <v>-8.1931745009658723</v>
      </c>
      <c r="DX11">
        <v>0.28714274691358055</v>
      </c>
      <c r="DY11">
        <v>-8.0110385216188504</v>
      </c>
      <c r="DZ11">
        <v>1744</v>
      </c>
      <c r="EA11">
        <v>-8.0072711670780929</v>
      </c>
      <c r="EB11">
        <v>8</v>
      </c>
      <c r="EC11">
        <v>6.4610344753338489E-2</v>
      </c>
      <c r="ED11">
        <v>1.1306832142853029</v>
      </c>
      <c r="EE11" s="11">
        <v>-1.0034099999999999</v>
      </c>
      <c r="EF11">
        <v>-1.0220100000000001</v>
      </c>
      <c r="EG11">
        <v>23.057142746913581</v>
      </c>
      <c r="EH11" t="s">
        <v>971</v>
      </c>
      <c r="EI11">
        <v>0</v>
      </c>
      <c r="EJ11">
        <v>0</v>
      </c>
      <c r="EK11" s="13">
        <v>45470</v>
      </c>
      <c r="EL11" s="14">
        <v>0.17</v>
      </c>
      <c r="EM11" s="14">
        <v>-4.83</v>
      </c>
      <c r="EN11" s="14">
        <v>0.87</v>
      </c>
      <c r="EO11" s="14">
        <v>2.6</v>
      </c>
      <c r="EP11" s="14">
        <v>-1.86</v>
      </c>
    </row>
    <row r="12" spans="1:146" ht="84" x14ac:dyDescent="0.25">
      <c r="A12" s="7"/>
      <c r="B12" s="7"/>
      <c r="C12" s="7" t="str">
        <f>""&amp;CHAR(10)&amp;Basic_Fundamental_Information_Constructure(F12)&amp;CHAR(10)&amp;Basic_Fundamental_Information_Concatenate("")</f>
        <v xml:space="preserve">
市值129.639836亿, 利润1.53亿; PE94.37; 平均PE54.17; 平均PEG18.54, PB1.61; ROIC2.7133%; ROE3.0167%; 股利率.4612%; 毛利23.28%; 净利7.2933%; 上一年度营收增-25.71%, 利润增-50.16%; 当季营收增-8.84%, 利润增-86.32%; 过往5年营收增2.92%, 利润增-3.67%
Income profile:
</v>
      </c>
      <c r="D12" t="s">
        <v>118</v>
      </c>
      <c r="E12" t="s">
        <v>9</v>
      </c>
      <c r="F12">
        <v>13.01</v>
      </c>
      <c r="G12">
        <v>0.39</v>
      </c>
      <c r="H12" t="s">
        <v>1919</v>
      </c>
      <c r="I12">
        <v>12963983600</v>
      </c>
      <c r="J12">
        <v>94.37</v>
      </c>
      <c r="K12">
        <v>1.61</v>
      </c>
      <c r="L12" t="s">
        <v>1792</v>
      </c>
      <c r="M12" t="s">
        <v>1267</v>
      </c>
      <c r="N12" t="s">
        <v>1920</v>
      </c>
      <c r="O12" t="s">
        <v>633</v>
      </c>
      <c r="P12">
        <v>-8.8699999999999992</v>
      </c>
      <c r="Q12" t="s">
        <v>1268</v>
      </c>
      <c r="R12">
        <v>2551339</v>
      </c>
      <c r="S12" s="6">
        <v>-0.86319999999999997</v>
      </c>
      <c r="T12" t="s">
        <v>827</v>
      </c>
      <c r="U12">
        <v>990823200</v>
      </c>
      <c r="V12">
        <v>996463000</v>
      </c>
      <c r="W12">
        <v>1.26</v>
      </c>
      <c r="X12">
        <v>0.04</v>
      </c>
      <c r="Y12">
        <v>0.8</v>
      </c>
      <c r="Z12" t="s">
        <v>260</v>
      </c>
      <c r="AA12" t="s">
        <v>348</v>
      </c>
      <c r="AB12" t="s">
        <v>1921</v>
      </c>
      <c r="AC12" t="s">
        <v>1922</v>
      </c>
      <c r="AD12" t="s">
        <v>35</v>
      </c>
      <c r="AE12">
        <v>-7294343</v>
      </c>
      <c r="AF12" t="s">
        <v>102</v>
      </c>
      <c r="AG12" t="s">
        <v>1923</v>
      </c>
      <c r="AH12" t="s">
        <v>1269</v>
      </c>
      <c r="AI12" t="s">
        <v>1924</v>
      </c>
      <c r="AJ12" t="s">
        <v>1270</v>
      </c>
      <c r="AK12" t="s">
        <v>1925</v>
      </c>
      <c r="AL12" t="s">
        <v>1271</v>
      </c>
      <c r="AM12" t="s">
        <v>35</v>
      </c>
      <c r="AN12" t="s">
        <v>1926</v>
      </c>
      <c r="AO12" t="s">
        <v>1927</v>
      </c>
      <c r="AP12" t="s">
        <v>339</v>
      </c>
      <c r="AQ12" t="s">
        <v>1276</v>
      </c>
      <c r="AR12" t="s">
        <v>1928</v>
      </c>
      <c r="AS12" t="s">
        <v>1929</v>
      </c>
      <c r="AT12" t="s">
        <v>35</v>
      </c>
      <c r="AU12" t="s">
        <v>1930</v>
      </c>
      <c r="AV12" t="s">
        <v>1931</v>
      </c>
      <c r="AW12" t="s">
        <v>1932</v>
      </c>
      <c r="AX12" t="s">
        <v>934</v>
      </c>
      <c r="AY12" t="s">
        <v>838</v>
      </c>
      <c r="AZ12" t="s">
        <v>381</v>
      </c>
      <c r="BA12" t="s">
        <v>119</v>
      </c>
      <c r="BB12" t="s">
        <v>384</v>
      </c>
      <c r="BC12" t="s">
        <v>279</v>
      </c>
      <c r="BD12" t="s">
        <v>510</v>
      </c>
      <c r="BE12" t="s">
        <v>88</v>
      </c>
      <c r="BF12" t="s">
        <v>120</v>
      </c>
      <c r="BG12" t="s">
        <v>177</v>
      </c>
      <c r="BH12" t="s">
        <v>1268</v>
      </c>
      <c r="BI12" t="s">
        <v>169</v>
      </c>
      <c r="BJ12" t="s">
        <v>934</v>
      </c>
      <c r="BK12" t="s">
        <v>827</v>
      </c>
      <c r="BL12" t="s">
        <v>1272</v>
      </c>
      <c r="BM12" t="s">
        <v>279</v>
      </c>
      <c r="BN12">
        <v>1.3</v>
      </c>
      <c r="BO12">
        <v>3.71</v>
      </c>
      <c r="BP12">
        <v>3.13</v>
      </c>
      <c r="BQ12">
        <v>1.79</v>
      </c>
      <c r="BR12">
        <v>3.94</v>
      </c>
      <c r="BS12">
        <v>3.32</v>
      </c>
      <c r="BT12" t="s">
        <v>955</v>
      </c>
      <c r="BU12" t="s">
        <v>733</v>
      </c>
      <c r="BV12">
        <v>24.63</v>
      </c>
      <c r="BW12">
        <v>20.97</v>
      </c>
      <c r="BX12">
        <v>24.24</v>
      </c>
      <c r="BY12">
        <v>5.49</v>
      </c>
      <c r="BZ12">
        <v>8.11</v>
      </c>
      <c r="CA12">
        <v>8.2799999999999994</v>
      </c>
      <c r="CB12">
        <v>-6.34</v>
      </c>
      <c r="CC12">
        <v>-20.57</v>
      </c>
      <c r="CD12" t="s">
        <v>1933</v>
      </c>
      <c r="CE12" t="s">
        <v>987</v>
      </c>
      <c r="CF12" s="8">
        <v>-8.8408644400785968E-2</v>
      </c>
      <c r="CG12" s="9">
        <v>-0.86318797758532861</v>
      </c>
      <c r="CH12" s="8">
        <v>-0.25712805986404419</v>
      </c>
      <c r="CI12" s="8">
        <v>0.32395333051681519</v>
      </c>
      <c r="CJ12" s="8">
        <v>-2.4765772745013237E-2</v>
      </c>
      <c r="CK12" s="8">
        <v>-3.6129031330347061E-2</v>
      </c>
      <c r="CL12" s="8">
        <v>0.14012502133846283</v>
      </c>
      <c r="CM12" s="9">
        <v>-0.50162863731384277</v>
      </c>
      <c r="CN12" s="9">
        <v>0.34649121761322021</v>
      </c>
      <c r="CO12" s="9">
        <v>-0.16788321733474731</v>
      </c>
      <c r="CP12" s="9">
        <v>0.18103447556495667</v>
      </c>
      <c r="CQ12" s="9">
        <v>-4.1322313249111176E-2</v>
      </c>
      <c r="CR12">
        <v>54.167062395543176</v>
      </c>
      <c r="CS12">
        <v>18.543316368482795</v>
      </c>
      <c r="CT12">
        <v>0.46118370484242888</v>
      </c>
      <c r="CU12" s="8">
        <v>2.9211097583174705E-2</v>
      </c>
      <c r="CV12" s="9">
        <v>-3.6661694943904879E-2</v>
      </c>
      <c r="CW12">
        <v>0.06</v>
      </c>
      <c r="CX12">
        <v>48.399165527346277</v>
      </c>
      <c r="CY12">
        <v>148555941.44360918</v>
      </c>
      <c r="CZ12">
        <v>2.9211097583174705E-2</v>
      </c>
      <c r="DA12">
        <v>16.657634752822965</v>
      </c>
      <c r="DB12">
        <v>431632924.28305387</v>
      </c>
      <c r="DC12">
        <v>2.7750542704015967E-2</v>
      </c>
      <c r="DD12">
        <v>8.7738690238563475</v>
      </c>
      <c r="DE12">
        <v>819476969.67555285</v>
      </c>
      <c r="DF12">
        <v>2.5705765873193741E-2</v>
      </c>
      <c r="DG12">
        <v>5.6732003927903509</v>
      </c>
      <c r="DH12">
        <v>1267359356.6582308</v>
      </c>
      <c r="DI12">
        <v>2.3368878066539766E-2</v>
      </c>
      <c r="DJ12">
        <v>3.4199829188908897</v>
      </c>
      <c r="DK12">
        <v>2102344886.0767214</v>
      </c>
      <c r="DL12">
        <v>2.0447768308222293E-2</v>
      </c>
      <c r="DM12">
        <v>153000000</v>
      </c>
      <c r="DN12">
        <v>2.9211097583174705E-2</v>
      </c>
      <c r="DO12">
        <v>7189983600.000001</v>
      </c>
      <c r="DP12">
        <v>4074189300</v>
      </c>
      <c r="DQ12">
        <v>895</v>
      </c>
      <c r="DR12">
        <v>-0.11761974198396068</v>
      </c>
      <c r="DS12">
        <v>-0.82652628264142369</v>
      </c>
      <c r="DT12" s="10">
        <v>-0.45666666666666672</v>
      </c>
      <c r="DU12">
        <v>-0.47333333333333338</v>
      </c>
      <c r="DV12">
        <v>-0.93000000000000016</v>
      </c>
      <c r="DW12">
        <v>-9.308215848322801</v>
      </c>
      <c r="DX12">
        <v>0.37162524271844544</v>
      </c>
      <c r="DY12">
        <v>-9.0467333028116172</v>
      </c>
      <c r="DZ12">
        <v>3488</v>
      </c>
      <c r="EA12">
        <v>-9.0148339368220043</v>
      </c>
      <c r="EB12">
        <v>9</v>
      </c>
      <c r="EC12">
        <v>4.70185044502405E-2</v>
      </c>
      <c r="ED12">
        <v>0.31009681242554915</v>
      </c>
      <c r="EE12" s="11">
        <v>5.899999999999999E-3</v>
      </c>
      <c r="EF12">
        <v>1.1610000000000002E-2</v>
      </c>
      <c r="EG12">
        <v>22.151625242718445</v>
      </c>
      <c r="EH12">
        <v>-1</v>
      </c>
      <c r="EI12">
        <v>0</v>
      </c>
      <c r="EJ12">
        <v>0</v>
      </c>
      <c r="EK12" s="13">
        <v>45470</v>
      </c>
      <c r="EL12" s="14">
        <v>-0.35</v>
      </c>
      <c r="EM12" s="14">
        <v>-4.41</v>
      </c>
      <c r="EN12" s="14">
        <v>-0.3</v>
      </c>
      <c r="EO12" s="14">
        <v>2.69</v>
      </c>
      <c r="EP12" s="14">
        <v>-1.75</v>
      </c>
    </row>
    <row r="13" spans="1:146" ht="120" x14ac:dyDescent="0.25">
      <c r="A13" s="7" t="s">
        <v>665</v>
      </c>
      <c r="B13" s="7"/>
      <c r="C13" s="7" t="s">
        <v>666</v>
      </c>
      <c r="D13" t="s">
        <v>630</v>
      </c>
      <c r="E13" t="s">
        <v>631</v>
      </c>
      <c r="F13">
        <v>16.88</v>
      </c>
      <c r="G13">
        <v>1.69</v>
      </c>
      <c r="H13" t="s">
        <v>1934</v>
      </c>
      <c r="I13">
        <v>36369443000</v>
      </c>
      <c r="J13">
        <v>58.81</v>
      </c>
      <c r="K13">
        <v>4.09</v>
      </c>
      <c r="L13" t="s">
        <v>1792</v>
      </c>
      <c r="M13" t="s">
        <v>842</v>
      </c>
      <c r="N13" t="s">
        <v>1935</v>
      </c>
      <c r="O13" t="s">
        <v>857</v>
      </c>
      <c r="P13">
        <v>3.04</v>
      </c>
      <c r="Q13" t="s">
        <v>1279</v>
      </c>
      <c r="R13">
        <v>135830460</v>
      </c>
      <c r="S13" s="6">
        <v>0.3488</v>
      </c>
      <c r="T13" t="s">
        <v>364</v>
      </c>
      <c r="U13">
        <v>1777221600</v>
      </c>
      <c r="V13">
        <v>2154587900</v>
      </c>
      <c r="W13">
        <v>1.0900000000000001</v>
      </c>
      <c r="X13">
        <v>0.03</v>
      </c>
      <c r="Y13">
        <v>42.29</v>
      </c>
      <c r="Z13" t="s">
        <v>150</v>
      </c>
      <c r="AA13" t="s">
        <v>419</v>
      </c>
      <c r="AB13" t="s">
        <v>1936</v>
      </c>
      <c r="AC13" t="s">
        <v>1937</v>
      </c>
      <c r="AD13" t="s">
        <v>35</v>
      </c>
      <c r="AE13">
        <v>-44011505</v>
      </c>
      <c r="AF13" t="s">
        <v>102</v>
      </c>
      <c r="AG13">
        <v>5249.46</v>
      </c>
      <c r="AH13" t="s">
        <v>1280</v>
      </c>
      <c r="AI13" t="s">
        <v>1938</v>
      </c>
      <c r="AJ13" t="s">
        <v>1281</v>
      </c>
      <c r="AK13" t="s">
        <v>997</v>
      </c>
      <c r="AL13" t="s">
        <v>1282</v>
      </c>
      <c r="AM13" t="s">
        <v>35</v>
      </c>
      <c r="AN13" t="s">
        <v>1072</v>
      </c>
      <c r="AO13" t="s">
        <v>35</v>
      </c>
      <c r="AP13" t="s">
        <v>35</v>
      </c>
      <c r="AQ13" t="s">
        <v>1939</v>
      </c>
      <c r="AR13">
        <v>4545.46</v>
      </c>
      <c r="AS13" t="s">
        <v>1147</v>
      </c>
      <c r="AT13" t="s">
        <v>35</v>
      </c>
      <c r="AU13" t="s">
        <v>1940</v>
      </c>
      <c r="AV13" t="s">
        <v>1941</v>
      </c>
      <c r="AW13" t="s">
        <v>1942</v>
      </c>
      <c r="AX13" t="s">
        <v>851</v>
      </c>
      <c r="AY13" t="s">
        <v>841</v>
      </c>
      <c r="AZ13" t="s">
        <v>501</v>
      </c>
      <c r="BA13" t="s">
        <v>587</v>
      </c>
      <c r="BB13" t="s">
        <v>633</v>
      </c>
      <c r="BC13" t="s">
        <v>624</v>
      </c>
      <c r="BD13" t="s">
        <v>139</v>
      </c>
      <c r="BE13" t="s">
        <v>369</v>
      </c>
      <c r="BF13" t="s">
        <v>208</v>
      </c>
      <c r="BG13" t="s">
        <v>634</v>
      </c>
      <c r="BH13" t="s">
        <v>1279</v>
      </c>
      <c r="BI13" t="s">
        <v>525</v>
      </c>
      <c r="BJ13" t="s">
        <v>851</v>
      </c>
      <c r="BK13" t="s">
        <v>364</v>
      </c>
      <c r="BL13" t="s">
        <v>73</v>
      </c>
      <c r="BM13" t="s">
        <v>624</v>
      </c>
      <c r="BN13">
        <v>3.97</v>
      </c>
      <c r="BO13">
        <v>2.62</v>
      </c>
      <c r="BP13">
        <v>1.74</v>
      </c>
      <c r="BQ13">
        <v>5.29</v>
      </c>
      <c r="BR13">
        <v>4.53</v>
      </c>
      <c r="BS13">
        <v>3.39</v>
      </c>
      <c r="BT13" t="s">
        <v>948</v>
      </c>
      <c r="BU13" t="s">
        <v>733</v>
      </c>
      <c r="BV13">
        <v>45.9</v>
      </c>
      <c r="BW13">
        <v>41.02</v>
      </c>
      <c r="BX13">
        <v>43.78</v>
      </c>
      <c r="BY13">
        <v>39.020000000000003</v>
      </c>
      <c r="BZ13">
        <v>32.229999999999997</v>
      </c>
      <c r="CA13">
        <v>31.34</v>
      </c>
      <c r="CB13">
        <v>-2.71</v>
      </c>
      <c r="CC13">
        <v>-10.83</v>
      </c>
      <c r="CD13" t="s">
        <v>1943</v>
      </c>
      <c r="CE13" t="s">
        <v>1135</v>
      </c>
      <c r="CF13" s="8">
        <v>2.8846153846153848E-2</v>
      </c>
      <c r="CG13" s="9">
        <v>0.34485603960396038</v>
      </c>
      <c r="CH13" s="8">
        <v>0.27910959720611572</v>
      </c>
      <c r="CI13" s="8">
        <v>0.3597206175327301</v>
      </c>
      <c r="CJ13" s="8">
        <v>0.34850862622261047</v>
      </c>
      <c r="CK13" s="8">
        <v>0.32432430982589722</v>
      </c>
      <c r="CL13" s="8">
        <v>3.6637932062149048E-2</v>
      </c>
      <c r="CM13" s="9">
        <v>0.54641908407211304</v>
      </c>
      <c r="CN13" s="9">
        <v>0.39114391803741455</v>
      </c>
      <c r="CO13" s="9">
        <v>0.66257667541503906</v>
      </c>
      <c r="CP13" s="9">
        <v>0.41739130020141602</v>
      </c>
      <c r="CQ13" s="9">
        <v>0.63044488430023193</v>
      </c>
      <c r="CR13">
        <v>138.15265133128915</v>
      </c>
      <c r="CS13">
        <v>5.1232122071472723</v>
      </c>
      <c r="CT13">
        <v>0</v>
      </c>
      <c r="CU13" s="8">
        <v>0.26966021656990052</v>
      </c>
      <c r="CV13" s="9">
        <v>0.5295951724052429</v>
      </c>
      <c r="CW13">
        <v>0.06</v>
      </c>
      <c r="CX13">
        <v>40.720190157820149</v>
      </c>
      <c r="CY13">
        <v>698313119.11344516</v>
      </c>
      <c r="CZ13">
        <v>0.26966021656990052</v>
      </c>
      <c r="DA13">
        <v>11.466107700963935</v>
      </c>
      <c r="DB13">
        <v>2479956035.7879319</v>
      </c>
      <c r="DC13">
        <v>0.25617720574140551</v>
      </c>
      <c r="DD13">
        <v>4.5699037784048251</v>
      </c>
      <c r="DE13">
        <v>6222328604.4603996</v>
      </c>
      <c r="DF13">
        <v>0.23730099058151247</v>
      </c>
      <c r="DG13">
        <v>2.1263245367169152</v>
      </c>
      <c r="DH13">
        <v>13373049367.104071</v>
      </c>
      <c r="DI13">
        <v>0.21572817325592042</v>
      </c>
      <c r="DJ13">
        <v>0.5933778144981432</v>
      </c>
      <c r="DK13">
        <v>47921311355.480377</v>
      </c>
      <c r="DL13">
        <v>0.18876215159893037</v>
      </c>
      <c r="DM13">
        <v>583000000</v>
      </c>
      <c r="DN13">
        <v>0.26966021656990052</v>
      </c>
      <c r="DO13">
        <v>28435443000</v>
      </c>
      <c r="DP13">
        <v>6920166100</v>
      </c>
      <c r="DQ13">
        <v>1115</v>
      </c>
      <c r="DR13">
        <v>-0.24081406272374667</v>
      </c>
      <c r="DS13">
        <v>-0.18473913280128251</v>
      </c>
      <c r="DT13" s="10">
        <v>0.12666666666666662</v>
      </c>
      <c r="DU13">
        <v>1.1200000000000001</v>
      </c>
      <c r="DV13">
        <v>1.2466666666666668</v>
      </c>
      <c r="DW13">
        <v>-8.2502308402585403</v>
      </c>
      <c r="DX13">
        <v>0.40375097402597232</v>
      </c>
      <c r="DY13">
        <v>-8.0284640018107467</v>
      </c>
      <c r="DZ13">
        <v>107</v>
      </c>
      <c r="EA13">
        <v>-8.0278679845516958</v>
      </c>
      <c r="EB13">
        <v>8</v>
      </c>
      <c r="EC13">
        <v>3.2521578720459722E-2</v>
      </c>
      <c r="ED13">
        <v>0.28590154061479695</v>
      </c>
      <c r="EE13" s="11">
        <v>5.041000000000001E-2</v>
      </c>
      <c r="EF13">
        <v>7.2709999999999997E-2</v>
      </c>
      <c r="EG13">
        <v>29.113750974025972</v>
      </c>
      <c r="EH13">
        <v>-1</v>
      </c>
      <c r="EI13">
        <v>0</v>
      </c>
      <c r="EJ13">
        <v>1</v>
      </c>
      <c r="EK13" s="13">
        <v>45470</v>
      </c>
      <c r="EL13" s="14">
        <v>-0.22</v>
      </c>
      <c r="EM13" s="14">
        <v>-2.99</v>
      </c>
      <c r="EN13" s="14">
        <v>-1.51</v>
      </c>
      <c r="EO13" s="14">
        <v>3.07</v>
      </c>
      <c r="EP13" s="14">
        <v>-2.23</v>
      </c>
    </row>
    <row r="14" spans="1:146" ht="96" x14ac:dyDescent="0.25">
      <c r="A14" s="7"/>
      <c r="B14" s="7"/>
      <c r="C14" s="7" t="str">
        <f>""&amp;CHAR(10)&amp;Basic_Fundamental_Information_Constructure(F14)&amp;CHAR(10)&amp;Basic_Fundamental_Information_Concatenate("")</f>
        <v xml:space="preserve">
市值54.566688亿, 利润1.23亿; PE55.03; 平均PE31.72; 平均PEG1.96, PB1.98; ROIC7.8067%; ROE8.5833%; 股利率.7576%; 毛利41.2167%; 净利17.91%; 上一年度营收增5.2%, 利润增-44.09%; 当季营收增-21.15%, 利润增-29.61%; 过往5年营收增16.15%, 利润增5.5%
Income profile:
</v>
      </c>
      <c r="D14" t="s">
        <v>765</v>
      </c>
      <c r="E14" t="s">
        <v>766</v>
      </c>
      <c r="F14">
        <v>5.28</v>
      </c>
      <c r="G14">
        <v>0.56999999999999995</v>
      </c>
      <c r="H14" t="s">
        <v>1944</v>
      </c>
      <c r="I14">
        <v>5456668800</v>
      </c>
      <c r="J14">
        <v>55.03</v>
      </c>
      <c r="K14">
        <v>1.98</v>
      </c>
      <c r="L14" t="s">
        <v>1792</v>
      </c>
      <c r="M14" t="s">
        <v>1022</v>
      </c>
      <c r="N14" t="s">
        <v>1945</v>
      </c>
      <c r="O14" t="s">
        <v>117</v>
      </c>
      <c r="P14">
        <v>-21.04</v>
      </c>
      <c r="Q14" t="s">
        <v>1119</v>
      </c>
      <c r="R14">
        <v>56436647</v>
      </c>
      <c r="S14" s="6">
        <v>-0.29609999999999997</v>
      </c>
      <c r="T14" t="s">
        <v>58</v>
      </c>
      <c r="U14">
        <v>565463640</v>
      </c>
      <c r="V14">
        <v>1033460000</v>
      </c>
      <c r="W14">
        <v>1.21</v>
      </c>
      <c r="X14">
        <v>0.06</v>
      </c>
      <c r="Y14">
        <v>27.49</v>
      </c>
      <c r="Z14" t="s">
        <v>277</v>
      </c>
      <c r="AA14" t="s">
        <v>194</v>
      </c>
      <c r="AB14" t="s">
        <v>1946</v>
      </c>
      <c r="AC14" t="s">
        <v>1947</v>
      </c>
      <c r="AD14" t="s">
        <v>35</v>
      </c>
      <c r="AE14">
        <v>-9408644</v>
      </c>
      <c r="AF14" t="s">
        <v>102</v>
      </c>
      <c r="AG14" t="s">
        <v>1948</v>
      </c>
      <c r="AH14" t="s">
        <v>1283</v>
      </c>
      <c r="AI14" t="s">
        <v>1949</v>
      </c>
      <c r="AJ14" t="s">
        <v>1284</v>
      </c>
      <c r="AK14" t="s">
        <v>1950</v>
      </c>
      <c r="AL14" t="s">
        <v>1285</v>
      </c>
      <c r="AM14" t="s">
        <v>35</v>
      </c>
      <c r="AN14" t="s">
        <v>1951</v>
      </c>
      <c r="AO14" t="s">
        <v>35</v>
      </c>
      <c r="AP14" t="s">
        <v>1952</v>
      </c>
      <c r="AQ14" t="s">
        <v>132</v>
      </c>
      <c r="AR14" t="s">
        <v>35</v>
      </c>
      <c r="AS14" t="s">
        <v>988</v>
      </c>
      <c r="AT14" t="s">
        <v>35</v>
      </c>
      <c r="AU14" t="s">
        <v>445</v>
      </c>
      <c r="AV14" t="s">
        <v>1953</v>
      </c>
      <c r="AW14" t="s">
        <v>1954</v>
      </c>
      <c r="AX14" t="s">
        <v>940</v>
      </c>
      <c r="AY14" t="s">
        <v>842</v>
      </c>
      <c r="AZ14" t="s">
        <v>767</v>
      </c>
      <c r="BA14" t="s">
        <v>448</v>
      </c>
      <c r="BB14" t="s">
        <v>729</v>
      </c>
      <c r="BC14" t="s">
        <v>614</v>
      </c>
      <c r="BD14" t="s">
        <v>336</v>
      </c>
      <c r="BE14" t="s">
        <v>214</v>
      </c>
      <c r="BF14" t="s">
        <v>391</v>
      </c>
      <c r="BG14" t="s">
        <v>194</v>
      </c>
      <c r="BH14" t="s">
        <v>1119</v>
      </c>
      <c r="BI14" t="s">
        <v>588</v>
      </c>
      <c r="BJ14" t="s">
        <v>940</v>
      </c>
      <c r="BK14" t="s">
        <v>58</v>
      </c>
      <c r="BL14" t="s">
        <v>1286</v>
      </c>
      <c r="BM14" t="s">
        <v>614</v>
      </c>
      <c r="BN14">
        <v>7.66</v>
      </c>
      <c r="BO14">
        <v>7.97</v>
      </c>
      <c r="BP14">
        <v>7.79</v>
      </c>
      <c r="BQ14">
        <v>8.52</v>
      </c>
      <c r="BR14">
        <v>8.8699999999999992</v>
      </c>
      <c r="BS14">
        <v>8.36</v>
      </c>
      <c r="BT14" t="s">
        <v>950</v>
      </c>
      <c r="BU14" t="s">
        <v>733</v>
      </c>
      <c r="BV14">
        <v>41.69</v>
      </c>
      <c r="BW14">
        <v>39.86</v>
      </c>
      <c r="BX14">
        <v>42.1</v>
      </c>
      <c r="BY14">
        <v>11.46</v>
      </c>
      <c r="BZ14">
        <v>21.48</v>
      </c>
      <c r="CA14">
        <v>20.79</v>
      </c>
      <c r="CB14">
        <v>-3.83</v>
      </c>
      <c r="CC14">
        <v>-10.51</v>
      </c>
      <c r="CD14" t="s">
        <v>1955</v>
      </c>
      <c r="CE14" t="s">
        <v>577</v>
      </c>
      <c r="CF14" s="8">
        <v>-0.21153846153846165</v>
      </c>
      <c r="CG14" s="9">
        <v>-0.29605627144605168</v>
      </c>
      <c r="CH14" s="8">
        <v>5.1960784941911697E-2</v>
      </c>
      <c r="CI14" s="8">
        <v>6.3607923686504364E-2</v>
      </c>
      <c r="CJ14" s="8">
        <v>0.17094017565250397</v>
      </c>
      <c r="CK14" s="8">
        <v>0.19040697813034058</v>
      </c>
      <c r="CL14" s="8">
        <v>0.33075433969497681</v>
      </c>
      <c r="CM14" s="9">
        <v>-0.44090908765792847</v>
      </c>
      <c r="CN14" s="9">
        <v>0.10000000149011612</v>
      </c>
      <c r="CO14" s="9">
        <v>4.1666667908430099E-2</v>
      </c>
      <c r="CP14" s="9">
        <v>7.8651688992977142E-2</v>
      </c>
      <c r="CQ14" s="9">
        <v>0.49579831957817078</v>
      </c>
      <c r="CR14">
        <v>31.724818604651162</v>
      </c>
      <c r="CS14">
        <v>1.9639710937657087</v>
      </c>
      <c r="CT14">
        <v>0.75757575757575757</v>
      </c>
      <c r="CU14" s="8">
        <v>0.16153404042124747</v>
      </c>
      <c r="CV14" s="9">
        <v>5.5041518062353134E-2</v>
      </c>
      <c r="CW14">
        <v>0.06</v>
      </c>
      <c r="CX14">
        <v>24.466725369217066</v>
      </c>
      <c r="CY14">
        <v>134781780.16208816</v>
      </c>
      <c r="CZ14">
        <v>0.16153404042124747</v>
      </c>
      <c r="DA14">
        <v>7.5293313287733392</v>
      </c>
      <c r="DB14">
        <v>437976316.35600346</v>
      </c>
      <c r="DC14">
        <v>0.15345733840018508</v>
      </c>
      <c r="DD14">
        <v>3.4132454112356614</v>
      </c>
      <c r="DE14">
        <v>966138792.46560812</v>
      </c>
      <c r="DF14">
        <v>0.14214995557069779</v>
      </c>
      <c r="DG14">
        <v>1.8622612934683247</v>
      </c>
      <c r="DH14">
        <v>1770787381.7526081</v>
      </c>
      <c r="DI14">
        <v>0.12922723233699798</v>
      </c>
      <c r="DJ14">
        <v>0.77158372230781258</v>
      </c>
      <c r="DK14">
        <v>4273896279.3780155</v>
      </c>
      <c r="DL14">
        <v>0.11307382829487322</v>
      </c>
      <c r="DM14">
        <v>123000000</v>
      </c>
      <c r="DN14">
        <v>0.16153404042124747</v>
      </c>
      <c r="DO14">
        <v>3297668800</v>
      </c>
      <c r="DP14">
        <v>1644189100</v>
      </c>
      <c r="DQ14">
        <v>1141</v>
      </c>
      <c r="DR14">
        <v>-0.37307250195970909</v>
      </c>
      <c r="DS14">
        <v>-0.35109778950840481</v>
      </c>
      <c r="DT14" s="10">
        <v>-9.000000000000008E-2</v>
      </c>
      <c r="DU14">
        <v>-0.28666666666666668</v>
      </c>
      <c r="DV14">
        <v>-0.37666666666666676</v>
      </c>
      <c r="DW14">
        <v>-8.36441484300666</v>
      </c>
      <c r="DX14">
        <v>0.26172409638554256</v>
      </c>
      <c r="DY14">
        <v>-8.0297814737541984</v>
      </c>
      <c r="DZ14">
        <v>2632</v>
      </c>
      <c r="EA14">
        <v>-8.014441974943816</v>
      </c>
      <c r="EB14">
        <v>8</v>
      </c>
      <c r="EC14">
        <v>1.9690457298782729E-2</v>
      </c>
      <c r="ED14">
        <v>0.24093820757455542</v>
      </c>
      <c r="EE14" s="11">
        <v>-2.0219</v>
      </c>
      <c r="EF14">
        <v>-2.0017100000000001</v>
      </c>
      <c r="EG14">
        <v>18.081724096385543</v>
      </c>
      <c r="EH14" t="s">
        <v>1114</v>
      </c>
      <c r="EI14">
        <v>0</v>
      </c>
      <c r="EJ14">
        <v>0</v>
      </c>
      <c r="EK14" s="13">
        <v>45470</v>
      </c>
      <c r="EL14" s="14">
        <v>-0.18</v>
      </c>
      <c r="EM14" s="14">
        <v>-4.71</v>
      </c>
      <c r="EN14" s="14">
        <v>1.1399999999999999</v>
      </c>
      <c r="EO14" s="14">
        <v>3.38</v>
      </c>
      <c r="EP14" s="14">
        <v>-2.36</v>
      </c>
    </row>
    <row r="15" spans="1:146" ht="96" x14ac:dyDescent="0.25">
      <c r="A15" s="7"/>
      <c r="B15" s="7"/>
      <c r="C15" s="7" t="str">
        <f>""&amp;CHAR(10)&amp;Basic_Fundamental_Information_Constructure(F15)&amp;CHAR(10)&amp;Basic_Fundamental_Information_Concatenate("")</f>
        <v xml:space="preserve">
市值25.602117亿, 利润5397.55万; PE125.6; 平均PE26.88; 平均PEG1.42, PB1.34; ROIC11.5%; ROE13.2133%; 股利率0%; 毛利42.6233%; 净利17.5967%; 上一年度营收增-28.21%, 利润增-75.01%; 当季营收增-63.36%, 利润增-158.84%; 过往5年营收增18.94%, 利润增157.17%
Income profile:
</v>
      </c>
      <c r="D15" t="s">
        <v>128</v>
      </c>
      <c r="E15" t="s">
        <v>11</v>
      </c>
      <c r="F15">
        <v>12.32</v>
      </c>
      <c r="G15">
        <v>0.08</v>
      </c>
      <c r="H15" t="s">
        <v>1956</v>
      </c>
      <c r="I15">
        <v>2560211700</v>
      </c>
      <c r="J15">
        <v>125.6</v>
      </c>
      <c r="K15">
        <v>1.34</v>
      </c>
      <c r="L15" t="s">
        <v>1792</v>
      </c>
      <c r="M15" t="s">
        <v>1287</v>
      </c>
      <c r="N15" t="s">
        <v>1957</v>
      </c>
      <c r="O15" t="s">
        <v>1288</v>
      </c>
      <c r="P15">
        <v>-63.41</v>
      </c>
      <c r="Q15" t="s">
        <v>1289</v>
      </c>
      <c r="R15">
        <v>-12441024</v>
      </c>
      <c r="S15" s="6">
        <v>-1.5880000000000001</v>
      </c>
      <c r="T15" t="s">
        <v>1290</v>
      </c>
      <c r="U15">
        <v>143425570</v>
      </c>
      <c r="V15">
        <v>207809390</v>
      </c>
      <c r="W15">
        <v>1.31</v>
      </c>
      <c r="X15">
        <v>0.02</v>
      </c>
      <c r="Y15">
        <v>-35.51</v>
      </c>
      <c r="Z15" t="s">
        <v>1958</v>
      </c>
      <c r="AA15" t="s">
        <v>1959</v>
      </c>
      <c r="AB15" t="s">
        <v>1960</v>
      </c>
      <c r="AC15" t="s">
        <v>1961</v>
      </c>
      <c r="AD15" t="s">
        <v>35</v>
      </c>
      <c r="AE15">
        <v>357052</v>
      </c>
      <c r="AF15" t="s">
        <v>1291</v>
      </c>
      <c r="AG15" t="s">
        <v>1962</v>
      </c>
      <c r="AH15" t="s">
        <v>1292</v>
      </c>
      <c r="AI15" t="s">
        <v>195</v>
      </c>
      <c r="AJ15" t="s">
        <v>1293</v>
      </c>
      <c r="AK15" t="s">
        <v>1963</v>
      </c>
      <c r="AL15" t="s">
        <v>1294</v>
      </c>
      <c r="AM15" t="s">
        <v>35</v>
      </c>
      <c r="AN15" t="s">
        <v>1295</v>
      </c>
      <c r="AO15" t="s">
        <v>1964</v>
      </c>
      <c r="AP15" t="s">
        <v>1965</v>
      </c>
      <c r="AQ15" t="s">
        <v>619</v>
      </c>
      <c r="AR15" t="s">
        <v>35</v>
      </c>
      <c r="AS15" t="s">
        <v>1762</v>
      </c>
      <c r="AT15" t="s">
        <v>35</v>
      </c>
      <c r="AU15" t="s">
        <v>1966</v>
      </c>
      <c r="AV15" t="s">
        <v>1967</v>
      </c>
      <c r="AW15" t="s">
        <v>1968</v>
      </c>
      <c r="AX15" t="s">
        <v>360</v>
      </c>
      <c r="AY15" t="s">
        <v>843</v>
      </c>
      <c r="AZ15" t="s">
        <v>396</v>
      </c>
      <c r="BA15" t="s">
        <v>129</v>
      </c>
      <c r="BB15" t="s">
        <v>99</v>
      </c>
      <c r="BC15" t="s">
        <v>323</v>
      </c>
      <c r="BD15" t="s">
        <v>150</v>
      </c>
      <c r="BE15" t="s">
        <v>357</v>
      </c>
      <c r="BF15" t="s">
        <v>130</v>
      </c>
      <c r="BG15" t="s">
        <v>398</v>
      </c>
      <c r="BH15" t="s">
        <v>1289</v>
      </c>
      <c r="BI15" t="s">
        <v>58</v>
      </c>
      <c r="BJ15" t="s">
        <v>360</v>
      </c>
      <c r="BK15" t="s">
        <v>1290</v>
      </c>
      <c r="BL15" t="s">
        <v>1296</v>
      </c>
      <c r="BM15" t="s">
        <v>323</v>
      </c>
      <c r="BN15">
        <v>5.77</v>
      </c>
      <c r="BO15">
        <v>15.59</v>
      </c>
      <c r="BP15">
        <v>13.14</v>
      </c>
      <c r="BQ15">
        <v>6.45</v>
      </c>
      <c r="BR15">
        <v>17.989999999999998</v>
      </c>
      <c r="BS15">
        <v>15.2</v>
      </c>
      <c r="BT15" t="s">
        <v>948</v>
      </c>
      <c r="BU15" t="s">
        <v>844</v>
      </c>
      <c r="BV15">
        <v>36.08</v>
      </c>
      <c r="BW15">
        <v>44.82</v>
      </c>
      <c r="BX15">
        <v>46.97</v>
      </c>
      <c r="BY15">
        <v>7.47</v>
      </c>
      <c r="BZ15">
        <v>22.21</v>
      </c>
      <c r="CA15">
        <v>23.11</v>
      </c>
      <c r="CB15">
        <v>-7.99</v>
      </c>
      <c r="CC15">
        <v>-23.14</v>
      </c>
      <c r="CD15" t="s">
        <v>1969</v>
      </c>
      <c r="CE15" t="s">
        <v>611</v>
      </c>
      <c r="CF15" s="8">
        <v>-0.63356422764227638</v>
      </c>
      <c r="CG15" s="9">
        <v>-1.5883783093555801</v>
      </c>
      <c r="CH15" s="8">
        <v>-0.2821229100227356</v>
      </c>
      <c r="CI15" s="8">
        <v>0.3984375</v>
      </c>
      <c r="CJ15" s="8">
        <v>0.12116788327693939</v>
      </c>
      <c r="CK15" s="8">
        <v>0.71679198741912842</v>
      </c>
      <c r="CL15" s="8">
        <v>-7.4626863934099674E-3</v>
      </c>
      <c r="CM15" s="9">
        <v>-0.75011342763900757</v>
      </c>
      <c r="CN15" s="9">
        <v>0.34161490201950073</v>
      </c>
      <c r="CO15" s="9">
        <v>0.4636363685131073</v>
      </c>
      <c r="CP15" s="9">
        <v>8.154536247253418</v>
      </c>
      <c r="CQ15" s="9">
        <v>-0.35095149278640747</v>
      </c>
      <c r="CR15">
        <v>26.878651349201974</v>
      </c>
      <c r="CS15">
        <v>1.4194295043301488</v>
      </c>
      <c r="CT15">
        <v>0</v>
      </c>
      <c r="CU15" s="8">
        <v>0.18936235485598446</v>
      </c>
      <c r="CV15" s="9">
        <v>1.5717445194721222</v>
      </c>
      <c r="CW15">
        <v>0.06</v>
      </c>
      <c r="CX15">
        <v>20.857926962763013</v>
      </c>
      <c r="CY15">
        <v>60562667.721253946</v>
      </c>
      <c r="CZ15">
        <v>0.18936235485598446</v>
      </c>
      <c r="DA15">
        <v>6.2722465832435601</v>
      </c>
      <c r="DB15">
        <v>201397008.74877861</v>
      </c>
      <c r="DC15">
        <v>0.17989423711318522</v>
      </c>
      <c r="DD15">
        <v>2.7518067933134192</v>
      </c>
      <c r="DE15">
        <v>459048107.25428188</v>
      </c>
      <c r="DF15">
        <v>0.16663887227326632</v>
      </c>
      <c r="DG15">
        <v>1.4431874174880843</v>
      </c>
      <c r="DH15">
        <v>875292900.07160819</v>
      </c>
      <c r="DI15">
        <v>0.15148988388478757</v>
      </c>
      <c r="DJ15">
        <v>0.54343456770412335</v>
      </c>
      <c r="DK15">
        <v>2324496406.8751774</v>
      </c>
      <c r="DL15">
        <v>0.13255364839918912</v>
      </c>
      <c r="DM15">
        <v>53975500</v>
      </c>
      <c r="DN15">
        <v>0.18936235485598446</v>
      </c>
      <c r="DO15">
        <v>1263211700</v>
      </c>
      <c r="DP15">
        <v>1436057700</v>
      </c>
      <c r="DQ15">
        <v>1300</v>
      </c>
      <c r="DR15">
        <v>-0.82292658249826078</v>
      </c>
      <c r="DS15">
        <v>-3.1601228288277023</v>
      </c>
      <c r="DT15" s="10">
        <v>-0.22333333333333338</v>
      </c>
      <c r="DU15">
        <v>-0.60333333333333328</v>
      </c>
      <c r="DV15">
        <v>-0.82666666666666666</v>
      </c>
      <c r="DW15">
        <v>-9.3452895419187563</v>
      </c>
      <c r="DX15">
        <v>0.34787393617021434</v>
      </c>
      <c r="DY15">
        <v>-9.0441535328435609</v>
      </c>
      <c r="DZ15">
        <v>3378</v>
      </c>
      <c r="EA15">
        <v>-9.0149655418561743</v>
      </c>
      <c r="EB15">
        <v>9</v>
      </c>
      <c r="EC15">
        <v>0.11568437788109577</v>
      </c>
      <c r="ED15">
        <v>0.90467519297371501</v>
      </c>
      <c r="EE15" s="11">
        <v>-1.0215000000000001</v>
      </c>
      <c r="EF15">
        <v>-1.01651</v>
      </c>
      <c r="EG15">
        <v>22.127873936170214</v>
      </c>
      <c r="EH15" t="s">
        <v>971</v>
      </c>
      <c r="EI15">
        <v>0</v>
      </c>
      <c r="EJ15">
        <v>0</v>
      </c>
      <c r="EK15" s="13">
        <v>45470</v>
      </c>
      <c r="EL15" s="14">
        <v>1.72</v>
      </c>
      <c r="EM15" s="14">
        <v>-6.75</v>
      </c>
      <c r="EN15" s="14">
        <v>-0.83</v>
      </c>
      <c r="EO15" s="14">
        <v>3.95</v>
      </c>
      <c r="EP15" s="14">
        <v>-3.8</v>
      </c>
    </row>
    <row r="16" spans="1:146" ht="96" x14ac:dyDescent="0.25">
      <c r="A16" s="7"/>
      <c r="B16" s="7"/>
      <c r="C16" s="7" t="str">
        <f>""&amp;CHAR(10)&amp;Basic_Fundamental_Information_Constructure(F16)&amp;CHAR(10)&amp;Basic_Fundamental_Information_Concatenate("")</f>
        <v xml:space="preserve">
市值26.02823亿, 利润1425.08万; PE127.1; 平均PE47.17; 平均PEG4.16, PB1.77; ROIC.58%; ROE-1.0967%; 股利率.1127%; 毛利38%; 净利-10.03%; 上一年度营收增117.8%, 利润增124.72%; 当季营收增107.7%, 利润增52.33%; 过往5年营收增11.33%, 利润增-607.48%
Income profile:
</v>
      </c>
      <c r="D16" t="s">
        <v>134</v>
      </c>
      <c r="E16" t="s">
        <v>26</v>
      </c>
      <c r="F16">
        <v>22.18</v>
      </c>
      <c r="G16">
        <v>0.86</v>
      </c>
      <c r="H16" t="s">
        <v>1970</v>
      </c>
      <c r="I16">
        <v>2602823000</v>
      </c>
      <c r="J16">
        <v>127.1</v>
      </c>
      <c r="K16">
        <v>1.77</v>
      </c>
      <c r="L16" t="s">
        <v>1792</v>
      </c>
      <c r="M16" t="s">
        <v>1155</v>
      </c>
      <c r="N16" t="s">
        <v>1971</v>
      </c>
      <c r="O16" t="s">
        <v>1297</v>
      </c>
      <c r="P16">
        <v>107.7</v>
      </c>
      <c r="Q16" t="s">
        <v>1298</v>
      </c>
      <c r="R16">
        <v>-5674241</v>
      </c>
      <c r="S16" s="6">
        <v>0.52329999999999999</v>
      </c>
      <c r="T16" t="s">
        <v>1299</v>
      </c>
      <c r="U16">
        <v>113985547</v>
      </c>
      <c r="V16">
        <v>117350000</v>
      </c>
      <c r="W16">
        <v>1.65</v>
      </c>
      <c r="X16">
        <v>0.04</v>
      </c>
      <c r="Y16">
        <v>-6.2</v>
      </c>
      <c r="Z16" t="s">
        <v>1972</v>
      </c>
      <c r="AA16" t="s">
        <v>1973</v>
      </c>
      <c r="AB16" t="s">
        <v>1974</v>
      </c>
      <c r="AC16" t="s">
        <v>1975</v>
      </c>
      <c r="AD16" t="s">
        <v>35</v>
      </c>
      <c r="AE16">
        <v>-2433874</v>
      </c>
      <c r="AF16" t="s">
        <v>1300</v>
      </c>
      <c r="AG16" t="s">
        <v>1976</v>
      </c>
      <c r="AH16" t="s">
        <v>1301</v>
      </c>
      <c r="AI16" t="s">
        <v>1977</v>
      </c>
      <c r="AJ16" t="s">
        <v>1302</v>
      </c>
      <c r="AK16" t="s">
        <v>1978</v>
      </c>
      <c r="AL16" t="s">
        <v>1303</v>
      </c>
      <c r="AM16" t="s">
        <v>35</v>
      </c>
      <c r="AN16" t="s">
        <v>1304</v>
      </c>
      <c r="AO16" t="s">
        <v>35</v>
      </c>
      <c r="AP16" t="s">
        <v>1979</v>
      </c>
      <c r="AQ16" t="s">
        <v>431</v>
      </c>
      <c r="AR16" t="s">
        <v>35</v>
      </c>
      <c r="AS16" t="s">
        <v>339</v>
      </c>
      <c r="AT16" t="s">
        <v>996</v>
      </c>
      <c r="AU16" t="s">
        <v>1980</v>
      </c>
      <c r="AV16" t="s">
        <v>1981</v>
      </c>
      <c r="AW16" t="s">
        <v>1982</v>
      </c>
      <c r="AX16" t="s">
        <v>206</v>
      </c>
      <c r="AY16" t="s">
        <v>655</v>
      </c>
      <c r="AZ16" t="s">
        <v>399</v>
      </c>
      <c r="BA16" t="s">
        <v>136</v>
      </c>
      <c r="BB16" t="s">
        <v>402</v>
      </c>
      <c r="BC16" t="s">
        <v>1306</v>
      </c>
      <c r="BD16" t="s">
        <v>687</v>
      </c>
      <c r="BE16" t="s">
        <v>400</v>
      </c>
      <c r="BF16" t="s">
        <v>71</v>
      </c>
      <c r="BG16" t="s">
        <v>100</v>
      </c>
      <c r="BH16" t="s">
        <v>1298</v>
      </c>
      <c r="BI16" t="s">
        <v>1307</v>
      </c>
      <c r="BJ16" t="s">
        <v>206</v>
      </c>
      <c r="BK16" t="s">
        <v>1299</v>
      </c>
      <c r="BL16" t="s">
        <v>1308</v>
      </c>
      <c r="BM16" t="s">
        <v>1306</v>
      </c>
      <c r="BN16">
        <v>0.57999999999999996</v>
      </c>
      <c r="BO16" t="s">
        <v>35</v>
      </c>
      <c r="BP16" t="s">
        <v>35</v>
      </c>
      <c r="BQ16">
        <v>0.94</v>
      </c>
      <c r="BR16">
        <v>-4.1100000000000003</v>
      </c>
      <c r="BS16">
        <v>-0.12</v>
      </c>
      <c r="BT16" t="s">
        <v>1265</v>
      </c>
      <c r="BU16" t="s">
        <v>733</v>
      </c>
      <c r="BV16">
        <v>31.93</v>
      </c>
      <c r="BW16">
        <v>31.63</v>
      </c>
      <c r="BX16">
        <v>50.44</v>
      </c>
      <c r="BY16">
        <v>2.98</v>
      </c>
      <c r="BZ16">
        <v>-31.74</v>
      </c>
      <c r="CA16">
        <v>-1.33</v>
      </c>
      <c r="CB16">
        <v>-3.19</v>
      </c>
      <c r="CC16">
        <v>-17.39</v>
      </c>
      <c r="CD16" t="s">
        <v>1983</v>
      </c>
      <c r="CE16" t="s">
        <v>1984</v>
      </c>
      <c r="CF16" s="8">
        <v>1.0769834233850215</v>
      </c>
      <c r="CG16" s="9">
        <v>0.52326516723658456</v>
      </c>
      <c r="CH16" s="8">
        <v>1.1780104637145996</v>
      </c>
      <c r="CI16" s="8">
        <v>-0.22357723116874695</v>
      </c>
      <c r="CJ16" s="8">
        <v>-0.23125000298023224</v>
      </c>
      <c r="CK16" s="8">
        <v>-0.13279132544994354</v>
      </c>
      <c r="CL16" s="8">
        <v>-2.380952425301075E-2</v>
      </c>
      <c r="CM16" s="9">
        <v>1.2472127676010132</v>
      </c>
      <c r="CN16" s="9">
        <v>-30.291879653930664</v>
      </c>
      <c r="CO16" s="9">
        <v>-1.018733024597168</v>
      </c>
      <c r="CP16" s="9">
        <v>-0.28219124674797058</v>
      </c>
      <c r="CQ16" s="9">
        <v>-2.8368793427944183E-2</v>
      </c>
      <c r="CR16">
        <v>47.166475638208709</v>
      </c>
      <c r="CS16">
        <v>4.1623669667984897</v>
      </c>
      <c r="CT16">
        <v>0.1127141568981064</v>
      </c>
      <c r="CU16" s="8">
        <v>0.11331647597253322</v>
      </c>
      <c r="CV16" s="9">
        <v>-6.0747919902205467</v>
      </c>
      <c r="CW16">
        <v>0.06</v>
      </c>
      <c r="CX16">
        <v>140.49171126144878</v>
      </c>
      <c r="CY16">
        <v>14967594.750744693</v>
      </c>
      <c r="CZ16">
        <v>0.11331647597253322</v>
      </c>
      <c r="DA16">
        <v>45.016162189367314</v>
      </c>
      <c r="DB16">
        <v>46712622.705466449</v>
      </c>
      <c r="DC16">
        <v>0.10765065217390656</v>
      </c>
      <c r="DD16">
        <v>21.579467953779726</v>
      </c>
      <c r="DE16">
        <v>97445544.278661534</v>
      </c>
      <c r="DF16">
        <v>9.971849885582923E-2</v>
      </c>
      <c r="DG16">
        <v>12.572282202860556</v>
      </c>
      <c r="DH16">
        <v>167258654.0828321</v>
      </c>
      <c r="DI16">
        <v>9.0653180778026587E-2</v>
      </c>
      <c r="DJ16">
        <v>6.0702680533860676</v>
      </c>
      <c r="DK16">
        <v>346413532.56665832</v>
      </c>
      <c r="DL16">
        <v>7.9321533180773243E-2</v>
      </c>
      <c r="DM16">
        <v>14250800</v>
      </c>
      <c r="DN16">
        <v>0.11331647597253322</v>
      </c>
      <c r="DO16">
        <v>2102823000</v>
      </c>
      <c r="DP16">
        <v>1534254500</v>
      </c>
      <c r="DQ16">
        <v>1396</v>
      </c>
      <c r="DR16">
        <v>0.96366694741248826</v>
      </c>
      <c r="DS16">
        <v>6.5980571574571316</v>
      </c>
      <c r="DT16" s="10">
        <v>-0.39000000000000007</v>
      </c>
      <c r="DU16">
        <v>-2.081666666666667</v>
      </c>
      <c r="DV16">
        <v>-2.4716666666666671</v>
      </c>
      <c r="DW16">
        <v>-8.1834387579068437</v>
      </c>
      <c r="DX16">
        <v>0.42171115875125692</v>
      </c>
      <c r="DY16">
        <v>-8.0223265437847342</v>
      </c>
      <c r="DZ16">
        <v>4664</v>
      </c>
      <c r="EA16">
        <v>-8.0019486572461815</v>
      </c>
      <c r="EB16">
        <v>8</v>
      </c>
      <c r="EC16">
        <v>5.0169578184916915E-2</v>
      </c>
      <c r="ED16">
        <v>0.41220195994887082</v>
      </c>
      <c r="EE16" s="11">
        <v>3.0322</v>
      </c>
      <c r="EF16">
        <v>3.0219999999999998</v>
      </c>
      <c r="EG16">
        <v>30.121711158751257</v>
      </c>
      <c r="EH16" t="s">
        <v>970</v>
      </c>
      <c r="EI16">
        <v>0</v>
      </c>
      <c r="EJ16">
        <v>0</v>
      </c>
      <c r="EK16" s="13">
        <v>45470</v>
      </c>
      <c r="EL16" s="14">
        <v>0.26</v>
      </c>
      <c r="EM16" s="14">
        <v>-4.3499999999999996</v>
      </c>
      <c r="EN16" s="14">
        <v>0.32</v>
      </c>
      <c r="EO16" s="14">
        <v>2.4900000000000002</v>
      </c>
      <c r="EP16" s="14">
        <v>-1.02</v>
      </c>
    </row>
    <row r="17" spans="1:146" ht="96" x14ac:dyDescent="0.25">
      <c r="A17" s="3"/>
      <c r="B17" s="3"/>
      <c r="C17" s="7" t="str">
        <f>""&amp;CHAR(10)&amp;Basic_Fundamental_Information_Constructure(F17)&amp;CHAR(10)&amp;Basic_Fundamental_Information_Concatenate("")</f>
        <v xml:space="preserve">
市值69.125105亿, 利润2.17亿; PE44.36; 平均PE25.41; 平均PEG.91, PB2.59; ROIC14.87%; ROE14.0067%; 股利率.3361%; 毛利68.6367%; 净利38.3567%; 上一年度营收增-4.41%, 利润增-31.11%; 当季营收增-23.81%, 利润增-45.62%; 过往5年营收增27.91%, 利润增13.49%
Income profile:
</v>
      </c>
      <c r="D17" t="s">
        <v>144</v>
      </c>
      <c r="E17" t="s">
        <v>145</v>
      </c>
      <c r="F17">
        <v>20.83</v>
      </c>
      <c r="G17">
        <v>0.19</v>
      </c>
      <c r="H17" t="s">
        <v>1985</v>
      </c>
      <c r="I17">
        <v>6912510500</v>
      </c>
      <c r="J17">
        <v>44.36</v>
      </c>
      <c r="K17">
        <v>2.59</v>
      </c>
      <c r="L17" t="s">
        <v>1792</v>
      </c>
      <c r="M17" t="s">
        <v>320</v>
      </c>
      <c r="N17" t="s">
        <v>1244</v>
      </c>
      <c r="O17" t="s">
        <v>81</v>
      </c>
      <c r="P17">
        <v>-23.71</v>
      </c>
      <c r="Q17" t="s">
        <v>1311</v>
      </c>
      <c r="R17">
        <v>73411283</v>
      </c>
      <c r="S17" s="6">
        <v>-0.45629999999999998</v>
      </c>
      <c r="T17" t="s">
        <v>828</v>
      </c>
      <c r="U17">
        <v>207284400</v>
      </c>
      <c r="V17">
        <v>331853600</v>
      </c>
      <c r="W17">
        <v>1.52</v>
      </c>
      <c r="X17">
        <v>0.05</v>
      </c>
      <c r="Y17">
        <v>37.340000000000003</v>
      </c>
      <c r="Z17" t="s">
        <v>209</v>
      </c>
      <c r="AA17" t="s">
        <v>1986</v>
      </c>
      <c r="AB17" t="s">
        <v>1987</v>
      </c>
      <c r="AC17" t="s">
        <v>1988</v>
      </c>
      <c r="AD17" t="s">
        <v>35</v>
      </c>
      <c r="AE17">
        <v>-1408177</v>
      </c>
      <c r="AF17" t="s">
        <v>1312</v>
      </c>
      <c r="AG17">
        <v>2.61</v>
      </c>
      <c r="AH17" t="s">
        <v>1313</v>
      </c>
      <c r="AI17" t="s">
        <v>1788</v>
      </c>
      <c r="AJ17" t="s">
        <v>1315</v>
      </c>
      <c r="AK17" t="s">
        <v>1989</v>
      </c>
      <c r="AL17" t="s">
        <v>1316</v>
      </c>
      <c r="AM17" t="s">
        <v>35</v>
      </c>
      <c r="AN17" t="s">
        <v>1990</v>
      </c>
      <c r="AO17" t="s">
        <v>35</v>
      </c>
      <c r="AP17" t="s">
        <v>1991</v>
      </c>
      <c r="AQ17" t="s">
        <v>1003</v>
      </c>
      <c r="AR17" t="s">
        <v>1992</v>
      </c>
      <c r="AS17" t="s">
        <v>1127</v>
      </c>
      <c r="AT17" t="s">
        <v>936</v>
      </c>
      <c r="AU17" t="s">
        <v>1993</v>
      </c>
      <c r="AV17" t="s">
        <v>1994</v>
      </c>
      <c r="AW17" t="s">
        <v>60</v>
      </c>
      <c r="AX17" t="s">
        <v>711</v>
      </c>
      <c r="AY17" t="s">
        <v>845</v>
      </c>
      <c r="AZ17" t="s">
        <v>405</v>
      </c>
      <c r="BA17" t="s">
        <v>146</v>
      </c>
      <c r="BB17" t="s">
        <v>241</v>
      </c>
      <c r="BC17" t="s">
        <v>287</v>
      </c>
      <c r="BD17" t="s">
        <v>627</v>
      </c>
      <c r="BE17" t="s">
        <v>173</v>
      </c>
      <c r="BF17" t="s">
        <v>147</v>
      </c>
      <c r="BG17" t="s">
        <v>55</v>
      </c>
      <c r="BH17" t="s">
        <v>1311</v>
      </c>
      <c r="BI17" t="s">
        <v>287</v>
      </c>
      <c r="BJ17" t="s">
        <v>711</v>
      </c>
      <c r="BK17" t="s">
        <v>828</v>
      </c>
      <c r="BL17" t="s">
        <v>225</v>
      </c>
      <c r="BM17" t="s">
        <v>287</v>
      </c>
      <c r="BN17">
        <v>10.33</v>
      </c>
      <c r="BO17">
        <v>12.38</v>
      </c>
      <c r="BP17">
        <v>21.9</v>
      </c>
      <c r="BQ17">
        <v>11.11</v>
      </c>
      <c r="BR17">
        <v>12.17</v>
      </c>
      <c r="BS17">
        <v>18.739999999999998</v>
      </c>
      <c r="BT17" t="s">
        <v>1049</v>
      </c>
      <c r="BU17" t="s">
        <v>733</v>
      </c>
      <c r="BV17">
        <v>59.78</v>
      </c>
      <c r="BW17">
        <v>67.2</v>
      </c>
      <c r="BX17">
        <v>78.930000000000007</v>
      </c>
      <c r="BY17">
        <v>26.82</v>
      </c>
      <c r="BZ17">
        <v>39.72</v>
      </c>
      <c r="CA17">
        <v>48.53</v>
      </c>
      <c r="CB17">
        <v>-5.45</v>
      </c>
      <c r="CC17">
        <v>-25.82</v>
      </c>
      <c r="CD17" t="s">
        <v>1995</v>
      </c>
      <c r="CE17" t="s">
        <v>278</v>
      </c>
      <c r="CF17" s="8">
        <v>-0.23809523809523808</v>
      </c>
      <c r="CG17" s="9">
        <v>-0.45621271851851852</v>
      </c>
      <c r="CH17" s="8">
        <v>-4.4088177382946014E-2</v>
      </c>
      <c r="CI17" s="8">
        <v>-0.11837455630302429</v>
      </c>
      <c r="CJ17" s="8">
        <v>0.647743821144104</v>
      </c>
      <c r="CK17" s="8">
        <v>0.65942031145095825</v>
      </c>
      <c r="CL17" s="8">
        <v>0.25075528025627136</v>
      </c>
      <c r="CM17" s="9">
        <v>-0.31111112236976624</v>
      </c>
      <c r="CN17" s="9">
        <v>-0.25355449318885803</v>
      </c>
      <c r="CO17" s="9">
        <v>0.33544304966926575</v>
      </c>
      <c r="CP17" s="9">
        <v>0.49056604504585266</v>
      </c>
      <c r="CQ17" s="9">
        <v>0.41333332657814026</v>
      </c>
      <c r="CR17">
        <v>25.413641544117645</v>
      </c>
      <c r="CS17">
        <v>0.91058511251376861</v>
      </c>
      <c r="CT17">
        <v>0.33605376860297648</v>
      </c>
      <c r="CU17" s="8">
        <v>0.27909133583307266</v>
      </c>
      <c r="CV17" s="9">
        <v>0.13493536114692689</v>
      </c>
      <c r="CW17">
        <v>0.06</v>
      </c>
      <c r="CX17">
        <v>18.669003047018773</v>
      </c>
      <c r="CY17">
        <v>261851716.86394036</v>
      </c>
      <c r="CZ17">
        <v>0.27909133583307266</v>
      </c>
      <c r="DA17">
        <v>5.2169095617213603</v>
      </c>
      <c r="DB17">
        <v>937051034.17338097</v>
      </c>
      <c r="DC17">
        <v>0.26513676904141903</v>
      </c>
      <c r="DD17">
        <v>2.0556671296291409</v>
      </c>
      <c r="DE17">
        <v>2378065217.6317706</v>
      </c>
      <c r="DF17">
        <v>0.24560037553310393</v>
      </c>
      <c r="DG17">
        <v>0.94268779886572351</v>
      </c>
      <c r="DH17">
        <v>5185715255.7633982</v>
      </c>
      <c r="DI17">
        <v>0.22327306866645813</v>
      </c>
      <c r="DJ17">
        <v>0.25350010474788498</v>
      </c>
      <c r="DK17">
        <v>19284057120.456818</v>
      </c>
      <c r="DL17">
        <v>0.19536393508315086</v>
      </c>
      <c r="DM17">
        <v>217000000</v>
      </c>
      <c r="DN17">
        <v>0.27909133583307266</v>
      </c>
      <c r="DO17">
        <v>4888510500</v>
      </c>
      <c r="DP17">
        <v>2183107200</v>
      </c>
      <c r="DQ17">
        <v>1443</v>
      </c>
      <c r="DR17">
        <v>-0.5171865739283108</v>
      </c>
      <c r="DS17">
        <v>-0.59114807966544536</v>
      </c>
      <c r="DT17" s="10">
        <v>0.16</v>
      </c>
      <c r="DU17">
        <v>-0.18666666666666673</v>
      </c>
      <c r="DV17">
        <v>-2.6666666666666727E-2</v>
      </c>
      <c r="DW17">
        <v>-8.2110766847405117</v>
      </c>
      <c r="DX17">
        <v>0.31421583333333314</v>
      </c>
      <c r="DY17">
        <v>-8.0198867657500639</v>
      </c>
      <c r="DZ17">
        <v>1779</v>
      </c>
      <c r="EA17">
        <v>-8.0129633692198556</v>
      </c>
      <c r="EB17">
        <v>8</v>
      </c>
      <c r="EC17">
        <v>3.4068938833268649E-2</v>
      </c>
      <c r="ED17">
        <v>0.36160523797240712</v>
      </c>
      <c r="EE17" s="11">
        <v>-2.00251</v>
      </c>
      <c r="EF17">
        <v>-2.0316100000000001</v>
      </c>
      <c r="EG17">
        <v>22.094215833333333</v>
      </c>
      <c r="EH17" t="s">
        <v>1114</v>
      </c>
      <c r="EI17">
        <v>0</v>
      </c>
      <c r="EJ17">
        <v>0</v>
      </c>
      <c r="EK17" s="13">
        <v>45470</v>
      </c>
      <c r="EL17" s="14">
        <v>-0.66</v>
      </c>
      <c r="EM17" s="14">
        <v>-4.1500000000000004</v>
      </c>
      <c r="EN17" s="14">
        <v>0.78</v>
      </c>
      <c r="EO17" s="14">
        <v>2.2400000000000002</v>
      </c>
      <c r="EP17" s="14">
        <v>-2.91</v>
      </c>
    </row>
    <row r="18" spans="1:146" ht="96" x14ac:dyDescent="0.25">
      <c r="A18" s="7"/>
      <c r="B18" s="7"/>
      <c r="C18" s="7" t="str">
        <f>""&amp;CHAR(10)&amp;Basic_Fundamental_Information_Constructure(F18)&amp;CHAR(10)&amp;Basic_Fundamental_Information_Concatenate("")</f>
        <v xml:space="preserve">
市值58.723216亿, 利润9601.27万; PE77.04; 平均PE54.93; 平均PEG4.4, PB3.73; ROIC6.19%; ROE7.4267%; 股利率.1641%; 毛利26.77%; 净利10.6233%; 上一年度营收增-4.53%, 利润增-33.32%; 当季营收增17.13%, 利润增-71.81%; 过往5年营收增12.49%, 利润增6.99%
Income profile:
</v>
      </c>
      <c r="D18" t="s">
        <v>407</v>
      </c>
      <c r="E18" t="s">
        <v>408</v>
      </c>
      <c r="F18">
        <v>37.79</v>
      </c>
      <c r="G18">
        <v>0.32</v>
      </c>
      <c r="H18" t="s">
        <v>1996</v>
      </c>
      <c r="I18">
        <v>5872321600</v>
      </c>
      <c r="J18">
        <v>77.040000000000006</v>
      </c>
      <c r="K18">
        <v>3.73</v>
      </c>
      <c r="L18" t="s">
        <v>1792</v>
      </c>
      <c r="M18" t="s">
        <v>1318</v>
      </c>
      <c r="N18" t="s">
        <v>1997</v>
      </c>
      <c r="O18" t="s">
        <v>147</v>
      </c>
      <c r="P18">
        <v>17.25</v>
      </c>
      <c r="Q18" t="s">
        <v>1319</v>
      </c>
      <c r="R18">
        <v>7769284</v>
      </c>
      <c r="S18" s="6">
        <v>-0.71809999999999996</v>
      </c>
      <c r="T18" t="s">
        <v>1320</v>
      </c>
      <c r="U18">
        <v>155392740</v>
      </c>
      <c r="V18">
        <v>155393530</v>
      </c>
      <c r="W18">
        <v>1.89</v>
      </c>
      <c r="X18">
        <v>7.0000000000000007E-2</v>
      </c>
      <c r="Y18">
        <v>3.66</v>
      </c>
      <c r="Z18" t="s">
        <v>87</v>
      </c>
      <c r="AA18" t="s">
        <v>327</v>
      </c>
      <c r="AB18" t="s">
        <v>1998</v>
      </c>
      <c r="AC18" t="s">
        <v>1999</v>
      </c>
      <c r="AD18" t="s">
        <v>35</v>
      </c>
      <c r="AE18">
        <v>590456</v>
      </c>
      <c r="AF18" t="s">
        <v>102</v>
      </c>
      <c r="AG18">
        <v>6468.31</v>
      </c>
      <c r="AH18" t="s">
        <v>1321</v>
      </c>
      <c r="AI18" t="s">
        <v>2000</v>
      </c>
      <c r="AJ18" t="s">
        <v>1322</v>
      </c>
      <c r="AK18" t="s">
        <v>2001</v>
      </c>
      <c r="AL18" t="s">
        <v>1323</v>
      </c>
      <c r="AM18" t="s">
        <v>35</v>
      </c>
      <c r="AN18" t="s">
        <v>2002</v>
      </c>
      <c r="AO18" t="s">
        <v>211</v>
      </c>
      <c r="AP18" t="s">
        <v>2003</v>
      </c>
      <c r="AQ18" t="s">
        <v>1131</v>
      </c>
      <c r="AR18" t="s">
        <v>35</v>
      </c>
      <c r="AS18" t="s">
        <v>2004</v>
      </c>
      <c r="AT18" t="s">
        <v>1324</v>
      </c>
      <c r="AU18" t="s">
        <v>2005</v>
      </c>
      <c r="AV18" t="s">
        <v>2006</v>
      </c>
      <c r="AW18" t="s">
        <v>2007</v>
      </c>
      <c r="AX18" t="s">
        <v>945</v>
      </c>
      <c r="AY18" t="s">
        <v>837</v>
      </c>
      <c r="AZ18" t="s">
        <v>409</v>
      </c>
      <c r="BA18" t="s">
        <v>410</v>
      </c>
      <c r="BB18" t="s">
        <v>411</v>
      </c>
      <c r="BC18" t="s">
        <v>277</v>
      </c>
      <c r="BD18" t="s">
        <v>135</v>
      </c>
      <c r="BE18" t="s">
        <v>141</v>
      </c>
      <c r="BF18" t="s">
        <v>412</v>
      </c>
      <c r="BG18" t="s">
        <v>413</v>
      </c>
      <c r="BH18" t="s">
        <v>1319</v>
      </c>
      <c r="BI18" t="s">
        <v>621</v>
      </c>
      <c r="BJ18" t="s">
        <v>945</v>
      </c>
      <c r="BK18" t="s">
        <v>1320</v>
      </c>
      <c r="BL18" t="s">
        <v>1325</v>
      </c>
      <c r="BM18" t="s">
        <v>277</v>
      </c>
      <c r="BN18">
        <v>1.61</v>
      </c>
      <c r="BO18">
        <v>8.07</v>
      </c>
      <c r="BP18">
        <v>8.89</v>
      </c>
      <c r="BQ18">
        <v>2.57</v>
      </c>
      <c r="BR18">
        <v>10.210000000000001</v>
      </c>
      <c r="BS18">
        <v>9.5</v>
      </c>
      <c r="BT18" t="s">
        <v>2008</v>
      </c>
      <c r="BU18" t="s">
        <v>844</v>
      </c>
      <c r="BV18">
        <v>22.65</v>
      </c>
      <c r="BW18">
        <v>28.71</v>
      </c>
      <c r="BX18">
        <v>28.95</v>
      </c>
      <c r="BY18">
        <v>8.14</v>
      </c>
      <c r="BZ18">
        <v>11.68</v>
      </c>
      <c r="CA18">
        <v>12.05</v>
      </c>
      <c r="CB18">
        <v>-2.14</v>
      </c>
      <c r="CC18">
        <v>-11.14</v>
      </c>
      <c r="CD18" t="s">
        <v>2009</v>
      </c>
      <c r="CE18" t="s">
        <v>2010</v>
      </c>
      <c r="CF18" s="8">
        <v>0.17127071823204421</v>
      </c>
      <c r="CG18" s="9">
        <v>-0.71808234786111103</v>
      </c>
      <c r="CH18" s="8">
        <v>-4.5307442545890808E-2</v>
      </c>
      <c r="CI18" s="8">
        <v>0.21773399412631989</v>
      </c>
      <c r="CJ18" s="8">
        <v>0.1761297732591629</v>
      </c>
      <c r="CK18" s="8">
        <v>8.2810536026954651E-2</v>
      </c>
      <c r="CL18" s="8">
        <v>0.193113774061203</v>
      </c>
      <c r="CM18" s="9">
        <v>-0.33324509859085083</v>
      </c>
      <c r="CN18" s="9">
        <v>0.18032786250114441</v>
      </c>
      <c r="CO18" s="9">
        <v>0.18446601927280426</v>
      </c>
      <c r="CP18" s="9">
        <v>4.0956020355224609E-2</v>
      </c>
      <c r="CQ18" s="9">
        <v>0.27688196301460266</v>
      </c>
      <c r="CR18">
        <v>54.928421890533613</v>
      </c>
      <c r="CS18">
        <v>4.3979283598512744</v>
      </c>
      <c r="CT18">
        <v>0.16406430272558878</v>
      </c>
      <c r="CU18" s="8">
        <v>0.12489612698554993</v>
      </c>
      <c r="CV18" s="9">
        <v>6.9877353310585019E-2</v>
      </c>
      <c r="CW18">
        <v>0.06</v>
      </c>
      <c r="CX18">
        <v>55.847221762428099</v>
      </c>
      <c r="CY18">
        <v>101890862.61455236</v>
      </c>
      <c r="CZ18">
        <v>0.12489612698554993</v>
      </c>
      <c r="DA18">
        <v>17.721046245462379</v>
      </c>
      <c r="DB18">
        <v>321105284.7095331</v>
      </c>
      <c r="DC18">
        <v>0.11865132063627243</v>
      </c>
      <c r="DD18">
        <v>8.3826698991057036</v>
      </c>
      <c r="DE18">
        <v>678819715.97224247</v>
      </c>
      <c r="DF18">
        <v>0.10990859174728394</v>
      </c>
      <c r="DG18">
        <v>4.8091232609299501</v>
      </c>
      <c r="DH18">
        <v>1183234716.8618112</v>
      </c>
      <c r="DI18">
        <v>9.9916901588439952E-2</v>
      </c>
      <c r="DJ18">
        <v>2.241742969755812</v>
      </c>
      <c r="DK18">
        <v>2538347025.8500838</v>
      </c>
      <c r="DL18">
        <v>8.7427288889884949E-2</v>
      </c>
      <c r="DM18">
        <v>96012700</v>
      </c>
      <c r="DN18">
        <v>0.12489612698554993</v>
      </c>
      <c r="DO18">
        <v>5690321600</v>
      </c>
      <c r="DP18">
        <v>1283283300</v>
      </c>
      <c r="DQ18">
        <v>1466</v>
      </c>
      <c r="DR18">
        <v>4.6374591246494276E-2</v>
      </c>
      <c r="DS18">
        <v>-0.787959701171696</v>
      </c>
      <c r="DT18" s="10">
        <v>-5.6666666666666719E-2</v>
      </c>
      <c r="DU18">
        <v>-0.22333333333333338</v>
      </c>
      <c r="DV18">
        <v>-0.28000000000000008</v>
      </c>
      <c r="DW18">
        <v>-2.1114000000000002</v>
      </c>
      <c r="DX18">
        <v>0.26265981886654416</v>
      </c>
      <c r="DY18">
        <v>-2.0080943038217329</v>
      </c>
      <c r="DZ18">
        <v>2389</v>
      </c>
      <c r="EA18">
        <v>-2.0043100979841362</v>
      </c>
      <c r="EB18">
        <v>2</v>
      </c>
      <c r="EC18">
        <v>1.5855228978967142E-2</v>
      </c>
      <c r="ED18">
        <v>0.21821178783955805</v>
      </c>
      <c r="EE18" s="11">
        <v>2.2210000000000004E-2</v>
      </c>
      <c r="EF18">
        <v>2.6610000000000002E-2</v>
      </c>
      <c r="EG18">
        <v>19.072659818866544</v>
      </c>
      <c r="EH18">
        <v>-1</v>
      </c>
      <c r="EI18">
        <v>0</v>
      </c>
      <c r="EJ18">
        <v>0</v>
      </c>
      <c r="EK18" s="13">
        <v>45470</v>
      </c>
      <c r="EL18" s="14">
        <v>0.13</v>
      </c>
      <c r="EM18" s="14">
        <v>-1.44</v>
      </c>
      <c r="EN18" s="14">
        <v>-1.64</v>
      </c>
      <c r="EO18" s="14">
        <v>1.93</v>
      </c>
      <c r="EP18" s="14">
        <v>-0.44</v>
      </c>
    </row>
    <row r="19" spans="1:146" ht="84" x14ac:dyDescent="0.25">
      <c r="A19" s="7"/>
      <c r="B19" s="7"/>
      <c r="C19" s="7" t="str">
        <f>""&amp;CHAR(10)&amp;Basic_Fundamental_Information_Constructure(F19)&amp;CHAR(10)&amp;Basic_Fundamental_Information_Concatenate("")</f>
        <v xml:space="preserve">
市值64.455487亿, 利润1.02亿; PE51.79; 平均PE-19.89; 平均PEG-.41, PB3.28; ROIC2.84%; ROE4.8433%; 股利率0%; 毛利11.4533%; 净利3.3067%; 上一年度营收增32.09%, 利润增-26.09%; 当季营收增6.66%, 利润增288.36%; 过往5年营收增48%, 利润增118.99%
Income profile:
</v>
      </c>
      <c r="D19" t="s">
        <v>151</v>
      </c>
      <c r="E19" t="s">
        <v>30</v>
      </c>
      <c r="F19">
        <v>3.73</v>
      </c>
      <c r="G19">
        <v>0.54</v>
      </c>
      <c r="H19" t="s">
        <v>2011</v>
      </c>
      <c r="I19">
        <v>6445548700</v>
      </c>
      <c r="J19">
        <v>51.79</v>
      </c>
      <c r="K19">
        <v>3.28</v>
      </c>
      <c r="L19" t="s">
        <v>1792</v>
      </c>
      <c r="M19" t="s">
        <v>1326</v>
      </c>
      <c r="N19" t="s">
        <v>77</v>
      </c>
      <c r="O19" t="s">
        <v>1327</v>
      </c>
      <c r="P19">
        <v>6.8</v>
      </c>
      <c r="Q19" t="s">
        <v>509</v>
      </c>
      <c r="R19">
        <v>30828652</v>
      </c>
      <c r="S19" s="6">
        <v>2.8839999999999999</v>
      </c>
      <c r="T19" t="s">
        <v>79</v>
      </c>
      <c r="U19">
        <v>1647170100</v>
      </c>
      <c r="V19">
        <v>1728029100</v>
      </c>
      <c r="W19">
        <v>2.21</v>
      </c>
      <c r="X19">
        <v>0.15</v>
      </c>
      <c r="Y19">
        <v>4.6900000000000004</v>
      </c>
      <c r="Z19" t="s">
        <v>2012</v>
      </c>
      <c r="AA19" t="s">
        <v>2013</v>
      </c>
      <c r="AB19" t="s">
        <v>2014</v>
      </c>
      <c r="AC19" t="s">
        <v>2015</v>
      </c>
      <c r="AD19" t="s">
        <v>35</v>
      </c>
      <c r="AE19">
        <v>8104256</v>
      </c>
      <c r="AF19" t="s">
        <v>1328</v>
      </c>
      <c r="AG19" t="s">
        <v>2016</v>
      </c>
      <c r="AH19" t="s">
        <v>1329</v>
      </c>
      <c r="AI19" t="s">
        <v>636</v>
      </c>
      <c r="AJ19" t="s">
        <v>1330</v>
      </c>
      <c r="AK19" t="s">
        <v>2017</v>
      </c>
      <c r="AL19" t="s">
        <v>1331</v>
      </c>
      <c r="AM19" t="s">
        <v>35</v>
      </c>
      <c r="AN19" t="s">
        <v>582</v>
      </c>
      <c r="AO19" t="s">
        <v>768</v>
      </c>
      <c r="AP19" t="s">
        <v>629</v>
      </c>
      <c r="AQ19" t="s">
        <v>624</v>
      </c>
      <c r="AR19" t="s">
        <v>35</v>
      </c>
      <c r="AS19" t="s">
        <v>2018</v>
      </c>
      <c r="AT19" t="s">
        <v>1332</v>
      </c>
      <c r="AU19" t="s">
        <v>1807</v>
      </c>
      <c r="AV19" t="s">
        <v>2019</v>
      </c>
      <c r="AW19" t="s">
        <v>2020</v>
      </c>
      <c r="AX19" t="s">
        <v>1122</v>
      </c>
      <c r="AY19" t="s">
        <v>1333</v>
      </c>
      <c r="AZ19" t="s">
        <v>414</v>
      </c>
      <c r="BA19" t="s">
        <v>107</v>
      </c>
      <c r="BB19" t="s">
        <v>417</v>
      </c>
      <c r="BC19" t="s">
        <v>226</v>
      </c>
      <c r="BD19" t="s">
        <v>689</v>
      </c>
      <c r="BE19" t="s">
        <v>415</v>
      </c>
      <c r="BF19" t="s">
        <v>152</v>
      </c>
      <c r="BG19" t="s">
        <v>418</v>
      </c>
      <c r="BH19" t="s">
        <v>509</v>
      </c>
      <c r="BI19" t="s">
        <v>494</v>
      </c>
      <c r="BJ19" t="s">
        <v>1122</v>
      </c>
      <c r="BK19" t="s">
        <v>79</v>
      </c>
      <c r="BL19" t="s">
        <v>1334</v>
      </c>
      <c r="BM19" t="s">
        <v>226</v>
      </c>
      <c r="BN19">
        <v>3.99</v>
      </c>
      <c r="BO19">
        <v>5.6</v>
      </c>
      <c r="BP19">
        <v>-1.07</v>
      </c>
      <c r="BQ19">
        <v>4.91</v>
      </c>
      <c r="BR19">
        <v>8.06</v>
      </c>
      <c r="BS19">
        <v>1.56</v>
      </c>
      <c r="BT19" t="s">
        <v>948</v>
      </c>
      <c r="BU19" t="s">
        <v>846</v>
      </c>
      <c r="BV19">
        <v>11.05</v>
      </c>
      <c r="BW19">
        <v>9.6199999999999992</v>
      </c>
      <c r="BX19">
        <v>13.69</v>
      </c>
      <c r="BY19">
        <v>2.86</v>
      </c>
      <c r="BZ19">
        <v>5.16</v>
      </c>
      <c r="CA19">
        <v>1.9</v>
      </c>
      <c r="CB19">
        <v>-5.33</v>
      </c>
      <c r="CC19">
        <v>-9.69</v>
      </c>
      <c r="CD19" t="s">
        <v>80</v>
      </c>
      <c r="CE19" t="s">
        <v>1253</v>
      </c>
      <c r="CF19" s="8">
        <v>6.6561014263074481E-2</v>
      </c>
      <c r="CG19" s="9">
        <v>2.8836310956022224</v>
      </c>
      <c r="CH19" s="8">
        <v>0.32087922096252441</v>
      </c>
      <c r="CI19" s="8">
        <v>0.96261662244796753</v>
      </c>
      <c r="CJ19" s="8">
        <v>1.6545802354812622</v>
      </c>
      <c r="CK19" s="8">
        <v>-0.11035653948783875</v>
      </c>
      <c r="CL19" s="8">
        <v>-0.42759960889816284</v>
      </c>
      <c r="CM19" s="9">
        <v>-0.26086956262588501</v>
      </c>
      <c r="CN19" s="9">
        <v>4.3136601448059082</v>
      </c>
      <c r="CO19" s="9">
        <v>1.6171379014849663E-2</v>
      </c>
      <c r="CP19" s="9">
        <v>1.0713896751403809</v>
      </c>
      <c r="CQ19" s="9">
        <v>0.80937165021896362</v>
      </c>
      <c r="CR19">
        <v>-19.888842918104697</v>
      </c>
      <c r="CS19">
        <v>-0.41433018961501905</v>
      </c>
      <c r="CT19">
        <v>0</v>
      </c>
      <c r="CU19" s="8">
        <v>0.48002398610115049</v>
      </c>
      <c r="CV19" s="9">
        <v>1.1899446573108434</v>
      </c>
      <c r="CW19">
        <v>0.06</v>
      </c>
      <c r="CX19">
        <v>48.144037053857041</v>
      </c>
      <c r="CY19">
        <v>142417402.43614843</v>
      </c>
      <c r="CZ19">
        <v>0.48002398610115049</v>
      </c>
      <c r="DA19">
        <v>11.486629514327158</v>
      </c>
      <c r="DB19">
        <v>596915630.59885371</v>
      </c>
      <c r="DC19">
        <v>0.45602278679609293</v>
      </c>
      <c r="DD19">
        <v>3.5394887874597272</v>
      </c>
      <c r="DE19">
        <v>1937157909.4394898</v>
      </c>
      <c r="DF19">
        <v>0.42242110776901243</v>
      </c>
      <c r="DG19">
        <v>1.1744357048003751</v>
      </c>
      <c r="DH19">
        <v>5838164381.3915243</v>
      </c>
      <c r="DI19">
        <v>0.3840191888809204</v>
      </c>
      <c r="DJ19">
        <v>0.13701613978038099</v>
      </c>
      <c r="DK19">
        <v>50041905362.318291</v>
      </c>
      <c r="DL19">
        <v>0.33601679027080533</v>
      </c>
      <c r="DM19">
        <v>102000000</v>
      </c>
      <c r="DN19">
        <v>0.48002398610115049</v>
      </c>
      <c r="DO19">
        <v>6856548700</v>
      </c>
      <c r="DP19">
        <v>858141400</v>
      </c>
      <c r="DQ19">
        <v>1506</v>
      </c>
      <c r="DR19">
        <v>-0.41346297183807601</v>
      </c>
      <c r="DS19">
        <v>1.693686438291379</v>
      </c>
      <c r="DT19" s="10">
        <v>0.19333333333333327</v>
      </c>
      <c r="DU19">
        <v>0.62333333333333329</v>
      </c>
      <c r="DV19">
        <v>0.81666666666666654</v>
      </c>
      <c r="DW19">
        <v>-8.5500515995872028</v>
      </c>
      <c r="DX19">
        <v>0.25915113688377872</v>
      </c>
      <c r="DY19">
        <v>-8.0380366934561973</v>
      </c>
      <c r="DZ19">
        <v>334</v>
      </c>
      <c r="EA19">
        <v>-8.0355505377586685</v>
      </c>
      <c r="EB19">
        <v>8</v>
      </c>
      <c r="EC19">
        <v>9.6641891042228395E-2</v>
      </c>
      <c r="ED19">
        <v>1.3975459093831233</v>
      </c>
      <c r="EE19" s="11">
        <v>1.01861</v>
      </c>
      <c r="EF19">
        <v>1.0341100000000001</v>
      </c>
      <c r="EG19">
        <v>19.069151136883779</v>
      </c>
      <c r="EH19" t="s">
        <v>969</v>
      </c>
      <c r="EI19">
        <v>0</v>
      </c>
      <c r="EJ19">
        <v>1</v>
      </c>
      <c r="EK19" s="13">
        <v>45470</v>
      </c>
      <c r="EL19" s="14">
        <v>1.03</v>
      </c>
      <c r="EM19" s="14">
        <v>-4.07</v>
      </c>
      <c r="EN19" s="14">
        <v>1.06</v>
      </c>
      <c r="EO19" s="14">
        <v>1.84</v>
      </c>
      <c r="EP19" s="14">
        <v>-1.55</v>
      </c>
    </row>
    <row r="20" spans="1:146" ht="84" x14ac:dyDescent="0.25">
      <c r="A20" s="7"/>
      <c r="B20" s="7"/>
      <c r="C20" s="7" t="str">
        <f>""&amp;CHAR(10)&amp;Basic_Fundamental_Information_Constructure(F20)&amp;CHAR(10)&amp;Basic_Fundamental_Information_Concatenate("")</f>
        <v xml:space="preserve">
市值119.138666亿, 利润3.19亿; PE33.67; 平均PE50.06; 平均PEG1.56, PB3.45; ROIC9.5167%; ROE10.0367%; 股利率.8068%; 毛利28.36%; 净利13.98%; 上一年度营收增18.37%, 利润增-5.34%; 当季营收增28.66%, 利润增57.74%; 过往5年营收增32%, 利润增26.24%
Income profile:
</v>
      </c>
      <c r="D20" t="s">
        <v>156</v>
      </c>
      <c r="E20" t="s">
        <v>21</v>
      </c>
      <c r="F20">
        <v>15.37</v>
      </c>
      <c r="G20">
        <v>2.54</v>
      </c>
      <c r="H20" t="s">
        <v>2021</v>
      </c>
      <c r="I20">
        <v>11913866600</v>
      </c>
      <c r="J20">
        <v>33.67</v>
      </c>
      <c r="K20">
        <v>3.45</v>
      </c>
      <c r="L20" t="s">
        <v>1792</v>
      </c>
      <c r="M20" t="s">
        <v>1335</v>
      </c>
      <c r="N20" t="s">
        <v>2022</v>
      </c>
      <c r="O20" t="s">
        <v>705</v>
      </c>
      <c r="P20">
        <v>28.61</v>
      </c>
      <c r="Q20" t="s">
        <v>1243</v>
      </c>
      <c r="R20">
        <v>94756446</v>
      </c>
      <c r="S20" s="6">
        <v>0.57740000000000002</v>
      </c>
      <c r="T20" t="s">
        <v>1113</v>
      </c>
      <c r="U20">
        <v>766388880</v>
      </c>
      <c r="V20">
        <v>775137710</v>
      </c>
      <c r="W20">
        <v>1.87</v>
      </c>
      <c r="X20">
        <v>0.11</v>
      </c>
      <c r="Y20">
        <v>16.13</v>
      </c>
      <c r="Z20" t="s">
        <v>584</v>
      </c>
      <c r="AA20" t="s">
        <v>108</v>
      </c>
      <c r="AB20" t="s">
        <v>2023</v>
      </c>
      <c r="AC20" t="s">
        <v>2024</v>
      </c>
      <c r="AD20" t="s">
        <v>35</v>
      </c>
      <c r="AE20">
        <v>4409569</v>
      </c>
      <c r="AF20" t="s">
        <v>1337</v>
      </c>
      <c r="AG20">
        <v>3079.82</v>
      </c>
      <c r="AH20" t="s">
        <v>1338</v>
      </c>
      <c r="AI20" t="s">
        <v>835</v>
      </c>
      <c r="AJ20" t="s">
        <v>1339</v>
      </c>
      <c r="AK20" t="s">
        <v>423</v>
      </c>
      <c r="AL20" t="s">
        <v>1340</v>
      </c>
      <c r="AM20" t="s">
        <v>35</v>
      </c>
      <c r="AN20" t="s">
        <v>72</v>
      </c>
      <c r="AO20" t="s">
        <v>935</v>
      </c>
      <c r="AP20" t="s">
        <v>2025</v>
      </c>
      <c r="AQ20" t="s">
        <v>410</v>
      </c>
      <c r="AR20" t="s">
        <v>35</v>
      </c>
      <c r="AS20" t="s">
        <v>2026</v>
      </c>
      <c r="AT20" t="s">
        <v>683</v>
      </c>
      <c r="AU20" t="s">
        <v>2027</v>
      </c>
      <c r="AV20" t="s">
        <v>2028</v>
      </c>
      <c r="AW20" t="s">
        <v>2029</v>
      </c>
      <c r="AX20" t="s">
        <v>938</v>
      </c>
      <c r="AY20" t="s">
        <v>507</v>
      </c>
      <c r="AZ20" t="s">
        <v>420</v>
      </c>
      <c r="BA20" t="s">
        <v>157</v>
      </c>
      <c r="BB20" t="s">
        <v>422</v>
      </c>
      <c r="BC20" t="s">
        <v>840</v>
      </c>
      <c r="BD20" t="s">
        <v>373</v>
      </c>
      <c r="BE20" t="s">
        <v>66</v>
      </c>
      <c r="BF20" t="s">
        <v>158</v>
      </c>
      <c r="BG20" t="s">
        <v>148</v>
      </c>
      <c r="BH20" t="s">
        <v>1243</v>
      </c>
      <c r="BI20" t="s">
        <v>1085</v>
      </c>
      <c r="BJ20" t="s">
        <v>938</v>
      </c>
      <c r="BK20" t="s">
        <v>1113</v>
      </c>
      <c r="BL20" t="s">
        <v>1341</v>
      </c>
      <c r="BM20" t="s">
        <v>840</v>
      </c>
      <c r="BN20">
        <v>7.25</v>
      </c>
      <c r="BO20">
        <v>10.33</v>
      </c>
      <c r="BP20">
        <v>10.97</v>
      </c>
      <c r="BQ20">
        <v>7.24</v>
      </c>
      <c r="BR20">
        <v>11.23</v>
      </c>
      <c r="BS20">
        <v>11.64</v>
      </c>
      <c r="BT20" t="s">
        <v>1342</v>
      </c>
      <c r="BU20" t="s">
        <v>733</v>
      </c>
      <c r="BV20">
        <v>29.22</v>
      </c>
      <c r="BW20">
        <v>27.68</v>
      </c>
      <c r="BX20">
        <v>28.18</v>
      </c>
      <c r="BY20">
        <v>12.2</v>
      </c>
      <c r="BZ20">
        <v>13.27</v>
      </c>
      <c r="CA20">
        <v>16.47</v>
      </c>
      <c r="CB20">
        <v>-3.27</v>
      </c>
      <c r="CC20">
        <v>-10.220000000000001</v>
      </c>
      <c r="CD20" t="s">
        <v>2030</v>
      </c>
      <c r="CE20" t="s">
        <v>146</v>
      </c>
      <c r="CF20" s="8">
        <v>0.28663446054750402</v>
      </c>
      <c r="CG20" s="9">
        <v>0.57740750112367034</v>
      </c>
      <c r="CH20" s="8">
        <v>0.18374432623386383</v>
      </c>
      <c r="CI20" s="8">
        <v>0.43734398484230042</v>
      </c>
      <c r="CJ20" s="8">
        <v>0.26372247934341431</v>
      </c>
      <c r="CK20" s="8">
        <v>9.6127204596996307E-2</v>
      </c>
      <c r="CL20" s="8">
        <v>0.61926090717315674</v>
      </c>
      <c r="CM20" s="9">
        <v>-5.3412463515996933E-2</v>
      </c>
      <c r="CN20" s="9">
        <v>0.10491803288459778</v>
      </c>
      <c r="CO20" s="9">
        <v>0.49509802460670471</v>
      </c>
      <c r="CP20" s="9">
        <v>0.30769231915473938</v>
      </c>
      <c r="CQ20" s="9">
        <v>0.45794391632080078</v>
      </c>
      <c r="CR20">
        <v>50.058263025210081</v>
      </c>
      <c r="CS20">
        <v>1.5641262769493762</v>
      </c>
      <c r="CT20">
        <v>0.80676642810670141</v>
      </c>
      <c r="CU20" s="8">
        <v>0.32003978043794634</v>
      </c>
      <c r="CV20" s="9">
        <v>0.26244796589016917</v>
      </c>
      <c r="CW20">
        <v>0.06</v>
      </c>
      <c r="CX20">
        <v>29.076540362578235</v>
      </c>
      <c r="CY20">
        <v>397257254.67896682</v>
      </c>
      <c r="CZ20">
        <v>0.32003978043794634</v>
      </c>
      <c r="DA20">
        <v>7.8621493615197711</v>
      </c>
      <c r="DB20">
        <v>1469174149.3152187</v>
      </c>
      <c r="DC20">
        <v>0.30403779141604903</v>
      </c>
      <c r="DD20">
        <v>2.9477090166588087</v>
      </c>
      <c r="DE20">
        <v>3918591195.6441221</v>
      </c>
      <c r="DF20">
        <v>0.28163500678539277</v>
      </c>
      <c r="DG20">
        <v>1.267986843276802</v>
      </c>
      <c r="DH20">
        <v>9109610767.0562325</v>
      </c>
      <c r="DI20">
        <v>0.2560318243503571</v>
      </c>
      <c r="DJ20">
        <v>0.28933076442449462</v>
      </c>
      <c r="DK20">
        <v>39922704462.402161</v>
      </c>
      <c r="DL20">
        <v>0.22402784630656242</v>
      </c>
      <c r="DM20">
        <v>319000000</v>
      </c>
      <c r="DN20">
        <v>0.32003978043794634</v>
      </c>
      <c r="DO20">
        <v>11550866600</v>
      </c>
      <c r="DP20">
        <v>2188991100</v>
      </c>
      <c r="DQ20">
        <v>1530</v>
      </c>
      <c r="DR20">
        <v>-3.340531989044232E-2</v>
      </c>
      <c r="DS20">
        <v>0.31495953523350118</v>
      </c>
      <c r="DT20" s="10">
        <v>0.20999999999999996</v>
      </c>
      <c r="DU20">
        <v>0.56999999999999995</v>
      </c>
      <c r="DV20">
        <v>0.77999999999999992</v>
      </c>
      <c r="DW20">
        <v>-8.3199608610567513</v>
      </c>
      <c r="DX20">
        <v>0.42861328502415547</v>
      </c>
      <c r="DY20">
        <v>-8.0347520001985302</v>
      </c>
      <c r="DZ20">
        <v>374</v>
      </c>
      <c r="EA20">
        <v>-8.0322085074247038</v>
      </c>
      <c r="EB20">
        <v>8</v>
      </c>
      <c r="EC20">
        <v>5.8010208276410652E-2</v>
      </c>
      <c r="ED20">
        <v>0.53409864422671416</v>
      </c>
      <c r="EE20" s="11">
        <v>-1.0682099999999999</v>
      </c>
      <c r="EF20">
        <v>-1.0922099999999999</v>
      </c>
      <c r="EG20">
        <v>32.108613285024155</v>
      </c>
      <c r="EH20" t="s">
        <v>971</v>
      </c>
      <c r="EI20">
        <v>0</v>
      </c>
      <c r="EJ20">
        <v>1</v>
      </c>
      <c r="EK20" s="13">
        <v>45470</v>
      </c>
      <c r="EL20" s="14">
        <v>0.26</v>
      </c>
      <c r="EM20" s="14">
        <v>-3.23</v>
      </c>
      <c r="EN20" s="14">
        <v>-0.13</v>
      </c>
      <c r="EO20" s="14">
        <v>3.14</v>
      </c>
      <c r="EP20" s="14">
        <v>-2.4</v>
      </c>
    </row>
    <row r="21" spans="1:146" ht="96" x14ac:dyDescent="0.25">
      <c r="A21" s="7"/>
      <c r="B21" s="7"/>
      <c r="C21" s="7" t="str">
        <f>""&amp;CHAR(10)&amp;Basic_Fundamental_Information_Constructure(F21)&amp;CHAR(10)&amp;Basic_Fundamental_Information_Concatenate("")</f>
        <v xml:space="preserve">
市值45.497401亿, 利润-1.16亿; PE; 平均PE-45.52; 平均PEG-329.01, PB2.67; ROIC1.895%; ROE-12.0767%; 股利率0%; 毛利25.1%; 净利-40.2633%; 上一年度营收增4.14%, 利润增85.3%; 当季营收增-69.16%, 利润增-48.02%; 过往5年营收增.14%, 利润增-338.6%
Income profile:
</v>
      </c>
      <c r="D21" t="s">
        <v>160</v>
      </c>
      <c r="E21" t="s">
        <v>161</v>
      </c>
      <c r="F21">
        <v>6.29</v>
      </c>
      <c r="G21">
        <v>1.1299999999999999</v>
      </c>
      <c r="H21" t="s">
        <v>2031</v>
      </c>
      <c r="I21">
        <v>4549740100</v>
      </c>
      <c r="K21">
        <v>2.67</v>
      </c>
      <c r="L21" t="s">
        <v>1792</v>
      </c>
      <c r="M21" t="s">
        <v>1085</v>
      </c>
      <c r="N21" t="s">
        <v>2032</v>
      </c>
      <c r="O21" t="s">
        <v>1343</v>
      </c>
      <c r="P21">
        <v>-69.180000000000007</v>
      </c>
      <c r="Q21" t="s">
        <v>1088</v>
      </c>
      <c r="R21">
        <v>2442796</v>
      </c>
      <c r="S21" s="6">
        <v>-0.48020000000000002</v>
      </c>
      <c r="T21" t="s">
        <v>1174</v>
      </c>
      <c r="U21">
        <v>658143260</v>
      </c>
      <c r="V21">
        <v>723329100</v>
      </c>
      <c r="W21">
        <v>1.25</v>
      </c>
      <c r="X21">
        <v>0.02</v>
      </c>
      <c r="Y21">
        <v>4.62</v>
      </c>
      <c r="Z21" t="s">
        <v>2033</v>
      </c>
      <c r="AA21" t="s">
        <v>2034</v>
      </c>
      <c r="AB21" t="s">
        <v>2035</v>
      </c>
      <c r="AC21" t="s">
        <v>2036</v>
      </c>
      <c r="AD21" t="s">
        <v>35</v>
      </c>
      <c r="AE21">
        <v>-52084</v>
      </c>
      <c r="AF21" t="s">
        <v>1344</v>
      </c>
      <c r="AG21">
        <v>2.57</v>
      </c>
      <c r="AH21" t="s">
        <v>1345</v>
      </c>
      <c r="AI21" t="s">
        <v>621</v>
      </c>
      <c r="AJ21" t="s">
        <v>1346</v>
      </c>
      <c r="AK21" t="s">
        <v>2037</v>
      </c>
      <c r="AL21" t="s">
        <v>1347</v>
      </c>
      <c r="AM21" t="s">
        <v>35</v>
      </c>
      <c r="AN21" t="s">
        <v>1348</v>
      </c>
      <c r="AO21" t="s">
        <v>2038</v>
      </c>
      <c r="AP21" t="s">
        <v>35</v>
      </c>
      <c r="AQ21" t="s">
        <v>195</v>
      </c>
      <c r="AR21" t="s">
        <v>1350</v>
      </c>
      <c r="AS21" t="s">
        <v>2039</v>
      </c>
      <c r="AT21" t="s">
        <v>2040</v>
      </c>
      <c r="AU21" t="s">
        <v>2041</v>
      </c>
      <c r="AV21" t="s">
        <v>2042</v>
      </c>
      <c r="AW21" t="s">
        <v>2043</v>
      </c>
      <c r="AX21" t="s">
        <v>370</v>
      </c>
      <c r="AY21" t="s">
        <v>848</v>
      </c>
      <c r="AZ21" t="s">
        <v>284</v>
      </c>
      <c r="BA21" t="s">
        <v>425</v>
      </c>
      <c r="BB21" t="s">
        <v>426</v>
      </c>
      <c r="BC21" t="s">
        <v>1005</v>
      </c>
      <c r="BD21" t="s">
        <v>690</v>
      </c>
      <c r="BE21" t="s">
        <v>424</v>
      </c>
      <c r="BF21" t="s">
        <v>427</v>
      </c>
      <c r="BG21" t="s">
        <v>137</v>
      </c>
      <c r="BH21" t="s">
        <v>1088</v>
      </c>
      <c r="BI21" t="s">
        <v>430</v>
      </c>
      <c r="BJ21" t="s">
        <v>370</v>
      </c>
      <c r="BK21" t="s">
        <v>1174</v>
      </c>
      <c r="BL21" t="s">
        <v>1351</v>
      </c>
      <c r="BM21" t="s">
        <v>1005</v>
      </c>
      <c r="BN21">
        <v>0.43</v>
      </c>
      <c r="BO21" t="s">
        <v>35</v>
      </c>
      <c r="BP21">
        <v>3.36</v>
      </c>
      <c r="BQ21">
        <v>0.45</v>
      </c>
      <c r="BR21">
        <v>-39.65</v>
      </c>
      <c r="BS21">
        <v>2.97</v>
      </c>
      <c r="BT21" t="s">
        <v>948</v>
      </c>
      <c r="BU21" t="s">
        <v>846</v>
      </c>
      <c r="BV21">
        <v>23.23</v>
      </c>
      <c r="BW21">
        <v>18.25</v>
      </c>
      <c r="BX21">
        <v>33.82</v>
      </c>
      <c r="BY21">
        <v>-15.4</v>
      </c>
      <c r="BZ21">
        <v>-110.85</v>
      </c>
      <c r="CA21">
        <v>5.46</v>
      </c>
      <c r="CB21">
        <v>-4.84</v>
      </c>
      <c r="CC21">
        <v>-13.6</v>
      </c>
      <c r="CD21" t="s">
        <v>2044</v>
      </c>
      <c r="CE21" t="s">
        <v>2045</v>
      </c>
      <c r="CF21" s="8">
        <v>-0.69160921052631574</v>
      </c>
      <c r="CG21" s="9">
        <v>-0.4801566257368432</v>
      </c>
      <c r="CH21" s="8">
        <v>4.1436463594436646E-2</v>
      </c>
      <c r="CI21" s="8">
        <v>-0.1973392516374588</v>
      </c>
      <c r="CJ21" s="8">
        <v>3.5591274499893188E-2</v>
      </c>
      <c r="CK21" s="8">
        <v>7.3982737958431244E-2</v>
      </c>
      <c r="CL21" s="8">
        <v>5.3246751427650452E-2</v>
      </c>
      <c r="CM21" s="9">
        <v>0.85297846794128418</v>
      </c>
      <c r="CN21" s="9">
        <v>-17.13160514831543</v>
      </c>
      <c r="CO21" s="9">
        <v>-0.14384441077709198</v>
      </c>
      <c r="CP21" s="9">
        <v>-0.38761153817176819</v>
      </c>
      <c r="CQ21" s="9">
        <v>-0.1199367567896843</v>
      </c>
      <c r="CR21">
        <v>-45.522028417373797</v>
      </c>
      <c r="CS21">
        <v>-329.01262920530883</v>
      </c>
      <c r="CT21">
        <v>0</v>
      </c>
      <c r="CU21" s="8">
        <v>1.3835951685905457E-3</v>
      </c>
      <c r="CV21" s="9">
        <v>-3.3860038772225378</v>
      </c>
      <c r="CW21">
        <v>0.06</v>
      </c>
      <c r="CX21" t="e">
        <v>#VALUE!</v>
      </c>
      <c r="CY21" t="s">
        <v>740</v>
      </c>
      <c r="CZ21">
        <v>1.3835951685905457E-3</v>
      </c>
      <c r="DA21" t="e">
        <v>#VALUE!</v>
      </c>
      <c r="DB21" t="s">
        <v>740</v>
      </c>
      <c r="DC21">
        <v>1.3144154101610184E-3</v>
      </c>
      <c r="DD21" t="e">
        <v>#VALUE!</v>
      </c>
      <c r="DE21" t="s">
        <v>740</v>
      </c>
      <c r="DF21">
        <v>1.2175637483596803E-3</v>
      </c>
      <c r="DG21" t="e">
        <v>#VALUE!</v>
      </c>
      <c r="DH21" t="s">
        <v>740</v>
      </c>
      <c r="DI21">
        <v>1.1068761348724365E-3</v>
      </c>
      <c r="DJ21" t="e">
        <v>#VALUE!</v>
      </c>
      <c r="DK21" t="s">
        <v>740</v>
      </c>
      <c r="DL21">
        <v>9.6851661801338189E-4</v>
      </c>
      <c r="DM21">
        <v>-115999999.99999999</v>
      </c>
      <c r="DN21">
        <v>1.3835951685905457E-3</v>
      </c>
      <c r="DO21">
        <v>3469740100</v>
      </c>
      <c r="DP21">
        <v>1004296100</v>
      </c>
      <c r="DQ21">
        <v>1558</v>
      </c>
      <c r="DR21">
        <v>-0.69299280569490629</v>
      </c>
      <c r="DS21">
        <v>2.9058472514856946</v>
      </c>
      <c r="DT21" s="10">
        <v>-0.59</v>
      </c>
      <c r="DU21">
        <v>-1.3566666666666667</v>
      </c>
      <c r="DV21">
        <v>-1.9466666666666668</v>
      </c>
      <c r="DW21">
        <v>-8.3558823529411761</v>
      </c>
      <c r="DX21">
        <v>0.34918219696969643</v>
      </c>
      <c r="DY21">
        <v>-8.0352971936274518</v>
      </c>
      <c r="DZ21">
        <v>4348</v>
      </c>
      <c r="EA21">
        <v>-8.0052634954098085</v>
      </c>
      <c r="EB21">
        <v>8</v>
      </c>
      <c r="EC21">
        <v>7.239885689653576E-2</v>
      </c>
      <c r="ED21">
        <v>0.72995818915622224</v>
      </c>
      <c r="EE21" s="11">
        <v>-3.0369999999999999</v>
      </c>
      <c r="EF21">
        <v>-3.0141</v>
      </c>
      <c r="EG21">
        <v>25.099182196969696</v>
      </c>
      <c r="EH21" t="s">
        <v>1103</v>
      </c>
      <c r="EI21">
        <v>0</v>
      </c>
      <c r="EJ21">
        <v>0</v>
      </c>
      <c r="EK21" s="13">
        <v>45470</v>
      </c>
      <c r="EL21" s="14">
        <v>-2.34</v>
      </c>
      <c r="EM21" s="14">
        <v>-4.2</v>
      </c>
      <c r="EN21" s="14">
        <v>-2.19</v>
      </c>
      <c r="EO21" s="14">
        <v>4.6399999999999997</v>
      </c>
      <c r="EP21" s="14">
        <v>-2.29</v>
      </c>
    </row>
    <row r="22" spans="1:146" ht="175.5" customHeight="1" x14ac:dyDescent="0.25">
      <c r="A22" s="7" t="s">
        <v>1175</v>
      </c>
      <c r="B22" s="7" t="s">
        <v>1176</v>
      </c>
      <c r="C22" s="7" t="str">
        <f>"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amp;CHAR(10)&amp;Basic_Fundamental_Information_Constructure(F22)&amp;CHAR(10)&amp;Basic_Fundamental_Information_Concatenate("石英玻璃材料 6.74亿 65.86% 81.11% 61.74%
石英玻璃制品 3.10亿 30.27% 18.10% 29.98%
其他业务 3955.30万 3.87% 0.78% 10.14%")</f>
        <v>公司主要从事新材料产品及装备的技术开发、技术转让、技术咨询、技术服务；石英材料、玻璃材料、特种纤维材料、复合材料及制品的制造与销售。公司主导产品为石英玻璃锭、石英玻璃筒、石英玻璃管、石英玻璃棒、石英玻璃板、石英玻璃片、石英玻璃器件、石英玻璃纤维系列产品、石英玻璃纤维立体编织预制件、以石英玻璃纤维为基材的复合材料。
市值153.8676亿, 利润5.38亿; PE30.58; 平均PE46.44; 平均PEG1.89, PB3.85; ROIC13.9767%; ROE15.33%; 股利率.7095%; 毛利50.4967%; 净利29.3367%; 上一年度营收增21.64%, 利润增10.02%; 当季营收增-17.84%, 利润增-30.87%; 过往5年营收增24.51%, 利润增28.17%
Income profile:
石英玻璃材料 6.74亿 65.86% 81.11% 61.74%
石英玻璃制品 3.10亿 30.27% 18.10% 29.98%
其他业务 3955.30万 3.87% 0.78% 10.14%</v>
      </c>
      <c r="D22" t="s">
        <v>640</v>
      </c>
      <c r="E22" t="s">
        <v>641</v>
      </c>
      <c r="F22">
        <v>29.6</v>
      </c>
      <c r="G22">
        <v>-0.17</v>
      </c>
      <c r="H22" t="s">
        <v>2046</v>
      </c>
      <c r="I22">
        <v>15386760000</v>
      </c>
      <c r="J22">
        <v>30.58</v>
      </c>
      <c r="K22">
        <v>3.85</v>
      </c>
      <c r="L22" t="s">
        <v>1792</v>
      </c>
      <c r="M22" t="s">
        <v>1356</v>
      </c>
      <c r="N22" t="s">
        <v>2047</v>
      </c>
      <c r="O22" t="s">
        <v>397</v>
      </c>
      <c r="P22">
        <v>-17.809999999999999</v>
      </c>
      <c r="Q22" t="s">
        <v>1357</v>
      </c>
      <c r="R22">
        <v>77426245</v>
      </c>
      <c r="S22" s="6">
        <v>-0.30769999999999997</v>
      </c>
      <c r="T22" t="s">
        <v>1358</v>
      </c>
      <c r="U22">
        <v>511403180</v>
      </c>
      <c r="V22">
        <v>519822970</v>
      </c>
      <c r="W22">
        <v>1.33</v>
      </c>
      <c r="X22">
        <v>7.0000000000000007E-2</v>
      </c>
      <c r="Y22">
        <v>19.190000000000001</v>
      </c>
      <c r="Z22" t="s">
        <v>991</v>
      </c>
      <c r="AA22" t="s">
        <v>376</v>
      </c>
      <c r="AB22" t="s">
        <v>2048</v>
      </c>
      <c r="AC22" t="s">
        <v>2049</v>
      </c>
      <c r="AD22" t="s">
        <v>35</v>
      </c>
      <c r="AE22">
        <v>142813</v>
      </c>
      <c r="AF22" t="s">
        <v>1359</v>
      </c>
      <c r="AG22" t="s">
        <v>2050</v>
      </c>
      <c r="AH22" t="s">
        <v>1360</v>
      </c>
      <c r="AI22" t="s">
        <v>1131</v>
      </c>
      <c r="AJ22" t="s">
        <v>1361</v>
      </c>
      <c r="AK22" t="s">
        <v>942</v>
      </c>
      <c r="AL22" t="s">
        <v>1362</v>
      </c>
      <c r="AM22" t="s">
        <v>35</v>
      </c>
      <c r="AN22" t="s">
        <v>154</v>
      </c>
      <c r="AO22" t="s">
        <v>172</v>
      </c>
      <c r="AP22" t="s">
        <v>435</v>
      </c>
      <c r="AQ22" t="s">
        <v>683</v>
      </c>
      <c r="AR22" t="s">
        <v>35</v>
      </c>
      <c r="AS22" t="s">
        <v>1212</v>
      </c>
      <c r="AT22" t="s">
        <v>158</v>
      </c>
      <c r="AU22" t="s">
        <v>1174</v>
      </c>
      <c r="AV22" t="s">
        <v>2051</v>
      </c>
      <c r="AW22" t="s">
        <v>2052</v>
      </c>
      <c r="AX22" t="s">
        <v>1008</v>
      </c>
      <c r="AY22" t="s">
        <v>166</v>
      </c>
      <c r="AZ22" t="s">
        <v>403</v>
      </c>
      <c r="BA22" t="s">
        <v>642</v>
      </c>
      <c r="BB22" t="s">
        <v>643</v>
      </c>
      <c r="BC22" t="s">
        <v>450</v>
      </c>
      <c r="BD22" t="s">
        <v>626</v>
      </c>
      <c r="BE22" t="s">
        <v>455</v>
      </c>
      <c r="BF22" t="s">
        <v>214</v>
      </c>
      <c r="BG22" t="s">
        <v>150</v>
      </c>
      <c r="BH22" t="s">
        <v>1357</v>
      </c>
      <c r="BI22" t="s">
        <v>456</v>
      </c>
      <c r="BJ22" t="s">
        <v>1008</v>
      </c>
      <c r="BK22" t="s">
        <v>1358</v>
      </c>
      <c r="BL22" t="s">
        <v>250</v>
      </c>
      <c r="BM22" t="s">
        <v>450</v>
      </c>
      <c r="BN22">
        <v>10.59</v>
      </c>
      <c r="BO22">
        <v>16.09</v>
      </c>
      <c r="BP22">
        <v>15.25</v>
      </c>
      <c r="BQ22">
        <v>11.8</v>
      </c>
      <c r="BR22">
        <v>17.91</v>
      </c>
      <c r="BS22">
        <v>16.28</v>
      </c>
      <c r="BT22" t="s">
        <v>1363</v>
      </c>
      <c r="BU22" t="s">
        <v>733</v>
      </c>
      <c r="BV22">
        <v>49.48</v>
      </c>
      <c r="BW22">
        <v>51.22</v>
      </c>
      <c r="BX22">
        <v>50.79</v>
      </c>
      <c r="BY22">
        <v>27.48</v>
      </c>
      <c r="BZ22">
        <v>29.82</v>
      </c>
      <c r="CA22">
        <v>30.71</v>
      </c>
      <c r="CB22">
        <v>-3.74</v>
      </c>
      <c r="CC22">
        <v>-3.39</v>
      </c>
      <c r="CD22" t="s">
        <v>2053</v>
      </c>
      <c r="CE22" t="s">
        <v>828</v>
      </c>
      <c r="CF22" s="8">
        <v>-0.17835671342685383</v>
      </c>
      <c r="CG22" s="9">
        <v>-0.30869424107142868</v>
      </c>
      <c r="CH22" s="8">
        <v>0.21640488505363464</v>
      </c>
      <c r="CI22" s="8">
        <v>0.40441182255744934</v>
      </c>
      <c r="CJ22" s="8">
        <v>0.4166666567325592</v>
      </c>
      <c r="CK22" s="8">
        <v>0.10911425203084946</v>
      </c>
      <c r="CL22" s="8">
        <v>7.8947365283966064E-2</v>
      </c>
      <c r="CM22" s="9">
        <v>0.10020449757575989</v>
      </c>
      <c r="CN22" s="9">
        <v>0.32162162661552429</v>
      </c>
      <c r="CO22" s="9">
        <v>0.55462187528610229</v>
      </c>
      <c r="CP22" s="9">
        <v>0.2395833283662796</v>
      </c>
      <c r="CQ22" s="9">
        <v>0.19254659116268158</v>
      </c>
      <c r="CR22">
        <v>46.438913480885311</v>
      </c>
      <c r="CS22">
        <v>1.8946229708371141</v>
      </c>
      <c r="CT22">
        <v>0.70945945945945943</v>
      </c>
      <c r="CU22" s="8">
        <v>0.24510899633169175</v>
      </c>
      <c r="CV22" s="9">
        <v>0.28171558380126954</v>
      </c>
      <c r="CW22">
        <v>0.06</v>
      </c>
      <c r="CX22">
        <v>19.341292942879697</v>
      </c>
      <c r="CY22">
        <v>631951547.19476426</v>
      </c>
      <c r="CZ22">
        <v>0.24510899633169175</v>
      </c>
      <c r="DA22">
        <v>5.5559362140509103</v>
      </c>
      <c r="DB22">
        <v>2199946062.9315281</v>
      </c>
      <c r="DC22">
        <v>0.23285354651510715</v>
      </c>
      <c r="DD22">
        <v>2.2808226980071487</v>
      </c>
      <c r="DE22">
        <v>5358925974.6842852</v>
      </c>
      <c r="DF22">
        <v>0.21569591677188873</v>
      </c>
      <c r="DG22">
        <v>1.1016684695264767</v>
      </c>
      <c r="DH22">
        <v>11094771556.141235</v>
      </c>
      <c r="DI22">
        <v>0.19608719706535341</v>
      </c>
      <c r="DJ22">
        <v>0.3380151200087404</v>
      </c>
      <c r="DK22">
        <v>36160394244.150803</v>
      </c>
      <c r="DL22">
        <v>0.17157629743218422</v>
      </c>
      <c r="DM22">
        <v>538000000</v>
      </c>
      <c r="DN22">
        <v>0.24510899633169175</v>
      </c>
      <c r="DO22">
        <v>12222760000</v>
      </c>
      <c r="DP22">
        <v>2007366800</v>
      </c>
      <c r="DQ22">
        <v>1867</v>
      </c>
      <c r="DR22">
        <v>-0.42346570975854558</v>
      </c>
      <c r="DS22">
        <v>-0.59040982487269822</v>
      </c>
      <c r="DT22" s="10">
        <v>1.0000000000000011E-2</v>
      </c>
      <c r="DU22">
        <v>0.27999999999999992</v>
      </c>
      <c r="DV22">
        <v>0.28999999999999992</v>
      </c>
      <c r="DW22">
        <v>-4.9064171122994651</v>
      </c>
      <c r="DX22">
        <v>0.26830230414746509</v>
      </c>
      <c r="DY22">
        <v>-4.080038719534735</v>
      </c>
      <c r="DZ22">
        <v>1074</v>
      </c>
      <c r="EA22">
        <v>-4.0632164915933835</v>
      </c>
      <c r="EB22">
        <v>4</v>
      </c>
      <c r="EC22">
        <v>3.6861780078706413E-2</v>
      </c>
      <c r="ED22">
        <v>0.41744980988431502</v>
      </c>
      <c r="EE22" s="11">
        <v>2.1234099999999998</v>
      </c>
      <c r="EF22">
        <v>1.00271</v>
      </c>
      <c r="EG22">
        <v>18.088302304147465</v>
      </c>
      <c r="EH22" t="s">
        <v>969</v>
      </c>
      <c r="EI22">
        <v>0</v>
      </c>
      <c r="EJ22">
        <v>1</v>
      </c>
      <c r="EK22" s="13">
        <v>45470</v>
      </c>
      <c r="EL22" s="14">
        <v>1.78</v>
      </c>
      <c r="EM22" s="14">
        <v>-2.13</v>
      </c>
      <c r="EN22" s="14">
        <v>-2.6</v>
      </c>
      <c r="EO22" s="14">
        <v>2.5</v>
      </c>
      <c r="EP22" s="14">
        <v>-2.93</v>
      </c>
    </row>
    <row r="23" spans="1:146" ht="96" x14ac:dyDescent="0.25">
      <c r="A23" s="7"/>
      <c r="B23" s="7"/>
      <c r="C23" s="7" t="str">
        <f>""&amp;CHAR(10)&amp;Basic_Fundamental_Information_Constructure(F23)&amp;CHAR(10)&amp;Basic_Fundamental_Information_Concatenate("")</f>
        <v xml:space="preserve">
市值27.66123亿, 利润2403.51万; PE68.74; 平均PE-125.33; 平均PEG-6.05, PB3.7; ROIC3.9867%; ROE2.7167%; 股利率.0867%; 毛利30.5333%; 净利1.89%; 上一年度营收增13.03%, 利润增-11.09%; 当季营收增-2.13%, 利润增753.72%; 过往5年营收增20.72%, 利润增-89.2%
Income profile:
</v>
      </c>
      <c r="D23" t="s">
        <v>170</v>
      </c>
      <c r="E23" t="s">
        <v>14</v>
      </c>
      <c r="F23">
        <v>11.53</v>
      </c>
      <c r="G23">
        <v>0.26</v>
      </c>
      <c r="H23" t="s">
        <v>2054</v>
      </c>
      <c r="I23">
        <v>2766123000</v>
      </c>
      <c r="J23">
        <v>68.739999999999995</v>
      </c>
      <c r="K23">
        <v>3.7</v>
      </c>
      <c r="L23" t="s">
        <v>1792</v>
      </c>
      <c r="M23" t="s">
        <v>1364</v>
      </c>
      <c r="N23" t="s">
        <v>2055</v>
      </c>
      <c r="O23" t="s">
        <v>362</v>
      </c>
      <c r="P23">
        <v>-2.06</v>
      </c>
      <c r="Q23" t="s">
        <v>1365</v>
      </c>
      <c r="R23">
        <v>14055069</v>
      </c>
      <c r="S23" s="6">
        <v>7.5369999999999999</v>
      </c>
      <c r="T23" t="s">
        <v>1366</v>
      </c>
      <c r="U23">
        <v>239327470</v>
      </c>
      <c r="V23">
        <v>239906590</v>
      </c>
      <c r="W23">
        <v>3</v>
      </c>
      <c r="X23">
        <v>0.17</v>
      </c>
      <c r="Y23">
        <v>3.98</v>
      </c>
      <c r="Z23" t="s">
        <v>397</v>
      </c>
      <c r="AA23" t="s">
        <v>525</v>
      </c>
      <c r="AB23" t="s">
        <v>2056</v>
      </c>
      <c r="AC23" t="s">
        <v>2057</v>
      </c>
      <c r="AD23" t="s">
        <v>35</v>
      </c>
      <c r="AE23">
        <v>15208517</v>
      </c>
      <c r="AF23" t="s">
        <v>1367</v>
      </c>
      <c r="AG23" t="s">
        <v>2058</v>
      </c>
      <c r="AH23" t="s">
        <v>1368</v>
      </c>
      <c r="AI23" t="s">
        <v>63</v>
      </c>
      <c r="AJ23" t="s">
        <v>1369</v>
      </c>
      <c r="AK23" t="s">
        <v>2059</v>
      </c>
      <c r="AL23" t="s">
        <v>1370</v>
      </c>
      <c r="AM23" t="s">
        <v>35</v>
      </c>
      <c r="AN23" t="s">
        <v>2060</v>
      </c>
      <c r="AO23" t="s">
        <v>378</v>
      </c>
      <c r="AP23" t="s">
        <v>2061</v>
      </c>
      <c r="AQ23" t="s">
        <v>342</v>
      </c>
      <c r="AR23" t="s">
        <v>35</v>
      </c>
      <c r="AS23" t="s">
        <v>2062</v>
      </c>
      <c r="AT23" t="s">
        <v>388</v>
      </c>
      <c r="AU23" t="s">
        <v>2063</v>
      </c>
      <c r="AV23" t="s">
        <v>2064</v>
      </c>
      <c r="AW23" t="s">
        <v>2065</v>
      </c>
      <c r="AX23" t="s">
        <v>1009</v>
      </c>
      <c r="AY23" t="s">
        <v>839</v>
      </c>
      <c r="AZ23" t="s">
        <v>166</v>
      </c>
      <c r="BA23" t="s">
        <v>692</v>
      </c>
      <c r="BB23" t="s">
        <v>433</v>
      </c>
      <c r="BC23" t="s">
        <v>1010</v>
      </c>
      <c r="BD23" t="s">
        <v>691</v>
      </c>
      <c r="BE23" t="s">
        <v>432</v>
      </c>
      <c r="BF23" t="s">
        <v>171</v>
      </c>
      <c r="BG23" t="s">
        <v>434</v>
      </c>
      <c r="BH23" t="s">
        <v>1365</v>
      </c>
      <c r="BI23" t="s">
        <v>627</v>
      </c>
      <c r="BJ23" t="s">
        <v>1009</v>
      </c>
      <c r="BK23" t="s">
        <v>1366</v>
      </c>
      <c r="BL23" t="s">
        <v>1371</v>
      </c>
      <c r="BM23" t="s">
        <v>1010</v>
      </c>
      <c r="BN23">
        <v>3.93</v>
      </c>
      <c r="BO23">
        <v>4.68</v>
      </c>
      <c r="BP23">
        <v>3.35</v>
      </c>
      <c r="BQ23">
        <v>0.96</v>
      </c>
      <c r="BR23">
        <v>3.63</v>
      </c>
      <c r="BS23">
        <v>3.56</v>
      </c>
      <c r="BT23" t="s">
        <v>998</v>
      </c>
      <c r="BU23" t="s">
        <v>733</v>
      </c>
      <c r="BV23">
        <v>29.98</v>
      </c>
      <c r="BW23">
        <v>29.2</v>
      </c>
      <c r="BX23">
        <v>32.42</v>
      </c>
      <c r="BY23">
        <v>1.88</v>
      </c>
      <c r="BZ23">
        <v>1.89</v>
      </c>
      <c r="CA23">
        <v>1.9</v>
      </c>
      <c r="CB23">
        <v>-5.72</v>
      </c>
      <c r="CC23">
        <v>-25.66</v>
      </c>
      <c r="CD23" t="s">
        <v>2066</v>
      </c>
      <c r="CE23" t="s">
        <v>1078</v>
      </c>
      <c r="CF23" s="8">
        <v>-2.132701421800948E-2</v>
      </c>
      <c r="CG23" s="9">
        <v>7.5372413953488371</v>
      </c>
      <c r="CH23" s="8">
        <v>0.13027927279472351</v>
      </c>
      <c r="CI23" s="8">
        <v>0.20431028306484222</v>
      </c>
      <c r="CJ23" s="8">
        <v>-5.228758230805397E-2</v>
      </c>
      <c r="CK23" s="8">
        <v>-0.14703837037086487</v>
      </c>
      <c r="CL23" s="8">
        <v>0.90066236257553101</v>
      </c>
      <c r="CM23" s="9">
        <v>-0.11091752350330353</v>
      </c>
      <c r="CN23" s="9">
        <v>5.8837354183197021E-2</v>
      </c>
      <c r="CO23" s="9">
        <v>1.0780776739120483</v>
      </c>
      <c r="CP23" s="9">
        <v>-5.831660270690918</v>
      </c>
      <c r="CQ23" s="9">
        <v>0.34545084834098816</v>
      </c>
      <c r="CR23">
        <v>-125.33454664909624</v>
      </c>
      <c r="CS23">
        <v>-6.0493969063516921</v>
      </c>
      <c r="CT23">
        <v>8.673026886383349E-2</v>
      </c>
      <c r="CU23" s="8">
        <v>0.20718519315123557</v>
      </c>
      <c r="CV23" s="9">
        <v>-0.8920423835515976</v>
      </c>
      <c r="CW23">
        <v>0.06</v>
      </c>
      <c r="CX23">
        <v>133.20402475250995</v>
      </c>
      <c r="CY23">
        <v>27372468.713121947</v>
      </c>
      <c r="CZ23">
        <v>0.20718519315123557</v>
      </c>
      <c r="DA23">
        <v>39.471425265544383</v>
      </c>
      <c r="DB23">
        <v>92373735.56872277</v>
      </c>
      <c r="DC23">
        <v>0.19682593349367378</v>
      </c>
      <c r="DD23">
        <v>16.955152257497286</v>
      </c>
      <c r="DE23">
        <v>215045134.63674411</v>
      </c>
      <c r="DF23">
        <v>0.18232296997308731</v>
      </c>
      <c r="DG23">
        <v>8.6648911656352183</v>
      </c>
      <c r="DH23">
        <v>420792705.90961945</v>
      </c>
      <c r="DI23">
        <v>0.16574815452098846</v>
      </c>
      <c r="DJ23">
        <v>3.0614526436910769</v>
      </c>
      <c r="DK23">
        <v>1190978082.7457151</v>
      </c>
      <c r="DL23">
        <v>0.1450296352058649</v>
      </c>
      <c r="DM23">
        <v>24035100.000000004</v>
      </c>
      <c r="DN23">
        <v>0.20718519315123557</v>
      </c>
      <c r="DO23">
        <v>3646123000</v>
      </c>
      <c r="DP23">
        <v>538102400</v>
      </c>
      <c r="DQ23">
        <v>1896</v>
      </c>
      <c r="DR23">
        <v>-0.22851220736924505</v>
      </c>
      <c r="DS23">
        <v>8.4292837789004338</v>
      </c>
      <c r="DT23" s="10">
        <v>-9.0000000000000011E-2</v>
      </c>
      <c r="DU23">
        <v>-0.72333333333333327</v>
      </c>
      <c r="DV23">
        <v>-0.81333333333333324</v>
      </c>
      <c r="DW23">
        <v>-8.2229150428682782</v>
      </c>
      <c r="DX23">
        <v>0.27886189258312172</v>
      </c>
      <c r="DY23">
        <v>-8.0198086525945218</v>
      </c>
      <c r="DZ23">
        <v>3364</v>
      </c>
      <c r="EA23">
        <v>-8.0067682793405162</v>
      </c>
      <c r="EB23">
        <v>8</v>
      </c>
      <c r="EC23">
        <v>0.14482720128696758</v>
      </c>
      <c r="ED23">
        <v>1.6298009987970734</v>
      </c>
      <c r="EE23" s="11">
        <v>-1.0344100000000001</v>
      </c>
      <c r="EF23">
        <v>-1.0560100000000001</v>
      </c>
      <c r="EG23">
        <v>19.088861892583122</v>
      </c>
      <c r="EH23" t="s">
        <v>971</v>
      </c>
      <c r="EI23">
        <v>0</v>
      </c>
      <c r="EJ23">
        <v>0</v>
      </c>
      <c r="EK23" s="13">
        <v>45470</v>
      </c>
      <c r="EL23" s="14">
        <v>-1.38</v>
      </c>
      <c r="EM23" s="14">
        <v>-4.5999999999999996</v>
      </c>
      <c r="EN23" s="14">
        <v>0.6</v>
      </c>
      <c r="EO23" s="14">
        <v>3</v>
      </c>
      <c r="EP23" s="14">
        <v>-2.16</v>
      </c>
    </row>
    <row r="24" spans="1:146" ht="84" x14ac:dyDescent="0.25">
      <c r="A24" s="7"/>
      <c r="B24" s="7"/>
      <c r="C24" s="7" t="str">
        <f>""&amp;CHAR(10)&amp;Basic_Fundamental_Information_Constructure(F24)&amp;CHAR(10)&amp;Basic_Fundamental_Information_Concatenate("")</f>
        <v xml:space="preserve">
市值60.009973亿, 利润-2.17亿; PE; 平均PE117.29; 平均PEG5.53, PB2.47; ROIC1.28%; ROE-1.8433%; 股利率0%; 毛利12.9967%; 净利-10.12%; 上一年度营收增-63.63%, 利润增-3987.71%; 当季营收增37.25%, 利润增41.87%; 过往5年营收增-21.19%, 利润增-837.76%
Income profile:
</v>
      </c>
      <c r="D24" t="s">
        <v>178</v>
      </c>
      <c r="E24" t="s">
        <v>179</v>
      </c>
      <c r="F24">
        <v>6.23</v>
      </c>
      <c r="G24">
        <v>1.47</v>
      </c>
      <c r="H24" t="s">
        <v>2067</v>
      </c>
      <c r="I24">
        <v>6000997300</v>
      </c>
      <c r="K24">
        <v>2.4700000000000002</v>
      </c>
      <c r="L24" t="s">
        <v>1792</v>
      </c>
      <c r="M24" t="s">
        <v>1373</v>
      </c>
      <c r="N24" t="s">
        <v>2068</v>
      </c>
      <c r="O24" t="s">
        <v>688</v>
      </c>
      <c r="P24">
        <v>36.619999999999997</v>
      </c>
      <c r="Q24" t="s">
        <v>1374</v>
      </c>
      <c r="R24">
        <v>-11578813</v>
      </c>
      <c r="S24" s="6">
        <v>0.41870000000000002</v>
      </c>
      <c r="T24" t="s">
        <v>1154</v>
      </c>
      <c r="U24">
        <v>963241950</v>
      </c>
      <c r="V24">
        <v>963241950</v>
      </c>
      <c r="W24">
        <v>1.48</v>
      </c>
      <c r="X24">
        <v>0.04</v>
      </c>
      <c r="Y24">
        <v>-8.27</v>
      </c>
      <c r="Z24" t="s">
        <v>75</v>
      </c>
      <c r="AA24" t="s">
        <v>193</v>
      </c>
      <c r="AB24" t="s">
        <v>2069</v>
      </c>
      <c r="AC24" t="s">
        <v>2070</v>
      </c>
      <c r="AD24" t="s">
        <v>35</v>
      </c>
      <c r="AE24">
        <v>2816505</v>
      </c>
      <c r="AF24" t="s">
        <v>102</v>
      </c>
      <c r="AG24" t="s">
        <v>2071</v>
      </c>
      <c r="AH24" t="s">
        <v>1375</v>
      </c>
      <c r="AI24" t="s">
        <v>2072</v>
      </c>
      <c r="AJ24" t="s">
        <v>1376</v>
      </c>
      <c r="AK24" t="s">
        <v>2073</v>
      </c>
      <c r="AL24" t="s">
        <v>1377</v>
      </c>
      <c r="AM24" t="s">
        <v>35</v>
      </c>
      <c r="AN24" t="s">
        <v>1113</v>
      </c>
      <c r="AO24" t="s">
        <v>35</v>
      </c>
      <c r="AP24" t="s">
        <v>2074</v>
      </c>
      <c r="AQ24" t="s">
        <v>287</v>
      </c>
      <c r="AR24" t="s">
        <v>35</v>
      </c>
      <c r="AS24" t="s">
        <v>2075</v>
      </c>
      <c r="AT24" t="s">
        <v>35</v>
      </c>
      <c r="AU24" t="s">
        <v>2076</v>
      </c>
      <c r="AV24" t="s">
        <v>2077</v>
      </c>
      <c r="AW24">
        <v>1002.03</v>
      </c>
      <c r="AX24" t="s">
        <v>1163</v>
      </c>
      <c r="AY24" t="s">
        <v>854</v>
      </c>
      <c r="AZ24" t="s">
        <v>436</v>
      </c>
      <c r="BA24" t="s">
        <v>180</v>
      </c>
      <c r="BB24" t="s">
        <v>439</v>
      </c>
      <c r="BC24" t="s">
        <v>1378</v>
      </c>
      <c r="BD24" t="s">
        <v>693</v>
      </c>
      <c r="BE24" t="s">
        <v>437</v>
      </c>
      <c r="BF24" t="s">
        <v>154</v>
      </c>
      <c r="BG24" t="s">
        <v>122</v>
      </c>
      <c r="BH24" t="s">
        <v>1374</v>
      </c>
      <c r="BI24" t="s">
        <v>79</v>
      </c>
      <c r="BJ24" t="s">
        <v>1163</v>
      </c>
      <c r="BK24" t="s">
        <v>1154</v>
      </c>
      <c r="BL24" t="s">
        <v>1379</v>
      </c>
      <c r="BM24" t="s">
        <v>1378</v>
      </c>
      <c r="BN24" t="s">
        <v>35</v>
      </c>
      <c r="BO24">
        <v>0.26</v>
      </c>
      <c r="BP24">
        <v>2.2999999999999998</v>
      </c>
      <c r="BQ24">
        <v>-8.02</v>
      </c>
      <c r="BR24">
        <v>0.06</v>
      </c>
      <c r="BS24">
        <v>2.4300000000000002</v>
      </c>
      <c r="BT24" t="s">
        <v>948</v>
      </c>
      <c r="BU24" t="s">
        <v>823</v>
      </c>
      <c r="BV24">
        <v>-3.91</v>
      </c>
      <c r="BW24">
        <v>21.61</v>
      </c>
      <c r="BX24">
        <v>21.29</v>
      </c>
      <c r="BY24">
        <v>-34.729999999999997</v>
      </c>
      <c r="BZ24">
        <v>0.33</v>
      </c>
      <c r="CA24">
        <v>4.04</v>
      </c>
      <c r="CB24">
        <v>-3.71</v>
      </c>
      <c r="CC24">
        <v>-12.75</v>
      </c>
      <c r="CD24" t="s">
        <v>2078</v>
      </c>
      <c r="CE24" t="s">
        <v>129</v>
      </c>
      <c r="CF24" s="8">
        <v>0.37254901960784315</v>
      </c>
      <c r="CG24" s="9">
        <v>0.41871969677953763</v>
      </c>
      <c r="CH24" s="8">
        <v>-0.63630878925323486</v>
      </c>
      <c r="CI24" s="8">
        <v>-2.3557126522064209E-2</v>
      </c>
      <c r="CJ24" s="8">
        <v>-6.7545272409915924E-2</v>
      </c>
      <c r="CK24" s="8">
        <v>-0.26095780730247498</v>
      </c>
      <c r="CL24" s="8">
        <v>-7.1240082383155823E-2</v>
      </c>
      <c r="CM24" s="9">
        <v>-39.877067565917969</v>
      </c>
      <c r="CN24" s="9">
        <v>-1.0786683559417725</v>
      </c>
      <c r="CO24" s="9">
        <v>-0.1327623724937439</v>
      </c>
      <c r="CP24" s="9">
        <v>-0.51367998123168945</v>
      </c>
      <c r="CQ24" s="9">
        <v>-0.28571429848670959</v>
      </c>
      <c r="CR24">
        <v>117.28967690109629</v>
      </c>
      <c r="CS24">
        <v>5.5345730491841136</v>
      </c>
      <c r="CT24">
        <v>0</v>
      </c>
      <c r="CU24" s="8">
        <v>-0.21192181557416917</v>
      </c>
      <c r="CV24" s="9">
        <v>-8.3775785148143775</v>
      </c>
      <c r="CW24">
        <v>0.06</v>
      </c>
      <c r="CX24" t="e">
        <v>#VALUE!</v>
      </c>
      <c r="CY24" t="s">
        <v>739</v>
      </c>
      <c r="CZ24">
        <v>-0.21192181557416917</v>
      </c>
      <c r="DA24" t="e">
        <v>#VALUE!</v>
      </c>
      <c r="DB24" t="s">
        <v>740</v>
      </c>
      <c r="DC24">
        <v>-0.20132572479546071</v>
      </c>
      <c r="DD24" t="e">
        <v>#VALUE!</v>
      </c>
      <c r="DE24" t="s">
        <v>740</v>
      </c>
      <c r="DF24">
        <v>-0.18649119770526887</v>
      </c>
      <c r="DG24" t="e">
        <v>#VALUE!</v>
      </c>
      <c r="DH24" t="s">
        <v>740</v>
      </c>
      <c r="DI24">
        <v>-0.16953745245933535</v>
      </c>
      <c r="DJ24" t="e">
        <v>#VALUE!</v>
      </c>
      <c r="DK24" t="s">
        <v>740</v>
      </c>
      <c r="DL24">
        <v>-0.1483452709019184</v>
      </c>
      <c r="DM24">
        <v>-217000000</v>
      </c>
      <c r="DN24">
        <v>-0.21192181557416917</v>
      </c>
      <c r="DO24">
        <v>4831997300</v>
      </c>
      <c r="DP24">
        <v>1615973600</v>
      </c>
      <c r="DQ24">
        <v>1996</v>
      </c>
      <c r="DR24">
        <v>0.58447083518201226</v>
      </c>
      <c r="DS24">
        <v>8.7962982115939159</v>
      </c>
      <c r="DT24" s="10">
        <v>-0.89</v>
      </c>
      <c r="DU24">
        <v>-2.5816666666666666</v>
      </c>
      <c r="DV24">
        <v>-3.4716666666666667</v>
      </c>
      <c r="DW24">
        <v>-8.2909803921568628</v>
      </c>
      <c r="DX24">
        <v>0.29353709273183043</v>
      </c>
      <c r="DY24">
        <v>-8.0301272638458894</v>
      </c>
      <c r="DZ24">
        <v>5029</v>
      </c>
      <c r="EA24">
        <v>-8.0004775554543084</v>
      </c>
      <c r="EB24">
        <v>8</v>
      </c>
      <c r="EC24">
        <v>4.2887770824349997E-2</v>
      </c>
      <c r="ED24">
        <v>0.41422614536254365</v>
      </c>
      <c r="EE24" s="11">
        <v>1.01631</v>
      </c>
      <c r="EF24">
        <v>1.0273099999999999</v>
      </c>
      <c r="EG24">
        <v>19.10353709273183</v>
      </c>
      <c r="EH24" t="s">
        <v>969</v>
      </c>
      <c r="EI24">
        <v>0</v>
      </c>
      <c r="EJ24">
        <v>0</v>
      </c>
      <c r="EK24" s="13">
        <v>45470</v>
      </c>
      <c r="EL24" s="14">
        <v>-0.16</v>
      </c>
      <c r="EM24" s="14">
        <v>-2.1800000000000002</v>
      </c>
      <c r="EN24" s="14">
        <v>-0.64</v>
      </c>
      <c r="EO24" s="14">
        <v>1.76</v>
      </c>
      <c r="EP24" s="14">
        <v>-1.1000000000000001</v>
      </c>
    </row>
    <row r="25" spans="1:146" ht="84" x14ac:dyDescent="0.25">
      <c r="A25" s="7"/>
      <c r="B25" s="7"/>
      <c r="C25" s="7" t="str">
        <f>""&amp;CHAR(10)&amp;Basic_Fundamental_Information_Constructure(F25)&amp;CHAR(10)&amp;Basic_Fundamental_Information_Concatenate("")</f>
        <v xml:space="preserve">
市值39.497865亿, 利润575.42万; PE; 平均PE97.01; 平均PEG12.96, PB3.88; ROIC3.75%; ROE1.45%; 股利率.1811%; 毛利40.3433%; 净利9.9%; 上一年度营收增0%, 利润增-83.87%; 当季营收增-95.62%, 利润增-79.37%; 过往5年营收增7.48%, 利润增-20.62%
Income profile:
</v>
      </c>
      <c r="D25" t="s">
        <v>181</v>
      </c>
      <c r="E25" t="s">
        <v>18</v>
      </c>
      <c r="F25">
        <v>7.18</v>
      </c>
      <c r="G25">
        <v>0.84</v>
      </c>
      <c r="H25" t="s">
        <v>2079</v>
      </c>
      <c r="I25">
        <v>3949786500</v>
      </c>
      <c r="K25">
        <v>3.88</v>
      </c>
      <c r="L25" t="s">
        <v>1792</v>
      </c>
      <c r="M25" t="s">
        <v>65</v>
      </c>
      <c r="N25" t="s">
        <v>2080</v>
      </c>
      <c r="O25" t="s">
        <v>1380</v>
      </c>
      <c r="P25">
        <v>-95.62</v>
      </c>
      <c r="Q25" t="s">
        <v>65</v>
      </c>
      <c r="R25">
        <v>-15056639</v>
      </c>
      <c r="S25" s="6">
        <v>-0.79369999999999996</v>
      </c>
      <c r="T25" t="s">
        <v>1381</v>
      </c>
      <c r="U25">
        <v>550109550</v>
      </c>
      <c r="V25">
        <v>550109550</v>
      </c>
      <c r="W25">
        <v>1.19</v>
      </c>
      <c r="X25">
        <v>0</v>
      </c>
      <c r="Y25">
        <v>-1138.94</v>
      </c>
      <c r="Z25" t="s">
        <v>2081</v>
      </c>
      <c r="AA25" t="s">
        <v>2082</v>
      </c>
      <c r="AB25" t="s">
        <v>2083</v>
      </c>
      <c r="AC25" t="s">
        <v>2084</v>
      </c>
      <c r="AD25" t="s">
        <v>35</v>
      </c>
      <c r="AE25">
        <v>-518110</v>
      </c>
      <c r="AF25" t="s">
        <v>102</v>
      </c>
      <c r="AG25">
        <v>521.05999999999995</v>
      </c>
      <c r="AH25" t="s">
        <v>1382</v>
      </c>
      <c r="AI25" t="s">
        <v>215</v>
      </c>
      <c r="AJ25" t="s">
        <v>1383</v>
      </c>
      <c r="AK25" t="s">
        <v>2085</v>
      </c>
      <c r="AL25" t="s">
        <v>1384</v>
      </c>
      <c r="AM25" t="s">
        <v>35</v>
      </c>
      <c r="AN25" t="s">
        <v>2086</v>
      </c>
      <c r="AO25" t="s">
        <v>35</v>
      </c>
      <c r="AP25" t="s">
        <v>2087</v>
      </c>
      <c r="AQ25" t="s">
        <v>855</v>
      </c>
      <c r="AR25" t="s">
        <v>35</v>
      </c>
      <c r="AS25" t="s">
        <v>195</v>
      </c>
      <c r="AT25" t="s">
        <v>35</v>
      </c>
      <c r="AU25" t="s">
        <v>2088</v>
      </c>
      <c r="AV25" t="s">
        <v>2089</v>
      </c>
      <c r="AW25" t="s">
        <v>2090</v>
      </c>
      <c r="AX25" t="s">
        <v>65</v>
      </c>
      <c r="AY25" t="s">
        <v>122</v>
      </c>
      <c r="AZ25" t="s">
        <v>139</v>
      </c>
      <c r="BA25" t="s">
        <v>182</v>
      </c>
      <c r="BB25" t="s">
        <v>401</v>
      </c>
      <c r="BC25" t="s">
        <v>1015</v>
      </c>
      <c r="BD25" t="s">
        <v>694</v>
      </c>
      <c r="BE25" t="s">
        <v>440</v>
      </c>
      <c r="BF25" t="s">
        <v>183</v>
      </c>
      <c r="BG25" t="s">
        <v>441</v>
      </c>
      <c r="BH25" t="s">
        <v>65</v>
      </c>
      <c r="BI25" t="s">
        <v>1385</v>
      </c>
      <c r="BJ25" t="s">
        <v>65</v>
      </c>
      <c r="BK25" t="s">
        <v>1381</v>
      </c>
      <c r="BL25" t="s">
        <v>1386</v>
      </c>
      <c r="BM25" t="s">
        <v>1015</v>
      </c>
      <c r="BN25" t="s">
        <v>35</v>
      </c>
      <c r="BO25">
        <v>3.92</v>
      </c>
      <c r="BP25">
        <v>3.58</v>
      </c>
      <c r="BQ25">
        <v>-3.23</v>
      </c>
      <c r="BR25">
        <v>3.93</v>
      </c>
      <c r="BS25">
        <v>3.65</v>
      </c>
      <c r="BT25" t="s">
        <v>1387</v>
      </c>
      <c r="BU25" t="s">
        <v>733</v>
      </c>
      <c r="BV25">
        <v>41.31</v>
      </c>
      <c r="BW25">
        <v>38.31</v>
      </c>
      <c r="BX25">
        <v>41.41</v>
      </c>
      <c r="BY25">
        <v>2.4700000000000002</v>
      </c>
      <c r="BZ25">
        <v>15.31</v>
      </c>
      <c r="CA25">
        <v>11.92</v>
      </c>
      <c r="CB25">
        <v>-6.39</v>
      </c>
      <c r="CC25">
        <v>-24.16</v>
      </c>
      <c r="CD25" t="s">
        <v>2091</v>
      </c>
      <c r="CE25" t="s">
        <v>361</v>
      </c>
      <c r="CF25" s="8">
        <v>-0.95616318436995351</v>
      </c>
      <c r="CG25" s="9">
        <v>-0.79367415984656253</v>
      </c>
      <c r="CH25" s="8">
        <v>0</v>
      </c>
      <c r="CI25" s="8">
        <v>4.01785708963871E-2</v>
      </c>
      <c r="CJ25" s="8">
        <v>-0.17343173921108246</v>
      </c>
      <c r="CK25" s="8">
        <v>0.13389120995998383</v>
      </c>
      <c r="CL25" s="8">
        <v>0.37356323003768921</v>
      </c>
      <c r="CM25" s="9">
        <v>-0.83872306346893311</v>
      </c>
      <c r="CN25" s="9">
        <v>0.33515700697898865</v>
      </c>
      <c r="CO25" s="9">
        <v>-0.57553708553314209</v>
      </c>
      <c r="CP25" s="9">
        <v>0.29543322324752808</v>
      </c>
      <c r="CQ25" s="9">
        <v>-0.2475731372833252</v>
      </c>
      <c r="CR25">
        <v>97.006388850457185</v>
      </c>
      <c r="CS25">
        <v>12.961793049789625</v>
      </c>
      <c r="CT25">
        <v>0.18105849582172703</v>
      </c>
      <c r="CU25" s="8">
        <v>7.4840254336595538E-2</v>
      </c>
      <c r="CV25" s="9">
        <v>-0.20624861121177673</v>
      </c>
      <c r="CW25">
        <v>0.06</v>
      </c>
      <c r="CX25">
        <v>542.40215570264422</v>
      </c>
      <c r="CY25">
        <v>5834760.1806638092</v>
      </c>
      <c r="CZ25">
        <v>7.4840254336595538E-2</v>
      </c>
      <c r="DA25">
        <v>179.54595409097965</v>
      </c>
      <c r="DB25">
        <v>17626609.945197303</v>
      </c>
      <c r="DC25">
        <v>7.1098241619765759E-2</v>
      </c>
      <c r="DD25">
        <v>89.910361520596183</v>
      </c>
      <c r="DE25">
        <v>35199352.404728435</v>
      </c>
      <c r="DF25">
        <v>6.5859423816204077E-2</v>
      </c>
      <c r="DG25">
        <v>55.036072562233912</v>
      </c>
      <c r="DH25">
        <v>57503857.972810648</v>
      </c>
      <c r="DI25">
        <v>5.9872203469276436E-2</v>
      </c>
      <c r="DJ25">
        <v>29.635927504386071</v>
      </c>
      <c r="DK25">
        <v>106788846.05624765</v>
      </c>
      <c r="DL25">
        <v>5.2388178035616871E-2</v>
      </c>
      <c r="DM25">
        <v>5754200</v>
      </c>
      <c r="DN25">
        <v>7.4840254336595538E-2</v>
      </c>
      <c r="DO25">
        <v>3164786500</v>
      </c>
      <c r="DP25">
        <v>798646480</v>
      </c>
      <c r="DQ25">
        <v>2048</v>
      </c>
      <c r="DR25">
        <v>-1.031003438706549</v>
      </c>
      <c r="DS25">
        <v>-0.5874255486347858</v>
      </c>
      <c r="DT25" s="10">
        <v>-0.47333333333333338</v>
      </c>
      <c r="DU25">
        <v>-1.1983333333333335</v>
      </c>
      <c r="DV25">
        <v>-1.6716666666666669</v>
      </c>
      <c r="DW25">
        <v>-9.264486754966887</v>
      </c>
      <c r="DX25">
        <v>0.26128874734607238</v>
      </c>
      <c r="DY25">
        <v>-9.0162100619015479</v>
      </c>
      <c r="DZ25">
        <v>4156</v>
      </c>
      <c r="EA25">
        <v>-9.0030263011847502</v>
      </c>
      <c r="EB25">
        <v>9</v>
      </c>
      <c r="EC25">
        <v>5.2475002479051673E-2</v>
      </c>
      <c r="ED25">
        <v>0.85619309826560908</v>
      </c>
      <c r="EE25" s="11">
        <v>-4.0279100000000003</v>
      </c>
      <c r="EF25">
        <v>-4.0449099999999998</v>
      </c>
      <c r="EG25">
        <v>20.061288747346072</v>
      </c>
      <c r="EH25" t="s">
        <v>1662</v>
      </c>
      <c r="EI25">
        <v>0</v>
      </c>
      <c r="EJ25">
        <v>0</v>
      </c>
      <c r="EK25" s="13">
        <v>45470</v>
      </c>
      <c r="EL25" s="14">
        <v>0.89</v>
      </c>
      <c r="EM25" s="14">
        <v>-5.05</v>
      </c>
      <c r="EN25" s="14">
        <v>-0.66</v>
      </c>
      <c r="EO25" s="14">
        <v>2.54</v>
      </c>
      <c r="EP25" s="14">
        <v>-1.7</v>
      </c>
    </row>
    <row r="26" spans="1:146" ht="132" x14ac:dyDescent="0.25">
      <c r="A26" s="7" t="s">
        <v>966</v>
      </c>
      <c r="B26" s="7"/>
      <c r="C26" s="7" t="str">
        <f>"公司主要从事公务执法船艇、旅游休闲船艇和特种作业船艇的设计、研发、生产和销售，主要产品按照用途可分为旅游休闲船艇、公务执法船艇，按材质可分为玻璃钢船艇、金属及多材质复合船艇。"&amp;CHAR(10)&amp;Basic_Fundamental_Information_Constructure(F26)&amp;CHAR(10)&amp;Basic_Fundamental_Information_Concatenate("特种作业船艇 1.05亿 42.45% 43.05% 21.06%
公务执法船艇 7629.20万 30.73% 32.76% 22.14%
旅游休闲船艇 6285.67万 25.32% 19.19% 15.74%")</f>
        <v>公司主要从事公务执法船艇、旅游休闲船艇和特种作业船艇的设计、研发、生产和销售，主要产品按照用途可分为旅游休闲船艇、公务执法船艇，按材质可分为玻璃钢船艇、金属及多材质复合船艇。
市值42.563183亿, 利润4407.43万; PE80.97; 平均PE128.73; 平均PEG5.63, PB5.1; ROIC1.87%; ROE4.4933%; 股利率.2662%; 毛利17.1833%; 净利3.9467%; 上一年度营收增74.3%, 利润增236.45%; 当季营收增110%, 利润增157.76%; 过往5年营收增22.86%, 利润增39.63%
Income profile:
特种作业船艇 1.05亿 42.45% 43.05% 21.06%
公务执法船艇 7629.20万 30.73% 32.76% 22.14%
旅游休闲船艇 6285.67万 25.32% 19.19% 15.74%</v>
      </c>
      <c r="D26" t="s">
        <v>185</v>
      </c>
      <c r="E26" t="s">
        <v>13</v>
      </c>
      <c r="F26">
        <v>11.27</v>
      </c>
      <c r="G26">
        <v>1.17</v>
      </c>
      <c r="H26" t="s">
        <v>2092</v>
      </c>
      <c r="I26">
        <v>4256318300</v>
      </c>
      <c r="J26">
        <v>80.97</v>
      </c>
      <c r="K26">
        <v>5.0999999999999996</v>
      </c>
      <c r="L26" t="s">
        <v>1792</v>
      </c>
      <c r="M26" t="s">
        <v>1388</v>
      </c>
      <c r="N26" t="s">
        <v>2093</v>
      </c>
      <c r="O26" t="s">
        <v>1389</v>
      </c>
      <c r="P26">
        <v>109.57</v>
      </c>
      <c r="Q26" t="s">
        <v>1276</v>
      </c>
      <c r="R26">
        <v>13870943</v>
      </c>
      <c r="S26" s="6">
        <v>1.5780000000000001</v>
      </c>
      <c r="T26" t="s">
        <v>1390</v>
      </c>
      <c r="U26">
        <v>222796610</v>
      </c>
      <c r="V26">
        <v>377668000</v>
      </c>
      <c r="W26">
        <v>2.67</v>
      </c>
      <c r="X26">
        <v>0.15</v>
      </c>
      <c r="Y26">
        <v>3.88</v>
      </c>
      <c r="Z26" t="s">
        <v>229</v>
      </c>
      <c r="AA26" t="s">
        <v>1433</v>
      </c>
      <c r="AB26" t="s">
        <v>2094</v>
      </c>
      <c r="AC26" t="s">
        <v>2095</v>
      </c>
      <c r="AD26" t="s">
        <v>35</v>
      </c>
      <c r="AE26">
        <v>-3371263</v>
      </c>
      <c r="AF26" t="s">
        <v>1391</v>
      </c>
      <c r="AG26" t="s">
        <v>2096</v>
      </c>
      <c r="AH26" t="s">
        <v>1392</v>
      </c>
      <c r="AI26" t="s">
        <v>646</v>
      </c>
      <c r="AJ26" t="s">
        <v>1393</v>
      </c>
      <c r="AK26" t="s">
        <v>35</v>
      </c>
      <c r="AL26" t="s">
        <v>1394</v>
      </c>
      <c r="AM26" t="s">
        <v>35</v>
      </c>
      <c r="AN26" t="s">
        <v>2097</v>
      </c>
      <c r="AO26" t="s">
        <v>2098</v>
      </c>
      <c r="AP26" t="s">
        <v>2099</v>
      </c>
      <c r="AQ26" t="s">
        <v>827</v>
      </c>
      <c r="AR26" t="s">
        <v>35</v>
      </c>
      <c r="AS26" t="s">
        <v>2100</v>
      </c>
      <c r="AT26" t="s">
        <v>35</v>
      </c>
      <c r="AU26" t="s">
        <v>1305</v>
      </c>
      <c r="AV26" t="s">
        <v>2101</v>
      </c>
      <c r="AW26" t="s">
        <v>2102</v>
      </c>
      <c r="AX26" t="s">
        <v>423</v>
      </c>
      <c r="AY26" t="s">
        <v>856</v>
      </c>
      <c r="AZ26" t="s">
        <v>442</v>
      </c>
      <c r="BA26" t="s">
        <v>186</v>
      </c>
      <c r="BB26" t="s">
        <v>210</v>
      </c>
      <c r="BC26" t="s">
        <v>1016</v>
      </c>
      <c r="BD26" t="s">
        <v>695</v>
      </c>
      <c r="BE26" t="s">
        <v>443</v>
      </c>
      <c r="BF26" t="s">
        <v>187</v>
      </c>
      <c r="BG26" t="s">
        <v>447</v>
      </c>
      <c r="BH26" t="s">
        <v>1276</v>
      </c>
      <c r="BI26" t="s">
        <v>249</v>
      </c>
      <c r="BJ26" t="s">
        <v>423</v>
      </c>
      <c r="BK26" t="s">
        <v>1390</v>
      </c>
      <c r="BL26" t="s">
        <v>1395</v>
      </c>
      <c r="BM26" t="s">
        <v>1016</v>
      </c>
      <c r="BN26">
        <v>-0.37</v>
      </c>
      <c r="BO26">
        <v>-0.05</v>
      </c>
      <c r="BP26">
        <v>6.03</v>
      </c>
      <c r="BQ26">
        <v>1.98</v>
      </c>
      <c r="BR26">
        <v>1.75</v>
      </c>
      <c r="BS26">
        <v>9.75</v>
      </c>
      <c r="BT26" t="s">
        <v>952</v>
      </c>
      <c r="BU26" t="s">
        <v>846</v>
      </c>
      <c r="BV26">
        <v>14.13</v>
      </c>
      <c r="BW26">
        <v>16.84</v>
      </c>
      <c r="BX26">
        <v>20.58</v>
      </c>
      <c r="BY26">
        <v>3.81</v>
      </c>
      <c r="BZ26">
        <v>2.0699999999999998</v>
      </c>
      <c r="CA26">
        <v>5.96</v>
      </c>
      <c r="CB26">
        <v>-4.8899999999999997</v>
      </c>
      <c r="CC26">
        <v>-12.09</v>
      </c>
      <c r="CD26" t="s">
        <v>2103</v>
      </c>
      <c r="CE26" t="s">
        <v>646</v>
      </c>
      <c r="CF26" s="8">
        <v>1.1000000000000001</v>
      </c>
      <c r="CG26" s="9">
        <v>1.5775714498086</v>
      </c>
      <c r="CH26" s="8">
        <v>0.74302506446838379</v>
      </c>
      <c r="CI26" s="8">
        <v>-1.4471779577434063E-2</v>
      </c>
      <c r="CJ26" s="8">
        <v>0.12724307179450989</v>
      </c>
      <c r="CK26" s="8">
        <v>0.11252268403768539</v>
      </c>
      <c r="CL26" s="8">
        <v>0.17484009265899658</v>
      </c>
      <c r="CM26" s="9">
        <v>2.3645017147064209</v>
      </c>
      <c r="CN26" s="9">
        <v>-0.68186455965042114</v>
      </c>
      <c r="CO26" s="9">
        <v>0.18120482563972473</v>
      </c>
      <c r="CP26" s="9">
        <v>2.4011092260479927E-2</v>
      </c>
      <c r="CQ26" s="9">
        <v>9.3527354300022125E-2</v>
      </c>
      <c r="CR26">
        <v>128.7293604087013</v>
      </c>
      <c r="CS26">
        <v>5.6304217256194082</v>
      </c>
      <c r="CT26">
        <v>0.26619343389529726</v>
      </c>
      <c r="CU26" s="8">
        <v>0.22863182667642831</v>
      </c>
      <c r="CV26" s="9">
        <v>0.39627608545124532</v>
      </c>
      <c r="CW26">
        <v>0.06</v>
      </c>
      <c r="CX26">
        <v>96.51029403451885</v>
      </c>
      <c r="CY26">
        <v>51085931.80989141</v>
      </c>
      <c r="CZ26">
        <v>0.22863182667642831</v>
      </c>
      <c r="DA26">
        <v>28.099078469854543</v>
      </c>
      <c r="DB26">
        <v>175461921.47508964</v>
      </c>
      <c r="DC26">
        <v>0.21720023534260688</v>
      </c>
      <c r="DD26">
        <v>11.765321395467323</v>
      </c>
      <c r="DE26">
        <v>419055131.11604768</v>
      </c>
      <c r="DF26">
        <v>0.20119600747525693</v>
      </c>
      <c r="DG26">
        <v>5.8250598289847897</v>
      </c>
      <c r="DH26">
        <v>846397881.69510901</v>
      </c>
      <c r="DI26">
        <v>0.18290546134114266</v>
      </c>
      <c r="DJ26">
        <v>1.9018986985912638</v>
      </c>
      <c r="DK26">
        <v>2592313830.2013068</v>
      </c>
      <c r="DL26">
        <v>0.16004227867349982</v>
      </c>
      <c r="DM26">
        <v>44074300</v>
      </c>
      <c r="DN26">
        <v>0.22863182667642831</v>
      </c>
      <c r="DO26">
        <v>4930318300</v>
      </c>
      <c r="DP26">
        <v>-61626930</v>
      </c>
      <c r="DQ26">
        <v>2056</v>
      </c>
      <c r="DR26">
        <v>0.87136817332357175</v>
      </c>
      <c r="DS26">
        <v>1.1812953643573547</v>
      </c>
      <c r="DT26" s="10">
        <v>-6.6666666666666714E-3</v>
      </c>
      <c r="DU26">
        <v>0.35333333333333333</v>
      </c>
      <c r="DV26">
        <v>0.34666666666666668</v>
      </c>
      <c r="DW26">
        <v>-8.4044665012406945</v>
      </c>
      <c r="DX26">
        <v>0.23492060606060647</v>
      </c>
      <c r="DY26">
        <v>-8.0343475404165723</v>
      </c>
      <c r="DZ26">
        <v>958</v>
      </c>
      <c r="EA26">
        <v>-8.0279082167924862</v>
      </c>
      <c r="EB26">
        <v>8</v>
      </c>
      <c r="EC26">
        <v>7.4202209347892858E-2</v>
      </c>
      <c r="ED26">
        <v>0.87378332291854222</v>
      </c>
      <c r="EE26" s="11">
        <v>-2.0262000000000002</v>
      </c>
      <c r="EF26">
        <v>-2.0200999999999998</v>
      </c>
      <c r="EG26">
        <v>15.084920606060606</v>
      </c>
      <c r="EH26" t="s">
        <v>1067</v>
      </c>
      <c r="EI26">
        <v>0</v>
      </c>
      <c r="EJ26">
        <v>1</v>
      </c>
      <c r="EK26" s="13">
        <v>45470</v>
      </c>
      <c r="EL26" s="14">
        <v>0.26</v>
      </c>
      <c r="EM26" s="14">
        <v>-5.26</v>
      </c>
      <c r="EN26" s="14">
        <v>-0.63</v>
      </c>
      <c r="EO26" s="14">
        <v>2.7</v>
      </c>
      <c r="EP26" s="14">
        <v>-0.61</v>
      </c>
    </row>
    <row r="27" spans="1:146" ht="84" x14ac:dyDescent="0.25">
      <c r="A27" s="7"/>
      <c r="B27" s="7"/>
      <c r="C27" s="7" t="str">
        <f>""&amp;CHAR(10)&amp;Basic_Fundamental_Information_Constructure(F27)&amp;CHAR(10)&amp;Basic_Fundamental_Information_Concatenate("")</f>
        <v xml:space="preserve">
市值15.241346亿, 利润-2313.47万; PE; 平均PE-312.74; 平均PEG-22.94, PB1.61; ROIC0%; ROE-9.8833%; 股利率0%; 毛利31.44%; 净利-45.29%; 上一年度营收增-28.47%, 利润增-4872%; 当季营收增19.64%, 利润增101.21%; 过往5年营收增-13.63%, 利润增-1061.25%
Income profile:
</v>
      </c>
      <c r="D27" t="s">
        <v>190</v>
      </c>
      <c r="E27" t="s">
        <v>1787</v>
      </c>
      <c r="F27">
        <v>5.18</v>
      </c>
      <c r="G27">
        <v>0.97</v>
      </c>
      <c r="H27" t="s">
        <v>2104</v>
      </c>
      <c r="I27">
        <v>1524134600</v>
      </c>
      <c r="K27">
        <v>1.61</v>
      </c>
      <c r="L27" t="s">
        <v>1792</v>
      </c>
      <c r="M27" t="s">
        <v>323</v>
      </c>
      <c r="N27" t="s">
        <v>1842</v>
      </c>
      <c r="O27" t="s">
        <v>1396</v>
      </c>
      <c r="P27">
        <v>19.64</v>
      </c>
      <c r="Q27" t="s">
        <v>353</v>
      </c>
      <c r="R27">
        <v>70417</v>
      </c>
      <c r="S27" s="6">
        <v>1.012</v>
      </c>
      <c r="T27" t="s">
        <v>1397</v>
      </c>
      <c r="U27">
        <v>230290960</v>
      </c>
      <c r="V27">
        <v>294234480</v>
      </c>
      <c r="W27">
        <v>1.23</v>
      </c>
      <c r="X27">
        <v>0.05</v>
      </c>
      <c r="Y27">
        <v>-0.48</v>
      </c>
      <c r="Z27" t="s">
        <v>2105</v>
      </c>
      <c r="AA27" t="s">
        <v>2106</v>
      </c>
      <c r="AB27" t="s">
        <v>2107</v>
      </c>
      <c r="AC27" t="s">
        <v>2108</v>
      </c>
      <c r="AD27" t="s">
        <v>35</v>
      </c>
      <c r="AE27">
        <v>-294775</v>
      </c>
      <c r="AF27" t="s">
        <v>1398</v>
      </c>
      <c r="AG27" t="s">
        <v>2109</v>
      </c>
      <c r="AH27" t="s">
        <v>1399</v>
      </c>
      <c r="AI27" t="s">
        <v>206</v>
      </c>
      <c r="AJ27" t="s">
        <v>1400</v>
      </c>
      <c r="AK27" t="s">
        <v>2110</v>
      </c>
      <c r="AL27" t="s">
        <v>1401</v>
      </c>
      <c r="AM27" t="s">
        <v>35</v>
      </c>
      <c r="AN27" t="s">
        <v>2111</v>
      </c>
      <c r="AO27" t="s">
        <v>2112</v>
      </c>
      <c r="AP27" t="s">
        <v>2113</v>
      </c>
      <c r="AQ27" t="s">
        <v>2114</v>
      </c>
      <c r="AR27" t="s">
        <v>35</v>
      </c>
      <c r="AS27" t="s">
        <v>132</v>
      </c>
      <c r="AT27" t="s">
        <v>35</v>
      </c>
      <c r="AU27" t="s">
        <v>2115</v>
      </c>
      <c r="AV27" t="s">
        <v>2116</v>
      </c>
      <c r="AW27" t="s">
        <v>2117</v>
      </c>
      <c r="AX27" t="s">
        <v>88</v>
      </c>
      <c r="AY27" t="s">
        <v>614</v>
      </c>
      <c r="AZ27" t="s">
        <v>89</v>
      </c>
      <c r="BA27" t="s">
        <v>191</v>
      </c>
      <c r="BB27" t="s">
        <v>450</v>
      </c>
      <c r="BC27" t="s">
        <v>1017</v>
      </c>
      <c r="BD27" t="s">
        <v>697</v>
      </c>
      <c r="BE27" t="s">
        <v>449</v>
      </c>
      <c r="BF27" t="s">
        <v>192</v>
      </c>
      <c r="BG27" t="s">
        <v>230</v>
      </c>
      <c r="BH27" t="s">
        <v>353</v>
      </c>
      <c r="BI27" t="s">
        <v>1402</v>
      </c>
      <c r="BJ27" t="s">
        <v>88</v>
      </c>
      <c r="BK27" t="s">
        <v>1397</v>
      </c>
      <c r="BL27" t="s">
        <v>1403</v>
      </c>
      <c r="BM27" t="s">
        <v>1017</v>
      </c>
      <c r="BN27" t="s">
        <v>35</v>
      </c>
      <c r="BO27" t="s">
        <v>35</v>
      </c>
      <c r="BP27" t="s">
        <v>35</v>
      </c>
      <c r="BQ27">
        <v>-3.22</v>
      </c>
      <c r="BR27">
        <v>-0.05</v>
      </c>
      <c r="BS27">
        <v>-26.38</v>
      </c>
      <c r="BT27" t="s">
        <v>948</v>
      </c>
      <c r="BU27" t="s">
        <v>846</v>
      </c>
      <c r="BV27">
        <v>34.340000000000003</v>
      </c>
      <c r="BW27">
        <v>35.409999999999997</v>
      </c>
      <c r="BX27">
        <v>24.57</v>
      </c>
      <c r="BY27">
        <v>-12.92</v>
      </c>
      <c r="BZ27">
        <v>-0.63</v>
      </c>
      <c r="CA27">
        <v>-122.32</v>
      </c>
      <c r="CB27">
        <v>-1.33</v>
      </c>
      <c r="CC27">
        <v>-10.23</v>
      </c>
      <c r="CD27" t="s">
        <v>2118</v>
      </c>
      <c r="CE27" t="s">
        <v>363</v>
      </c>
      <c r="CF27" s="8">
        <v>0.19639955414098276</v>
      </c>
      <c r="CG27" s="9">
        <v>1.0121153779980041</v>
      </c>
      <c r="CH27" s="8">
        <v>-0.28467154502868652</v>
      </c>
      <c r="CI27" s="8">
        <v>0.24545454978942871</v>
      </c>
      <c r="CJ27" s="8">
        <v>-0.4285714328289032</v>
      </c>
      <c r="CK27" s="8">
        <v>-0.20781892538070679</v>
      </c>
      <c r="CL27" s="8">
        <v>-6.1349691823124886E-3</v>
      </c>
      <c r="CM27" s="9">
        <v>-48.719966888427734</v>
      </c>
      <c r="CN27" s="9">
        <v>0.99826383590698242</v>
      </c>
      <c r="CO27" s="9">
        <v>-4.9302411079406738</v>
      </c>
      <c r="CP27" s="9">
        <v>-0.20866571366786957</v>
      </c>
      <c r="CQ27" s="9">
        <v>-0.2021305114030838</v>
      </c>
      <c r="CR27">
        <v>-312.74029185148203</v>
      </c>
      <c r="CS27">
        <v>-22.9368400251625</v>
      </c>
      <c r="CT27">
        <v>0</v>
      </c>
      <c r="CU27" s="8">
        <v>-0.13634846452623606</v>
      </c>
      <c r="CV27" s="9">
        <v>-10.612548077106476</v>
      </c>
      <c r="CW27">
        <v>0.06</v>
      </c>
      <c r="CX27" t="e">
        <v>#VALUE!</v>
      </c>
      <c r="CY27" t="s">
        <v>740</v>
      </c>
      <c r="CZ27">
        <v>-0.13634846452623606</v>
      </c>
      <c r="DA27" t="e">
        <v>#VALUE!</v>
      </c>
      <c r="DB27" t="s">
        <v>740</v>
      </c>
      <c r="DC27">
        <v>-0.12953104129992424</v>
      </c>
      <c r="DD27" t="e">
        <v>#VALUE!</v>
      </c>
      <c r="DE27" t="s">
        <v>740</v>
      </c>
      <c r="DF27">
        <v>-0.11998664878308773</v>
      </c>
      <c r="DG27" t="e">
        <v>#VALUE!</v>
      </c>
      <c r="DH27" t="s">
        <v>740</v>
      </c>
      <c r="DI27">
        <v>-0.10907877162098885</v>
      </c>
      <c r="DJ27" t="e">
        <v>#VALUE!</v>
      </c>
      <c r="DK27" t="s">
        <v>740</v>
      </c>
      <c r="DL27">
        <v>-9.5443925168365237E-2</v>
      </c>
      <c r="DM27">
        <v>-23134699.999999996</v>
      </c>
      <c r="DN27">
        <v>-0.13634846452623606</v>
      </c>
      <c r="DO27">
        <v>791134600</v>
      </c>
      <c r="DP27">
        <v>551956580</v>
      </c>
      <c r="DQ27">
        <v>2067</v>
      </c>
      <c r="DR27">
        <v>0.33274801866721881</v>
      </c>
      <c r="DS27">
        <v>11.62466345510448</v>
      </c>
      <c r="DT27" s="10">
        <v>-0.70666666666666667</v>
      </c>
      <c r="DU27">
        <v>-1.3266666666666669</v>
      </c>
      <c r="DV27">
        <v>-2.0333333333333337</v>
      </c>
      <c r="DW27">
        <v>-2.1023000000000001</v>
      </c>
      <c r="DX27">
        <v>0.23547046632124377</v>
      </c>
      <c r="DY27">
        <v>-2.0087436287046634</v>
      </c>
      <c r="DZ27">
        <v>4405</v>
      </c>
      <c r="EA27">
        <v>-2.0012063127664947</v>
      </c>
      <c r="EB27">
        <v>2</v>
      </c>
      <c r="EC27">
        <v>5.6063449803707574E-2</v>
      </c>
      <c r="ED27">
        <v>0.65593943986442382</v>
      </c>
      <c r="EE27" s="11">
        <v>-4.0524100000000001</v>
      </c>
      <c r="EF27">
        <v>-4.07151</v>
      </c>
      <c r="EG27">
        <v>15.085470466321244</v>
      </c>
      <c r="EH27" t="s">
        <v>1662</v>
      </c>
      <c r="EI27">
        <v>0</v>
      </c>
      <c r="EJ27">
        <v>0</v>
      </c>
      <c r="EK27" s="13">
        <v>45470</v>
      </c>
      <c r="EL27" s="14">
        <v>-0.73</v>
      </c>
      <c r="EM27" s="14">
        <v>-6.46</v>
      </c>
      <c r="EN27" s="14">
        <v>-0.59</v>
      </c>
      <c r="EO27" s="14">
        <v>3.97</v>
      </c>
      <c r="EP27" s="14">
        <v>-1.91</v>
      </c>
    </row>
    <row r="28" spans="1:146" ht="84" x14ac:dyDescent="0.25">
      <c r="A28" s="7"/>
      <c r="B28" s="7"/>
      <c r="C28" s="7" t="str">
        <f>""&amp;CHAR(10)&amp;Basic_Fundamental_Information_Constructure(F28)&amp;CHAR(10)&amp;Basic_Fundamental_Information_Concatenate("")</f>
        <v xml:space="preserve">
市值45.350766亿, 利润6885.58万; PE707; 平均PE33.17; 平均PEG1.01, PB2.41; ROIC11.68%; ROE12.63%; 股利率.6464%; 毛利44.28%; 净利33.0367%; 上一年度营收增-37.61%, 利润增-67.67%; 当季营收增-63.52%, 利润增-110.72%; 过往5年营收增32.94%, 利润增18.3%
Income profile:
</v>
      </c>
      <c r="D28" t="s">
        <v>196</v>
      </c>
      <c r="E28" t="s">
        <v>24</v>
      </c>
      <c r="F28">
        <v>15.47</v>
      </c>
      <c r="G28">
        <v>0.98</v>
      </c>
      <c r="H28" t="s">
        <v>2119</v>
      </c>
      <c r="I28">
        <v>4535076600</v>
      </c>
      <c r="J28">
        <v>707</v>
      </c>
      <c r="K28">
        <v>2.41</v>
      </c>
      <c r="L28" t="s">
        <v>1792</v>
      </c>
      <c r="M28" t="s">
        <v>60</v>
      </c>
      <c r="N28" t="s">
        <v>2120</v>
      </c>
      <c r="O28" t="s">
        <v>1404</v>
      </c>
      <c r="P28">
        <v>-63.54</v>
      </c>
      <c r="Q28" t="s">
        <v>991</v>
      </c>
      <c r="R28">
        <v>-6043838</v>
      </c>
      <c r="S28" s="6">
        <v>-1.107</v>
      </c>
      <c r="T28" t="s">
        <v>1405</v>
      </c>
      <c r="U28">
        <v>186131530</v>
      </c>
      <c r="V28">
        <v>293152980</v>
      </c>
      <c r="W28">
        <v>1.0900000000000001</v>
      </c>
      <c r="X28">
        <v>0.03</v>
      </c>
      <c r="Y28">
        <v>-11.04</v>
      </c>
      <c r="Z28" t="s">
        <v>2121</v>
      </c>
      <c r="AA28" t="s">
        <v>2122</v>
      </c>
      <c r="AB28" t="s">
        <v>2123</v>
      </c>
      <c r="AC28" t="s">
        <v>2124</v>
      </c>
      <c r="AD28" t="s">
        <v>35</v>
      </c>
      <c r="AE28">
        <v>-5454598</v>
      </c>
      <c r="AF28" t="s">
        <v>1406</v>
      </c>
      <c r="AG28" t="s">
        <v>35</v>
      </c>
      <c r="AH28" t="s">
        <v>1407</v>
      </c>
      <c r="AI28" t="s">
        <v>580</v>
      </c>
      <c r="AJ28" t="s">
        <v>1408</v>
      </c>
      <c r="AK28" t="s">
        <v>2125</v>
      </c>
      <c r="AL28" t="s">
        <v>1409</v>
      </c>
      <c r="AM28" t="s">
        <v>35</v>
      </c>
      <c r="AN28" t="s">
        <v>2126</v>
      </c>
      <c r="AO28" t="s">
        <v>1349</v>
      </c>
      <c r="AP28" t="s">
        <v>35</v>
      </c>
      <c r="AQ28" t="s">
        <v>2127</v>
      </c>
      <c r="AR28" t="s">
        <v>35</v>
      </c>
      <c r="AS28" t="s">
        <v>250</v>
      </c>
      <c r="AT28" t="s">
        <v>853</v>
      </c>
      <c r="AU28" t="s">
        <v>2128</v>
      </c>
      <c r="AV28" t="s">
        <v>2129</v>
      </c>
      <c r="AW28" t="s">
        <v>2130</v>
      </c>
      <c r="AX28" t="s">
        <v>636</v>
      </c>
      <c r="AY28" t="s">
        <v>57</v>
      </c>
      <c r="AZ28" t="s">
        <v>98</v>
      </c>
      <c r="BA28" t="s">
        <v>82</v>
      </c>
      <c r="BB28" t="s">
        <v>350</v>
      </c>
      <c r="BC28" t="s">
        <v>172</v>
      </c>
      <c r="BD28" t="s">
        <v>53</v>
      </c>
      <c r="BE28" t="s">
        <v>71</v>
      </c>
      <c r="BF28" t="s">
        <v>197</v>
      </c>
      <c r="BG28" t="s">
        <v>452</v>
      </c>
      <c r="BH28" t="s">
        <v>991</v>
      </c>
      <c r="BI28" t="s">
        <v>55</v>
      </c>
      <c r="BJ28" t="s">
        <v>636</v>
      </c>
      <c r="BK28" t="s">
        <v>1405</v>
      </c>
      <c r="BL28" t="s">
        <v>1410</v>
      </c>
      <c r="BM28" t="s">
        <v>172</v>
      </c>
      <c r="BN28">
        <v>4.9000000000000004</v>
      </c>
      <c r="BO28">
        <v>11.42</v>
      </c>
      <c r="BP28">
        <v>18.72</v>
      </c>
      <c r="BQ28">
        <v>5.34</v>
      </c>
      <c r="BR28">
        <v>11.94</v>
      </c>
      <c r="BS28">
        <v>20.61</v>
      </c>
      <c r="BT28" t="s">
        <v>949</v>
      </c>
      <c r="BU28" t="s">
        <v>733</v>
      </c>
      <c r="BV28">
        <v>24.22</v>
      </c>
      <c r="BW28">
        <v>51.99</v>
      </c>
      <c r="BX28">
        <v>56.63</v>
      </c>
      <c r="BY28">
        <v>19.690000000000001</v>
      </c>
      <c r="BZ28">
        <v>37.89</v>
      </c>
      <c r="CA28">
        <v>41.53</v>
      </c>
      <c r="CB28">
        <v>-12.85</v>
      </c>
      <c r="CC28">
        <v>-2.7</v>
      </c>
      <c r="CD28" t="s">
        <v>2131</v>
      </c>
      <c r="CE28" t="s">
        <v>2132</v>
      </c>
      <c r="CF28" s="8">
        <v>-0.63517133333333331</v>
      </c>
      <c r="CG28" s="9">
        <v>-1.1071644283996893</v>
      </c>
      <c r="CH28" s="8">
        <v>-0.37611407041549683</v>
      </c>
      <c r="CI28" s="8">
        <v>-8.6319215595722198E-2</v>
      </c>
      <c r="CJ28" s="8">
        <v>1.0197368860244751</v>
      </c>
      <c r="CK28" s="8">
        <v>0.65217393636703491</v>
      </c>
      <c r="CL28" s="8">
        <v>0.4375</v>
      </c>
      <c r="CM28" s="9">
        <v>-0.67673331499099731</v>
      </c>
      <c r="CN28" s="9">
        <v>-0.16470588743686676</v>
      </c>
      <c r="CO28" s="9">
        <v>0.86131387948989868</v>
      </c>
      <c r="CP28" s="9">
        <v>0.75525593757629395</v>
      </c>
      <c r="CQ28" s="9">
        <v>0.13976936042308807</v>
      </c>
      <c r="CR28">
        <v>33.167833717501622</v>
      </c>
      <c r="CS28">
        <v>1.0069303613696372</v>
      </c>
      <c r="CT28">
        <v>0.6464124111182934</v>
      </c>
      <c r="CU28" s="8">
        <v>0.32939550727605821</v>
      </c>
      <c r="CV28" s="9">
        <v>0.18297999501228332</v>
      </c>
      <c r="CW28">
        <v>0.06</v>
      </c>
      <c r="CX28">
        <v>34.162089237034202</v>
      </c>
      <c r="CY28">
        <v>86355274.688583776</v>
      </c>
      <c r="CZ28">
        <v>0.32939550727605821</v>
      </c>
      <c r="DA28">
        <v>9.1685165568911646</v>
      </c>
      <c r="DB28">
        <v>321761604.69303924</v>
      </c>
      <c r="DC28">
        <v>0.31292573191225526</v>
      </c>
      <c r="DD28">
        <v>3.3985147610040438</v>
      </c>
      <c r="DE28">
        <v>868048782.32408822</v>
      </c>
      <c r="DF28">
        <v>0.28986804640293123</v>
      </c>
      <c r="DG28">
        <v>1.4404201875863252</v>
      </c>
      <c r="DH28">
        <v>2048066685.9740191</v>
      </c>
      <c r="DI28">
        <v>0.26351640582084657</v>
      </c>
      <c r="DJ28">
        <v>0.31636342282699909</v>
      </c>
      <c r="DK28">
        <v>9324961064.2037678</v>
      </c>
      <c r="DL28">
        <v>0.23057685509324072</v>
      </c>
      <c r="DM28">
        <v>68855800</v>
      </c>
      <c r="DN28">
        <v>0.32939550727605821</v>
      </c>
      <c r="DO28">
        <v>2950076600</v>
      </c>
      <c r="DP28">
        <v>1371367500</v>
      </c>
      <c r="DQ28">
        <v>2162</v>
      </c>
      <c r="DR28">
        <v>-0.96456684060939146</v>
      </c>
      <c r="DS28">
        <v>-1.2901444234119726</v>
      </c>
      <c r="DT28" s="10">
        <v>-6.6666666666666714E-3</v>
      </c>
      <c r="DU28">
        <v>-0.88166666666666671</v>
      </c>
      <c r="DV28">
        <v>-0.88833333333333342</v>
      </c>
      <c r="DW28">
        <v>-5.2101167315175099</v>
      </c>
      <c r="DX28">
        <v>0.27056235944700469</v>
      </c>
      <c r="DY28">
        <v>-5.0295345035413943</v>
      </c>
      <c r="DZ28">
        <v>3443</v>
      </c>
      <c r="EA28">
        <v>-5.0096348370652652</v>
      </c>
      <c r="EB28">
        <v>5</v>
      </c>
      <c r="EC28">
        <v>0.31214453286471794</v>
      </c>
      <c r="ED28">
        <v>2.220683548910197</v>
      </c>
      <c r="EE28" s="11">
        <v>1.0148999999999999</v>
      </c>
      <c r="EF28">
        <v>1.0100100000000001</v>
      </c>
      <c r="EG28">
        <v>13.140562359447005</v>
      </c>
      <c r="EH28" t="s">
        <v>969</v>
      </c>
      <c r="EI28">
        <v>0</v>
      </c>
      <c r="EJ28">
        <v>0</v>
      </c>
      <c r="EK28" s="13">
        <v>45470</v>
      </c>
      <c r="EL28" s="14">
        <v>5.13</v>
      </c>
      <c r="EM28" s="14">
        <v>7.29</v>
      </c>
      <c r="EN28" s="14">
        <v>15.01</v>
      </c>
      <c r="EO28" s="14">
        <v>-3.13</v>
      </c>
      <c r="EP28" s="14">
        <v>-2.4900000000000002</v>
      </c>
    </row>
    <row r="29" spans="1:146" ht="84" x14ac:dyDescent="0.25">
      <c r="A29" s="7"/>
      <c r="B29" s="7"/>
      <c r="C29" s="7" t="str">
        <f>""&amp;CHAR(10)&amp;Basic_Fundamental_Information_Constructure(F29)&amp;CHAR(10)&amp;Basic_Fundamental_Information_Concatenate("")</f>
        <v xml:space="preserve">
市值219.56006亿, 利润8.73亿; PE25.56; 平均PE32.08; 平均PEG2.33, PB4.03; ROIC16.3767%; ROE17.7133%; 股利率1.8932%; 毛利47.3867%; 净利32.83%; 上一年度营收增.28%, 利润增-6.53%; 当季营收增-8.08%, 利润增-8%; 过往5年营收增13.78%, 利润增19.24%
Income profile:
</v>
      </c>
      <c r="D29" t="s">
        <v>647</v>
      </c>
      <c r="E29" t="s">
        <v>648</v>
      </c>
      <c r="F29">
        <v>26.41</v>
      </c>
      <c r="G29">
        <v>1.1499999999999999</v>
      </c>
      <c r="H29" t="s">
        <v>2133</v>
      </c>
      <c r="I29">
        <v>21956006000</v>
      </c>
      <c r="J29">
        <v>25.56</v>
      </c>
      <c r="K29">
        <v>4.03</v>
      </c>
      <c r="L29" t="s">
        <v>1792</v>
      </c>
      <c r="M29" t="s">
        <v>1153</v>
      </c>
      <c r="N29" t="s">
        <v>2134</v>
      </c>
      <c r="O29" t="s">
        <v>882</v>
      </c>
      <c r="P29">
        <v>-8.11</v>
      </c>
      <c r="Q29" t="s">
        <v>1411</v>
      </c>
      <c r="R29">
        <v>157318740</v>
      </c>
      <c r="S29" s="6">
        <v>-8.2400000000000001E-2</v>
      </c>
      <c r="T29" t="s">
        <v>1137</v>
      </c>
      <c r="U29">
        <v>817557660</v>
      </c>
      <c r="V29">
        <v>831352000</v>
      </c>
      <c r="W29">
        <v>1.28</v>
      </c>
      <c r="X29">
        <v>7.0000000000000007E-2</v>
      </c>
      <c r="Y29">
        <v>29.13</v>
      </c>
      <c r="Z29" t="s">
        <v>798</v>
      </c>
      <c r="AA29" t="s">
        <v>139</v>
      </c>
      <c r="AB29" t="s">
        <v>2135</v>
      </c>
      <c r="AC29" t="s">
        <v>2136</v>
      </c>
      <c r="AD29" t="s">
        <v>35</v>
      </c>
      <c r="AE29">
        <v>-1216882</v>
      </c>
      <c r="AF29" t="s">
        <v>102</v>
      </c>
      <c r="AG29" t="s">
        <v>2137</v>
      </c>
      <c r="AH29" t="s">
        <v>1412</v>
      </c>
      <c r="AI29" t="s">
        <v>1435</v>
      </c>
      <c r="AJ29" t="s">
        <v>1413</v>
      </c>
      <c r="AK29" t="s">
        <v>2138</v>
      </c>
      <c r="AL29" t="s">
        <v>1414</v>
      </c>
      <c r="AM29" t="s">
        <v>35</v>
      </c>
      <c r="AN29" t="s">
        <v>2139</v>
      </c>
      <c r="AO29" t="s">
        <v>1415</v>
      </c>
      <c r="AP29" t="s">
        <v>2140</v>
      </c>
      <c r="AQ29" t="s">
        <v>279</v>
      </c>
      <c r="AR29" t="s">
        <v>35</v>
      </c>
      <c r="AS29" t="s">
        <v>356</v>
      </c>
      <c r="AT29" t="s">
        <v>1129</v>
      </c>
      <c r="AU29" t="s">
        <v>697</v>
      </c>
      <c r="AV29" t="s">
        <v>1274</v>
      </c>
      <c r="AW29" t="s">
        <v>2141</v>
      </c>
      <c r="AX29" t="s">
        <v>1018</v>
      </c>
      <c r="AY29" t="s">
        <v>858</v>
      </c>
      <c r="AZ29" t="s">
        <v>649</v>
      </c>
      <c r="BA29" t="s">
        <v>612</v>
      </c>
      <c r="BB29" t="s">
        <v>650</v>
      </c>
      <c r="BC29" t="s">
        <v>1019</v>
      </c>
      <c r="BD29" t="s">
        <v>242</v>
      </c>
      <c r="BE29" t="s">
        <v>618</v>
      </c>
      <c r="BF29" t="s">
        <v>651</v>
      </c>
      <c r="BG29" t="s">
        <v>624</v>
      </c>
      <c r="BH29" t="s">
        <v>1411</v>
      </c>
      <c r="BI29" t="s">
        <v>994</v>
      </c>
      <c r="BJ29" t="s">
        <v>1018</v>
      </c>
      <c r="BK29" t="s">
        <v>1137</v>
      </c>
      <c r="BL29" t="s">
        <v>86</v>
      </c>
      <c r="BM29" t="s">
        <v>1019</v>
      </c>
      <c r="BN29">
        <v>10.9</v>
      </c>
      <c r="BO29">
        <v>19.28</v>
      </c>
      <c r="BP29">
        <v>18.95</v>
      </c>
      <c r="BQ29">
        <v>12.27</v>
      </c>
      <c r="BR29">
        <v>21.27</v>
      </c>
      <c r="BS29">
        <v>19.600000000000001</v>
      </c>
      <c r="BT29" t="s">
        <v>953</v>
      </c>
      <c r="BU29" t="s">
        <v>733</v>
      </c>
      <c r="BV29">
        <v>48.66</v>
      </c>
      <c r="BW29">
        <v>49.08</v>
      </c>
      <c r="BX29">
        <v>44.42</v>
      </c>
      <c r="BY29">
        <v>33.4</v>
      </c>
      <c r="BZ29">
        <v>36.090000000000003</v>
      </c>
      <c r="CA29">
        <v>29</v>
      </c>
      <c r="CB29">
        <v>8.5500000000000007</v>
      </c>
      <c r="CC29">
        <v>0.72</v>
      </c>
      <c r="CD29" t="s">
        <v>2142</v>
      </c>
      <c r="CE29" t="s">
        <v>92</v>
      </c>
      <c r="CF29" s="8">
        <v>-8.0789946140035901E-2</v>
      </c>
      <c r="CG29" s="9">
        <v>-8.0007368421052633E-2</v>
      </c>
      <c r="CH29" s="8">
        <v>2.7877592947334051E-3</v>
      </c>
      <c r="CI29" s="8">
        <v>-3.6823935806751251E-2</v>
      </c>
      <c r="CJ29" s="8">
        <v>0.2320416122674942</v>
      </c>
      <c r="CK29" s="8">
        <v>0.23381929099559784</v>
      </c>
      <c r="CL29" s="8">
        <v>0.25733134150505066</v>
      </c>
      <c r="CM29" s="9">
        <v>-6.5310493111610413E-2</v>
      </c>
      <c r="CN29" s="9">
        <v>0.23218996822834015</v>
      </c>
      <c r="CO29" s="9">
        <v>0.18068535625934601</v>
      </c>
      <c r="CP29" s="9">
        <v>0.22988505661487579</v>
      </c>
      <c r="CQ29" s="9">
        <v>0.38461539149284363</v>
      </c>
      <c r="CR29">
        <v>32.083788602045786</v>
      </c>
      <c r="CS29">
        <v>2.3277592754303256</v>
      </c>
      <c r="CT29">
        <v>1.8932222642938281</v>
      </c>
      <c r="CU29" s="8">
        <v>0.13783121365122497</v>
      </c>
      <c r="CV29" s="9">
        <v>0.19241305589675903</v>
      </c>
      <c r="CW29">
        <v>0.06</v>
      </c>
      <c r="CX29">
        <v>19.16657160990043</v>
      </c>
      <c r="CY29">
        <v>937100612.75237668</v>
      </c>
      <c r="CZ29">
        <v>0.13783121365122497</v>
      </c>
      <c r="DA29">
        <v>6.0161789036858728</v>
      </c>
      <c r="DB29">
        <v>2985450779.8955259</v>
      </c>
      <c r="DC29">
        <v>0.13093965296866372</v>
      </c>
      <c r="DD29">
        <v>2.8036356392769473</v>
      </c>
      <c r="DE29">
        <v>6406326752.4420938</v>
      </c>
      <c r="DF29">
        <v>0.12129146801307797</v>
      </c>
      <c r="DG29">
        <v>1.5805702347358879</v>
      </c>
      <c r="DH29">
        <v>11363624092.921926</v>
      </c>
      <c r="DI29">
        <v>0.11026497092097998</v>
      </c>
      <c r="DJ29">
        <v>0.7075337431438059</v>
      </c>
      <c r="DK29">
        <v>25385370201.84129</v>
      </c>
      <c r="DL29">
        <v>9.648184955585748E-2</v>
      </c>
      <c r="DM29">
        <v>873000000</v>
      </c>
      <c r="DN29">
        <v>0.13783121365122497</v>
      </c>
      <c r="DO29">
        <v>17961006000</v>
      </c>
      <c r="DP29">
        <v>2846067700</v>
      </c>
      <c r="DQ29">
        <v>2165</v>
      </c>
      <c r="DR29">
        <v>-0.21862115979126087</v>
      </c>
      <c r="DS29">
        <v>-0.27242042431781166</v>
      </c>
      <c r="DT29" s="10">
        <v>-9.000000000000008E-2</v>
      </c>
      <c r="DU29">
        <v>0.49999999999999994</v>
      </c>
      <c r="DV29">
        <v>0.40999999999999986</v>
      </c>
      <c r="DW29">
        <v>5.0842105263157897</v>
      </c>
      <c r="DX29">
        <v>0.5130853061224474</v>
      </c>
      <c r="DY29">
        <v>5.0196282363050484</v>
      </c>
      <c r="DZ29">
        <v>859</v>
      </c>
      <c r="EA29">
        <v>5.0163286952118904</v>
      </c>
      <c r="EB29">
        <v>5</v>
      </c>
      <c r="EC29">
        <v>6.8690398290976631E-2</v>
      </c>
      <c r="ED29">
        <v>0.29470068033757063</v>
      </c>
      <c r="EE29" s="11">
        <v>-1.1125100000000001</v>
      </c>
      <c r="EF29">
        <v>-1.13131</v>
      </c>
      <c r="EG29">
        <v>28.233085306122447</v>
      </c>
      <c r="EH29" t="s">
        <v>971</v>
      </c>
      <c r="EI29">
        <v>1</v>
      </c>
      <c r="EJ29">
        <v>1</v>
      </c>
      <c r="EK29" s="13">
        <v>45470</v>
      </c>
      <c r="EL29" s="14">
        <v>0.08</v>
      </c>
      <c r="EM29" s="14">
        <v>-2.71</v>
      </c>
      <c r="EN29" s="14">
        <v>-1.29</v>
      </c>
      <c r="EO29" s="14">
        <v>2.4500000000000002</v>
      </c>
      <c r="EP29" s="14">
        <v>-1.88</v>
      </c>
    </row>
    <row r="30" spans="1:146" ht="84" x14ac:dyDescent="0.25">
      <c r="A30" s="7"/>
      <c r="B30" s="7"/>
      <c r="C30" s="7" t="str">
        <f>""&amp;CHAR(10)&amp;Basic_Fundamental_Information_Constructure(F30)&amp;CHAR(10)&amp;Basic_Fundamental_Information_Concatenate("")</f>
        <v xml:space="preserve">
市值40.573144亿, 利润1.13亿; PE34.3; 平均PE80.69; 平均PEG4.39, PB3.72; ROIC1.66%; ROE-.5433%; 股利率1.2555%; 毛利44.2433%; 净利1.4733%; 上一年度营收增106.05%, 利润增346.64%; 当季营收增-3.25%, 利润增751.34%; 过往5年营收增18.4%, 利润增-43.88%
Income profile:
</v>
      </c>
      <c r="D30" t="s">
        <v>198</v>
      </c>
      <c r="E30" t="s">
        <v>29</v>
      </c>
      <c r="F30">
        <v>15.93</v>
      </c>
      <c r="G30">
        <v>0.44</v>
      </c>
      <c r="H30" t="s">
        <v>2143</v>
      </c>
      <c r="I30">
        <v>4057314400</v>
      </c>
      <c r="J30">
        <v>34.299999999999997</v>
      </c>
      <c r="K30">
        <v>3.72</v>
      </c>
      <c r="L30" t="s">
        <v>1792</v>
      </c>
      <c r="M30" t="s">
        <v>456</v>
      </c>
      <c r="N30" t="s">
        <v>1977</v>
      </c>
      <c r="O30" t="s">
        <v>1416</v>
      </c>
      <c r="P30">
        <v>-3.25</v>
      </c>
      <c r="Q30" t="s">
        <v>1417</v>
      </c>
      <c r="R30">
        <v>5449398</v>
      </c>
      <c r="S30" s="6">
        <v>7.5140000000000002</v>
      </c>
      <c r="T30" t="s">
        <v>202</v>
      </c>
      <c r="U30">
        <v>179620130</v>
      </c>
      <c r="V30">
        <v>254696450</v>
      </c>
      <c r="W30">
        <v>1.39</v>
      </c>
      <c r="X30">
        <v>0.06</v>
      </c>
      <c r="Y30">
        <v>5.44</v>
      </c>
      <c r="Z30" t="s">
        <v>335</v>
      </c>
      <c r="AA30" t="s">
        <v>2144</v>
      </c>
      <c r="AB30" t="s">
        <v>2145</v>
      </c>
      <c r="AC30" t="s">
        <v>2146</v>
      </c>
      <c r="AD30" t="s">
        <v>35</v>
      </c>
      <c r="AE30">
        <v>695310</v>
      </c>
      <c r="AF30" t="s">
        <v>102</v>
      </c>
      <c r="AG30">
        <v>6600</v>
      </c>
      <c r="AH30" t="s">
        <v>1419</v>
      </c>
      <c r="AI30" t="s">
        <v>375</v>
      </c>
      <c r="AJ30" t="s">
        <v>1420</v>
      </c>
      <c r="AK30" t="s">
        <v>2147</v>
      </c>
      <c r="AL30" t="s">
        <v>1421</v>
      </c>
      <c r="AM30" t="s">
        <v>35</v>
      </c>
      <c r="AN30" t="s">
        <v>2148</v>
      </c>
      <c r="AO30" t="s">
        <v>419</v>
      </c>
      <c r="AP30" t="s">
        <v>2149</v>
      </c>
      <c r="AQ30" t="s">
        <v>372</v>
      </c>
      <c r="AR30" t="s">
        <v>35</v>
      </c>
      <c r="AS30" t="s">
        <v>2039</v>
      </c>
      <c r="AT30" t="s">
        <v>35</v>
      </c>
      <c r="AU30" t="s">
        <v>2150</v>
      </c>
      <c r="AV30" t="s">
        <v>2151</v>
      </c>
      <c r="AW30" t="s">
        <v>2152</v>
      </c>
      <c r="AX30" t="s">
        <v>362</v>
      </c>
      <c r="AY30" t="s">
        <v>338</v>
      </c>
      <c r="AZ30" t="s">
        <v>453</v>
      </c>
      <c r="BA30" t="s">
        <v>199</v>
      </c>
      <c r="BB30" t="s">
        <v>456</v>
      </c>
      <c r="BC30" t="s">
        <v>1020</v>
      </c>
      <c r="BD30" t="s">
        <v>698</v>
      </c>
      <c r="BE30" t="s">
        <v>454</v>
      </c>
      <c r="BF30" t="s">
        <v>200</v>
      </c>
      <c r="BG30" t="s">
        <v>457</v>
      </c>
      <c r="BH30" t="s">
        <v>1417</v>
      </c>
      <c r="BI30" t="s">
        <v>193</v>
      </c>
      <c r="BJ30" t="s">
        <v>362</v>
      </c>
      <c r="BK30" t="s">
        <v>202</v>
      </c>
      <c r="BL30" t="s">
        <v>1422</v>
      </c>
      <c r="BM30" t="s">
        <v>1020</v>
      </c>
      <c r="BN30">
        <v>1.85</v>
      </c>
      <c r="BO30" t="s">
        <v>35</v>
      </c>
      <c r="BP30">
        <v>1.47</v>
      </c>
      <c r="BQ30">
        <v>1.95</v>
      </c>
      <c r="BR30">
        <v>-4.59</v>
      </c>
      <c r="BS30">
        <v>1.01</v>
      </c>
      <c r="BT30" t="s">
        <v>960</v>
      </c>
      <c r="BU30" t="s">
        <v>733</v>
      </c>
      <c r="BV30">
        <v>46.47</v>
      </c>
      <c r="BW30">
        <v>39.68</v>
      </c>
      <c r="BX30">
        <v>46.58</v>
      </c>
      <c r="BY30">
        <v>13.34</v>
      </c>
      <c r="BZ30">
        <v>-11.11</v>
      </c>
      <c r="CA30">
        <v>2.19</v>
      </c>
      <c r="CB30">
        <v>-6.02</v>
      </c>
      <c r="CC30">
        <v>-30.56</v>
      </c>
      <c r="CD30" t="s">
        <v>2153</v>
      </c>
      <c r="CE30" t="s">
        <v>428</v>
      </c>
      <c r="CF30" s="8">
        <v>-3.2475999999999998E-2</v>
      </c>
      <c r="CG30" s="9">
        <v>7.5133541634119672</v>
      </c>
      <c r="CH30" s="8">
        <v>1.0605326890945435</v>
      </c>
      <c r="CI30" s="8">
        <v>-0.13052631914615631</v>
      </c>
      <c r="CJ30" s="8">
        <v>-0.22131147980690002</v>
      </c>
      <c r="CK30" s="8">
        <v>0.10507246106863022</v>
      </c>
      <c r="CL30" s="8">
        <v>0.10621242225170135</v>
      </c>
      <c r="CM30" s="9">
        <v>3.4664194583892822</v>
      </c>
      <c r="CN30" s="9">
        <v>-5.3944673538208008</v>
      </c>
      <c r="CO30" s="9">
        <v>-0.89080584049224854</v>
      </c>
      <c r="CP30" s="9">
        <v>0.30525857210159302</v>
      </c>
      <c r="CQ30" s="9">
        <v>0.31941163539886475</v>
      </c>
      <c r="CR30">
        <v>80.694773842095529</v>
      </c>
      <c r="CS30">
        <v>4.3856819557264188</v>
      </c>
      <c r="CT30">
        <v>1.2554927809165097</v>
      </c>
      <c r="CU30" s="8">
        <v>0.18399595469236374</v>
      </c>
      <c r="CV30" s="9">
        <v>-0.43883670568466188</v>
      </c>
      <c r="CW30">
        <v>0.06</v>
      </c>
      <c r="CX30">
        <v>27.399439344842872</v>
      </c>
      <c r="CY30">
        <v>126218436.67946894</v>
      </c>
      <c r="CZ30">
        <v>0.18399595469236374</v>
      </c>
      <c r="DA30">
        <v>8.2760327349163596</v>
      </c>
      <c r="DB30">
        <v>417871039.27337849</v>
      </c>
      <c r="DC30">
        <v>0.17479615695774556</v>
      </c>
      <c r="DD30">
        <v>3.6540072032513562</v>
      </c>
      <c r="DE30">
        <v>946444330.19255471</v>
      </c>
      <c r="DF30">
        <v>0.16191644012928008</v>
      </c>
      <c r="DG30">
        <v>1.9311797043936454</v>
      </c>
      <c r="DH30">
        <v>1790778140.4972079</v>
      </c>
      <c r="DI30">
        <v>0.14719676375389099</v>
      </c>
      <c r="DJ30">
        <v>0.74099891274458307</v>
      </c>
      <c r="DK30">
        <v>4667097806.1098127</v>
      </c>
      <c r="DL30">
        <v>0.12879716828465462</v>
      </c>
      <c r="DM30">
        <v>112999999.99999999</v>
      </c>
      <c r="DN30">
        <v>0.18399595469236374</v>
      </c>
      <c r="DO30">
        <v>3458314400</v>
      </c>
      <c r="DP30">
        <v>903525430</v>
      </c>
      <c r="DQ30">
        <v>2183</v>
      </c>
      <c r="DR30">
        <v>-0.21647195469236374</v>
      </c>
      <c r="DS30">
        <v>7.9521908690966292</v>
      </c>
      <c r="DT30" s="10">
        <v>-0.24000000000000002</v>
      </c>
      <c r="DU30">
        <v>-0.68666666666666687</v>
      </c>
      <c r="DV30">
        <v>-0.92666666666666686</v>
      </c>
      <c r="DW30">
        <v>-9.196989528795811</v>
      </c>
      <c r="DX30">
        <v>0.25819497400346619</v>
      </c>
      <c r="DY30">
        <v>-9.0154035910831443</v>
      </c>
      <c r="DZ30">
        <v>3487</v>
      </c>
      <c r="EA30">
        <v>-9.004892373449696</v>
      </c>
      <c r="EB30">
        <v>9</v>
      </c>
      <c r="EC30">
        <v>0.17714616752608842</v>
      </c>
      <c r="ED30">
        <v>2.265441862263883</v>
      </c>
      <c r="EE30" s="11">
        <v>5.0269000000000004</v>
      </c>
      <c r="EF30">
        <v>5.0097100000000001</v>
      </c>
      <c r="EG30">
        <v>18.078194974003466</v>
      </c>
      <c r="EH30" t="s">
        <v>1778</v>
      </c>
      <c r="EI30">
        <v>0</v>
      </c>
      <c r="EJ30">
        <v>0</v>
      </c>
      <c r="EK30" s="13">
        <v>45470</v>
      </c>
      <c r="EL30" s="14">
        <v>-2.39</v>
      </c>
      <c r="EM30" s="14">
        <v>-4.79</v>
      </c>
      <c r="EN30" s="14">
        <v>0.91</v>
      </c>
      <c r="EO30" s="14">
        <v>1.8</v>
      </c>
      <c r="EP30" s="14">
        <v>-3.66</v>
      </c>
    </row>
    <row r="31" spans="1:146" ht="96" x14ac:dyDescent="0.25">
      <c r="A31" s="7"/>
      <c r="B31" s="7"/>
      <c r="C31" s="7" t="str">
        <f>""&amp;CHAR(10)&amp;Basic_Fundamental_Information_Constructure(F31)&amp;CHAR(10)&amp;Basic_Fundamental_Information_Concatenate("")</f>
        <v xml:space="preserve">
市值50.757138亿, 利润7573.03万; PE71.83; 平均PE82.9; 平均PEG6.46, PB8.52; ROIC11.5067%; ROE12.3433%; 股利率.8724%; 毛利47.6267%; 净利19.98%; 上一年度营收增14.08%, 利润增14.07%; 当季营收增21.72%, 利润增-38.44%; 过往5年营收增12.83%, 利润增4.89%
Income profile:
</v>
      </c>
      <c r="D31" t="s">
        <v>203</v>
      </c>
      <c r="E31" t="s">
        <v>20</v>
      </c>
      <c r="F31">
        <v>18.34</v>
      </c>
      <c r="G31">
        <v>0.94</v>
      </c>
      <c r="H31" t="s">
        <v>2154</v>
      </c>
      <c r="I31">
        <v>5075713800</v>
      </c>
      <c r="J31">
        <v>71.83</v>
      </c>
      <c r="K31">
        <v>8.52</v>
      </c>
      <c r="L31" t="s">
        <v>1792</v>
      </c>
      <c r="M31" t="s">
        <v>327</v>
      </c>
      <c r="N31" t="s">
        <v>1633</v>
      </c>
      <c r="O31" t="s">
        <v>1423</v>
      </c>
      <c r="P31">
        <v>21.72</v>
      </c>
      <c r="Q31" t="s">
        <v>548</v>
      </c>
      <c r="R31">
        <v>8119127</v>
      </c>
      <c r="S31" s="6">
        <v>-0.38440000000000002</v>
      </c>
      <c r="T31" t="s">
        <v>1424</v>
      </c>
      <c r="U31">
        <v>276756480</v>
      </c>
      <c r="V31">
        <v>276756480</v>
      </c>
      <c r="W31">
        <v>1.32</v>
      </c>
      <c r="X31">
        <v>0.1</v>
      </c>
      <c r="Y31">
        <v>10.050000000000001</v>
      </c>
      <c r="Z31" t="s">
        <v>2155</v>
      </c>
      <c r="AA31" t="s">
        <v>2156</v>
      </c>
      <c r="AB31" t="s">
        <v>2157</v>
      </c>
      <c r="AC31" t="s">
        <v>2158</v>
      </c>
      <c r="AD31" t="s">
        <v>35</v>
      </c>
      <c r="AE31">
        <v>-504926</v>
      </c>
      <c r="AF31" t="s">
        <v>1425</v>
      </c>
      <c r="AG31" t="s">
        <v>1736</v>
      </c>
      <c r="AH31" t="s">
        <v>1426</v>
      </c>
      <c r="AI31" t="s">
        <v>56</v>
      </c>
      <c r="AJ31" t="s">
        <v>1427</v>
      </c>
      <c r="AK31" t="s">
        <v>2159</v>
      </c>
      <c r="AL31" t="s">
        <v>1428</v>
      </c>
      <c r="AM31" t="s">
        <v>35</v>
      </c>
      <c r="AN31" t="s">
        <v>2160</v>
      </c>
      <c r="AO31" t="s">
        <v>35</v>
      </c>
      <c r="AP31" t="s">
        <v>35</v>
      </c>
      <c r="AQ31" t="s">
        <v>2161</v>
      </c>
      <c r="AR31" t="s">
        <v>1429</v>
      </c>
      <c r="AS31" t="s">
        <v>154</v>
      </c>
      <c r="AT31" t="s">
        <v>35</v>
      </c>
      <c r="AU31" t="s">
        <v>2162</v>
      </c>
      <c r="AV31" t="s">
        <v>2163</v>
      </c>
      <c r="AW31" t="s">
        <v>2164</v>
      </c>
      <c r="AX31" t="s">
        <v>956</v>
      </c>
      <c r="AY31" t="s">
        <v>395</v>
      </c>
      <c r="AZ31" t="s">
        <v>322</v>
      </c>
      <c r="BA31" t="s">
        <v>204</v>
      </c>
      <c r="BB31" t="s">
        <v>105</v>
      </c>
      <c r="BC31" t="s">
        <v>1021</v>
      </c>
      <c r="BD31" t="s">
        <v>699</v>
      </c>
      <c r="BE31" t="s">
        <v>458</v>
      </c>
      <c r="BF31" t="s">
        <v>205</v>
      </c>
      <c r="BG31" t="s">
        <v>459</v>
      </c>
      <c r="BH31" t="s">
        <v>548</v>
      </c>
      <c r="BI31" t="s">
        <v>1430</v>
      </c>
      <c r="BJ31" t="s">
        <v>956</v>
      </c>
      <c r="BK31" t="s">
        <v>1424</v>
      </c>
      <c r="BL31" t="s">
        <v>1431</v>
      </c>
      <c r="BM31" t="s">
        <v>1021</v>
      </c>
      <c r="BN31">
        <v>10.5</v>
      </c>
      <c r="BO31">
        <v>11.89</v>
      </c>
      <c r="BP31">
        <v>12.13</v>
      </c>
      <c r="BQ31">
        <v>11.13</v>
      </c>
      <c r="BR31">
        <v>12.94</v>
      </c>
      <c r="BS31">
        <v>12.96</v>
      </c>
      <c r="BT31" t="s">
        <v>1432</v>
      </c>
      <c r="BU31" t="s">
        <v>844</v>
      </c>
      <c r="BV31">
        <v>47.19</v>
      </c>
      <c r="BW31">
        <v>46.57</v>
      </c>
      <c r="BX31">
        <v>49.12</v>
      </c>
      <c r="BY31">
        <v>19.260000000000002</v>
      </c>
      <c r="BZ31">
        <v>19.34</v>
      </c>
      <c r="CA31">
        <v>21.34</v>
      </c>
      <c r="CB31">
        <v>-8.2100000000000009</v>
      </c>
      <c r="CC31">
        <v>-19.09</v>
      </c>
      <c r="CD31" t="s">
        <v>2165</v>
      </c>
      <c r="CE31" t="s">
        <v>1317</v>
      </c>
      <c r="CF31" s="8">
        <v>0.21717486382619103</v>
      </c>
      <c r="CG31" s="9">
        <v>-0.38438295194334493</v>
      </c>
      <c r="CH31" s="8">
        <v>0.14076246321201324</v>
      </c>
      <c r="CI31" s="8">
        <v>0.16382253170013428</v>
      </c>
      <c r="CJ31" s="8">
        <v>0.20081967115402222</v>
      </c>
      <c r="CK31" s="8">
        <v>8.4444440901279449E-2</v>
      </c>
      <c r="CL31" s="8">
        <v>5.1401868462562561E-2</v>
      </c>
      <c r="CM31" s="9">
        <v>0.14068154990673065</v>
      </c>
      <c r="CN31" s="9">
        <v>6.844165176153183E-2</v>
      </c>
      <c r="CO31" s="9">
        <v>0.2628900408744812</v>
      </c>
      <c r="CP31" s="9">
        <v>0.23349970579147339</v>
      </c>
      <c r="CQ31" s="9">
        <v>-0.46116960048675537</v>
      </c>
      <c r="CR31">
        <v>82.896316055942378</v>
      </c>
      <c r="CS31">
        <v>6.4636405426403876</v>
      </c>
      <c r="CT31">
        <v>0.87241003271537632</v>
      </c>
      <c r="CU31" s="8">
        <v>0.12825019508600236</v>
      </c>
      <c r="CV31" s="9">
        <v>4.8868669569492339E-2</v>
      </c>
      <c r="CW31">
        <v>0.06</v>
      </c>
      <c r="CX31">
        <v>57.758651596649159</v>
      </c>
      <c r="CY31">
        <v>80606345.046152338</v>
      </c>
      <c r="CZ31">
        <v>0.12825019508600236</v>
      </c>
      <c r="DA31">
        <v>18.276025618864427</v>
      </c>
      <c r="DB31">
        <v>254744324.45500591</v>
      </c>
      <c r="DC31">
        <v>0.12183768533170224</v>
      </c>
      <c r="DD31">
        <v>8.6118202779475812</v>
      </c>
      <c r="DE31">
        <v>540619015.46203387</v>
      </c>
      <c r="DF31">
        <v>0.11286017167568207</v>
      </c>
      <c r="DG31">
        <v>4.9183778740597983</v>
      </c>
      <c r="DH31">
        <v>946595385.55483401</v>
      </c>
      <c r="DI31">
        <v>0.10260015606880189</v>
      </c>
      <c r="DJ31">
        <v>2.2689973849572249</v>
      </c>
      <c r="DK31">
        <v>2051881518.6240373</v>
      </c>
      <c r="DL31">
        <v>8.977513656020164E-2</v>
      </c>
      <c r="DM31">
        <v>75730300</v>
      </c>
      <c r="DN31">
        <v>0.12825019508600236</v>
      </c>
      <c r="DO31">
        <v>4655713800</v>
      </c>
      <c r="DP31">
        <v>381940460</v>
      </c>
      <c r="DQ31">
        <v>2186</v>
      </c>
      <c r="DR31">
        <v>8.8924668740188673E-2</v>
      </c>
      <c r="DS31">
        <v>-0.43325162151283725</v>
      </c>
      <c r="DT31" s="10">
        <v>-0.15666666666666665</v>
      </c>
      <c r="DU31">
        <v>-7.0000000000000007E-2</v>
      </c>
      <c r="DV31">
        <v>-0.22666666666666666</v>
      </c>
      <c r="DW31">
        <v>-9.4300680984808807</v>
      </c>
      <c r="DX31">
        <v>0.23728200455580847</v>
      </c>
      <c r="DY31">
        <v>-9.0332365247461066</v>
      </c>
      <c r="DZ31">
        <v>2267</v>
      </c>
      <c r="EA31">
        <v>-9.0184914755094283</v>
      </c>
      <c r="EB31">
        <v>9</v>
      </c>
      <c r="EC31">
        <v>0.1225871928996929</v>
      </c>
      <c r="ED31">
        <v>1.5862320549820548</v>
      </c>
      <c r="EE31" s="11">
        <v>1.1269100000000001</v>
      </c>
      <c r="EF31">
        <v>1.08971</v>
      </c>
      <c r="EG31">
        <v>16.077282004555808</v>
      </c>
      <c r="EH31" t="s">
        <v>969</v>
      </c>
      <c r="EI31">
        <v>0</v>
      </c>
      <c r="EJ31">
        <v>0</v>
      </c>
      <c r="EK31" s="13">
        <v>45470</v>
      </c>
      <c r="EL31" s="14">
        <v>-1.05</v>
      </c>
      <c r="EM31" s="14">
        <v>2.02</v>
      </c>
      <c r="EN31" s="14">
        <v>-5.45</v>
      </c>
      <c r="EO31" s="14">
        <v>1.2</v>
      </c>
      <c r="EP31" s="14">
        <v>3.72</v>
      </c>
    </row>
    <row r="32" spans="1:146" ht="180.5" customHeight="1" x14ac:dyDescent="0.25">
      <c r="A32" s="7" t="s">
        <v>1776</v>
      </c>
      <c r="B32" s="7" t="s">
        <v>1777</v>
      </c>
      <c r="C32" s="7" t="str">
        <f>"公司主要从事航空、航天、船舶等行业锻件产品的研制、生产、销售和服务。目前，公司产品为特种合金锻件，主要用于制造飞机机身结构件及航空发动机盘件。公司400MN模锻液压机是目前我国自主研制、开发，拥有核心技术的大型模锻液压机，同时也是目前世界上最大的单缸精密模锻液压机，解决了新机型超大尺寸、高强度、高精度锻件的国内制造难题，设备总体性能达到世界先进水平。"&amp;CHAR(10)&amp;Basic_Fundamental_Information_Constructure(F32)&amp;CHAR(10)&amp;Basic_Fundamental_Information_Concatenate("模锻件产品 22.37亿 89.71% 10.27亿 94.22% 45.90%
自由锻件产品 2.07亿 8.28% 3348.52万 3.07% 16.21%
其他 4996.70万 2.00% 2953.94万 2.71% 59.12%")</f>
        <v>公司主要从事航空、航天、船舶等行业锻件产品的研制、生产、销售和服务。目前，公司产品为特种合金锻件，主要用于制造飞机机身结构件及航空发动机盘件。公司400MN模锻液压机是目前我国自主研制、开发，拥有核心技术的大型模锻液压机，同时也是目前世界上最大的单缸精密模锻液压机，解决了新机型超大尺寸、高强度、高精度锻件的国内制造难题，设备总体性能达到世界先进水平。
市值160.999亿, 利润8.15亿; PE19.98; 平均PE40.28; 平均PEG.93, PB2.89; ROIC12.9933%; ROE17.92%; 股利率.622%; 毛利45.52%; 净利33.7067%; 上一年度营收增32.94%, 利润增30.4%; 当季营收增-2.28%, 利润增-3.94%; 过往5年营收增43.1%, 利润增43.66%
Income profile:
模锻件产品 22.37亿 89.71% 10.27亿 94.22% 45.90%
自由锻件产品 2.07亿 8.28% 3348.52万 3.07% 16.21%
其他 4996.70万 2.00% 2953.94万 2.71% 59.12%</v>
      </c>
      <c r="D32" t="s">
        <v>212</v>
      </c>
      <c r="E32" t="s">
        <v>213</v>
      </c>
      <c r="F32">
        <v>29.26</v>
      </c>
      <c r="G32">
        <v>1.25</v>
      </c>
      <c r="H32" t="s">
        <v>2166</v>
      </c>
      <c r="I32">
        <v>16099900000</v>
      </c>
      <c r="J32">
        <v>19.98</v>
      </c>
      <c r="K32">
        <v>2.89</v>
      </c>
      <c r="L32" t="s">
        <v>1792</v>
      </c>
      <c r="M32" t="s">
        <v>1436</v>
      </c>
      <c r="N32" t="s">
        <v>2167</v>
      </c>
      <c r="O32" t="s">
        <v>1133</v>
      </c>
      <c r="P32">
        <v>-2.2799999999999998</v>
      </c>
      <c r="Q32" t="s">
        <v>1437</v>
      </c>
      <c r="R32">
        <v>209417210</v>
      </c>
      <c r="S32" s="6">
        <v>-4.0399999999999998E-2</v>
      </c>
      <c r="T32" t="s">
        <v>1143</v>
      </c>
      <c r="U32">
        <v>531725680</v>
      </c>
      <c r="V32">
        <v>550235810</v>
      </c>
      <c r="W32">
        <v>1.54</v>
      </c>
      <c r="X32">
        <v>7.0000000000000007E-2</v>
      </c>
      <c r="Y32">
        <v>32.54</v>
      </c>
      <c r="Z32" t="s">
        <v>2168</v>
      </c>
      <c r="AA32" t="s">
        <v>488</v>
      </c>
      <c r="AB32" t="s">
        <v>2169</v>
      </c>
      <c r="AC32" t="s">
        <v>2170</v>
      </c>
      <c r="AD32" t="s">
        <v>35</v>
      </c>
      <c r="AE32">
        <v>-16950173</v>
      </c>
      <c r="AF32" t="s">
        <v>1439</v>
      </c>
      <c r="AG32">
        <v>3600.94</v>
      </c>
      <c r="AH32" t="s">
        <v>1440</v>
      </c>
      <c r="AI32" t="s">
        <v>2171</v>
      </c>
      <c r="AJ32" t="s">
        <v>1441</v>
      </c>
      <c r="AK32" t="s">
        <v>1108</v>
      </c>
      <c r="AL32" t="s">
        <v>1442</v>
      </c>
      <c r="AM32" t="s">
        <v>35</v>
      </c>
      <c r="AN32" t="s">
        <v>1884</v>
      </c>
      <c r="AO32" t="s">
        <v>2172</v>
      </c>
      <c r="AP32" t="s">
        <v>124</v>
      </c>
      <c r="AQ32" t="s">
        <v>1287</v>
      </c>
      <c r="AR32" t="s">
        <v>35</v>
      </c>
      <c r="AS32" t="s">
        <v>2173</v>
      </c>
      <c r="AT32" t="s">
        <v>1443</v>
      </c>
      <c r="AU32" t="s">
        <v>880</v>
      </c>
      <c r="AV32" t="s">
        <v>2174</v>
      </c>
      <c r="AW32" t="s">
        <v>1156</v>
      </c>
      <c r="AX32" t="s">
        <v>1011</v>
      </c>
      <c r="AY32" t="s">
        <v>859</v>
      </c>
      <c r="AZ32" t="s">
        <v>90</v>
      </c>
      <c r="BA32" t="s">
        <v>57</v>
      </c>
      <c r="BB32" t="s">
        <v>460</v>
      </c>
      <c r="BC32" t="s">
        <v>645</v>
      </c>
      <c r="BD32" t="s">
        <v>682</v>
      </c>
      <c r="BE32" t="s">
        <v>66</v>
      </c>
      <c r="BF32" t="s">
        <v>214</v>
      </c>
      <c r="BG32" t="s">
        <v>55</v>
      </c>
      <c r="BH32" t="s">
        <v>1437</v>
      </c>
      <c r="BI32" t="s">
        <v>495</v>
      </c>
      <c r="BJ32" t="s">
        <v>1011</v>
      </c>
      <c r="BK32" t="s">
        <v>1143</v>
      </c>
      <c r="BL32" t="s">
        <v>176</v>
      </c>
      <c r="BM32" t="s">
        <v>645</v>
      </c>
      <c r="BN32">
        <v>9.34</v>
      </c>
      <c r="BO32">
        <v>13.97</v>
      </c>
      <c r="BP32">
        <v>15.67</v>
      </c>
      <c r="BQ32">
        <v>12.32</v>
      </c>
      <c r="BR32">
        <v>22.71</v>
      </c>
      <c r="BS32">
        <v>18.73</v>
      </c>
      <c r="BT32" t="s">
        <v>1444</v>
      </c>
      <c r="BU32" t="s">
        <v>733</v>
      </c>
      <c r="BV32">
        <v>43.7</v>
      </c>
      <c r="BW32">
        <v>46.2</v>
      </c>
      <c r="BX32">
        <v>46.66</v>
      </c>
      <c r="BY32">
        <v>32.659999999999997</v>
      </c>
      <c r="BZ32">
        <v>33.29</v>
      </c>
      <c r="CA32">
        <v>35.17</v>
      </c>
      <c r="CB32">
        <v>-3.81</v>
      </c>
      <c r="CC32">
        <v>-9.94</v>
      </c>
      <c r="CD32" t="s">
        <v>2175</v>
      </c>
      <c r="CE32" t="s">
        <v>1826</v>
      </c>
      <c r="CF32" s="8">
        <v>-2.2796352583586626E-2</v>
      </c>
      <c r="CG32" s="9">
        <v>-3.9370596330275363E-2</v>
      </c>
      <c r="CH32" s="8">
        <v>0.32942438125610352</v>
      </c>
      <c r="CI32" s="8">
        <v>0.60068261623382568</v>
      </c>
      <c r="CJ32" s="8">
        <v>0.90569102764129639</v>
      </c>
      <c r="CK32" s="8">
        <v>1.6286644386127591E-3</v>
      </c>
      <c r="CL32" s="8">
        <v>0.31759655475616455</v>
      </c>
      <c r="CM32" s="9">
        <v>0.30399999022483826</v>
      </c>
      <c r="CN32" s="9">
        <v>0.5169903039932251</v>
      </c>
      <c r="CO32" s="9">
        <v>1.0196079015731812</v>
      </c>
      <c r="CP32" s="9">
        <v>6.25E-2</v>
      </c>
      <c r="CQ32" s="9">
        <v>0.2800000011920929</v>
      </c>
      <c r="CR32">
        <v>40.283319432860715</v>
      </c>
      <c r="CS32">
        <v>0.93463770144761427</v>
      </c>
      <c r="CT32">
        <v>0.62200956937799046</v>
      </c>
      <c r="CU32" s="8">
        <v>0.43100464886520057</v>
      </c>
      <c r="CV32" s="9">
        <v>0.43661963939666748</v>
      </c>
      <c r="CW32">
        <v>0.06</v>
      </c>
      <c r="CX32">
        <v>12.018956637020707</v>
      </c>
      <c r="CY32">
        <v>1100253574.3633382</v>
      </c>
      <c r="CZ32">
        <v>0.43100464886520057</v>
      </c>
      <c r="DA32">
        <v>2.9779396403900393</v>
      </c>
      <c r="DB32">
        <v>4440620562.1642427</v>
      </c>
      <c r="DC32">
        <v>0.40945441642194053</v>
      </c>
      <c r="DD32">
        <v>0.97460730304934096</v>
      </c>
      <c r="DE32">
        <v>13568439266.384729</v>
      </c>
      <c r="DF32">
        <v>0.3792840910013765</v>
      </c>
      <c r="DG32">
        <v>0.35054610280370424</v>
      </c>
      <c r="DH32">
        <v>37723711358.460045</v>
      </c>
      <c r="DI32">
        <v>0.34480371909216045</v>
      </c>
      <c r="DJ32">
        <v>5.0355705376646874E-2</v>
      </c>
      <c r="DK32">
        <v>262609765886.28543</v>
      </c>
      <c r="DL32">
        <v>0.30170325420564037</v>
      </c>
      <c r="DM32">
        <v>815000000</v>
      </c>
      <c r="DN32">
        <v>0.43100464886520057</v>
      </c>
      <c r="DO32">
        <v>13223900000</v>
      </c>
      <c r="DP32">
        <v>4814633400</v>
      </c>
      <c r="DQ32">
        <v>2233</v>
      </c>
      <c r="DR32">
        <v>-0.45380100144878721</v>
      </c>
      <c r="DS32">
        <v>-0.47599023572694282</v>
      </c>
      <c r="DT32" s="10">
        <v>0.39333333333333331</v>
      </c>
      <c r="DU32">
        <v>0.68333333333333324</v>
      </c>
      <c r="DV32">
        <v>1.0766666666666667</v>
      </c>
      <c r="DW32">
        <v>-8.3832997987927573</v>
      </c>
      <c r="DX32">
        <v>0.30810179640718527</v>
      </c>
      <c r="DY32">
        <v>-8.0376023988240828</v>
      </c>
      <c r="DZ32">
        <v>1671</v>
      </c>
      <c r="EA32">
        <v>-8.0253061936508843</v>
      </c>
      <c r="EB32">
        <v>8</v>
      </c>
      <c r="EC32">
        <v>8.9323521128150493E-2</v>
      </c>
      <c r="ED32">
        <v>0.91051871015083519</v>
      </c>
      <c r="EE32" s="11">
        <v>-1.00241</v>
      </c>
      <c r="EF32">
        <v>-1.0234099999999999</v>
      </c>
      <c r="EG32">
        <v>21.098101796407185</v>
      </c>
      <c r="EH32" t="s">
        <v>971</v>
      </c>
      <c r="EI32">
        <v>0</v>
      </c>
      <c r="EJ32">
        <v>0</v>
      </c>
      <c r="EK32" s="13">
        <v>45470</v>
      </c>
      <c r="EL32" s="14">
        <v>0.45</v>
      </c>
      <c r="EM32" s="14">
        <v>-5.33</v>
      </c>
      <c r="EN32" s="14">
        <v>0.16</v>
      </c>
      <c r="EO32" s="14">
        <v>4.0599999999999996</v>
      </c>
      <c r="EP32" s="14">
        <v>-2.1</v>
      </c>
    </row>
    <row r="33" spans="1:146" ht="96" x14ac:dyDescent="0.25">
      <c r="A33" s="7"/>
      <c r="B33" s="7"/>
      <c r="C33" s="7" t="str">
        <f>""&amp;CHAR(10)&amp;Basic_Fundamental_Information_Constructure(F33)&amp;CHAR(10)&amp;Basic_Fundamental_Information_Concatenate("")</f>
        <v xml:space="preserve">
市值91.986817亿, 利润2.89亿; PE45.99; 平均PE35.02; 平均PEG1.2, PB2.22; ROIC14.7433%; ROE13.82%; 股利率.5688%; 毛利73.47%; 净利58.4467%; 上一年度营收增-29.86%, 利润增-51.51%; 当季营收增-28.99%, 利润增-59.97%; 过往5年营收增29.15%, 利润增42.84%
Income profile:
</v>
      </c>
      <c r="D33" t="s">
        <v>653</v>
      </c>
      <c r="E33" t="s">
        <v>654</v>
      </c>
      <c r="F33">
        <v>20.92</v>
      </c>
      <c r="G33">
        <v>1.8</v>
      </c>
      <c r="H33" t="s">
        <v>2176</v>
      </c>
      <c r="I33">
        <v>9198681700</v>
      </c>
      <c r="J33">
        <v>45.99</v>
      </c>
      <c r="K33">
        <v>2.2200000000000002</v>
      </c>
      <c r="L33" t="s">
        <v>1792</v>
      </c>
      <c r="M33" t="s">
        <v>983</v>
      </c>
      <c r="N33" t="s">
        <v>394</v>
      </c>
      <c r="O33" t="s">
        <v>372</v>
      </c>
      <c r="P33">
        <v>-28.96</v>
      </c>
      <c r="Q33" t="s">
        <v>852</v>
      </c>
      <c r="R33">
        <v>59245792</v>
      </c>
      <c r="S33" s="6">
        <v>-0.6008</v>
      </c>
      <c r="T33" t="s">
        <v>121</v>
      </c>
      <c r="U33">
        <v>423742780</v>
      </c>
      <c r="V33">
        <v>439707540</v>
      </c>
      <c r="W33">
        <v>1.07</v>
      </c>
      <c r="X33">
        <v>0.03</v>
      </c>
      <c r="Y33">
        <v>40.369999999999997</v>
      </c>
      <c r="Z33" t="s">
        <v>2177</v>
      </c>
      <c r="AA33" t="s">
        <v>2178</v>
      </c>
      <c r="AB33" t="s">
        <v>2179</v>
      </c>
      <c r="AC33" t="s">
        <v>2180</v>
      </c>
      <c r="AD33" t="s">
        <v>35</v>
      </c>
      <c r="AE33">
        <v>-3760309</v>
      </c>
      <c r="AF33" t="s">
        <v>1445</v>
      </c>
      <c r="AG33" t="s">
        <v>35</v>
      </c>
      <c r="AH33" t="s">
        <v>1446</v>
      </c>
      <c r="AI33" t="s">
        <v>2181</v>
      </c>
      <c r="AJ33" t="s">
        <v>1447</v>
      </c>
      <c r="AK33" t="s">
        <v>2182</v>
      </c>
      <c r="AL33" t="s">
        <v>1448</v>
      </c>
      <c r="AM33" t="s">
        <v>35</v>
      </c>
      <c r="AN33" t="s">
        <v>172</v>
      </c>
      <c r="AO33" t="s">
        <v>35</v>
      </c>
      <c r="AP33" t="s">
        <v>2183</v>
      </c>
      <c r="AQ33" t="s">
        <v>2184</v>
      </c>
      <c r="AR33" t="s">
        <v>35</v>
      </c>
      <c r="AS33" t="s">
        <v>100</v>
      </c>
      <c r="AT33" t="s">
        <v>35</v>
      </c>
      <c r="AU33" t="s">
        <v>2185</v>
      </c>
      <c r="AV33" t="s">
        <v>132</v>
      </c>
      <c r="AW33" t="s">
        <v>35</v>
      </c>
      <c r="AX33" t="s">
        <v>410</v>
      </c>
      <c r="AY33" t="s">
        <v>682</v>
      </c>
      <c r="AZ33" t="s">
        <v>377</v>
      </c>
      <c r="BA33" t="s">
        <v>523</v>
      </c>
      <c r="BB33" t="s">
        <v>172</v>
      </c>
      <c r="BC33" t="s">
        <v>1022</v>
      </c>
      <c r="BD33" t="s">
        <v>140</v>
      </c>
      <c r="BE33" t="s">
        <v>120</v>
      </c>
      <c r="BF33" t="s">
        <v>71</v>
      </c>
      <c r="BG33" t="s">
        <v>59</v>
      </c>
      <c r="BH33" t="s">
        <v>852</v>
      </c>
      <c r="BI33" t="s">
        <v>253</v>
      </c>
      <c r="BJ33" t="s">
        <v>410</v>
      </c>
      <c r="BK33" t="s">
        <v>121</v>
      </c>
      <c r="BL33" t="s">
        <v>583</v>
      </c>
      <c r="BM33" t="s">
        <v>1022</v>
      </c>
      <c r="BN33">
        <v>6.09</v>
      </c>
      <c r="BO33">
        <v>22.29</v>
      </c>
      <c r="BP33">
        <v>15.85</v>
      </c>
      <c r="BQ33">
        <v>6.65</v>
      </c>
      <c r="BR33">
        <v>19.149999999999999</v>
      </c>
      <c r="BS33">
        <v>15.66</v>
      </c>
      <c r="BT33" t="s">
        <v>1449</v>
      </c>
      <c r="BU33" t="s">
        <v>733</v>
      </c>
      <c r="BV33">
        <v>67.7</v>
      </c>
      <c r="BW33">
        <v>75.63</v>
      </c>
      <c r="BX33">
        <v>77.08</v>
      </c>
      <c r="BY33">
        <v>51.75</v>
      </c>
      <c r="BZ33">
        <v>74.709999999999994</v>
      </c>
      <c r="CA33">
        <v>48.88</v>
      </c>
      <c r="CB33">
        <v>-2.7</v>
      </c>
      <c r="CC33">
        <v>-19.97</v>
      </c>
      <c r="CD33" t="s">
        <v>2186</v>
      </c>
      <c r="CE33" t="s">
        <v>142</v>
      </c>
      <c r="CF33" s="8">
        <v>-0.28985507246376802</v>
      </c>
      <c r="CG33" s="9">
        <v>-0.59969059459459462</v>
      </c>
      <c r="CH33" s="8">
        <v>-0.2986198365688324</v>
      </c>
      <c r="CI33" s="8">
        <v>0.93446600437164307</v>
      </c>
      <c r="CJ33" s="8">
        <v>5.6410256773233414E-2</v>
      </c>
      <c r="CK33" s="8">
        <v>0.66666668653488159</v>
      </c>
      <c r="CL33" s="8">
        <v>9.8591551184654236E-2</v>
      </c>
      <c r="CM33" s="9">
        <v>-0.51510065793991089</v>
      </c>
      <c r="CN33" s="9">
        <v>1.9651740789413452</v>
      </c>
      <c r="CO33" s="9">
        <v>-0.13362069427967072</v>
      </c>
      <c r="CP33" s="9">
        <v>0.69343066215515137</v>
      </c>
      <c r="CQ33" s="9">
        <v>0.13223139941692352</v>
      </c>
      <c r="CR33">
        <v>35.020361802030457</v>
      </c>
      <c r="CS33">
        <v>1.2013725387459748</v>
      </c>
      <c r="CT33">
        <v>0.56883365200764813</v>
      </c>
      <c r="CU33" s="8">
        <v>0.29150293245911596</v>
      </c>
      <c r="CV33" s="9">
        <v>0.4284229576587677</v>
      </c>
      <c r="CW33">
        <v>0.06</v>
      </c>
      <c r="CX33">
        <v>15.275255045342782</v>
      </c>
      <c r="CY33">
        <v>352117308.94404197</v>
      </c>
      <c r="CZ33">
        <v>0.29150293245911596</v>
      </c>
      <c r="DA33">
        <v>4.2260225328962431</v>
      </c>
      <c r="DB33">
        <v>1272752726.26476</v>
      </c>
      <c r="DC33">
        <v>0.27692778583616012</v>
      </c>
      <c r="DD33">
        <v>1.6403678284818775</v>
      </c>
      <c r="DE33">
        <v>3278948542.2777681</v>
      </c>
      <c r="DF33">
        <v>0.25652258056402205</v>
      </c>
      <c r="DG33">
        <v>0.73790526098029818</v>
      </c>
      <c r="DH33">
        <v>7289122309.3524046</v>
      </c>
      <c r="DI33">
        <v>0.23320234596729278</v>
      </c>
      <c r="DJ33">
        <v>0.18889827547925761</v>
      </c>
      <c r="DK33">
        <v>28473958729.128883</v>
      </c>
      <c r="DL33">
        <v>0.20405205272138116</v>
      </c>
      <c r="DM33">
        <v>289000000</v>
      </c>
      <c r="DN33">
        <v>0.29150293245911596</v>
      </c>
      <c r="DO33">
        <v>5378681700</v>
      </c>
      <c r="DP33">
        <v>2429217100</v>
      </c>
      <c r="DQ33">
        <v>2235</v>
      </c>
      <c r="DR33">
        <v>-0.58135800492288392</v>
      </c>
      <c r="DS33">
        <v>-1.0281135522533624</v>
      </c>
      <c r="DT33" s="10">
        <v>-7.333333333333332E-2</v>
      </c>
      <c r="DU33">
        <v>0.17999999999999997</v>
      </c>
      <c r="DV33">
        <v>0.10666666666666665</v>
      </c>
      <c r="DW33">
        <v>-8.13520280420631</v>
      </c>
      <c r="DX33">
        <v>0.31825549450549584</v>
      </c>
      <c r="DY33">
        <v>-8.0146364464278843</v>
      </c>
      <c r="DZ33">
        <v>448</v>
      </c>
      <c r="EA33">
        <v>-8.0133532511246184</v>
      </c>
      <c r="EB33">
        <v>8</v>
      </c>
      <c r="EC33">
        <v>4.4808192281624283E-2</v>
      </c>
      <c r="ED33">
        <v>0.41391148307349929</v>
      </c>
      <c r="EE33" s="11">
        <v>8.4209999999999993E-2</v>
      </c>
      <c r="EF33">
        <v>0.10911</v>
      </c>
      <c r="EG33">
        <v>21.108255494505496</v>
      </c>
      <c r="EH33">
        <v>-1</v>
      </c>
      <c r="EI33">
        <v>0</v>
      </c>
      <c r="EJ33">
        <v>1</v>
      </c>
      <c r="EK33" s="13">
        <v>45470</v>
      </c>
      <c r="EL33" s="14">
        <v>-0.3</v>
      </c>
      <c r="EM33" s="14">
        <v>-3.54</v>
      </c>
      <c r="EN33" s="14">
        <v>-3.9</v>
      </c>
      <c r="EO33" s="14">
        <v>1.71</v>
      </c>
      <c r="EP33" s="14">
        <v>-2.4900000000000002</v>
      </c>
    </row>
    <row r="34" spans="1:146" ht="84" x14ac:dyDescent="0.25">
      <c r="A34" s="7"/>
      <c r="B34" s="7"/>
      <c r="C34" s="7" t="str">
        <f>""&amp;CHAR(10)&amp;Basic_Fundamental_Information_Constructure(F34)&amp;CHAR(10)&amp;Basic_Fundamental_Information_Concatenate("")</f>
        <v xml:space="preserve">
市值17.07003亿, 利润2.56亿; PE; 平均PE21.84; 平均PEG.25, PB2.05; ROIC.955%; ROE-.71%; 股利率.1383%; 毛利40.0833%; 净利-28.0433%; 上一年度营收增431.65%, 利润增1919.79%; 当季营收增-82.86%, 利润增-120.9%; 过往5年营收增86.78%, 利润增361.15%
Income profile:
</v>
      </c>
      <c r="D34" t="s">
        <v>216</v>
      </c>
      <c r="E34" t="s">
        <v>217</v>
      </c>
      <c r="F34">
        <v>14.46</v>
      </c>
      <c r="G34">
        <v>1.76</v>
      </c>
      <c r="H34" t="s">
        <v>2187</v>
      </c>
      <c r="I34">
        <v>1707003000</v>
      </c>
      <c r="K34">
        <v>2.0499999999999998</v>
      </c>
      <c r="L34" t="s">
        <v>1792</v>
      </c>
      <c r="M34" t="s">
        <v>373</v>
      </c>
      <c r="N34" t="s">
        <v>2188</v>
      </c>
      <c r="O34" t="s">
        <v>1450</v>
      </c>
      <c r="P34">
        <v>3.78</v>
      </c>
      <c r="Q34" t="s">
        <v>1192</v>
      </c>
      <c r="R34">
        <v>-13718959</v>
      </c>
      <c r="S34" s="6">
        <v>-1.6080000000000001</v>
      </c>
      <c r="T34" t="s">
        <v>999</v>
      </c>
      <c r="U34">
        <v>113988125</v>
      </c>
      <c r="V34">
        <v>118050000</v>
      </c>
      <c r="W34">
        <v>1.39</v>
      </c>
      <c r="X34">
        <v>0.04</v>
      </c>
      <c r="Y34">
        <v>-27.46</v>
      </c>
      <c r="Z34" t="s">
        <v>2189</v>
      </c>
      <c r="AA34" t="s">
        <v>2190</v>
      </c>
      <c r="AB34" t="s">
        <v>2191</v>
      </c>
      <c r="AC34" t="s">
        <v>2192</v>
      </c>
      <c r="AD34" t="s">
        <v>35</v>
      </c>
      <c r="AE34">
        <v>415309</v>
      </c>
      <c r="AF34" t="s">
        <v>1451</v>
      </c>
      <c r="AG34">
        <v>0.16</v>
      </c>
      <c r="AH34" t="s">
        <v>1452</v>
      </c>
      <c r="AI34" t="s">
        <v>2193</v>
      </c>
      <c r="AJ34" t="s">
        <v>1453</v>
      </c>
      <c r="AK34" t="s">
        <v>2194</v>
      </c>
      <c r="AL34" t="s">
        <v>1454</v>
      </c>
      <c r="AM34" t="s">
        <v>35</v>
      </c>
      <c r="AN34" t="s">
        <v>2195</v>
      </c>
      <c r="AO34" t="s">
        <v>2196</v>
      </c>
      <c r="AP34" t="s">
        <v>2197</v>
      </c>
      <c r="AQ34" t="s">
        <v>209</v>
      </c>
      <c r="AR34" t="s">
        <v>1455</v>
      </c>
      <c r="AS34" t="s">
        <v>857</v>
      </c>
      <c r="AT34" t="s">
        <v>35</v>
      </c>
      <c r="AU34" t="s">
        <v>2198</v>
      </c>
      <c r="AV34" t="s">
        <v>831</v>
      </c>
      <c r="AW34" t="s">
        <v>2199</v>
      </c>
      <c r="AX34" t="s">
        <v>176</v>
      </c>
      <c r="AY34" t="s">
        <v>201</v>
      </c>
      <c r="AZ34" t="s">
        <v>184</v>
      </c>
      <c r="BA34" t="s">
        <v>123</v>
      </c>
      <c r="BB34" t="s">
        <v>60</v>
      </c>
      <c r="BC34" t="s">
        <v>1024</v>
      </c>
      <c r="BD34" t="s">
        <v>700</v>
      </c>
      <c r="BE34" t="s">
        <v>462</v>
      </c>
      <c r="BF34" t="s">
        <v>218</v>
      </c>
      <c r="BG34" t="s">
        <v>463</v>
      </c>
      <c r="BH34" t="s">
        <v>74</v>
      </c>
      <c r="BI34" t="s">
        <v>769</v>
      </c>
      <c r="BJ34" t="s">
        <v>176</v>
      </c>
      <c r="BK34" t="s">
        <v>1162</v>
      </c>
      <c r="BL34" t="s">
        <v>2200</v>
      </c>
      <c r="BM34" t="s">
        <v>1024</v>
      </c>
      <c r="BN34" t="s">
        <v>35</v>
      </c>
      <c r="BO34">
        <v>1.1000000000000001</v>
      </c>
      <c r="BP34">
        <v>0.81</v>
      </c>
      <c r="BQ34">
        <v>-4.5</v>
      </c>
      <c r="BR34">
        <v>1.24</v>
      </c>
      <c r="BS34">
        <v>1.1299999999999999</v>
      </c>
      <c r="BT34" t="s">
        <v>954</v>
      </c>
      <c r="BU34" t="s">
        <v>846</v>
      </c>
      <c r="BV34">
        <v>-6.57</v>
      </c>
      <c r="BW34">
        <v>63.59</v>
      </c>
      <c r="BX34">
        <v>63.23</v>
      </c>
      <c r="BY34">
        <v>-96.51</v>
      </c>
      <c r="BZ34">
        <v>5.97</v>
      </c>
      <c r="CA34">
        <v>6.41</v>
      </c>
      <c r="CB34">
        <v>-5.43</v>
      </c>
      <c r="CC34">
        <v>-23.29</v>
      </c>
      <c r="CD34" t="s">
        <v>2201</v>
      </c>
      <c r="CE34" t="s">
        <v>2202</v>
      </c>
      <c r="CF34" s="8">
        <v>-0.8285621993127148</v>
      </c>
      <c r="CG34" s="9">
        <v>-1.209045707076094</v>
      </c>
      <c r="CH34" s="8">
        <v>4.3165140151977539</v>
      </c>
      <c r="CI34" s="8">
        <v>7.9207919538021088E-2</v>
      </c>
      <c r="CJ34" s="8">
        <v>0.61599999666213989</v>
      </c>
      <c r="CK34" s="8">
        <v>-0.48132780194282532</v>
      </c>
      <c r="CL34" s="8">
        <v>-0.19127516448497772</v>
      </c>
      <c r="CM34" s="9">
        <v>19.1978759765625</v>
      </c>
      <c r="CN34" s="9">
        <v>0.10721305757761002</v>
      </c>
      <c r="CO34" s="9">
        <v>-0.46027234196662903</v>
      </c>
      <c r="CP34" s="9">
        <v>-0.74076169729232788</v>
      </c>
      <c r="CQ34" s="9">
        <v>-4.6524453908205032E-2</v>
      </c>
      <c r="CR34">
        <v>21.840226718299526</v>
      </c>
      <c r="CS34">
        <v>0.25166660438002031</v>
      </c>
      <c r="CT34">
        <v>0.13831258644536654</v>
      </c>
      <c r="CU34" s="8">
        <v>0.86782379299402235</v>
      </c>
      <c r="CV34" s="9">
        <v>3.6115061081945896</v>
      </c>
      <c r="CW34">
        <v>0.06</v>
      </c>
      <c r="CX34">
        <v>2.6069843633748935</v>
      </c>
      <c r="CY34">
        <v>451097066.98723555</v>
      </c>
      <c r="CZ34">
        <v>0.86782379299402235</v>
      </c>
      <c r="DA34">
        <v>0.46959744442920587</v>
      </c>
      <c r="DB34">
        <v>2504278960.5242162</v>
      </c>
      <c r="DC34">
        <v>0.82443260334432122</v>
      </c>
      <c r="DD34">
        <v>9.0657094238127928E-2</v>
      </c>
      <c r="DE34">
        <v>12971990883.703009</v>
      </c>
      <c r="DF34">
        <v>0.76368493783473967</v>
      </c>
      <c r="DG34">
        <v>1.5948688533109372E-2</v>
      </c>
      <c r="DH34">
        <v>73736658506.975388</v>
      </c>
      <c r="DI34">
        <v>0.69425903439521797</v>
      </c>
      <c r="DJ34">
        <v>3.7819708655757788E-4</v>
      </c>
      <c r="DK34">
        <v>3109497777215.0601</v>
      </c>
      <c r="DL34">
        <v>0.60747665509581561</v>
      </c>
      <c r="DM34">
        <v>256000000</v>
      </c>
      <c r="DN34">
        <v>0.86782379299402235</v>
      </c>
      <c r="DO34">
        <v>1176003000</v>
      </c>
      <c r="DP34">
        <v>616539210</v>
      </c>
      <c r="DQ34">
        <v>2267</v>
      </c>
      <c r="DR34">
        <v>-1.696385992306737</v>
      </c>
      <c r="DS34">
        <v>-4.8205518152706839</v>
      </c>
      <c r="DT34" s="10">
        <v>-9.0000000000000011E-2</v>
      </c>
      <c r="DU34">
        <v>-0.96499999999999997</v>
      </c>
      <c r="DV34">
        <v>-1.0549999999999999</v>
      </c>
      <c r="DW34">
        <v>-8.2331472735079441</v>
      </c>
      <c r="DX34">
        <v>0.2509184074582328</v>
      </c>
      <c r="DY34">
        <v>-8.0211973788105713</v>
      </c>
      <c r="DZ34">
        <v>1329</v>
      </c>
      <c r="EA34">
        <v>-8.0156844010338109</v>
      </c>
      <c r="EB34">
        <v>8</v>
      </c>
      <c r="EC34">
        <v>5.70851334180432E-2</v>
      </c>
      <c r="ED34">
        <v>0.62787208809826345</v>
      </c>
      <c r="EE34" s="11">
        <v>1.1448</v>
      </c>
      <c r="EF34">
        <v>1.1045</v>
      </c>
      <c r="EG34">
        <v>16.090918407458233</v>
      </c>
      <c r="EH34" t="s">
        <v>738</v>
      </c>
      <c r="EI34">
        <v>0</v>
      </c>
      <c r="EJ34">
        <v>1</v>
      </c>
      <c r="EK34" s="13">
        <v>45470</v>
      </c>
      <c r="EL34" s="14">
        <v>-0.46</v>
      </c>
      <c r="EM34" s="14">
        <v>-4.33</v>
      </c>
      <c r="EN34" s="14">
        <v>11.54</v>
      </c>
      <c r="EO34" s="14">
        <v>0.56999999999999995</v>
      </c>
      <c r="EP34" s="14">
        <v>-4.03</v>
      </c>
    </row>
    <row r="35" spans="1:146" ht="84" x14ac:dyDescent="0.25">
      <c r="A35" s="7"/>
      <c r="B35" s="7"/>
      <c r="C35" s="7" t="str">
        <f>""&amp;CHAR(10)&amp;Basic_Fundamental_Information_Constructure(F35)&amp;CHAR(10)&amp;Basic_Fundamental_Information_Concatenate("")</f>
        <v xml:space="preserve">
市值18.07009亿, 利润2147.77万; PE; 平均PE37.12; 平均PEG1.34, PB1.43; ROIC2.02%; ROE-.14%; 股利率0%; 毛利43.5767%; 净利-2.72%; 上一年度营收增89.58%, 利润增223.25%; 当季营收增-73.91%, 利润增-160.84%; 过往5年营收增27.64%, 利润增11.37%
Income profile:
</v>
      </c>
      <c r="D35" t="s">
        <v>219</v>
      </c>
      <c r="E35" t="s">
        <v>220</v>
      </c>
      <c r="F35">
        <v>18.100000000000001</v>
      </c>
      <c r="G35">
        <v>1.86</v>
      </c>
      <c r="H35" t="s">
        <v>2203</v>
      </c>
      <c r="I35">
        <v>1807009000</v>
      </c>
      <c r="K35">
        <v>1.43</v>
      </c>
      <c r="L35" t="s">
        <v>1792</v>
      </c>
      <c r="M35" t="s">
        <v>614</v>
      </c>
      <c r="N35" t="s">
        <v>2204</v>
      </c>
      <c r="O35" t="s">
        <v>1456</v>
      </c>
      <c r="P35">
        <v>-56.25</v>
      </c>
      <c r="Q35" t="s">
        <v>480</v>
      </c>
      <c r="R35">
        <v>-5655354</v>
      </c>
      <c r="S35" s="6">
        <v>-3.2850000000000001</v>
      </c>
      <c r="T35" t="s">
        <v>2205</v>
      </c>
      <c r="U35">
        <v>65939267</v>
      </c>
      <c r="V35">
        <v>99834751</v>
      </c>
      <c r="W35">
        <v>1.1499999999999999</v>
      </c>
      <c r="X35">
        <v>0.01</v>
      </c>
      <c r="Y35">
        <v>-36.880000000000003</v>
      </c>
      <c r="Z35" t="s">
        <v>2206</v>
      </c>
      <c r="AA35" t="s">
        <v>2207</v>
      </c>
      <c r="AB35" t="s">
        <v>2208</v>
      </c>
      <c r="AC35" t="s">
        <v>2209</v>
      </c>
      <c r="AD35" t="s">
        <v>35</v>
      </c>
      <c r="AE35">
        <v>-355823</v>
      </c>
      <c r="AF35" t="s">
        <v>1458</v>
      </c>
      <c r="AG35">
        <v>1.79</v>
      </c>
      <c r="AH35" t="s">
        <v>1459</v>
      </c>
      <c r="AI35" t="s">
        <v>855</v>
      </c>
      <c r="AJ35" t="s">
        <v>1460</v>
      </c>
      <c r="AK35" t="s">
        <v>2210</v>
      </c>
      <c r="AL35" t="s">
        <v>1461</v>
      </c>
      <c r="AM35" t="s">
        <v>35</v>
      </c>
      <c r="AN35" t="s">
        <v>2211</v>
      </c>
      <c r="AO35" t="s">
        <v>2212</v>
      </c>
      <c r="AP35" t="s">
        <v>35</v>
      </c>
      <c r="AQ35" t="s">
        <v>2213</v>
      </c>
      <c r="AR35" t="s">
        <v>2214</v>
      </c>
      <c r="AS35" t="s">
        <v>131</v>
      </c>
      <c r="AT35" t="s">
        <v>35</v>
      </c>
      <c r="AU35" t="s">
        <v>2215</v>
      </c>
      <c r="AV35" t="s">
        <v>1493</v>
      </c>
      <c r="AW35" t="s">
        <v>2216</v>
      </c>
      <c r="AX35" t="s">
        <v>81</v>
      </c>
      <c r="AY35" t="s">
        <v>383</v>
      </c>
      <c r="AZ35" t="s">
        <v>334</v>
      </c>
      <c r="BA35" t="s">
        <v>92</v>
      </c>
      <c r="BB35" t="s">
        <v>249</v>
      </c>
      <c r="BC35" t="s">
        <v>1025</v>
      </c>
      <c r="BD35" t="s">
        <v>701</v>
      </c>
      <c r="BE35" t="s">
        <v>193</v>
      </c>
      <c r="BF35" t="s">
        <v>221</v>
      </c>
      <c r="BG35" t="s">
        <v>464</v>
      </c>
      <c r="BH35" t="s">
        <v>395</v>
      </c>
      <c r="BI35" t="s">
        <v>2217</v>
      </c>
      <c r="BJ35" t="s">
        <v>81</v>
      </c>
      <c r="BK35" t="s">
        <v>1457</v>
      </c>
      <c r="BL35" t="s">
        <v>2218</v>
      </c>
      <c r="BM35" t="s">
        <v>1025</v>
      </c>
      <c r="BN35" t="s">
        <v>35</v>
      </c>
      <c r="BO35" t="s">
        <v>35</v>
      </c>
      <c r="BP35">
        <v>2.02</v>
      </c>
      <c r="BQ35">
        <v>-1.31</v>
      </c>
      <c r="BR35">
        <v>-1.29</v>
      </c>
      <c r="BS35">
        <v>2.1800000000000002</v>
      </c>
      <c r="BT35" t="s">
        <v>948</v>
      </c>
      <c r="BU35" t="s">
        <v>823</v>
      </c>
      <c r="BV35">
        <v>35.200000000000003</v>
      </c>
      <c r="BW35">
        <v>46.03</v>
      </c>
      <c r="BX35">
        <v>49.5</v>
      </c>
      <c r="BY35">
        <v>-23.37</v>
      </c>
      <c r="BZ35">
        <v>-4.12</v>
      </c>
      <c r="CA35">
        <v>19.329999999999998</v>
      </c>
      <c r="CB35">
        <v>-2</v>
      </c>
      <c r="CC35">
        <v>-27.77</v>
      </c>
      <c r="CD35" t="s">
        <v>2219</v>
      </c>
      <c r="CE35" t="s">
        <v>2220</v>
      </c>
      <c r="CF35" s="8">
        <v>-0.73912502212159858</v>
      </c>
      <c r="CG35" s="9">
        <v>-1.6084493313393655</v>
      </c>
      <c r="CH35" s="8">
        <v>0.89583331346511841</v>
      </c>
      <c r="CI35" s="8">
        <v>0.21212121844291687</v>
      </c>
      <c r="CJ35" s="8">
        <v>-0.26119402050971985</v>
      </c>
      <c r="CK35" s="8">
        <v>9.3877553939819336E-2</v>
      </c>
      <c r="CL35" s="8">
        <v>0.44117647409439087</v>
      </c>
      <c r="CM35" s="9">
        <v>2.2325372695922852</v>
      </c>
      <c r="CN35" s="9">
        <v>-1.5622104406356812</v>
      </c>
      <c r="CO35" s="9">
        <v>-0.69005197286605835</v>
      </c>
      <c r="CP35" s="9">
        <v>5.1178783178329468E-2</v>
      </c>
      <c r="CQ35" s="9">
        <v>0.53704571723937988</v>
      </c>
      <c r="CR35">
        <v>37.121359397816626</v>
      </c>
      <c r="CS35">
        <v>1.3432106240921946</v>
      </c>
      <c r="CT35">
        <v>0</v>
      </c>
      <c r="CU35" s="8">
        <v>0.27636290788650514</v>
      </c>
      <c r="CV35" s="9">
        <v>0.113699871301651</v>
      </c>
      <c r="CW35">
        <v>0.06</v>
      </c>
      <c r="CX35">
        <v>27.183464333321183</v>
      </c>
      <c r="CY35">
        <v>25861641.157277349</v>
      </c>
      <c r="CZ35">
        <v>0.27636290788650514</v>
      </c>
      <c r="DA35">
        <v>7.6129836063180791</v>
      </c>
      <c r="DB35">
        <v>92343427.538260683</v>
      </c>
      <c r="DC35">
        <v>0.2625447624921799</v>
      </c>
      <c r="DD35">
        <v>3.0097319655339354</v>
      </c>
      <c r="DE35">
        <v>233578607.01568624</v>
      </c>
      <c r="DF35">
        <v>0.24319935894012451</v>
      </c>
      <c r="DG35">
        <v>1.3860262501333738</v>
      </c>
      <c r="DH35">
        <v>507211894.38681358</v>
      </c>
      <c r="DI35">
        <v>0.22109032630920411</v>
      </c>
      <c r="DJ35">
        <v>0.37674838239657388</v>
      </c>
      <c r="DK35">
        <v>1865990758.9463696</v>
      </c>
      <c r="DL35">
        <v>0.1934540355205536</v>
      </c>
      <c r="DM35">
        <v>21477700</v>
      </c>
      <c r="DN35">
        <v>0.27636290788650514</v>
      </c>
      <c r="DO35">
        <v>703009000</v>
      </c>
      <c r="DP35">
        <v>699849690</v>
      </c>
      <c r="DQ35">
        <v>2331</v>
      </c>
      <c r="DR35">
        <v>-1.0154879300081037</v>
      </c>
      <c r="DS35">
        <v>-1.7221492026410166</v>
      </c>
      <c r="DT35" s="10">
        <v>1.0000000000000011E-2</v>
      </c>
      <c r="DU35">
        <v>-1.4816666666666667</v>
      </c>
      <c r="DV35">
        <v>-1.4716666666666667</v>
      </c>
      <c r="DW35">
        <v>-3.1331130952380954</v>
      </c>
      <c r="DX35">
        <v>0.38966596910522427</v>
      </c>
      <c r="DY35">
        <v>-3.0252470242089293</v>
      </c>
      <c r="DZ35">
        <v>883</v>
      </c>
      <c r="EA35">
        <v>-3.0208843779513002</v>
      </c>
      <c r="EB35">
        <v>3</v>
      </c>
      <c r="EC35">
        <v>0.17033046939737448</v>
      </c>
      <c r="ED35">
        <v>0.89805502695148687</v>
      </c>
      <c r="EE35" s="11">
        <v>-2.0177999999999998</v>
      </c>
      <c r="EF35">
        <v>-2.0097</v>
      </c>
      <c r="EG35">
        <v>20.189665969105224</v>
      </c>
      <c r="EH35" t="s">
        <v>1067</v>
      </c>
      <c r="EI35">
        <v>0</v>
      </c>
      <c r="EJ35">
        <v>1</v>
      </c>
      <c r="EK35" s="13">
        <v>45470</v>
      </c>
      <c r="EL35" s="14">
        <v>-0.47</v>
      </c>
      <c r="EM35" s="14">
        <v>-4.72</v>
      </c>
      <c r="EN35" s="14">
        <v>1.91</v>
      </c>
      <c r="EO35" s="14">
        <v>2.64</v>
      </c>
      <c r="EP35" s="14">
        <v>-0.81</v>
      </c>
    </row>
    <row r="36" spans="1:146" ht="84" x14ac:dyDescent="0.25">
      <c r="A36" s="7"/>
      <c r="B36" s="7"/>
      <c r="C36" s="7" t="str">
        <f>""&amp;CHAR(10)&amp;Basic_Fundamental_Information_Constructure(F36)&amp;CHAR(10)&amp;Basic_Fundamental_Information_Concatenate("")</f>
        <v xml:space="preserve">
市值51.020812亿, 利润2134.56万; PE46.45; 平均PE69.84; 平均PEG1.97, PB3.48; ROIC4.6567%; ROE5.5767%; 股利率.057%; 毛利46.4533%; 净利18.4067%; 上一年度营收增-26.05%, 利润增-85.77%; 当季营收增119.61%, 利润增317.19%; 过往5年营收增35.4%, 利润增43.87%
Income profile:
</v>
      </c>
      <c r="D36" t="s">
        <v>465</v>
      </c>
      <c r="E36" t="s">
        <v>466</v>
      </c>
      <c r="F36">
        <v>17.2</v>
      </c>
      <c r="G36">
        <v>1.1200000000000001</v>
      </c>
      <c r="H36" t="s">
        <v>2221</v>
      </c>
      <c r="I36">
        <v>5102081200</v>
      </c>
      <c r="J36">
        <v>46.45</v>
      </c>
      <c r="K36">
        <v>3.48</v>
      </c>
      <c r="L36" t="s">
        <v>1792</v>
      </c>
      <c r="M36" t="s">
        <v>1462</v>
      </c>
      <c r="N36" t="s">
        <v>2222</v>
      </c>
      <c r="O36" t="s">
        <v>122</v>
      </c>
      <c r="P36">
        <v>41.69</v>
      </c>
      <c r="Q36" t="s">
        <v>980</v>
      </c>
      <c r="R36">
        <v>30504225</v>
      </c>
      <c r="S36" s="6">
        <v>0.2077</v>
      </c>
      <c r="T36" t="s">
        <v>2223</v>
      </c>
      <c r="U36">
        <v>217752600</v>
      </c>
      <c r="V36">
        <v>296632630</v>
      </c>
      <c r="W36">
        <v>2.6</v>
      </c>
      <c r="X36">
        <v>0.05</v>
      </c>
      <c r="Y36">
        <v>12.31</v>
      </c>
      <c r="Z36" t="s">
        <v>206</v>
      </c>
      <c r="AA36" t="s">
        <v>71</v>
      </c>
      <c r="AB36" t="s">
        <v>2224</v>
      </c>
      <c r="AC36" t="s">
        <v>2225</v>
      </c>
      <c r="AD36" t="s">
        <v>35</v>
      </c>
      <c r="AE36">
        <v>14459174</v>
      </c>
      <c r="AF36" t="s">
        <v>1464</v>
      </c>
      <c r="AG36" t="s">
        <v>2226</v>
      </c>
      <c r="AH36" t="s">
        <v>1465</v>
      </c>
      <c r="AI36" t="s">
        <v>172</v>
      </c>
      <c r="AJ36" t="s">
        <v>1466</v>
      </c>
      <c r="AK36" t="s">
        <v>2227</v>
      </c>
      <c r="AL36" t="s">
        <v>1467</v>
      </c>
      <c r="AM36" t="s">
        <v>35</v>
      </c>
      <c r="AN36" t="s">
        <v>291</v>
      </c>
      <c r="AO36" t="s">
        <v>116</v>
      </c>
      <c r="AP36" t="s">
        <v>2228</v>
      </c>
      <c r="AQ36" t="s">
        <v>421</v>
      </c>
      <c r="AR36" t="s">
        <v>35</v>
      </c>
      <c r="AS36" t="s">
        <v>1221</v>
      </c>
      <c r="AT36" t="s">
        <v>2229</v>
      </c>
      <c r="AU36" t="s">
        <v>1354</v>
      </c>
      <c r="AV36" t="s">
        <v>2230</v>
      </c>
      <c r="AW36" t="s">
        <v>149</v>
      </c>
      <c r="AX36" t="s">
        <v>1002</v>
      </c>
      <c r="AY36" t="s">
        <v>390</v>
      </c>
      <c r="AZ36" t="s">
        <v>287</v>
      </c>
      <c r="BA36" t="s">
        <v>334</v>
      </c>
      <c r="BB36" t="s">
        <v>431</v>
      </c>
      <c r="BC36" t="s">
        <v>55</v>
      </c>
      <c r="BD36" t="s">
        <v>702</v>
      </c>
      <c r="BE36" t="s">
        <v>73</v>
      </c>
      <c r="BF36" t="s">
        <v>467</v>
      </c>
      <c r="BG36" t="s">
        <v>468</v>
      </c>
      <c r="BH36" t="s">
        <v>1463</v>
      </c>
      <c r="BI36" t="s">
        <v>79</v>
      </c>
      <c r="BJ36" t="s">
        <v>1002</v>
      </c>
      <c r="BK36" t="s">
        <v>162</v>
      </c>
      <c r="BL36" t="s">
        <v>2231</v>
      </c>
      <c r="BM36" t="s">
        <v>55</v>
      </c>
      <c r="BN36">
        <v>3.97</v>
      </c>
      <c r="BO36">
        <v>7.99</v>
      </c>
      <c r="BP36">
        <v>2.0099999999999998</v>
      </c>
      <c r="BQ36">
        <v>5.28</v>
      </c>
      <c r="BR36">
        <v>8.9499999999999993</v>
      </c>
      <c r="BS36">
        <v>2.5</v>
      </c>
      <c r="BT36" t="s">
        <v>1469</v>
      </c>
      <c r="BU36" t="s">
        <v>733</v>
      </c>
      <c r="BV36">
        <v>42.48</v>
      </c>
      <c r="BW36">
        <v>53.23</v>
      </c>
      <c r="BX36">
        <v>43.65</v>
      </c>
      <c r="BY36">
        <v>13.66</v>
      </c>
      <c r="BZ36">
        <v>25.68</v>
      </c>
      <c r="CA36">
        <v>15.88</v>
      </c>
      <c r="CB36">
        <v>-8.17</v>
      </c>
      <c r="CC36">
        <v>-24.04</v>
      </c>
      <c r="CD36" t="s">
        <v>2232</v>
      </c>
      <c r="CE36" t="s">
        <v>189</v>
      </c>
      <c r="CF36" s="8">
        <v>1.1960784313725492</v>
      </c>
      <c r="CG36" s="9">
        <v>3.1718602552004262</v>
      </c>
      <c r="CH36" s="8">
        <v>-0.26054215431213379</v>
      </c>
      <c r="CI36" s="8">
        <v>1.8016877174377441</v>
      </c>
      <c r="CJ36" s="8">
        <v>-0.24761904776096344</v>
      </c>
      <c r="CK36" s="8">
        <v>0.1753731369972229</v>
      </c>
      <c r="CL36" s="8">
        <v>0.30097088217735291</v>
      </c>
      <c r="CM36" s="9">
        <v>-0.85769599676132202</v>
      </c>
      <c r="CN36" s="9">
        <v>2.9088151454925537</v>
      </c>
      <c r="CO36" s="9">
        <v>-0.62005150318145752</v>
      </c>
      <c r="CP36" s="9">
        <v>0.35300782322883606</v>
      </c>
      <c r="CQ36" s="9">
        <v>0.40945413708686829</v>
      </c>
      <c r="CR36">
        <v>69.838650008349845</v>
      </c>
      <c r="CS36">
        <v>1.9729875334223812</v>
      </c>
      <c r="CT36">
        <v>5.699954400364797E-2</v>
      </c>
      <c r="CU36" s="8">
        <v>0.35397410690784453</v>
      </c>
      <c r="CV36" s="9">
        <v>0.4387059211730957</v>
      </c>
      <c r="CW36">
        <v>0.06</v>
      </c>
      <c r="CX36">
        <v>220.64842344905193</v>
      </c>
      <c r="CY36">
        <v>27265461.97774725</v>
      </c>
      <c r="CZ36">
        <v>0.35397410690784453</v>
      </c>
      <c r="DA36">
        <v>58.072719859794844</v>
      </c>
      <c r="DB36">
        <v>103595650.66910322</v>
      </c>
      <c r="DC36">
        <v>0.33627540156245228</v>
      </c>
      <c r="DD36">
        <v>20.889232087719616</v>
      </c>
      <c r="DE36">
        <v>287999155.48531532</v>
      </c>
      <c r="DF36">
        <v>0.31149721407890318</v>
      </c>
      <c r="DG36">
        <v>8.5134235535325384</v>
      </c>
      <c r="DH36">
        <v>706658274.68477154</v>
      </c>
      <c r="DI36">
        <v>0.28317928552627564</v>
      </c>
      <c r="DJ36">
        <v>1.6897806477962884</v>
      </c>
      <c r="DK36">
        <v>3560273463.8047938</v>
      </c>
      <c r="DL36">
        <v>0.24778187483549116</v>
      </c>
      <c r="DM36">
        <v>21345600</v>
      </c>
      <c r="DN36">
        <v>0.35397410690784453</v>
      </c>
      <c r="DO36">
        <v>6016081200</v>
      </c>
      <c r="DP36">
        <v>781832300</v>
      </c>
      <c r="DQ36">
        <v>2356</v>
      </c>
      <c r="DR36">
        <v>0.84210432446470462</v>
      </c>
      <c r="DS36">
        <v>2.7331543340273305</v>
      </c>
      <c r="DT36" s="10">
        <v>-0.19000000000000009</v>
      </c>
      <c r="DU36">
        <v>0.15333333333333324</v>
      </c>
      <c r="DV36">
        <v>-3.6666666666666847E-2</v>
      </c>
      <c r="DW36">
        <v>-9.3398502495840265</v>
      </c>
      <c r="DX36">
        <v>0.31967683823529441</v>
      </c>
      <c r="DY36">
        <v>-9.0440707058395322</v>
      </c>
      <c r="DZ36">
        <v>3537</v>
      </c>
      <c r="EA36">
        <v>-9.0135661879228142</v>
      </c>
      <c r="EB36">
        <v>9</v>
      </c>
      <c r="EC36">
        <v>0.11890836149751968</v>
      </c>
      <c r="ED36">
        <v>0.9169591356149861</v>
      </c>
      <c r="EE36" s="11">
        <v>-2.0278100000000001</v>
      </c>
      <c r="EF36">
        <v>-2.0343100000000001</v>
      </c>
      <c r="EG36">
        <v>19.129676838235294</v>
      </c>
      <c r="EH36" t="s">
        <v>1114</v>
      </c>
      <c r="EI36">
        <v>0</v>
      </c>
      <c r="EJ36">
        <v>0</v>
      </c>
      <c r="EK36" s="13">
        <v>45470</v>
      </c>
      <c r="EL36" s="14">
        <v>1.53</v>
      </c>
      <c r="EM36" s="14">
        <v>-5.39</v>
      </c>
      <c r="EN36" s="14">
        <v>0.63</v>
      </c>
      <c r="EO36" s="14">
        <v>4.87</v>
      </c>
      <c r="EP36" s="14">
        <v>-0.65</v>
      </c>
    </row>
    <row r="37" spans="1:146" ht="84" x14ac:dyDescent="0.25">
      <c r="A37" s="7"/>
      <c r="B37" s="7"/>
      <c r="C37" s="7" t="str">
        <f>""&amp;CHAR(10)&amp;Basic_Fundamental_Information_Constructure(F37)&amp;CHAR(10)&amp;Basic_Fundamental_Information_Concatenate("")</f>
        <v xml:space="preserve">
市值19.334821亿, 利润4701.47万; PE56.45; 平均PE34.86; 平均PEG1.11, PB2.2; ROIC4%; ROE4.88%; 股利率1.2165%; 毛利36.2533%; 净利24.1567%; 上一年度营收增186.49%, 利润增74.83%; 当季营收增-50.5%, 利润增48.58%; 过往5年营收增31.32%, 利润增8.36%
Income profile:
</v>
      </c>
      <c r="D37" t="s">
        <v>469</v>
      </c>
      <c r="E37" t="s">
        <v>470</v>
      </c>
      <c r="F37">
        <v>12.33</v>
      </c>
      <c r="G37">
        <v>0.9</v>
      </c>
      <c r="H37" t="s">
        <v>2233</v>
      </c>
      <c r="I37">
        <v>1933482100</v>
      </c>
      <c r="J37">
        <v>56.45</v>
      </c>
      <c r="K37">
        <v>2.2000000000000002</v>
      </c>
      <c r="L37" t="s">
        <v>1792</v>
      </c>
      <c r="M37" t="s">
        <v>1470</v>
      </c>
      <c r="N37" t="s">
        <v>1789</v>
      </c>
      <c r="O37" t="s">
        <v>1471</v>
      </c>
      <c r="P37">
        <v>40.86</v>
      </c>
      <c r="Q37" t="s">
        <v>620</v>
      </c>
      <c r="R37">
        <v>10003241</v>
      </c>
      <c r="S37" s="6">
        <v>0.25929999999999997</v>
      </c>
      <c r="T37" t="s">
        <v>2234</v>
      </c>
      <c r="U37">
        <v>101035652</v>
      </c>
      <c r="V37">
        <v>156811200</v>
      </c>
      <c r="W37">
        <v>1.07</v>
      </c>
      <c r="X37">
        <v>0.04</v>
      </c>
      <c r="Y37">
        <v>25.97</v>
      </c>
      <c r="Z37" t="s">
        <v>2235</v>
      </c>
      <c r="AA37" t="s">
        <v>2236</v>
      </c>
      <c r="AB37" t="s">
        <v>2237</v>
      </c>
      <c r="AC37" t="s">
        <v>2238</v>
      </c>
      <c r="AD37" t="s">
        <v>35</v>
      </c>
      <c r="AE37">
        <v>-1969117</v>
      </c>
      <c r="AF37" t="s">
        <v>1473</v>
      </c>
      <c r="AG37">
        <v>121.95</v>
      </c>
      <c r="AH37" t="s">
        <v>1474</v>
      </c>
      <c r="AI37" t="s">
        <v>1084</v>
      </c>
      <c r="AJ37" t="s">
        <v>1475</v>
      </c>
      <c r="AK37" t="s">
        <v>2239</v>
      </c>
      <c r="AL37" t="s">
        <v>1476</v>
      </c>
      <c r="AM37" t="s">
        <v>35</v>
      </c>
      <c r="AN37" t="s">
        <v>349</v>
      </c>
      <c r="AO37" t="s">
        <v>35</v>
      </c>
      <c r="AP37" t="s">
        <v>2240</v>
      </c>
      <c r="AQ37" t="s">
        <v>2241</v>
      </c>
      <c r="AR37" t="s">
        <v>35</v>
      </c>
      <c r="AS37" t="s">
        <v>2242</v>
      </c>
      <c r="AT37" t="s">
        <v>35</v>
      </c>
      <c r="AU37" t="s">
        <v>2243</v>
      </c>
      <c r="AV37" t="s">
        <v>2244</v>
      </c>
      <c r="AW37" t="s">
        <v>35</v>
      </c>
      <c r="AX37" t="s">
        <v>583</v>
      </c>
      <c r="AY37" t="s">
        <v>123</v>
      </c>
      <c r="AZ37" t="s">
        <v>271</v>
      </c>
      <c r="BA37" t="s">
        <v>172</v>
      </c>
      <c r="BB37" t="s">
        <v>132</v>
      </c>
      <c r="BC37" t="s">
        <v>1026</v>
      </c>
      <c r="BD37" t="s">
        <v>703</v>
      </c>
      <c r="BE37" t="s">
        <v>471</v>
      </c>
      <c r="BF37" t="s">
        <v>472</v>
      </c>
      <c r="BG37" t="s">
        <v>473</v>
      </c>
      <c r="BH37" t="s">
        <v>101</v>
      </c>
      <c r="BI37" t="s">
        <v>2245</v>
      </c>
      <c r="BJ37" t="s">
        <v>583</v>
      </c>
      <c r="BK37" t="s">
        <v>1472</v>
      </c>
      <c r="BL37" t="s">
        <v>2246</v>
      </c>
      <c r="BM37" t="s">
        <v>1026</v>
      </c>
      <c r="BN37">
        <v>1.48</v>
      </c>
      <c r="BO37">
        <v>2.11</v>
      </c>
      <c r="BP37">
        <v>8.41</v>
      </c>
      <c r="BQ37">
        <v>2.09</v>
      </c>
      <c r="BR37">
        <v>3.1</v>
      </c>
      <c r="BS37">
        <v>9.4499999999999993</v>
      </c>
      <c r="BT37" t="s">
        <v>951</v>
      </c>
      <c r="BU37" t="s">
        <v>823</v>
      </c>
      <c r="BV37">
        <v>38</v>
      </c>
      <c r="BW37">
        <v>30.18</v>
      </c>
      <c r="BX37">
        <v>40.58</v>
      </c>
      <c r="BY37">
        <v>20.82</v>
      </c>
      <c r="BZ37">
        <v>18.18</v>
      </c>
      <c r="CA37">
        <v>33.47</v>
      </c>
      <c r="CB37">
        <v>-5.08</v>
      </c>
      <c r="CC37">
        <v>-19.09</v>
      </c>
      <c r="CD37" t="s">
        <v>2247</v>
      </c>
      <c r="CE37" t="s">
        <v>523</v>
      </c>
      <c r="CF37" s="8">
        <v>-0.50501791700232945</v>
      </c>
      <c r="CG37" s="9">
        <v>0.48581373932417377</v>
      </c>
      <c r="CH37" s="8">
        <v>1.8648648262023926</v>
      </c>
      <c r="CI37" s="8">
        <v>-0.3858921229839325</v>
      </c>
      <c r="CJ37" s="8">
        <v>4.7826085239648819E-2</v>
      </c>
      <c r="CK37" s="8">
        <v>7.9812206327915192E-2</v>
      </c>
      <c r="CL37" s="8">
        <v>-4.0540538728237152E-2</v>
      </c>
      <c r="CM37" s="9">
        <v>0.74829131364822388</v>
      </c>
      <c r="CN37" s="9">
        <v>-0.66664272546768188</v>
      </c>
      <c r="CO37" s="9">
        <v>0.25269189476966858</v>
      </c>
      <c r="CP37" s="9">
        <v>0.22538647055625916</v>
      </c>
      <c r="CQ37" s="9">
        <v>-0.14158819615840912</v>
      </c>
      <c r="CR37">
        <v>34.864108358928434</v>
      </c>
      <c r="CS37">
        <v>1.1131079136340583</v>
      </c>
      <c r="CT37">
        <v>1.2165450121654502</v>
      </c>
      <c r="CU37" s="8">
        <v>0.31321409121155741</v>
      </c>
      <c r="CV37" s="9">
        <v>8.3627751469612127E-2</v>
      </c>
      <c r="CW37">
        <v>0.06</v>
      </c>
      <c r="CX37">
        <v>19.566791935598332</v>
      </c>
      <c r="CY37">
        <v>58245628.805739626</v>
      </c>
      <c r="CZ37">
        <v>0.31321409121155741</v>
      </c>
      <c r="DA37">
        <v>5.319734868936953</v>
      </c>
      <c r="DB37">
        <v>214236259.52767515</v>
      </c>
      <c r="DC37">
        <v>0.29755338665097952</v>
      </c>
      <c r="DD37">
        <v>2.0111432273633087</v>
      </c>
      <c r="DE37">
        <v>566682712.8439616</v>
      </c>
      <c r="DF37">
        <v>0.27562840026617053</v>
      </c>
      <c r="DG37">
        <v>0.87447288353837505</v>
      </c>
      <c r="DH37">
        <v>1303276661.236788</v>
      </c>
      <c r="DI37">
        <v>0.25057127296924592</v>
      </c>
      <c r="DJ37">
        <v>0.20514636823097027</v>
      </c>
      <c r="DK37">
        <v>5555448579.6056433</v>
      </c>
      <c r="DL37">
        <v>0.21924986384809017</v>
      </c>
      <c r="DM37">
        <v>47014700</v>
      </c>
      <c r="DN37">
        <v>0.31321409121155741</v>
      </c>
      <c r="DO37">
        <v>1139680100</v>
      </c>
      <c r="DP37">
        <v>576438050</v>
      </c>
      <c r="DQ37">
        <v>2377</v>
      </c>
      <c r="DR37">
        <v>-0.81823200821388686</v>
      </c>
      <c r="DS37">
        <v>0.40218598785456161</v>
      </c>
      <c r="DT37" s="10">
        <v>-0.29000000000000004</v>
      </c>
      <c r="DU37">
        <v>0.28333333333333333</v>
      </c>
      <c r="DV37">
        <v>-6.6666666666667096E-3</v>
      </c>
      <c r="DW37">
        <v>-8.2661079099004713</v>
      </c>
      <c r="DX37">
        <v>0.24705641025641087</v>
      </c>
      <c r="DY37">
        <v>-8.020505320277767</v>
      </c>
      <c r="DZ37">
        <v>3403</v>
      </c>
      <c r="EA37">
        <v>-8.0068498202963116</v>
      </c>
      <c r="EB37">
        <v>8</v>
      </c>
      <c r="EC37">
        <v>0.11498668462456764</v>
      </c>
      <c r="ED37">
        <v>1.4922403501790689</v>
      </c>
      <c r="EE37" s="11">
        <v>1.0394099999999999</v>
      </c>
      <c r="EF37">
        <v>1.0104</v>
      </c>
      <c r="EG37">
        <v>17.077056410256411</v>
      </c>
      <c r="EH37" t="s">
        <v>738</v>
      </c>
      <c r="EI37">
        <v>0</v>
      </c>
      <c r="EJ37">
        <v>0</v>
      </c>
      <c r="EK37" s="13">
        <v>45470</v>
      </c>
      <c r="EL37" s="14">
        <v>-0.77</v>
      </c>
      <c r="EM37" s="14">
        <v>-5.49</v>
      </c>
      <c r="EN37" s="14">
        <v>-0.95</v>
      </c>
      <c r="EO37" s="14">
        <v>7.39</v>
      </c>
      <c r="EP37" s="14">
        <v>4.9800000000000004</v>
      </c>
    </row>
    <row r="38" spans="1:146" ht="84" x14ac:dyDescent="0.25">
      <c r="A38" s="7"/>
      <c r="B38" s="7"/>
      <c r="C38" s="7" t="str">
        <f>""&amp;CHAR(10)&amp;Basic_Fundamental_Information_Constructure(F38)&amp;CHAR(10)&amp;Basic_Fundamental_Information_Concatenate("")</f>
        <v xml:space="preserve">
市值15.654亿, 利润2300.50万; PE; 平均PE29.88; 平均PEG.61, PB1.29; ROIC2.7767%; ROE2.9233%; 股利率0%; 毛利57.73%; 净利26.78%; 上一年度营收增207.61%, 利润增-30.53%; 当季营收增-70.88%, 利润增67.56%; 过往5年营收增49.31%, 利润增65.49%
Income profile:
</v>
      </c>
      <c r="D38" t="s">
        <v>474</v>
      </c>
      <c r="E38" t="s">
        <v>1478</v>
      </c>
      <c r="F38">
        <v>26.09</v>
      </c>
      <c r="G38">
        <v>3.29</v>
      </c>
      <c r="H38" t="s">
        <v>2248</v>
      </c>
      <c r="I38">
        <v>1565400000</v>
      </c>
      <c r="K38">
        <v>1.29</v>
      </c>
      <c r="L38" t="s">
        <v>1792</v>
      </c>
      <c r="M38" t="s">
        <v>188</v>
      </c>
      <c r="N38" t="s">
        <v>386</v>
      </c>
      <c r="O38" t="s">
        <v>1479</v>
      </c>
      <c r="P38">
        <v>60.18</v>
      </c>
      <c r="Q38" t="s">
        <v>774</v>
      </c>
      <c r="R38">
        <v>6743198</v>
      </c>
      <c r="S38" s="6">
        <v>3.778</v>
      </c>
      <c r="T38" t="s">
        <v>2249</v>
      </c>
      <c r="U38">
        <v>16428750</v>
      </c>
      <c r="V38">
        <v>60000000</v>
      </c>
      <c r="W38">
        <v>1.1599999999999999</v>
      </c>
      <c r="X38">
        <v>0.02</v>
      </c>
      <c r="Y38">
        <v>19.46</v>
      </c>
      <c r="Z38" t="s">
        <v>2250</v>
      </c>
      <c r="AA38" t="s">
        <v>2251</v>
      </c>
      <c r="AB38" t="s">
        <v>2252</v>
      </c>
      <c r="AC38" t="s">
        <v>2253</v>
      </c>
      <c r="AD38" t="s">
        <v>35</v>
      </c>
      <c r="AE38">
        <v>-269759</v>
      </c>
      <c r="AF38" t="s">
        <v>1481</v>
      </c>
      <c r="AG38" t="s">
        <v>35</v>
      </c>
      <c r="AH38" t="s">
        <v>1482</v>
      </c>
      <c r="AI38" t="s">
        <v>100</v>
      </c>
      <c r="AJ38" t="s">
        <v>1483</v>
      </c>
      <c r="AK38" t="s">
        <v>2254</v>
      </c>
      <c r="AL38" t="s">
        <v>1484</v>
      </c>
      <c r="AM38" t="s">
        <v>35</v>
      </c>
      <c r="AN38" t="s">
        <v>2255</v>
      </c>
      <c r="AO38" t="s">
        <v>35</v>
      </c>
      <c r="AP38" t="s">
        <v>2256</v>
      </c>
      <c r="AQ38" t="s">
        <v>349</v>
      </c>
      <c r="AR38" t="s">
        <v>35</v>
      </c>
      <c r="AS38" t="s">
        <v>188</v>
      </c>
      <c r="AT38" t="s">
        <v>35</v>
      </c>
      <c r="AU38" t="s">
        <v>2257</v>
      </c>
      <c r="AV38" t="s">
        <v>2258</v>
      </c>
      <c r="AW38" t="s">
        <v>2259</v>
      </c>
      <c r="AX38" t="s">
        <v>82</v>
      </c>
      <c r="AY38" t="s">
        <v>206</v>
      </c>
      <c r="AZ38" t="s">
        <v>105</v>
      </c>
      <c r="BA38" t="s">
        <v>195</v>
      </c>
      <c r="BB38" t="s">
        <v>225</v>
      </c>
      <c r="BC38" t="s">
        <v>1027</v>
      </c>
      <c r="BD38" t="s">
        <v>704</v>
      </c>
      <c r="BE38" t="s">
        <v>475</v>
      </c>
      <c r="BF38" t="s">
        <v>476</v>
      </c>
      <c r="BG38" t="s">
        <v>477</v>
      </c>
      <c r="BH38" t="s">
        <v>1480</v>
      </c>
      <c r="BI38" t="s">
        <v>194</v>
      </c>
      <c r="BJ38" t="s">
        <v>82</v>
      </c>
      <c r="BK38" t="s">
        <v>684</v>
      </c>
      <c r="BL38" t="s">
        <v>2260</v>
      </c>
      <c r="BM38" t="s">
        <v>1027</v>
      </c>
      <c r="BN38">
        <v>-0.01</v>
      </c>
      <c r="BO38">
        <v>1.66</v>
      </c>
      <c r="BP38">
        <v>6.68</v>
      </c>
      <c r="BQ38">
        <v>0.23</v>
      </c>
      <c r="BR38">
        <v>2.42</v>
      </c>
      <c r="BS38">
        <v>6.12</v>
      </c>
      <c r="BT38" t="s">
        <v>948</v>
      </c>
      <c r="BU38" t="s">
        <v>733</v>
      </c>
      <c r="BV38" t="s">
        <v>35</v>
      </c>
      <c r="BW38">
        <v>55.9</v>
      </c>
      <c r="BX38">
        <v>59.56</v>
      </c>
      <c r="BY38" t="s">
        <v>35</v>
      </c>
      <c r="BZ38">
        <v>18.02</v>
      </c>
      <c r="CA38">
        <v>35.54</v>
      </c>
      <c r="CB38">
        <v>2.39</v>
      </c>
      <c r="CC38">
        <v>-1.29</v>
      </c>
      <c r="CD38" t="s">
        <v>2261</v>
      </c>
      <c r="CE38" t="s">
        <v>2262</v>
      </c>
      <c r="CF38" s="8">
        <v>-0.70882268907563029</v>
      </c>
      <c r="CG38" s="9">
        <v>0.675578471324918</v>
      </c>
      <c r="CH38" s="8">
        <v>2.0760869979858398</v>
      </c>
      <c r="CI38" s="8">
        <v>-3.6649215966463089E-2</v>
      </c>
      <c r="CJ38" s="8">
        <v>-0.10747663676738739</v>
      </c>
      <c r="CK38" s="8">
        <v>0.12631578743457794</v>
      </c>
      <c r="CL38" s="8">
        <v>0.40740740299224854</v>
      </c>
      <c r="CM38" s="9">
        <v>-0.30533957481384277</v>
      </c>
      <c r="CN38" s="9">
        <v>-0.51202517747879028</v>
      </c>
      <c r="CO38" s="9">
        <v>-0.30487954616546631</v>
      </c>
      <c r="CP38" s="9">
        <v>0.25723859667778015</v>
      </c>
      <c r="CQ38" s="9">
        <v>4.139643669128418</v>
      </c>
      <c r="CR38">
        <v>29.875471157975095</v>
      </c>
      <c r="CS38">
        <v>0.60582514001635612</v>
      </c>
      <c r="CT38">
        <v>0</v>
      </c>
      <c r="CU38" s="8">
        <v>0.49313686713576316</v>
      </c>
      <c r="CV38" s="9">
        <v>0.65492759346961971</v>
      </c>
      <c r="CW38">
        <v>0.06</v>
      </c>
      <c r="CX38">
        <v>16.799723171322942</v>
      </c>
      <c r="CY38">
        <v>32405295.87590399</v>
      </c>
      <c r="CZ38">
        <v>0.49313686713576316</v>
      </c>
      <c r="DA38">
        <v>3.9682885900359275</v>
      </c>
      <c r="DB38">
        <v>137187603.0808211</v>
      </c>
      <c r="DC38">
        <v>0.46848002377897496</v>
      </c>
      <c r="DD38">
        <v>1.2032442880466265</v>
      </c>
      <c r="DE38">
        <v>452443452.59580749</v>
      </c>
      <c r="DF38">
        <v>0.43396044307947157</v>
      </c>
      <c r="DG38">
        <v>0.39069121875420065</v>
      </c>
      <c r="DH38">
        <v>1393427786.1067147</v>
      </c>
      <c r="DI38">
        <v>0.39450949370861055</v>
      </c>
      <c r="DJ38">
        <v>4.3109846873211392E-2</v>
      </c>
      <c r="DK38">
        <v>12628205375.006609</v>
      </c>
      <c r="DL38">
        <v>0.34519580699503422</v>
      </c>
      <c r="DM38">
        <v>23005000</v>
      </c>
      <c r="DN38">
        <v>0.49313686713576316</v>
      </c>
      <c r="DO38">
        <v>544400000</v>
      </c>
      <c r="DP38">
        <v>840635020</v>
      </c>
      <c r="DQ38">
        <v>2416</v>
      </c>
      <c r="DR38">
        <v>-1.2019595562113934</v>
      </c>
      <c r="DS38">
        <v>2.0650877855298289E-2</v>
      </c>
      <c r="DT38" s="10">
        <v>-4.0000000000000036E-2</v>
      </c>
      <c r="DU38">
        <v>0.57333333333333325</v>
      </c>
      <c r="DV38">
        <v>0.53333333333333321</v>
      </c>
      <c r="DW38">
        <v>-1.29E-2</v>
      </c>
      <c r="DX38">
        <v>0.39205348169185927</v>
      </c>
      <c r="DY38">
        <v>-1.4454899138249655E-3</v>
      </c>
      <c r="DZ38">
        <v>2812</v>
      </c>
      <c r="EA38">
        <v>-6.5004614911345806E-4</v>
      </c>
      <c r="EB38">
        <v>0</v>
      </c>
      <c r="EC38">
        <v>2.8801666666666666E-2</v>
      </c>
      <c r="ED38">
        <v>0.25703500000000001</v>
      </c>
      <c r="EE38" s="11">
        <v>4.0416999999999996</v>
      </c>
      <c r="EF38">
        <v>4.0212000000000003</v>
      </c>
      <c r="EG38">
        <v>28.112053481691859</v>
      </c>
      <c r="EH38" t="s">
        <v>1102</v>
      </c>
      <c r="EI38">
        <v>0</v>
      </c>
      <c r="EJ38">
        <v>0</v>
      </c>
      <c r="EK38" s="13">
        <v>45470</v>
      </c>
      <c r="EL38" s="14">
        <v>7.86</v>
      </c>
      <c r="EM38" s="14">
        <v>0.6</v>
      </c>
      <c r="EN38" s="14">
        <v>5.08</v>
      </c>
      <c r="EO38" s="14">
        <v>2.97</v>
      </c>
      <c r="EP38" s="14">
        <v>-2.0499999999999998</v>
      </c>
    </row>
    <row r="39" spans="1:146" ht="84" x14ac:dyDescent="0.25">
      <c r="C39" s="7" t="str">
        <f>""&amp;CHAR(10)&amp;Basic_Fundamental_Information_Constructure(F39)&amp;CHAR(10)&amp;Basic_Fundamental_Information_Concatenate("")</f>
        <v xml:space="preserve">
市值29.036亿, 利润15.81亿; PE; 平均PE9.02; 平均PEG0, PB2.54; ROIC18.1233%; ROE11.765%; 股利率.1639%; 毛利56.08%; 净利26.1067%; 上一年度营收增16443.2%, 利润增1871.42%; 当季营收增-99.81%, 利润增-98.75%; 过往5年营收增3333.72%, 利润增437.91%
Income profile:
</v>
      </c>
      <c r="D39" t="s">
        <v>1028</v>
      </c>
      <c r="E39" t="s">
        <v>1029</v>
      </c>
      <c r="F39">
        <v>30.5</v>
      </c>
      <c r="G39">
        <v>0.03</v>
      </c>
      <c r="H39" t="s">
        <v>2263</v>
      </c>
      <c r="I39">
        <v>2903600000</v>
      </c>
      <c r="K39">
        <v>2.54</v>
      </c>
      <c r="L39" t="s">
        <v>1792</v>
      </c>
      <c r="M39" t="s">
        <v>621</v>
      </c>
      <c r="N39" t="s">
        <v>1277</v>
      </c>
      <c r="O39" t="s">
        <v>1487</v>
      </c>
      <c r="P39" s="6">
        <v>-50.65</v>
      </c>
      <c r="Q39" t="s">
        <v>2264</v>
      </c>
      <c r="R39">
        <v>3517309</v>
      </c>
      <c r="S39">
        <v>-0.80200000000000005</v>
      </c>
      <c r="T39" t="s">
        <v>2265</v>
      </c>
      <c r="U39">
        <v>23800000</v>
      </c>
      <c r="V39">
        <v>95200000</v>
      </c>
      <c r="W39">
        <v>1.1599999999999999</v>
      </c>
      <c r="X39">
        <v>0.02</v>
      </c>
      <c r="Y39">
        <v>14.22</v>
      </c>
      <c r="Z39" t="s">
        <v>2266</v>
      </c>
      <c r="AA39" t="s">
        <v>2267</v>
      </c>
      <c r="AB39" t="s">
        <v>2268</v>
      </c>
      <c r="AC39" t="s">
        <v>2269</v>
      </c>
      <c r="AD39" t="s">
        <v>35</v>
      </c>
      <c r="AE39">
        <v>-227116</v>
      </c>
      <c r="AF39" t="s">
        <v>1489</v>
      </c>
      <c r="AG39">
        <v>7631.66</v>
      </c>
      <c r="AH39" t="s">
        <v>1490</v>
      </c>
      <c r="AI39" t="s">
        <v>74</v>
      </c>
      <c r="AJ39" t="s">
        <v>1491</v>
      </c>
      <c r="AK39" t="s">
        <v>2270</v>
      </c>
      <c r="AL39" t="s">
        <v>1492</v>
      </c>
      <c r="AM39" t="s">
        <v>35</v>
      </c>
      <c r="AN39" t="s">
        <v>1082</v>
      </c>
      <c r="AO39" t="s">
        <v>35</v>
      </c>
      <c r="AP39" t="s">
        <v>2271</v>
      </c>
      <c r="AQ39" t="s">
        <v>2272</v>
      </c>
      <c r="AR39" t="s">
        <v>35</v>
      </c>
      <c r="AS39" t="s">
        <v>154</v>
      </c>
      <c r="AT39" t="s">
        <v>2273</v>
      </c>
      <c r="AU39" t="s">
        <v>2274</v>
      </c>
      <c r="AV39" t="s">
        <v>2275</v>
      </c>
      <c r="AW39" t="s">
        <v>2276</v>
      </c>
      <c r="AX39" t="s">
        <v>72</v>
      </c>
      <c r="AY39" t="s">
        <v>974</v>
      </c>
      <c r="AZ39" t="s">
        <v>588</v>
      </c>
      <c r="BA39" t="s">
        <v>586</v>
      </c>
      <c r="BB39" t="s">
        <v>1030</v>
      </c>
      <c r="BC39" t="s">
        <v>1494</v>
      </c>
      <c r="BD39" t="s">
        <v>335</v>
      </c>
      <c r="BE39" t="s">
        <v>1031</v>
      </c>
      <c r="BF39" t="s">
        <v>1032</v>
      </c>
      <c r="BG39" t="s">
        <v>1033</v>
      </c>
      <c r="BH39" t="s">
        <v>225</v>
      </c>
      <c r="BI39" t="s">
        <v>2277</v>
      </c>
      <c r="BJ39" t="s">
        <v>72</v>
      </c>
      <c r="BK39" t="s">
        <v>1488</v>
      </c>
      <c r="BL39" t="s">
        <v>85</v>
      </c>
      <c r="BM39" t="s">
        <v>1494</v>
      </c>
      <c r="BN39">
        <v>0.63</v>
      </c>
      <c r="BO39">
        <v>16.45</v>
      </c>
      <c r="BP39">
        <v>37.29</v>
      </c>
      <c r="BQ39">
        <v>0.82</v>
      </c>
      <c r="BR39">
        <v>22.71</v>
      </c>
      <c r="BS39" t="s">
        <v>35</v>
      </c>
      <c r="BT39" t="s">
        <v>1495</v>
      </c>
      <c r="BU39" t="s">
        <v>823</v>
      </c>
      <c r="BV39">
        <v>48.74</v>
      </c>
      <c r="BW39">
        <v>57.07</v>
      </c>
      <c r="BX39">
        <v>62.43</v>
      </c>
      <c r="BY39">
        <v>8.56</v>
      </c>
      <c r="BZ39">
        <v>31.98</v>
      </c>
      <c r="CA39">
        <v>37.78</v>
      </c>
      <c r="CB39">
        <v>-5.51</v>
      </c>
      <c r="CC39" s="1">
        <v>6.91</v>
      </c>
      <c r="CD39" s="1" t="s">
        <v>2278</v>
      </c>
      <c r="CE39" s="1" t="s">
        <v>369</v>
      </c>
      <c r="CF39" s="8">
        <v>-0.99812226017000605</v>
      </c>
      <c r="CG39" s="9">
        <v>-0.98748288612099644</v>
      </c>
      <c r="CH39" s="8">
        <v>164.4320068359375</v>
      </c>
      <c r="CI39" s="8">
        <v>-0.12891985476016998</v>
      </c>
      <c r="CJ39" s="8">
        <v>0.10384615510702133</v>
      </c>
      <c r="CK39" s="8">
        <v>0.65605098009109497</v>
      </c>
      <c r="CL39" s="8">
        <v>1.6228258609771729</v>
      </c>
      <c r="CM39" s="9">
        <v>18.714223861694336</v>
      </c>
      <c r="CN39" s="9">
        <v>-0.2642577588558197</v>
      </c>
      <c r="CO39" s="9">
        <v>0.17001247406005859</v>
      </c>
      <c r="CP39" s="9">
        <v>0.78547072410583496</v>
      </c>
      <c r="CQ39" s="9">
        <v>2.4901571273803711</v>
      </c>
      <c r="CR39" s="1">
        <v>9.0244693469987105</v>
      </c>
      <c r="CS39" s="1">
        <v>2.7070298750160116E-3</v>
      </c>
      <c r="CT39" s="1">
        <v>0.16393442622950818</v>
      </c>
      <c r="CU39" s="8">
        <v>33.337161995470524</v>
      </c>
      <c r="CV39" s="9">
        <v>4.3791212856769564</v>
      </c>
      <c r="CW39">
        <v>0.06</v>
      </c>
      <c r="CX39">
        <v>3.7891833908326976E-2</v>
      </c>
      <c r="CY39">
        <v>51214201051.73481</v>
      </c>
      <c r="CZ39">
        <v>33.337161995470524</v>
      </c>
      <c r="DA39">
        <v>4.0565100911363245E-5</v>
      </c>
      <c r="DB39">
        <v>47839151300037.617</v>
      </c>
      <c r="DC39">
        <v>31.670303895696996</v>
      </c>
      <c r="DD39">
        <v>2.1556730680016401E-9</v>
      </c>
      <c r="DE39">
        <v>9.002292735414569E+17</v>
      </c>
      <c r="DF39">
        <v>29.33670255601406</v>
      </c>
      <c r="DG39">
        <v>8.0361716785097639E-15</v>
      </c>
      <c r="DH39">
        <v>2.4148314367020426E+23</v>
      </c>
      <c r="DI39">
        <v>26.66972959637642</v>
      </c>
      <c r="DJ39">
        <v>7.092378578284217E-28</v>
      </c>
      <c r="DK39">
        <v>2.7361765571028902E+36</v>
      </c>
      <c r="DL39">
        <v>23.336013396829365</v>
      </c>
      <c r="DM39">
        <v>1581000000</v>
      </c>
      <c r="DN39">
        <v>33.337161995470524</v>
      </c>
      <c r="DO39">
        <v>1940600000</v>
      </c>
      <c r="DP39">
        <v>762059640</v>
      </c>
      <c r="DQ39" s="10">
        <v>2748</v>
      </c>
      <c r="DR39">
        <v>-34.335284255640531</v>
      </c>
      <c r="DS39">
        <v>-5.3666041717979525</v>
      </c>
      <c r="DT39">
        <v>0.29333333333333322</v>
      </c>
      <c r="DU39">
        <v>0.59833333333333327</v>
      </c>
      <c r="DV39">
        <v>0.8916666666666665</v>
      </c>
      <c r="DW39">
        <v>-6.4436392914653782</v>
      </c>
      <c r="DX39">
        <v>0.40063190184049013</v>
      </c>
      <c r="DY39">
        <v>-6.1200629451804431</v>
      </c>
      <c r="DZ39">
        <v>4502</v>
      </c>
      <c r="EA39">
        <v>-6.0142853758649135</v>
      </c>
      <c r="EB39" s="11">
        <v>6</v>
      </c>
      <c r="EC39" s="11">
        <v>0.46337184873949577</v>
      </c>
      <c r="ED39">
        <v>1.7121848739495797</v>
      </c>
      <c r="EE39">
        <v>1.0461</v>
      </c>
      <c r="EF39">
        <v>1.0346</v>
      </c>
      <c r="EG39">
        <v>13.27063190184049</v>
      </c>
      <c r="EH39" s="13" t="s">
        <v>738</v>
      </c>
      <c r="EI39" s="14">
        <v>0</v>
      </c>
      <c r="EJ39" s="14">
        <v>0</v>
      </c>
      <c r="EK39" s="14">
        <v>45470</v>
      </c>
      <c r="EL39" s="14">
        <v>-1.85</v>
      </c>
      <c r="EM39" s="14">
        <v>-5.05</v>
      </c>
      <c r="EN39" s="14">
        <v>0.71</v>
      </c>
      <c r="EO39" s="14">
        <v>2.84</v>
      </c>
      <c r="EP39" s="14">
        <v>-1.1499999999999999</v>
      </c>
    </row>
    <row r="40" spans="1:146" ht="167.5" customHeight="1" x14ac:dyDescent="0.25">
      <c r="A40" s="7" t="s">
        <v>929</v>
      </c>
      <c r="B40" s="7" t="s">
        <v>930</v>
      </c>
      <c r="C40" s="7" t="str">
        <f>"公司是我国直升机和通用、支线飞机科研生产基地,目前已经发展成为一个拥有Y12轻型多用途飞机、Z9系列直升机、EC120直升机和转包国外航空产品四大系列产品的外向型航空骨干企业。公司是国内直升机制造业的主力军"&amp;CHAR(10)&amp;Basic_Fundamental_Information_Constructure(C40)&amp;CHAR(10)&amp;Basic_Fundamental_Information_Concatenate("航空产品 215.76亿 99.02% 99.23% 12.46%
其他业务 1.60亿 0.74% 0.71% 12.02%
风机产品 5222.86万 0.24% 0.06% 2.95%")</f>
        <v>公司是我国直升机和通用、支线飞机科研生产基地,目前已经发展成为一个拥有Y12轻型多用途飞机、Z9系列直升机、EC120直升机和转包国外航空产品四大系列产品的外向型航空骨干企业。公司是国内直升机制造业的主力军
市值309.46933亿, 利润4.43亿; PE52.6; 平均PE51.58; 平均PEG3.95, PB2.38; ROIC4.4533%; ROE5.1667%; 股利率.4728%; 毛利10.6233%; 净利2.6533%; 上一年度营收增19.81%, 利润增14.18%; 当季营收增2.77%, 利润增942.21%; 过往5年营收增13.07%, 利润增4.27%
Income profile:
航空产品 215.76亿 99.02% 99.23% 12.46%
其他业务 1.60亿 0.74% 0.71% 12.02%
风机产品 5222.86万 0.24% 0.06% 2.95%</v>
      </c>
      <c r="D40" t="s">
        <v>222</v>
      </c>
      <c r="E40" t="s">
        <v>16</v>
      </c>
      <c r="F40">
        <v>39.56</v>
      </c>
      <c r="G40">
        <v>0.23</v>
      </c>
      <c r="H40" t="s">
        <v>2279</v>
      </c>
      <c r="I40">
        <v>28942333000</v>
      </c>
      <c r="J40">
        <v>49.19</v>
      </c>
      <c r="K40">
        <v>2.23</v>
      </c>
      <c r="L40" t="s">
        <v>1792</v>
      </c>
      <c r="M40" t="s">
        <v>1497</v>
      </c>
      <c r="N40" t="s">
        <v>2280</v>
      </c>
      <c r="O40" t="s">
        <v>1498</v>
      </c>
      <c r="P40">
        <v>2.76</v>
      </c>
      <c r="Q40" t="s">
        <v>2281</v>
      </c>
      <c r="R40">
        <v>285000000</v>
      </c>
      <c r="S40" s="6">
        <v>9.4220000000000006</v>
      </c>
      <c r="T40" t="s">
        <v>2282</v>
      </c>
      <c r="U40">
        <v>589476720</v>
      </c>
      <c r="V40">
        <v>731605990</v>
      </c>
      <c r="W40">
        <v>3.26</v>
      </c>
      <c r="X40" t="s">
        <v>35</v>
      </c>
      <c r="Y40">
        <v>3.81</v>
      </c>
      <c r="Z40" t="s">
        <v>35</v>
      </c>
      <c r="AA40" t="s">
        <v>35</v>
      </c>
      <c r="AB40" t="s">
        <v>35</v>
      </c>
      <c r="AC40" t="s">
        <v>35</v>
      </c>
      <c r="AD40" t="s">
        <v>35</v>
      </c>
      <c r="AE40">
        <v>-3786011</v>
      </c>
      <c r="AF40" t="s">
        <v>1500</v>
      </c>
      <c r="AG40" t="s">
        <v>2283</v>
      </c>
      <c r="AH40" t="s">
        <v>1501</v>
      </c>
      <c r="AI40" t="s">
        <v>2284</v>
      </c>
      <c r="AJ40" t="s">
        <v>1502</v>
      </c>
      <c r="AK40" t="s">
        <v>35</v>
      </c>
      <c r="AL40" t="s">
        <v>1503</v>
      </c>
      <c r="AM40" t="s">
        <v>35</v>
      </c>
      <c r="AN40" t="s">
        <v>1914</v>
      </c>
      <c r="AO40" t="s">
        <v>35</v>
      </c>
      <c r="AP40" t="s">
        <v>2285</v>
      </c>
      <c r="AQ40" t="s">
        <v>2286</v>
      </c>
      <c r="AR40" t="s">
        <v>35</v>
      </c>
      <c r="AS40" t="s">
        <v>35</v>
      </c>
      <c r="AT40" t="s">
        <v>35</v>
      </c>
      <c r="AU40" t="s">
        <v>2287</v>
      </c>
      <c r="AV40" t="s">
        <v>2288</v>
      </c>
      <c r="AW40" t="s">
        <v>1145</v>
      </c>
      <c r="AX40" t="s">
        <v>1034</v>
      </c>
      <c r="AY40" t="s">
        <v>35</v>
      </c>
      <c r="AZ40" t="s">
        <v>478</v>
      </c>
      <c r="BA40" t="s">
        <v>223</v>
      </c>
      <c r="BB40" t="s">
        <v>479</v>
      </c>
      <c r="BC40" t="s">
        <v>1156</v>
      </c>
      <c r="BD40" t="s">
        <v>35</v>
      </c>
      <c r="BE40" t="s">
        <v>35</v>
      </c>
      <c r="BF40" t="s">
        <v>35</v>
      </c>
      <c r="BG40" t="s">
        <v>35</v>
      </c>
      <c r="BH40" t="s">
        <v>1499</v>
      </c>
      <c r="BI40" t="s">
        <v>2289</v>
      </c>
      <c r="BJ40" t="s">
        <v>1034</v>
      </c>
      <c r="BK40" t="s">
        <v>1086</v>
      </c>
      <c r="BL40" t="s">
        <v>1054</v>
      </c>
      <c r="BM40" t="s">
        <v>1156</v>
      </c>
      <c r="BN40">
        <v>2.2000000000000002</v>
      </c>
      <c r="BO40">
        <v>3.58</v>
      </c>
      <c r="BP40">
        <v>8.91</v>
      </c>
      <c r="BQ40">
        <v>3.03</v>
      </c>
      <c r="BR40">
        <v>4.09</v>
      </c>
      <c r="BS40">
        <v>10.1</v>
      </c>
      <c r="BT40" t="s">
        <v>960</v>
      </c>
      <c r="BU40" t="s">
        <v>733</v>
      </c>
      <c r="BV40">
        <v>10.130000000000001</v>
      </c>
      <c r="BW40">
        <v>10.3</v>
      </c>
      <c r="BX40">
        <v>12.43</v>
      </c>
      <c r="BY40">
        <v>1.49</v>
      </c>
      <c r="BZ40">
        <v>1.99</v>
      </c>
      <c r="CA40">
        <v>4.1900000000000004</v>
      </c>
      <c r="CB40">
        <v>-3.77</v>
      </c>
      <c r="CC40">
        <v>-7.07</v>
      </c>
      <c r="CD40" t="s">
        <v>2290</v>
      </c>
      <c r="CE40" t="s">
        <v>583</v>
      </c>
      <c r="CF40" s="8">
        <v>-0.89081668986501794</v>
      </c>
      <c r="CG40" s="9">
        <v>-0.89571899012074641</v>
      </c>
      <c r="CH40" s="8">
        <v>4.9077696800231934</v>
      </c>
      <c r="CI40" s="8" t="s">
        <v>35</v>
      </c>
      <c r="CJ40" s="8" t="s">
        <v>35</v>
      </c>
      <c r="CK40" s="8">
        <v>0.24438111484050751</v>
      </c>
      <c r="CL40" s="8">
        <v>0.20886269211769104</v>
      </c>
      <c r="CM40" s="9">
        <v>22.206186294555664</v>
      </c>
      <c r="CN40" s="9" t="s">
        <v>35</v>
      </c>
      <c r="CO40" s="9" t="s">
        <v>35</v>
      </c>
      <c r="CP40" s="9" t="s">
        <v>35</v>
      </c>
      <c r="CQ40" s="9" t="s">
        <v>35</v>
      </c>
      <c r="CR40">
        <v>6.1631884582623506</v>
      </c>
      <c r="CS40">
        <v>3.4488936503679471E-2</v>
      </c>
      <c r="CT40">
        <v>0.50556117290192115</v>
      </c>
      <c r="CU40" s="8">
        <v>1.787004495660464</v>
      </c>
      <c r="CV40" s="9">
        <v>22.206186294555664</v>
      </c>
      <c r="CW40">
        <v>0.06</v>
      </c>
      <c r="CX40">
        <v>2.0160433967603471</v>
      </c>
      <c r="CY40">
        <v>23673762715.9687</v>
      </c>
      <c r="CZ40">
        <v>1.787004495660464</v>
      </c>
      <c r="DA40">
        <v>0.20782948377119106</v>
      </c>
      <c r="DB40">
        <v>229646593611.0643</v>
      </c>
      <c r="DC40">
        <v>1.6976542708774407</v>
      </c>
      <c r="DD40">
        <v>1.5326672712497196E-2</v>
      </c>
      <c r="DE40">
        <v>3114004839490.2876</v>
      </c>
      <c r="DF40">
        <v>1.5725639561812084</v>
      </c>
      <c r="DG40">
        <v>7.4679965622663144E-4</v>
      </c>
      <c r="DH40">
        <v>63909152343685.836</v>
      </c>
      <c r="DI40">
        <v>1.4296035965283713</v>
      </c>
      <c r="DJ40">
        <v>8.0692389857365373E-7</v>
      </c>
      <c r="DK40">
        <v>5.9147254263214248E+16</v>
      </c>
      <c r="DL40">
        <v>1.2509031469623249</v>
      </c>
      <c r="DM40">
        <v>9004000000</v>
      </c>
      <c r="DN40">
        <v>1.787004495660464</v>
      </c>
      <c r="DO40">
        <v>47727333000</v>
      </c>
      <c r="DP40">
        <v>35191158000</v>
      </c>
      <c r="DQ40">
        <v>2876</v>
      </c>
      <c r="DR40">
        <v>-2.6778211855254819</v>
      </c>
      <c r="DS40">
        <v>-23.101905284676409</v>
      </c>
      <c r="DT40" s="10">
        <v>-0.21000000000000008</v>
      </c>
      <c r="DU40">
        <v>-0.42000000000000015</v>
      </c>
      <c r="DV40">
        <v>-0.63000000000000023</v>
      </c>
      <c r="DW40">
        <v>-8.5332390381895333</v>
      </c>
      <c r="DX40">
        <v>0.34342027027026956</v>
      </c>
      <c r="DY40">
        <v>-8.0658125062120103</v>
      </c>
      <c r="DZ40">
        <v>4333</v>
      </c>
      <c r="EA40">
        <v>-8.0100071071089491</v>
      </c>
      <c r="EB40">
        <v>8</v>
      </c>
      <c r="EC40">
        <v>2.4967264141727435E-2</v>
      </c>
      <c r="ED40">
        <v>0.20229468050145408</v>
      </c>
      <c r="EE40" s="11">
        <v>-1.07541</v>
      </c>
      <c r="EF40">
        <v>-1.08691</v>
      </c>
      <c r="EG40">
        <v>22.12342027027027</v>
      </c>
      <c r="EH40" t="s">
        <v>971</v>
      </c>
      <c r="EI40">
        <v>0</v>
      </c>
      <c r="EJ40">
        <v>0</v>
      </c>
      <c r="EK40" s="13">
        <v>45470</v>
      </c>
      <c r="EL40" s="14">
        <v>-0.66</v>
      </c>
      <c r="EM40" s="14">
        <v>-2.83</v>
      </c>
      <c r="EN40" s="14">
        <v>0</v>
      </c>
      <c r="EO40" s="14">
        <v>4.63</v>
      </c>
      <c r="EP40" s="14">
        <v>-1.1499999999999999</v>
      </c>
    </row>
    <row r="41" spans="1:146" ht="96" x14ac:dyDescent="0.25">
      <c r="A41" s="7"/>
      <c r="B41" s="7"/>
      <c r="C41" s="7" t="str">
        <f>""&amp;CHAR(10)&amp;Basic_Fundamental_Information_Constructure(F41)&amp;CHAR(10)&amp;Basic_Fundamental_Information_Concatenate("")</f>
        <v xml:space="preserve">
市值252.34318亿, 利润890.18万; PE292.2; 平均PE171.72; 平均PEG5.37, PB3.99; ROIC3.2033%; ROE3.7267%; 股利率.1874%; 毛利11.7967%; 净利3.7867%; 上一年度营收增-89.53%, 利润增-96.88%; 当季营收增71.5%, 利润增-434.94%; 过往5年营收增-31.96%, 利润增-96.88%
Income profile:
</v>
      </c>
      <c r="D41" t="s">
        <v>227</v>
      </c>
      <c r="E41" t="s">
        <v>15</v>
      </c>
      <c r="F41">
        <v>21.34</v>
      </c>
      <c r="G41">
        <v>-0.05</v>
      </c>
      <c r="H41" t="s">
        <v>2291</v>
      </c>
      <c r="I41">
        <v>25234318000</v>
      </c>
      <c r="J41">
        <v>292.2</v>
      </c>
      <c r="K41">
        <v>3.99</v>
      </c>
      <c r="L41" t="s">
        <v>1792</v>
      </c>
      <c r="M41" t="s">
        <v>1771</v>
      </c>
      <c r="N41" t="s">
        <v>2292</v>
      </c>
      <c r="O41" t="s">
        <v>241</v>
      </c>
      <c r="P41">
        <v>-75.27</v>
      </c>
      <c r="Q41" t="s">
        <v>409</v>
      </c>
      <c r="R41">
        <v>-21336210</v>
      </c>
      <c r="S41" s="6">
        <v>-1.4279999999999999</v>
      </c>
      <c r="T41" t="s">
        <v>2293</v>
      </c>
      <c r="U41">
        <v>1182489140</v>
      </c>
      <c r="V41">
        <v>1182489140</v>
      </c>
      <c r="W41">
        <v>1.65</v>
      </c>
      <c r="X41" t="s">
        <v>35</v>
      </c>
      <c r="Y41">
        <v>-6.97</v>
      </c>
      <c r="Z41" t="s">
        <v>35</v>
      </c>
      <c r="AA41" t="s">
        <v>35</v>
      </c>
      <c r="AB41" t="s">
        <v>35</v>
      </c>
      <c r="AC41" t="s">
        <v>35</v>
      </c>
      <c r="AD41" t="s">
        <v>35</v>
      </c>
      <c r="AE41">
        <v>-2855334</v>
      </c>
      <c r="AF41" t="s">
        <v>1773</v>
      </c>
      <c r="AG41" t="s">
        <v>2294</v>
      </c>
      <c r="AH41" t="s">
        <v>2295</v>
      </c>
      <c r="AI41" t="s">
        <v>2296</v>
      </c>
      <c r="AJ41" t="s">
        <v>1774</v>
      </c>
      <c r="AK41" t="s">
        <v>35</v>
      </c>
      <c r="AL41" t="s">
        <v>1775</v>
      </c>
      <c r="AM41" t="s">
        <v>35</v>
      </c>
      <c r="AN41" t="s">
        <v>2297</v>
      </c>
      <c r="AO41" t="s">
        <v>35</v>
      </c>
      <c r="AP41" t="s">
        <v>241</v>
      </c>
      <c r="AQ41" t="s">
        <v>2298</v>
      </c>
      <c r="AR41" t="s">
        <v>2299</v>
      </c>
      <c r="AS41" t="s">
        <v>35</v>
      </c>
      <c r="AT41" t="s">
        <v>35</v>
      </c>
      <c r="AU41" t="s">
        <v>2300</v>
      </c>
      <c r="AV41" t="s">
        <v>2301</v>
      </c>
      <c r="AW41" t="s">
        <v>2302</v>
      </c>
      <c r="AX41" t="s">
        <v>1035</v>
      </c>
      <c r="AY41" t="s">
        <v>35</v>
      </c>
      <c r="AZ41" t="s">
        <v>481</v>
      </c>
      <c r="BA41" t="s">
        <v>228</v>
      </c>
      <c r="BB41" t="s">
        <v>482</v>
      </c>
      <c r="BC41" t="s">
        <v>770</v>
      </c>
      <c r="BD41" t="s">
        <v>35</v>
      </c>
      <c r="BE41" t="s">
        <v>35</v>
      </c>
      <c r="BF41" t="s">
        <v>35</v>
      </c>
      <c r="BG41" t="s">
        <v>35</v>
      </c>
      <c r="BH41" t="s">
        <v>1772</v>
      </c>
      <c r="BI41" t="s">
        <v>363</v>
      </c>
      <c r="BJ41" t="s">
        <v>1035</v>
      </c>
      <c r="BK41" t="s">
        <v>164</v>
      </c>
      <c r="BL41" t="s">
        <v>2303</v>
      </c>
      <c r="BM41" t="s">
        <v>770</v>
      </c>
      <c r="BN41">
        <v>2.15</v>
      </c>
      <c r="BO41">
        <v>3.68</v>
      </c>
      <c r="BP41">
        <v>3.78</v>
      </c>
      <c r="BQ41">
        <v>2.63</v>
      </c>
      <c r="BR41">
        <v>4.6500000000000004</v>
      </c>
      <c r="BS41">
        <v>3.9</v>
      </c>
      <c r="BT41" t="s">
        <v>950</v>
      </c>
      <c r="BU41" t="s">
        <v>844</v>
      </c>
      <c r="BV41">
        <v>11.89</v>
      </c>
      <c r="BW41">
        <v>10.63</v>
      </c>
      <c r="BX41">
        <v>12.87</v>
      </c>
      <c r="BY41">
        <v>2.46</v>
      </c>
      <c r="BZ41">
        <v>4.3600000000000003</v>
      </c>
      <c r="CA41">
        <v>4.54</v>
      </c>
      <c r="CB41">
        <v>-4</v>
      </c>
      <c r="CC41">
        <v>-11.89</v>
      </c>
      <c r="CD41" t="s">
        <v>2304</v>
      </c>
      <c r="CE41" t="s">
        <v>573</v>
      </c>
      <c r="CF41" s="8">
        <v>0.71502590673575128</v>
      </c>
      <c r="CG41" s="9">
        <v>-4.3494321173373445</v>
      </c>
      <c r="CH41" s="8">
        <v>-0.89529240131378174</v>
      </c>
      <c r="CI41" s="8" t="s">
        <v>35</v>
      </c>
      <c r="CJ41" s="8" t="s">
        <v>35</v>
      </c>
      <c r="CK41" s="8">
        <v>8.4171436727046967E-2</v>
      </c>
      <c r="CL41" s="8">
        <v>-0.14769880473613739</v>
      </c>
      <c r="CM41" s="9">
        <v>-0.96876561641693115</v>
      </c>
      <c r="CN41" s="9" t="s">
        <v>35</v>
      </c>
      <c r="CO41" s="9" t="s">
        <v>35</v>
      </c>
      <c r="CP41" s="9" t="s">
        <v>35</v>
      </c>
      <c r="CQ41" s="9" t="s">
        <v>35</v>
      </c>
      <c r="CR41">
        <v>171.71938382139885</v>
      </c>
      <c r="CS41">
        <v>5.372836146547189</v>
      </c>
      <c r="CT41">
        <v>0.18744142455482662</v>
      </c>
      <c r="CU41" s="8">
        <v>-0.31960658977429074</v>
      </c>
      <c r="CV41" s="9">
        <v>-0.96876561641693115</v>
      </c>
      <c r="CW41">
        <v>0.06</v>
      </c>
      <c r="CX41" t="e">
        <v>#VALUE!</v>
      </c>
      <c r="CY41" t="s">
        <v>742</v>
      </c>
      <c r="CZ41">
        <v>-0.31960658977429074</v>
      </c>
      <c r="DA41">
        <v>837.85743707265192</v>
      </c>
      <c r="DB41" t="s">
        <v>2305</v>
      </c>
      <c r="DC41">
        <v>-0.30362626028557621</v>
      </c>
      <c r="DD41">
        <v>418.92871853632596</v>
      </c>
      <c r="DE41" t="s">
        <v>2306</v>
      </c>
      <c r="DF41">
        <v>-0.28125379900137587</v>
      </c>
      <c r="DG41">
        <v>251.35723112179559</v>
      </c>
      <c r="DH41" t="s">
        <v>2307</v>
      </c>
      <c r="DI41">
        <v>-0.25568527181943262</v>
      </c>
      <c r="DJ41">
        <v>125.6786155608978</v>
      </c>
      <c r="DK41" t="s">
        <v>2308</v>
      </c>
      <c r="DL41">
        <v>-0.22372461284200351</v>
      </c>
      <c r="DM41">
        <v>8901800</v>
      </c>
      <c r="DN41">
        <v>-0.31960658977429074</v>
      </c>
      <c r="DO41">
        <v>22375318000</v>
      </c>
      <c r="DP41">
        <v>10001545700</v>
      </c>
      <c r="DQ41">
        <v>2935</v>
      </c>
      <c r="DR41">
        <v>1.034632496510042</v>
      </c>
      <c r="DS41">
        <v>-3.3806665009204133</v>
      </c>
      <c r="DT41" s="10">
        <v>-1.1599999999999999</v>
      </c>
      <c r="DU41">
        <v>-3.6949999999999998</v>
      </c>
      <c r="DV41">
        <v>-4.8549999999999995</v>
      </c>
      <c r="DW41">
        <v>-8.3364171572750205</v>
      </c>
      <c r="DX41">
        <v>0.38992510638297956</v>
      </c>
      <c r="DY41">
        <v>-8.0336165202297654</v>
      </c>
      <c r="DZ41">
        <v>4484</v>
      </c>
      <c r="EA41">
        <v>-8.0041181881925301</v>
      </c>
      <c r="EB41">
        <v>8</v>
      </c>
      <c r="EC41">
        <v>1.9858448763427964E-2</v>
      </c>
      <c r="ED41">
        <v>0.19873332621050541</v>
      </c>
      <c r="EE41" s="11">
        <v>-3.0666099999999998</v>
      </c>
      <c r="EF41">
        <v>-3.0914100000000002</v>
      </c>
      <c r="EG41">
        <v>29.09992510638298</v>
      </c>
      <c r="EH41" t="s">
        <v>1161</v>
      </c>
      <c r="EI41">
        <v>0</v>
      </c>
      <c r="EJ41">
        <v>0</v>
      </c>
      <c r="EK41" s="13">
        <v>45470</v>
      </c>
      <c r="EL41" s="14">
        <v>-0.49</v>
      </c>
      <c r="EM41" s="14">
        <v>-2.96</v>
      </c>
      <c r="EN41" s="14">
        <v>0.51</v>
      </c>
      <c r="EO41" s="14">
        <v>2.02</v>
      </c>
      <c r="EP41" s="14">
        <v>-2.48</v>
      </c>
    </row>
    <row r="42" spans="1:146" ht="96" x14ac:dyDescent="0.25">
      <c r="A42" s="7"/>
      <c r="B42" s="7"/>
      <c r="C42" s="7" t="str">
        <f>""&amp;CHAR(10)&amp;Basic_Fundamental_Information_Constructure(F42)&amp;CHAR(10)&amp;Basic_Fundamental_Information_Concatenate("")</f>
        <v xml:space="preserve">
市值1796.1274亿, 利润-4.26亿; PE54.18; 平均PE-1414.27; 平均PEG-32.19, PB3.7; ROIC.79%; ROE2.1%; 股利率.498%; 毛利9.59%; 净利1.9333%; 上一年度营收增-84.49%, 利润增-347.67%; 当季营收增563.62%, 利润增1811.15%; 过往5年营收增43.94%, 利润增-347.67%
Income profile:
</v>
      </c>
      <c r="D42" t="s">
        <v>231</v>
      </c>
      <c r="E42" t="s">
        <v>232</v>
      </c>
      <c r="F42">
        <v>40.159999999999997</v>
      </c>
      <c r="G42">
        <v>-0.69</v>
      </c>
      <c r="H42" t="s">
        <v>2309</v>
      </c>
      <c r="I42">
        <v>179612740000</v>
      </c>
      <c r="J42">
        <v>54.18</v>
      </c>
      <c r="K42">
        <v>3.7</v>
      </c>
      <c r="L42" t="s">
        <v>1792</v>
      </c>
      <c r="M42" t="s">
        <v>1504</v>
      </c>
      <c r="N42" t="s">
        <v>2310</v>
      </c>
      <c r="O42" t="s">
        <v>1505</v>
      </c>
      <c r="P42">
        <v>68.84</v>
      </c>
      <c r="Q42" t="s">
        <v>2311</v>
      </c>
      <c r="R42">
        <v>401051780</v>
      </c>
      <c r="S42" s="6">
        <v>8.2110000000000003</v>
      </c>
      <c r="T42" t="s">
        <v>2312</v>
      </c>
      <c r="U42">
        <v>4472428800</v>
      </c>
      <c r="V42">
        <v>4472428800</v>
      </c>
      <c r="W42">
        <v>3.36</v>
      </c>
      <c r="X42" t="s">
        <v>35</v>
      </c>
      <c r="Y42">
        <v>2.65</v>
      </c>
      <c r="Z42" t="s">
        <v>35</v>
      </c>
      <c r="AA42" t="s">
        <v>35</v>
      </c>
      <c r="AB42" t="s">
        <v>35</v>
      </c>
      <c r="AC42" t="s">
        <v>35</v>
      </c>
      <c r="AD42" t="s">
        <v>35</v>
      </c>
      <c r="AE42">
        <v>-423075750</v>
      </c>
      <c r="AF42" t="s">
        <v>1508</v>
      </c>
      <c r="AG42" t="s">
        <v>2313</v>
      </c>
      <c r="AH42" t="s">
        <v>1509</v>
      </c>
      <c r="AI42" t="s">
        <v>2314</v>
      </c>
      <c r="AJ42" t="s">
        <v>1510</v>
      </c>
      <c r="AK42" t="s">
        <v>35</v>
      </c>
      <c r="AL42" t="s">
        <v>1511</v>
      </c>
      <c r="AM42" t="s">
        <v>35</v>
      </c>
      <c r="AN42" t="s">
        <v>2315</v>
      </c>
      <c r="AO42" t="s">
        <v>35</v>
      </c>
      <c r="AP42" t="s">
        <v>2316</v>
      </c>
      <c r="AQ42" t="s">
        <v>2317</v>
      </c>
      <c r="AR42" t="s">
        <v>73</v>
      </c>
      <c r="AS42" t="s">
        <v>35</v>
      </c>
      <c r="AT42" t="s">
        <v>35</v>
      </c>
      <c r="AU42" t="s">
        <v>2318</v>
      </c>
      <c r="AV42" t="s">
        <v>2319</v>
      </c>
      <c r="AW42" t="s">
        <v>2320</v>
      </c>
      <c r="AX42" t="s">
        <v>1512</v>
      </c>
      <c r="AY42" t="s">
        <v>35</v>
      </c>
      <c r="AZ42" t="s">
        <v>483</v>
      </c>
      <c r="BA42" t="s">
        <v>485</v>
      </c>
      <c r="BB42" t="s">
        <v>486</v>
      </c>
      <c r="BC42" t="s">
        <v>387</v>
      </c>
      <c r="BD42" t="s">
        <v>35</v>
      </c>
      <c r="BE42" t="s">
        <v>35</v>
      </c>
      <c r="BF42" t="s">
        <v>35</v>
      </c>
      <c r="BG42" t="s">
        <v>35</v>
      </c>
      <c r="BH42" t="s">
        <v>1506</v>
      </c>
      <c r="BI42" t="s">
        <v>2321</v>
      </c>
      <c r="BJ42" t="s">
        <v>1512</v>
      </c>
      <c r="BK42" t="s">
        <v>1507</v>
      </c>
      <c r="BL42" t="s">
        <v>2322</v>
      </c>
      <c r="BM42" t="s">
        <v>387</v>
      </c>
      <c r="BN42">
        <v>1.97</v>
      </c>
      <c r="BO42">
        <v>0.75</v>
      </c>
      <c r="BP42">
        <v>-0.35</v>
      </c>
      <c r="BQ42">
        <v>5.46</v>
      </c>
      <c r="BR42">
        <v>0.37</v>
      </c>
      <c r="BS42">
        <v>0.47</v>
      </c>
      <c r="BT42" t="s">
        <v>1513</v>
      </c>
      <c r="BU42" t="s">
        <v>846</v>
      </c>
      <c r="BV42">
        <v>10.57</v>
      </c>
      <c r="BW42">
        <v>7.6</v>
      </c>
      <c r="BX42">
        <v>10.6</v>
      </c>
      <c r="BY42">
        <v>3.95</v>
      </c>
      <c r="BZ42">
        <v>1.46</v>
      </c>
      <c r="CA42">
        <v>0.39</v>
      </c>
      <c r="CB42">
        <v>-1.35</v>
      </c>
      <c r="CC42">
        <v>13.32</v>
      </c>
      <c r="CD42" t="s">
        <v>401</v>
      </c>
      <c r="CE42" t="s">
        <v>1555</v>
      </c>
      <c r="CF42" s="8">
        <v>5.6362451108213811</v>
      </c>
      <c r="CG42" s="9">
        <v>18.111469604396351</v>
      </c>
      <c r="CH42" s="8">
        <v>-0.84490209817886353</v>
      </c>
      <c r="CI42" s="8" t="s">
        <v>35</v>
      </c>
      <c r="CJ42" s="8" t="s">
        <v>35</v>
      </c>
      <c r="CK42" s="8">
        <v>4.9129284918308258E-2</v>
      </c>
      <c r="CL42" s="8">
        <v>2.1139562129974365</v>
      </c>
      <c r="CM42" s="9">
        <v>-3.4767441749572754</v>
      </c>
      <c r="CN42" s="9" t="s">
        <v>35</v>
      </c>
      <c r="CO42" s="9" t="s">
        <v>35</v>
      </c>
      <c r="CP42" s="9" t="s">
        <v>35</v>
      </c>
      <c r="CQ42" s="9" t="s">
        <v>35</v>
      </c>
      <c r="CR42">
        <v>-1414.2735433070866</v>
      </c>
      <c r="CS42">
        <v>-32.186876505713521</v>
      </c>
      <c r="CT42">
        <v>0.4980079681274901</v>
      </c>
      <c r="CU42" s="8">
        <v>0.43939446657896042</v>
      </c>
      <c r="CV42" s="9">
        <v>-3.4767441749572754</v>
      </c>
      <c r="CW42">
        <v>0.06</v>
      </c>
      <c r="CX42" t="e">
        <v>#VALUE!</v>
      </c>
      <c r="CY42" t="s">
        <v>740</v>
      </c>
      <c r="CZ42">
        <v>0.43939446657896042</v>
      </c>
      <c r="DA42" t="e">
        <v>#VALUE!</v>
      </c>
      <c r="DB42" t="s">
        <v>740</v>
      </c>
      <c r="DC42">
        <v>0.41742474325001239</v>
      </c>
      <c r="DD42" t="e">
        <v>#VALUE!</v>
      </c>
      <c r="DE42" t="s">
        <v>740</v>
      </c>
      <c r="DF42">
        <v>0.38666713058948515</v>
      </c>
      <c r="DG42" t="e">
        <v>#VALUE!</v>
      </c>
      <c r="DH42" t="s">
        <v>740</v>
      </c>
      <c r="DI42">
        <v>0.35151557326316835</v>
      </c>
      <c r="DJ42" t="e">
        <v>#VALUE!</v>
      </c>
      <c r="DK42" t="s">
        <v>740</v>
      </c>
      <c r="DL42">
        <v>0.30757612660527228</v>
      </c>
      <c r="DM42">
        <v>-426000000</v>
      </c>
      <c r="DN42">
        <v>0.43939446657896042</v>
      </c>
      <c r="DO42">
        <v>252306740000</v>
      </c>
      <c r="DP42">
        <v>132760748000</v>
      </c>
      <c r="DQ42">
        <v>2957</v>
      </c>
      <c r="DR42">
        <v>5.1968506442424207</v>
      </c>
      <c r="DS42">
        <v>21.588213779353627</v>
      </c>
      <c r="DT42" s="10">
        <v>-1.1599999999999999</v>
      </c>
      <c r="DU42">
        <v>-0.45000000000000007</v>
      </c>
      <c r="DV42">
        <v>-1.6099999999999999</v>
      </c>
      <c r="DW42">
        <v>2.1332</v>
      </c>
      <c r="DX42">
        <v>0.38262295081967124</v>
      </c>
      <c r="DY42">
        <v>2.0189973770491805</v>
      </c>
      <c r="DZ42">
        <v>3563</v>
      </c>
      <c r="EA42">
        <v>2.0057512607231081</v>
      </c>
      <c r="EB42">
        <v>2</v>
      </c>
      <c r="EC42">
        <v>3.8905035223813958E-2</v>
      </c>
      <c r="ED42">
        <v>0.27278243087961512</v>
      </c>
      <c r="EE42" s="11">
        <v>-3.00631</v>
      </c>
      <c r="EF42">
        <v>-3.0217100000000001</v>
      </c>
      <c r="EG42">
        <v>24.142622950819671</v>
      </c>
      <c r="EH42" t="s">
        <v>1161</v>
      </c>
      <c r="EI42">
        <v>1</v>
      </c>
      <c r="EJ42">
        <v>0</v>
      </c>
      <c r="EK42" s="13">
        <v>45470</v>
      </c>
      <c r="EL42" s="14">
        <v>-1.21</v>
      </c>
      <c r="EM42" s="14">
        <v>-4.28</v>
      </c>
      <c r="EN42" s="14">
        <v>0.96</v>
      </c>
      <c r="EO42" s="14">
        <v>2.5299999999999998</v>
      </c>
      <c r="EP42" s="14">
        <v>-1.54</v>
      </c>
    </row>
    <row r="43" spans="1:146" ht="96" x14ac:dyDescent="0.25">
      <c r="A43" s="7"/>
      <c r="B43" s="7"/>
      <c r="C43" s="7" t="str">
        <f>""&amp;CHAR(10)&amp;Basic_Fundamental_Information_Constructure(F43)&amp;CHAR(10)&amp;Basic_Fundamental_Information_Concatenate("")</f>
        <v xml:space="preserve">
市值41.464007亿, 利润-7.33亿; PE77.76; 平均PE-12.53; 平均PEG-.41, PB1.63; ROIC1.7767%; ROE2.4033%; 股利率.6994%; 毛利13.9667%; 净利2.62%; 上一年度营收增88.3%, 利润增-1132.17%; 当季营收增-76.74%, 利润增-193.19%; 过往5年营收增30.48%, 利润增-1132.17%
Income profile:
</v>
      </c>
      <c r="D43" t="s">
        <v>233</v>
      </c>
      <c r="E43" t="s">
        <v>12</v>
      </c>
      <c r="F43">
        <v>8.15</v>
      </c>
      <c r="G43">
        <v>0.25</v>
      </c>
      <c r="H43" t="s">
        <v>2323</v>
      </c>
      <c r="I43">
        <v>4146400700</v>
      </c>
      <c r="J43">
        <v>77.760000000000005</v>
      </c>
      <c r="K43">
        <v>1.63</v>
      </c>
      <c r="L43" t="s">
        <v>1792</v>
      </c>
      <c r="M43" t="s">
        <v>1514</v>
      </c>
      <c r="N43" t="s">
        <v>2324</v>
      </c>
      <c r="O43" t="s">
        <v>271</v>
      </c>
      <c r="P43">
        <v>-27.66</v>
      </c>
      <c r="Q43" t="s">
        <v>2325</v>
      </c>
      <c r="R43">
        <v>-9335396</v>
      </c>
      <c r="S43" s="6">
        <v>-2.4340000000000002</v>
      </c>
      <c r="T43" t="s">
        <v>2326</v>
      </c>
      <c r="U43">
        <v>508760830</v>
      </c>
      <c r="V43">
        <v>508760830</v>
      </c>
      <c r="W43">
        <v>1.76</v>
      </c>
      <c r="X43" t="s">
        <v>35</v>
      </c>
      <c r="Y43">
        <v>-4.0599999999999996</v>
      </c>
      <c r="Z43" t="s">
        <v>35</v>
      </c>
      <c r="AA43" t="s">
        <v>35</v>
      </c>
      <c r="AB43" t="s">
        <v>35</v>
      </c>
      <c r="AC43" t="s">
        <v>35</v>
      </c>
      <c r="AD43" t="s">
        <v>35</v>
      </c>
      <c r="AE43">
        <v>-2123859</v>
      </c>
      <c r="AF43" t="s">
        <v>1516</v>
      </c>
      <c r="AG43" t="s">
        <v>2327</v>
      </c>
      <c r="AH43" t="s">
        <v>1517</v>
      </c>
      <c r="AI43" t="s">
        <v>1278</v>
      </c>
      <c r="AJ43" t="s">
        <v>1518</v>
      </c>
      <c r="AK43" t="s">
        <v>35</v>
      </c>
      <c r="AL43" t="s">
        <v>1519</v>
      </c>
      <c r="AM43" t="s">
        <v>35</v>
      </c>
      <c r="AN43" t="s">
        <v>2328</v>
      </c>
      <c r="AO43" t="s">
        <v>35</v>
      </c>
      <c r="AP43" t="s">
        <v>68</v>
      </c>
      <c r="AQ43" t="s">
        <v>2329</v>
      </c>
      <c r="AR43" t="s">
        <v>35</v>
      </c>
      <c r="AS43" t="s">
        <v>35</v>
      </c>
      <c r="AT43" t="s">
        <v>35</v>
      </c>
      <c r="AU43" t="s">
        <v>363</v>
      </c>
      <c r="AV43" t="s">
        <v>2330</v>
      </c>
      <c r="AW43" t="s">
        <v>2331</v>
      </c>
      <c r="AX43" t="s">
        <v>937</v>
      </c>
      <c r="AY43" t="s">
        <v>35</v>
      </c>
      <c r="AZ43" t="s">
        <v>487</v>
      </c>
      <c r="BA43" t="s">
        <v>234</v>
      </c>
      <c r="BB43" t="s">
        <v>489</v>
      </c>
      <c r="BC43" t="s">
        <v>1520</v>
      </c>
      <c r="BD43" t="s">
        <v>35</v>
      </c>
      <c r="BE43" t="s">
        <v>35</v>
      </c>
      <c r="BF43" t="s">
        <v>35</v>
      </c>
      <c r="BG43" t="s">
        <v>35</v>
      </c>
      <c r="BH43" t="s">
        <v>1118</v>
      </c>
      <c r="BI43" t="s">
        <v>2332</v>
      </c>
      <c r="BJ43" t="s">
        <v>937</v>
      </c>
      <c r="BK43" t="s">
        <v>1515</v>
      </c>
      <c r="BL43" t="s">
        <v>2333</v>
      </c>
      <c r="BM43" t="s">
        <v>1520</v>
      </c>
      <c r="BN43">
        <v>1.1100000000000001</v>
      </c>
      <c r="BO43">
        <v>2.29</v>
      </c>
      <c r="BP43">
        <v>1.93</v>
      </c>
      <c r="BQ43">
        <v>1.75</v>
      </c>
      <c r="BR43">
        <v>2.88</v>
      </c>
      <c r="BS43">
        <v>2.58</v>
      </c>
      <c r="BT43" t="s">
        <v>1036</v>
      </c>
      <c r="BU43" t="s">
        <v>823</v>
      </c>
      <c r="BV43">
        <v>16.71</v>
      </c>
      <c r="BW43">
        <v>14.47</v>
      </c>
      <c r="BX43">
        <v>10.72</v>
      </c>
      <c r="BY43">
        <v>3.14</v>
      </c>
      <c r="BZ43">
        <v>2.83</v>
      </c>
      <c r="CA43">
        <v>1.89</v>
      </c>
      <c r="CB43">
        <v>-4.2300000000000004</v>
      </c>
      <c r="CC43">
        <v>-15.92</v>
      </c>
      <c r="CD43" t="s">
        <v>2334</v>
      </c>
      <c r="CE43" t="s">
        <v>250</v>
      </c>
      <c r="CF43" s="8">
        <v>-0.76744186046511631</v>
      </c>
      <c r="CG43" s="9">
        <v>-1.9318622479536833</v>
      </c>
      <c r="CH43" s="8">
        <v>0.88300848007202148</v>
      </c>
      <c r="CI43" s="8" t="s">
        <v>35</v>
      </c>
      <c r="CJ43" s="8" t="s">
        <v>35</v>
      </c>
      <c r="CK43" s="8">
        <v>6.8610630929470062E-2</v>
      </c>
      <c r="CL43" s="8">
        <v>-3.7159424275159836E-2</v>
      </c>
      <c r="CM43" s="9">
        <v>-11.321747779846191</v>
      </c>
      <c r="CN43" s="9" t="s">
        <v>35</v>
      </c>
      <c r="CO43" s="9" t="s">
        <v>35</v>
      </c>
      <c r="CP43" s="9" t="s">
        <v>35</v>
      </c>
      <c r="CQ43" s="9" t="s">
        <v>35</v>
      </c>
      <c r="CR43">
        <v>-12.5271760730494</v>
      </c>
      <c r="CS43">
        <v>-0.41096976460150003</v>
      </c>
      <c r="CT43">
        <v>0.69938650306748462</v>
      </c>
      <c r="CU43" s="8">
        <v>0.30481989557544392</v>
      </c>
      <c r="CV43" s="9">
        <v>-11.321747779846191</v>
      </c>
      <c r="CW43">
        <v>0.06</v>
      </c>
      <c r="CX43" t="e">
        <v>#VALUE!</v>
      </c>
      <c r="CY43" t="s">
        <v>739</v>
      </c>
      <c r="CZ43">
        <v>0.30481989557544392</v>
      </c>
      <c r="DA43" t="e">
        <v>#VALUE!</v>
      </c>
      <c r="DB43" t="s">
        <v>740</v>
      </c>
      <c r="DC43">
        <v>0.2895789007966717</v>
      </c>
      <c r="DD43" t="e">
        <v>#VALUE!</v>
      </c>
      <c r="DE43" t="s">
        <v>740</v>
      </c>
      <c r="DF43">
        <v>0.26824150810639064</v>
      </c>
      <c r="DG43" t="e">
        <v>#VALUE!</v>
      </c>
      <c r="DH43" t="s">
        <v>740</v>
      </c>
      <c r="DI43">
        <v>0.24385591646035515</v>
      </c>
      <c r="DJ43" t="e">
        <v>#VALUE!</v>
      </c>
      <c r="DK43" t="s">
        <v>740</v>
      </c>
      <c r="DL43">
        <v>0.21337392690281073</v>
      </c>
      <c r="DM43">
        <v>-733000000</v>
      </c>
      <c r="DN43">
        <v>0.30481989557544392</v>
      </c>
      <c r="DO43">
        <v>3159400700</v>
      </c>
      <c r="DP43">
        <v>2889473400</v>
      </c>
      <c r="DQ43">
        <v>2986</v>
      </c>
      <c r="DR43">
        <v>-1.0722617560405603</v>
      </c>
      <c r="DS43">
        <v>9.3898855318925083</v>
      </c>
      <c r="DT43" s="10">
        <v>-0.16000000000000003</v>
      </c>
      <c r="DU43">
        <v>-4.9450000000000003</v>
      </c>
      <c r="DV43">
        <v>-5.1050000000000004</v>
      </c>
      <c r="DW43">
        <v>-8.265703517587939</v>
      </c>
      <c r="DX43">
        <v>0.425854464285714</v>
      </c>
      <c r="DY43">
        <v>-8.0360970090407395</v>
      </c>
      <c r="DZ43">
        <v>2048</v>
      </c>
      <c r="EA43">
        <v>-8.0216299494486787</v>
      </c>
      <c r="EB43">
        <v>8</v>
      </c>
      <c r="EC43">
        <v>2.9907373175721882E-2</v>
      </c>
      <c r="ED43">
        <v>0.22014273386573416</v>
      </c>
      <c r="EE43" s="11">
        <v>1.9310000000000001E-2</v>
      </c>
      <c r="EF43">
        <v>2.6110000000000001E-2</v>
      </c>
      <c r="EG43">
        <v>29.135854464285714</v>
      </c>
      <c r="EH43">
        <v>-1</v>
      </c>
      <c r="EI43">
        <v>0</v>
      </c>
      <c r="EJ43">
        <v>0</v>
      </c>
      <c r="EK43" s="13">
        <v>45470</v>
      </c>
      <c r="EL43" s="14">
        <v>0.2</v>
      </c>
      <c r="EM43" s="14">
        <v>0.2</v>
      </c>
      <c r="EN43" s="14">
        <v>-3.21</v>
      </c>
      <c r="EO43" s="14">
        <v>2.92</v>
      </c>
      <c r="EP43" s="14">
        <v>-0.68</v>
      </c>
    </row>
    <row r="44" spans="1:146" ht="149" customHeight="1" x14ac:dyDescent="0.25">
      <c r="A44" s="7" t="s">
        <v>931</v>
      </c>
      <c r="B44" s="7"/>
      <c r="C44" s="7" t="str">
        <f>"公司从事教练机系列产品的设计、研制、生产、销售、维修及服务保障等；防务产品研发及制造业务。主要产品有CJ6初级教练机、K8基础教练机、L15高级教练机、防务产品。"&amp;CHAR(10)&amp;Basic_Fundamental_Information_Constructure(C44)&amp;CHAR(10)&amp;Basic_Fundamental_Information_Concatenate("其他航空产品（导弹） 46.86亿 64.96% 60.85% 2.55%
教练机 23.77亿 32.95% 29.41% 2.43%
非航空产品 1.51亿 2.09% 9.74% 12.70%")</f>
        <v>公司从事教练机系列产品的设计、研制、生产、销售、维修及服务保障等；防务产品研发及制造业务。主要产品有CJ6初级教练机、K8基础教练机、L15高级教练机、防务产品。
市值134.60239亿, 利润3250.12万; PE416.9; 平均PE118.18; 平均PEG10.69, PB2.55; ROIC1.7367%; ROE1.9067%; 股利率.0799%; 毛利3.3533%; 净利1.5067%; 上一年度营收增-48.6%, 利润增-76.95%; 当季营收增94.89%, 利润增-2.34%; 过往5年营收增11.05%, 利润增-10.32%
Income profile:
其他航空产品（导弹） 46.86亿 64.96% 60.85% 2.55%
教练机 23.77亿 32.95% 29.41% 2.43%
非航空产品 1.51亿 2.09% 9.74% 12.70%</v>
      </c>
      <c r="D44" t="s">
        <v>235</v>
      </c>
      <c r="E44" t="s">
        <v>34</v>
      </c>
      <c r="F44">
        <v>16.079999999999998</v>
      </c>
      <c r="G44">
        <v>0.88</v>
      </c>
      <c r="H44" t="s">
        <v>2335</v>
      </c>
      <c r="I44">
        <v>11531201400</v>
      </c>
      <c r="J44">
        <v>357.1</v>
      </c>
      <c r="K44">
        <v>2.1800000000000002</v>
      </c>
      <c r="L44" t="s">
        <v>1792</v>
      </c>
      <c r="M44" t="s">
        <v>1521</v>
      </c>
      <c r="N44" t="s">
        <v>2336</v>
      </c>
      <c r="O44" t="s">
        <v>935</v>
      </c>
      <c r="P44">
        <v>95.1</v>
      </c>
      <c r="Q44" t="s">
        <v>229</v>
      </c>
      <c r="R44">
        <v>-9282164</v>
      </c>
      <c r="S44" s="6">
        <v>-2.3400000000000001E-2</v>
      </c>
      <c r="T44" t="s">
        <v>2337</v>
      </c>
      <c r="U44">
        <v>717114510</v>
      </c>
      <c r="V44">
        <v>717114510</v>
      </c>
      <c r="W44">
        <v>2.87</v>
      </c>
      <c r="X44">
        <v>0.02</v>
      </c>
      <c r="Y44">
        <v>-3.47</v>
      </c>
      <c r="Z44" t="s">
        <v>143</v>
      </c>
      <c r="AA44" t="s">
        <v>429</v>
      </c>
      <c r="AB44" t="s">
        <v>2338</v>
      </c>
      <c r="AC44" t="s">
        <v>2339</v>
      </c>
      <c r="AD44" t="s">
        <v>35</v>
      </c>
      <c r="AE44">
        <v>-1547533</v>
      </c>
      <c r="AF44" t="s">
        <v>1523</v>
      </c>
      <c r="AG44">
        <v>2500</v>
      </c>
      <c r="AH44" t="s">
        <v>1524</v>
      </c>
      <c r="AI44" t="s">
        <v>2340</v>
      </c>
      <c r="AJ44" t="s">
        <v>1525</v>
      </c>
      <c r="AK44" t="s">
        <v>2341</v>
      </c>
      <c r="AL44" t="s">
        <v>1526</v>
      </c>
      <c r="AM44" t="s">
        <v>35</v>
      </c>
      <c r="AN44" t="s">
        <v>2342</v>
      </c>
      <c r="AO44" t="s">
        <v>35</v>
      </c>
      <c r="AP44" t="s">
        <v>997</v>
      </c>
      <c r="AQ44" t="s">
        <v>2343</v>
      </c>
      <c r="AR44" t="s">
        <v>35</v>
      </c>
      <c r="AS44" t="s">
        <v>2344</v>
      </c>
      <c r="AT44" t="s">
        <v>35</v>
      </c>
      <c r="AU44" t="s">
        <v>2345</v>
      </c>
      <c r="AV44" t="s">
        <v>2346</v>
      </c>
      <c r="AW44" t="s">
        <v>35</v>
      </c>
      <c r="AX44" t="s">
        <v>1037</v>
      </c>
      <c r="AY44" t="s">
        <v>861</v>
      </c>
      <c r="AZ44" t="s">
        <v>491</v>
      </c>
      <c r="BA44" t="s">
        <v>236</v>
      </c>
      <c r="BB44" t="s">
        <v>492</v>
      </c>
      <c r="BC44" t="s">
        <v>100</v>
      </c>
      <c r="BD44" t="s">
        <v>106</v>
      </c>
      <c r="BE44" t="s">
        <v>209</v>
      </c>
      <c r="BF44" t="s">
        <v>237</v>
      </c>
      <c r="BG44" t="s">
        <v>438</v>
      </c>
      <c r="BH44" t="s">
        <v>1336</v>
      </c>
      <c r="BI44" t="s">
        <v>2347</v>
      </c>
      <c r="BJ44" t="s">
        <v>1037</v>
      </c>
      <c r="BK44" t="s">
        <v>1522</v>
      </c>
      <c r="BL44" t="s">
        <v>2348</v>
      </c>
      <c r="BM44" t="s">
        <v>100</v>
      </c>
      <c r="BN44">
        <v>0.11</v>
      </c>
      <c r="BO44">
        <v>2.5299999999999998</v>
      </c>
      <c r="BP44">
        <v>2.59</v>
      </c>
      <c r="BQ44">
        <v>0.17</v>
      </c>
      <c r="BR44">
        <v>2.66</v>
      </c>
      <c r="BS44">
        <v>2.93</v>
      </c>
      <c r="BT44" t="s">
        <v>1527</v>
      </c>
      <c r="BU44" t="s">
        <v>733</v>
      </c>
      <c r="BV44">
        <v>3.47</v>
      </c>
      <c r="BW44">
        <v>2.69</v>
      </c>
      <c r="BX44">
        <v>2.73</v>
      </c>
      <c r="BY44">
        <v>0.87</v>
      </c>
      <c r="BZ44">
        <v>1.95</v>
      </c>
      <c r="CA44">
        <v>2.1</v>
      </c>
      <c r="CB44">
        <v>-3.31</v>
      </c>
      <c r="CC44">
        <v>-13.57</v>
      </c>
      <c r="CD44" t="s">
        <v>2349</v>
      </c>
      <c r="CE44" t="s">
        <v>391</v>
      </c>
      <c r="CF44" s="8">
        <v>2.3603165493702236</v>
      </c>
      <c r="CG44" s="9">
        <v>-1.89125601313528</v>
      </c>
      <c r="CH44" s="8">
        <v>-0.95366156101226807</v>
      </c>
      <c r="CI44" s="8">
        <v>5.1288716495037079E-3</v>
      </c>
      <c r="CJ44" s="8">
        <v>0.42316034436225891</v>
      </c>
      <c r="CK44" s="8">
        <v>0.14683268964290619</v>
      </c>
      <c r="CL44" s="8">
        <v>0.46357607841491699</v>
      </c>
      <c r="CM44" s="9">
        <v>-0.79789644479751587</v>
      </c>
      <c r="CN44" s="9">
        <v>-6.6225163638591766E-2</v>
      </c>
      <c r="CO44" s="9">
        <v>0.13533835113048553</v>
      </c>
      <c r="CP44" s="9">
        <v>0.60495823621749878</v>
      </c>
      <c r="CQ44" s="9">
        <v>-0.42050209641456604</v>
      </c>
      <c r="CR44">
        <v>101.84102620565564</v>
      </c>
      <c r="CS44">
        <v>59.880826676476602</v>
      </c>
      <c r="CT44">
        <v>9.3283582089552244E-2</v>
      </c>
      <c r="CU44" s="8">
        <v>1.7007284611463547E-2</v>
      </c>
      <c r="CV44" s="9">
        <v>-0.10886542350053788</v>
      </c>
      <c r="CW44">
        <v>0.06</v>
      </c>
      <c r="CX44">
        <v>606.0247095377149</v>
      </c>
      <c r="CY44">
        <v>27340801.685527384</v>
      </c>
      <c r="CZ44">
        <v>1.7007284611463547E-2</v>
      </c>
      <c r="DA44">
        <v>210.77504012387391</v>
      </c>
      <c r="DB44">
        <v>78610832.621652782</v>
      </c>
      <c r="DC44">
        <v>1.615692038089037E-2</v>
      </c>
      <c r="DD44">
        <v>112.50037638477215</v>
      </c>
      <c r="DE44">
        <v>147281297.47166586</v>
      </c>
      <c r="DF44">
        <v>1.4966410458087921E-2</v>
      </c>
      <c r="DG44">
        <v>73.761286847296091</v>
      </c>
      <c r="DH44">
        <v>224632759.38097855</v>
      </c>
      <c r="DI44">
        <v>1.3605827689170839E-2</v>
      </c>
      <c r="DJ44">
        <v>45.684143260756976</v>
      </c>
      <c r="DK44">
        <v>362690426.42270738</v>
      </c>
      <c r="DL44">
        <v>1.1905099228024482E-2</v>
      </c>
      <c r="DM44">
        <v>28496600</v>
      </c>
      <c r="DN44">
        <v>1.7007284611463547E-2</v>
      </c>
      <c r="DO44">
        <v>16569201400</v>
      </c>
      <c r="DP44">
        <v>3486853300</v>
      </c>
      <c r="DQ44">
        <v>3090</v>
      </c>
      <c r="DR44">
        <v>2.3433092647587599</v>
      </c>
      <c r="DS44">
        <v>-1.7823905896347421</v>
      </c>
      <c r="DT44" s="10">
        <v>-0.54</v>
      </c>
      <c r="DU44">
        <v>-1.0983333333333334</v>
      </c>
      <c r="DV44">
        <v>-1.6383333333333334</v>
      </c>
      <c r="DW44">
        <v>-8.2439204126750187</v>
      </c>
      <c r="DX44">
        <v>0.32609157303370706</v>
      </c>
      <c r="DY44">
        <v>-8.0234386961489736</v>
      </c>
      <c r="DZ44">
        <v>2025</v>
      </c>
      <c r="EA44">
        <v>-8.0141503674402319</v>
      </c>
      <c r="EB44">
        <v>8</v>
      </c>
      <c r="EC44">
        <v>2.3851560331696539E-2</v>
      </c>
      <c r="ED44">
        <v>0.24821698280794793</v>
      </c>
      <c r="EE44" s="11">
        <v>1.0180100000000001</v>
      </c>
      <c r="EF44">
        <v>1.04091</v>
      </c>
      <c r="EG44">
        <v>23.096091573033707</v>
      </c>
      <c r="EH44" t="s">
        <v>969</v>
      </c>
      <c r="EI44">
        <v>0</v>
      </c>
      <c r="EJ44">
        <v>0</v>
      </c>
      <c r="EK44" s="13">
        <v>45470</v>
      </c>
      <c r="EL44" s="14">
        <v>0.44</v>
      </c>
      <c r="EM44" s="14">
        <v>-2.5099999999999998</v>
      </c>
      <c r="EN44" s="14">
        <v>0.45</v>
      </c>
      <c r="EO44" s="14">
        <v>2.06</v>
      </c>
      <c r="EP44" s="14">
        <v>-2.29</v>
      </c>
    </row>
    <row r="45" spans="1:146" ht="84" x14ac:dyDescent="0.25">
      <c r="A45" s="7"/>
      <c r="B45" s="7"/>
      <c r="C45" s="7" t="str">
        <f>""&amp;CHAR(10)&amp;Basic_Fundamental_Information_Constructure(F45)&amp;CHAR(10)&amp;Basic_Fundamental_Information_Concatenate("")</f>
        <v xml:space="preserve">
市值559.37645亿, 利润19.67亿; PE27.9; 平均PE58.04; 平均PEG2.01, PB1.53; ROIC4.97%; ROE6.8067%; 股利率1.09%; 毛利30.12%; 净利7.9267%; 上一年度营收增-63.62%, 利润增45.6%; 当季营收增126.54%, 利润增6.11%; 过往5年营收增28.92%, 利润增34.17%
Income profile:
</v>
      </c>
      <c r="D45" t="s">
        <v>239</v>
      </c>
      <c r="E45" t="s">
        <v>1150</v>
      </c>
      <c r="F45">
        <v>11.56</v>
      </c>
      <c r="G45">
        <v>0.17</v>
      </c>
      <c r="H45" t="s">
        <v>2350</v>
      </c>
      <c r="I45">
        <v>55937645000</v>
      </c>
      <c r="J45">
        <v>27.9</v>
      </c>
      <c r="K45">
        <v>1.53</v>
      </c>
      <c r="L45" t="s">
        <v>1792</v>
      </c>
      <c r="M45" t="s">
        <v>1528</v>
      </c>
      <c r="N45" t="s">
        <v>2351</v>
      </c>
      <c r="O45" t="s">
        <v>1529</v>
      </c>
      <c r="P45">
        <v>-10.029999999999999</v>
      </c>
      <c r="Q45" t="s">
        <v>2352</v>
      </c>
      <c r="R45">
        <v>454135890</v>
      </c>
      <c r="S45" s="6">
        <v>0.35189999999999999</v>
      </c>
      <c r="T45" t="s">
        <v>2353</v>
      </c>
      <c r="U45">
        <v>4756801800</v>
      </c>
      <c r="V45">
        <v>4838896600</v>
      </c>
      <c r="W45">
        <v>1.94</v>
      </c>
      <c r="X45">
        <v>0.08</v>
      </c>
      <c r="Y45">
        <v>8.73</v>
      </c>
      <c r="Z45" t="s">
        <v>2354</v>
      </c>
      <c r="AA45" t="s">
        <v>2355</v>
      </c>
      <c r="AB45" t="s">
        <v>2356</v>
      </c>
      <c r="AC45" t="s">
        <v>362</v>
      </c>
      <c r="AD45" t="s">
        <v>35</v>
      </c>
      <c r="AE45">
        <v>114422</v>
      </c>
      <c r="AF45" t="s">
        <v>1531</v>
      </c>
      <c r="AG45" t="s">
        <v>2357</v>
      </c>
      <c r="AH45" t="s">
        <v>1532</v>
      </c>
      <c r="AI45" t="s">
        <v>2358</v>
      </c>
      <c r="AJ45" t="s">
        <v>1533</v>
      </c>
      <c r="AK45" t="s">
        <v>2359</v>
      </c>
      <c r="AL45" t="s">
        <v>1534</v>
      </c>
      <c r="AM45" t="s">
        <v>35</v>
      </c>
      <c r="AN45" t="s">
        <v>2360</v>
      </c>
      <c r="AO45" t="s">
        <v>2361</v>
      </c>
      <c r="AP45" t="s">
        <v>2362</v>
      </c>
      <c r="AQ45" t="s">
        <v>2363</v>
      </c>
      <c r="AR45" t="s">
        <v>2364</v>
      </c>
      <c r="AS45" t="s">
        <v>2365</v>
      </c>
      <c r="AT45" t="s">
        <v>2366</v>
      </c>
      <c r="AU45" t="s">
        <v>2367</v>
      </c>
      <c r="AV45" t="s">
        <v>2368</v>
      </c>
      <c r="AW45" t="s">
        <v>2369</v>
      </c>
      <c r="AX45" t="s">
        <v>1535</v>
      </c>
      <c r="AY45" t="s">
        <v>862</v>
      </c>
      <c r="AZ45" t="s">
        <v>493</v>
      </c>
      <c r="BA45" t="s">
        <v>240</v>
      </c>
      <c r="BB45" t="s">
        <v>497</v>
      </c>
      <c r="BC45" t="s">
        <v>1536</v>
      </c>
      <c r="BD45" t="s">
        <v>705</v>
      </c>
      <c r="BE45" t="s">
        <v>494</v>
      </c>
      <c r="BF45" t="s">
        <v>159</v>
      </c>
      <c r="BG45" t="s">
        <v>325</v>
      </c>
      <c r="BH45" t="s">
        <v>1530</v>
      </c>
      <c r="BI45" t="s">
        <v>2370</v>
      </c>
      <c r="BJ45" t="s">
        <v>1535</v>
      </c>
      <c r="BK45" t="s">
        <v>490</v>
      </c>
      <c r="BL45" t="s">
        <v>371</v>
      </c>
      <c r="BM45" t="s">
        <v>1536</v>
      </c>
      <c r="BN45">
        <v>4.8</v>
      </c>
      <c r="BO45">
        <v>4.04</v>
      </c>
      <c r="BP45">
        <v>6.07</v>
      </c>
      <c r="BQ45">
        <v>5.67</v>
      </c>
      <c r="BR45">
        <v>7.44</v>
      </c>
      <c r="BS45">
        <v>7.31</v>
      </c>
      <c r="BT45" t="s">
        <v>1538</v>
      </c>
      <c r="BU45" t="s">
        <v>733</v>
      </c>
      <c r="BV45">
        <v>29.73</v>
      </c>
      <c r="BW45">
        <v>31.54</v>
      </c>
      <c r="BX45">
        <v>29.09</v>
      </c>
      <c r="BY45">
        <v>7.41</v>
      </c>
      <c r="BZ45">
        <v>8.06</v>
      </c>
      <c r="CA45">
        <v>8.31</v>
      </c>
      <c r="CB45">
        <v>-3.43</v>
      </c>
      <c r="CC45">
        <v>-2.97</v>
      </c>
      <c r="CD45" t="s">
        <v>2371</v>
      </c>
      <c r="CE45" t="s">
        <v>652</v>
      </c>
      <c r="CF45" s="8">
        <v>1.2653552790044158</v>
      </c>
      <c r="CG45" s="9">
        <v>6.1065163551401867E-2</v>
      </c>
      <c r="CH45" s="8">
        <v>-0.63624560832977295</v>
      </c>
      <c r="CI45" s="8">
        <v>1.8175629377365112</v>
      </c>
      <c r="CJ45" s="8">
        <v>0.12484277784824371</v>
      </c>
      <c r="CK45" s="8">
        <v>4.7294039279222488E-2</v>
      </c>
      <c r="CL45" s="8">
        <v>9.276464581489563E-2</v>
      </c>
      <c r="CM45" s="9">
        <v>0.45595851540565491</v>
      </c>
      <c r="CN45" s="9">
        <v>0.69086366891860962</v>
      </c>
      <c r="CO45" s="9">
        <v>0.26624405384063721</v>
      </c>
      <c r="CP45" s="9">
        <v>0.13489209115505219</v>
      </c>
      <c r="CQ45" s="9">
        <v>0.16075156629085541</v>
      </c>
      <c r="CR45">
        <v>58.036636693757565</v>
      </c>
      <c r="CS45">
        <v>2.0064957322082773</v>
      </c>
      <c r="CT45">
        <v>1.0899653979238755</v>
      </c>
      <c r="CU45" s="8">
        <v>0.28924375846982003</v>
      </c>
      <c r="CV45" s="9">
        <v>0.34174197912216187</v>
      </c>
      <c r="CW45">
        <v>0.06</v>
      </c>
      <c r="CX45">
        <v>22.427552796468909</v>
      </c>
      <c r="CY45">
        <v>2392398559.349185</v>
      </c>
      <c r="CZ45">
        <v>0.28924375846982003</v>
      </c>
      <c r="DA45">
        <v>6.2160678648717624</v>
      </c>
      <c r="DB45">
        <v>8631766281.577898</v>
      </c>
      <c r="DC45">
        <v>0.27478157054632901</v>
      </c>
      <c r="DD45">
        <v>2.4194402081653337</v>
      </c>
      <c r="DE45">
        <v>22176884065.544724</v>
      </c>
      <c r="DF45">
        <v>0.25453450745344164</v>
      </c>
      <c r="DG45">
        <v>1.0921937381052549</v>
      </c>
      <c r="DH45">
        <v>49126490226.067558</v>
      </c>
      <c r="DI45">
        <v>0.23139500677585603</v>
      </c>
      <c r="DJ45">
        <v>0.28212126564153212</v>
      </c>
      <c r="DK45">
        <v>190186460697.98843</v>
      </c>
      <c r="DL45">
        <v>0.20247063092887402</v>
      </c>
      <c r="DM45">
        <v>1967000000.0000002</v>
      </c>
      <c r="DN45">
        <v>0.28924375846982003</v>
      </c>
      <c r="DO45">
        <v>53655645000</v>
      </c>
      <c r="DP45">
        <v>24678602999.999996</v>
      </c>
      <c r="DQ45">
        <v>3136</v>
      </c>
      <c r="DR45">
        <v>0.97611152053459582</v>
      </c>
      <c r="DS45">
        <v>-0.28067681557076002</v>
      </c>
      <c r="DT45" s="10">
        <v>-0.45666666666666678</v>
      </c>
      <c r="DU45">
        <v>0.70000000000000007</v>
      </c>
      <c r="DV45">
        <v>0.24333333333333329</v>
      </c>
      <c r="DW45">
        <v>-4.8658892128279883</v>
      </c>
      <c r="DX45">
        <v>0.38693234123222853</v>
      </c>
      <c r="DY45">
        <v>-4.1012504529037068</v>
      </c>
      <c r="DZ45">
        <v>1961</v>
      </c>
      <c r="EA45">
        <v>-4.0623948485702099</v>
      </c>
      <c r="EB45">
        <v>4</v>
      </c>
      <c r="EC45">
        <v>2.0395331448082605E-2</v>
      </c>
      <c r="ED45">
        <v>0.1744199287085407</v>
      </c>
      <c r="EE45" s="11">
        <v>-1.1008100000000001</v>
      </c>
      <c r="EF45">
        <v>-1.1165099999999999</v>
      </c>
      <c r="EG45">
        <v>27.116932341232229</v>
      </c>
      <c r="EH45" t="s">
        <v>971</v>
      </c>
      <c r="EI45">
        <v>0</v>
      </c>
      <c r="EJ45">
        <v>0</v>
      </c>
      <c r="EK45" s="13">
        <v>45470</v>
      </c>
      <c r="EL45" s="14">
        <v>-0.14000000000000001</v>
      </c>
      <c r="EM45" s="14">
        <v>-3.94</v>
      </c>
      <c r="EN45" s="14">
        <v>0.59</v>
      </c>
      <c r="EO45" s="14">
        <v>2.1800000000000002</v>
      </c>
      <c r="EP45" s="14">
        <v>-1.57</v>
      </c>
    </row>
    <row r="46" spans="1:146" ht="84" x14ac:dyDescent="0.25">
      <c r="A46" s="7"/>
      <c r="B46" s="7"/>
      <c r="C46" s="7" t="str">
        <f>""&amp;CHAR(10)&amp;Basic_Fundamental_Information_Constructure(F46)&amp;CHAR(10)&amp;Basic_Fundamental_Information_Concatenate("")</f>
        <v xml:space="preserve">
市值48.363952亿, 利润3.33亿; PE85.11; 平均PE277.54; 平均PEG3.22, PB3.04; ROIC3.1367%; ROE2.23%; 股利率0%; 毛利12.1633%; 净利1.9633%; 上一年度营收增370.32%, 利润增612.78%; 当季营收增-83.11%, 利润增-102.79%; 过往5年营收增86.23%, 利润增180.31%
Income profile:
</v>
      </c>
      <c r="D46" t="s">
        <v>243</v>
      </c>
      <c r="E46" t="s">
        <v>33</v>
      </c>
      <c r="F46">
        <v>14.65</v>
      </c>
      <c r="G46">
        <v>0.21</v>
      </c>
      <c r="H46" t="s">
        <v>2372</v>
      </c>
      <c r="I46">
        <v>4836395200</v>
      </c>
      <c r="J46">
        <v>85.11</v>
      </c>
      <c r="K46">
        <v>3.04</v>
      </c>
      <c r="L46" t="s">
        <v>1792</v>
      </c>
      <c r="M46" t="s">
        <v>1539</v>
      </c>
      <c r="N46" t="s">
        <v>2373</v>
      </c>
      <c r="O46" t="s">
        <v>425</v>
      </c>
      <c r="P46">
        <v>9.4</v>
      </c>
      <c r="Q46" t="s">
        <v>2374</v>
      </c>
      <c r="R46">
        <v>-2157505</v>
      </c>
      <c r="S46" s="6">
        <v>0.80069999999999997</v>
      </c>
      <c r="T46" t="s">
        <v>112</v>
      </c>
      <c r="U46">
        <v>330129370</v>
      </c>
      <c r="V46">
        <v>330129370</v>
      </c>
      <c r="W46">
        <v>3.33</v>
      </c>
      <c r="X46">
        <v>0.1</v>
      </c>
      <c r="Y46">
        <v>1.1200000000000001</v>
      </c>
      <c r="Z46" t="s">
        <v>1309</v>
      </c>
      <c r="AA46" t="s">
        <v>370</v>
      </c>
      <c r="AB46" t="s">
        <v>2375</v>
      </c>
      <c r="AC46" t="s">
        <v>2376</v>
      </c>
      <c r="AD46" t="s">
        <v>35</v>
      </c>
      <c r="AE46">
        <v>9648659</v>
      </c>
      <c r="AF46" t="s">
        <v>1542</v>
      </c>
      <c r="AG46" t="s">
        <v>2377</v>
      </c>
      <c r="AH46" t="s">
        <v>1543</v>
      </c>
      <c r="AI46" t="s">
        <v>1085</v>
      </c>
      <c r="AJ46" t="s">
        <v>1544</v>
      </c>
      <c r="AK46" t="s">
        <v>399</v>
      </c>
      <c r="AL46" t="s">
        <v>1545</v>
      </c>
      <c r="AM46" t="s">
        <v>35</v>
      </c>
      <c r="AN46" t="s">
        <v>2378</v>
      </c>
      <c r="AO46" t="s">
        <v>1275</v>
      </c>
      <c r="AP46" t="s">
        <v>2379</v>
      </c>
      <c r="AQ46" t="s">
        <v>1120</v>
      </c>
      <c r="AR46" t="s">
        <v>2380</v>
      </c>
      <c r="AS46" t="s">
        <v>2381</v>
      </c>
      <c r="AT46" t="s">
        <v>367</v>
      </c>
      <c r="AU46" t="s">
        <v>2382</v>
      </c>
      <c r="AV46" t="s">
        <v>2383</v>
      </c>
      <c r="AW46" t="s">
        <v>1655</v>
      </c>
      <c r="AX46" t="s">
        <v>318</v>
      </c>
      <c r="AY46" t="s">
        <v>863</v>
      </c>
      <c r="AZ46" t="s">
        <v>499</v>
      </c>
      <c r="BA46" t="s">
        <v>244</v>
      </c>
      <c r="BB46" t="s">
        <v>502</v>
      </c>
      <c r="BC46" t="s">
        <v>1546</v>
      </c>
      <c r="BD46" t="s">
        <v>706</v>
      </c>
      <c r="BE46" t="s">
        <v>500</v>
      </c>
      <c r="BF46" t="s">
        <v>245</v>
      </c>
      <c r="BG46" t="s">
        <v>503</v>
      </c>
      <c r="BH46" t="s">
        <v>1540</v>
      </c>
      <c r="BI46" t="s">
        <v>2384</v>
      </c>
      <c r="BJ46" t="s">
        <v>318</v>
      </c>
      <c r="BK46" t="s">
        <v>1541</v>
      </c>
      <c r="BL46" t="s">
        <v>2385</v>
      </c>
      <c r="BM46" t="s">
        <v>1546</v>
      </c>
      <c r="BN46">
        <v>2.72</v>
      </c>
      <c r="BO46">
        <v>3.87</v>
      </c>
      <c r="BP46">
        <v>2.82</v>
      </c>
      <c r="BQ46">
        <v>2.14</v>
      </c>
      <c r="BR46">
        <v>3.1</v>
      </c>
      <c r="BS46">
        <v>1.45</v>
      </c>
      <c r="BT46" t="s">
        <v>948</v>
      </c>
      <c r="BU46" t="s">
        <v>733</v>
      </c>
      <c r="BV46">
        <v>11.34</v>
      </c>
      <c r="BW46">
        <v>13.06</v>
      </c>
      <c r="BX46">
        <v>12.09</v>
      </c>
      <c r="BY46">
        <v>2.37</v>
      </c>
      <c r="BZ46">
        <v>2.19</v>
      </c>
      <c r="CA46">
        <v>1.33</v>
      </c>
      <c r="CB46">
        <v>-3.93</v>
      </c>
      <c r="CC46">
        <v>-11.75</v>
      </c>
      <c r="CD46" t="s">
        <v>2386</v>
      </c>
      <c r="CE46" t="s">
        <v>406</v>
      </c>
      <c r="CF46" s="8">
        <v>-0.83114719966687489</v>
      </c>
      <c r="CG46" s="9">
        <v>-1.0278825588052465</v>
      </c>
      <c r="CH46" s="8">
        <v>3.7032361030578613</v>
      </c>
      <c r="CI46" s="8">
        <v>8.4450788795948029E-2</v>
      </c>
      <c r="CJ46" s="8">
        <v>0.28812935948371887</v>
      </c>
      <c r="CK46" s="8">
        <v>-0.19592200219631195</v>
      </c>
      <c r="CL46" s="8">
        <v>0.43147209286689758</v>
      </c>
      <c r="CM46" s="9">
        <v>6.1277670860290527</v>
      </c>
      <c r="CN46" s="9">
        <v>1.1948397159576416</v>
      </c>
      <c r="CO46" s="9">
        <v>2.3281731605529785</v>
      </c>
      <c r="CP46" s="9">
        <v>-1.7098350524902344</v>
      </c>
      <c r="CQ46" s="9">
        <v>1.0745131969451904</v>
      </c>
      <c r="CR46">
        <v>277.54009541334949</v>
      </c>
      <c r="CS46">
        <v>3.2187023022042598</v>
      </c>
      <c r="CT46">
        <v>0</v>
      </c>
      <c r="CU46" s="8">
        <v>0.86227326840162277</v>
      </c>
      <c r="CV46" s="9">
        <v>1.8030916213989259</v>
      </c>
      <c r="CW46">
        <v>0.06</v>
      </c>
      <c r="CX46">
        <v>11.784587810625171</v>
      </c>
      <c r="CY46">
        <v>585034904.12994373</v>
      </c>
      <c r="CZ46">
        <v>0.86227326840162277</v>
      </c>
      <c r="DA46">
        <v>2.130866348905482</v>
      </c>
      <c r="DB46">
        <v>3235489266.392189</v>
      </c>
      <c r="DC46">
        <v>0.81915960498154161</v>
      </c>
      <c r="DD46">
        <v>0.41404907034296051</v>
      </c>
      <c r="DE46">
        <v>16651154884.345741</v>
      </c>
      <c r="DF46">
        <v>0.75880047619342805</v>
      </c>
      <c r="DG46">
        <v>7.348544300000627E-2</v>
      </c>
      <c r="DH46">
        <v>93819876679.513412</v>
      </c>
      <c r="DI46">
        <v>0.68981861472129824</v>
      </c>
      <c r="DJ46">
        <v>1.7806741676767539E-3</v>
      </c>
      <c r="DK46">
        <v>3871789306066.6562</v>
      </c>
      <c r="DL46">
        <v>0.60359128788113592</v>
      </c>
      <c r="DM46">
        <v>333000000</v>
      </c>
      <c r="DN46">
        <v>0.86227326840162277</v>
      </c>
      <c r="DO46">
        <v>6894395200</v>
      </c>
      <c r="DP46">
        <v>1068782100</v>
      </c>
      <c r="DQ46">
        <v>3152</v>
      </c>
      <c r="DR46">
        <v>-1.6934204680684977</v>
      </c>
      <c r="DS46">
        <v>-2.8309741802041724</v>
      </c>
      <c r="DT46" s="10">
        <v>-2.3333333333333355E-2</v>
      </c>
      <c r="DU46">
        <v>-0.31833333333333341</v>
      </c>
      <c r="DV46">
        <v>-0.34166666666666679</v>
      </c>
      <c r="DW46">
        <v>-8.3344680851063835</v>
      </c>
      <c r="DX46">
        <v>0.32212894736842212</v>
      </c>
      <c r="DY46">
        <v>-8.0375035543113107</v>
      </c>
      <c r="DZ46">
        <v>3244</v>
      </c>
      <c r="EA46">
        <v>-8.0136950356839343</v>
      </c>
      <c r="EB46">
        <v>8</v>
      </c>
      <c r="EC46">
        <v>3.8720275024303349E-2</v>
      </c>
      <c r="ED46">
        <v>0.34531916987573685</v>
      </c>
      <c r="EE46" s="11">
        <v>-2.0512100000000002</v>
      </c>
      <c r="EF46">
        <v>-2.0682100000000001</v>
      </c>
      <c r="EG46">
        <v>21.112128947368422</v>
      </c>
      <c r="EH46" t="s">
        <v>1114</v>
      </c>
      <c r="EI46">
        <v>0</v>
      </c>
      <c r="EJ46">
        <v>0</v>
      </c>
      <c r="EK46" s="13">
        <v>45470</v>
      </c>
      <c r="EL46" s="14">
        <v>0.24</v>
      </c>
      <c r="EM46" s="14">
        <v>-2.59</v>
      </c>
      <c r="EN46" s="14">
        <v>-1.69</v>
      </c>
      <c r="EO46" s="14">
        <v>1.23</v>
      </c>
      <c r="EP46" s="14">
        <v>-1.7</v>
      </c>
    </row>
    <row r="47" spans="1:146" ht="162" customHeight="1" x14ac:dyDescent="0.25">
      <c r="A47" s="7" t="s">
        <v>667</v>
      </c>
      <c r="B47" s="7" t="s">
        <v>967</v>
      </c>
      <c r="C47" s="7" t="str">
        <f>"公司的军民两用产品业务以“导航控制和弹药信息化技术”为主，涵盖制导控制、导航控制、探测控制、环境控制、稳定控制、电台及卫星通信、电连接器等产品和技术；民用产品业务主要涉及专用车等高新技术产品研发及生产"&amp;CHAR(10)&amp;Basic_Fundamental_Information_Constructure(F47)&amp;CHAR(10)&amp;Basic_Fundamental_Information_Concatenate("军民两用产品 29.04亿 96.60%（毛利22.56%）
专用车 8516.56万 2.83%（毛利-29.57%）
其他业务 1697.29万 0.56%（毛利76.65%）")</f>
        <v>公司的军民两用产品业务以“导航控制和弹药信息化技术”为主，涵盖制导控制、导航控制、探测控制、环境控制、稳定控制、电台及卫星通信、电连接器等产品和技术；民用产品业务主要涉及专用车等高新技术产品研发及生产
市值121.830161亿, 利润27.97亿; PE103.3; 平均PE22.34; 平均PEG.47, PB4.55; ROIC6.5567%; ROE6.8867%; 股利率.4932%; 毛利22.3467%; 净利6.3867%; 上一年度营收增162%, 利润增1411.89%; 当季营收增-97.01%, 利润增-106.46%; 过往5年营收增47.35%, 利润增318.91%
Income profile:
军民两用产品 29.04亿 96.60%（毛利22.56%）
专用车 8516.56万 2.83%（毛利-29.57%）
其他业务 1697.29万 0.56%（毛利76.65%）</v>
      </c>
      <c r="D47" t="s">
        <v>246</v>
      </c>
      <c r="E47" t="s">
        <v>5</v>
      </c>
      <c r="F47">
        <v>8.11</v>
      </c>
      <c r="G47">
        <v>0.75</v>
      </c>
      <c r="H47" t="s">
        <v>2387</v>
      </c>
      <c r="I47">
        <v>12183016100</v>
      </c>
      <c r="J47">
        <v>103.3</v>
      </c>
      <c r="K47">
        <v>4.55</v>
      </c>
      <c r="L47" t="s">
        <v>1792</v>
      </c>
      <c r="M47" t="s">
        <v>1547</v>
      </c>
      <c r="N47" t="s">
        <v>2388</v>
      </c>
      <c r="O47" t="s">
        <v>1548</v>
      </c>
      <c r="P47">
        <v>-86.54</v>
      </c>
      <c r="Q47" t="s">
        <v>2389</v>
      </c>
      <c r="R47">
        <v>-49758243</v>
      </c>
      <c r="S47" s="6">
        <v>-3.0270000000000001</v>
      </c>
      <c r="T47" t="s">
        <v>1553</v>
      </c>
      <c r="U47">
        <v>1502221500</v>
      </c>
      <c r="V47">
        <v>1502221500</v>
      </c>
      <c r="W47">
        <v>1.94</v>
      </c>
      <c r="X47">
        <v>0.01</v>
      </c>
      <c r="Y47">
        <v>-74.7</v>
      </c>
      <c r="Z47" t="s">
        <v>106</v>
      </c>
      <c r="AA47" t="s">
        <v>2390</v>
      </c>
      <c r="AB47" t="s">
        <v>2391</v>
      </c>
      <c r="AC47" t="s">
        <v>2392</v>
      </c>
      <c r="AD47" t="s">
        <v>35</v>
      </c>
      <c r="AE47">
        <v>-1588954</v>
      </c>
      <c r="AF47" t="s">
        <v>102</v>
      </c>
      <c r="AG47" t="s">
        <v>2393</v>
      </c>
      <c r="AH47" t="s">
        <v>1550</v>
      </c>
      <c r="AI47" t="s">
        <v>2394</v>
      </c>
      <c r="AJ47" t="s">
        <v>1551</v>
      </c>
      <c r="AK47" t="s">
        <v>1753</v>
      </c>
      <c r="AL47" t="s">
        <v>1552</v>
      </c>
      <c r="AM47" t="s">
        <v>35</v>
      </c>
      <c r="AN47" t="s">
        <v>2395</v>
      </c>
      <c r="AO47" t="s">
        <v>35</v>
      </c>
      <c r="AP47" t="s">
        <v>768</v>
      </c>
      <c r="AQ47" t="s">
        <v>2396</v>
      </c>
      <c r="AR47" t="s">
        <v>35</v>
      </c>
      <c r="AS47" t="s">
        <v>2397</v>
      </c>
      <c r="AT47" t="s">
        <v>35</v>
      </c>
      <c r="AU47" t="s">
        <v>2398</v>
      </c>
      <c r="AV47" t="s">
        <v>2399</v>
      </c>
      <c r="AW47" t="s">
        <v>2400</v>
      </c>
      <c r="AX47" t="s">
        <v>1039</v>
      </c>
      <c r="AY47" t="s">
        <v>864</v>
      </c>
      <c r="AZ47" t="s">
        <v>496</v>
      </c>
      <c r="BA47" t="s">
        <v>247</v>
      </c>
      <c r="BB47" t="s">
        <v>506</v>
      </c>
      <c r="BC47" t="s">
        <v>163</v>
      </c>
      <c r="BD47" t="s">
        <v>582</v>
      </c>
      <c r="BE47" t="s">
        <v>504</v>
      </c>
      <c r="BF47" t="s">
        <v>248</v>
      </c>
      <c r="BG47" t="s">
        <v>508</v>
      </c>
      <c r="BH47" t="s">
        <v>1549</v>
      </c>
      <c r="BI47" t="s">
        <v>2401</v>
      </c>
      <c r="BJ47" t="s">
        <v>1039</v>
      </c>
      <c r="BK47" t="s">
        <v>214</v>
      </c>
      <c r="BL47" t="s">
        <v>426</v>
      </c>
      <c r="BM47" t="s">
        <v>163</v>
      </c>
      <c r="BN47">
        <v>5.94</v>
      </c>
      <c r="BO47">
        <v>7.34</v>
      </c>
      <c r="BP47">
        <v>6.39</v>
      </c>
      <c r="BQ47">
        <v>7.12</v>
      </c>
      <c r="BR47">
        <v>7.68</v>
      </c>
      <c r="BS47">
        <v>5.86</v>
      </c>
      <c r="BT47" t="s">
        <v>950</v>
      </c>
      <c r="BU47" t="s">
        <v>823</v>
      </c>
      <c r="BV47">
        <v>24.8</v>
      </c>
      <c r="BW47">
        <v>21.59</v>
      </c>
      <c r="BX47">
        <v>20.65</v>
      </c>
      <c r="BY47">
        <v>7.02</v>
      </c>
      <c r="BZ47">
        <v>6.69</v>
      </c>
      <c r="CA47">
        <v>5.45</v>
      </c>
      <c r="CB47">
        <v>-5.92</v>
      </c>
      <c r="CC47">
        <v>-10.09</v>
      </c>
      <c r="CD47" t="s">
        <v>2402</v>
      </c>
      <c r="CE47" t="s">
        <v>2403</v>
      </c>
      <c r="CF47" s="8">
        <v>-0.97011140684410646</v>
      </c>
      <c r="CG47" s="9">
        <v>-1.0646210948051948</v>
      </c>
      <c r="CH47" s="8">
        <v>1.6199531555175781</v>
      </c>
      <c r="CI47" s="8">
        <v>-3.8326635956764221E-2</v>
      </c>
      <c r="CJ47" s="8">
        <v>0.32801058888435364</v>
      </c>
      <c r="CK47" s="8">
        <v>0.31094646453857422</v>
      </c>
      <c r="CL47" s="8">
        <v>0.14707353711128235</v>
      </c>
      <c r="CM47" s="9">
        <v>14.118919372558594</v>
      </c>
      <c r="CN47" s="9">
        <v>0.38059702515602112</v>
      </c>
      <c r="CO47" s="9">
        <v>1.1440205574035645</v>
      </c>
      <c r="CP47" s="9">
        <v>0.40141040086746216</v>
      </c>
      <c r="CQ47" s="9">
        <v>-9.9618829786777496E-2</v>
      </c>
      <c r="CR47">
        <v>22.336202270670061</v>
      </c>
      <c r="CS47">
        <v>0.47169419455703226</v>
      </c>
      <c r="CT47">
        <v>0.49321824907521583</v>
      </c>
      <c r="CU47" s="8">
        <v>0.47353142201900483</v>
      </c>
      <c r="CV47" s="9">
        <v>3.1890657052397726</v>
      </c>
      <c r="CW47">
        <v>0.06</v>
      </c>
      <c r="CX47">
        <v>3.2331390287787012</v>
      </c>
      <c r="CY47">
        <v>3888176780.5539207</v>
      </c>
      <c r="CZ47">
        <v>0.47353142201900483</v>
      </c>
      <c r="DA47">
        <v>0.77523557969332968</v>
      </c>
      <c r="DB47">
        <v>16215736776.3911</v>
      </c>
      <c r="DC47">
        <v>0.44985485091805455</v>
      </c>
      <c r="DD47">
        <v>0.24079471016879944</v>
      </c>
      <c r="DE47">
        <v>52206363217.811531</v>
      </c>
      <c r="DF47">
        <v>0.41670765137672428</v>
      </c>
      <c r="DG47">
        <v>8.0758692159619658E-2</v>
      </c>
      <c r="DH47">
        <v>155661462114.23746</v>
      </c>
      <c r="DI47">
        <v>0.37882513761520387</v>
      </c>
      <c r="DJ47">
        <v>9.6853106419108707E-3</v>
      </c>
      <c r="DK47">
        <v>1297946608506.4868</v>
      </c>
      <c r="DL47">
        <v>0.33147199541330336</v>
      </c>
      <c r="DM47">
        <v>2797000000</v>
      </c>
      <c r="DN47">
        <v>0.47353142201900483</v>
      </c>
      <c r="DO47">
        <v>12571016100</v>
      </c>
      <c r="DP47">
        <v>2340783500</v>
      </c>
      <c r="DQ47">
        <v>3179</v>
      </c>
      <c r="DR47">
        <v>-1.4436428288631113</v>
      </c>
      <c r="DS47">
        <v>-4.2536868000449672</v>
      </c>
      <c r="DT47" s="10">
        <v>0.14333333333333331</v>
      </c>
      <c r="DU47">
        <v>-6.5000000000000016E-2</v>
      </c>
      <c r="DV47">
        <v>7.8333333333333297E-2</v>
      </c>
      <c r="DW47">
        <v>-8.5867195242814667</v>
      </c>
      <c r="DX47">
        <v>0.26327637088733813</v>
      </c>
      <c r="DY47">
        <v>-8.0547270679537206</v>
      </c>
      <c r="DZ47">
        <v>2281</v>
      </c>
      <c r="EA47">
        <v>-8.0302980186381756</v>
      </c>
      <c r="EB47">
        <v>8</v>
      </c>
      <c r="EC47">
        <v>6.2278565444576592E-2</v>
      </c>
      <c r="ED47">
        <v>0.6676778357918588</v>
      </c>
      <c r="EE47" s="11">
        <v>-3.0049999999999999</v>
      </c>
      <c r="EF47">
        <v>-3.00251</v>
      </c>
      <c r="EG47">
        <v>17.093276370887338</v>
      </c>
      <c r="EH47" t="s">
        <v>1161</v>
      </c>
      <c r="EI47">
        <v>0</v>
      </c>
      <c r="EJ47">
        <v>0</v>
      </c>
      <c r="EK47" s="13">
        <v>45470</v>
      </c>
      <c r="EL47" s="14">
        <v>0</v>
      </c>
      <c r="EM47" s="14">
        <v>-3.32</v>
      </c>
      <c r="EN47" s="14">
        <v>0.76</v>
      </c>
      <c r="EO47" s="14">
        <v>1.1399999999999999</v>
      </c>
      <c r="EP47" s="14">
        <v>-0.75</v>
      </c>
    </row>
    <row r="48" spans="1:146" ht="96" x14ac:dyDescent="0.25">
      <c r="A48" s="7"/>
      <c r="B48" s="7"/>
      <c r="C48" s="7" t="str">
        <f>""&amp;CHAR(10)&amp;Basic_Fundamental_Information_Constructure(F48)&amp;CHAR(10)&amp;Basic_Fundamental_Information_Concatenate("")</f>
        <v xml:space="preserve">
市值385.46319亿, 利润7509.68万; PE427.8; 平均PE72.65; 平均PEG12.71, PB2.18; ROIC.0833%; ROE1.7767%; 股利率.0403%; 毛利7.9067%; 净利2.2967%; 上一年度营收增51.62%, 利润增-89.08%; 当季营收增-25.07%, 利润增44.04%; 过往5年营收增5.72%, 利润增255.46%
Income profile:
</v>
      </c>
      <c r="D48" t="s">
        <v>254</v>
      </c>
      <c r="E48" t="s">
        <v>32</v>
      </c>
      <c r="F48">
        <v>27.27</v>
      </c>
      <c r="G48">
        <v>0.18</v>
      </c>
      <c r="H48" t="s">
        <v>2404</v>
      </c>
      <c r="I48">
        <v>38546319000</v>
      </c>
      <c r="J48">
        <v>427.8</v>
      </c>
      <c r="K48">
        <v>2.1800000000000002</v>
      </c>
      <c r="L48" t="s">
        <v>1792</v>
      </c>
      <c r="M48" t="s">
        <v>1556</v>
      </c>
      <c r="N48" t="s">
        <v>2405</v>
      </c>
      <c r="O48" t="s">
        <v>1557</v>
      </c>
      <c r="P48">
        <v>47.82</v>
      </c>
      <c r="Q48" t="s">
        <v>2406</v>
      </c>
      <c r="R48">
        <v>15373902</v>
      </c>
      <c r="S48" s="6">
        <v>1.577</v>
      </c>
      <c r="T48" t="s">
        <v>2407</v>
      </c>
      <c r="U48">
        <v>821435180</v>
      </c>
      <c r="V48">
        <v>1413506400</v>
      </c>
      <c r="W48">
        <v>2.4300000000000002</v>
      </c>
      <c r="X48">
        <v>0.06</v>
      </c>
      <c r="Y48">
        <v>0.88</v>
      </c>
      <c r="Z48" t="s">
        <v>2408</v>
      </c>
      <c r="AA48" t="s">
        <v>2409</v>
      </c>
      <c r="AB48" t="s">
        <v>2410</v>
      </c>
      <c r="AC48" t="s">
        <v>582</v>
      </c>
      <c r="AD48" t="s">
        <v>35</v>
      </c>
      <c r="AE48">
        <v>-84189144</v>
      </c>
      <c r="AF48" t="s">
        <v>1560</v>
      </c>
      <c r="AG48" t="s">
        <v>2411</v>
      </c>
      <c r="AH48" t="s">
        <v>1561</v>
      </c>
      <c r="AI48" t="s">
        <v>2412</v>
      </c>
      <c r="AJ48" t="s">
        <v>1562</v>
      </c>
      <c r="AK48" t="s">
        <v>2413</v>
      </c>
      <c r="AL48" t="s">
        <v>1563</v>
      </c>
      <c r="AM48" t="s">
        <v>35</v>
      </c>
      <c r="AN48" t="s">
        <v>1727</v>
      </c>
      <c r="AO48" t="s">
        <v>847</v>
      </c>
      <c r="AP48" t="s">
        <v>2414</v>
      </c>
      <c r="AQ48" t="s">
        <v>2384</v>
      </c>
      <c r="AR48" t="s">
        <v>35</v>
      </c>
      <c r="AS48" t="s">
        <v>2415</v>
      </c>
      <c r="AT48" t="s">
        <v>1564</v>
      </c>
      <c r="AU48" t="s">
        <v>2416</v>
      </c>
      <c r="AV48" t="s">
        <v>2417</v>
      </c>
      <c r="AW48" t="s">
        <v>1162</v>
      </c>
      <c r="AX48" t="s">
        <v>1040</v>
      </c>
      <c r="AY48" t="s">
        <v>866</v>
      </c>
      <c r="AZ48" t="s">
        <v>511</v>
      </c>
      <c r="BA48" t="s">
        <v>255</v>
      </c>
      <c r="BB48" t="s">
        <v>513</v>
      </c>
      <c r="BC48" t="s">
        <v>448</v>
      </c>
      <c r="BD48" t="s">
        <v>707</v>
      </c>
      <c r="BE48" t="s">
        <v>512</v>
      </c>
      <c r="BF48" t="s">
        <v>256</v>
      </c>
      <c r="BG48" t="s">
        <v>514</v>
      </c>
      <c r="BH48" t="s">
        <v>1558</v>
      </c>
      <c r="BI48" t="s">
        <v>2418</v>
      </c>
      <c r="BJ48" t="s">
        <v>1040</v>
      </c>
      <c r="BK48" t="s">
        <v>1559</v>
      </c>
      <c r="BL48" t="s">
        <v>2419</v>
      </c>
      <c r="BM48" t="s">
        <v>448</v>
      </c>
      <c r="BN48">
        <v>-1.39</v>
      </c>
      <c r="BO48">
        <v>1.67</v>
      </c>
      <c r="BP48">
        <v>-0.03</v>
      </c>
      <c r="BQ48">
        <v>0.15</v>
      </c>
      <c r="BR48">
        <v>4.6500000000000004</v>
      </c>
      <c r="BS48">
        <v>0.53</v>
      </c>
      <c r="BT48" t="s">
        <v>1565</v>
      </c>
      <c r="BU48" t="s">
        <v>846</v>
      </c>
      <c r="BV48">
        <v>6.63</v>
      </c>
      <c r="BW48">
        <v>6.86</v>
      </c>
      <c r="BX48">
        <v>10.23</v>
      </c>
      <c r="BY48">
        <v>0.45</v>
      </c>
      <c r="BZ48">
        <v>5.55</v>
      </c>
      <c r="CA48">
        <v>0.89</v>
      </c>
      <c r="CB48">
        <v>-2.2599999999999998</v>
      </c>
      <c r="CC48">
        <v>-0.28999999999999998</v>
      </c>
      <c r="CD48" t="s">
        <v>2420</v>
      </c>
      <c r="CE48" t="s">
        <v>373</v>
      </c>
      <c r="CF48" s="8">
        <v>-0.25066737853710624</v>
      </c>
      <c r="CG48" s="9">
        <v>0.44040755904921625</v>
      </c>
      <c r="CH48" s="8">
        <v>0.51621723175048828</v>
      </c>
      <c r="CI48" s="8">
        <v>9.6213094890117645E-2</v>
      </c>
      <c r="CJ48" s="8">
        <v>5.513438954949379E-3</v>
      </c>
      <c r="CK48" s="8">
        <v>-0.46823027729988098</v>
      </c>
      <c r="CL48" s="8">
        <v>0.13609862327575684</v>
      </c>
      <c r="CM48" s="9">
        <v>-0.89084762334823608</v>
      </c>
      <c r="CN48" s="9">
        <v>7.6663627624511719</v>
      </c>
      <c r="CO48" s="9">
        <v>-0.97832131385803223</v>
      </c>
      <c r="CP48" s="9">
        <v>5.6824812889099121</v>
      </c>
      <c r="CQ48" s="9">
        <v>1.2932047843933105</v>
      </c>
      <c r="CR48">
        <v>72.649304808863192</v>
      </c>
      <c r="CS48">
        <v>12.709276805910729</v>
      </c>
      <c r="CT48">
        <v>4.0337367070040341E-2</v>
      </c>
      <c r="CU48" s="8">
        <v>5.7162422314286233E-2</v>
      </c>
      <c r="CV48" s="9">
        <v>2.5545759797096252</v>
      </c>
      <c r="CW48">
        <v>0.06</v>
      </c>
      <c r="CX48">
        <v>652.55113527997514</v>
      </c>
      <c r="CY48">
        <v>74895768.864199504</v>
      </c>
      <c r="CZ48">
        <v>5.7162422314286233E-2</v>
      </c>
      <c r="DA48">
        <v>219.28287605478778</v>
      </c>
      <c r="DB48">
        <v>222877955.08386624</v>
      </c>
      <c r="DC48">
        <v>5.4304301198571922E-2</v>
      </c>
      <c r="DD48">
        <v>111.99926329250758</v>
      </c>
      <c r="DE48">
        <v>436371789.98542112</v>
      </c>
      <c r="DF48">
        <v>5.0302931636571888E-2</v>
      </c>
      <c r="DG48">
        <v>70.064194491204063</v>
      </c>
      <c r="DH48">
        <v>697550572.79842997</v>
      </c>
      <c r="DI48">
        <v>4.5729937851428988E-2</v>
      </c>
      <c r="DJ48">
        <v>39.501077890692294</v>
      </c>
      <c r="DK48">
        <v>1237265452.2300036</v>
      </c>
      <c r="DL48">
        <v>4.0013695620000359E-2</v>
      </c>
      <c r="DM48">
        <v>75096800</v>
      </c>
      <c r="DN48">
        <v>5.7162422314286233E-2</v>
      </c>
      <c r="DO48">
        <v>48873319000</v>
      </c>
      <c r="DP48">
        <v>3383508000</v>
      </c>
      <c r="DQ48">
        <v>3375</v>
      </c>
      <c r="DR48">
        <v>-0.3078298008513925</v>
      </c>
      <c r="DS48">
        <v>-2.114168420660409</v>
      </c>
      <c r="DT48" s="10">
        <v>-0.38999999999999996</v>
      </c>
      <c r="DU48">
        <v>0.5233333333333331</v>
      </c>
      <c r="DV48">
        <v>0.13333333333333314</v>
      </c>
      <c r="DW48">
        <v>-2.8999999999999998E-3</v>
      </c>
      <c r="DX48">
        <v>0.31139901639344331</v>
      </c>
      <c r="DY48">
        <v>-3.5205714754098357E-4</v>
      </c>
      <c r="DZ48">
        <v>4063</v>
      </c>
      <c r="EA48">
        <v>-7.2133822597927555E-5</v>
      </c>
      <c r="EB48">
        <v>0</v>
      </c>
      <c r="EC48">
        <v>2.6194929149241913E-2</v>
      </c>
      <c r="ED48">
        <v>0.21577546447614246</v>
      </c>
      <c r="EE48" s="11">
        <v>1.0617000000000001</v>
      </c>
      <c r="EF48">
        <v>1.0322</v>
      </c>
      <c r="EG48">
        <v>19.121399016393443</v>
      </c>
      <c r="EH48" t="s">
        <v>738</v>
      </c>
      <c r="EI48">
        <v>0</v>
      </c>
      <c r="EJ48">
        <v>0</v>
      </c>
      <c r="EK48" s="13">
        <v>45470</v>
      </c>
      <c r="EL48" s="14">
        <v>-1.51</v>
      </c>
      <c r="EM48" s="14">
        <v>-3.45</v>
      </c>
      <c r="EN48" s="14">
        <v>9.92</v>
      </c>
      <c r="EO48" s="14">
        <v>-2.17</v>
      </c>
      <c r="EP48" s="14">
        <v>-2.95</v>
      </c>
    </row>
    <row r="49" spans="1:146" ht="146.5" customHeight="1" x14ac:dyDescent="0.25">
      <c r="A49" s="7" t="s">
        <v>927</v>
      </c>
      <c r="B49" s="7"/>
      <c r="C49" s="7" t="str">
        <f>"公司主营业务为航空产品制造，主要产品包括航空防务装备和民用航空产品，核心产品为航空防务装备。公司是集科研、生产、试验、试飞为一体的大型现代化飞机制造企业，是我国航空防务装备的主要研制基地"&amp;CHAR(10)&amp;Basic_Fundamental_Information_Constructure(C49)&amp;CHAR(10)&amp;Basic_Fundamental_Information_Concatenate("航空产品 336.85亿 98.82% 99.70% 9.85%
其他业务 2.93亿 0.86% -0.04% -0.44%
其他 1.10亿 0.32% 0.34% 10.29%")</f>
        <v>公司主营业务为航空产品制造，主要产品包括航空防务装备和民用航空产品，核心产品为航空防务装备。公司是集科研、生产、试验、试飞为一体的大型现代化飞机制造企业，是我国航空防务装备的主要研制基地
市值1153.26025亿, 利润30.07亿; PE37.43; 平均PE68.33; 平均PEG3.76, PB7.29; ROIC12.0667%; ROE14.92%; 股利率.9558%; 毛利10.1867%; 净利5.7633%; 上一年度营收增11.18%, 利润增30.46%; 当季营收增3.47%, 利润增11.55%; 过往5年营收增18.19%, 利润增33.5%
Income profile:
航空产品 336.85亿 98.82% 99.70% 9.85%
其他业务 2.93亿 0.86% -0.04% -0.44%
其他 1.10亿 0.32% 0.34% 10.29%</v>
      </c>
      <c r="D49" t="s">
        <v>257</v>
      </c>
      <c r="E49" t="s">
        <v>10</v>
      </c>
      <c r="F49">
        <v>40.15</v>
      </c>
      <c r="G49">
        <v>0.17</v>
      </c>
      <c r="H49" t="s">
        <v>2421</v>
      </c>
      <c r="I49">
        <v>110641335000</v>
      </c>
      <c r="J49">
        <v>35.909999999999997</v>
      </c>
      <c r="K49">
        <v>6.99</v>
      </c>
      <c r="L49" t="s">
        <v>1792</v>
      </c>
      <c r="M49" t="s">
        <v>1566</v>
      </c>
      <c r="N49" t="s">
        <v>2422</v>
      </c>
      <c r="O49" t="s">
        <v>1567</v>
      </c>
      <c r="P49">
        <v>3.47</v>
      </c>
      <c r="Q49" t="s">
        <v>2423</v>
      </c>
      <c r="R49">
        <v>716118940</v>
      </c>
      <c r="S49" s="6">
        <v>0.1158</v>
      </c>
      <c r="T49" t="s">
        <v>2424</v>
      </c>
      <c r="U49">
        <v>2744736800</v>
      </c>
      <c r="V49">
        <v>2755699500</v>
      </c>
      <c r="W49">
        <v>2.9</v>
      </c>
      <c r="X49">
        <v>0.18</v>
      </c>
      <c r="Y49">
        <v>7.52</v>
      </c>
      <c r="Z49" t="s">
        <v>2425</v>
      </c>
      <c r="AA49" t="s">
        <v>2426</v>
      </c>
      <c r="AB49" t="s">
        <v>2427</v>
      </c>
      <c r="AC49" t="s">
        <v>70</v>
      </c>
      <c r="AD49" t="s">
        <v>35</v>
      </c>
      <c r="AE49">
        <v>-46328616</v>
      </c>
      <c r="AF49" t="s">
        <v>1570</v>
      </c>
      <c r="AG49" t="s">
        <v>2428</v>
      </c>
      <c r="AH49" t="s">
        <v>1571</v>
      </c>
      <c r="AI49" t="s">
        <v>2429</v>
      </c>
      <c r="AJ49" t="s">
        <v>1572</v>
      </c>
      <c r="AK49" t="s">
        <v>2430</v>
      </c>
      <c r="AL49" t="s">
        <v>1573</v>
      </c>
      <c r="AM49" t="s">
        <v>35</v>
      </c>
      <c r="AN49" t="s">
        <v>2431</v>
      </c>
      <c r="AO49" t="s">
        <v>193</v>
      </c>
      <c r="AP49" t="s">
        <v>2432</v>
      </c>
      <c r="AQ49" t="s">
        <v>2433</v>
      </c>
      <c r="AR49" t="s">
        <v>1418</v>
      </c>
      <c r="AS49" t="s">
        <v>2434</v>
      </c>
      <c r="AT49" t="s">
        <v>35</v>
      </c>
      <c r="AU49" t="s">
        <v>2435</v>
      </c>
      <c r="AV49" t="s">
        <v>1761</v>
      </c>
      <c r="AW49" t="s">
        <v>2436</v>
      </c>
      <c r="AX49" t="s">
        <v>1041</v>
      </c>
      <c r="AY49" t="s">
        <v>1042</v>
      </c>
      <c r="AZ49" t="s">
        <v>515</v>
      </c>
      <c r="BA49" t="s">
        <v>258</v>
      </c>
      <c r="BB49" t="s">
        <v>518</v>
      </c>
      <c r="BC49" t="s">
        <v>977</v>
      </c>
      <c r="BD49" t="s">
        <v>1006</v>
      </c>
      <c r="BE49" t="s">
        <v>516</v>
      </c>
      <c r="BF49" t="s">
        <v>259</v>
      </c>
      <c r="BG49" t="s">
        <v>519</v>
      </c>
      <c r="BH49" t="s">
        <v>1568</v>
      </c>
      <c r="BI49" t="s">
        <v>2437</v>
      </c>
      <c r="BJ49" t="s">
        <v>1041</v>
      </c>
      <c r="BK49" t="s">
        <v>1569</v>
      </c>
      <c r="BL49" t="s">
        <v>638</v>
      </c>
      <c r="BM49" t="s">
        <v>977</v>
      </c>
      <c r="BN49">
        <v>13.89</v>
      </c>
      <c r="BO49">
        <v>15.36</v>
      </c>
      <c r="BP49">
        <v>12.05</v>
      </c>
      <c r="BQ49">
        <v>16.86</v>
      </c>
      <c r="BR49">
        <v>18.350000000000001</v>
      </c>
      <c r="BS49">
        <v>15.42</v>
      </c>
      <c r="BT49" t="s">
        <v>1574</v>
      </c>
      <c r="BU49" t="s">
        <v>733</v>
      </c>
      <c r="BV49">
        <v>10.95</v>
      </c>
      <c r="BW49">
        <v>9.9499999999999993</v>
      </c>
      <c r="BX49">
        <v>9.76</v>
      </c>
      <c r="BY49">
        <v>6.51</v>
      </c>
      <c r="BZ49">
        <v>5.56</v>
      </c>
      <c r="CA49">
        <v>4.9800000000000004</v>
      </c>
      <c r="CB49">
        <v>0.12</v>
      </c>
      <c r="CC49">
        <v>2.82</v>
      </c>
      <c r="CD49" t="s">
        <v>2438</v>
      </c>
      <c r="CE49" t="s">
        <v>98</v>
      </c>
      <c r="CF49" s="8">
        <v>1.2602380952380952</v>
      </c>
      <c r="CG49" s="9">
        <v>1.7228857034220533</v>
      </c>
      <c r="CH49" s="8">
        <v>-0.58000385761260986</v>
      </c>
      <c r="CI49" s="8">
        <v>0.199273481965065</v>
      </c>
      <c r="CJ49" s="8">
        <v>0.26980525255203247</v>
      </c>
      <c r="CK49" s="8">
        <v>0.14961493015289307</v>
      </c>
      <c r="CL49" s="8">
        <v>0.17914751172065735</v>
      </c>
      <c r="CM49" s="9">
        <v>-0.44555312395095825</v>
      </c>
      <c r="CN49" s="9">
        <v>0.34559252858161926</v>
      </c>
      <c r="CO49" s="9">
        <v>0.15743239223957062</v>
      </c>
      <c r="CP49" s="9">
        <v>0.68564921617507935</v>
      </c>
      <c r="CQ49" s="9">
        <v>0.18169583380222321</v>
      </c>
      <c r="CR49">
        <v>79.057759914255087</v>
      </c>
      <c r="CS49">
        <v>18.146055129059352</v>
      </c>
      <c r="CT49">
        <v>0.99626400996264008</v>
      </c>
      <c r="CU49" s="8">
        <v>4.3567463755607605E-2</v>
      </c>
      <c r="CV49" s="9">
        <v>0.18496336936950683</v>
      </c>
      <c r="CW49">
        <v>0.06</v>
      </c>
      <c r="CX49">
        <v>105.56398654796443</v>
      </c>
      <c r="CY49">
        <v>1258187942.1506286</v>
      </c>
      <c r="CZ49">
        <v>4.3567463755607605E-2</v>
      </c>
      <c r="DA49">
        <v>35.888016420675775</v>
      </c>
      <c r="DB49">
        <v>3700938314.4252086</v>
      </c>
      <c r="DC49">
        <v>4.1389090567827226E-2</v>
      </c>
      <c r="DD49">
        <v>18.607677281573416</v>
      </c>
      <c r="DE49">
        <v>7137878252.6246147</v>
      </c>
      <c r="DF49">
        <v>3.8339368104934692E-2</v>
      </c>
      <c r="DG49">
        <v>11.831660448336716</v>
      </c>
      <c r="DH49">
        <v>11225756146.397154</v>
      </c>
      <c r="DI49">
        <v>3.4853971004486083E-2</v>
      </c>
      <c r="DJ49">
        <v>6.8973562151719907</v>
      </c>
      <c r="DK49">
        <v>19256557274.487244</v>
      </c>
      <c r="DL49">
        <v>3.0497224628925321E-2</v>
      </c>
      <c r="DM49">
        <v>1278000000</v>
      </c>
      <c r="DN49">
        <v>4.3567463755607605E-2</v>
      </c>
      <c r="DO49">
        <v>132819335000</v>
      </c>
      <c r="DP49">
        <v>11244167999.999996</v>
      </c>
      <c r="DQ49">
        <v>3442</v>
      </c>
      <c r="DR49">
        <v>1.2166706314824876</v>
      </c>
      <c r="DS49">
        <v>1.5379223340525465</v>
      </c>
      <c r="DT49" s="10">
        <v>-0.22333333333333338</v>
      </c>
      <c r="DU49">
        <v>0.66999999999999993</v>
      </c>
      <c r="DV49">
        <v>0.44666666666666655</v>
      </c>
      <c r="DW49">
        <v>1.0282</v>
      </c>
      <c r="DX49">
        <v>0.33732828947368559</v>
      </c>
      <c r="DY49">
        <v>1.0044366577631578</v>
      </c>
      <c r="DZ49">
        <v>3555</v>
      </c>
      <c r="EA49">
        <v>1.001350098399552</v>
      </c>
      <c r="EB49">
        <v>1</v>
      </c>
      <c r="EC49">
        <v>1.7355956264462073E-2</v>
      </c>
      <c r="ED49">
        <v>0.1103168179259023</v>
      </c>
      <c r="EE49" s="11">
        <v>2.0497000000000001</v>
      </c>
      <c r="EF49">
        <v>2.0278</v>
      </c>
      <c r="EG49">
        <v>18.157328289473686</v>
      </c>
      <c r="EH49" t="s">
        <v>1004</v>
      </c>
      <c r="EI49">
        <v>0</v>
      </c>
      <c r="EJ49">
        <v>0</v>
      </c>
      <c r="EK49" s="13">
        <v>45470</v>
      </c>
      <c r="EL49" s="14">
        <v>3.57</v>
      </c>
      <c r="EM49" s="14">
        <v>0.77</v>
      </c>
      <c r="EN49" s="14">
        <v>0</v>
      </c>
      <c r="EO49" s="14">
        <v>4.18</v>
      </c>
      <c r="EP49" s="14">
        <v>-2.19</v>
      </c>
    </row>
    <row r="50" spans="1:146" ht="96" x14ac:dyDescent="0.25">
      <c r="A50" s="7"/>
      <c r="B50" s="7"/>
      <c r="C50" s="7" t="str">
        <f>""&amp;CHAR(10)&amp;Basic_Fundamental_Information_Constructure(F50)&amp;CHAR(10)&amp;Basic_Fundamental_Information_Concatenate("")</f>
        <v xml:space="preserve">
市值130.968996亿, 利润13.29亿; PE44.11; 平均PE16.97; 平均PEG.5, PB1.62; ROIC6.44%; ROE6.9833%; 股利率.7108%; 毛利32.6767%; 净利13.3733%; 上一年度营收增146.44%, 利润增127.18%; 当季营收增-84.7%, 利润增-98.56%; 过往5年营收增33.74%, 利润增32.33%
Income profile:
</v>
      </c>
      <c r="D50" t="s">
        <v>261</v>
      </c>
      <c r="E50" t="s">
        <v>1107</v>
      </c>
      <c r="F50">
        <v>18.43</v>
      </c>
      <c r="G50">
        <v>1.32</v>
      </c>
      <c r="H50" t="s">
        <v>2439</v>
      </c>
      <c r="I50">
        <v>13096899600</v>
      </c>
      <c r="J50">
        <v>44.11</v>
      </c>
      <c r="K50">
        <v>1.62</v>
      </c>
      <c r="L50" t="s">
        <v>1792</v>
      </c>
      <c r="M50" t="s">
        <v>1116</v>
      </c>
      <c r="N50" t="s">
        <v>2440</v>
      </c>
      <c r="O50" t="s">
        <v>941</v>
      </c>
      <c r="P50">
        <v>-17.97</v>
      </c>
      <c r="Q50" t="s">
        <v>1580</v>
      </c>
      <c r="R50">
        <v>3910202</v>
      </c>
      <c r="S50" s="6">
        <v>-0.74850000000000005</v>
      </c>
      <c r="T50" t="s">
        <v>1111</v>
      </c>
      <c r="U50">
        <v>710629390</v>
      </c>
      <c r="V50">
        <v>710629390</v>
      </c>
      <c r="W50">
        <v>1.35</v>
      </c>
      <c r="X50">
        <v>0.03</v>
      </c>
      <c r="Y50">
        <v>1.37</v>
      </c>
      <c r="Z50" t="s">
        <v>1013</v>
      </c>
      <c r="AA50" t="s">
        <v>263</v>
      </c>
      <c r="AB50" t="s">
        <v>2441</v>
      </c>
      <c r="AC50" t="s">
        <v>2442</v>
      </c>
      <c r="AD50" t="s">
        <v>35</v>
      </c>
      <c r="AE50">
        <v>2189030</v>
      </c>
      <c r="AF50" t="s">
        <v>102</v>
      </c>
      <c r="AG50" t="s">
        <v>2443</v>
      </c>
      <c r="AH50" t="s">
        <v>1575</v>
      </c>
      <c r="AI50" t="s">
        <v>2444</v>
      </c>
      <c r="AJ50" t="s">
        <v>1576</v>
      </c>
      <c r="AK50" t="s">
        <v>204</v>
      </c>
      <c r="AL50" t="s">
        <v>1577</v>
      </c>
      <c r="AM50" t="s">
        <v>35</v>
      </c>
      <c r="AN50" t="s">
        <v>2445</v>
      </c>
      <c r="AO50" t="s">
        <v>1298</v>
      </c>
      <c r="AP50" t="s">
        <v>836</v>
      </c>
      <c r="AQ50" t="s">
        <v>2446</v>
      </c>
      <c r="AR50" t="s">
        <v>35</v>
      </c>
      <c r="AS50" t="s">
        <v>1151</v>
      </c>
      <c r="AT50" t="s">
        <v>855</v>
      </c>
      <c r="AU50" t="s">
        <v>2447</v>
      </c>
      <c r="AV50" t="s">
        <v>2448</v>
      </c>
      <c r="AW50" t="s">
        <v>2043</v>
      </c>
      <c r="AX50" t="s">
        <v>1043</v>
      </c>
      <c r="AY50" t="s">
        <v>867</v>
      </c>
      <c r="AZ50" t="s">
        <v>520</v>
      </c>
      <c r="BA50" t="s">
        <v>109</v>
      </c>
      <c r="BB50" t="s">
        <v>524</v>
      </c>
      <c r="BC50" t="s">
        <v>997</v>
      </c>
      <c r="BD50" t="s">
        <v>656</v>
      </c>
      <c r="BE50" t="s">
        <v>521</v>
      </c>
      <c r="BF50" t="s">
        <v>262</v>
      </c>
      <c r="BG50" t="s">
        <v>526</v>
      </c>
      <c r="BH50" t="s">
        <v>1148</v>
      </c>
      <c r="BI50" t="s">
        <v>1585</v>
      </c>
      <c r="BJ50" t="s">
        <v>1043</v>
      </c>
      <c r="BK50" t="s">
        <v>987</v>
      </c>
      <c r="BL50" t="s">
        <v>139</v>
      </c>
      <c r="BM50" t="s">
        <v>997</v>
      </c>
      <c r="BN50">
        <v>1.41</v>
      </c>
      <c r="BO50">
        <v>7.03</v>
      </c>
      <c r="BP50">
        <v>10.88</v>
      </c>
      <c r="BQ50">
        <v>1.57</v>
      </c>
      <c r="BR50">
        <v>7.56</v>
      </c>
      <c r="BS50">
        <v>11.82</v>
      </c>
      <c r="BT50" t="s">
        <v>1496</v>
      </c>
      <c r="BU50" t="s">
        <v>846</v>
      </c>
      <c r="BV50">
        <v>31.5</v>
      </c>
      <c r="BW50">
        <v>31.25</v>
      </c>
      <c r="BX50">
        <v>35.28</v>
      </c>
      <c r="BY50">
        <v>9.07</v>
      </c>
      <c r="BZ50">
        <v>13.63</v>
      </c>
      <c r="CA50">
        <v>17.420000000000002</v>
      </c>
      <c r="CB50">
        <v>-6.11</v>
      </c>
      <c r="CC50">
        <v>-10.4</v>
      </c>
      <c r="CD50" t="s">
        <v>2449</v>
      </c>
      <c r="CE50" t="s">
        <v>586</v>
      </c>
      <c r="CF50" s="8">
        <v>-0.847008547008547</v>
      </c>
      <c r="CG50" s="9">
        <v>-0.98557121033210338</v>
      </c>
      <c r="CH50" s="8">
        <v>1.4643524885177612</v>
      </c>
      <c r="CI50" s="8">
        <v>-0.11940908432006836</v>
      </c>
      <c r="CJ50" s="8">
        <v>4.3683025985956192E-2</v>
      </c>
      <c r="CK50" s="8">
        <v>0.14629364013671875</v>
      </c>
      <c r="CL50" s="8">
        <v>0.15214928984642029</v>
      </c>
      <c r="CM50" s="9">
        <v>1.2717947959899902</v>
      </c>
      <c r="CN50" s="9">
        <v>-0.31095406413078308</v>
      </c>
      <c r="CO50" s="9">
        <v>0.13502673804759979</v>
      </c>
      <c r="CP50" s="9">
        <v>0.15789473056793213</v>
      </c>
      <c r="CQ50" s="9">
        <v>0.36286920309066772</v>
      </c>
      <c r="CR50">
        <v>16.968559188080327</v>
      </c>
      <c r="CS50">
        <v>0.50290046125912602</v>
      </c>
      <c r="CT50">
        <v>0.71079761258817153</v>
      </c>
      <c r="CU50" s="8">
        <v>0.3374138720333576</v>
      </c>
      <c r="CV50" s="9">
        <v>0.32332628071308134</v>
      </c>
      <c r="CW50">
        <v>0.06</v>
      </c>
      <c r="CX50">
        <v>4.8502092083430179</v>
      </c>
      <c r="CY50">
        <v>1676814184.8418229</v>
      </c>
      <c r="CZ50">
        <v>0.3374138720333576</v>
      </c>
      <c r="DA50">
        <v>1.2934254379847967</v>
      </c>
      <c r="DB50">
        <v>6287876642.2526445</v>
      </c>
      <c r="DC50">
        <v>0.32054317843168972</v>
      </c>
      <c r="DD50">
        <v>0.47476810985103129</v>
      </c>
      <c r="DE50">
        <v>17130256711.117081</v>
      </c>
      <c r="DF50">
        <v>0.29692420738935471</v>
      </c>
      <c r="DG50">
        <v>0.19867762091282928</v>
      </c>
      <c r="DH50">
        <v>40935156977.586052</v>
      </c>
      <c r="DI50">
        <v>0.2699310976266861</v>
      </c>
      <c r="DJ50">
        <v>4.2224289188784334E-2</v>
      </c>
      <c r="DK50">
        <v>192611877103.19754</v>
      </c>
      <c r="DL50">
        <v>0.2361897104233503</v>
      </c>
      <c r="DM50">
        <v>1329000000</v>
      </c>
      <c r="DN50">
        <v>0.3374138720333576</v>
      </c>
      <c r="DO50">
        <v>8132899600</v>
      </c>
      <c r="DP50">
        <v>6439181300</v>
      </c>
      <c r="DQ50">
        <v>3445</v>
      </c>
      <c r="DR50">
        <v>-1.1844224190419046</v>
      </c>
      <c r="DS50">
        <v>-1.3088974910451847</v>
      </c>
      <c r="DT50" s="10">
        <v>-6.6666666666666714E-3</v>
      </c>
      <c r="DU50">
        <v>-4.0000000000000036E-2</v>
      </c>
      <c r="DV50">
        <v>-4.6666666666666703E-2</v>
      </c>
      <c r="DW50">
        <v>-9.5875000000000004</v>
      </c>
      <c r="DX50">
        <v>0.2661611464968151</v>
      </c>
      <c r="DY50">
        <v>-9.0564946735668794</v>
      </c>
      <c r="DZ50">
        <v>2003</v>
      </c>
      <c r="EA50">
        <v>-9.0343500882137562</v>
      </c>
      <c r="EB50">
        <v>9</v>
      </c>
      <c r="EC50">
        <v>2.1244969899148133E-2</v>
      </c>
      <c r="ED50">
        <v>0.2209309130881851</v>
      </c>
      <c r="EE50" s="11">
        <v>-3.0327999999999999</v>
      </c>
      <c r="EF50">
        <v>-3.0056099999999999</v>
      </c>
      <c r="EG50">
        <v>17.096161146496815</v>
      </c>
      <c r="EH50" t="s">
        <v>1161</v>
      </c>
      <c r="EI50">
        <v>0</v>
      </c>
      <c r="EJ50">
        <v>0</v>
      </c>
      <c r="EK50" s="13">
        <v>45470</v>
      </c>
      <c r="EL50" s="14">
        <v>-0.31</v>
      </c>
      <c r="EM50" s="14">
        <v>-1.97</v>
      </c>
      <c r="EN50" s="14">
        <v>-1.08</v>
      </c>
      <c r="EO50" s="14">
        <v>6.37</v>
      </c>
      <c r="EP50" s="14">
        <v>-3.84</v>
      </c>
    </row>
    <row r="51" spans="1:146" ht="192" x14ac:dyDescent="0.25">
      <c r="A51" s="7"/>
      <c r="B51" s="7"/>
      <c r="C51" s="7" t="str">
        <f>"公司主要从事锻铸、液压环控等业务。公司铸造业务主要为汽车、工程机械等领域配套泵、阀、减速机等液压铸件，叉车零部件、管道阀门以及航空等铸件。公司液压环控业务主要包括液压和热交换器两部分。公司铸造业务国内产品主要是飞机机身机翼结构锻件、中小型锻件，航空发动机盘轴类和环形锻件、中小型锻件，航天发动机环锻件、中小型锻件，燃汽轮机叶片，核电叶片，高铁配件，矿山刮板，汽车曲轴等产品。"&amp;CHAR(10)&amp;Basic_Fundamental_Information_Constructure(F51)&amp;CHAR(10)&amp;Basic_Fundamental_Information_Concatenate("航空锻造 82.64亿 78.13% 24.84亿 75.08% 30.06%
散热器 14.65亿 13.85% 5.13亿 15.50% 35.01%
液压产品 5.13亿 4.85% 1.93亿 5.84% 37.67%
其他业务 2.28亿 2.16% 1.11亿 3.35% 48.61%")</f>
        <v>公司主要从事锻铸、液压环控等业务。公司铸造业务主要为汽车、工程机械等领域配套泵、阀、减速机等液压铸件，叉车零部件、管道阀门以及航空等铸件。公司液压环控业务主要包括液压和热交换器两部分。公司铸造业务国内产品主要是飞机机身机翼结构锻件、中小型锻件，航空发动机盘轴类和环形锻件、中小型锻件，航天发动机环锻件、中小型锻件，燃汽轮机叶片，核电叶片，高铁配件，矿山刮板，汽车曲轴等产品。
市值277.34538亿, 利润1573.91万; PE20.11; 平均PE54.4; 平均PEG11.55, PB2.32; ROIC8.77%; ROE10.9167%; 股利率1.4371%; 毛利29.6167%; 净利12.2667%; 上一年度营收增-96.89%, 利润增-98.69%; 当季营收增3836.93%, 利润增42942.75%; 过往5年营收增-4.71%, 利润增20.54%
Income profile:
航空锻造 82.64亿 78.13% 24.84亿 75.08% 30.06%
散热器 14.65亿 13.85% 5.13亿 15.50% 35.01%
液压产品 5.13亿 4.85% 1.93亿 5.84% 37.67%
其他业务 2.28亿 2.16% 1.11亿 3.35% 48.61%</v>
      </c>
      <c r="D51" t="s">
        <v>264</v>
      </c>
      <c r="E51" t="s">
        <v>265</v>
      </c>
      <c r="F51">
        <v>18.72</v>
      </c>
      <c r="G51">
        <v>-0.9</v>
      </c>
      <c r="H51" t="s">
        <v>2450</v>
      </c>
      <c r="I51">
        <v>27734538000</v>
      </c>
      <c r="J51">
        <v>20.11</v>
      </c>
      <c r="K51">
        <v>2.3199999999999998</v>
      </c>
      <c r="L51" t="s">
        <v>1792</v>
      </c>
      <c r="M51" t="s">
        <v>1578</v>
      </c>
      <c r="N51" t="s">
        <v>2451</v>
      </c>
      <c r="O51" t="s">
        <v>1579</v>
      </c>
      <c r="P51">
        <v>13.16</v>
      </c>
      <c r="Q51" t="s">
        <v>1080</v>
      </c>
      <c r="R51">
        <v>321443230</v>
      </c>
      <c r="S51" s="6">
        <v>0.188</v>
      </c>
      <c r="T51" t="s">
        <v>2452</v>
      </c>
      <c r="U51">
        <v>1468678600</v>
      </c>
      <c r="V51">
        <v>1481545800</v>
      </c>
      <c r="W51">
        <v>2.0299999999999998</v>
      </c>
      <c r="X51">
        <v>0.1</v>
      </c>
      <c r="Y51">
        <v>12.79</v>
      </c>
      <c r="Z51" t="s">
        <v>2453</v>
      </c>
      <c r="AA51" t="s">
        <v>2454</v>
      </c>
      <c r="AB51" t="s">
        <v>2455</v>
      </c>
      <c r="AC51" t="s">
        <v>387</v>
      </c>
      <c r="AD51" t="s">
        <v>35</v>
      </c>
      <c r="AE51">
        <v>11479774</v>
      </c>
      <c r="AF51" t="s">
        <v>1581</v>
      </c>
      <c r="AG51" t="s">
        <v>2456</v>
      </c>
      <c r="AH51" t="s">
        <v>1582</v>
      </c>
      <c r="AI51" t="s">
        <v>2457</v>
      </c>
      <c r="AJ51" t="s">
        <v>1583</v>
      </c>
      <c r="AK51" t="s">
        <v>2458</v>
      </c>
      <c r="AL51" t="s">
        <v>1584</v>
      </c>
      <c r="AM51" t="s">
        <v>35</v>
      </c>
      <c r="AN51" t="s">
        <v>2459</v>
      </c>
      <c r="AO51" t="s">
        <v>2460</v>
      </c>
      <c r="AP51" t="s">
        <v>2461</v>
      </c>
      <c r="AQ51" t="s">
        <v>2462</v>
      </c>
      <c r="AR51" t="s">
        <v>35</v>
      </c>
      <c r="AS51" t="s">
        <v>2463</v>
      </c>
      <c r="AT51" t="s">
        <v>1782</v>
      </c>
      <c r="AU51" t="s">
        <v>2464</v>
      </c>
      <c r="AV51" t="s">
        <v>2465</v>
      </c>
      <c r="AW51" t="s">
        <v>2466</v>
      </c>
      <c r="AX51" t="s">
        <v>1045</v>
      </c>
      <c r="AY51" t="s">
        <v>868</v>
      </c>
      <c r="AZ51" t="s">
        <v>527</v>
      </c>
      <c r="BA51" t="s">
        <v>266</v>
      </c>
      <c r="BB51" t="s">
        <v>517</v>
      </c>
      <c r="BC51" t="s">
        <v>943</v>
      </c>
      <c r="BD51" t="s">
        <v>538</v>
      </c>
      <c r="BE51" t="s">
        <v>321</v>
      </c>
      <c r="BF51" t="s">
        <v>267</v>
      </c>
      <c r="BG51" t="s">
        <v>112</v>
      </c>
      <c r="BH51" t="s">
        <v>1580</v>
      </c>
      <c r="BI51" t="s">
        <v>2467</v>
      </c>
      <c r="BJ51" t="s">
        <v>1045</v>
      </c>
      <c r="BK51" t="s">
        <v>1111</v>
      </c>
      <c r="BL51" t="s">
        <v>2468</v>
      </c>
      <c r="BM51" t="s">
        <v>943</v>
      </c>
      <c r="BN51">
        <v>7.62</v>
      </c>
      <c r="BO51">
        <v>10.02</v>
      </c>
      <c r="BP51">
        <v>8.67</v>
      </c>
      <c r="BQ51">
        <v>9.51</v>
      </c>
      <c r="BR51">
        <v>12.19</v>
      </c>
      <c r="BS51">
        <v>11.05</v>
      </c>
      <c r="BT51" t="s">
        <v>2469</v>
      </c>
      <c r="BU51" t="s">
        <v>733</v>
      </c>
      <c r="BV51">
        <v>31.28</v>
      </c>
      <c r="BW51">
        <v>29.24</v>
      </c>
      <c r="BX51">
        <v>28.33</v>
      </c>
      <c r="BY51">
        <v>13.21</v>
      </c>
      <c r="BZ51">
        <v>12.59</v>
      </c>
      <c r="CA51">
        <v>11</v>
      </c>
      <c r="CB51">
        <v>-8.24</v>
      </c>
      <c r="CC51">
        <v>-0.75</v>
      </c>
      <c r="CD51" t="s">
        <v>230</v>
      </c>
      <c r="CE51" t="s">
        <v>644</v>
      </c>
      <c r="CF51" s="8">
        <v>38.369317801681525</v>
      </c>
      <c r="CG51" s="9">
        <v>429.42746384574178</v>
      </c>
      <c r="CH51" s="8">
        <v>-0.96887415647506714</v>
      </c>
      <c r="CI51" s="8">
        <v>0.20250293612480164</v>
      </c>
      <c r="CJ51" s="8">
        <v>0.31233200430870056</v>
      </c>
      <c r="CK51" s="8">
        <v>0.11913115531206131</v>
      </c>
      <c r="CL51" s="8">
        <v>9.9375501275062561E-2</v>
      </c>
      <c r="CM51" s="9">
        <v>-0.98688405752182007</v>
      </c>
      <c r="CN51" s="9">
        <v>0.34680134057998657</v>
      </c>
      <c r="CO51" s="9">
        <v>1.5901162624359131</v>
      </c>
      <c r="CP51" s="9">
        <v>0.25090909004211426</v>
      </c>
      <c r="CQ51" s="9">
        <v>-0.17417417466640472</v>
      </c>
      <c r="CR51">
        <v>54.403864651287194</v>
      </c>
      <c r="CS51">
        <v>11.549117620362484</v>
      </c>
      <c r="CT51">
        <v>1.4371260683760685</v>
      </c>
      <c r="CU51" s="8">
        <v>-4.7106511890888214E-2</v>
      </c>
      <c r="CV51" s="9">
        <v>0.20535369217395782</v>
      </c>
      <c r="CW51">
        <v>0.06</v>
      </c>
      <c r="CX51">
        <v>1788.9547686970666</v>
      </c>
      <c r="CY51" t="s">
        <v>2470</v>
      </c>
      <c r="CZ51">
        <v>-4.7106511890888214E-2</v>
      </c>
      <c r="DA51">
        <v>596.31825623235557</v>
      </c>
      <c r="DB51" t="s">
        <v>2471</v>
      </c>
      <c r="DC51">
        <v>-4.4751186296343802E-2</v>
      </c>
      <c r="DD51">
        <v>298.15912811617778</v>
      </c>
      <c r="DE51" t="s">
        <v>2472</v>
      </c>
      <c r="DF51">
        <v>-4.1453730463981632E-2</v>
      </c>
      <c r="DG51">
        <v>178.89547686970664</v>
      </c>
      <c r="DH51" t="s">
        <v>2473</v>
      </c>
      <c r="DI51">
        <v>-3.7685209512710573E-2</v>
      </c>
      <c r="DJ51">
        <v>89.447738434853321</v>
      </c>
      <c r="DK51" t="s">
        <v>2474</v>
      </c>
      <c r="DL51">
        <v>-3.2974558323621748E-2</v>
      </c>
      <c r="DM51">
        <v>15739100</v>
      </c>
      <c r="DN51">
        <v>-4.7106511890888214E-2</v>
      </c>
      <c r="DO51">
        <v>28156538000</v>
      </c>
      <c r="DP51">
        <v>7715894000</v>
      </c>
      <c r="DQ51">
        <v>3446</v>
      </c>
      <c r="DR51">
        <v>38.416424313572413</v>
      </c>
      <c r="DS51">
        <v>429.22211015356783</v>
      </c>
      <c r="DT51" s="10">
        <v>-0.49</v>
      </c>
      <c r="DU51">
        <v>0.32</v>
      </c>
      <c r="DV51">
        <v>-0.16999999999999998</v>
      </c>
      <c r="DW51">
        <v>-5.0910194174757279</v>
      </c>
      <c r="DX51">
        <v>0.34147265077138883</v>
      </c>
      <c r="DY51">
        <v>-5.0137869524367158</v>
      </c>
      <c r="DZ51">
        <v>3611</v>
      </c>
      <c r="EA51">
        <v>-5.0040443525836862</v>
      </c>
      <c r="EB51">
        <v>5</v>
      </c>
      <c r="EC51">
        <v>7.2896835183900485E-2</v>
      </c>
      <c r="ED51">
        <v>0.48125410635297267</v>
      </c>
      <c r="EE51" s="11">
        <v>-2.0640100000000001</v>
      </c>
      <c r="EF51">
        <v>-2.07341</v>
      </c>
      <c r="EG51">
        <v>19.151472650771389</v>
      </c>
      <c r="EH51" t="s">
        <v>1114</v>
      </c>
      <c r="EI51">
        <v>0</v>
      </c>
      <c r="EJ51">
        <v>0</v>
      </c>
      <c r="EK51" s="13">
        <v>45470</v>
      </c>
      <c r="EL51" s="14">
        <v>-2.7</v>
      </c>
      <c r="EM51" s="14">
        <v>-3.63</v>
      </c>
      <c r="EN51" s="14">
        <v>-1.2</v>
      </c>
      <c r="EO51" s="14">
        <v>1.8</v>
      </c>
      <c r="EP51" s="14">
        <v>-0.94</v>
      </c>
    </row>
    <row r="52" spans="1:146" ht="84" x14ac:dyDescent="0.25">
      <c r="A52" s="7"/>
      <c r="B52" s="7"/>
      <c r="C52" s="7" t="str">
        <f>""&amp;CHAR(10)&amp;Basic_Fundamental_Information_Constructure(F52)&amp;CHAR(10)&amp;Basic_Fundamental_Information_Concatenate("")</f>
        <v xml:space="preserve">
市值255.76382亿, 利润20.05亿; PE24.4; 平均PE33.02; 平均PEG.35, PB3.88; ROIC13.1367%; ROE14.1133%; 股利率1.2146%; 毛利32.5867%; 净利18.1667%; 上一年度营收增406.64%, 利润增162.09%; 当季营收增-78.12%, 利润增-59.33%; 过往5年营收增93.03%, 利润增57.66%
Income profile:
</v>
      </c>
      <c r="D52" t="s">
        <v>268</v>
      </c>
      <c r="E52" t="s">
        <v>27</v>
      </c>
      <c r="F52">
        <v>18.36</v>
      </c>
      <c r="G52">
        <v>0.44</v>
      </c>
      <c r="H52" t="s">
        <v>2475</v>
      </c>
      <c r="I52">
        <v>25576382000</v>
      </c>
      <c r="J52">
        <v>24.4</v>
      </c>
      <c r="K52">
        <v>3.88</v>
      </c>
      <c r="L52" t="s">
        <v>1792</v>
      </c>
      <c r="M52" t="s">
        <v>1118</v>
      </c>
      <c r="N52" t="s">
        <v>2476</v>
      </c>
      <c r="O52" t="s">
        <v>1586</v>
      </c>
      <c r="P52">
        <v>5.22</v>
      </c>
      <c r="Q52" t="s">
        <v>2477</v>
      </c>
      <c r="R52">
        <v>351024380</v>
      </c>
      <c r="S52" s="6">
        <v>4.9500000000000002E-2</v>
      </c>
      <c r="T52" t="s">
        <v>2478</v>
      </c>
      <c r="U52">
        <v>1393049100</v>
      </c>
      <c r="V52">
        <v>1393049100</v>
      </c>
      <c r="W52">
        <v>1.4</v>
      </c>
      <c r="X52">
        <v>0.14000000000000001</v>
      </c>
      <c r="Y52">
        <v>26.87</v>
      </c>
      <c r="Z52" t="s">
        <v>1785</v>
      </c>
      <c r="AA52" t="s">
        <v>2479</v>
      </c>
      <c r="AB52" t="s">
        <v>2480</v>
      </c>
      <c r="AC52" t="s">
        <v>2481</v>
      </c>
      <c r="AD52" t="s">
        <v>35</v>
      </c>
      <c r="AE52">
        <v>-9294334</v>
      </c>
      <c r="AF52" t="s">
        <v>1590</v>
      </c>
      <c r="AG52">
        <v>5502.58</v>
      </c>
      <c r="AH52" t="s">
        <v>1591</v>
      </c>
      <c r="AI52" t="s">
        <v>2482</v>
      </c>
      <c r="AJ52" t="s">
        <v>1592</v>
      </c>
      <c r="AK52" t="s">
        <v>2483</v>
      </c>
      <c r="AL52" t="s">
        <v>1593</v>
      </c>
      <c r="AM52" t="s">
        <v>35</v>
      </c>
      <c r="AN52" t="s">
        <v>267</v>
      </c>
      <c r="AO52" t="s">
        <v>2484</v>
      </c>
      <c r="AP52" t="s">
        <v>2485</v>
      </c>
      <c r="AQ52" t="s">
        <v>2486</v>
      </c>
      <c r="AR52" t="s">
        <v>2487</v>
      </c>
      <c r="AS52" t="s">
        <v>2488</v>
      </c>
      <c r="AT52" t="s">
        <v>35</v>
      </c>
      <c r="AU52" t="s">
        <v>92</v>
      </c>
      <c r="AV52" t="s">
        <v>2489</v>
      </c>
      <c r="AW52" t="s">
        <v>2490</v>
      </c>
      <c r="AX52" t="s">
        <v>1047</v>
      </c>
      <c r="AY52" t="s">
        <v>869</v>
      </c>
      <c r="AZ52" t="s">
        <v>528</v>
      </c>
      <c r="BA52" t="s">
        <v>269</v>
      </c>
      <c r="BB52" t="s">
        <v>439</v>
      </c>
      <c r="BC52" t="s">
        <v>1046</v>
      </c>
      <c r="BD52" t="s">
        <v>635</v>
      </c>
      <c r="BE52" t="s">
        <v>505</v>
      </c>
      <c r="BF52" t="s">
        <v>199</v>
      </c>
      <c r="BG52" t="s">
        <v>98</v>
      </c>
      <c r="BH52" t="s">
        <v>1589</v>
      </c>
      <c r="BI52" t="s">
        <v>2491</v>
      </c>
      <c r="BJ52" t="s">
        <v>1047</v>
      </c>
      <c r="BK52" t="s">
        <v>1130</v>
      </c>
      <c r="BL52" t="s">
        <v>409</v>
      </c>
      <c r="BM52" t="s">
        <v>1046</v>
      </c>
      <c r="BN52">
        <v>13.88</v>
      </c>
      <c r="BO52">
        <v>13.87</v>
      </c>
      <c r="BP52">
        <v>11.66</v>
      </c>
      <c r="BQ52">
        <v>14.7</v>
      </c>
      <c r="BR52">
        <v>14.9</v>
      </c>
      <c r="BS52">
        <v>12.74</v>
      </c>
      <c r="BT52" t="s">
        <v>1595</v>
      </c>
      <c r="BU52" t="s">
        <v>733</v>
      </c>
      <c r="BV52">
        <v>36.75</v>
      </c>
      <c r="BW52">
        <v>30.94</v>
      </c>
      <c r="BX52">
        <v>30.07</v>
      </c>
      <c r="BY52">
        <v>21.71</v>
      </c>
      <c r="BZ52">
        <v>17.260000000000002</v>
      </c>
      <c r="CA52">
        <v>15.53</v>
      </c>
      <c r="CB52">
        <v>-2.2400000000000002</v>
      </c>
      <c r="CC52">
        <v>-6.88</v>
      </c>
      <c r="CD52" t="s">
        <v>2492</v>
      </c>
      <c r="CE52" t="s">
        <v>2493</v>
      </c>
      <c r="CF52" s="8">
        <v>-0.78119288918424989</v>
      </c>
      <c r="CG52" s="9">
        <v>-0.59325100811123987</v>
      </c>
      <c r="CH52" s="8">
        <v>4.0663514137268066</v>
      </c>
      <c r="CI52" s="8">
        <v>0.16754205524921417</v>
      </c>
      <c r="CJ52" s="8">
        <v>0.30769231915473938</v>
      </c>
      <c r="CK52" s="8">
        <v>0.17751722037792206</v>
      </c>
      <c r="CL52" s="8">
        <v>-6.784772127866745E-2</v>
      </c>
      <c r="CM52" s="9">
        <v>1.6209150552749634</v>
      </c>
      <c r="CN52" s="9">
        <v>0.29441624879837036</v>
      </c>
      <c r="CO52" s="9">
        <v>0.37122970819473267</v>
      </c>
      <c r="CP52" s="9">
        <v>-0.21920290589332581</v>
      </c>
      <c r="CQ52" s="9">
        <v>0.81578946113586426</v>
      </c>
      <c r="CR52">
        <v>33.015983648881239</v>
      </c>
      <c r="CS52">
        <v>0.35491476612266765</v>
      </c>
      <c r="CT52">
        <v>1.2145969498910676</v>
      </c>
      <c r="CU52" s="8">
        <v>0.930251057446003</v>
      </c>
      <c r="CV52" s="9">
        <v>0.57662951350212099</v>
      </c>
      <c r="CW52">
        <v>0.06</v>
      </c>
      <c r="CX52">
        <v>5.7452412845773724</v>
      </c>
      <c r="CY52">
        <v>3651088085.0747509</v>
      </c>
      <c r="CZ52">
        <v>0.930251057446003</v>
      </c>
      <c r="DA52">
        <v>0.99188953463903906</v>
      </c>
      <c r="DB52">
        <v>21147901321.121979</v>
      </c>
      <c r="DC52">
        <v>0.88373850457370284</v>
      </c>
      <c r="DD52">
        <v>0.17809504908931148</v>
      </c>
      <c r="DE52">
        <v>117781949061.82216</v>
      </c>
      <c r="DF52">
        <v>0.81862093055248264</v>
      </c>
      <c r="DG52">
        <v>2.8398270514801986E-2</v>
      </c>
      <c r="DH52">
        <v>738649981838.38391</v>
      </c>
      <c r="DI52">
        <v>0.74420084595680247</v>
      </c>
      <c r="DJ52">
        <v>5.2948324142525714E-4</v>
      </c>
      <c r="DK52">
        <v>39616706174752.586</v>
      </c>
      <c r="DL52">
        <v>0.65117574021220204</v>
      </c>
      <c r="DM52">
        <v>2005000000</v>
      </c>
      <c r="DN52">
        <v>0.930251057446003</v>
      </c>
      <c r="DO52">
        <v>20976382000</v>
      </c>
      <c r="DP52">
        <v>4762929700</v>
      </c>
      <c r="DQ52">
        <v>3527</v>
      </c>
      <c r="DR52">
        <v>-1.7114439466302529</v>
      </c>
      <c r="DS52">
        <v>-1.169880521613361</v>
      </c>
      <c r="DT52" s="10">
        <v>0.26</v>
      </c>
      <c r="DU52">
        <v>0.48000000000000004</v>
      </c>
      <c r="DV52">
        <v>0.74</v>
      </c>
      <c r="DW52">
        <v>-2.0688</v>
      </c>
      <c r="DX52">
        <v>0.33846456043956152</v>
      </c>
      <c r="DY52">
        <v>-2.0060863617582418</v>
      </c>
      <c r="DZ52">
        <v>3656</v>
      </c>
      <c r="EA52">
        <v>-2.0017318140893314</v>
      </c>
      <c r="EB52">
        <v>2</v>
      </c>
      <c r="EC52">
        <v>2.3115552782741113E-2</v>
      </c>
      <c r="ED52">
        <v>0.26129732254232818</v>
      </c>
      <c r="EE52" s="11">
        <v>-1.0439099999999999</v>
      </c>
      <c r="EF52">
        <v>-1.0721099999999999</v>
      </c>
      <c r="EG52">
        <v>25.088464560439562</v>
      </c>
      <c r="EH52" t="s">
        <v>971</v>
      </c>
      <c r="EI52">
        <v>0</v>
      </c>
      <c r="EJ52">
        <v>0</v>
      </c>
      <c r="EK52" s="13">
        <v>45470</v>
      </c>
      <c r="EL52" s="14">
        <v>0.34</v>
      </c>
      <c r="EM52" s="14">
        <v>-4.09</v>
      </c>
      <c r="EN52" s="14">
        <v>-0.12</v>
      </c>
      <c r="EO52" s="14">
        <v>-0.41</v>
      </c>
      <c r="EP52" s="14">
        <v>-2.82</v>
      </c>
    </row>
    <row r="53" spans="1:146" ht="84" x14ac:dyDescent="0.25">
      <c r="A53" s="7"/>
      <c r="B53" s="7"/>
      <c r="C53" s="7" t="str">
        <f>""&amp;CHAR(10)&amp;Basic_Fundamental_Information_Constructure(F53)&amp;CHAR(10)&amp;Basic_Fundamental_Information_Concatenate("")</f>
        <v xml:space="preserve">
市值240.51892亿, 利润3606.72万; PE49.51; 平均PE55.7; 平均PEG3.99, PB1.18; ROIC3.69%; ROE3.9267%; 股利率.6584%; 毛利20.0033%; 净利3.54%; 上一年度营收增-96.7%, 利润增-94.12%; 当季营收增2725.19%, 利润增1469.08%; 过往5年营收增-13.95%, 利润增-12.6%
Income profile:
</v>
      </c>
      <c r="D53" t="s">
        <v>272</v>
      </c>
      <c r="E53" t="s">
        <v>25</v>
      </c>
      <c r="F53">
        <v>7.29</v>
      </c>
      <c r="G53">
        <v>-0.41</v>
      </c>
      <c r="H53" t="s">
        <v>2494</v>
      </c>
      <c r="I53">
        <v>24051892000</v>
      </c>
      <c r="J53">
        <v>49.51</v>
      </c>
      <c r="K53">
        <v>1.18</v>
      </c>
      <c r="L53" t="s">
        <v>1792</v>
      </c>
      <c r="M53" t="s">
        <v>1596</v>
      </c>
      <c r="N53" t="s">
        <v>2495</v>
      </c>
      <c r="O53" t="s">
        <v>1597</v>
      </c>
      <c r="P53">
        <v>-14.5</v>
      </c>
      <c r="Q53" t="s">
        <v>990</v>
      </c>
      <c r="R53">
        <v>143003010</v>
      </c>
      <c r="S53" s="6">
        <v>-0.21429999999999999</v>
      </c>
      <c r="T53" t="s">
        <v>2496</v>
      </c>
      <c r="U53">
        <v>3229173100</v>
      </c>
      <c r="V53">
        <v>3299299300</v>
      </c>
      <c r="W53">
        <v>1.98</v>
      </c>
      <c r="X53">
        <v>0.08</v>
      </c>
      <c r="Y53">
        <v>4.03</v>
      </c>
      <c r="Z53" t="s">
        <v>2497</v>
      </c>
      <c r="AA53" t="s">
        <v>2498</v>
      </c>
      <c r="AB53" t="s">
        <v>2499</v>
      </c>
      <c r="AC53" t="s">
        <v>1110</v>
      </c>
      <c r="AD53" t="s">
        <v>35</v>
      </c>
      <c r="AE53">
        <v>25253935</v>
      </c>
      <c r="AF53" t="s">
        <v>1599</v>
      </c>
      <c r="AG53" t="s">
        <v>2500</v>
      </c>
      <c r="AH53" t="s">
        <v>1600</v>
      </c>
      <c r="AI53" t="s">
        <v>2501</v>
      </c>
      <c r="AJ53" t="s">
        <v>1601</v>
      </c>
      <c r="AK53" t="s">
        <v>2502</v>
      </c>
      <c r="AL53" t="s">
        <v>1602</v>
      </c>
      <c r="AM53" t="s">
        <v>35</v>
      </c>
      <c r="AN53" t="s">
        <v>1221</v>
      </c>
      <c r="AO53" t="s">
        <v>2503</v>
      </c>
      <c r="AP53" t="s">
        <v>2504</v>
      </c>
      <c r="AQ53" t="s">
        <v>2505</v>
      </c>
      <c r="AR53" t="s">
        <v>35</v>
      </c>
      <c r="AS53" t="s">
        <v>2506</v>
      </c>
      <c r="AT53" t="s">
        <v>35</v>
      </c>
      <c r="AU53" t="s">
        <v>2507</v>
      </c>
      <c r="AV53" t="s">
        <v>2508</v>
      </c>
      <c r="AW53" t="s">
        <v>1096</v>
      </c>
      <c r="AX53" t="s">
        <v>1048</v>
      </c>
      <c r="AY53" t="s">
        <v>870</v>
      </c>
      <c r="AZ53" t="s">
        <v>529</v>
      </c>
      <c r="BA53" t="s">
        <v>273</v>
      </c>
      <c r="BB53" t="s">
        <v>530</v>
      </c>
      <c r="BC53" t="s">
        <v>442</v>
      </c>
      <c r="BD53" t="s">
        <v>696</v>
      </c>
      <c r="BE53" t="s">
        <v>168</v>
      </c>
      <c r="BF53" t="s">
        <v>260</v>
      </c>
      <c r="BG53" t="s">
        <v>531</v>
      </c>
      <c r="BH53" t="s">
        <v>1598</v>
      </c>
      <c r="BI53" t="s">
        <v>225</v>
      </c>
      <c r="BJ53" t="s">
        <v>1048</v>
      </c>
      <c r="BK53" t="s">
        <v>532</v>
      </c>
      <c r="BL53" t="s">
        <v>2509</v>
      </c>
      <c r="BM53" t="s">
        <v>442</v>
      </c>
      <c r="BN53">
        <v>2.57</v>
      </c>
      <c r="BO53">
        <v>3.9</v>
      </c>
      <c r="BP53">
        <v>4.5999999999999996</v>
      </c>
      <c r="BQ53">
        <v>3.06</v>
      </c>
      <c r="BR53">
        <v>4.4800000000000004</v>
      </c>
      <c r="BS53">
        <v>4.24</v>
      </c>
      <c r="BT53" t="s">
        <v>1603</v>
      </c>
      <c r="BU53" t="s">
        <v>844</v>
      </c>
      <c r="BV53">
        <v>20.32</v>
      </c>
      <c r="BW53">
        <v>19.62</v>
      </c>
      <c r="BX53">
        <v>20.07</v>
      </c>
      <c r="BY53">
        <v>3.15</v>
      </c>
      <c r="BZ53">
        <v>3.75</v>
      </c>
      <c r="CA53">
        <v>3.72</v>
      </c>
      <c r="CB53">
        <v>-6.18</v>
      </c>
      <c r="CC53">
        <v>-2.93</v>
      </c>
      <c r="CD53" t="s">
        <v>283</v>
      </c>
      <c r="CE53" t="s">
        <v>1222</v>
      </c>
      <c r="CF53" s="8">
        <v>27.251851851851853</v>
      </c>
      <c r="CG53" s="9">
        <v>14.690821611183042</v>
      </c>
      <c r="CH53" s="8">
        <v>-0.9670405387878418</v>
      </c>
      <c r="CI53" s="8">
        <v>9.3001410365104675E-2</v>
      </c>
      <c r="CJ53" s="8">
        <v>0.14133773744106293</v>
      </c>
      <c r="CK53" s="8">
        <v>2.1659854799509048E-2</v>
      </c>
      <c r="CL53" s="8">
        <v>1.3451560400426388E-2</v>
      </c>
      <c r="CM53" s="9">
        <v>-0.9411628246307373</v>
      </c>
      <c r="CN53" s="9">
        <v>0.11657559126615524</v>
      </c>
      <c r="CO53" s="9">
        <v>0.14853556454181671</v>
      </c>
      <c r="CP53" s="9">
        <v>4.3668121099472046E-2</v>
      </c>
      <c r="CQ53" s="9">
        <v>2.1881838329136372E-3</v>
      </c>
      <c r="CR53">
        <v>55.695719508934388</v>
      </c>
      <c r="CS53">
        <v>3.9920097365590879</v>
      </c>
      <c r="CT53">
        <v>0.65843621399176955</v>
      </c>
      <c r="CU53" s="8">
        <v>-0.13951799515634775</v>
      </c>
      <c r="CV53" s="9">
        <v>-0.12603907277807594</v>
      </c>
      <c r="CW53">
        <v>0.06</v>
      </c>
      <c r="CX53">
        <v>639.30363321799302</v>
      </c>
      <c r="CY53" t="s">
        <v>2510</v>
      </c>
      <c r="CZ53">
        <v>-0.13951799515634775</v>
      </c>
      <c r="DA53">
        <v>213.10121107266437</v>
      </c>
      <c r="DB53" t="s">
        <v>2511</v>
      </c>
      <c r="DC53">
        <v>-0.13254209539853035</v>
      </c>
      <c r="DD53">
        <v>106.55060553633218</v>
      </c>
      <c r="DE53" t="s">
        <v>2512</v>
      </c>
      <c r="DF53">
        <v>-0.12277583573758602</v>
      </c>
      <c r="DG53">
        <v>63.930363321799305</v>
      </c>
      <c r="DH53" t="s">
        <v>2513</v>
      </c>
      <c r="DI53">
        <v>-0.1116143961250782</v>
      </c>
      <c r="DJ53">
        <v>31.965181660899653</v>
      </c>
      <c r="DK53" t="s">
        <v>2514</v>
      </c>
      <c r="DL53">
        <v>-9.7662596609443417E-2</v>
      </c>
      <c r="DM53">
        <v>36067200</v>
      </c>
      <c r="DN53">
        <v>-0.13951799515634775</v>
      </c>
      <c r="DO53">
        <v>23057892000</v>
      </c>
      <c r="DP53">
        <v>16891272000</v>
      </c>
      <c r="DQ53">
        <v>3542</v>
      </c>
      <c r="DR53">
        <v>27.3913698470082</v>
      </c>
      <c r="DS53">
        <v>14.816860683961117</v>
      </c>
      <c r="DT53" s="10">
        <v>-0.77333333333333332</v>
      </c>
      <c r="DU53">
        <v>-0.33333333333333331</v>
      </c>
      <c r="DV53">
        <v>-1.1066666666666667</v>
      </c>
      <c r="DW53">
        <v>-5.4741100323624599</v>
      </c>
      <c r="DX53">
        <v>0.38466816499534828</v>
      </c>
      <c r="DY53">
        <v>-5.0685886283877624</v>
      </c>
      <c r="DZ53">
        <v>413</v>
      </c>
      <c r="EA53">
        <v>-5.0630451639016281</v>
      </c>
      <c r="EB53">
        <v>5</v>
      </c>
      <c r="EC53">
        <v>5.8800364065181965E-2</v>
      </c>
      <c r="ED53">
        <v>0.40644993923406708</v>
      </c>
      <c r="EE53" s="11">
        <v>1.0465100000000001</v>
      </c>
      <c r="EF53">
        <v>1.0757099999999999</v>
      </c>
      <c r="EG53">
        <v>24.144668164995348</v>
      </c>
      <c r="EH53" t="s">
        <v>969</v>
      </c>
      <c r="EI53">
        <v>0</v>
      </c>
      <c r="EJ53">
        <v>1</v>
      </c>
      <c r="EK53" s="13">
        <v>45470</v>
      </c>
      <c r="EL53" s="14">
        <v>0</v>
      </c>
      <c r="EM53" s="14">
        <v>-4.93</v>
      </c>
      <c r="EN53" s="14">
        <v>-3.11</v>
      </c>
      <c r="EO53" s="14">
        <v>6.61</v>
      </c>
      <c r="EP53" s="14">
        <v>-2.92</v>
      </c>
    </row>
    <row r="54" spans="1:146" ht="84" x14ac:dyDescent="0.25">
      <c r="A54" s="7"/>
      <c r="B54" s="7"/>
      <c r="C54" s="7" t="str">
        <f>""&amp;CHAR(10)&amp;Basic_Fundamental_Information_Constructure(F54)&amp;CHAR(10)&amp;Basic_Fundamental_Information_Concatenate("")</f>
        <v xml:space="preserve">
市值943.88692亿, 利润7.62亿; PE63.42; 平均PE87.07; 平均PEG14.75, PB2.38; ROIC3.11%; ROE3.0733%; 股利率.4518%; 毛利11.4633%; 净利3.5733%; 上一年度营收增-80.1%, 利润增-39.86%; 当季营收增367.01%, 利润增848.95%; 过往5年营收增-5.9%, 利润增-4.38%
Income profile:
</v>
      </c>
      <c r="D54" t="s">
        <v>274</v>
      </c>
      <c r="E54" t="s">
        <v>17</v>
      </c>
      <c r="F54">
        <v>35.409999999999997</v>
      </c>
      <c r="G54">
        <v>-0.37</v>
      </c>
      <c r="H54" t="s">
        <v>2515</v>
      </c>
      <c r="I54">
        <v>94388692000</v>
      </c>
      <c r="J54">
        <v>63.42</v>
      </c>
      <c r="K54">
        <v>2.38</v>
      </c>
      <c r="L54" t="s">
        <v>1792</v>
      </c>
      <c r="M54" t="s">
        <v>1604</v>
      </c>
      <c r="N54" t="s">
        <v>2516</v>
      </c>
      <c r="O54" t="s">
        <v>1537</v>
      </c>
      <c r="P54">
        <v>1.98</v>
      </c>
      <c r="Q54" t="s">
        <v>2517</v>
      </c>
      <c r="R54">
        <v>154854530</v>
      </c>
      <c r="S54" s="6">
        <v>0.76039999999999996</v>
      </c>
      <c r="T54" t="s">
        <v>2518</v>
      </c>
      <c r="U54">
        <v>2665124800</v>
      </c>
      <c r="V54">
        <v>2665594200</v>
      </c>
      <c r="W54">
        <v>2.2799999999999998</v>
      </c>
      <c r="X54">
        <v>0.06</v>
      </c>
      <c r="Y54">
        <v>2.96</v>
      </c>
      <c r="Z54" t="s">
        <v>2519</v>
      </c>
      <c r="AA54" t="s">
        <v>2520</v>
      </c>
      <c r="AB54" t="s">
        <v>270</v>
      </c>
      <c r="AC54" t="s">
        <v>1389</v>
      </c>
      <c r="AD54" t="s">
        <v>35</v>
      </c>
      <c r="AE54">
        <v>58753211</v>
      </c>
      <c r="AF54" t="s">
        <v>1607</v>
      </c>
      <c r="AG54" t="s">
        <v>2521</v>
      </c>
      <c r="AH54" t="s">
        <v>1608</v>
      </c>
      <c r="AI54" t="s">
        <v>2522</v>
      </c>
      <c r="AJ54" t="s">
        <v>1609</v>
      </c>
      <c r="AK54" t="s">
        <v>2523</v>
      </c>
      <c r="AL54" t="s">
        <v>1610</v>
      </c>
      <c r="AM54" t="s">
        <v>35</v>
      </c>
      <c r="AN54" t="s">
        <v>1683</v>
      </c>
      <c r="AO54" t="s">
        <v>2524</v>
      </c>
      <c r="AP54" t="s">
        <v>2525</v>
      </c>
      <c r="AQ54" t="s">
        <v>2526</v>
      </c>
      <c r="AR54" t="s">
        <v>2527</v>
      </c>
      <c r="AS54" t="s">
        <v>2528</v>
      </c>
      <c r="AT54" t="s">
        <v>1142</v>
      </c>
      <c r="AU54" t="s">
        <v>2529</v>
      </c>
      <c r="AV54" t="s">
        <v>2530</v>
      </c>
      <c r="AW54" t="s">
        <v>2531</v>
      </c>
      <c r="AX54" t="s">
        <v>1050</v>
      </c>
      <c r="AY54" t="s">
        <v>871</v>
      </c>
      <c r="AZ54" t="s">
        <v>533</v>
      </c>
      <c r="BA54" t="s">
        <v>275</v>
      </c>
      <c r="BB54" t="s">
        <v>535</v>
      </c>
      <c r="BC54" t="s">
        <v>1353</v>
      </c>
      <c r="BD54" t="s">
        <v>709</v>
      </c>
      <c r="BE54" t="s">
        <v>534</v>
      </c>
      <c r="BF54" t="s">
        <v>276</v>
      </c>
      <c r="BG54" t="s">
        <v>536</v>
      </c>
      <c r="BH54" t="s">
        <v>1605</v>
      </c>
      <c r="BI54" t="s">
        <v>1783</v>
      </c>
      <c r="BJ54" t="s">
        <v>1050</v>
      </c>
      <c r="BK54" t="s">
        <v>1606</v>
      </c>
      <c r="BL54" t="s">
        <v>2532</v>
      </c>
      <c r="BM54" t="s">
        <v>1353</v>
      </c>
      <c r="BN54">
        <v>2.68</v>
      </c>
      <c r="BO54">
        <v>3.4</v>
      </c>
      <c r="BP54">
        <v>3.25</v>
      </c>
      <c r="BQ54">
        <v>2.65</v>
      </c>
      <c r="BR54">
        <v>3.34</v>
      </c>
      <c r="BS54">
        <v>3.23</v>
      </c>
      <c r="BT54" t="s">
        <v>1611</v>
      </c>
      <c r="BU54" t="s">
        <v>733</v>
      </c>
      <c r="BV54">
        <v>11.08</v>
      </c>
      <c r="BW54">
        <v>10.82</v>
      </c>
      <c r="BX54">
        <v>12.49</v>
      </c>
      <c r="BY54">
        <v>3.47</v>
      </c>
      <c r="BZ54">
        <v>3.64</v>
      </c>
      <c r="CA54">
        <v>3.61</v>
      </c>
      <c r="CB54">
        <v>-3.12</v>
      </c>
      <c r="CC54">
        <v>0.54</v>
      </c>
      <c r="CD54" t="s">
        <v>2533</v>
      </c>
      <c r="CE54" t="s">
        <v>1753</v>
      </c>
      <c r="CF54" s="8">
        <v>3.6701414743112433</v>
      </c>
      <c r="CG54" s="9">
        <v>8.4895076140576649</v>
      </c>
      <c r="CH54" s="8">
        <v>-0.80095422267913818</v>
      </c>
      <c r="CI54" s="8">
        <v>8.7824799120426178E-2</v>
      </c>
      <c r="CJ54" s="8">
        <v>0.19100338220596313</v>
      </c>
      <c r="CK54" s="8">
        <v>0.1357794851064682</v>
      </c>
      <c r="CL54" s="8">
        <v>9.1247528791427612E-2</v>
      </c>
      <c r="CM54" s="9">
        <v>-0.39857935905456543</v>
      </c>
      <c r="CN54" s="9">
        <v>6.6498368978500366E-2</v>
      </c>
      <c r="CO54" s="9">
        <v>3.6649215966463089E-2</v>
      </c>
      <c r="CP54" s="9">
        <v>6.4066916704177856E-2</v>
      </c>
      <c r="CQ54" s="9">
        <v>1.2217984534800053E-2</v>
      </c>
      <c r="CR54">
        <v>87.07443911439114</v>
      </c>
      <c r="CS54">
        <v>14.753426987778294</v>
      </c>
      <c r="CT54">
        <v>0.45184975995481508</v>
      </c>
      <c r="CU54" s="8">
        <v>-5.9019805490970613E-2</v>
      </c>
      <c r="CV54" s="9">
        <v>-4.3829374574124814E-2</v>
      </c>
      <c r="CW54">
        <v>0.06</v>
      </c>
      <c r="CX54">
        <v>139.05733858267718</v>
      </c>
      <c r="CY54" t="s">
        <v>2534</v>
      </c>
      <c r="CZ54">
        <v>-5.9019805490970613E-2</v>
      </c>
      <c r="DA54">
        <v>46.35244619422572</v>
      </c>
      <c r="DB54" t="s">
        <v>2535</v>
      </c>
      <c r="DC54">
        <v>-5.6068815216422083E-2</v>
      </c>
      <c r="DD54">
        <v>23.17622309711286</v>
      </c>
      <c r="DE54" t="s">
        <v>2536</v>
      </c>
      <c r="DF54">
        <v>-5.1937428832054142E-2</v>
      </c>
      <c r="DG54">
        <v>13.905733858267716</v>
      </c>
      <c r="DH54" t="s">
        <v>2537</v>
      </c>
      <c r="DI54">
        <v>-4.7215844392776492E-2</v>
      </c>
      <c r="DJ54">
        <v>6.9528669291338581</v>
      </c>
      <c r="DK54" t="s">
        <v>2538</v>
      </c>
      <c r="DL54">
        <v>-4.1313863843679424E-2</v>
      </c>
      <c r="DM54">
        <v>762000000</v>
      </c>
      <c r="DN54">
        <v>-5.9019805490970613E-2</v>
      </c>
      <c r="DO54">
        <v>105961692000</v>
      </c>
      <c r="DP54">
        <v>10088040999.999992</v>
      </c>
      <c r="DQ54">
        <v>3554</v>
      </c>
      <c r="DR54">
        <v>3.7291612798022138</v>
      </c>
      <c r="DS54">
        <v>8.53333698863179</v>
      </c>
      <c r="DT54" s="10">
        <v>-0.64</v>
      </c>
      <c r="DU54">
        <v>-0.16666666666666666</v>
      </c>
      <c r="DV54">
        <v>-0.80666666666666664</v>
      </c>
      <c r="DW54">
        <v>-4.1730769230769234</v>
      </c>
      <c r="DX54">
        <v>0.44304534606205548</v>
      </c>
      <c r="DY54">
        <v>-4.0161040022030479</v>
      </c>
      <c r="DZ54">
        <v>4719</v>
      </c>
      <c r="EA54">
        <v>-4.0012322240433251</v>
      </c>
      <c r="EB54">
        <v>4</v>
      </c>
      <c r="EC54">
        <v>1.4625632063575169E-2</v>
      </c>
      <c r="ED54">
        <v>0.15718821717124087</v>
      </c>
      <c r="EE54" s="11">
        <v>-5.0401100000000003</v>
      </c>
      <c r="EF54">
        <v>-5.0377099999999997</v>
      </c>
      <c r="EG54">
        <v>35.093045346062056</v>
      </c>
      <c r="EH54" t="s">
        <v>1779</v>
      </c>
      <c r="EI54">
        <v>0</v>
      </c>
      <c r="EJ54">
        <v>0</v>
      </c>
      <c r="EK54" s="13">
        <v>45470</v>
      </c>
      <c r="EL54" s="14">
        <v>0.49</v>
      </c>
      <c r="EM54" s="14">
        <v>-5.83</v>
      </c>
      <c r="EN54" s="14">
        <v>-0.26</v>
      </c>
      <c r="EO54" s="14">
        <v>5.94</v>
      </c>
      <c r="EP54" s="14">
        <v>0.24</v>
      </c>
    </row>
    <row r="55" spans="1:146" ht="84" x14ac:dyDescent="0.25">
      <c r="A55" s="7"/>
      <c r="B55" s="7"/>
      <c r="C55" s="7" t="str">
        <f>""&amp;CHAR(10)&amp;Basic_Fundamental_Information_Constructure(F55)&amp;CHAR(10)&amp;Basic_Fundamental_Information_Concatenate("")</f>
        <v xml:space="preserve">
市值120.716945亿, 利润30.81亿; PE14.99; 平均PE11.29; 平均PEG.22, PB1.04; ROIC5.46%; ROE6.8033%; 股利率3.5261%; 毛利12.6433%; 净利6.53%; 上一年度营收增243.63%, 利润增274.36%; 当季营收增-76.05%, 利润增-59.38%; 过往5年营收增51.93%, 利润增64.04%
Income profile:
</v>
      </c>
      <c r="D55" t="s">
        <v>280</v>
      </c>
      <c r="E55" t="s">
        <v>23</v>
      </c>
      <c r="F55">
        <v>7.09</v>
      </c>
      <c r="G55">
        <v>0.56999999999999995</v>
      </c>
      <c r="H55" t="s">
        <v>2539</v>
      </c>
      <c r="I55">
        <v>12071694500</v>
      </c>
      <c r="J55">
        <v>14.99</v>
      </c>
      <c r="K55">
        <v>1.04</v>
      </c>
      <c r="L55" t="s">
        <v>1792</v>
      </c>
      <c r="M55" t="s">
        <v>1612</v>
      </c>
      <c r="N55" t="s">
        <v>2540</v>
      </c>
      <c r="O55" t="s">
        <v>1613</v>
      </c>
      <c r="P55">
        <v>-11.92</v>
      </c>
      <c r="Q55" t="s">
        <v>2541</v>
      </c>
      <c r="R55">
        <v>167773410</v>
      </c>
      <c r="S55" s="6">
        <v>-0.21510000000000001</v>
      </c>
      <c r="T55" t="s">
        <v>2542</v>
      </c>
      <c r="U55">
        <v>1698676900</v>
      </c>
      <c r="V55">
        <v>1702636700</v>
      </c>
      <c r="W55">
        <v>1.97</v>
      </c>
      <c r="X55">
        <v>0.1</v>
      </c>
      <c r="Y55">
        <v>7.27</v>
      </c>
      <c r="Z55" t="s">
        <v>1619</v>
      </c>
      <c r="AA55" t="s">
        <v>2543</v>
      </c>
      <c r="AB55" t="s">
        <v>2544</v>
      </c>
      <c r="AC55" t="s">
        <v>2545</v>
      </c>
      <c r="AD55" t="s">
        <v>35</v>
      </c>
      <c r="AE55">
        <v>-11788981</v>
      </c>
      <c r="AF55" t="s">
        <v>1615</v>
      </c>
      <c r="AG55" t="s">
        <v>2546</v>
      </c>
      <c r="AH55" t="s">
        <v>1616</v>
      </c>
      <c r="AI55" t="s">
        <v>2547</v>
      </c>
      <c r="AJ55" t="s">
        <v>1617</v>
      </c>
      <c r="AK55" t="s">
        <v>2548</v>
      </c>
      <c r="AL55" t="s">
        <v>1618</v>
      </c>
      <c r="AM55" t="s">
        <v>35</v>
      </c>
      <c r="AN55" t="s">
        <v>2549</v>
      </c>
      <c r="AO55" t="s">
        <v>2550</v>
      </c>
      <c r="AP55" t="s">
        <v>2551</v>
      </c>
      <c r="AQ55" t="s">
        <v>2552</v>
      </c>
      <c r="AR55" t="s">
        <v>35</v>
      </c>
      <c r="AS55" t="s">
        <v>2553</v>
      </c>
      <c r="AT55" t="s">
        <v>35</v>
      </c>
      <c r="AU55" t="s">
        <v>2554</v>
      </c>
      <c r="AV55" t="s">
        <v>2555</v>
      </c>
      <c r="AW55" t="s">
        <v>2556</v>
      </c>
      <c r="AX55" t="s">
        <v>1051</v>
      </c>
      <c r="AY55" t="s">
        <v>872</v>
      </c>
      <c r="AZ55" t="s">
        <v>539</v>
      </c>
      <c r="BA55" t="s">
        <v>281</v>
      </c>
      <c r="BB55" t="s">
        <v>540</v>
      </c>
      <c r="BC55" t="s">
        <v>946</v>
      </c>
      <c r="BD55" t="s">
        <v>710</v>
      </c>
      <c r="BE55" t="s">
        <v>296</v>
      </c>
      <c r="BF55" t="s">
        <v>282</v>
      </c>
      <c r="BG55" t="s">
        <v>108</v>
      </c>
      <c r="BH55" t="s">
        <v>1614</v>
      </c>
      <c r="BI55" t="s">
        <v>2557</v>
      </c>
      <c r="BJ55" t="s">
        <v>1051</v>
      </c>
      <c r="BK55" t="s">
        <v>1417</v>
      </c>
      <c r="BL55" t="s">
        <v>362</v>
      </c>
      <c r="BM55" t="s">
        <v>946</v>
      </c>
      <c r="BN55">
        <v>4.42</v>
      </c>
      <c r="BO55">
        <v>6.71</v>
      </c>
      <c r="BP55">
        <v>5.25</v>
      </c>
      <c r="BQ55">
        <v>5.28</v>
      </c>
      <c r="BR55">
        <v>7.71</v>
      </c>
      <c r="BS55">
        <v>7.42</v>
      </c>
      <c r="BT55" t="s">
        <v>1023</v>
      </c>
      <c r="BU55" t="s">
        <v>823</v>
      </c>
      <c r="BV55">
        <v>16.12</v>
      </c>
      <c r="BW55">
        <v>11.45</v>
      </c>
      <c r="BX55">
        <v>10.36</v>
      </c>
      <c r="BY55">
        <v>8.42</v>
      </c>
      <c r="BZ55">
        <v>5.74</v>
      </c>
      <c r="CA55">
        <v>5.43</v>
      </c>
      <c r="CB55">
        <v>-1.53</v>
      </c>
      <c r="CC55">
        <v>-11.26</v>
      </c>
      <c r="CD55" t="s">
        <v>2558</v>
      </c>
      <c r="CE55" t="s">
        <v>334</v>
      </c>
      <c r="CF55" s="8">
        <v>-0.76053680016775005</v>
      </c>
      <c r="CG55" s="9">
        <v>-0.59376898305084747</v>
      </c>
      <c r="CH55" s="8">
        <v>2.4363369941711426</v>
      </c>
      <c r="CI55" s="8">
        <v>3.8578398525714874E-2</v>
      </c>
      <c r="CJ55" s="8">
        <v>4.3977681547403336E-2</v>
      </c>
      <c r="CK55" s="8">
        <v>4.3608542531728745E-2</v>
      </c>
      <c r="CL55" s="8">
        <v>3.3749092370271683E-2</v>
      </c>
      <c r="CM55" s="9">
        <v>2.7436206340789795</v>
      </c>
      <c r="CN55" s="9">
        <v>0.10174029320478439</v>
      </c>
      <c r="CO55" s="9">
        <v>0.13871951401233673</v>
      </c>
      <c r="CP55" s="9">
        <v>0.14685314893722534</v>
      </c>
      <c r="CQ55" s="9">
        <v>7.1161046624183655E-2</v>
      </c>
      <c r="CR55">
        <v>11.294272103539685</v>
      </c>
      <c r="CS55">
        <v>0.2175111992025924</v>
      </c>
      <c r="CT55">
        <v>3.5260930888575461</v>
      </c>
      <c r="CU55" s="8">
        <v>0.51925014182925222</v>
      </c>
      <c r="CV55" s="9">
        <v>0.64041892737150197</v>
      </c>
      <c r="CW55">
        <v>0.06</v>
      </c>
      <c r="CX55">
        <v>2.8745702281890702</v>
      </c>
      <c r="CY55">
        <v>4415858195.2603083</v>
      </c>
      <c r="CZ55">
        <v>0.51925014182925222</v>
      </c>
      <c r="DA55">
        <v>0.66567271413605222</v>
      </c>
      <c r="DB55">
        <v>19068972229.806049</v>
      </c>
      <c r="DC55">
        <v>0.49328763473778958</v>
      </c>
      <c r="DD55">
        <v>0.19547246543695046</v>
      </c>
      <c r="DE55">
        <v>64938529688.184364</v>
      </c>
      <c r="DF55">
        <v>0.45694012480974194</v>
      </c>
      <c r="DG55">
        <v>6.0785157550388491E-2</v>
      </c>
      <c r="DH55">
        <v>208828849205.12756</v>
      </c>
      <c r="DI55">
        <v>0.41540011346340178</v>
      </c>
      <c r="DJ55">
        <v>6.0031488108716249E-3</v>
      </c>
      <c r="DK55">
        <v>2114506053391.8271</v>
      </c>
      <c r="DL55">
        <v>0.36347509928047655</v>
      </c>
      <c r="DM55">
        <v>3081000000</v>
      </c>
      <c r="DN55">
        <v>0.51925014182925222</v>
      </c>
      <c r="DO55">
        <v>12693694500</v>
      </c>
      <c r="DP55">
        <v>3753254000</v>
      </c>
      <c r="DQ55">
        <v>3591</v>
      </c>
      <c r="DR55">
        <v>-1.2797869419970023</v>
      </c>
      <c r="DS55">
        <v>-1.2341879104223494</v>
      </c>
      <c r="DT55" s="10">
        <v>-0.14000000000000004</v>
      </c>
      <c r="DU55">
        <v>7.999999999999996E-2</v>
      </c>
      <c r="DV55">
        <v>-6.0000000000000081E-2</v>
      </c>
      <c r="DW55">
        <v>-2.1126</v>
      </c>
      <c r="DX55">
        <v>0.40577761194029693</v>
      </c>
      <c r="DY55">
        <v>-2.0141625591044776</v>
      </c>
      <c r="DZ55">
        <v>744</v>
      </c>
      <c r="EA55">
        <v>-2.0121005348434733</v>
      </c>
      <c r="EB55">
        <v>2</v>
      </c>
      <c r="EC55">
        <v>1.9797764255874432E-2</v>
      </c>
      <c r="ED55">
        <v>0.15740292688393245</v>
      </c>
      <c r="EE55" s="11">
        <v>2.1042999999999998</v>
      </c>
      <c r="EF55">
        <v>2.0760000000000001</v>
      </c>
      <c r="EG55">
        <v>28.125777611940297</v>
      </c>
      <c r="EH55" t="s">
        <v>1004</v>
      </c>
      <c r="EI55">
        <v>0</v>
      </c>
      <c r="EJ55">
        <v>1</v>
      </c>
      <c r="EK55" s="13">
        <v>45470</v>
      </c>
      <c r="EL55" s="14">
        <v>-0.2</v>
      </c>
      <c r="EM55" s="14">
        <v>-3.05</v>
      </c>
      <c r="EN55" s="14">
        <v>0.84</v>
      </c>
      <c r="EO55" s="14">
        <v>2.7</v>
      </c>
      <c r="EP55" s="14">
        <v>-2.83</v>
      </c>
    </row>
    <row r="56" spans="1:146" ht="96" x14ac:dyDescent="0.25">
      <c r="A56" s="7"/>
      <c r="B56" s="7"/>
      <c r="C56" s="7" t="str">
        <f>""&amp;CHAR(10)&amp;Basic_Fundamental_Information_Constructure(F56)&amp;CHAR(10)&amp;Basic_Fundamental_Information_Concatenate("")</f>
        <v xml:space="preserve">
市值67.932624亿, 利润37.68亿; PE327.1; 平均PE9.48; 平均PEG0, PB2.64; ROIC2.7267%; ROE2.9667%; 股利率.0853%; 毛利22.9833%; 净利4.76%; 上一年度营收增15086.41%, 利润增4610.98%; 当季营收增-99.79%, 利润增-102.3%; 过往5年营收增3021.01%, 利润增921.01%
Income profile:
</v>
      </c>
      <c r="D56" t="s">
        <v>285</v>
      </c>
      <c r="E56" t="s">
        <v>7</v>
      </c>
      <c r="F56">
        <v>9.3800000000000008</v>
      </c>
      <c r="G56">
        <v>0.64</v>
      </c>
      <c r="H56" t="s">
        <v>2559</v>
      </c>
      <c r="I56">
        <v>6793262400</v>
      </c>
      <c r="J56">
        <v>327.10000000000002</v>
      </c>
      <c r="K56">
        <v>2.64</v>
      </c>
      <c r="L56" t="s">
        <v>1792</v>
      </c>
      <c r="M56" t="s">
        <v>1620</v>
      </c>
      <c r="N56" t="s">
        <v>2560</v>
      </c>
      <c r="O56" t="s">
        <v>100</v>
      </c>
      <c r="P56">
        <v>-34.340000000000003</v>
      </c>
      <c r="Q56" t="s">
        <v>2561</v>
      </c>
      <c r="R56">
        <v>-34971326</v>
      </c>
      <c r="S56" s="6">
        <v>-0.20610000000000001</v>
      </c>
      <c r="T56" t="s">
        <v>2562</v>
      </c>
      <c r="U56">
        <v>724228400</v>
      </c>
      <c r="V56">
        <v>724228400</v>
      </c>
      <c r="W56">
        <v>1.7</v>
      </c>
      <c r="X56">
        <v>0.03</v>
      </c>
      <c r="Y56">
        <v>-25.07</v>
      </c>
      <c r="Z56" t="s">
        <v>206</v>
      </c>
      <c r="AA56" t="s">
        <v>357</v>
      </c>
      <c r="AB56" t="s">
        <v>2563</v>
      </c>
      <c r="AC56" t="s">
        <v>2564</v>
      </c>
      <c r="AD56" t="s">
        <v>35</v>
      </c>
      <c r="AE56">
        <v>1378966</v>
      </c>
      <c r="AF56" t="s">
        <v>102</v>
      </c>
      <c r="AG56" t="s">
        <v>2565</v>
      </c>
      <c r="AH56" t="s">
        <v>1623</v>
      </c>
      <c r="AI56" t="s">
        <v>629</v>
      </c>
      <c r="AJ56" t="s">
        <v>1624</v>
      </c>
      <c r="AK56" t="s">
        <v>184</v>
      </c>
      <c r="AL56" t="s">
        <v>1625</v>
      </c>
      <c r="AM56" t="s">
        <v>35</v>
      </c>
      <c r="AN56" t="s">
        <v>2566</v>
      </c>
      <c r="AO56" t="s">
        <v>1129</v>
      </c>
      <c r="AP56" t="s">
        <v>74</v>
      </c>
      <c r="AQ56" t="s">
        <v>584</v>
      </c>
      <c r="AR56" t="s">
        <v>35</v>
      </c>
      <c r="AS56" t="s">
        <v>650</v>
      </c>
      <c r="AT56" t="s">
        <v>2567</v>
      </c>
      <c r="AU56" t="s">
        <v>2568</v>
      </c>
      <c r="AV56" t="s">
        <v>2569</v>
      </c>
      <c r="AW56" t="s">
        <v>2570</v>
      </c>
      <c r="AX56" t="s">
        <v>1052</v>
      </c>
      <c r="AY56" t="s">
        <v>708</v>
      </c>
      <c r="AZ56" t="s">
        <v>542</v>
      </c>
      <c r="BA56" t="s">
        <v>286</v>
      </c>
      <c r="BB56" t="s">
        <v>543</v>
      </c>
      <c r="BC56" t="s">
        <v>1053</v>
      </c>
      <c r="BD56" t="s">
        <v>346</v>
      </c>
      <c r="BE56" t="s">
        <v>54</v>
      </c>
      <c r="BF56" t="s">
        <v>193</v>
      </c>
      <c r="BG56" t="s">
        <v>544</v>
      </c>
      <c r="BH56" t="s">
        <v>1621</v>
      </c>
      <c r="BI56" t="s">
        <v>2571</v>
      </c>
      <c r="BJ56" t="s">
        <v>1052</v>
      </c>
      <c r="BK56" t="s">
        <v>1622</v>
      </c>
      <c r="BL56" t="s">
        <v>1438</v>
      </c>
      <c r="BM56" t="s">
        <v>1053</v>
      </c>
      <c r="BN56">
        <v>0.71</v>
      </c>
      <c r="BO56">
        <v>2.88</v>
      </c>
      <c r="BP56">
        <v>4.59</v>
      </c>
      <c r="BQ56">
        <v>0.36</v>
      </c>
      <c r="BR56">
        <v>3.06</v>
      </c>
      <c r="BS56">
        <v>5.48</v>
      </c>
      <c r="BT56" t="s">
        <v>1626</v>
      </c>
      <c r="BU56" t="s">
        <v>823</v>
      </c>
      <c r="BV56">
        <v>22.88</v>
      </c>
      <c r="BW56">
        <v>22.29</v>
      </c>
      <c r="BX56">
        <v>23.78</v>
      </c>
      <c r="BY56">
        <v>1.56</v>
      </c>
      <c r="BZ56">
        <v>4.67</v>
      </c>
      <c r="CA56">
        <v>8.0500000000000007</v>
      </c>
      <c r="CB56">
        <v>-1.88</v>
      </c>
      <c r="CC56">
        <v>-17.86</v>
      </c>
      <c r="CD56" t="s">
        <v>2572</v>
      </c>
      <c r="CE56" t="s">
        <v>743</v>
      </c>
      <c r="CF56" s="8">
        <v>-0.99787092682632195</v>
      </c>
      <c r="CG56" s="9">
        <v>-1.0230377641633728</v>
      </c>
      <c r="CH56" s="8">
        <v>150.86405944824219</v>
      </c>
      <c r="CI56" s="8">
        <v>1.0613207705318928E-2</v>
      </c>
      <c r="CJ56" s="8">
        <v>6.9356873631477356E-2</v>
      </c>
      <c r="CK56" s="8">
        <v>5.8038648217916489E-2</v>
      </c>
      <c r="CL56" s="8">
        <v>4.8251792788505554E-2</v>
      </c>
      <c r="CM56" s="9">
        <v>46.109775543212891</v>
      </c>
      <c r="CN56" s="9">
        <v>-0.41188675165176392</v>
      </c>
      <c r="CO56" s="9">
        <v>0.16239316761493683</v>
      </c>
      <c r="CP56" s="9">
        <v>0.17000000178813934</v>
      </c>
      <c r="CQ56" s="9">
        <v>2.0398834720253944E-2</v>
      </c>
      <c r="CR56">
        <v>9.481210340777471</v>
      </c>
      <c r="CS56">
        <v>3.1384277579232481E-3</v>
      </c>
      <c r="CT56">
        <v>8.5287846481876331E-2</v>
      </c>
      <c r="CU56" s="8">
        <v>30.210063994117082</v>
      </c>
      <c r="CV56" s="9">
        <v>9.2101361591368907</v>
      </c>
      <c r="CW56">
        <v>0.06</v>
      </c>
      <c r="CX56">
        <v>5.4724186647792425E-2</v>
      </c>
      <c r="CY56">
        <v>110942944462.10677</v>
      </c>
      <c r="CZ56">
        <v>30.210063994117082</v>
      </c>
      <c r="DA56">
        <v>7.0643416762126499E-5</v>
      </c>
      <c r="DB56">
        <v>85942366299232.266</v>
      </c>
      <c r="DC56">
        <v>28.699560794411227</v>
      </c>
      <c r="DD56">
        <v>4.9883998726298804E-9</v>
      </c>
      <c r="DE56">
        <v>1.2170761276199045E+18</v>
      </c>
      <c r="DF56">
        <v>26.584856314823032</v>
      </c>
      <c r="DG56">
        <v>2.7104624272949215E-14</v>
      </c>
      <c r="DH56">
        <v>2.2399360119738693E+23</v>
      </c>
      <c r="DI56">
        <v>24.168051195293668</v>
      </c>
      <c r="DJ56">
        <v>6.1047751056401595E-27</v>
      </c>
      <c r="DK56">
        <v>9.945104111027452E+35</v>
      </c>
      <c r="DL56">
        <v>21.147044795881957</v>
      </c>
      <c r="DM56">
        <v>3768000000</v>
      </c>
      <c r="DN56">
        <v>30.210063994117082</v>
      </c>
      <c r="DO56">
        <v>6071262400</v>
      </c>
      <c r="DP56">
        <v>1346692600</v>
      </c>
      <c r="DQ56">
        <v>3746</v>
      </c>
      <c r="DR56">
        <v>-31.207934920943405</v>
      </c>
      <c r="DS56">
        <v>-10.233173923300264</v>
      </c>
      <c r="DT56" s="10">
        <v>-0.14000000000000004</v>
      </c>
      <c r="DU56">
        <v>-0.49833333333333335</v>
      </c>
      <c r="DV56">
        <v>-0.63833333333333342</v>
      </c>
      <c r="DW56">
        <v>-3.021035714285714</v>
      </c>
      <c r="DX56">
        <v>0.24452382271467982</v>
      </c>
      <c r="DY56">
        <v>-3.0013573046992481</v>
      </c>
      <c r="DZ56">
        <v>2883</v>
      </c>
      <c r="EA56">
        <v>-3.0005915298562087</v>
      </c>
      <c r="EB56">
        <v>3</v>
      </c>
      <c r="EC56">
        <v>3.2162643718473341E-2</v>
      </c>
      <c r="ED56">
        <v>0.49846153506269569</v>
      </c>
      <c r="EE56" s="11">
        <v>1.0245</v>
      </c>
      <c r="EF56">
        <v>1.0306</v>
      </c>
      <c r="EG56">
        <v>18.06452382271468</v>
      </c>
      <c r="EH56" t="s">
        <v>738</v>
      </c>
      <c r="EI56">
        <v>0</v>
      </c>
      <c r="EJ56">
        <v>0</v>
      </c>
      <c r="EK56" s="13">
        <v>45470</v>
      </c>
      <c r="EL56" s="14">
        <v>-0.04</v>
      </c>
      <c r="EM56" s="14">
        <v>7.0000000000000007E-2</v>
      </c>
      <c r="EN56" s="14">
        <v>-0.81</v>
      </c>
      <c r="EO56" s="14">
        <v>-1.84</v>
      </c>
      <c r="EP56" s="14">
        <v>0.61</v>
      </c>
    </row>
    <row r="57" spans="1:146" ht="84" x14ac:dyDescent="0.25">
      <c r="A57" s="7"/>
      <c r="B57" s="7"/>
      <c r="C57" s="7" t="str">
        <f>""&amp;CHAR(10)&amp;Basic_Fundamental_Information_Constructure(F57)&amp;CHAR(10)&amp;Basic_Fundamental_Information_Concatenate("")</f>
        <v xml:space="preserve">
市值576.62861亿, 利润79.22亿; PE182.7; 平均PE32.12; 平均PEG.11, PB3.74; ROIC4.0733%; ROE4.8767%; 股利率.1817%; 毛利36.5733%; 净利28.9133%; 上一年度营收增1478.38%, 利润增758.29%; 当季营收增-95.43%, 利润增-96.8%; 过往5年营收增295.99%, 利润增170.59%
Income profile:
</v>
      </c>
      <c r="D57" t="s">
        <v>288</v>
      </c>
      <c r="E57" t="s">
        <v>289</v>
      </c>
      <c r="F57">
        <v>13.65</v>
      </c>
      <c r="G57">
        <v>1.41</v>
      </c>
      <c r="H57" t="s">
        <v>2573</v>
      </c>
      <c r="I57">
        <v>57662861000</v>
      </c>
      <c r="J57">
        <v>182.7</v>
      </c>
      <c r="K57">
        <v>3.74</v>
      </c>
      <c r="L57" t="s">
        <v>1792</v>
      </c>
      <c r="M57" t="s">
        <v>1627</v>
      </c>
      <c r="N57" t="s">
        <v>2574</v>
      </c>
      <c r="O57" t="s">
        <v>1112</v>
      </c>
      <c r="P57">
        <v>-8.74</v>
      </c>
      <c r="Q57" t="s">
        <v>2575</v>
      </c>
      <c r="R57">
        <v>108215324</v>
      </c>
      <c r="S57" s="6">
        <v>-0.23469999999999999</v>
      </c>
      <c r="T57" t="s">
        <v>2576</v>
      </c>
      <c r="U57">
        <v>4224385400</v>
      </c>
      <c r="V57">
        <v>4224385400</v>
      </c>
      <c r="W57">
        <v>1.1599999999999999</v>
      </c>
      <c r="X57">
        <v>0.02</v>
      </c>
      <c r="Y57">
        <v>25.51</v>
      </c>
      <c r="Z57" t="s">
        <v>461</v>
      </c>
      <c r="AA57" t="s">
        <v>89</v>
      </c>
      <c r="AB57" t="s">
        <v>2577</v>
      </c>
      <c r="AC57" t="s">
        <v>2578</v>
      </c>
      <c r="AD57" t="s">
        <v>35</v>
      </c>
      <c r="AE57">
        <v>-74745221</v>
      </c>
      <c r="AF57" t="s">
        <v>1629</v>
      </c>
      <c r="AG57" t="s">
        <v>2579</v>
      </c>
      <c r="AH57" t="s">
        <v>1630</v>
      </c>
      <c r="AI57" t="s">
        <v>2580</v>
      </c>
      <c r="AJ57" t="s">
        <v>1631</v>
      </c>
      <c r="AK57" t="s">
        <v>2581</v>
      </c>
      <c r="AL57" t="s">
        <v>1632</v>
      </c>
      <c r="AM57" t="s">
        <v>35</v>
      </c>
      <c r="AN57" t="s">
        <v>2582</v>
      </c>
      <c r="AO57" t="s">
        <v>853</v>
      </c>
      <c r="AP57" t="s">
        <v>35</v>
      </c>
      <c r="AQ57" t="s">
        <v>1124</v>
      </c>
      <c r="AR57" t="s">
        <v>35</v>
      </c>
      <c r="AS57" t="s">
        <v>2583</v>
      </c>
      <c r="AT57" t="s">
        <v>35</v>
      </c>
      <c r="AU57" t="s">
        <v>2584</v>
      </c>
      <c r="AV57" t="s">
        <v>1184</v>
      </c>
      <c r="AW57" t="s">
        <v>2585</v>
      </c>
      <c r="AX57" t="s">
        <v>1054</v>
      </c>
      <c r="AY57" t="s">
        <v>873</v>
      </c>
      <c r="AZ57" t="s">
        <v>545</v>
      </c>
      <c r="BA57" t="s">
        <v>290</v>
      </c>
      <c r="BB57" t="s">
        <v>546</v>
      </c>
      <c r="BC57" t="s">
        <v>385</v>
      </c>
      <c r="BD57" t="s">
        <v>282</v>
      </c>
      <c r="BE57" t="s">
        <v>450</v>
      </c>
      <c r="BF57" t="s">
        <v>291</v>
      </c>
      <c r="BG57" t="s">
        <v>207</v>
      </c>
      <c r="BH57" t="s">
        <v>1628</v>
      </c>
      <c r="BI57" t="s">
        <v>2586</v>
      </c>
      <c r="BJ57" t="s">
        <v>1054</v>
      </c>
      <c r="BK57" t="s">
        <v>114</v>
      </c>
      <c r="BL57" t="s">
        <v>2587</v>
      </c>
      <c r="BM57" t="s">
        <v>385</v>
      </c>
      <c r="BN57">
        <v>2.2200000000000002</v>
      </c>
      <c r="BO57">
        <v>5.61</v>
      </c>
      <c r="BP57">
        <v>4.3899999999999997</v>
      </c>
      <c r="BQ57">
        <v>2.65</v>
      </c>
      <c r="BR57">
        <v>7.13</v>
      </c>
      <c r="BS57">
        <v>4.8499999999999996</v>
      </c>
      <c r="BT57" t="s">
        <v>1634</v>
      </c>
      <c r="BU57" t="s">
        <v>844</v>
      </c>
      <c r="BV57">
        <v>35.71</v>
      </c>
      <c r="BW57">
        <v>36.47</v>
      </c>
      <c r="BX57">
        <v>37.54</v>
      </c>
      <c r="BY57">
        <v>19.46</v>
      </c>
      <c r="BZ57">
        <v>39.659999999999997</v>
      </c>
      <c r="CA57">
        <v>27.62</v>
      </c>
      <c r="CB57">
        <v>-3.12</v>
      </c>
      <c r="CC57">
        <v>-10.050000000000001</v>
      </c>
      <c r="CD57" t="s">
        <v>2588</v>
      </c>
      <c r="CE57" t="s">
        <v>1001</v>
      </c>
      <c r="CF57" s="8">
        <v>-0.95425496131853349</v>
      </c>
      <c r="CG57" s="9">
        <v>-0.96798363195266268</v>
      </c>
      <c r="CH57" s="8">
        <v>14.783754348754883</v>
      </c>
      <c r="CI57" s="8">
        <v>3.758544847369194E-2</v>
      </c>
      <c r="CJ57" s="8">
        <v>-2.8044372797012329E-2</v>
      </c>
      <c r="CK57" s="8">
        <v>-8.7783467024564743E-3</v>
      </c>
      <c r="CL57" s="8">
        <v>1.4847809448838234E-2</v>
      </c>
      <c r="CM57" s="9">
        <v>7.5828819274902344</v>
      </c>
      <c r="CN57" s="9">
        <v>0.61363637447357178</v>
      </c>
      <c r="CO57" s="9">
        <v>0.16973415017127991</v>
      </c>
      <c r="CP57" s="9">
        <v>9.6412554383277893E-2</v>
      </c>
      <c r="CQ57" s="9">
        <v>6.6985644400119781E-2</v>
      </c>
      <c r="CR57">
        <v>32.124156545961</v>
      </c>
      <c r="CS57">
        <v>0.10853221334448319</v>
      </c>
      <c r="CT57">
        <v>0.18168498168498168</v>
      </c>
      <c r="CU57" s="8">
        <v>2.9598729774355887</v>
      </c>
      <c r="CV57" s="9">
        <v>1.7059301301836967</v>
      </c>
      <c r="CW57">
        <v>0.06</v>
      </c>
      <c r="CX57">
        <v>1.3936689245098228</v>
      </c>
      <c r="CY57">
        <v>29594446912.495033</v>
      </c>
      <c r="CZ57">
        <v>2.9598729774355887</v>
      </c>
      <c r="DA57">
        <v>8.2597316621059097E-2</v>
      </c>
      <c r="DB57">
        <v>499348679681.97607</v>
      </c>
      <c r="DC57">
        <v>2.8118793285638093</v>
      </c>
      <c r="DD57">
        <v>2.3779993270627194E-3</v>
      </c>
      <c r="DE57">
        <v>17344353520463.453</v>
      </c>
      <c r="DF57">
        <v>2.6046882201433181</v>
      </c>
      <c r="DG57">
        <v>3.4030294864816426E-5</v>
      </c>
      <c r="DH57">
        <v>1212004220470115.2</v>
      </c>
      <c r="DI57">
        <v>2.3678983819484709</v>
      </c>
      <c r="DJ57">
        <v>1.9528983319006157E-9</v>
      </c>
      <c r="DK57">
        <v>2.1119819872988131E+19</v>
      </c>
      <c r="DL57">
        <v>2.071911084204912</v>
      </c>
      <c r="DM57">
        <v>7922000000</v>
      </c>
      <c r="DN57">
        <v>2.9598729774355887</v>
      </c>
      <c r="DO57">
        <v>41244861000</v>
      </c>
      <c r="DP57">
        <v>6534978800</v>
      </c>
      <c r="DQ57">
        <v>3769</v>
      </c>
      <c r="DR57">
        <v>-3.9141279387541221</v>
      </c>
      <c r="DS57">
        <v>-2.6739137621363591</v>
      </c>
      <c r="DT57" s="10">
        <v>-0.14000000000000004</v>
      </c>
      <c r="DU57">
        <v>0.29333333333333339</v>
      </c>
      <c r="DV57">
        <v>0.15333333333333335</v>
      </c>
      <c r="DW57">
        <v>-8.3104477611940304</v>
      </c>
      <c r="DX57">
        <v>0.31997492711370423</v>
      </c>
      <c r="DY57">
        <v>-8.0341414699099261</v>
      </c>
      <c r="DZ57">
        <v>3362</v>
      </c>
      <c r="EA57">
        <v>-8.0116789216051956</v>
      </c>
      <c r="EB57">
        <v>8</v>
      </c>
      <c r="EC57">
        <v>8.9294409548901481E-3</v>
      </c>
      <c r="ED57">
        <v>8.1195243218102217E-2</v>
      </c>
      <c r="EE57" s="11">
        <v>1.9100000000000007E-3</v>
      </c>
      <c r="EF57">
        <v>1.1509999999999999E-2</v>
      </c>
      <c r="EG57">
        <v>21.109974927113704</v>
      </c>
      <c r="EH57">
        <v>-1</v>
      </c>
      <c r="EI57">
        <v>0</v>
      </c>
      <c r="EJ57">
        <v>0</v>
      </c>
      <c r="EK57" s="13">
        <v>45470</v>
      </c>
      <c r="EL57" s="14">
        <v>0.74</v>
      </c>
      <c r="EM57" s="14">
        <v>-1.79</v>
      </c>
      <c r="EN57" s="14">
        <v>-1.29</v>
      </c>
      <c r="EO57" s="14">
        <v>1.52</v>
      </c>
      <c r="EP57" s="14">
        <v>-0.96</v>
      </c>
    </row>
    <row r="58" spans="1:146" ht="84" x14ac:dyDescent="0.25">
      <c r="A58" s="7"/>
      <c r="B58" s="7"/>
      <c r="C58" s="7" t="str">
        <f>""&amp;CHAR(10)&amp;Basic_Fundamental_Information_Constructure(F58)&amp;CHAR(10)&amp;Basic_Fundamental_Information_Concatenate("")</f>
        <v xml:space="preserve">
市值65.14326亿, 利润195.34亿; PE26.53; 平均PE1.96; 平均PEG0, PB1.85; ROIC3.7733%; ROE4.61%; 股利率1.5464%; 毛利26.9767%; 净利10.45%; 上一年度营收增12628.83%, 利润增13010.07%; 当季营收增-99.24%, 利润增-99.05%; 过往5年营收增2534.55%, 利润增2756.26%
Income profile:
</v>
      </c>
      <c r="D58" t="s">
        <v>292</v>
      </c>
      <c r="E58" t="s">
        <v>31</v>
      </c>
      <c r="F58">
        <v>6.79</v>
      </c>
      <c r="G58">
        <v>0.15</v>
      </c>
      <c r="H58" t="s">
        <v>2589</v>
      </c>
      <c r="I58">
        <v>6514326000</v>
      </c>
      <c r="J58">
        <v>26.53</v>
      </c>
      <c r="K58">
        <v>1.85</v>
      </c>
      <c r="L58" t="s">
        <v>1792</v>
      </c>
      <c r="M58" t="s">
        <v>1240</v>
      </c>
      <c r="N58" t="s">
        <v>2590</v>
      </c>
      <c r="O58" t="s">
        <v>251</v>
      </c>
      <c r="P58">
        <v>-8.14</v>
      </c>
      <c r="Q58" t="s">
        <v>2591</v>
      </c>
      <c r="R58">
        <v>67977349</v>
      </c>
      <c r="S58" s="6">
        <v>0.153</v>
      </c>
      <c r="T58" t="s">
        <v>2592</v>
      </c>
      <c r="U58">
        <v>959400000</v>
      </c>
      <c r="V58">
        <v>959400000</v>
      </c>
      <c r="W58">
        <v>1.32</v>
      </c>
      <c r="X58">
        <v>0.09</v>
      </c>
      <c r="Y58">
        <v>15.33</v>
      </c>
      <c r="Z58" t="s">
        <v>340</v>
      </c>
      <c r="AA58" t="s">
        <v>522</v>
      </c>
      <c r="AB58" t="s">
        <v>2593</v>
      </c>
      <c r="AC58" t="s">
        <v>2594</v>
      </c>
      <c r="AD58" t="s">
        <v>35</v>
      </c>
      <c r="AE58">
        <v>-1402419</v>
      </c>
      <c r="AF58" t="s">
        <v>1636</v>
      </c>
      <c r="AG58" t="s">
        <v>35</v>
      </c>
      <c r="AH58" t="s">
        <v>1637</v>
      </c>
      <c r="AI58" t="s">
        <v>2595</v>
      </c>
      <c r="AJ58" t="s">
        <v>1638</v>
      </c>
      <c r="AK58" t="s">
        <v>2596</v>
      </c>
      <c r="AL58" t="s">
        <v>1639</v>
      </c>
      <c r="AM58" t="s">
        <v>35</v>
      </c>
      <c r="AN58" t="s">
        <v>2597</v>
      </c>
      <c r="AO58" t="s">
        <v>2598</v>
      </c>
      <c r="AP58" t="s">
        <v>2599</v>
      </c>
      <c r="AQ58" t="s">
        <v>2600</v>
      </c>
      <c r="AR58" t="s">
        <v>875</v>
      </c>
      <c r="AS58" t="s">
        <v>2601</v>
      </c>
      <c r="AT58" t="s">
        <v>637</v>
      </c>
      <c r="AU58" t="s">
        <v>1477</v>
      </c>
      <c r="AV58" t="s">
        <v>2602</v>
      </c>
      <c r="AW58" t="s">
        <v>2603</v>
      </c>
      <c r="AX58" t="s">
        <v>1055</v>
      </c>
      <c r="AY58" t="s">
        <v>874</v>
      </c>
      <c r="AZ58" t="s">
        <v>549</v>
      </c>
      <c r="BA58" t="s">
        <v>293</v>
      </c>
      <c r="BB58" t="s">
        <v>551</v>
      </c>
      <c r="BC58" t="s">
        <v>75</v>
      </c>
      <c r="BD58" t="s">
        <v>59</v>
      </c>
      <c r="BE58" t="s">
        <v>550</v>
      </c>
      <c r="BF58" t="s">
        <v>294</v>
      </c>
      <c r="BG58" t="s">
        <v>552</v>
      </c>
      <c r="BH58" t="s">
        <v>1635</v>
      </c>
      <c r="BI58" t="s">
        <v>2604</v>
      </c>
      <c r="BJ58" t="s">
        <v>1055</v>
      </c>
      <c r="BK58" t="s">
        <v>390</v>
      </c>
      <c r="BL58" t="s">
        <v>2605</v>
      </c>
      <c r="BM58" t="s">
        <v>75</v>
      </c>
      <c r="BN58">
        <v>4.6100000000000003</v>
      </c>
      <c r="BO58">
        <v>3.8</v>
      </c>
      <c r="BP58">
        <v>2.91</v>
      </c>
      <c r="BQ58">
        <v>5.26</v>
      </c>
      <c r="BR58">
        <v>4.66</v>
      </c>
      <c r="BS58">
        <v>3.91</v>
      </c>
      <c r="BT58" t="s">
        <v>1640</v>
      </c>
      <c r="BU58" t="s">
        <v>846</v>
      </c>
      <c r="BV58">
        <v>30.59</v>
      </c>
      <c r="BW58">
        <v>26.01</v>
      </c>
      <c r="BX58">
        <v>24.33</v>
      </c>
      <c r="BY58">
        <v>12.14</v>
      </c>
      <c r="BZ58">
        <v>10.02</v>
      </c>
      <c r="CA58">
        <v>9.19</v>
      </c>
      <c r="CB58">
        <v>-3.69</v>
      </c>
      <c r="CC58">
        <v>-12.78</v>
      </c>
      <c r="CD58" t="s">
        <v>2606</v>
      </c>
      <c r="CE58" t="s">
        <v>942</v>
      </c>
      <c r="CF58" s="8">
        <v>-0.9924101558538152</v>
      </c>
      <c r="CG58" s="9">
        <v>-0.99049932229210347</v>
      </c>
      <c r="CH58" s="8">
        <v>126.28826141357422</v>
      </c>
      <c r="CI58" s="8">
        <v>0.14848485589027405</v>
      </c>
      <c r="CJ58" s="8">
        <v>0.19026157259941101</v>
      </c>
      <c r="CK58" s="8">
        <v>-0.13629288971424103</v>
      </c>
      <c r="CL58" s="8">
        <v>0.23699422180652618</v>
      </c>
      <c r="CM58" s="9">
        <v>130.10067749023437</v>
      </c>
      <c r="CN58" s="9">
        <v>0.23140496015548706</v>
      </c>
      <c r="CO58" s="9">
        <v>0.38819095492362976</v>
      </c>
      <c r="CP58" s="9">
        <v>-3.0494274571537971E-2</v>
      </c>
      <c r="CQ58" s="9">
        <v>7.1230111122131348</v>
      </c>
      <c r="CR58">
        <v>1.9575879180138058</v>
      </c>
      <c r="CS58">
        <v>7.7235986145838902E-4</v>
      </c>
      <c r="CT58">
        <v>1.5463917525773196</v>
      </c>
      <c r="CU58" s="8">
        <v>25.345541834831238</v>
      </c>
      <c r="CV58" s="9">
        <v>27.562558048591018</v>
      </c>
      <c r="CW58">
        <v>0.06</v>
      </c>
      <c r="CX58">
        <v>8.499063682369393E-3</v>
      </c>
      <c r="CY58">
        <v>485503598303.39001</v>
      </c>
      <c r="CZ58">
        <v>25.345541834831238</v>
      </c>
      <c r="DA58">
        <v>1.5278279180371043E-5</v>
      </c>
      <c r="DB58">
        <v>270077929018429.56</v>
      </c>
      <c r="DC58">
        <v>24.078264743089676</v>
      </c>
      <c r="DD58">
        <v>1.785659351872422E-9</v>
      </c>
      <c r="DE58">
        <v>2.3108136474480323E+18</v>
      </c>
      <c r="DF58">
        <v>22.304076814651488</v>
      </c>
      <c r="DG58">
        <v>1.890812305346392E-14</v>
      </c>
      <c r="DH58">
        <v>2.1823033350970645E+23</v>
      </c>
      <c r="DI58">
        <v>20.27643346786499</v>
      </c>
      <c r="DJ58">
        <v>2.2353329386417275E-26</v>
      </c>
      <c r="DK58">
        <v>1.8459558881225593E+35</v>
      </c>
      <c r="DL58">
        <v>17.741879284381866</v>
      </c>
      <c r="DM58">
        <v>19534000000</v>
      </c>
      <c r="DN58">
        <v>25.345541834831238</v>
      </c>
      <c r="DO58">
        <v>4126326000.0000005</v>
      </c>
      <c r="DP58">
        <v>3274439500</v>
      </c>
      <c r="DQ58">
        <v>3809</v>
      </c>
      <c r="DR58">
        <v>-26.337951990685053</v>
      </c>
      <c r="DS58">
        <v>-28.553057370883121</v>
      </c>
      <c r="DT58" s="10">
        <v>9.3333333333333268E-2</v>
      </c>
      <c r="DU58">
        <v>0.67166666666666675</v>
      </c>
      <c r="DV58">
        <v>0.76500000000000001</v>
      </c>
      <c r="DW58">
        <v>-8.2887323943661979</v>
      </c>
      <c r="DX58">
        <v>0.28757139534883625</v>
      </c>
      <c r="DY58">
        <v>-8.033946670488044</v>
      </c>
      <c r="DZ58">
        <v>1528</v>
      </c>
      <c r="EA58">
        <v>-8.0237958852618743</v>
      </c>
      <c r="EB58">
        <v>8</v>
      </c>
      <c r="EC58">
        <v>5.269512195121951E-2</v>
      </c>
      <c r="ED58">
        <v>0.44819678966020432</v>
      </c>
      <c r="EE58" s="11">
        <v>4.8910000000000002E-2</v>
      </c>
      <c r="EF58">
        <v>7.1609999999999993E-2</v>
      </c>
      <c r="EG58">
        <v>17.117571395348836</v>
      </c>
      <c r="EH58">
        <v>-1</v>
      </c>
      <c r="EI58">
        <v>0</v>
      </c>
      <c r="EJ58">
        <v>0</v>
      </c>
      <c r="EK58" s="13">
        <v>45470</v>
      </c>
      <c r="EL58" s="14">
        <v>-1.07</v>
      </c>
      <c r="EM58" s="14">
        <v>-0.28000000000000003</v>
      </c>
      <c r="EN58" s="14">
        <v>-2.2999999999999998</v>
      </c>
      <c r="EO58" s="14">
        <v>2.2400000000000002</v>
      </c>
      <c r="EP58" s="14">
        <v>-2.27</v>
      </c>
    </row>
    <row r="59" spans="1:146" ht="96" x14ac:dyDescent="0.25">
      <c r="A59" s="7"/>
      <c r="B59" s="7"/>
      <c r="C59" s="7" t="str">
        <f>""&amp;CHAR(10)&amp;Basic_Fundamental_Information_Constructure(F59)&amp;CHAR(10)&amp;Basic_Fundamental_Information_Concatenate("")</f>
        <v xml:space="preserve">
市值1101.33831亿, 利润6.77亿; PE; 平均PE-966.09; 平均PEG-52.07, PB1.32; ROIC2.215%; ROE-.83%; 股利率.207%; 毛利8.5167%; 净利-2.27%; 上一年度营收增-94.39%, 利润增130.62%; 当季营收增1481.18%, 利润增-37.67%; 过往5年营收增-18.55%, 利润增-207.86%
Income profile:
</v>
      </c>
      <c r="D59" t="s">
        <v>295</v>
      </c>
      <c r="E59" t="s">
        <v>19</v>
      </c>
      <c r="F59">
        <v>4.83</v>
      </c>
      <c r="G59">
        <v>-0.62</v>
      </c>
      <c r="H59" t="s">
        <v>2607</v>
      </c>
      <c r="I59">
        <v>110133831000</v>
      </c>
      <c r="K59">
        <v>1.32</v>
      </c>
      <c r="L59" t="s">
        <v>1792</v>
      </c>
      <c r="M59" t="s">
        <v>1641</v>
      </c>
      <c r="N59" t="s">
        <v>2608</v>
      </c>
      <c r="O59" t="s">
        <v>1642</v>
      </c>
      <c r="P59">
        <v>49</v>
      </c>
      <c r="Q59" t="s">
        <v>547</v>
      </c>
      <c r="R59">
        <v>135259100</v>
      </c>
      <c r="S59" s="6">
        <v>1.036</v>
      </c>
      <c r="T59" t="s">
        <v>2609</v>
      </c>
      <c r="U59">
        <v>22802035000</v>
      </c>
      <c r="V59">
        <v>22802035000</v>
      </c>
      <c r="W59">
        <v>2.35</v>
      </c>
      <c r="X59">
        <v>0.05</v>
      </c>
      <c r="Y59">
        <v>1.32</v>
      </c>
      <c r="Z59" t="s">
        <v>2610</v>
      </c>
      <c r="AA59" t="s">
        <v>2611</v>
      </c>
      <c r="AB59" t="s">
        <v>73</v>
      </c>
      <c r="AC59" t="s">
        <v>1789</v>
      </c>
      <c r="AD59" t="s">
        <v>35</v>
      </c>
      <c r="AE59">
        <v>-110785063</v>
      </c>
      <c r="AF59" t="s">
        <v>1645</v>
      </c>
      <c r="AG59" t="s">
        <v>2612</v>
      </c>
      <c r="AH59" t="s">
        <v>1646</v>
      </c>
      <c r="AI59" t="s">
        <v>2613</v>
      </c>
      <c r="AJ59" t="s">
        <v>1647</v>
      </c>
      <c r="AK59" t="s">
        <v>1264</v>
      </c>
      <c r="AL59" t="s">
        <v>1648</v>
      </c>
      <c r="AM59" t="s">
        <v>35</v>
      </c>
      <c r="AN59" t="s">
        <v>2614</v>
      </c>
      <c r="AO59" t="s">
        <v>1587</v>
      </c>
      <c r="AP59" t="s">
        <v>2615</v>
      </c>
      <c r="AQ59" t="s">
        <v>2616</v>
      </c>
      <c r="AR59" t="s">
        <v>35</v>
      </c>
      <c r="AS59" t="s">
        <v>2617</v>
      </c>
      <c r="AT59" t="s">
        <v>2618</v>
      </c>
      <c r="AU59" t="s">
        <v>2619</v>
      </c>
      <c r="AV59" t="s">
        <v>2620</v>
      </c>
      <c r="AW59" t="s">
        <v>2621</v>
      </c>
      <c r="AX59" t="s">
        <v>1056</v>
      </c>
      <c r="AY59" t="s">
        <v>876</v>
      </c>
      <c r="AZ59" t="s">
        <v>553</v>
      </c>
      <c r="BA59" t="s">
        <v>554</v>
      </c>
      <c r="BB59" t="s">
        <v>555</v>
      </c>
      <c r="BC59" t="s">
        <v>1649</v>
      </c>
      <c r="BD59" t="s">
        <v>614</v>
      </c>
      <c r="BE59" t="s">
        <v>1650</v>
      </c>
      <c r="BF59" t="s">
        <v>397</v>
      </c>
      <c r="BG59" t="s">
        <v>1633</v>
      </c>
      <c r="BH59" t="s">
        <v>1643</v>
      </c>
      <c r="BI59" t="s">
        <v>1133</v>
      </c>
      <c r="BJ59" t="s">
        <v>1056</v>
      </c>
      <c r="BK59" t="s">
        <v>1644</v>
      </c>
      <c r="BL59" t="s">
        <v>828</v>
      </c>
      <c r="BM59" t="s">
        <v>1649</v>
      </c>
      <c r="BN59">
        <v>5.12</v>
      </c>
      <c r="BO59" t="s">
        <v>35</v>
      </c>
      <c r="BP59">
        <v>-0.69</v>
      </c>
      <c r="BQ59">
        <v>-0.13</v>
      </c>
      <c r="BR59">
        <v>-2.62</v>
      </c>
      <c r="BS59">
        <v>0.26</v>
      </c>
      <c r="BT59" t="s">
        <v>998</v>
      </c>
      <c r="BU59" t="s">
        <v>846</v>
      </c>
      <c r="BV59">
        <v>9.8000000000000007</v>
      </c>
      <c r="BW59">
        <v>7.79</v>
      </c>
      <c r="BX59">
        <v>7.96</v>
      </c>
      <c r="BY59">
        <v>-1.7</v>
      </c>
      <c r="BZ59">
        <v>-5.4</v>
      </c>
      <c r="CA59">
        <v>0.28999999999999998</v>
      </c>
      <c r="CB59">
        <v>-2.0299999999999998</v>
      </c>
      <c r="CC59">
        <v>-3.4</v>
      </c>
      <c r="CD59" t="s">
        <v>173</v>
      </c>
      <c r="CE59" t="s">
        <v>2622</v>
      </c>
      <c r="CF59" s="8">
        <v>14.811819595645412</v>
      </c>
      <c r="CG59" s="9">
        <v>-0.37668617511520736</v>
      </c>
      <c r="CH59" s="8">
        <v>-0.94392484426498413</v>
      </c>
      <c r="CI59" s="8">
        <v>0.1167454794049263</v>
      </c>
      <c r="CJ59" s="8">
        <v>0.13272783160209656</v>
      </c>
      <c r="CK59" s="8">
        <v>-8.6612887680530548E-2</v>
      </c>
      <c r="CL59" s="8">
        <v>-0.14664050936698914</v>
      </c>
      <c r="CM59" s="9">
        <v>1.3061962127685547</v>
      </c>
      <c r="CN59" s="9">
        <v>-11.050000190734863</v>
      </c>
      <c r="CO59" s="9">
        <v>1.5835543870925903</v>
      </c>
      <c r="CP59" s="9">
        <v>-1.919512152671814</v>
      </c>
      <c r="CQ59" s="9">
        <v>-0.31323283910751343</v>
      </c>
      <c r="CR59">
        <v>-966.08623684210522</v>
      </c>
      <c r="CS59">
        <v>-52.068616069766158</v>
      </c>
      <c r="CT59">
        <v>0.20703933747412009</v>
      </c>
      <c r="CU59" s="8">
        <v>-0.1855409860610962</v>
      </c>
      <c r="CV59" s="9">
        <v>-2.0785989165306091</v>
      </c>
      <c r="CW59">
        <v>0.06</v>
      </c>
      <c r="CX59">
        <v>206.51230576070901</v>
      </c>
      <c r="CY59" t="s">
        <v>2623</v>
      </c>
      <c r="CZ59">
        <v>-0.1855409860610962</v>
      </c>
      <c r="DA59">
        <v>68.837435253569666</v>
      </c>
      <c r="DB59" t="s">
        <v>2624</v>
      </c>
      <c r="DC59">
        <v>-0.17626393675804139</v>
      </c>
      <c r="DD59">
        <v>34.418717626784833</v>
      </c>
      <c r="DE59" t="s">
        <v>2625</v>
      </c>
      <c r="DF59">
        <v>-0.16327606773376466</v>
      </c>
      <c r="DG59">
        <v>20.651230576070901</v>
      </c>
      <c r="DH59" t="s">
        <v>2626</v>
      </c>
      <c r="DI59">
        <v>-0.14843278884887698</v>
      </c>
      <c r="DJ59">
        <v>10.325615288035451</v>
      </c>
      <c r="DK59" t="s">
        <v>2627</v>
      </c>
      <c r="DL59">
        <v>-0.12987869024276733</v>
      </c>
      <c r="DM59">
        <v>677000000</v>
      </c>
      <c r="DN59">
        <v>-0.1855409860610962</v>
      </c>
      <c r="DO59">
        <v>139808831000</v>
      </c>
      <c r="DP59">
        <v>50601720000</v>
      </c>
      <c r="DQ59">
        <v>3835</v>
      </c>
      <c r="DR59">
        <v>14.997360581706507</v>
      </c>
      <c r="DS59">
        <v>1.7019127414154018</v>
      </c>
      <c r="DT59" s="10">
        <v>-0.77333333333333332</v>
      </c>
      <c r="DU59">
        <v>-1.3066666666666666</v>
      </c>
      <c r="DV59">
        <v>-2.08</v>
      </c>
      <c r="DW59">
        <v>-1.034</v>
      </c>
      <c r="DX59">
        <v>0.37926694329183919</v>
      </c>
      <c r="DY59">
        <v>-1.0037150760719225</v>
      </c>
      <c r="DZ59">
        <v>2771</v>
      </c>
      <c r="EA59">
        <v>-1.0017005015522948</v>
      </c>
      <c r="EB59">
        <v>1</v>
      </c>
      <c r="EC59">
        <v>1.3858412198735771E-2</v>
      </c>
      <c r="ED59">
        <v>0.12683078505931597</v>
      </c>
      <c r="EE59" s="11">
        <v>2.0378099999999999</v>
      </c>
      <c r="EF59">
        <v>2.02461</v>
      </c>
      <c r="EG59">
        <v>27.109266943291839</v>
      </c>
      <c r="EH59" t="s">
        <v>975</v>
      </c>
      <c r="EI59">
        <v>0</v>
      </c>
      <c r="EJ59">
        <v>0</v>
      </c>
      <c r="EK59" s="13">
        <v>45470</v>
      </c>
      <c r="EL59" s="14">
        <v>-0.45</v>
      </c>
      <c r="EM59" s="14">
        <v>0.45</v>
      </c>
      <c r="EN59" s="14">
        <v>0.67</v>
      </c>
      <c r="EO59" s="14">
        <v>0.66</v>
      </c>
      <c r="EP59" s="14">
        <v>1.32</v>
      </c>
    </row>
    <row r="60" spans="1:146" ht="84" x14ac:dyDescent="0.25">
      <c r="A60" s="7"/>
      <c r="B60" s="7"/>
      <c r="C60" s="7" t="str">
        <f>""&amp;CHAR(10)&amp;Basic_Fundamental_Information_Constructure(F60)&amp;CHAR(10)&amp;Basic_Fundamental_Information_Concatenate("")</f>
        <v xml:space="preserve">
市值20.605945亿, 利润1.11亿; PE; 平均PE28.99; 平均PEG.49, PB2.56; ROIC6.08%; ROE6.3333%; 股利率0%; 毛利34.91%; 净利1.0833%; 上一年度营收增256.22%, 利润增216.29%; 当季营收增-95.82%, 利润增-135.73%; 过往5年营收增59.32%, 利润增32.44%
Income profile:
</v>
      </c>
      <c r="D60" t="s">
        <v>712</v>
      </c>
      <c r="E60" t="s">
        <v>713</v>
      </c>
      <c r="F60">
        <v>26.31</v>
      </c>
      <c r="G60">
        <v>1.1100000000000001</v>
      </c>
      <c r="H60" t="s">
        <v>2628</v>
      </c>
      <c r="I60">
        <v>2060594500</v>
      </c>
      <c r="K60">
        <v>2.56</v>
      </c>
      <c r="L60" t="s">
        <v>1792</v>
      </c>
      <c r="M60" t="s">
        <v>404</v>
      </c>
      <c r="N60" t="s">
        <v>2629</v>
      </c>
      <c r="O60" t="s">
        <v>1651</v>
      </c>
      <c r="P60">
        <v>-48.56</v>
      </c>
      <c r="Q60" t="s">
        <v>1007</v>
      </c>
      <c r="R60">
        <v>-10274131</v>
      </c>
      <c r="S60" s="6">
        <v>-0.84109999999999996</v>
      </c>
      <c r="T60" t="s">
        <v>138</v>
      </c>
      <c r="U60">
        <v>26297276</v>
      </c>
      <c r="V60">
        <v>78319822</v>
      </c>
      <c r="W60">
        <v>1.3</v>
      </c>
      <c r="X60">
        <v>0.01</v>
      </c>
      <c r="Y60">
        <v>-82.39</v>
      </c>
      <c r="Z60" t="s">
        <v>1695</v>
      </c>
      <c r="AA60" t="s">
        <v>2630</v>
      </c>
      <c r="AB60" t="s">
        <v>2631</v>
      </c>
      <c r="AC60" t="s">
        <v>2632</v>
      </c>
      <c r="AD60" t="s">
        <v>35</v>
      </c>
      <c r="AE60">
        <v>92322</v>
      </c>
      <c r="AF60" t="s">
        <v>102</v>
      </c>
      <c r="AG60" t="s">
        <v>35</v>
      </c>
      <c r="AH60" t="s">
        <v>1158</v>
      </c>
      <c r="AI60" t="s">
        <v>350</v>
      </c>
      <c r="AJ60" t="s">
        <v>1653</v>
      </c>
      <c r="AK60" t="s">
        <v>2633</v>
      </c>
      <c r="AL60" t="s">
        <v>1654</v>
      </c>
      <c r="AM60" t="s">
        <v>35</v>
      </c>
      <c r="AN60" t="s">
        <v>2634</v>
      </c>
      <c r="AO60" t="s">
        <v>2635</v>
      </c>
      <c r="AP60" t="s">
        <v>2636</v>
      </c>
      <c r="AQ60" t="s">
        <v>2637</v>
      </c>
      <c r="AR60" t="s">
        <v>35</v>
      </c>
      <c r="AS60" t="s">
        <v>140</v>
      </c>
      <c r="AT60" t="s">
        <v>35</v>
      </c>
      <c r="AU60" t="s">
        <v>2638</v>
      </c>
      <c r="AV60" t="s">
        <v>2639</v>
      </c>
      <c r="AW60" t="s">
        <v>2640</v>
      </c>
      <c r="AX60" t="s">
        <v>626</v>
      </c>
      <c r="AY60" t="s">
        <v>373</v>
      </c>
      <c r="AZ60" t="s">
        <v>395</v>
      </c>
      <c r="BA60" t="s">
        <v>455</v>
      </c>
      <c r="BB60" t="s">
        <v>111</v>
      </c>
      <c r="BC60" t="s">
        <v>1057</v>
      </c>
      <c r="BD60" t="s">
        <v>714</v>
      </c>
      <c r="BE60" t="s">
        <v>715</v>
      </c>
      <c r="BF60" t="s">
        <v>716</v>
      </c>
      <c r="BG60" t="s">
        <v>717</v>
      </c>
      <c r="BH60" t="s">
        <v>573</v>
      </c>
      <c r="BI60" t="s">
        <v>60</v>
      </c>
      <c r="BJ60" t="s">
        <v>626</v>
      </c>
      <c r="BK60" t="s">
        <v>1652</v>
      </c>
      <c r="BL60" t="s">
        <v>2641</v>
      </c>
      <c r="BM60" t="s">
        <v>1057</v>
      </c>
      <c r="BN60">
        <v>0.12</v>
      </c>
      <c r="BO60">
        <v>4.54</v>
      </c>
      <c r="BP60">
        <v>13.58</v>
      </c>
      <c r="BQ60">
        <v>0.21</v>
      </c>
      <c r="BR60">
        <v>4.49</v>
      </c>
      <c r="BS60">
        <v>14.3</v>
      </c>
      <c r="BT60" t="s">
        <v>948</v>
      </c>
      <c r="BU60" t="s">
        <v>733</v>
      </c>
      <c r="BV60">
        <v>13.82</v>
      </c>
      <c r="BW60">
        <v>42.34</v>
      </c>
      <c r="BX60">
        <v>48.57</v>
      </c>
      <c r="BY60">
        <v>-29.12</v>
      </c>
      <c r="BZ60">
        <v>9.49</v>
      </c>
      <c r="CA60">
        <v>22.88</v>
      </c>
      <c r="CB60">
        <v>-7.1</v>
      </c>
      <c r="CC60">
        <v>-32.56</v>
      </c>
      <c r="CD60" t="s">
        <v>2642</v>
      </c>
      <c r="CE60" t="s">
        <v>2643</v>
      </c>
      <c r="CF60" s="8">
        <v>-0.95815335570469795</v>
      </c>
      <c r="CG60" s="9">
        <v>-1.3573312488696598</v>
      </c>
      <c r="CH60" s="8">
        <v>2.5621621608734131</v>
      </c>
      <c r="CI60" s="8">
        <v>0.21311475336551666</v>
      </c>
      <c r="CJ60" s="8">
        <v>4.0955632925033569E-2</v>
      </c>
      <c r="CK60" s="8">
        <v>0.23109243810176849</v>
      </c>
      <c r="CL60" s="8">
        <v>-8.1081077456474304E-2</v>
      </c>
      <c r="CM60" s="9">
        <v>2.1628618240356445</v>
      </c>
      <c r="CN60" s="9">
        <v>-0.49734312295913696</v>
      </c>
      <c r="CO60" s="9">
        <v>7.0503591559827328E-3</v>
      </c>
      <c r="CP60" s="9">
        <v>1.7037220299243927E-2</v>
      </c>
      <c r="CQ60" s="9">
        <v>-6.766781210899353E-2</v>
      </c>
      <c r="CR60">
        <v>28.9865579624859</v>
      </c>
      <c r="CS60">
        <v>0.48860712172341469</v>
      </c>
      <c r="CT60">
        <v>0</v>
      </c>
      <c r="CU60" s="8">
        <v>0.59324878156185146</v>
      </c>
      <c r="CV60" s="9">
        <v>0.32438769368454812</v>
      </c>
      <c r="CW60">
        <v>0.06</v>
      </c>
      <c r="CX60">
        <v>9.174014872736679</v>
      </c>
      <c r="CY60">
        <v>166840202.59751463</v>
      </c>
      <c r="CZ60">
        <v>0.59324878156185146</v>
      </c>
      <c r="DA60">
        <v>2.0099247540482832</v>
      </c>
      <c r="DB60">
        <v>761518309.03975797</v>
      </c>
      <c r="DC60">
        <v>0.56358634248375883</v>
      </c>
      <c r="DD60">
        <v>0.53908804668441956</v>
      </c>
      <c r="DE60">
        <v>2839229156.3756471</v>
      </c>
      <c r="DF60">
        <v>0.5220589277744293</v>
      </c>
      <c r="DG60">
        <v>0.14829014113184905</v>
      </c>
      <c r="DH60">
        <v>10321620090.974924</v>
      </c>
      <c r="DI60">
        <v>0.47459902524948117</v>
      </c>
      <c r="DJ60">
        <v>1.0712924989201887E-2</v>
      </c>
      <c r="DK60">
        <v>142873631761.89188</v>
      </c>
      <c r="DL60">
        <v>0.41527414709329602</v>
      </c>
      <c r="DM60">
        <v>111000000.00000001</v>
      </c>
      <c r="DN60">
        <v>0.59324878156185146</v>
      </c>
      <c r="DO60">
        <v>1530594500</v>
      </c>
      <c r="DP60">
        <v>484216960</v>
      </c>
      <c r="DQ60">
        <v>4043</v>
      </c>
      <c r="DR60">
        <v>-1.5514021372665494</v>
      </c>
      <c r="DS60">
        <v>-1.6817189425542081</v>
      </c>
      <c r="DT60" s="10">
        <v>0.12666666666666662</v>
      </c>
      <c r="DU60">
        <v>-0.74833333333333341</v>
      </c>
      <c r="DV60">
        <v>-0.62166666666666681</v>
      </c>
      <c r="DW60">
        <v>-9.2180589680589673</v>
      </c>
      <c r="DX60">
        <v>0.28702744816013365</v>
      </c>
      <c r="DY60">
        <v>-9.0211577052191938</v>
      </c>
      <c r="DZ60">
        <v>2921</v>
      </c>
      <c r="EA60">
        <v>-9.0090634474999636</v>
      </c>
      <c r="EB60">
        <v>9</v>
      </c>
      <c r="EC60">
        <v>0.10955974848870316</v>
      </c>
      <c r="ED60">
        <v>1.1291624232751705</v>
      </c>
      <c r="EE60" s="11">
        <v>1.09581</v>
      </c>
      <c r="EF60">
        <v>1.1306099999999999</v>
      </c>
      <c r="EG60">
        <v>19.097027448160134</v>
      </c>
      <c r="EH60" t="s">
        <v>969</v>
      </c>
      <c r="EI60">
        <v>0</v>
      </c>
      <c r="EJ60">
        <v>0</v>
      </c>
      <c r="EK60" s="13">
        <v>45470</v>
      </c>
      <c r="EL60" s="14">
        <v>1.04</v>
      </c>
      <c r="EM60" s="14">
        <v>-0.49</v>
      </c>
      <c r="EN60" s="14">
        <v>-0.17</v>
      </c>
      <c r="EO60" s="14">
        <v>2.5299999999999998</v>
      </c>
      <c r="EP60" s="14">
        <v>-3.48</v>
      </c>
    </row>
    <row r="61" spans="1:146" ht="168" x14ac:dyDescent="0.25">
      <c r="A61" s="7" t="s">
        <v>1769</v>
      </c>
      <c r="B61" s="7" t="s">
        <v>1770</v>
      </c>
      <c r="C61" s="7" t="str">
        <f>"公司是从事金属锻件的研发、生产和销售的高新技术企业；公司的主营产品包括辗制环形锻件、自由锻件和精密模锻件，可应用于航空、航天、船舶、电力、石化以及其他各类机械等多个行业领域。"&amp;CHAR(10)&amp;Basic_Fundamental_Information_Constructure(F61)&amp;CHAR(10)&amp;Basic_Fundamental_Information_Concatenate("航空航天锻件收入 11.29亿 31.19% 4.95亿 57.23% 43.83%
石化锻件收入 9.29亿 25.68% 1.47亿 17.00% 15.81%
电力锻件收入 8.62亿 23.82% 1.33亿 15.40% 15.44%
其他业务 4.24亿 11.72% 3105.99万 3.59% 7.33%
其他类锻件收入 2.75亿 7.59% 5865.73万 6.79% 21.36%")</f>
        <v>公司是从事金属锻件的研发、生产和销售的高新技术企业；公司的主营产品包括辗制环形锻件、自由锻件和精密模锻件，可应用于航空、航天、船舶、电力、石化以及其他各类机械等多个行业领域。
市值61.215535亿, 利润9117.82万; PE14.53; 平均PE27.84; 平均PEG1.03, PB1.4; ROIC13.9167%; ROE16.07%; 股利率2.5337%; 毛利26.0833%; 净利16.2%; 上一年度营收增-45.4%, 利润增-81.24%; 当季营收增167.5%, 利润增550.3%; 过往5年营收增27.08%, 利润增22.48%
Income profile:
航空航天锻件收入 11.29亿 31.19% 4.95亿 57.23% 43.83%
石化锻件收入 9.29亿 25.68% 1.47亿 17.00% 15.81%
电力锻件收入 8.62亿 23.82% 1.33亿 15.40% 15.44%
其他业务 4.24亿 11.72% 3105.99万 3.59% 7.33%
其他类锻件收入 2.75亿 7.59% 5865.73万 6.79% 21.36%</v>
      </c>
      <c r="D61" t="s">
        <v>657</v>
      </c>
      <c r="E61" t="s">
        <v>658</v>
      </c>
      <c r="F61">
        <v>50.52</v>
      </c>
      <c r="G61">
        <v>-0.04</v>
      </c>
      <c r="H61" t="s">
        <v>2640</v>
      </c>
      <c r="I61">
        <v>6121553500</v>
      </c>
      <c r="J61">
        <v>14.53</v>
      </c>
      <c r="K61">
        <v>1.4</v>
      </c>
      <c r="L61" t="s">
        <v>1792</v>
      </c>
      <c r="M61" t="s">
        <v>1117</v>
      </c>
      <c r="N61" t="s">
        <v>2644</v>
      </c>
      <c r="O61" t="s">
        <v>1136</v>
      </c>
      <c r="P61">
        <v>-20.56</v>
      </c>
      <c r="Q61" t="s">
        <v>1000</v>
      </c>
      <c r="R61">
        <v>72590899</v>
      </c>
      <c r="S61" s="6">
        <v>-0.49370000000000003</v>
      </c>
      <c r="T61" t="s">
        <v>2645</v>
      </c>
      <c r="U61">
        <v>121170892</v>
      </c>
      <c r="V61">
        <v>121170892</v>
      </c>
      <c r="W61">
        <v>1.56</v>
      </c>
      <c r="X61">
        <v>0.11</v>
      </c>
      <c r="Y61">
        <v>9.69</v>
      </c>
      <c r="Z61" t="s">
        <v>847</v>
      </c>
      <c r="AA61" t="s">
        <v>979</v>
      </c>
      <c r="AB61" t="s">
        <v>2646</v>
      </c>
      <c r="AC61" t="s">
        <v>2647</v>
      </c>
      <c r="AD61" t="s">
        <v>35</v>
      </c>
      <c r="AE61">
        <v>-4807893</v>
      </c>
      <c r="AF61" t="s">
        <v>1657</v>
      </c>
      <c r="AG61" t="s">
        <v>2648</v>
      </c>
      <c r="AH61" t="s">
        <v>1658</v>
      </c>
      <c r="AI61" t="s">
        <v>1355</v>
      </c>
      <c r="AJ61" t="s">
        <v>1659</v>
      </c>
      <c r="AK61" t="s">
        <v>421</v>
      </c>
      <c r="AL61" t="s">
        <v>1660</v>
      </c>
      <c r="AM61" t="s">
        <v>35</v>
      </c>
      <c r="AN61" t="s">
        <v>983</v>
      </c>
      <c r="AO61" t="s">
        <v>93</v>
      </c>
      <c r="AP61" t="s">
        <v>392</v>
      </c>
      <c r="AQ61" t="s">
        <v>1109</v>
      </c>
      <c r="AR61" t="s">
        <v>35</v>
      </c>
      <c r="AS61" t="s">
        <v>2649</v>
      </c>
      <c r="AT61" t="s">
        <v>35</v>
      </c>
      <c r="AU61" t="s">
        <v>226</v>
      </c>
      <c r="AV61" t="s">
        <v>2650</v>
      </c>
      <c r="AW61" t="s">
        <v>2651</v>
      </c>
      <c r="AX61" t="s">
        <v>1058</v>
      </c>
      <c r="AY61" t="s">
        <v>877</v>
      </c>
      <c r="AZ61" t="s">
        <v>615</v>
      </c>
      <c r="BA61" t="s">
        <v>659</v>
      </c>
      <c r="BB61" t="s">
        <v>660</v>
      </c>
      <c r="BC61" t="s">
        <v>191</v>
      </c>
      <c r="BD61" t="s">
        <v>98</v>
      </c>
      <c r="BE61" t="s">
        <v>80</v>
      </c>
      <c r="BF61" t="s">
        <v>419</v>
      </c>
      <c r="BG61" t="s">
        <v>335</v>
      </c>
      <c r="BH61" t="s">
        <v>1656</v>
      </c>
      <c r="BI61" t="s">
        <v>165</v>
      </c>
      <c r="BJ61" t="s">
        <v>1058</v>
      </c>
      <c r="BK61" t="s">
        <v>1310</v>
      </c>
      <c r="BL61" t="s">
        <v>2652</v>
      </c>
      <c r="BM61" t="s">
        <v>191</v>
      </c>
      <c r="BN61">
        <v>9.2200000000000006</v>
      </c>
      <c r="BO61">
        <v>15.6</v>
      </c>
      <c r="BP61">
        <v>16.93</v>
      </c>
      <c r="BQ61">
        <v>10.44</v>
      </c>
      <c r="BR61">
        <v>19.88</v>
      </c>
      <c r="BS61">
        <v>17.89</v>
      </c>
      <c r="BT61" t="s">
        <v>1661</v>
      </c>
      <c r="BU61" t="s">
        <v>733</v>
      </c>
      <c r="BV61">
        <v>23.89</v>
      </c>
      <c r="BW61">
        <v>25.36</v>
      </c>
      <c r="BX61">
        <v>29</v>
      </c>
      <c r="BY61">
        <v>13.6</v>
      </c>
      <c r="BZ61">
        <v>17.46</v>
      </c>
      <c r="CA61">
        <v>17.54</v>
      </c>
      <c r="CB61">
        <v>-10.07</v>
      </c>
      <c r="CC61">
        <v>-22.89</v>
      </c>
      <c r="CD61" t="s">
        <v>2653</v>
      </c>
      <c r="CE61" t="s">
        <v>2654</v>
      </c>
      <c r="CF61" s="8">
        <v>1.675</v>
      </c>
      <c r="CG61" s="9">
        <v>5.5030457957823442</v>
      </c>
      <c r="CH61" s="8">
        <v>-0.45398992300033569</v>
      </c>
      <c r="CI61" s="8">
        <v>0.60530883073806763</v>
      </c>
      <c r="CJ61" s="8">
        <v>0.68579763174057007</v>
      </c>
      <c r="CK61" s="8">
        <v>0.16289593279361725</v>
      </c>
      <c r="CL61" s="8">
        <v>0.35375192761421204</v>
      </c>
      <c r="CM61" s="9">
        <v>-0.81239050626754761</v>
      </c>
      <c r="CN61" s="9">
        <v>0.59868419170379639</v>
      </c>
      <c r="CO61" s="9">
        <v>0.82035928964614868</v>
      </c>
      <c r="CP61" s="9">
        <v>3.0864197760820389E-2</v>
      </c>
      <c r="CQ61" s="9">
        <v>0.48623853921890259</v>
      </c>
      <c r="CR61">
        <v>27.842577295470768</v>
      </c>
      <c r="CS61">
        <v>1.0283391001348787</v>
      </c>
      <c r="CT61">
        <v>2.5336500395882817</v>
      </c>
      <c r="CU61" s="8">
        <v>0.27075287997722625</v>
      </c>
      <c r="CV61" s="9">
        <v>0.22475114241242408</v>
      </c>
      <c r="CW61">
        <v>0.06</v>
      </c>
      <c r="CX61">
        <v>37.331275141319288</v>
      </c>
      <c r="CY61">
        <v>109306566.26522598</v>
      </c>
      <c r="CZ61">
        <v>0.27075287997722625</v>
      </c>
      <c r="DA61">
        <v>10.50254784431308</v>
      </c>
      <c r="DB61">
        <v>388529865.37067175</v>
      </c>
      <c r="DC61">
        <v>0.25721523597836493</v>
      </c>
      <c r="DD61">
        <v>4.180348762688415</v>
      </c>
      <c r="DE61">
        <v>976127527.06684792</v>
      </c>
      <c r="DF61">
        <v>0.23826253437995909</v>
      </c>
      <c r="DG61">
        <v>1.9418074657419986</v>
      </c>
      <c r="DH61">
        <v>2101420234.4930985</v>
      </c>
      <c r="DI61">
        <v>0.21660230398178101</v>
      </c>
      <c r="DJ61">
        <v>0.53957382706704426</v>
      </c>
      <c r="DK61">
        <v>7562548988.3017883</v>
      </c>
      <c r="DL61">
        <v>0.18952701598405836</v>
      </c>
      <c r="DM61">
        <v>91178200</v>
      </c>
      <c r="DN61">
        <v>0.27075287997722625</v>
      </c>
      <c r="DO61">
        <v>4080553500</v>
      </c>
      <c r="DP61">
        <v>3081446000</v>
      </c>
      <c r="DQ61">
        <v>4464</v>
      </c>
      <c r="DR61">
        <v>1.4042471200227737</v>
      </c>
      <c r="DS61">
        <v>5.2782946533699198</v>
      </c>
      <c r="DT61" s="10">
        <v>0.17666666666666667</v>
      </c>
      <c r="DU61">
        <v>0.40333333333333332</v>
      </c>
      <c r="DV61">
        <v>0.57999999999999996</v>
      </c>
      <c r="DW61">
        <v>-9.4399301004805594</v>
      </c>
      <c r="DX61">
        <v>0.37841389759738475</v>
      </c>
      <c r="DY61">
        <v>-9.0608924398779234</v>
      </c>
      <c r="DZ61">
        <v>1567</v>
      </c>
      <c r="EA61">
        <v>-9.0422195527372757</v>
      </c>
      <c r="EB61">
        <v>9</v>
      </c>
      <c r="EC61">
        <v>3.2719904380996062E-2</v>
      </c>
      <c r="ED61">
        <v>0.23639175652845734</v>
      </c>
      <c r="EE61" s="11">
        <v>1.1069100000000001</v>
      </c>
      <c r="EF61">
        <v>1.1246099999999999</v>
      </c>
      <c r="EG61">
        <v>24.138413897597385</v>
      </c>
      <c r="EH61" t="s">
        <v>969</v>
      </c>
      <c r="EI61">
        <v>0</v>
      </c>
      <c r="EJ61">
        <v>0</v>
      </c>
      <c r="EK61" s="13">
        <v>45470</v>
      </c>
      <c r="EL61" s="14">
        <v>0.41</v>
      </c>
      <c r="EM61" s="14">
        <v>-3.77</v>
      </c>
      <c r="EN61" s="14">
        <v>0.25</v>
      </c>
      <c r="EO61" s="14">
        <v>1.27</v>
      </c>
      <c r="EP61" s="14">
        <v>-1.77</v>
      </c>
    </row>
    <row r="62" spans="1:146" ht="84" x14ac:dyDescent="0.25">
      <c r="A62" s="7"/>
      <c r="B62" s="7"/>
      <c r="C62" s="7" t="str">
        <f>""&amp;CHAR(10)&amp;Basic_Fundamental_Information_Constructure(F62)&amp;CHAR(10)&amp;Basic_Fundamental_Information_Concatenate("")</f>
        <v xml:space="preserve">
市值42.065604亿, 利润2153.38万; PE; 平均PE33.14; 平均PEG1.26, PB2.06; ROIC8.905%; ROE6.9467%; 股利率0%; 毛利45.3133%; 净利1.2233%; 上一年度营收增-91.86%, 利润增-91.84%; 当季营收增440.36%, 利润增-7123.7%; 过往5年营收增26.37%, 利润增16.2%
Income profile:
</v>
      </c>
      <c r="D62" t="s">
        <v>297</v>
      </c>
      <c r="E62" t="s">
        <v>298</v>
      </c>
      <c r="F62">
        <v>16.100000000000001</v>
      </c>
      <c r="G62">
        <v>0.88</v>
      </c>
      <c r="H62" t="s">
        <v>2655</v>
      </c>
      <c r="I62">
        <v>4206560400</v>
      </c>
      <c r="K62">
        <v>2.06</v>
      </c>
      <c r="L62" t="s">
        <v>1792</v>
      </c>
      <c r="M62" t="s">
        <v>1663</v>
      </c>
      <c r="N62" t="s">
        <v>1722</v>
      </c>
      <c r="O62" t="s">
        <v>628</v>
      </c>
      <c r="P62">
        <v>-19.489999999999998</v>
      </c>
      <c r="Q62" t="s">
        <v>336</v>
      </c>
      <c r="R62">
        <v>-150679350</v>
      </c>
      <c r="S62" s="6">
        <v>-0.69220000000000004</v>
      </c>
      <c r="T62" t="s">
        <v>2656</v>
      </c>
      <c r="U62">
        <v>261277040</v>
      </c>
      <c r="V62">
        <v>261277040</v>
      </c>
      <c r="W62">
        <v>2.93</v>
      </c>
      <c r="X62">
        <v>0.03</v>
      </c>
      <c r="Y62">
        <v>-68.16</v>
      </c>
      <c r="Z62" t="s">
        <v>1078</v>
      </c>
      <c r="AA62" t="s">
        <v>71</v>
      </c>
      <c r="AB62" t="s">
        <v>2657</v>
      </c>
      <c r="AC62" t="s">
        <v>2658</v>
      </c>
      <c r="AD62" t="s">
        <v>35</v>
      </c>
      <c r="AE62">
        <v>30262714</v>
      </c>
      <c r="AF62" t="s">
        <v>1664</v>
      </c>
      <c r="AG62" t="s">
        <v>2659</v>
      </c>
      <c r="AH62" t="s">
        <v>1665</v>
      </c>
      <c r="AI62" t="s">
        <v>1077</v>
      </c>
      <c r="AJ62" t="s">
        <v>1666</v>
      </c>
      <c r="AK62" t="s">
        <v>2660</v>
      </c>
      <c r="AL62" t="s">
        <v>1667</v>
      </c>
      <c r="AM62" t="s">
        <v>35</v>
      </c>
      <c r="AN62" t="s">
        <v>2661</v>
      </c>
      <c r="AO62" t="s">
        <v>639</v>
      </c>
      <c r="AP62" t="s">
        <v>2662</v>
      </c>
      <c r="AQ62" t="s">
        <v>997</v>
      </c>
      <c r="AR62" t="s">
        <v>35</v>
      </c>
      <c r="AS62" t="s">
        <v>2663</v>
      </c>
      <c r="AT62" t="s">
        <v>224</v>
      </c>
      <c r="AU62" t="s">
        <v>2664</v>
      </c>
      <c r="AV62" t="s">
        <v>2665</v>
      </c>
      <c r="AW62" t="s">
        <v>2666</v>
      </c>
      <c r="AX62" t="s">
        <v>1060</v>
      </c>
      <c r="AY62" t="s">
        <v>879</v>
      </c>
      <c r="AZ62" t="s">
        <v>557</v>
      </c>
      <c r="BA62" t="s">
        <v>299</v>
      </c>
      <c r="BB62" t="s">
        <v>446</v>
      </c>
      <c r="BC62" t="s">
        <v>93</v>
      </c>
      <c r="BD62" t="s">
        <v>336</v>
      </c>
      <c r="BE62" t="s">
        <v>110</v>
      </c>
      <c r="BF62" t="s">
        <v>300</v>
      </c>
      <c r="BG62" t="s">
        <v>558</v>
      </c>
      <c r="BH62" t="s">
        <v>1554</v>
      </c>
      <c r="BI62" t="s">
        <v>2667</v>
      </c>
      <c r="BJ62" t="s">
        <v>1060</v>
      </c>
      <c r="BK62" t="s">
        <v>957</v>
      </c>
      <c r="BL62" t="s">
        <v>2668</v>
      </c>
      <c r="BM62" t="s">
        <v>93</v>
      </c>
      <c r="BN62" t="s">
        <v>35</v>
      </c>
      <c r="BO62">
        <v>8.0299999999999994</v>
      </c>
      <c r="BP62">
        <v>9.7799999999999994</v>
      </c>
      <c r="BQ62">
        <v>-1.52</v>
      </c>
      <c r="BR62">
        <v>10.95</v>
      </c>
      <c r="BS62">
        <v>11.41</v>
      </c>
      <c r="BT62" t="s">
        <v>948</v>
      </c>
      <c r="BU62" t="s">
        <v>844</v>
      </c>
      <c r="BV62">
        <v>35.92</v>
      </c>
      <c r="BW62">
        <v>48.05</v>
      </c>
      <c r="BX62">
        <v>51.97</v>
      </c>
      <c r="BY62">
        <v>-20.69</v>
      </c>
      <c r="BZ62">
        <v>10.75</v>
      </c>
      <c r="CA62">
        <v>13.61</v>
      </c>
      <c r="CB62">
        <v>-9.5500000000000007</v>
      </c>
      <c r="CC62">
        <v>-25.91</v>
      </c>
      <c r="CD62" t="s">
        <v>2669</v>
      </c>
      <c r="CE62" t="s">
        <v>283</v>
      </c>
      <c r="CF62" s="8">
        <v>4.4035947352849849</v>
      </c>
      <c r="CG62" s="9">
        <v>-71.236959865753036</v>
      </c>
      <c r="CH62" s="8">
        <v>-0.91859990358352661</v>
      </c>
      <c r="CI62" s="8">
        <v>0.67370569705963135</v>
      </c>
      <c r="CJ62" s="8">
        <v>0.73317593336105347</v>
      </c>
      <c r="CK62" s="8">
        <v>0.40931779146194458</v>
      </c>
      <c r="CL62" s="8">
        <v>0.42080378532409668</v>
      </c>
      <c r="CM62" s="9">
        <v>-0.91843259334564209</v>
      </c>
      <c r="CN62" s="9">
        <v>0.31999999284744263</v>
      </c>
      <c r="CO62" s="9">
        <v>0.55038762092590332</v>
      </c>
      <c r="CP62" s="9">
        <v>0.54455500841140747</v>
      </c>
      <c r="CQ62" s="9">
        <v>0.31331267952919006</v>
      </c>
      <c r="CR62">
        <v>33.137861054585237</v>
      </c>
      <c r="CS62">
        <v>1.2567421882028313</v>
      </c>
      <c r="CT62">
        <v>0</v>
      </c>
      <c r="CU62" s="8">
        <v>0.26368066072463991</v>
      </c>
      <c r="CV62" s="9">
        <v>0.16196454167366028</v>
      </c>
      <c r="CW62">
        <v>0.06</v>
      </c>
      <c r="CX62">
        <v>242.19650059011045</v>
      </c>
      <c r="CY62">
        <v>25671553.407464385</v>
      </c>
      <c r="CZ62">
        <v>0.26368066072463991</v>
      </c>
      <c r="DA62">
        <v>68.529806943795009</v>
      </c>
      <c r="DB62">
        <v>90727825.996932358</v>
      </c>
      <c r="DC62">
        <v>0.25049662768840791</v>
      </c>
      <c r="DD62">
        <v>27.510912812844424</v>
      </c>
      <c r="DE62">
        <v>226003420.61704025</v>
      </c>
      <c r="DF62">
        <v>0.23203898143768312</v>
      </c>
      <c r="DG62">
        <v>12.918347473704042</v>
      </c>
      <c r="DH62">
        <v>481296885.12065208</v>
      </c>
      <c r="DI62">
        <v>0.21094452857971194</v>
      </c>
      <c r="DJ62">
        <v>3.6900848670310786</v>
      </c>
      <c r="DK62">
        <v>1684936965.9626408</v>
      </c>
      <c r="DL62">
        <v>0.18457646250724793</v>
      </c>
      <c r="DM62">
        <v>21533800</v>
      </c>
      <c r="DN62">
        <v>0.26368066072463991</v>
      </c>
      <c r="DO62">
        <v>6217560400</v>
      </c>
      <c r="DP62">
        <v>2139320500</v>
      </c>
      <c r="DQ62">
        <v>4596</v>
      </c>
      <c r="DR62">
        <v>4.1399140745603447</v>
      </c>
      <c r="DS62">
        <v>-71.398924407426691</v>
      </c>
      <c r="DT62" s="10">
        <v>1.0000000000000011E-2</v>
      </c>
      <c r="DU62">
        <v>-0.7316666666666668</v>
      </c>
      <c r="DV62">
        <v>-0.72166666666666679</v>
      </c>
      <c r="DW62">
        <v>-9.3685835584716326</v>
      </c>
      <c r="DX62">
        <v>0.361929381443298</v>
      </c>
      <c r="DY62">
        <v>-9.0449411652946168</v>
      </c>
      <c r="DZ62">
        <v>1956</v>
      </c>
      <c r="EA62">
        <v>-9.0277386370526855</v>
      </c>
      <c r="EB62">
        <v>9</v>
      </c>
      <c r="EC62">
        <v>9.0533404695644137E-2</v>
      </c>
      <c r="ED62">
        <v>0.74250688081891925</v>
      </c>
      <c r="EE62" s="11">
        <v>3.85E-2</v>
      </c>
      <c r="EF62">
        <v>3.2199999999999999E-2</v>
      </c>
      <c r="EG62">
        <v>24.121929381443298</v>
      </c>
      <c r="EH62" t="s">
        <v>671</v>
      </c>
      <c r="EI62">
        <v>0</v>
      </c>
      <c r="EJ62">
        <v>0</v>
      </c>
      <c r="EK62" s="13">
        <v>45470</v>
      </c>
      <c r="EL62" s="14">
        <v>-0.89</v>
      </c>
      <c r="EM62" s="14">
        <v>-6.97</v>
      </c>
      <c r="EN62" s="14">
        <v>1.85</v>
      </c>
      <c r="EO62" s="14">
        <v>4.8099999999999996</v>
      </c>
      <c r="EP62" s="14">
        <v>-0.63</v>
      </c>
    </row>
    <row r="63" spans="1:146" ht="168" x14ac:dyDescent="0.25">
      <c r="A63" s="7" t="s">
        <v>668</v>
      </c>
      <c r="B63" s="7" t="s">
        <v>669</v>
      </c>
      <c r="C63" s="7" t="s">
        <v>670</v>
      </c>
      <c r="D63" t="s">
        <v>559</v>
      </c>
      <c r="E63" t="s">
        <v>560</v>
      </c>
      <c r="F63">
        <v>26.9</v>
      </c>
      <c r="G63">
        <v>-1.03</v>
      </c>
      <c r="H63" t="s">
        <v>2670</v>
      </c>
      <c r="I63">
        <v>2355902000</v>
      </c>
      <c r="K63">
        <v>4.09</v>
      </c>
      <c r="L63" t="s">
        <v>1792</v>
      </c>
      <c r="M63" t="s">
        <v>1083</v>
      </c>
      <c r="N63" t="s">
        <v>764</v>
      </c>
      <c r="O63" t="s">
        <v>1668</v>
      </c>
      <c r="P63">
        <v>-65.86</v>
      </c>
      <c r="Q63" t="s">
        <v>1727</v>
      </c>
      <c r="R63">
        <v>-29043328</v>
      </c>
      <c r="S63" s="6">
        <v>-20.65</v>
      </c>
      <c r="T63" t="s">
        <v>2671</v>
      </c>
      <c r="U63">
        <v>87580000</v>
      </c>
      <c r="V63">
        <v>87580000</v>
      </c>
      <c r="W63">
        <v>1.54</v>
      </c>
      <c r="X63">
        <v>0.03</v>
      </c>
      <c r="Y63">
        <v>-107.36</v>
      </c>
      <c r="Z63" t="s">
        <v>2672</v>
      </c>
      <c r="AA63" t="s">
        <v>2673</v>
      </c>
      <c r="AB63" t="s">
        <v>2674</v>
      </c>
      <c r="AC63" t="s">
        <v>2675</v>
      </c>
      <c r="AD63" t="s">
        <v>35</v>
      </c>
      <c r="AE63">
        <v>1575632</v>
      </c>
      <c r="AF63" t="s">
        <v>1670</v>
      </c>
      <c r="AG63" t="s">
        <v>2676</v>
      </c>
      <c r="AH63" t="s">
        <v>1671</v>
      </c>
      <c r="AI63" t="s">
        <v>125</v>
      </c>
      <c r="AJ63" t="s">
        <v>1672</v>
      </c>
      <c r="AK63" t="s">
        <v>35</v>
      </c>
      <c r="AL63" t="s">
        <v>1673</v>
      </c>
      <c r="AM63" t="s">
        <v>35</v>
      </c>
      <c r="AN63" t="s">
        <v>1160</v>
      </c>
      <c r="AO63" t="s">
        <v>73</v>
      </c>
      <c r="AP63" t="s">
        <v>2677</v>
      </c>
      <c r="AQ63" t="s">
        <v>2678</v>
      </c>
      <c r="AR63" t="s">
        <v>35</v>
      </c>
      <c r="AS63" t="s">
        <v>64</v>
      </c>
      <c r="AT63" t="s">
        <v>2679</v>
      </c>
      <c r="AU63" t="s">
        <v>2680</v>
      </c>
      <c r="AV63" t="s">
        <v>2681</v>
      </c>
      <c r="AW63" t="s">
        <v>2682</v>
      </c>
      <c r="AX63" t="s">
        <v>974</v>
      </c>
      <c r="AY63" t="s">
        <v>72</v>
      </c>
      <c r="AZ63" t="s">
        <v>189</v>
      </c>
      <c r="BA63" t="s">
        <v>87</v>
      </c>
      <c r="BB63" t="s">
        <v>54</v>
      </c>
      <c r="BC63" t="s">
        <v>1674</v>
      </c>
      <c r="BD63" t="s">
        <v>718</v>
      </c>
      <c r="BE63" t="s">
        <v>561</v>
      </c>
      <c r="BF63" t="s">
        <v>562</v>
      </c>
      <c r="BG63" t="s">
        <v>563</v>
      </c>
      <c r="BH63" t="s">
        <v>451</v>
      </c>
      <c r="BI63" t="s">
        <v>141</v>
      </c>
      <c r="BJ63" t="s">
        <v>974</v>
      </c>
      <c r="BK63" t="s">
        <v>1669</v>
      </c>
      <c r="BL63" t="s">
        <v>2683</v>
      </c>
      <c r="BM63" t="s">
        <v>1674</v>
      </c>
      <c r="BN63" t="s">
        <v>35</v>
      </c>
      <c r="BO63" t="s">
        <v>35</v>
      </c>
      <c r="BP63" t="s">
        <v>35</v>
      </c>
      <c r="BQ63">
        <v>-3.59</v>
      </c>
      <c r="BR63">
        <v>-3.84</v>
      </c>
      <c r="BS63">
        <v>-3.58</v>
      </c>
      <c r="BT63" t="s">
        <v>948</v>
      </c>
      <c r="BU63" t="s">
        <v>733</v>
      </c>
      <c r="BV63">
        <v>44.64</v>
      </c>
      <c r="BW63">
        <v>38.58</v>
      </c>
      <c r="BX63">
        <v>43.1</v>
      </c>
      <c r="BY63">
        <v>-21.5</v>
      </c>
      <c r="BZ63">
        <v>-9.17</v>
      </c>
      <c r="CA63">
        <v>-8.9499999999999993</v>
      </c>
      <c r="CB63">
        <v>-4.8099999999999996</v>
      </c>
      <c r="CC63">
        <v>-27.49</v>
      </c>
      <c r="CD63" t="s">
        <v>2684</v>
      </c>
      <c r="CE63" t="s">
        <v>2685</v>
      </c>
      <c r="CF63" s="8">
        <v>-0.73525533980582525</v>
      </c>
      <c r="CG63" s="9">
        <v>-3.4189872068230271</v>
      </c>
      <c r="CH63" s="8">
        <v>0.22648084163665771</v>
      </c>
      <c r="CI63" s="8">
        <v>0.14800000190734863</v>
      </c>
      <c r="CJ63" s="8">
        <v>-8.0882355570793152E-2</v>
      </c>
      <c r="CK63" s="8">
        <v>0.28909951448440552</v>
      </c>
      <c r="CL63" s="8">
        <v>0.80341881513595581</v>
      </c>
      <c r="CM63" s="9">
        <v>0.38557013869285583</v>
      </c>
      <c r="CN63" s="9">
        <v>-0.13617613911628723</v>
      </c>
      <c r="CO63" s="9">
        <v>-1.5596340894699097</v>
      </c>
      <c r="CP63" s="9">
        <v>4.6822991222143173E-2</v>
      </c>
      <c r="CQ63" s="9">
        <v>0.61805576086044312</v>
      </c>
      <c r="CR63">
        <v>359.51137380971755</v>
      </c>
      <c r="CS63">
        <v>12.968292760269014</v>
      </c>
      <c r="CT63">
        <v>0</v>
      </c>
      <c r="CU63" s="8">
        <v>0.2772233635187149</v>
      </c>
      <c r="CV63" s="9">
        <v>-0.12907226756215096</v>
      </c>
      <c r="CW63">
        <v>0.06</v>
      </c>
      <c r="CX63" t="e">
        <v>#VALUE!</v>
      </c>
      <c r="CY63" t="s">
        <v>739</v>
      </c>
      <c r="CZ63">
        <v>0.2772233635187149</v>
      </c>
      <c r="DA63" t="e">
        <v>#VALUE!</v>
      </c>
      <c r="DB63" t="s">
        <v>740</v>
      </c>
      <c r="DC63">
        <v>0.26336219534277916</v>
      </c>
      <c r="DD63" t="e">
        <v>#VALUE!</v>
      </c>
      <c r="DE63" t="s">
        <v>740</v>
      </c>
      <c r="DF63">
        <v>0.24395655989646911</v>
      </c>
      <c r="DG63" t="e">
        <v>#VALUE!</v>
      </c>
      <c r="DH63" t="s">
        <v>740</v>
      </c>
      <c r="DI63">
        <v>0.22177869081497192</v>
      </c>
      <c r="DJ63" t="e">
        <v>#VALUE!</v>
      </c>
      <c r="DK63" t="s">
        <v>740</v>
      </c>
      <c r="DL63">
        <v>0.19405635446310043</v>
      </c>
      <c r="DM63">
        <v>-16009400</v>
      </c>
      <c r="DN63">
        <v>0.2772233635187149</v>
      </c>
      <c r="DO63">
        <v>2111902000</v>
      </c>
      <c r="DP63">
        <v>186147350</v>
      </c>
      <c r="DQ63">
        <v>4600</v>
      </c>
      <c r="DR63">
        <v>-1.0124787033245402</v>
      </c>
      <c r="DS63">
        <v>-3.2899149392608762</v>
      </c>
      <c r="DT63" s="10">
        <v>4.33333333333333E-2</v>
      </c>
      <c r="DU63">
        <v>-2.0483333333333333</v>
      </c>
      <c r="DV63">
        <v>-2.0049999999999999</v>
      </c>
      <c r="DW63">
        <v>-8.1749727173517641</v>
      </c>
      <c r="DX63">
        <v>0.41789308261674279</v>
      </c>
      <c r="DY63">
        <v>-8.0171286186753914</v>
      </c>
      <c r="DZ63">
        <v>4081</v>
      </c>
      <c r="EA63">
        <v>-8.0034491875962779</v>
      </c>
      <c r="EB63">
        <v>8</v>
      </c>
      <c r="EC63">
        <v>3.2860242064398262E-2</v>
      </c>
      <c r="ED63">
        <v>0.33567481160082213</v>
      </c>
      <c r="EE63" s="11">
        <v>8.1910000000000011E-2</v>
      </c>
      <c r="EF63">
        <v>0.12300999999999999</v>
      </c>
      <c r="EG63">
        <v>32.097893082616743</v>
      </c>
      <c r="EH63">
        <v>-1</v>
      </c>
      <c r="EI63">
        <v>0</v>
      </c>
      <c r="EJ63">
        <v>0</v>
      </c>
      <c r="EK63" s="13">
        <v>45470</v>
      </c>
      <c r="EL63" s="14">
        <v>-2.2200000000000002</v>
      </c>
      <c r="EM63" s="14">
        <v>-9.06</v>
      </c>
      <c r="EN63" s="14">
        <v>-1.07</v>
      </c>
      <c r="EO63" s="14">
        <v>4.68</v>
      </c>
      <c r="EP63" s="14">
        <v>-4.1100000000000003</v>
      </c>
    </row>
    <row r="64" spans="1:146" ht="180" x14ac:dyDescent="0.25">
      <c r="A64" s="7" t="s">
        <v>972</v>
      </c>
      <c r="B64" s="7" t="s">
        <v>973</v>
      </c>
      <c r="C64" s="7" t="str">
        <f>"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amp;CHAR(10)&amp;Basic_Fundamental_Information_Constructure(F64)&amp;CHAR(10)&amp;Basic_Fundamental_Information_Concatenate("高端钛合金材料 24.58亿 83.98% 93.19% 45.31%
超导产品 2.39亿 8.16% 3.26% 16.33%
其他业务 1.28亿 4.39% 3.20% 29.77%
高性能高温合金材料 1.02亿 3.47% 0.34% 4.01%")</f>
        <v>公司主要从事高端钛合金材料、超导产品和高性能高温合金材料的研发、生产和销售。公司主要产品有三类，第一类是高端钛合金材料，包括棒材、丝材和锻坯等；第二类是超导产品，包括铌钛锭棒、铌钛超导线材、铌三锡超导线材和超导磁体等；第三类是高性能高温合金材料，包括变形高温合金、铸造和粉末高温合金母合金等。
市值221.53559亿, 利润1.00亿; PE33.84; 平均PE51.42; 平均PEG3.27, PB3.42; ROIC11.7533%; ROE17.63%; 股利率2.0528%; 毛利37.3833%; 净利23.25%; 上一年度营收增-83.37%, 利润增-90.74%; 当季营收增455.24%, 利润增414.85%; 过往5年营收增15.72%, 利润增41.32%
Income profile:
高端钛合金材料 24.58亿 83.98% 93.19% 45.31%
超导产品 2.39亿 8.16% 3.26% 16.33%
其他业务 1.28亿 4.39% 3.20% 29.77%
高性能高温合金材料 1.02亿 3.47% 0.34% 4.01%</v>
      </c>
      <c r="D64" t="s">
        <v>661</v>
      </c>
      <c r="E64" t="s">
        <v>662</v>
      </c>
      <c r="F64">
        <v>34.1</v>
      </c>
      <c r="G64">
        <v>-2.2400000000000002</v>
      </c>
      <c r="H64" t="s">
        <v>2686</v>
      </c>
      <c r="I64">
        <v>22153559000</v>
      </c>
      <c r="J64">
        <v>33.840000000000003</v>
      </c>
      <c r="K64">
        <v>3.42</v>
      </c>
      <c r="L64" t="s">
        <v>1792</v>
      </c>
      <c r="M64" t="s">
        <v>1675</v>
      </c>
      <c r="N64" t="s">
        <v>2687</v>
      </c>
      <c r="O64" t="s">
        <v>849</v>
      </c>
      <c r="P64">
        <v>-13.96</v>
      </c>
      <c r="Q64" t="s">
        <v>1278</v>
      </c>
      <c r="R64">
        <v>110496999</v>
      </c>
      <c r="S64" s="6">
        <v>-0.46949999999999997</v>
      </c>
      <c r="T64" t="s">
        <v>193</v>
      </c>
      <c r="U64">
        <v>649664500</v>
      </c>
      <c r="V64">
        <v>649664500</v>
      </c>
      <c r="W64">
        <v>1.78</v>
      </c>
      <c r="X64">
        <v>0.06</v>
      </c>
      <c r="Y64">
        <v>13.61</v>
      </c>
      <c r="Z64" t="s">
        <v>1786</v>
      </c>
      <c r="AA64" t="s">
        <v>1072</v>
      </c>
      <c r="AB64" t="s">
        <v>2688</v>
      </c>
      <c r="AC64" t="s">
        <v>2689</v>
      </c>
      <c r="AD64" t="s">
        <v>35</v>
      </c>
      <c r="AE64">
        <v>11853088</v>
      </c>
      <c r="AF64" t="s">
        <v>1677</v>
      </c>
      <c r="AG64" t="s">
        <v>2690</v>
      </c>
      <c r="AH64" t="s">
        <v>1678</v>
      </c>
      <c r="AI64" t="s">
        <v>2691</v>
      </c>
      <c r="AJ64" t="s">
        <v>1679</v>
      </c>
      <c r="AK64" t="s">
        <v>1757</v>
      </c>
      <c r="AL64" t="s">
        <v>1680</v>
      </c>
      <c r="AM64" t="s">
        <v>35</v>
      </c>
      <c r="AN64" t="s">
        <v>2692</v>
      </c>
      <c r="AO64" t="s">
        <v>860</v>
      </c>
      <c r="AP64" t="s">
        <v>1133</v>
      </c>
      <c r="AQ64" t="s">
        <v>1276</v>
      </c>
      <c r="AR64" t="s">
        <v>1063</v>
      </c>
      <c r="AS64" t="s">
        <v>2693</v>
      </c>
      <c r="AT64" t="s">
        <v>1266</v>
      </c>
      <c r="AU64" t="s">
        <v>855</v>
      </c>
      <c r="AV64" t="s">
        <v>2694</v>
      </c>
      <c r="AW64" t="s">
        <v>383</v>
      </c>
      <c r="AX64" t="s">
        <v>1062</v>
      </c>
      <c r="AY64" t="s">
        <v>881</v>
      </c>
      <c r="AZ64" t="s">
        <v>663</v>
      </c>
      <c r="BA64" t="s">
        <v>157</v>
      </c>
      <c r="BB64" t="s">
        <v>664</v>
      </c>
      <c r="BC64" t="s">
        <v>944</v>
      </c>
      <c r="BD64" t="s">
        <v>320</v>
      </c>
      <c r="BE64" t="s">
        <v>382</v>
      </c>
      <c r="BF64" t="s">
        <v>164</v>
      </c>
      <c r="BG64" t="s">
        <v>225</v>
      </c>
      <c r="BH64" t="s">
        <v>1676</v>
      </c>
      <c r="BI64" t="s">
        <v>438</v>
      </c>
      <c r="BJ64" t="s">
        <v>1062</v>
      </c>
      <c r="BK64" t="s">
        <v>1314</v>
      </c>
      <c r="BL64" t="s">
        <v>2695</v>
      </c>
      <c r="BM64" t="s">
        <v>944</v>
      </c>
      <c r="BN64">
        <v>7.06</v>
      </c>
      <c r="BO64">
        <v>14.33</v>
      </c>
      <c r="BP64">
        <v>13.87</v>
      </c>
      <c r="BQ64">
        <v>9.64</v>
      </c>
      <c r="BR64">
        <v>19.16</v>
      </c>
      <c r="BS64">
        <v>24.09</v>
      </c>
      <c r="BT64" t="s">
        <v>1681</v>
      </c>
      <c r="BU64" t="s">
        <v>733</v>
      </c>
      <c r="BV64">
        <v>31.87</v>
      </c>
      <c r="BW64">
        <v>39.450000000000003</v>
      </c>
      <c r="BX64">
        <v>40.83</v>
      </c>
      <c r="BY64">
        <v>18.38</v>
      </c>
      <c r="BZ64">
        <v>25.91</v>
      </c>
      <c r="CA64">
        <v>25.46</v>
      </c>
      <c r="CB64">
        <v>-11.01</v>
      </c>
      <c r="CC64" s="1">
        <v>-19.23</v>
      </c>
      <c r="CD64" s="1" t="s">
        <v>2696</v>
      </c>
      <c r="CE64" s="1" t="s">
        <v>164</v>
      </c>
      <c r="CF64" s="8">
        <v>4.5524475524475525</v>
      </c>
      <c r="CG64" s="9">
        <v>4.1484949678501541</v>
      </c>
      <c r="CH64" s="8">
        <v>-0.83368819952011108</v>
      </c>
      <c r="CI64" s="8">
        <v>0.44414076209068298</v>
      </c>
      <c r="CJ64" s="8">
        <v>0.38523432612419128</v>
      </c>
      <c r="CK64" s="8">
        <v>0.46127241849899292</v>
      </c>
      <c r="CL64" s="8">
        <v>0.32904410362243652</v>
      </c>
      <c r="CM64" s="9">
        <v>-0.90740740299224854</v>
      </c>
      <c r="CN64" s="9">
        <v>0.45748987793922424</v>
      </c>
      <c r="CO64" s="9">
        <v>0.99730455875396729</v>
      </c>
      <c r="CP64" s="9">
        <v>1.3481012582778931</v>
      </c>
      <c r="CQ64" s="9">
        <v>0.17037037014961243</v>
      </c>
      <c r="CR64" s="1">
        <v>51.420252998065763</v>
      </c>
      <c r="CS64" s="1">
        <v>3.270994266085343</v>
      </c>
      <c r="CT64" s="1">
        <v>2.0527859237536656</v>
      </c>
      <c r="CU64" s="8">
        <v>0.15720068216323851</v>
      </c>
      <c r="CV64" s="9">
        <v>0.41317173242568972</v>
      </c>
      <c r="CW64">
        <v>0.06</v>
      </c>
      <c r="CX64">
        <v>187.93242067007543</v>
      </c>
      <c r="CY64">
        <v>109169875.67577723</v>
      </c>
      <c r="CZ64">
        <v>0.15720068216323851</v>
      </c>
      <c r="DA64">
        <v>58.043028925248031</v>
      </c>
      <c r="DB64">
        <v>353471543.09301627</v>
      </c>
      <c r="DC64">
        <v>0.14934064805507657</v>
      </c>
      <c r="DD64">
        <v>26.446105402116391</v>
      </c>
      <c r="DE64">
        <v>775787538.01526213</v>
      </c>
      <c r="DF64">
        <v>0.13833660030364989</v>
      </c>
      <c r="DG64">
        <v>14.516541410038492</v>
      </c>
      <c r="DH64">
        <v>1413322803.3099103</v>
      </c>
      <c r="DI64">
        <v>0.12576054573059081</v>
      </c>
      <c r="DJ64">
        <v>6.1020202251687046</v>
      </c>
      <c r="DK64">
        <v>3362256800.6864924</v>
      </c>
      <c r="DL64">
        <v>0.11004047751426695</v>
      </c>
      <c r="DM64">
        <v>100000000</v>
      </c>
      <c r="DN64">
        <v>0.15720068216323851</v>
      </c>
      <c r="DO64">
        <v>20516559000</v>
      </c>
      <c r="DP64">
        <v>5963386900</v>
      </c>
      <c r="DQ64">
        <v>4648</v>
      </c>
      <c r="DR64">
        <v>4.3952468702843142</v>
      </c>
      <c r="DS64">
        <v>3.7353232354244645</v>
      </c>
      <c r="DT64" s="10">
        <v>-0.27333333333333343</v>
      </c>
      <c r="DU64">
        <v>0.6366666666666666</v>
      </c>
      <c r="DV64">
        <v>0.36333333333333317</v>
      </c>
      <c r="DW64">
        <v>-9.5725429017160693</v>
      </c>
      <c r="DX64">
        <v>0.57717278481013012</v>
      </c>
      <c r="DY64">
        <v>-9.1071644493374677</v>
      </c>
      <c r="DZ64">
        <v>1272</v>
      </c>
      <c r="EA64">
        <v>-9.0804886803438745</v>
      </c>
      <c r="EB64">
        <v>9</v>
      </c>
      <c r="EC64">
        <v>4.5520880392879708E-2</v>
      </c>
      <c r="ED64">
        <v>0.24320245295841161</v>
      </c>
      <c r="EE64" s="11">
        <v>-4.0347999999999997</v>
      </c>
      <c r="EF64">
        <v>-4.0236000000000001</v>
      </c>
      <c r="EG64">
        <v>39.18717278481013</v>
      </c>
      <c r="EH64" t="s">
        <v>1781</v>
      </c>
      <c r="EI64">
        <v>0</v>
      </c>
      <c r="EJ64">
        <v>1</v>
      </c>
      <c r="EK64" s="13">
        <v>45470</v>
      </c>
      <c r="EL64" s="14">
        <v>0.41</v>
      </c>
      <c r="EM64" s="14">
        <v>-3.1</v>
      </c>
      <c r="EN64" s="14">
        <v>-3.25</v>
      </c>
      <c r="EO64" s="14">
        <v>2.41</v>
      </c>
      <c r="EP64" s="14">
        <v>-1.1200000000000001</v>
      </c>
    </row>
    <row r="65" spans="1:146" ht="84" x14ac:dyDescent="0.25">
      <c r="A65" s="7"/>
      <c r="B65" s="7"/>
      <c r="C65" s="7" t="str">
        <f>""&amp;CHAR(10)&amp;Basic_Fundamental_Information_Constructure(F65)&amp;CHAR(10)&amp;Basic_Fundamental_Information_Concatenate("")</f>
        <v xml:space="preserve">
市值32.683886亿, 利润1.95亿; PE57.11; 平均PE55.89; 平均PEG1.3, PB1.16; ROIC6.0433%; ROE8.1067%; 股利率.9063%; 毛利17.8467%; 净利8.0567%; 上一年度营收增156.41%, 利润增106.48%; 当季营收增-8.38%, 利润增132.02%; 过往5年营收增42.93%, 利润增98.57%
Income profile:
</v>
      </c>
      <c r="D65" t="s">
        <v>772</v>
      </c>
      <c r="E65" t="s">
        <v>773</v>
      </c>
      <c r="F65">
        <v>13.24</v>
      </c>
      <c r="G65">
        <v>-0.15</v>
      </c>
      <c r="H65" t="s">
        <v>2697</v>
      </c>
      <c r="I65">
        <v>3268388600</v>
      </c>
      <c r="J65">
        <v>57.11</v>
      </c>
      <c r="K65">
        <v>1.1599999999999999</v>
      </c>
      <c r="L65" t="s">
        <v>1792</v>
      </c>
      <c r="M65" t="s">
        <v>1142</v>
      </c>
      <c r="N65" t="s">
        <v>2698</v>
      </c>
      <c r="O65" t="s">
        <v>1064</v>
      </c>
      <c r="P65">
        <v>30.54</v>
      </c>
      <c r="Q65" t="s">
        <v>2699</v>
      </c>
      <c r="R65">
        <v>27654889</v>
      </c>
      <c r="S65" s="6">
        <v>7.1499999999999994E-2</v>
      </c>
      <c r="T65" t="s">
        <v>188</v>
      </c>
      <c r="U65">
        <v>122745906</v>
      </c>
      <c r="V65">
        <v>246857140</v>
      </c>
      <c r="W65">
        <v>1.2</v>
      </c>
      <c r="X65">
        <v>0.09</v>
      </c>
      <c r="Y65">
        <v>8.75</v>
      </c>
      <c r="Z65" t="s">
        <v>451</v>
      </c>
      <c r="AA65" t="s">
        <v>799</v>
      </c>
      <c r="AB65" t="s">
        <v>2700</v>
      </c>
      <c r="AC65" t="s">
        <v>2701</v>
      </c>
      <c r="AD65" t="s">
        <v>35</v>
      </c>
      <c r="AE65">
        <v>-9965670</v>
      </c>
      <c r="AF65" t="s">
        <v>1686</v>
      </c>
      <c r="AG65" t="s">
        <v>2702</v>
      </c>
      <c r="AH65" t="s">
        <v>1687</v>
      </c>
      <c r="AI65" t="s">
        <v>133</v>
      </c>
      <c r="AJ65" t="s">
        <v>1688</v>
      </c>
      <c r="AK65" t="s">
        <v>688</v>
      </c>
      <c r="AL65" t="s">
        <v>1689</v>
      </c>
      <c r="AM65" t="s">
        <v>35</v>
      </c>
      <c r="AN65" t="s">
        <v>1087</v>
      </c>
      <c r="AO65" t="s">
        <v>2703</v>
      </c>
      <c r="AP65" t="s">
        <v>141</v>
      </c>
      <c r="AQ65" t="s">
        <v>230</v>
      </c>
      <c r="AR65" t="s">
        <v>35</v>
      </c>
      <c r="AS65" t="s">
        <v>397</v>
      </c>
      <c r="AT65" t="s">
        <v>2704</v>
      </c>
      <c r="AU65" t="s">
        <v>2705</v>
      </c>
      <c r="AV65" t="s">
        <v>2706</v>
      </c>
      <c r="AW65" t="s">
        <v>2707</v>
      </c>
      <c r="AX65" t="s">
        <v>374</v>
      </c>
      <c r="AY65" t="s">
        <v>865</v>
      </c>
      <c r="AZ65" t="s">
        <v>632</v>
      </c>
      <c r="BA65" t="s">
        <v>774</v>
      </c>
      <c r="BB65" t="s">
        <v>741</v>
      </c>
      <c r="BC65" t="s">
        <v>1065</v>
      </c>
      <c r="BD65" t="s">
        <v>778</v>
      </c>
      <c r="BE65" t="s">
        <v>775</v>
      </c>
      <c r="BF65" t="s">
        <v>776</v>
      </c>
      <c r="BG65" t="s">
        <v>777</v>
      </c>
      <c r="BH65" t="s">
        <v>1684</v>
      </c>
      <c r="BI65" t="s">
        <v>1788</v>
      </c>
      <c r="BJ65" t="s">
        <v>374</v>
      </c>
      <c r="BK65" t="s">
        <v>1685</v>
      </c>
      <c r="BL65" t="s">
        <v>2708</v>
      </c>
      <c r="BM65" t="s">
        <v>1065</v>
      </c>
      <c r="BN65">
        <v>2.09</v>
      </c>
      <c r="BO65">
        <v>5.0999999999999996</v>
      </c>
      <c r="BP65">
        <v>10.94</v>
      </c>
      <c r="BQ65">
        <v>2.83</v>
      </c>
      <c r="BR65">
        <v>6.43</v>
      </c>
      <c r="BS65">
        <v>15.06</v>
      </c>
      <c r="BT65" t="s">
        <v>1014</v>
      </c>
      <c r="BU65" t="s">
        <v>733</v>
      </c>
      <c r="BV65">
        <v>15.37</v>
      </c>
      <c r="BW65">
        <v>18.3</v>
      </c>
      <c r="BX65">
        <v>19.87</v>
      </c>
      <c r="BY65">
        <v>4.58</v>
      </c>
      <c r="BZ65">
        <v>9.92</v>
      </c>
      <c r="CA65">
        <v>9.67</v>
      </c>
      <c r="CB65">
        <v>-6.36</v>
      </c>
      <c r="CC65">
        <v>-21.8</v>
      </c>
      <c r="CD65" t="s">
        <v>2709</v>
      </c>
      <c r="CE65" t="s">
        <v>2710</v>
      </c>
      <c r="CF65" s="8">
        <v>-8.3815028901734104E-2</v>
      </c>
      <c r="CG65" s="9">
        <v>1.320244674629873</v>
      </c>
      <c r="CH65" s="8">
        <v>1.5640755891799927</v>
      </c>
      <c r="CI65" s="8">
        <v>0.31129476428031921</v>
      </c>
      <c r="CJ65" s="8">
        <v>0.34444445371627808</v>
      </c>
      <c r="CK65" s="8">
        <v>-4.5936394482851028E-2</v>
      </c>
      <c r="CL65" s="8">
        <v>-2.7491409331560135E-2</v>
      </c>
      <c r="CM65" s="9">
        <v>1.0647811889648437</v>
      </c>
      <c r="CN65" s="9">
        <v>0.34515824913978577</v>
      </c>
      <c r="CO65" s="9">
        <v>1.0209351778030396</v>
      </c>
      <c r="CP65" s="9">
        <v>2.5545055866241455</v>
      </c>
      <c r="CQ65" s="9">
        <v>-5.6987319141626358E-2</v>
      </c>
      <c r="CR65">
        <v>55.886131012430965</v>
      </c>
      <c r="CS65">
        <v>1.3018652024282875</v>
      </c>
      <c r="CT65">
        <v>0.90634441087613293</v>
      </c>
      <c r="CU65" s="8">
        <v>0.42927740067243575</v>
      </c>
      <c r="CV65" s="9">
        <v>0.9856785766780376</v>
      </c>
      <c r="CW65">
        <v>0.06</v>
      </c>
      <c r="CX65">
        <v>3.8922013767582215</v>
      </c>
      <c r="CY65">
        <v>262933106.72747639</v>
      </c>
      <c r="CZ65">
        <v>0.42927740067243575</v>
      </c>
      <c r="DA65">
        <v>0.96566466089195957</v>
      </c>
      <c r="DB65">
        <v>1059776381.4352721</v>
      </c>
      <c r="DC65">
        <v>0.40781353063881393</v>
      </c>
      <c r="DD65">
        <v>0.31671008945373696</v>
      </c>
      <c r="DE65">
        <v>3231310381.5705566</v>
      </c>
      <c r="DF65">
        <v>0.37776411259174347</v>
      </c>
      <c r="DG65">
        <v>0.11423683752251453</v>
      </c>
      <c r="DH65">
        <v>8958481538.8320255</v>
      </c>
      <c r="DI65">
        <v>0.34342192053794862</v>
      </c>
      <c r="DJ65">
        <v>1.6530503785220023E-2</v>
      </c>
      <c r="DK65">
        <v>61909099280.75</v>
      </c>
      <c r="DL65">
        <v>0.30049418047070503</v>
      </c>
      <c r="DM65">
        <v>195000000</v>
      </c>
      <c r="DN65">
        <v>0.42927740067243575</v>
      </c>
      <c r="DO65">
        <v>1023388600</v>
      </c>
      <c r="DP65">
        <v>1167146900</v>
      </c>
      <c r="DQ65">
        <v>4743</v>
      </c>
      <c r="DR65">
        <v>-0.51309242957416989</v>
      </c>
      <c r="DS65">
        <v>0.33456609795183545</v>
      </c>
      <c r="DT65" s="10">
        <v>0.17666666666666667</v>
      </c>
      <c r="DU65">
        <v>1.2983333333333333</v>
      </c>
      <c r="DV65">
        <v>1.4750000000000001</v>
      </c>
      <c r="DW65">
        <v>-9.2917431192660551</v>
      </c>
      <c r="DX65">
        <v>0.48649589679510713</v>
      </c>
      <c r="DY65">
        <v>-9.0456566010833441</v>
      </c>
      <c r="DZ65">
        <v>2929</v>
      </c>
      <c r="EA65">
        <v>-9.0194867019496616</v>
      </c>
      <c r="EB65">
        <v>9</v>
      </c>
      <c r="EC65">
        <v>2.2526389149610984E-2</v>
      </c>
      <c r="ED65">
        <v>0.14394236277711067</v>
      </c>
      <c r="EE65" s="11">
        <v>-4.0816100000000004</v>
      </c>
      <c r="EF65">
        <v>-4.0949099999999996</v>
      </c>
      <c r="EG65">
        <v>33.156495896795107</v>
      </c>
      <c r="EH65" t="s">
        <v>1662</v>
      </c>
      <c r="EI65">
        <v>0</v>
      </c>
      <c r="EJ65">
        <v>0</v>
      </c>
      <c r="EK65" s="13">
        <v>45470</v>
      </c>
      <c r="EL65" s="14">
        <v>-0.4</v>
      </c>
      <c r="EM65" s="14">
        <v>-3.36</v>
      </c>
      <c r="EN65" s="14">
        <v>0.52</v>
      </c>
      <c r="EO65" s="14">
        <v>4.8499999999999996</v>
      </c>
      <c r="EP65" s="14">
        <v>-1.33</v>
      </c>
    </row>
    <row r="66" spans="1:146" ht="84" x14ac:dyDescent="0.25">
      <c r="A66" s="7"/>
      <c r="B66" s="7"/>
      <c r="C66" s="7" t="str">
        <f>""&amp;CHAR(10)&amp;Basic_Fundamental_Information_Constructure(F66)&amp;CHAR(10)&amp;Basic_Fundamental_Information_Concatenate("")</f>
        <v xml:space="preserve">
市值16.612454亿, 利润-1.28亿; PE; 平均PE119.84; 平均PEG2.67, PB1.31; ROIC8.1767%; ROE9.26%; 股利率1.8339%; 毛利50.7667%; 净利26.4633%; 上一年度营收增46.43%, 利润增-318.11%; 当季营收增178.69%, 利润增154.28%; 过往5年营收增44.81%, 利润增46.2%
Income profile:
</v>
      </c>
      <c r="D66" t="s">
        <v>779</v>
      </c>
      <c r="E66" t="s">
        <v>780</v>
      </c>
      <c r="F66">
        <v>18.54</v>
      </c>
      <c r="G66">
        <v>0.98</v>
      </c>
      <c r="H66" t="s">
        <v>2711</v>
      </c>
      <c r="I66">
        <v>1661245400</v>
      </c>
      <c r="K66">
        <v>1.31</v>
      </c>
      <c r="L66" t="s">
        <v>1792</v>
      </c>
      <c r="M66" t="s">
        <v>624</v>
      </c>
      <c r="N66" t="s">
        <v>1273</v>
      </c>
      <c r="O66" t="s">
        <v>1690</v>
      </c>
      <c r="P66">
        <v>42.9</v>
      </c>
      <c r="Q66" t="s">
        <v>117</v>
      </c>
      <c r="R66">
        <v>17229041</v>
      </c>
      <c r="S66" s="6">
        <v>-0.19819999999999999</v>
      </c>
      <c r="T66" t="s">
        <v>2712</v>
      </c>
      <c r="U66">
        <v>44086271</v>
      </c>
      <c r="V66">
        <v>89603310</v>
      </c>
      <c r="W66">
        <v>1.27</v>
      </c>
      <c r="X66">
        <v>0.05</v>
      </c>
      <c r="Y66">
        <v>20.079999999999998</v>
      </c>
      <c r="Z66" t="s">
        <v>2713</v>
      </c>
      <c r="AA66" t="s">
        <v>2714</v>
      </c>
      <c r="AB66" t="s">
        <v>2715</v>
      </c>
      <c r="AC66" t="s">
        <v>2716</v>
      </c>
      <c r="AD66" t="s">
        <v>35</v>
      </c>
      <c r="AE66">
        <v>-2197468</v>
      </c>
      <c r="AF66" t="s">
        <v>1692</v>
      </c>
      <c r="AG66" t="s">
        <v>2717</v>
      </c>
      <c r="AH66" t="s">
        <v>1693</v>
      </c>
      <c r="AI66" t="s">
        <v>163</v>
      </c>
      <c r="AJ66" t="s">
        <v>1694</v>
      </c>
      <c r="AK66" t="s">
        <v>2718</v>
      </c>
      <c r="AL66" t="s">
        <v>1696</v>
      </c>
      <c r="AM66" t="s">
        <v>35</v>
      </c>
      <c r="AN66" t="s">
        <v>389</v>
      </c>
      <c r="AO66" t="s">
        <v>1697</v>
      </c>
      <c r="AP66" t="s">
        <v>35</v>
      </c>
      <c r="AQ66" t="s">
        <v>2719</v>
      </c>
      <c r="AR66" t="s">
        <v>2720</v>
      </c>
      <c r="AS66" t="s">
        <v>431</v>
      </c>
      <c r="AT66" t="s">
        <v>35</v>
      </c>
      <c r="AU66" t="s">
        <v>2721</v>
      </c>
      <c r="AV66" t="s">
        <v>2722</v>
      </c>
      <c r="AW66" t="s">
        <v>2723</v>
      </c>
      <c r="AX66" t="s">
        <v>688</v>
      </c>
      <c r="AY66" t="s">
        <v>100</v>
      </c>
      <c r="AZ66" t="s">
        <v>135</v>
      </c>
      <c r="BA66" t="s">
        <v>781</v>
      </c>
      <c r="BB66" t="s">
        <v>782</v>
      </c>
      <c r="BC66" t="s">
        <v>1698</v>
      </c>
      <c r="BD66" t="s">
        <v>786</v>
      </c>
      <c r="BE66" t="s">
        <v>783</v>
      </c>
      <c r="BF66" t="s">
        <v>784</v>
      </c>
      <c r="BG66" t="s">
        <v>785</v>
      </c>
      <c r="BH66" t="s">
        <v>799</v>
      </c>
      <c r="BI66" t="s">
        <v>2724</v>
      </c>
      <c r="BJ66" t="s">
        <v>688</v>
      </c>
      <c r="BK66" t="s">
        <v>1691</v>
      </c>
      <c r="BL66" t="s">
        <v>2725</v>
      </c>
      <c r="BM66" t="s">
        <v>1698</v>
      </c>
      <c r="BN66">
        <v>1.74</v>
      </c>
      <c r="BO66">
        <v>5.79</v>
      </c>
      <c r="BP66">
        <v>17</v>
      </c>
      <c r="BQ66">
        <v>2.65</v>
      </c>
      <c r="BR66">
        <v>6.89</v>
      </c>
      <c r="BS66">
        <v>18.239999999999998</v>
      </c>
      <c r="BT66" t="s">
        <v>1699</v>
      </c>
      <c r="BU66" t="s">
        <v>733</v>
      </c>
      <c r="BV66">
        <v>32.04</v>
      </c>
      <c r="BW66">
        <v>53.24</v>
      </c>
      <c r="BX66">
        <v>67.02</v>
      </c>
      <c r="BY66">
        <v>-12.96</v>
      </c>
      <c r="BZ66">
        <v>42.29</v>
      </c>
      <c r="CA66">
        <v>50.06</v>
      </c>
      <c r="CB66">
        <v>-7.53</v>
      </c>
      <c r="CC66">
        <v>-21.11</v>
      </c>
      <c r="CD66" t="s">
        <v>2726</v>
      </c>
      <c r="CE66" t="s">
        <v>2727</v>
      </c>
      <c r="CF66" s="8">
        <v>1.7868560702014205</v>
      </c>
      <c r="CG66" s="9">
        <v>1.5427614961267417</v>
      </c>
      <c r="CH66" s="8">
        <v>0.46428570151329041</v>
      </c>
      <c r="CI66" s="8">
        <v>-7.0921983569860458E-3</v>
      </c>
      <c r="CJ66" s="8">
        <v>0.15573769807815552</v>
      </c>
      <c r="CK66" s="8">
        <v>1.3813892602920532</v>
      </c>
      <c r="CL66" s="8">
        <v>0.24613794684410095</v>
      </c>
      <c r="CM66" s="9">
        <v>-3.1810920238494873</v>
      </c>
      <c r="CN66" s="9">
        <v>-0.170291468501091</v>
      </c>
      <c r="CO66" s="9">
        <v>0.10162077099084854</v>
      </c>
      <c r="CP66" s="9">
        <v>4.9934282302856445</v>
      </c>
      <c r="CQ66" s="9">
        <v>0.56635910272598267</v>
      </c>
      <c r="CR66">
        <v>119.83620716602665</v>
      </c>
      <c r="CS66">
        <v>2.6743680382171924</v>
      </c>
      <c r="CT66">
        <v>1.8338727076591155</v>
      </c>
      <c r="CU66" s="8">
        <v>0.44809168167412283</v>
      </c>
      <c r="CV66" s="9">
        <v>0.46200492233037949</v>
      </c>
      <c r="CW66">
        <v>0.06</v>
      </c>
      <c r="CX66" t="e">
        <v>#VALUE!</v>
      </c>
      <c r="CY66" t="s">
        <v>740</v>
      </c>
      <c r="CZ66">
        <v>0.44809168167412283</v>
      </c>
      <c r="DA66" t="e">
        <v>#VALUE!</v>
      </c>
      <c r="DB66" t="s">
        <v>740</v>
      </c>
      <c r="DC66">
        <v>0.42568709759041667</v>
      </c>
      <c r="DD66" t="e">
        <v>#VALUE!</v>
      </c>
      <c r="DE66" t="s">
        <v>740</v>
      </c>
      <c r="DF66">
        <v>0.39432067987322811</v>
      </c>
      <c r="DG66" t="e">
        <v>#VALUE!</v>
      </c>
      <c r="DH66" t="s">
        <v>740</v>
      </c>
      <c r="DI66">
        <v>0.35847334533929831</v>
      </c>
      <c r="DJ66" t="e">
        <v>#VALUE!</v>
      </c>
      <c r="DK66" t="s">
        <v>740</v>
      </c>
      <c r="DL66">
        <v>0.31366417717188594</v>
      </c>
      <c r="DM66">
        <v>-128000000</v>
      </c>
      <c r="DN66">
        <v>0.44809168167412283</v>
      </c>
      <c r="DO66">
        <v>768245400</v>
      </c>
      <c r="DP66">
        <v>451076650</v>
      </c>
      <c r="DQ66">
        <v>4749</v>
      </c>
      <c r="DR66">
        <v>1.3387643885272977</v>
      </c>
      <c r="DS66">
        <v>1.0807565737963623</v>
      </c>
      <c r="DT66" s="10">
        <v>0.19333333333333327</v>
      </c>
      <c r="DU66">
        <v>-0.22000000000000008</v>
      </c>
      <c r="DV66">
        <v>-2.6666666666666811E-2</v>
      </c>
      <c r="DW66">
        <v>-9.3567029843675975</v>
      </c>
      <c r="DX66">
        <v>0.33352852103394692</v>
      </c>
      <c r="DY66">
        <v>-9.0440629921073246</v>
      </c>
      <c r="DZ66">
        <v>4246</v>
      </c>
      <c r="EA66">
        <v>-9.007450181052981</v>
      </c>
      <c r="EB66">
        <v>9</v>
      </c>
      <c r="EC66">
        <v>2.4581681190125677E-2</v>
      </c>
      <c r="ED66">
        <v>0.19899599691127481</v>
      </c>
      <c r="EE66" s="11">
        <v>-7.06501</v>
      </c>
      <c r="EF66">
        <v>-7.0836100000000002</v>
      </c>
      <c r="EG66">
        <v>21.123528521033947</v>
      </c>
      <c r="EH66" t="s">
        <v>1790</v>
      </c>
      <c r="EI66">
        <v>0</v>
      </c>
      <c r="EJ66">
        <v>0</v>
      </c>
      <c r="EK66" s="13">
        <v>45470</v>
      </c>
      <c r="EL66" s="14">
        <v>-0.2</v>
      </c>
      <c r="EM66" s="14">
        <v>-5.38</v>
      </c>
      <c r="EN66" s="14">
        <v>-2.11</v>
      </c>
      <c r="EO66" s="14">
        <v>4.09</v>
      </c>
      <c r="EP66" s="14">
        <v>-1.86</v>
      </c>
    </row>
    <row r="67" spans="1:146" ht="180" x14ac:dyDescent="0.25">
      <c r="A67" s="7"/>
      <c r="B67" s="7"/>
      <c r="C67" s="7" t="str">
        <f>"公司是一家主要从事航空难变形金属材料环形锻件研发、生产和销售的高新技术企业，主要产品为航空发动机环形锻件。公司4次获得中国专利优秀奖；主持编制了2项国家标准，参与编制了6项国家标准；发行人为全国锻压标准化技术委员会（SAC/TC74）、全国热处理标准化技术委员会（SAC/TC75）委员单位。"&amp;CHAR(10)&amp;Basic_Fundamental_Information_Constructure(F67)&amp;CHAR(10)&amp;Basic_Fundamental_Information_Concatenate("航空锻件 15.01亿 71.35% 4.39亿 76.72% 29.22%
能源锻件 2.40亿 11.40% 7005.04万 12.25% 29.22%
燃气轮机锻件 1.66亿 7.90% 2962.65万 5.18% 17.83%
航天锻件 8154.78万 3.88% 2471.82万 4.32% 30.31%
其他锻件 2172.06万 1.03% 591.70万 1.03% 27.24%")</f>
        <v>公司是一家主要从事航空难变形金属材料环形锻件研发、生产和销售的高新技术企业，主要产品为航空发动机环形锻件。公司4次获得中国专利优秀奖；主持编制了2项国家标准，参与编制了6项国家标准；发行人为全国锻压标准化技术委员会（SAC/TC74）、全国热处理标准化技术委员会（SAC/TC75）委员单位。
市值46.817486亿, 利润3110.54万; PE24.54; 平均PE55.73; 平均PEG2.48, PB2.68; ROIC10.78%; ROE14.9867%; 股利率.6635%; 毛利30.6233%; 净利11.95%; 上一年度营收增-72.76%, 利润增-83%; 当季营收增2072.06%, 利润增438.7%; 过往5年营收增22.51%, 利润增39.1%
Income profile:
航空锻件 15.01亿 71.35% 4.39亿 76.72% 29.22%
能源锻件 2.40亿 11.40% 7005.04万 12.25% 29.22%
燃气轮机锻件 1.66亿 7.90% 2962.65万 5.18% 17.83%
航天锻件 8154.78万 3.88% 2471.82万 4.32% 30.31%
其他锻件 2172.06万 1.03% 591.70万 1.03% 27.24%</v>
      </c>
      <c r="D67" t="s">
        <v>589</v>
      </c>
      <c r="E67" t="s">
        <v>590</v>
      </c>
      <c r="F67">
        <v>31.65</v>
      </c>
      <c r="G67">
        <v>1.1200000000000001</v>
      </c>
      <c r="H67" t="s">
        <v>2728</v>
      </c>
      <c r="I67">
        <v>4681748600</v>
      </c>
      <c r="J67">
        <v>24.54</v>
      </c>
      <c r="K67">
        <v>2.68</v>
      </c>
      <c r="L67" t="s">
        <v>1792</v>
      </c>
      <c r="M67" t="s">
        <v>1434</v>
      </c>
      <c r="N67" t="s">
        <v>2729</v>
      </c>
      <c r="O67" t="s">
        <v>764</v>
      </c>
      <c r="P67">
        <v>3.21</v>
      </c>
      <c r="Q67" t="s">
        <v>2730</v>
      </c>
      <c r="R67">
        <v>55778219</v>
      </c>
      <c r="S67" s="6">
        <v>0.1036</v>
      </c>
      <c r="T67" t="s">
        <v>2731</v>
      </c>
      <c r="U67">
        <v>141851080</v>
      </c>
      <c r="V67">
        <v>147922550</v>
      </c>
      <c r="W67">
        <v>1.96</v>
      </c>
      <c r="X67">
        <v>0.17</v>
      </c>
      <c r="Y67">
        <v>9.66</v>
      </c>
      <c r="Z67" t="s">
        <v>980</v>
      </c>
      <c r="AA67" t="s">
        <v>367</v>
      </c>
      <c r="AB67" t="s">
        <v>2732</v>
      </c>
      <c r="AC67" t="s">
        <v>2733</v>
      </c>
      <c r="AD67" t="s">
        <v>35</v>
      </c>
      <c r="AE67">
        <v>5337966</v>
      </c>
      <c r="AF67" t="s">
        <v>1702</v>
      </c>
      <c r="AG67" t="s">
        <v>2734</v>
      </c>
      <c r="AH67" t="s">
        <v>1703</v>
      </c>
      <c r="AI67" t="s">
        <v>541</v>
      </c>
      <c r="AJ67" t="s">
        <v>1704</v>
      </c>
      <c r="AK67" t="s">
        <v>2735</v>
      </c>
      <c r="AL67" t="s">
        <v>1705</v>
      </c>
      <c r="AM67" t="s">
        <v>35</v>
      </c>
      <c r="AN67" t="s">
        <v>2736</v>
      </c>
      <c r="AO67" t="s">
        <v>1170</v>
      </c>
      <c r="AP67" t="s">
        <v>316</v>
      </c>
      <c r="AQ67" t="s">
        <v>1064</v>
      </c>
      <c r="AR67" t="s">
        <v>35</v>
      </c>
      <c r="AS67" t="s">
        <v>2737</v>
      </c>
      <c r="AT67" t="s">
        <v>2493</v>
      </c>
      <c r="AU67" t="s">
        <v>2738</v>
      </c>
      <c r="AV67" t="s">
        <v>2739</v>
      </c>
      <c r="AW67" t="s">
        <v>2740</v>
      </c>
      <c r="AX67" t="s">
        <v>1066</v>
      </c>
      <c r="AY67" t="s">
        <v>537</v>
      </c>
      <c r="AZ67" t="s">
        <v>581</v>
      </c>
      <c r="BA67" t="s">
        <v>107</v>
      </c>
      <c r="BB67" t="s">
        <v>112</v>
      </c>
      <c r="BC67" t="s">
        <v>215</v>
      </c>
      <c r="BD67" t="s">
        <v>444</v>
      </c>
      <c r="BE67" t="s">
        <v>591</v>
      </c>
      <c r="BF67" t="s">
        <v>592</v>
      </c>
      <c r="BG67" t="s">
        <v>593</v>
      </c>
      <c r="BH67" t="s">
        <v>1700</v>
      </c>
      <c r="BI67" t="s">
        <v>2741</v>
      </c>
      <c r="BJ67" t="s">
        <v>1066</v>
      </c>
      <c r="BK67" t="s">
        <v>375</v>
      </c>
      <c r="BL67" t="s">
        <v>2742</v>
      </c>
      <c r="BM67" t="s">
        <v>215</v>
      </c>
      <c r="BN67">
        <v>8.5299999999999994</v>
      </c>
      <c r="BO67">
        <v>11.78</v>
      </c>
      <c r="BP67">
        <v>12.03</v>
      </c>
      <c r="BQ67">
        <v>11.51</v>
      </c>
      <c r="BR67">
        <v>16.010000000000002</v>
      </c>
      <c r="BS67">
        <v>17.440000000000001</v>
      </c>
      <c r="BT67" t="s">
        <v>1363</v>
      </c>
      <c r="BU67" t="s">
        <v>733</v>
      </c>
      <c r="BV67">
        <v>27.18</v>
      </c>
      <c r="BW67">
        <v>32.090000000000003</v>
      </c>
      <c r="BX67">
        <v>32.6</v>
      </c>
      <c r="BY67">
        <v>8.76</v>
      </c>
      <c r="BZ67">
        <v>12.61</v>
      </c>
      <c r="CA67">
        <v>14.48</v>
      </c>
      <c r="CB67">
        <v>-9.0500000000000007</v>
      </c>
      <c r="CC67">
        <v>-18.95</v>
      </c>
      <c r="CD67" t="s">
        <v>2743</v>
      </c>
      <c r="CE67" t="s">
        <v>2744</v>
      </c>
      <c r="CF67" s="8">
        <v>20.720586080035474</v>
      </c>
      <c r="CG67" s="9">
        <v>4.3870258437473435</v>
      </c>
      <c r="CH67" s="8">
        <v>-0.72764784097671509</v>
      </c>
      <c r="CI67" s="8">
        <v>0.51458334922790527</v>
      </c>
      <c r="CJ67" s="8">
        <v>0.43070045113563538</v>
      </c>
      <c r="CK67" s="8">
        <v>0.1392190158367157</v>
      </c>
      <c r="CL67" s="8">
        <v>0.7687687873840332</v>
      </c>
      <c r="CM67" s="9">
        <v>-0.8300250768661499</v>
      </c>
      <c r="CN67" s="9">
        <v>0.31654676795005798</v>
      </c>
      <c r="CO67" s="9">
        <v>0.91210120916366577</v>
      </c>
      <c r="CP67" s="9">
        <v>0.34957823157310486</v>
      </c>
      <c r="CQ67" s="9">
        <v>1.2067458629608154</v>
      </c>
      <c r="CR67">
        <v>55.726876032585665</v>
      </c>
      <c r="CS67">
        <v>2.4753775588164131</v>
      </c>
      <c r="CT67">
        <v>0.66350710900473941</v>
      </c>
      <c r="CU67" s="8">
        <v>0.2251247525215149</v>
      </c>
      <c r="CV67" s="9">
        <v>0.39098939895629881</v>
      </c>
      <c r="CW67">
        <v>0.06</v>
      </c>
      <c r="CX67">
        <v>128.75181322383224</v>
      </c>
      <c r="CY67">
        <v>35950939.129323334</v>
      </c>
      <c r="CZ67">
        <v>0.2251247525215149</v>
      </c>
      <c r="DA67">
        <v>37.594076614033163</v>
      </c>
      <c r="DB67">
        <v>123124412.59089671</v>
      </c>
      <c r="DC67">
        <v>0.21386851489543915</v>
      </c>
      <c r="DD67">
        <v>15.807094085169773</v>
      </c>
      <c r="DE67">
        <v>292827294.82471389</v>
      </c>
      <c r="DF67">
        <v>0.19810978221893311</v>
      </c>
      <c r="DG67">
        <v>7.8671293315367503</v>
      </c>
      <c r="DH67">
        <v>588365642.01949239</v>
      </c>
      <c r="DI67">
        <v>0.18009980201721193</v>
      </c>
      <c r="DJ67">
        <v>2.6024247828282667</v>
      </c>
      <c r="DK67">
        <v>1778629157.9077117</v>
      </c>
      <c r="DL67">
        <v>0.15758732676506043</v>
      </c>
      <c r="DM67">
        <v>31105400</v>
      </c>
      <c r="DN67">
        <v>0.2251247525215149</v>
      </c>
      <c r="DO67">
        <v>4628748600</v>
      </c>
      <c r="DP67">
        <v>1091188700</v>
      </c>
      <c r="DQ67">
        <v>4751</v>
      </c>
      <c r="DR67">
        <v>20.495461327513958</v>
      </c>
      <c r="DS67">
        <v>3.9960364447910446</v>
      </c>
      <c r="DT67" s="10">
        <v>-0.29000000000000004</v>
      </c>
      <c r="DU67">
        <v>0.62</v>
      </c>
      <c r="DV67">
        <v>0.32999999999999996</v>
      </c>
      <c r="DW67">
        <v>-9.4775725593667541</v>
      </c>
      <c r="DX67">
        <v>0.34964432228252718</v>
      </c>
      <c r="DY67">
        <v>-9.0523631196124992</v>
      </c>
      <c r="DZ67">
        <v>2956</v>
      </c>
      <c r="EA67">
        <v>-9.0220724382867559</v>
      </c>
      <c r="EB67">
        <v>9</v>
      </c>
      <c r="EC67">
        <v>7.2055950901333155E-2</v>
      </c>
      <c r="ED67">
        <v>0.65717904403351624</v>
      </c>
      <c r="EE67" s="11">
        <v>3.0601099999999999</v>
      </c>
      <c r="EF67">
        <v>3.0844100000000001</v>
      </c>
      <c r="EG67">
        <v>24.109644322282527</v>
      </c>
      <c r="EH67" t="s">
        <v>1784</v>
      </c>
      <c r="EI67">
        <v>0</v>
      </c>
      <c r="EJ67">
        <v>0</v>
      </c>
      <c r="EK67" s="13">
        <v>45470</v>
      </c>
      <c r="EL67" s="14">
        <v>-1.54</v>
      </c>
      <c r="EM67" s="14">
        <v>-3.18</v>
      </c>
      <c r="EN67" s="14">
        <v>-2.4500000000000002</v>
      </c>
      <c r="EO67" s="14">
        <v>3.51</v>
      </c>
      <c r="EP67" s="14">
        <v>-2.4300000000000002</v>
      </c>
    </row>
    <row r="68" spans="1:146" ht="84" x14ac:dyDescent="0.25">
      <c r="A68" s="7"/>
      <c r="B68" s="7"/>
      <c r="C68" s="7" t="str">
        <f>""&amp;CHAR(10)&amp;Basic_Fundamental_Information_Constructure(F68)&amp;CHAR(10)&amp;Basic_Fundamental_Information_Concatenate("")</f>
        <v xml:space="preserve">
市值158.07152亿, 利润-2254.94万; PE43.79; 平均PE157.36; 平均PEG2.2, PB3.66; ROIC23.33%; ROE24.65%; 股利率.4188%; 毛利59.1967%; 净利41.1367%; 上一年度营收增-96.76%, 利润增-106.77%; 当季营收增2899.04%, 利润增941.99%; 过往5年营收增71.6%, 利润增-180.29%
Income profile:
</v>
      </c>
      <c r="D68" t="s">
        <v>719</v>
      </c>
      <c r="E68" t="s">
        <v>720</v>
      </c>
      <c r="F68">
        <v>81.19</v>
      </c>
      <c r="G68">
        <v>2.14</v>
      </c>
      <c r="H68" t="s">
        <v>2745</v>
      </c>
      <c r="I68">
        <v>15807152000</v>
      </c>
      <c r="J68">
        <v>43.79</v>
      </c>
      <c r="K68">
        <v>3.66</v>
      </c>
      <c r="L68" t="s">
        <v>1792</v>
      </c>
      <c r="M68" t="s">
        <v>1121</v>
      </c>
      <c r="N68" t="s">
        <v>236</v>
      </c>
      <c r="O68" t="s">
        <v>376</v>
      </c>
      <c r="P68">
        <v>32.61</v>
      </c>
      <c r="Q68" t="s">
        <v>1714</v>
      </c>
      <c r="R68">
        <v>114403262</v>
      </c>
      <c r="S68" s="6">
        <v>0.29399999999999998</v>
      </c>
      <c r="T68" t="s">
        <v>1715</v>
      </c>
      <c r="U68">
        <v>48673339</v>
      </c>
      <c r="V68">
        <v>194693340</v>
      </c>
      <c r="W68">
        <v>1.2</v>
      </c>
      <c r="X68">
        <v>0.05</v>
      </c>
      <c r="Y68">
        <v>44.09</v>
      </c>
      <c r="Z68" t="s">
        <v>444</v>
      </c>
      <c r="AA68" t="s">
        <v>79</v>
      </c>
      <c r="AB68" t="s">
        <v>2746</v>
      </c>
      <c r="AC68" t="s">
        <v>2747</v>
      </c>
      <c r="AD68" t="s">
        <v>35</v>
      </c>
      <c r="AE68">
        <v>564688</v>
      </c>
      <c r="AF68" t="s">
        <v>1707</v>
      </c>
      <c r="AG68" t="s">
        <v>2748</v>
      </c>
      <c r="AH68" t="s">
        <v>1708</v>
      </c>
      <c r="AI68" t="s">
        <v>2749</v>
      </c>
      <c r="AJ68" t="s">
        <v>1709</v>
      </c>
      <c r="AK68" t="s">
        <v>2750</v>
      </c>
      <c r="AL68" t="s">
        <v>1710</v>
      </c>
      <c r="AM68" t="s">
        <v>35</v>
      </c>
      <c r="AN68" t="s">
        <v>1147</v>
      </c>
      <c r="AO68" t="s">
        <v>2751</v>
      </c>
      <c r="AP68" t="s">
        <v>2752</v>
      </c>
      <c r="AQ68" t="s">
        <v>857</v>
      </c>
      <c r="AR68" t="s">
        <v>35</v>
      </c>
      <c r="AS68" t="s">
        <v>627</v>
      </c>
      <c r="AT68" t="s">
        <v>840</v>
      </c>
      <c r="AU68" t="s">
        <v>2753</v>
      </c>
      <c r="AV68" t="s">
        <v>2754</v>
      </c>
      <c r="AW68" t="s">
        <v>389</v>
      </c>
      <c r="AX68" t="s">
        <v>1061</v>
      </c>
      <c r="AY68" t="s">
        <v>882</v>
      </c>
      <c r="AZ68" t="s">
        <v>146</v>
      </c>
      <c r="BA68" t="s">
        <v>54</v>
      </c>
      <c r="BB68" t="s">
        <v>721</v>
      </c>
      <c r="BC68" t="s">
        <v>112</v>
      </c>
      <c r="BD68" t="s">
        <v>65</v>
      </c>
      <c r="BE68" t="s">
        <v>101</v>
      </c>
      <c r="BF68" t="s">
        <v>623</v>
      </c>
      <c r="BG68" t="s">
        <v>722</v>
      </c>
      <c r="BH68" t="s">
        <v>1468</v>
      </c>
      <c r="BI68" t="s">
        <v>1718</v>
      </c>
      <c r="BJ68" t="s">
        <v>1061</v>
      </c>
      <c r="BK68" t="s">
        <v>1152</v>
      </c>
      <c r="BL68" t="s">
        <v>1719</v>
      </c>
      <c r="BM68" t="s">
        <v>112</v>
      </c>
      <c r="BN68">
        <v>6.34</v>
      </c>
      <c r="BO68">
        <v>14.68</v>
      </c>
      <c r="BP68">
        <v>48.97</v>
      </c>
      <c r="BQ68">
        <v>6.89</v>
      </c>
      <c r="BR68">
        <v>11.46</v>
      </c>
      <c r="BS68">
        <v>55.6</v>
      </c>
      <c r="BT68" t="s">
        <v>1711</v>
      </c>
      <c r="BU68" t="s">
        <v>733</v>
      </c>
      <c r="BV68">
        <v>57.78</v>
      </c>
      <c r="BW68">
        <v>61</v>
      </c>
      <c r="BX68">
        <v>58.81</v>
      </c>
      <c r="BY68">
        <v>28.28</v>
      </c>
      <c r="BZ68">
        <v>49.58</v>
      </c>
      <c r="CA68">
        <v>45.55</v>
      </c>
      <c r="CB68">
        <v>-2.56</v>
      </c>
      <c r="CC68">
        <v>-12.32</v>
      </c>
      <c r="CD68" t="s">
        <v>2755</v>
      </c>
      <c r="CE68" t="s">
        <v>2756</v>
      </c>
      <c r="CF68" s="8">
        <v>28.990446591609935</v>
      </c>
      <c r="CG68" s="9">
        <v>9.4199049119707077</v>
      </c>
      <c r="CH68" s="8">
        <v>-0.96763330698013306</v>
      </c>
      <c r="CI68" s="8">
        <v>0.3125</v>
      </c>
      <c r="CJ68" s="8">
        <v>0.23671497404575348</v>
      </c>
      <c r="CK68" s="8">
        <v>2.538461446762085</v>
      </c>
      <c r="CL68" s="8">
        <v>1.4600039720535278</v>
      </c>
      <c r="CM68" s="9">
        <v>-1.0677158832550049</v>
      </c>
      <c r="CN68" s="9">
        <v>0.42918455600738525</v>
      </c>
      <c r="CO68" s="9">
        <v>0.50322580337524414</v>
      </c>
      <c r="CP68" s="9">
        <v>2.4622640609741211</v>
      </c>
      <c r="CQ68" s="9">
        <v>-11.341565132141113</v>
      </c>
      <c r="CR68">
        <v>157.36325421996497</v>
      </c>
      <c r="CS68">
        <v>2.197781906843689</v>
      </c>
      <c r="CT68">
        <v>0.41877078457938172</v>
      </c>
      <c r="CU68" s="8">
        <v>0.71600941717624667</v>
      </c>
      <c r="CV68" s="9">
        <v>-1.8029213190078734</v>
      </c>
      <c r="CW68">
        <v>0.06</v>
      </c>
      <c r="CX68" t="e">
        <v>#VALUE!</v>
      </c>
      <c r="CY68" t="s">
        <v>740</v>
      </c>
      <c r="CZ68">
        <v>0.71600941717624667</v>
      </c>
      <c r="DA68" t="e">
        <v>#VALUE!</v>
      </c>
      <c r="DB68" t="s">
        <v>740</v>
      </c>
      <c r="DC68">
        <v>0.68020894631743434</v>
      </c>
      <c r="DD68" t="e">
        <v>#VALUE!</v>
      </c>
      <c r="DE68" t="s">
        <v>740</v>
      </c>
      <c r="DF68">
        <v>0.63008828711509712</v>
      </c>
      <c r="DG68" t="e">
        <v>#VALUE!</v>
      </c>
      <c r="DH68" t="s">
        <v>740</v>
      </c>
      <c r="DI68">
        <v>0.57280753374099735</v>
      </c>
      <c r="DJ68" t="e">
        <v>#VALUE!</v>
      </c>
      <c r="DK68" t="s">
        <v>740</v>
      </c>
      <c r="DL68">
        <v>0.50120659202337259</v>
      </c>
      <c r="DM68">
        <v>-22549400</v>
      </c>
      <c r="DN68">
        <v>0.71600941717624667</v>
      </c>
      <c r="DO68">
        <v>12240152000</v>
      </c>
      <c r="DP68">
        <v>3464999100</v>
      </c>
      <c r="DQ68">
        <v>4783</v>
      </c>
      <c r="DR68">
        <v>28.27443717443369</v>
      </c>
      <c r="DS68">
        <v>11.222826230978582</v>
      </c>
      <c r="DT68" s="10">
        <v>0.15500000000000003</v>
      </c>
      <c r="DU68">
        <v>-1.1199999999999999</v>
      </c>
      <c r="DV68">
        <v>-0.96499999999999986</v>
      </c>
      <c r="DW68">
        <v>-8.2077922077922079</v>
      </c>
      <c r="DX68">
        <v>0.45320304152791308</v>
      </c>
      <c r="DY68">
        <v>-8.0318343982395675</v>
      </c>
      <c r="DZ68">
        <v>4384</v>
      </c>
      <c r="EA68">
        <v>-8.0045228518829603</v>
      </c>
      <c r="EB68">
        <v>8</v>
      </c>
      <c r="EC68">
        <v>1.8927714733333972E-2</v>
      </c>
      <c r="ED68">
        <v>0.12354659897457201</v>
      </c>
      <c r="EE68" s="11">
        <v>3.10351</v>
      </c>
      <c r="EF68">
        <v>3.1387100000000001</v>
      </c>
      <c r="EG68">
        <v>30.153203041527913</v>
      </c>
      <c r="EH68" t="s">
        <v>1784</v>
      </c>
      <c r="EI68">
        <v>0</v>
      </c>
      <c r="EJ68">
        <v>0</v>
      </c>
      <c r="EK68" s="13">
        <v>45470</v>
      </c>
      <c r="EL68" s="14">
        <v>0.08</v>
      </c>
      <c r="EM68" s="14">
        <v>-3.69</v>
      </c>
      <c r="EN68" s="14">
        <v>-0.09</v>
      </c>
      <c r="EO68" s="14">
        <v>1.75</v>
      </c>
      <c r="EP68" s="14">
        <v>-3.52</v>
      </c>
    </row>
    <row r="69" spans="1:146" ht="84" x14ac:dyDescent="0.25">
      <c r="A69" s="7"/>
      <c r="B69" s="7"/>
      <c r="C69" s="7" t="str">
        <f>""&amp;CHAR(10)&amp;Basic_Fundamental_Information_Constructure(F69)&amp;CHAR(10)&amp;Basic_Fundamental_Information_Concatenate("")</f>
        <v xml:space="preserve">
市值20.4952亿, 利润8709.90万; PE; 平均PE32.77; 平均PEG.96, PB1.54; ROIC11.38%; ROE12.5267%; 股利率0%; 毛利25.6733%; 净利-17.8167%; 上一年度营收增23.9%, 利润增56.08%; 当季营收增-41.28%, 利润增-748.58%; 过往5年营收增34.31%, 利润增50.8%
Income profile:
</v>
      </c>
      <c r="D69" t="s">
        <v>723</v>
      </c>
      <c r="E69" t="s">
        <v>1712</v>
      </c>
      <c r="F69">
        <v>23.29</v>
      </c>
      <c r="G69">
        <v>-0.04</v>
      </c>
      <c r="H69" t="s">
        <v>2757</v>
      </c>
      <c r="I69">
        <v>2049520000</v>
      </c>
      <c r="K69">
        <v>1.54</v>
      </c>
      <c r="L69" t="s">
        <v>1792</v>
      </c>
      <c r="M69" t="s">
        <v>53</v>
      </c>
      <c r="N69" t="s">
        <v>1220</v>
      </c>
      <c r="O69" t="s">
        <v>1713</v>
      </c>
      <c r="P69">
        <v>36.85</v>
      </c>
      <c r="Q69" t="s">
        <v>1075</v>
      </c>
      <c r="R69">
        <v>-17764082</v>
      </c>
      <c r="S69" s="6">
        <v>-2.6179999999999999</v>
      </c>
      <c r="T69" t="s">
        <v>2758</v>
      </c>
      <c r="U69">
        <v>36520000</v>
      </c>
      <c r="V69">
        <v>88000000</v>
      </c>
      <c r="W69">
        <v>1.1499999999999999</v>
      </c>
      <c r="X69">
        <v>0.01</v>
      </c>
      <c r="Y69">
        <v>-156.97</v>
      </c>
      <c r="Z69" t="s">
        <v>2759</v>
      </c>
      <c r="AA69" t="s">
        <v>2760</v>
      </c>
      <c r="AB69" t="s">
        <v>2761</v>
      </c>
      <c r="AC69" t="s">
        <v>2762</v>
      </c>
      <c r="AD69" t="s">
        <v>35</v>
      </c>
      <c r="AE69">
        <v>-4500333</v>
      </c>
      <c r="AF69" t="s">
        <v>1716</v>
      </c>
      <c r="AG69" t="s">
        <v>35</v>
      </c>
      <c r="AH69" t="s">
        <v>2763</v>
      </c>
      <c r="AI69" t="s">
        <v>484</v>
      </c>
      <c r="AJ69" t="s">
        <v>35</v>
      </c>
      <c r="AK69" t="s">
        <v>2764</v>
      </c>
      <c r="AL69" t="s">
        <v>1717</v>
      </c>
      <c r="AM69" t="s">
        <v>35</v>
      </c>
      <c r="AN69">
        <v>0</v>
      </c>
      <c r="AO69" t="s">
        <v>35</v>
      </c>
      <c r="AP69" t="s">
        <v>193</v>
      </c>
      <c r="AQ69" t="s">
        <v>2765</v>
      </c>
      <c r="AR69" t="s">
        <v>35</v>
      </c>
      <c r="AS69" t="s">
        <v>353</v>
      </c>
      <c r="AT69" t="s">
        <v>35</v>
      </c>
      <c r="AU69" t="s">
        <v>2766</v>
      </c>
      <c r="AV69" t="s">
        <v>2767</v>
      </c>
      <c r="AW69" t="s">
        <v>2768</v>
      </c>
      <c r="AX69" t="s">
        <v>117</v>
      </c>
      <c r="AY69" t="s">
        <v>683</v>
      </c>
      <c r="AZ69" t="s">
        <v>155</v>
      </c>
      <c r="BA69" t="s">
        <v>629</v>
      </c>
      <c r="BB69" t="s">
        <v>725</v>
      </c>
      <c r="BC69" t="s">
        <v>1068</v>
      </c>
      <c r="BD69" t="s">
        <v>724</v>
      </c>
      <c r="BE69" t="s">
        <v>726</v>
      </c>
      <c r="BF69" t="s">
        <v>727</v>
      </c>
      <c r="BG69" t="s">
        <v>728</v>
      </c>
      <c r="BH69" t="s">
        <v>1714</v>
      </c>
      <c r="BI69" t="s">
        <v>2769</v>
      </c>
      <c r="BJ69" t="s">
        <v>117</v>
      </c>
      <c r="BK69" t="s">
        <v>1715</v>
      </c>
      <c r="BL69" t="s">
        <v>2770</v>
      </c>
      <c r="BM69" t="s">
        <v>1068</v>
      </c>
      <c r="BN69">
        <v>-0.82</v>
      </c>
      <c r="BO69">
        <v>5.61</v>
      </c>
      <c r="BP69">
        <v>29.35</v>
      </c>
      <c r="BQ69">
        <v>0.3</v>
      </c>
      <c r="BR69">
        <v>4.6500000000000004</v>
      </c>
      <c r="BS69">
        <v>32.630000000000003</v>
      </c>
      <c r="BT69" t="s">
        <v>948</v>
      </c>
      <c r="BU69" t="s">
        <v>844</v>
      </c>
      <c r="BV69">
        <v>2.62</v>
      </c>
      <c r="BW69">
        <v>37.33</v>
      </c>
      <c r="BX69">
        <v>37.07</v>
      </c>
      <c r="BY69">
        <v>-103.67</v>
      </c>
      <c r="BZ69">
        <v>27.26</v>
      </c>
      <c r="CA69">
        <v>22.96</v>
      </c>
      <c r="CB69">
        <v>-1.23</v>
      </c>
      <c r="CC69">
        <v>-3.32</v>
      </c>
      <c r="CD69" t="s">
        <v>2342</v>
      </c>
      <c r="CE69" t="s">
        <v>2771</v>
      </c>
      <c r="CF69" s="8">
        <v>-0.41275582215949186</v>
      </c>
      <c r="CG69" s="9">
        <v>-7.4858454123918365</v>
      </c>
      <c r="CH69" s="8">
        <v>0.23902438580989838</v>
      </c>
      <c r="CI69" s="8">
        <v>-0.35534590482711792</v>
      </c>
      <c r="CJ69" s="8">
        <v>3.9215687662363052E-2</v>
      </c>
      <c r="CK69" s="8">
        <v>0.35398229956626892</v>
      </c>
      <c r="CL69" s="8">
        <v>1.43854820728302</v>
      </c>
      <c r="CM69" s="9">
        <v>0.56084126234054565</v>
      </c>
      <c r="CN69" s="9">
        <v>-0.23634238541126251</v>
      </c>
      <c r="CO69" s="9">
        <v>2.5514069944620132E-2</v>
      </c>
      <c r="CP69" s="9">
        <v>6.8339109420776367E-2</v>
      </c>
      <c r="CQ69" s="9">
        <v>2.1218371391296387</v>
      </c>
      <c r="CR69">
        <v>32.766927815404912</v>
      </c>
      <c r="CS69">
        <v>0.95506752011599061</v>
      </c>
      <c r="CT69">
        <v>0</v>
      </c>
      <c r="CU69" s="8">
        <v>0.34308493509888649</v>
      </c>
      <c r="CV69" s="9">
        <v>0.50803783908486366</v>
      </c>
      <c r="CW69">
        <v>0.06</v>
      </c>
      <c r="CX69">
        <v>8.8032080162996689</v>
      </c>
      <c r="CY69">
        <v>110359768.64356406</v>
      </c>
      <c r="CZ69">
        <v>0.34308493509888649</v>
      </c>
      <c r="DA69">
        <v>2.3370271717174944</v>
      </c>
      <c r="DB69">
        <v>415707618.53231877</v>
      </c>
      <c r="DC69">
        <v>0.32593068834394218</v>
      </c>
      <c r="DD69">
        <v>0.8519137452820984</v>
      </c>
      <c r="DE69">
        <v>1140397141.5889008</v>
      </c>
      <c r="DF69">
        <v>0.30191474288702014</v>
      </c>
      <c r="DG69">
        <v>0.35329581662620663</v>
      </c>
      <c r="DH69">
        <v>2749876885.8276229</v>
      </c>
      <c r="DI69">
        <v>0.27446794807910918</v>
      </c>
      <c r="DJ69">
        <v>7.3352114158702048E-2</v>
      </c>
      <c r="DK69">
        <v>13244608027.221323</v>
      </c>
      <c r="DL69">
        <v>0.24015945456922053</v>
      </c>
      <c r="DM69">
        <v>87099000</v>
      </c>
      <c r="DN69">
        <v>0.34308493509888649</v>
      </c>
      <c r="DO69">
        <v>971520000</v>
      </c>
      <c r="DP69">
        <v>840057060</v>
      </c>
      <c r="DQ69">
        <v>4784</v>
      </c>
      <c r="DR69">
        <v>-0.75584075725837829</v>
      </c>
      <c r="DS69">
        <v>-7.9938832514767002</v>
      </c>
      <c r="DT69" s="10">
        <v>-0.10666666666666669</v>
      </c>
      <c r="DU69">
        <v>-0.38000000000000006</v>
      </c>
      <c r="DV69">
        <v>-0.48666666666666675</v>
      </c>
      <c r="DW69">
        <v>-1.0331999999999999</v>
      </c>
      <c r="DX69">
        <v>0.40605868966977127</v>
      </c>
      <c r="DY69">
        <v>-1.0031891484970363</v>
      </c>
      <c r="DZ69">
        <v>239</v>
      </c>
      <c r="EA69">
        <v>-1.0030399887141026</v>
      </c>
      <c r="EB69">
        <v>1</v>
      </c>
      <c r="EC69">
        <v>1.6501136363636364E-2</v>
      </c>
      <c r="ED69">
        <v>0.17178181818181817</v>
      </c>
      <c r="EE69" s="11">
        <v>2.0824099999999999</v>
      </c>
      <c r="EF69">
        <v>2.12961</v>
      </c>
      <c r="EG69">
        <v>31.096058689669771</v>
      </c>
      <c r="EH69" t="s">
        <v>975</v>
      </c>
      <c r="EI69">
        <v>0</v>
      </c>
      <c r="EJ69">
        <v>1</v>
      </c>
      <c r="EK69" s="13">
        <v>45470</v>
      </c>
      <c r="EL69" s="14">
        <v>-3.29</v>
      </c>
      <c r="EM69" s="14">
        <v>-5.0599999999999996</v>
      </c>
      <c r="EN69" s="14">
        <v>-2.67</v>
      </c>
      <c r="EO69" s="14">
        <v>3.97</v>
      </c>
      <c r="EP69" s="14">
        <v>-4.72</v>
      </c>
    </row>
    <row r="70" spans="1:146" ht="84" x14ac:dyDescent="0.25">
      <c r="A70" s="7"/>
      <c r="B70" s="7"/>
      <c r="C70" s="7" t="str">
        <f>""&amp;CHAR(10)&amp;Basic_Fundamental_Information_Constructure(F70)&amp;CHAR(10)&amp;Basic_Fundamental_Information_Concatenate("")</f>
        <v xml:space="preserve">
市值16.85846亿, 利润-7160.02万; PE56.09; 平均PE50.89; 平均PEG1.62, PB1.68; ROIC6.3167%; ROE7.01%; 股利率1.3187%; 毛利46.74%; 净利23.2367%; 上一年度营收增40.55%, 利润增-186.97%; 当季营收增-43.59%, 利润增157.44%; 过往5年营收增31.44%, 利润增-1.39%
Income profile:
</v>
      </c>
      <c r="D70" t="s">
        <v>787</v>
      </c>
      <c r="E70" t="s">
        <v>788</v>
      </c>
      <c r="F70">
        <v>4.55</v>
      </c>
      <c r="G70">
        <v>2.94</v>
      </c>
      <c r="H70" t="s">
        <v>2772</v>
      </c>
      <c r="I70">
        <v>1685846000</v>
      </c>
      <c r="J70">
        <v>56.09</v>
      </c>
      <c r="K70">
        <v>1.68</v>
      </c>
      <c r="L70" t="s">
        <v>1792</v>
      </c>
      <c r="M70" t="s">
        <v>2773</v>
      </c>
      <c r="N70" t="s">
        <v>2403</v>
      </c>
      <c r="O70" t="s">
        <v>1720</v>
      </c>
      <c r="P70">
        <v>50.81</v>
      </c>
      <c r="Q70" t="s">
        <v>337</v>
      </c>
      <c r="R70">
        <v>6197016</v>
      </c>
      <c r="S70" s="6">
        <v>3.2919999999999998</v>
      </c>
      <c r="T70" t="s">
        <v>2774</v>
      </c>
      <c r="U70">
        <v>370515600</v>
      </c>
      <c r="V70">
        <v>370515600</v>
      </c>
      <c r="W70">
        <v>1.07</v>
      </c>
      <c r="X70">
        <v>0.04</v>
      </c>
      <c r="Y70">
        <v>12.92</v>
      </c>
      <c r="Z70" t="s">
        <v>2775</v>
      </c>
      <c r="AA70" t="s">
        <v>2776</v>
      </c>
      <c r="AB70" t="s">
        <v>2777</v>
      </c>
      <c r="AC70" t="s">
        <v>2778</v>
      </c>
      <c r="AD70" t="s">
        <v>35</v>
      </c>
      <c r="AE70">
        <v>-2676953</v>
      </c>
      <c r="AF70" t="s">
        <v>102</v>
      </c>
      <c r="AG70" t="s">
        <v>2779</v>
      </c>
      <c r="AH70" t="s">
        <v>2780</v>
      </c>
      <c r="AI70" t="s">
        <v>175</v>
      </c>
      <c r="AJ70" t="s">
        <v>2781</v>
      </c>
      <c r="AK70" t="s">
        <v>35</v>
      </c>
      <c r="AL70" t="s">
        <v>2782</v>
      </c>
      <c r="AM70" t="s">
        <v>35</v>
      </c>
      <c r="AN70" t="s">
        <v>2783</v>
      </c>
      <c r="AO70" t="s">
        <v>35</v>
      </c>
      <c r="AP70" t="s">
        <v>35</v>
      </c>
      <c r="AQ70" t="s">
        <v>2784</v>
      </c>
      <c r="AR70" t="s">
        <v>35</v>
      </c>
      <c r="AS70" t="s">
        <v>2785</v>
      </c>
      <c r="AT70" t="s">
        <v>2786</v>
      </c>
      <c r="AU70" t="s">
        <v>2787</v>
      </c>
      <c r="AV70" t="s">
        <v>2788</v>
      </c>
      <c r="AW70" t="s">
        <v>2789</v>
      </c>
      <c r="AX70" t="s">
        <v>769</v>
      </c>
      <c r="AY70" t="s">
        <v>271</v>
      </c>
      <c r="AZ70" t="s">
        <v>131</v>
      </c>
      <c r="BA70" t="s">
        <v>349</v>
      </c>
      <c r="BB70" t="s">
        <v>162</v>
      </c>
      <c r="BC70" t="s">
        <v>2790</v>
      </c>
      <c r="BD70" t="s">
        <v>792</v>
      </c>
      <c r="BE70" t="s">
        <v>789</v>
      </c>
      <c r="BF70" t="s">
        <v>790</v>
      </c>
      <c r="BG70" t="s">
        <v>791</v>
      </c>
      <c r="BH70" t="s">
        <v>147</v>
      </c>
      <c r="BI70" t="s">
        <v>2791</v>
      </c>
      <c r="BJ70" t="s">
        <v>769</v>
      </c>
      <c r="BK70" t="s">
        <v>2792</v>
      </c>
      <c r="BL70" t="s">
        <v>2793</v>
      </c>
      <c r="BM70" t="s">
        <v>2790</v>
      </c>
      <c r="BN70">
        <v>3.27</v>
      </c>
      <c r="BO70">
        <v>8.0299999999999994</v>
      </c>
      <c r="BP70">
        <v>7.65</v>
      </c>
      <c r="BQ70">
        <v>3.97</v>
      </c>
      <c r="BR70">
        <v>9.06</v>
      </c>
      <c r="BS70">
        <v>8</v>
      </c>
      <c r="BT70" t="s">
        <v>955</v>
      </c>
      <c r="BU70" t="s">
        <v>733</v>
      </c>
      <c r="BV70">
        <v>37.1</v>
      </c>
      <c r="BW70">
        <v>49.91</v>
      </c>
      <c r="BX70">
        <v>53.21</v>
      </c>
      <c r="BY70">
        <v>9.9700000000000006</v>
      </c>
      <c r="BZ70">
        <v>28.29</v>
      </c>
      <c r="CA70">
        <v>31.45</v>
      </c>
      <c r="CB70">
        <v>-13.5</v>
      </c>
      <c r="CC70">
        <v>-37.840000000000003</v>
      </c>
      <c r="CD70" t="s">
        <v>2794</v>
      </c>
      <c r="CE70" t="s">
        <v>619</v>
      </c>
      <c r="CF70" s="8">
        <v>-0.43594702504052657</v>
      </c>
      <c r="CG70" s="9">
        <v>1.5744360400444939</v>
      </c>
      <c r="CH70" s="8">
        <v>0.40549829602241516</v>
      </c>
      <c r="CI70" s="8">
        <v>0.26521739363670349</v>
      </c>
      <c r="CJ70" s="8">
        <v>0.27777779102325439</v>
      </c>
      <c r="CK70" s="8">
        <v>0.23287671804428101</v>
      </c>
      <c r="CL70" s="8">
        <v>0.39047619700431824</v>
      </c>
      <c r="CM70" s="9">
        <v>-1.8697155714035034</v>
      </c>
      <c r="CN70" s="9">
        <v>0.1388627290725708</v>
      </c>
      <c r="CO70" s="9">
        <v>0.35216653347015381</v>
      </c>
      <c r="CP70" s="9">
        <v>0.28190445899963379</v>
      </c>
      <c r="CQ70" s="9">
        <v>1.0273691415786743</v>
      </c>
      <c r="CR70">
        <v>50.893643398995621</v>
      </c>
      <c r="CS70">
        <v>1.618912749274334</v>
      </c>
      <c r="CT70">
        <v>1.3186813186813187</v>
      </c>
      <c r="CU70" s="8">
        <v>0.31436927914619445</v>
      </c>
      <c r="CV70" s="9">
        <v>-1.388254165649414E-2</v>
      </c>
      <c r="CW70">
        <v>0.06</v>
      </c>
      <c r="CX70" t="e">
        <v>#VALUE!</v>
      </c>
      <c r="CY70" t="s">
        <v>740</v>
      </c>
      <c r="CZ70">
        <v>0.31436927914619445</v>
      </c>
      <c r="DA70" t="e">
        <v>#VALUE!</v>
      </c>
      <c r="DB70" t="s">
        <v>740</v>
      </c>
      <c r="DC70">
        <v>0.2986508151888847</v>
      </c>
      <c r="DD70" t="e">
        <v>#VALUE!</v>
      </c>
      <c r="DE70" t="s">
        <v>740</v>
      </c>
      <c r="DF70">
        <v>0.2766449656486511</v>
      </c>
      <c r="DG70" t="e">
        <v>#VALUE!</v>
      </c>
      <c r="DH70" t="s">
        <v>740</v>
      </c>
      <c r="DI70">
        <v>0.25149542331695557</v>
      </c>
      <c r="DJ70" t="e">
        <v>#VALUE!</v>
      </c>
      <c r="DK70" t="s">
        <v>740</v>
      </c>
      <c r="DL70">
        <v>0.2200584954023361</v>
      </c>
      <c r="DM70">
        <v>-71600200</v>
      </c>
      <c r="DN70">
        <v>0.31436927914619445</v>
      </c>
      <c r="DO70">
        <v>759866200.00000012</v>
      </c>
      <c r="DP70">
        <v>602630340</v>
      </c>
      <c r="DQ70">
        <v>4788</v>
      </c>
      <c r="DR70">
        <v>-0.75031630418672102</v>
      </c>
      <c r="DS70">
        <v>1.5883185817009879</v>
      </c>
      <c r="DT70" s="10">
        <v>0.22666666666666657</v>
      </c>
      <c r="DU70">
        <v>-0.3</v>
      </c>
      <c r="DV70">
        <v>-7.3333333333333417E-2</v>
      </c>
      <c r="DW70">
        <v>-9.3567653276955607</v>
      </c>
      <c r="DX70">
        <v>0.29135833333333394</v>
      </c>
      <c r="DY70">
        <v>-9.0611347119450318</v>
      </c>
      <c r="DZ70">
        <v>3847</v>
      </c>
      <c r="EA70">
        <v>-9.0151102037547108</v>
      </c>
      <c r="EB70">
        <v>9</v>
      </c>
      <c r="EC70">
        <v>0.16649501397512007</v>
      </c>
      <c r="ED70">
        <v>0.97161900875428731</v>
      </c>
      <c r="EE70" s="11">
        <v>-2.0639099999999999</v>
      </c>
      <c r="EF70">
        <v>-2.0677099999999999</v>
      </c>
      <c r="EG70">
        <v>12.171358333333334</v>
      </c>
      <c r="EH70" t="s">
        <v>1114</v>
      </c>
      <c r="EI70">
        <v>0</v>
      </c>
      <c r="EJ70">
        <v>0</v>
      </c>
      <c r="EK70" s="13">
        <v>45470</v>
      </c>
      <c r="EL70" s="14">
        <v>-18.47</v>
      </c>
      <c r="EM70" s="14">
        <v>-8.93</v>
      </c>
      <c r="EN70" s="14">
        <v>-2.2799999999999998</v>
      </c>
      <c r="EO70" s="14">
        <v>2.91</v>
      </c>
      <c r="EP70" s="14">
        <v>-0.38</v>
      </c>
    </row>
    <row r="71" spans="1:146" ht="84" x14ac:dyDescent="0.25">
      <c r="A71" s="7"/>
      <c r="B71" s="7"/>
      <c r="C71" s="7" t="str">
        <f>""&amp;CHAR(10)&amp;Basic_Fundamental_Information_Constructure(F71)&amp;CHAR(10)&amp;Basic_Fundamental_Information_Concatenate("")</f>
        <v xml:space="preserve">
市值209.79亿, 利润-3.98亿; PE99.39; 平均PE296.46; 平均PEG1.73, PB3.6; ROIC15.1567%; ROE15.2533%; 股利率.5695%; 毛利22.41%; 净利12.22%; 上一年度营收增-70.43%, 利润增-207.57%; 当季营收增-83.7%, 利润增46.36%; 过往5年营收增171.83%, 利润增179.39%
Income profile:
</v>
      </c>
      <c r="D71" t="s">
        <v>793</v>
      </c>
      <c r="E71" t="s">
        <v>794</v>
      </c>
      <c r="F71">
        <v>31.08</v>
      </c>
      <c r="G71">
        <v>-0.03</v>
      </c>
      <c r="H71" t="s">
        <v>2795</v>
      </c>
      <c r="I71">
        <v>20979000000</v>
      </c>
      <c r="J71">
        <v>99.39</v>
      </c>
      <c r="K71">
        <v>3.6</v>
      </c>
      <c r="L71" t="s">
        <v>1792</v>
      </c>
      <c r="M71" t="s">
        <v>1055</v>
      </c>
      <c r="N71" t="s">
        <v>2796</v>
      </c>
      <c r="O71" t="s">
        <v>1721</v>
      </c>
      <c r="P71">
        <v>-87.14</v>
      </c>
      <c r="Q71" t="s">
        <v>2797</v>
      </c>
      <c r="R71">
        <v>-26996400</v>
      </c>
      <c r="S71" s="6">
        <v>-1.419</v>
      </c>
      <c r="T71" t="s">
        <v>1682</v>
      </c>
      <c r="U71">
        <v>271621940</v>
      </c>
      <c r="V71">
        <v>675000000</v>
      </c>
      <c r="W71">
        <v>1.24</v>
      </c>
      <c r="X71">
        <v>0.01</v>
      </c>
      <c r="Y71">
        <v>-44.05</v>
      </c>
      <c r="Z71" t="s">
        <v>2798</v>
      </c>
      <c r="AA71" t="s">
        <v>2799</v>
      </c>
      <c r="AB71" t="s">
        <v>2800</v>
      </c>
      <c r="AC71" t="s">
        <v>2801</v>
      </c>
      <c r="AD71" t="s">
        <v>35</v>
      </c>
      <c r="AE71">
        <v>-23170422</v>
      </c>
      <c r="AF71" t="s">
        <v>102</v>
      </c>
      <c r="AG71" t="s">
        <v>2802</v>
      </c>
      <c r="AH71" t="s">
        <v>1723</v>
      </c>
      <c r="AI71" t="s">
        <v>2803</v>
      </c>
      <c r="AJ71" t="s">
        <v>1724</v>
      </c>
      <c r="AK71" t="s">
        <v>35</v>
      </c>
      <c r="AL71" t="s">
        <v>1725</v>
      </c>
      <c r="AM71" t="s">
        <v>35</v>
      </c>
      <c r="AN71" t="s">
        <v>2804</v>
      </c>
      <c r="AO71" t="s">
        <v>35</v>
      </c>
      <c r="AP71" t="s">
        <v>35</v>
      </c>
      <c r="AQ71" t="s">
        <v>2805</v>
      </c>
      <c r="AR71" t="s">
        <v>35</v>
      </c>
      <c r="AS71" t="s">
        <v>2806</v>
      </c>
      <c r="AT71" t="s">
        <v>35</v>
      </c>
      <c r="AU71" t="s">
        <v>2807</v>
      </c>
      <c r="AV71" t="s">
        <v>2808</v>
      </c>
      <c r="AW71" t="s">
        <v>35</v>
      </c>
      <c r="AX71" t="s">
        <v>1069</v>
      </c>
      <c r="AY71" t="s">
        <v>547</v>
      </c>
      <c r="AZ71" t="s">
        <v>329</v>
      </c>
      <c r="BA71" t="s">
        <v>174</v>
      </c>
      <c r="BB71" t="s">
        <v>795</v>
      </c>
      <c r="BC71" t="s">
        <v>626</v>
      </c>
      <c r="BD71" t="s">
        <v>167</v>
      </c>
      <c r="BE71" t="s">
        <v>74</v>
      </c>
      <c r="BF71" t="s">
        <v>796</v>
      </c>
      <c r="BG71" t="s">
        <v>797</v>
      </c>
      <c r="BH71" t="s">
        <v>1151</v>
      </c>
      <c r="BI71" t="s">
        <v>2809</v>
      </c>
      <c r="BJ71" t="s">
        <v>1069</v>
      </c>
      <c r="BK71" t="s">
        <v>1044</v>
      </c>
      <c r="BL71" t="s">
        <v>2810</v>
      </c>
      <c r="BM71" t="s">
        <v>626</v>
      </c>
      <c r="BN71">
        <v>3.2</v>
      </c>
      <c r="BO71">
        <v>9.4499999999999993</v>
      </c>
      <c r="BP71">
        <v>32.82</v>
      </c>
      <c r="BQ71">
        <v>4.18</v>
      </c>
      <c r="BR71">
        <v>10.7</v>
      </c>
      <c r="BS71">
        <v>30.88</v>
      </c>
      <c r="BT71" t="s">
        <v>1726</v>
      </c>
      <c r="BU71" t="s">
        <v>733</v>
      </c>
      <c r="BV71">
        <v>18.95</v>
      </c>
      <c r="BW71">
        <v>24.26</v>
      </c>
      <c r="BX71">
        <v>24.02</v>
      </c>
      <c r="BY71">
        <v>11.36</v>
      </c>
      <c r="BZ71">
        <v>13.35</v>
      </c>
      <c r="CA71">
        <v>11.95</v>
      </c>
      <c r="CB71">
        <v>-5.9</v>
      </c>
      <c r="CC71">
        <v>-15.46</v>
      </c>
      <c r="CD71" t="s">
        <v>2811</v>
      </c>
      <c r="CE71" t="s">
        <v>2812</v>
      </c>
      <c r="CF71" s="8">
        <v>-0.83698936170212768</v>
      </c>
      <c r="CG71" s="9">
        <v>0.46361322548534573</v>
      </c>
      <c r="CH71" s="8">
        <v>-0.70429140329360962</v>
      </c>
      <c r="CI71" s="8">
        <v>0.1199515089392662</v>
      </c>
      <c r="CJ71" s="8">
        <v>1.0345112085342407</v>
      </c>
      <c r="CK71" s="8">
        <v>3.8486053943634033</v>
      </c>
      <c r="CL71" s="8">
        <v>4.2926340103149414</v>
      </c>
      <c r="CM71" s="9">
        <v>-2.0756757259368896</v>
      </c>
      <c r="CN71" s="9">
        <v>0.25</v>
      </c>
      <c r="CO71" s="9">
        <v>0.79393941164016724</v>
      </c>
      <c r="CP71" s="9">
        <v>17.699222564697266</v>
      </c>
      <c r="CQ71" s="9">
        <v>-7.6978716850280762</v>
      </c>
      <c r="CR71">
        <v>296.45697247609189</v>
      </c>
      <c r="CS71">
        <v>1.7253102090985217</v>
      </c>
      <c r="CT71">
        <v>0.56949806949806958</v>
      </c>
      <c r="CU71" s="8">
        <v>1.7182821437716485</v>
      </c>
      <c r="CV71" s="9">
        <v>1.7939229130744934</v>
      </c>
      <c r="CW71">
        <v>0.06</v>
      </c>
      <c r="CX71" t="e">
        <v>#VALUE!</v>
      </c>
      <c r="CY71" t="s">
        <v>739</v>
      </c>
      <c r="CZ71">
        <v>1.7182821437716485</v>
      </c>
      <c r="DA71" t="e">
        <v>#VALUE!</v>
      </c>
      <c r="DB71" t="s">
        <v>740</v>
      </c>
      <c r="DC71">
        <v>1.632368036583066</v>
      </c>
      <c r="DD71" t="e">
        <v>#VALUE!</v>
      </c>
      <c r="DE71" t="s">
        <v>740</v>
      </c>
      <c r="DF71">
        <v>1.5120882865190506</v>
      </c>
      <c r="DG71" t="e">
        <v>#VALUE!</v>
      </c>
      <c r="DH71" t="s">
        <v>740</v>
      </c>
      <c r="DI71">
        <v>1.3746257150173189</v>
      </c>
      <c r="DJ71" t="e">
        <v>#VALUE!</v>
      </c>
      <c r="DK71" t="s">
        <v>740</v>
      </c>
      <c r="DL71">
        <v>1.2027975006401539</v>
      </c>
      <c r="DM71">
        <v>-398000000</v>
      </c>
      <c r="DN71">
        <v>1.7182821437716485</v>
      </c>
      <c r="DO71">
        <v>16669000000</v>
      </c>
      <c r="DP71">
        <v>5657980100</v>
      </c>
      <c r="DQ71">
        <v>4797</v>
      </c>
      <c r="DR71">
        <v>-2.555271505473776</v>
      </c>
      <c r="DS71">
        <v>-1.3303096875891476</v>
      </c>
      <c r="DT71" s="10">
        <v>0.42933333333333351</v>
      </c>
      <c r="DU71">
        <v>-0.77166666666666661</v>
      </c>
      <c r="DV71">
        <v>-0.3423333333333331</v>
      </c>
      <c r="DW71">
        <v>-8.3816300129366113</v>
      </c>
      <c r="DX71">
        <v>0.31340936427056132</v>
      </c>
      <c r="DY71">
        <v>-8.039464117024341</v>
      </c>
      <c r="DZ71">
        <v>3221</v>
      </c>
      <c r="EA71">
        <v>-8.014588594336395</v>
      </c>
      <c r="EB71">
        <v>8</v>
      </c>
      <c r="EC71">
        <v>1.4010666666666666E-2</v>
      </c>
      <c r="ED71">
        <v>0.13548740740740742</v>
      </c>
      <c r="EE71" s="11">
        <v>-2.0443099999999998</v>
      </c>
      <c r="EF71">
        <v>-2.0604100000000001</v>
      </c>
      <c r="EG71">
        <v>21.103409364270561</v>
      </c>
      <c r="EH71" t="s">
        <v>1114</v>
      </c>
      <c r="EI71">
        <v>0</v>
      </c>
      <c r="EJ71">
        <v>0</v>
      </c>
      <c r="EK71" s="13">
        <v>45470</v>
      </c>
      <c r="EL71" s="14">
        <v>0.21</v>
      </c>
      <c r="EM71" s="14">
        <v>-5.33</v>
      </c>
      <c r="EN71" s="14">
        <v>-0.82</v>
      </c>
      <c r="EO71" s="14">
        <v>4.96</v>
      </c>
      <c r="EP71" s="14">
        <v>-1.61</v>
      </c>
    </row>
    <row r="72" spans="1:146" ht="96" x14ac:dyDescent="0.25">
      <c r="A72" s="7"/>
      <c r="B72" s="7"/>
      <c r="C72" s="7" t="str">
        <f>""&amp;CHAR(10)&amp;Basic_Fundamental_Information_Constructure(F72)&amp;CHAR(10)&amp;Basic_Fundamental_Information_Concatenate("")</f>
        <v xml:space="preserve">
市值44.390132亿, 利润4970.43万; PE40.59; 平均PE126.76; 平均PEG17.88, PB4.11; ROIC2.8933%; ROE3.88%; 股利率1.1641%; 毛利32.4533%; 净利9.6533%; 上一年度营收增-61.43%, 利润增147.75%; 当季营收增289.7%, 利润增80.69%; 过往5年营收增7.09%, 利润增62.9%
Income profile:
</v>
      </c>
      <c r="D72" t="s">
        <v>564</v>
      </c>
      <c r="E72" t="s">
        <v>565</v>
      </c>
      <c r="F72">
        <v>17.18</v>
      </c>
      <c r="G72">
        <v>0</v>
      </c>
      <c r="H72" t="s">
        <v>2813</v>
      </c>
      <c r="I72">
        <v>4439013200</v>
      </c>
      <c r="J72">
        <v>40.590000000000003</v>
      </c>
      <c r="K72">
        <v>4.1100000000000003</v>
      </c>
      <c r="L72" t="s">
        <v>1792</v>
      </c>
      <c r="M72" t="s">
        <v>625</v>
      </c>
      <c r="N72" t="s">
        <v>1486</v>
      </c>
      <c r="O72" t="s">
        <v>150</v>
      </c>
      <c r="P72">
        <v>41.76</v>
      </c>
      <c r="Q72" t="s">
        <v>688</v>
      </c>
      <c r="R72">
        <v>31645688</v>
      </c>
      <c r="S72" s="6">
        <v>1.5329999999999999</v>
      </c>
      <c r="T72" t="s">
        <v>1733</v>
      </c>
      <c r="U72">
        <v>258382610</v>
      </c>
      <c r="V72">
        <v>258382610</v>
      </c>
      <c r="W72">
        <v>1.49</v>
      </c>
      <c r="X72">
        <v>0.1</v>
      </c>
      <c r="Y72">
        <v>19.11</v>
      </c>
      <c r="Z72" t="s">
        <v>54</v>
      </c>
      <c r="AA72" t="s">
        <v>2814</v>
      </c>
      <c r="AB72" t="s">
        <v>2815</v>
      </c>
      <c r="AC72" t="s">
        <v>2816</v>
      </c>
      <c r="AD72" t="s">
        <v>35</v>
      </c>
      <c r="AE72">
        <v>-672114</v>
      </c>
      <c r="AF72" t="s">
        <v>1729</v>
      </c>
      <c r="AG72">
        <v>8.08</v>
      </c>
      <c r="AH72" t="s">
        <v>1730</v>
      </c>
      <c r="AI72" t="s">
        <v>140</v>
      </c>
      <c r="AJ72" t="s">
        <v>1731</v>
      </c>
      <c r="AK72" t="s">
        <v>2817</v>
      </c>
      <c r="AL72" t="s">
        <v>1732</v>
      </c>
      <c r="AM72" t="s">
        <v>35</v>
      </c>
      <c r="AN72" t="s">
        <v>389</v>
      </c>
      <c r="AO72" t="s">
        <v>2818</v>
      </c>
      <c r="AP72" t="s">
        <v>2819</v>
      </c>
      <c r="AQ72" t="s">
        <v>390</v>
      </c>
      <c r="AR72" t="s">
        <v>35</v>
      </c>
      <c r="AS72" t="s">
        <v>339</v>
      </c>
      <c r="AT72" t="s">
        <v>2820</v>
      </c>
      <c r="AU72" t="s">
        <v>2821</v>
      </c>
      <c r="AV72" t="s">
        <v>1159</v>
      </c>
      <c r="AW72" t="s">
        <v>2822</v>
      </c>
      <c r="AX72" t="s">
        <v>488</v>
      </c>
      <c r="AY72" t="s">
        <v>730</v>
      </c>
      <c r="AZ72" t="s">
        <v>127</v>
      </c>
      <c r="BA72" t="s">
        <v>429</v>
      </c>
      <c r="BB72" t="s">
        <v>150</v>
      </c>
      <c r="BC72" t="s">
        <v>1070</v>
      </c>
      <c r="BD72" t="s">
        <v>731</v>
      </c>
      <c r="BE72" t="s">
        <v>566</v>
      </c>
      <c r="BF72" t="s">
        <v>567</v>
      </c>
      <c r="BG72" t="s">
        <v>568</v>
      </c>
      <c r="BH72" t="s">
        <v>1112</v>
      </c>
      <c r="BI72" t="s">
        <v>1734</v>
      </c>
      <c r="BJ72" t="s">
        <v>488</v>
      </c>
      <c r="BK72" t="s">
        <v>1728</v>
      </c>
      <c r="BL72" t="s">
        <v>1735</v>
      </c>
      <c r="BM72" t="s">
        <v>1070</v>
      </c>
      <c r="BN72">
        <v>5.75</v>
      </c>
      <c r="BO72">
        <v>1.25</v>
      </c>
      <c r="BP72">
        <v>1.68</v>
      </c>
      <c r="BQ72">
        <v>7</v>
      </c>
      <c r="BR72">
        <v>2.09</v>
      </c>
      <c r="BS72">
        <v>2.5499999999999998</v>
      </c>
      <c r="BT72" t="s">
        <v>960</v>
      </c>
      <c r="BU72" t="s">
        <v>733</v>
      </c>
      <c r="BV72">
        <v>35.99</v>
      </c>
      <c r="BW72">
        <v>29.7</v>
      </c>
      <c r="BX72">
        <v>31.67</v>
      </c>
      <c r="BY72">
        <v>16.100000000000001</v>
      </c>
      <c r="BZ72">
        <v>5.13</v>
      </c>
      <c r="CA72">
        <v>7.73</v>
      </c>
      <c r="CB72">
        <v>-6.68</v>
      </c>
      <c r="CC72">
        <v>-10.75</v>
      </c>
      <c r="CD72" t="s">
        <v>2823</v>
      </c>
      <c r="CE72" t="s">
        <v>2824</v>
      </c>
      <c r="CF72" s="8">
        <v>2.8970123711989002</v>
      </c>
      <c r="CG72" s="9">
        <v>0.80686920823793395</v>
      </c>
      <c r="CH72" s="8">
        <v>-0.61432504653930664</v>
      </c>
      <c r="CI72" s="8">
        <v>0.15974441170692444</v>
      </c>
      <c r="CJ72" s="8">
        <v>3.9867110550403595E-2</v>
      </c>
      <c r="CK72" s="8">
        <v>0.1666666716337204</v>
      </c>
      <c r="CL72" s="8">
        <v>0.60248446464538574</v>
      </c>
      <c r="CM72" s="9">
        <v>1.4775099754333496</v>
      </c>
      <c r="CN72" s="9">
        <v>-0.17341199517250061</v>
      </c>
      <c r="CO72" s="9">
        <v>-0.59478336572647095</v>
      </c>
      <c r="CP72" s="9">
        <v>0.41983857750892639</v>
      </c>
      <c r="CQ72" s="9">
        <v>2.0160505771636963</v>
      </c>
      <c r="CR72">
        <v>126.76454011223821</v>
      </c>
      <c r="CS72">
        <v>17.88248986866348</v>
      </c>
      <c r="CT72">
        <v>1.1641443538998837</v>
      </c>
      <c r="CU72" s="8">
        <v>7.0887522399425501E-2</v>
      </c>
      <c r="CV72" s="9">
        <v>0.62904075384140012</v>
      </c>
      <c r="CW72">
        <v>0.06</v>
      </c>
      <c r="CX72">
        <v>75.953927692289781</v>
      </c>
      <c r="CY72">
        <v>50214825.16943185</v>
      </c>
      <c r="CZ72">
        <v>7.0887522399425501E-2</v>
      </c>
      <c r="DA72">
        <v>25.22688775547239</v>
      </c>
      <c r="DB72">
        <v>151188415.98574275</v>
      </c>
      <c r="DC72">
        <v>6.7343146279454216E-2</v>
      </c>
      <c r="DD72">
        <v>12.688879079174722</v>
      </c>
      <c r="DE72">
        <v>300579206.1065225</v>
      </c>
      <c r="DF72">
        <v>6.2381019711494443E-2</v>
      </c>
      <c r="DG72">
        <v>7.8054175722341101</v>
      </c>
      <c r="DH72">
        <v>488636663.53577697</v>
      </c>
      <c r="DI72">
        <v>5.6710017919540404E-2</v>
      </c>
      <c r="DJ72">
        <v>4.2474521908134264</v>
      </c>
      <c r="DK72">
        <v>897953179.61414921</v>
      </c>
      <c r="DL72">
        <v>4.9621265679597848E-2</v>
      </c>
      <c r="DM72">
        <v>49704300</v>
      </c>
      <c r="DN72">
        <v>7.0887522399425501E-2</v>
      </c>
      <c r="DO72">
        <v>3814013200</v>
      </c>
      <c r="DP72">
        <v>213151969.99999994</v>
      </c>
      <c r="DQ72">
        <v>4937</v>
      </c>
      <c r="DR72">
        <v>2.8261248487994748</v>
      </c>
      <c r="DS72">
        <v>0.17782845439653383</v>
      </c>
      <c r="DT72" s="10">
        <v>-0.3066666666666667</v>
      </c>
      <c r="DU72">
        <v>1.1233333333333333</v>
      </c>
      <c r="DV72">
        <v>0.81666666666666665</v>
      </c>
      <c r="DW72">
        <v>-9.6213953488372095</v>
      </c>
      <c r="DX72">
        <v>0.50321265629622736</v>
      </c>
      <c r="DY72">
        <v>-9.113847492470585</v>
      </c>
      <c r="DZ72">
        <v>855</v>
      </c>
      <c r="EA72">
        <v>-9.0947986458830403</v>
      </c>
      <c r="EB72">
        <v>9</v>
      </c>
      <c r="EC72">
        <v>4.5537507342309137E-2</v>
      </c>
      <c r="ED72">
        <v>0.2485500088415393</v>
      </c>
      <c r="EE72" s="11">
        <v>-2.0257999999999998</v>
      </c>
      <c r="EF72">
        <v>-2.00501</v>
      </c>
      <c r="EG72">
        <v>32.183212656296227</v>
      </c>
      <c r="EH72" t="s">
        <v>1114</v>
      </c>
      <c r="EI72">
        <v>0</v>
      </c>
      <c r="EJ72">
        <v>1</v>
      </c>
      <c r="EK72" s="13">
        <v>45470</v>
      </c>
      <c r="EL72" s="14">
        <v>-3.26</v>
      </c>
      <c r="EM72" s="14">
        <v>-5.31</v>
      </c>
      <c r="EN72" s="14">
        <v>0.19</v>
      </c>
      <c r="EO72" s="14">
        <v>4.79</v>
      </c>
      <c r="EP72" s="14">
        <v>-3.08</v>
      </c>
    </row>
    <row r="73" spans="1:146" ht="96" x14ac:dyDescent="0.25">
      <c r="C73" s="7" t="str">
        <f>""&amp;CHAR(10)&amp;Basic_Fundamental_Information_Constructure(F73)&amp;CHAR(10)&amp;Basic_Fundamental_Information_Concatenate("")</f>
        <v xml:space="preserve">
市值66.402816亿, 利润-6.24亿; PE49.98; 平均PE-125.72; 平均PEG-.58, PB4.01; ROIC10.2233%; ROE11.865%; 股利率1.2255%; 毛利58.1467%; 净利30.0033%; 上一年度营收增795.51%, 利润增-607.32%; 当季营收增-89.74%, 利润增103.22%; 过往5年营收增218.32%, 利润增-133.37%
Income profile:
</v>
      </c>
      <c r="D73" s="6" t="s">
        <v>1089</v>
      </c>
      <c r="E73" t="s">
        <v>1090</v>
      </c>
      <c r="F73">
        <v>16.32</v>
      </c>
      <c r="G73">
        <v>1.3</v>
      </c>
      <c r="H73" t="s">
        <v>2825</v>
      </c>
      <c r="I73">
        <v>6640281600</v>
      </c>
      <c r="J73">
        <v>49.98</v>
      </c>
      <c r="K73">
        <v>4.01</v>
      </c>
      <c r="L73" t="s">
        <v>1792</v>
      </c>
      <c r="M73" t="s">
        <v>1138</v>
      </c>
      <c r="N73" t="s">
        <v>2826</v>
      </c>
      <c r="O73" t="s">
        <v>1737</v>
      </c>
      <c r="P73" s="6">
        <v>71.790000000000006</v>
      </c>
      <c r="Q73" t="s">
        <v>2827</v>
      </c>
      <c r="R73">
        <v>4052851</v>
      </c>
      <c r="S73">
        <v>-0.2727</v>
      </c>
      <c r="T73" t="s">
        <v>2828</v>
      </c>
      <c r="U73">
        <v>85325295</v>
      </c>
      <c r="V73">
        <v>406880000</v>
      </c>
      <c r="W73">
        <v>1.33</v>
      </c>
      <c r="X73">
        <v>0.02</v>
      </c>
      <c r="Y73">
        <v>10.33</v>
      </c>
      <c r="Z73" t="s">
        <v>2829</v>
      </c>
      <c r="AA73" t="s">
        <v>2830</v>
      </c>
      <c r="AB73" t="s">
        <v>2831</v>
      </c>
      <c r="AC73" t="s">
        <v>2832</v>
      </c>
      <c r="AD73" t="s">
        <v>35</v>
      </c>
      <c r="AE73">
        <v>-329798</v>
      </c>
      <c r="AF73" t="s">
        <v>1738</v>
      </c>
      <c r="AG73" t="s">
        <v>2833</v>
      </c>
      <c r="AH73" t="s">
        <v>1739</v>
      </c>
      <c r="AI73" t="s">
        <v>855</v>
      </c>
      <c r="AJ73" t="s">
        <v>1740</v>
      </c>
      <c r="AK73" t="s">
        <v>2834</v>
      </c>
      <c r="AL73" t="s">
        <v>1741</v>
      </c>
      <c r="AM73" t="s">
        <v>35</v>
      </c>
      <c r="AN73" t="s">
        <v>383</v>
      </c>
      <c r="AO73" t="s">
        <v>2835</v>
      </c>
      <c r="AP73" t="s">
        <v>2836</v>
      </c>
      <c r="AQ73" t="s">
        <v>2837</v>
      </c>
      <c r="AR73" t="s">
        <v>35</v>
      </c>
      <c r="AS73" t="s">
        <v>376</v>
      </c>
      <c r="AT73" t="s">
        <v>163</v>
      </c>
      <c r="AU73" t="s">
        <v>2838</v>
      </c>
      <c r="AV73" t="s">
        <v>2839</v>
      </c>
      <c r="AW73" t="s">
        <v>2840</v>
      </c>
      <c r="AX73" t="s">
        <v>686</v>
      </c>
      <c r="AY73" t="s">
        <v>155</v>
      </c>
      <c r="AZ73" t="s">
        <v>351</v>
      </c>
      <c r="BA73" t="s">
        <v>201</v>
      </c>
      <c r="BB73" t="s">
        <v>35</v>
      </c>
      <c r="BC73" t="s">
        <v>58</v>
      </c>
      <c r="BD73" t="s">
        <v>1164</v>
      </c>
      <c r="BE73" t="s">
        <v>1165</v>
      </c>
      <c r="BF73" t="s">
        <v>1166</v>
      </c>
      <c r="BG73" t="s">
        <v>35</v>
      </c>
      <c r="BH73" t="s">
        <v>961</v>
      </c>
      <c r="BI73" t="s">
        <v>1594</v>
      </c>
      <c r="BJ73" t="s">
        <v>686</v>
      </c>
      <c r="BK73" t="s">
        <v>582</v>
      </c>
      <c r="BL73" t="s">
        <v>2043</v>
      </c>
      <c r="BM73" t="s">
        <v>58</v>
      </c>
      <c r="BN73">
        <v>3.38</v>
      </c>
      <c r="BO73">
        <v>14.79</v>
      </c>
      <c r="BP73">
        <v>12.5</v>
      </c>
      <c r="BQ73">
        <v>4.92</v>
      </c>
      <c r="BR73">
        <v>18.809999999999999</v>
      </c>
      <c r="BS73" t="s">
        <v>35</v>
      </c>
      <c r="BT73" t="s">
        <v>960</v>
      </c>
      <c r="BU73" t="s">
        <v>844</v>
      </c>
      <c r="BV73">
        <v>51.25</v>
      </c>
      <c r="BW73">
        <v>59.91</v>
      </c>
      <c r="BX73">
        <v>63.28</v>
      </c>
      <c r="BY73">
        <v>30.3</v>
      </c>
      <c r="BZ73">
        <v>31.95</v>
      </c>
      <c r="CA73">
        <v>27.76</v>
      </c>
      <c r="CB73">
        <v>-5.39</v>
      </c>
      <c r="CC73" s="1">
        <v>-21.08</v>
      </c>
      <c r="CD73" s="1" t="s">
        <v>2841</v>
      </c>
      <c r="CE73" s="1" t="s">
        <v>2842</v>
      </c>
      <c r="CF73" s="8">
        <v>-0.89739858823529417</v>
      </c>
      <c r="CG73" s="9">
        <v>1.0321654841269841</v>
      </c>
      <c r="CH73" s="8">
        <v>7.9551124572753906</v>
      </c>
      <c r="CI73" s="8">
        <v>0.31045752763748169</v>
      </c>
      <c r="CJ73" s="8">
        <v>0.15037593245506287</v>
      </c>
      <c r="CK73" s="8">
        <v>0.31683167815208435</v>
      </c>
      <c r="CL73" s="8" t="s">
        <v>35</v>
      </c>
      <c r="CM73" s="9">
        <v>-6.0731706619262695</v>
      </c>
      <c r="CN73" s="9">
        <v>0.47615653276443481</v>
      </c>
      <c r="CO73" s="9">
        <v>-4.1332580149173737E-2</v>
      </c>
      <c r="CP73" s="9">
        <v>0.30362138152122498</v>
      </c>
      <c r="CQ73" s="9" t="s">
        <v>35</v>
      </c>
      <c r="CR73" s="1">
        <v>-125.72243027813015</v>
      </c>
      <c r="CS73" s="1">
        <v>-0.5758645695620449</v>
      </c>
      <c r="CT73">
        <v>1.2254901960784315</v>
      </c>
      <c r="CU73" s="8">
        <v>2.1831943988800049</v>
      </c>
      <c r="CV73" s="9">
        <v>-1.3336813319474459</v>
      </c>
      <c r="CW73">
        <v>0.06</v>
      </c>
      <c r="CX73" t="e">
        <v>#VALUE!</v>
      </c>
      <c r="CY73" t="s">
        <v>740</v>
      </c>
      <c r="CZ73">
        <v>2.1831943988800049</v>
      </c>
      <c r="DA73" t="e">
        <v>#VALUE!</v>
      </c>
      <c r="DB73" t="s">
        <v>740</v>
      </c>
      <c r="DC73">
        <v>2.0740346789360045</v>
      </c>
      <c r="DD73" t="e">
        <v>#VALUE!</v>
      </c>
      <c r="DE73" t="s">
        <v>740</v>
      </c>
      <c r="DF73">
        <v>1.9212110710144044</v>
      </c>
      <c r="DG73" t="e">
        <v>#VALUE!</v>
      </c>
      <c r="DH73" t="s">
        <v>740</v>
      </c>
      <c r="DI73">
        <v>1.7465555191040041</v>
      </c>
      <c r="DJ73" t="e">
        <v>#VALUE!</v>
      </c>
      <c r="DK73" t="s">
        <v>740</v>
      </c>
      <c r="DL73">
        <v>1.5282360792160032</v>
      </c>
      <c r="DM73">
        <v>-624000000</v>
      </c>
      <c r="DN73">
        <v>2.1831943988800049</v>
      </c>
      <c r="DO73">
        <v>5578281600</v>
      </c>
      <c r="DP73">
        <v>1081146320</v>
      </c>
      <c r="DQ73" s="10">
        <v>4949</v>
      </c>
      <c r="DR73">
        <v>-3.0805929871152991</v>
      </c>
      <c r="DS73">
        <v>2.3658468160744297</v>
      </c>
      <c r="DT73">
        <v>0.312</v>
      </c>
      <c r="DU73">
        <v>-1.1080000000000001</v>
      </c>
      <c r="DV73">
        <v>-0.79600000000000004</v>
      </c>
      <c r="DW73">
        <v>-8.2556925996204935</v>
      </c>
      <c r="DX73">
        <v>0.2746485387546585</v>
      </c>
      <c r="DY73">
        <v>-8.0190870789320492</v>
      </c>
      <c r="DZ73">
        <v>1041</v>
      </c>
      <c r="EA73">
        <v>-8.0151986935762238</v>
      </c>
      <c r="EB73" s="11">
        <v>8</v>
      </c>
      <c r="EC73" s="11">
        <v>1.4165847424302005E-2</v>
      </c>
      <c r="ED73">
        <v>0.18976725324419977</v>
      </c>
      <c r="EE73">
        <v>9.0913000000000004</v>
      </c>
      <c r="EF73">
        <v>9.0753000000000004</v>
      </c>
      <c r="EG73">
        <v>20.074648538754658</v>
      </c>
      <c r="EH73" s="13" t="s">
        <v>1372</v>
      </c>
      <c r="EI73" s="14">
        <v>0</v>
      </c>
      <c r="EJ73" s="14">
        <v>1</v>
      </c>
      <c r="EK73" s="14">
        <v>45470</v>
      </c>
      <c r="EL73" s="14">
        <v>2.91</v>
      </c>
      <c r="EM73" s="14">
        <v>-4.8</v>
      </c>
      <c r="EN73">
        <v>-4.58</v>
      </c>
      <c r="EO73">
        <v>8.6999999999999993</v>
      </c>
      <c r="EP73">
        <v>-1.6</v>
      </c>
    </row>
    <row r="74" spans="1:146" ht="84" x14ac:dyDescent="0.25">
      <c r="C74" s="7" t="str">
        <f>""&amp;CHAR(10)&amp;Basic_Fundamental_Information_Constructure(F74)&amp;CHAR(10)&amp;Basic_Fundamental_Information_Concatenate("")</f>
        <v xml:space="preserve">
市值69.243984亿, 利润3.20亿; PE42.17; 平均PE59.49; 平均PEG.96, PB3.1; ROIC9.4233%; ROE12.79%; 股利率2.0299%; 毛利34.79%; 净利12.9933%; 上一年度营收增119.24%, 利润增190.91%; 当季营收增-55.8%, 利润增-55.91%; 过往5年营收增61.81%, 利润增159.26%
Income profile:
</v>
      </c>
      <c r="D74" t="s">
        <v>1091</v>
      </c>
      <c r="E74" t="s">
        <v>1092</v>
      </c>
      <c r="F74">
        <v>39.409999999999997</v>
      </c>
      <c r="G74">
        <v>2.82</v>
      </c>
      <c r="H74" t="s">
        <v>2843</v>
      </c>
      <c r="I74">
        <v>6924398400</v>
      </c>
      <c r="J74">
        <v>42.17</v>
      </c>
      <c r="K74">
        <v>3.1</v>
      </c>
      <c r="L74" t="s">
        <v>1792</v>
      </c>
      <c r="M74" t="s">
        <v>326</v>
      </c>
      <c r="N74" t="s">
        <v>2844</v>
      </c>
      <c r="O74" t="s">
        <v>215</v>
      </c>
      <c r="P74" s="6">
        <v>25.97</v>
      </c>
      <c r="Q74" t="s">
        <v>1701</v>
      </c>
      <c r="R74">
        <v>32963227</v>
      </c>
      <c r="S74">
        <v>2.4900000000000002</v>
      </c>
      <c r="T74" t="s">
        <v>399</v>
      </c>
      <c r="U74">
        <v>81652829</v>
      </c>
      <c r="V74">
        <v>175701560</v>
      </c>
      <c r="W74">
        <v>1.33</v>
      </c>
      <c r="X74">
        <v>0.06</v>
      </c>
      <c r="Y74">
        <v>19.100000000000001</v>
      </c>
      <c r="Z74" t="s">
        <v>444</v>
      </c>
      <c r="AA74" t="s">
        <v>149</v>
      </c>
      <c r="AB74" t="s">
        <v>2845</v>
      </c>
      <c r="AC74" t="s">
        <v>2846</v>
      </c>
      <c r="AD74" t="s">
        <v>35</v>
      </c>
      <c r="AE74">
        <v>-6922145</v>
      </c>
      <c r="AF74" t="s">
        <v>1743</v>
      </c>
      <c r="AG74">
        <v>2500</v>
      </c>
      <c r="AH74" t="s">
        <v>1744</v>
      </c>
      <c r="AI74" t="s">
        <v>2847</v>
      </c>
      <c r="AJ74" t="s">
        <v>1745</v>
      </c>
      <c r="AK74" t="s">
        <v>2848</v>
      </c>
      <c r="AL74" t="s">
        <v>1746</v>
      </c>
      <c r="AM74" t="s">
        <v>35</v>
      </c>
      <c r="AN74" t="s">
        <v>2849</v>
      </c>
      <c r="AO74" t="s">
        <v>35</v>
      </c>
      <c r="AP74" t="s">
        <v>184</v>
      </c>
      <c r="AQ74" t="s">
        <v>429</v>
      </c>
      <c r="AR74" t="s">
        <v>35</v>
      </c>
      <c r="AS74" t="s">
        <v>1074</v>
      </c>
      <c r="AT74" t="s">
        <v>989</v>
      </c>
      <c r="AU74" t="s">
        <v>2508</v>
      </c>
      <c r="AV74" t="s">
        <v>2850</v>
      </c>
      <c r="AW74" t="s">
        <v>1159</v>
      </c>
      <c r="AX74" t="s">
        <v>850</v>
      </c>
      <c r="AY74" t="s">
        <v>1061</v>
      </c>
      <c r="AZ74" t="s">
        <v>1167</v>
      </c>
      <c r="BA74" t="s">
        <v>126</v>
      </c>
      <c r="BB74" t="s">
        <v>35</v>
      </c>
      <c r="BC74" t="s">
        <v>357</v>
      </c>
      <c r="BD74" t="s">
        <v>1093</v>
      </c>
      <c r="BE74" t="s">
        <v>1168</v>
      </c>
      <c r="BF74" t="s">
        <v>1169</v>
      </c>
      <c r="BG74" t="s">
        <v>35</v>
      </c>
      <c r="BH74" t="s">
        <v>1742</v>
      </c>
      <c r="BI74" t="s">
        <v>146</v>
      </c>
      <c r="BJ74" t="s">
        <v>850</v>
      </c>
      <c r="BK74" t="s">
        <v>100</v>
      </c>
      <c r="BL74" t="s">
        <v>2851</v>
      </c>
      <c r="BM74" t="s">
        <v>357</v>
      </c>
      <c r="BN74">
        <v>5.85</v>
      </c>
      <c r="BO74">
        <v>11.91</v>
      </c>
      <c r="BP74">
        <v>10.51</v>
      </c>
      <c r="BQ74">
        <v>7.69</v>
      </c>
      <c r="BR74">
        <v>17.89</v>
      </c>
      <c r="BS74" t="s">
        <v>35</v>
      </c>
      <c r="BT74" t="s">
        <v>1747</v>
      </c>
      <c r="BU74" t="s">
        <v>823</v>
      </c>
      <c r="BV74">
        <v>32.35</v>
      </c>
      <c r="BW74">
        <v>37.14</v>
      </c>
      <c r="BX74">
        <v>34.880000000000003</v>
      </c>
      <c r="BY74">
        <v>14.13</v>
      </c>
      <c r="BZ74">
        <v>13.51</v>
      </c>
      <c r="CA74">
        <v>11.34</v>
      </c>
      <c r="CB74">
        <v>-4.04</v>
      </c>
      <c r="CC74" s="1">
        <v>-8.5299999999999994</v>
      </c>
      <c r="CD74" s="1" t="s">
        <v>2852</v>
      </c>
      <c r="CE74" s="1" t="s">
        <v>2853</v>
      </c>
      <c r="CF74" s="8">
        <v>-0.55797101449275355</v>
      </c>
      <c r="CG74" s="9">
        <v>-0.55909410466477183</v>
      </c>
      <c r="CH74" s="8">
        <v>1.1923537254333496</v>
      </c>
      <c r="CI74" s="8">
        <v>0.2455357164144516</v>
      </c>
      <c r="CJ74" s="8">
        <v>0.17073170840740204</v>
      </c>
      <c r="CK74" s="8">
        <v>0.86363637447357178</v>
      </c>
      <c r="CL74" s="8" t="s">
        <v>35</v>
      </c>
      <c r="CM74" s="9">
        <v>1.9090908765792847</v>
      </c>
      <c r="CN74" s="9">
        <v>0.45825543999671936</v>
      </c>
      <c r="CO74" s="9">
        <v>0.19020353257656097</v>
      </c>
      <c r="CP74" s="9">
        <v>3.8128046989440918</v>
      </c>
      <c r="CQ74" s="9" t="s">
        <v>35</v>
      </c>
      <c r="CR74" s="1">
        <v>59.490095091043649</v>
      </c>
      <c r="CS74" s="1">
        <v>0.96252262551119394</v>
      </c>
      <c r="CT74">
        <v>2.0299416391778737</v>
      </c>
      <c r="CU74" s="8">
        <v>0.61806438118219376</v>
      </c>
      <c r="CV74" s="9">
        <v>1.5925886370241642</v>
      </c>
      <c r="CW74">
        <v>0.06</v>
      </c>
      <c r="CX74">
        <v>11.553160317602398</v>
      </c>
      <c r="CY74">
        <v>488472266.01726604</v>
      </c>
      <c r="CZ74">
        <v>0.61806438118219376</v>
      </c>
      <c r="DA74">
        <v>2.4852029831580467</v>
      </c>
      <c r="DB74">
        <v>2270799785.0657287</v>
      </c>
      <c r="DC74">
        <v>0.587161162123084</v>
      </c>
      <c r="DD74">
        <v>0.64670069944496633</v>
      </c>
      <c r="DE74">
        <v>8726445486.8279419</v>
      </c>
      <c r="DF74">
        <v>0.5438966554403305</v>
      </c>
      <c r="DG74">
        <v>0.17073312067044846</v>
      </c>
      <c r="DH74">
        <v>33053917001.218346</v>
      </c>
      <c r="DI74">
        <v>0.49445150494575502</v>
      </c>
      <c r="DJ74">
        <v>1.1115877654954717E-2</v>
      </c>
      <c r="DK74">
        <v>507688063432.80951</v>
      </c>
      <c r="DL74">
        <v>0.43264506682753562</v>
      </c>
      <c r="DM74">
        <v>320000000</v>
      </c>
      <c r="DN74">
        <v>0.61806438118219376</v>
      </c>
      <c r="DO74">
        <v>5643398400</v>
      </c>
      <c r="DP74">
        <v>1433326400</v>
      </c>
      <c r="DQ74" s="10">
        <v>4961</v>
      </c>
      <c r="DR74">
        <v>-1.1760353956749472</v>
      </c>
      <c r="DS74">
        <v>-2.1516827416889361</v>
      </c>
      <c r="DT74">
        <v>0.49199999999999988</v>
      </c>
      <c r="DU74">
        <v>1.01</v>
      </c>
      <c r="DV74">
        <v>1.5019999999999998</v>
      </c>
      <c r="DW74">
        <v>-8.4736225087924968</v>
      </c>
      <c r="DX74">
        <v>0.32752070730746197</v>
      </c>
      <c r="DY74">
        <v>-8.0414517769662535</v>
      </c>
      <c r="DZ74">
        <v>41</v>
      </c>
      <c r="EA74">
        <v>-8.0411191893232754</v>
      </c>
      <c r="EB74" s="11">
        <v>8</v>
      </c>
      <c r="EC74" s="11">
        <v>2.6671362508107498E-2</v>
      </c>
      <c r="ED74">
        <v>0.30474345247702977</v>
      </c>
      <c r="EE74">
        <v>-2.02881</v>
      </c>
      <c r="EF74">
        <v>-2.0616099999999999</v>
      </c>
      <c r="EG74">
        <v>24.087520707307462</v>
      </c>
      <c r="EH74" s="13" t="s">
        <v>1114</v>
      </c>
      <c r="EI74" s="14">
        <v>0</v>
      </c>
      <c r="EJ74" s="14">
        <v>1</v>
      </c>
      <c r="EK74" s="14">
        <v>45470</v>
      </c>
      <c r="EL74" s="14">
        <v>-0.3</v>
      </c>
      <c r="EM74" s="14">
        <v>-4.1399999999999997</v>
      </c>
      <c r="EN74">
        <v>-2.5299999999999998</v>
      </c>
      <c r="EO74">
        <v>2.27</v>
      </c>
      <c r="EP74">
        <v>-3.28</v>
      </c>
    </row>
    <row r="75" spans="1:146" ht="84" x14ac:dyDescent="0.25">
      <c r="C75" s="7" t="str">
        <f>""&amp;CHAR(10)&amp;Basic_Fundamental_Information_Constructure(F75)&amp;CHAR(10)&amp;Basic_Fundamental_Information_Concatenate("")</f>
        <v xml:space="preserve">
市值235.845亿, 利润-8784.25万; PE39.09; 平均PE87.73; 平均PEG13.77, PB2.32; ROIC16.0367%; ROE15.045%; 股利率.6583%; 毛利33.21%; 净利19.5933%; 上一年度营收增-89.08%, 利润增-119.87%; 当季营收增1487.77%, 利润增4213.86%; 过往5年营收增-6.37%, 利润增-21.06%
Income profile:
</v>
      </c>
      <c r="D75" t="s">
        <v>1104</v>
      </c>
      <c r="E75" t="s">
        <v>1105</v>
      </c>
      <c r="F75">
        <v>52.41</v>
      </c>
      <c r="G75">
        <v>0.65</v>
      </c>
      <c r="H75" t="s">
        <v>2854</v>
      </c>
      <c r="I75">
        <v>23584500000</v>
      </c>
      <c r="J75">
        <v>39.090000000000003</v>
      </c>
      <c r="K75">
        <v>2.3199999999999998</v>
      </c>
      <c r="L75" t="s">
        <v>1792</v>
      </c>
      <c r="M75" t="s">
        <v>679</v>
      </c>
      <c r="N75" t="s">
        <v>2855</v>
      </c>
      <c r="O75" t="s">
        <v>571</v>
      </c>
      <c r="P75">
        <v>16.52</v>
      </c>
      <c r="Q75" t="s">
        <v>53</v>
      </c>
      <c r="R75">
        <v>148119540</v>
      </c>
      <c r="S75">
        <v>0.22470000000000001</v>
      </c>
      <c r="T75" t="s">
        <v>2856</v>
      </c>
      <c r="U75">
        <v>73263074</v>
      </c>
      <c r="V75">
        <v>450000000</v>
      </c>
      <c r="W75">
        <v>1.1399999999999999</v>
      </c>
      <c r="X75">
        <v>0.06</v>
      </c>
      <c r="Y75">
        <v>21.83</v>
      </c>
      <c r="Z75" t="s">
        <v>498</v>
      </c>
      <c r="AA75" t="s">
        <v>339</v>
      </c>
      <c r="AB75" t="s">
        <v>2857</v>
      </c>
      <c r="AC75" t="s">
        <v>2858</v>
      </c>
      <c r="AD75" t="s">
        <v>35</v>
      </c>
      <c r="AE75">
        <v>-10776947</v>
      </c>
      <c r="AF75" t="s">
        <v>1749</v>
      </c>
      <c r="AG75">
        <v>3000</v>
      </c>
      <c r="AH75" t="s">
        <v>1750</v>
      </c>
      <c r="AI75" t="s">
        <v>2859</v>
      </c>
      <c r="AJ75" t="s">
        <v>1751</v>
      </c>
      <c r="AK75" t="s">
        <v>825</v>
      </c>
      <c r="AL75" t="s">
        <v>1752</v>
      </c>
      <c r="AM75" t="s">
        <v>35</v>
      </c>
      <c r="AN75" t="s">
        <v>250</v>
      </c>
      <c r="AO75" t="s">
        <v>35</v>
      </c>
      <c r="AP75" t="s">
        <v>883</v>
      </c>
      <c r="AQ75" t="s">
        <v>835</v>
      </c>
      <c r="AR75" t="s">
        <v>35</v>
      </c>
      <c r="AS75" t="s">
        <v>2860</v>
      </c>
      <c r="AT75" t="s">
        <v>35</v>
      </c>
      <c r="AU75" t="s">
        <v>1354</v>
      </c>
      <c r="AV75" t="s">
        <v>1146</v>
      </c>
      <c r="AW75" t="s">
        <v>2861</v>
      </c>
      <c r="AX75" t="s">
        <v>1106</v>
      </c>
      <c r="AY75" t="s">
        <v>1171</v>
      </c>
      <c r="AZ75" t="s">
        <v>1172</v>
      </c>
      <c r="BA75" t="s">
        <v>1079</v>
      </c>
      <c r="BB75" t="s">
        <v>35</v>
      </c>
      <c r="BC75" t="s">
        <v>1096</v>
      </c>
      <c r="BD75" t="s">
        <v>461</v>
      </c>
      <c r="BE75" t="s">
        <v>64</v>
      </c>
      <c r="BF75" t="s">
        <v>1084</v>
      </c>
      <c r="BG75" t="s">
        <v>35</v>
      </c>
      <c r="BH75" t="s">
        <v>1748</v>
      </c>
      <c r="BI75" t="s">
        <v>2862</v>
      </c>
      <c r="BJ75" t="s">
        <v>1106</v>
      </c>
      <c r="BK75" t="s">
        <v>990</v>
      </c>
      <c r="BL75" t="s">
        <v>2863</v>
      </c>
      <c r="BM75" t="s">
        <v>1096</v>
      </c>
      <c r="BN75">
        <v>7.41</v>
      </c>
      <c r="BO75">
        <v>18.190000000000001</v>
      </c>
      <c r="BP75">
        <v>22.51</v>
      </c>
      <c r="BQ75">
        <v>11.49</v>
      </c>
      <c r="BR75">
        <v>18.600000000000001</v>
      </c>
      <c r="BS75" t="s">
        <v>35</v>
      </c>
      <c r="BT75" t="s">
        <v>1754</v>
      </c>
      <c r="BU75" t="s">
        <v>733</v>
      </c>
      <c r="BV75">
        <v>31.55</v>
      </c>
      <c r="BW75">
        <v>33.79</v>
      </c>
      <c r="BX75">
        <v>34.29</v>
      </c>
      <c r="BY75">
        <v>20.56</v>
      </c>
      <c r="BZ75">
        <v>18.95</v>
      </c>
      <c r="CA75">
        <v>19.27</v>
      </c>
      <c r="CB75">
        <v>-0.89</v>
      </c>
      <c r="CC75" s="1">
        <v>-7.08</v>
      </c>
      <c r="CD75" s="1" t="s">
        <v>2864</v>
      </c>
      <c r="CE75" s="1" t="s">
        <v>2865</v>
      </c>
      <c r="CF75" s="8">
        <v>14.877729788632106</v>
      </c>
      <c r="CG75" s="9">
        <v>42.138602971809469</v>
      </c>
      <c r="CH75" s="8">
        <v>-0.89079225063323975</v>
      </c>
      <c r="CI75" s="8">
        <v>0.19928093254566193</v>
      </c>
      <c r="CJ75" s="8">
        <v>0.33998632431030273</v>
      </c>
      <c r="CK75" s="8">
        <v>9.660378098487854E-2</v>
      </c>
      <c r="CL75" s="8" t="s">
        <v>35</v>
      </c>
      <c r="CM75" s="9">
        <v>-1.198738694190979</v>
      </c>
      <c r="CN75" s="9">
        <v>0.17866666615009308</v>
      </c>
      <c r="CO75" s="9">
        <v>0.32508835196495056</v>
      </c>
      <c r="CP75" s="9">
        <v>-0.14759035408496857</v>
      </c>
      <c r="CQ75" s="9" t="s">
        <v>35</v>
      </c>
      <c r="CR75" s="1">
        <v>87.729674535908174</v>
      </c>
      <c r="CS75" s="1">
        <v>13.765770776769953</v>
      </c>
      <c r="CT75">
        <v>0.65827132226674312</v>
      </c>
      <c r="CU75" s="8">
        <v>-6.3730303198099136E-2</v>
      </c>
      <c r="CV75" s="9">
        <v>-0.21064350754022598</v>
      </c>
      <c r="CW75">
        <v>0.06</v>
      </c>
      <c r="CX75" t="e">
        <v>#VALUE!</v>
      </c>
      <c r="CY75" t="s">
        <v>740</v>
      </c>
      <c r="CZ75">
        <v>-6.3730303198099136E-2</v>
      </c>
      <c r="DA75" t="e">
        <v>#VALUE!</v>
      </c>
      <c r="DB75" t="s">
        <v>740</v>
      </c>
      <c r="DC75">
        <v>-6.0543788038194178E-2</v>
      </c>
      <c r="DD75" t="e">
        <v>#VALUE!</v>
      </c>
      <c r="DE75" t="s">
        <v>740</v>
      </c>
      <c r="DF75">
        <v>-5.6082666814327241E-2</v>
      </c>
      <c r="DG75" t="e">
        <v>#VALUE!</v>
      </c>
      <c r="DH75" t="s">
        <v>740</v>
      </c>
      <c r="DI75">
        <v>-5.098424255847931E-2</v>
      </c>
      <c r="DJ75" t="e">
        <v>#VALUE!</v>
      </c>
      <c r="DK75" t="s">
        <v>740</v>
      </c>
      <c r="DL75">
        <v>-4.4611212238669394E-2</v>
      </c>
      <c r="DM75">
        <v>-87842500</v>
      </c>
      <c r="DN75">
        <v>-6.3730303198099136E-2</v>
      </c>
      <c r="DO75">
        <v>14913500000</v>
      </c>
      <c r="DP75">
        <v>9592034600</v>
      </c>
      <c r="DQ75" s="10">
        <v>4975</v>
      </c>
      <c r="DR75">
        <v>14.941460091830205</v>
      </c>
      <c r="DS75">
        <v>42.349246479349695</v>
      </c>
      <c r="DT75">
        <v>-0.58799999999999997</v>
      </c>
      <c r="DU75">
        <v>-0.82400000000000007</v>
      </c>
      <c r="DV75">
        <v>-1.4119999999999999</v>
      </c>
      <c r="DW75">
        <v>-2.0708000000000002</v>
      </c>
      <c r="DX75">
        <v>0.32308064215313648</v>
      </c>
      <c r="DY75">
        <v>-2.0065901094644421</v>
      </c>
      <c r="DZ75">
        <v>4266</v>
      </c>
      <c r="EA75">
        <v>-2.0010884642637943</v>
      </c>
      <c r="EB75" s="11">
        <v>2</v>
      </c>
      <c r="EC75" s="11">
        <v>4.3253333333333329E-3</v>
      </c>
      <c r="ED75">
        <v>4.6468666666666665E-2</v>
      </c>
      <c r="EE75">
        <v>-4.0369099999999998</v>
      </c>
      <c r="EF75">
        <v>-4.0558100000000001</v>
      </c>
      <c r="EG75">
        <v>23.093080642153136</v>
      </c>
      <c r="EH75" s="13" t="s">
        <v>1662</v>
      </c>
      <c r="EI75">
        <v>0</v>
      </c>
      <c r="EJ75">
        <v>0</v>
      </c>
      <c r="EK75">
        <v>45470</v>
      </c>
      <c r="EL75">
        <v>-3.3</v>
      </c>
      <c r="EM75">
        <v>-5.97</v>
      </c>
      <c r="EN75">
        <v>2.27</v>
      </c>
      <c r="EO75">
        <v>5.32</v>
      </c>
      <c r="EP75">
        <v>-1.89</v>
      </c>
    </row>
    <row r="76" spans="1:146" ht="84" x14ac:dyDescent="0.25">
      <c r="A76" s="7"/>
      <c r="B76" s="7"/>
      <c r="C76" s="7" t="str">
        <f>""&amp;CHAR(10)&amp;Basic_Fundamental_Information_Constructure(F76)&amp;CHAR(10)&amp;Basic_Fundamental_Information_Concatenate("")</f>
        <v xml:space="preserve">
市值71.53706亿, 利润8652.65万; PE36.94; 平均PE45.68; 平均PEG11.8, PB2.82; ROIC9.4533%; ROE10.21%; 股利率1.4381%; 毛利40.74%; 净利20.6733%; 上一年度营收增-37.58%, 利润增-64.54%; 当季营收增85.03%, 利润增52.9%; 过往5年营收增3.87%, 利润增18.16%
Income profile:
</v>
      </c>
      <c r="D76" t="s">
        <v>301</v>
      </c>
      <c r="E76" t="s">
        <v>302</v>
      </c>
      <c r="F76">
        <v>9.0399999999999991</v>
      </c>
      <c r="G76">
        <v>1.1200000000000001</v>
      </c>
      <c r="H76" t="s">
        <v>2866</v>
      </c>
      <c r="I76">
        <v>7153706000</v>
      </c>
      <c r="J76">
        <v>36.94</v>
      </c>
      <c r="K76">
        <v>2.82</v>
      </c>
      <c r="L76" t="s">
        <v>1792</v>
      </c>
      <c r="M76" t="s">
        <v>1132</v>
      </c>
      <c r="N76" t="s">
        <v>2867</v>
      </c>
      <c r="O76" t="s">
        <v>987</v>
      </c>
      <c r="P76">
        <v>1.23</v>
      </c>
      <c r="Q76" t="s">
        <v>2868</v>
      </c>
      <c r="R76">
        <v>60868476</v>
      </c>
      <c r="S76" s="6">
        <v>1.0999999999999999E-2</v>
      </c>
      <c r="T76" t="s">
        <v>2869</v>
      </c>
      <c r="U76">
        <v>791339160</v>
      </c>
      <c r="V76">
        <v>791339160</v>
      </c>
      <c r="W76">
        <v>1.4</v>
      </c>
      <c r="X76">
        <v>0.09</v>
      </c>
      <c r="Y76">
        <v>19.7</v>
      </c>
      <c r="Z76" t="s">
        <v>1082</v>
      </c>
      <c r="AA76" t="s">
        <v>1123</v>
      </c>
      <c r="AB76" t="s">
        <v>2870</v>
      </c>
      <c r="AC76" t="s">
        <v>2871</v>
      </c>
      <c r="AD76" t="s">
        <v>35</v>
      </c>
      <c r="AE76">
        <v>-1584302</v>
      </c>
      <c r="AF76" t="s">
        <v>1755</v>
      </c>
      <c r="AG76" t="s">
        <v>2872</v>
      </c>
      <c r="AH76" t="s">
        <v>1756</v>
      </c>
      <c r="AI76" t="s">
        <v>1842</v>
      </c>
      <c r="AJ76" t="s">
        <v>1758</v>
      </c>
      <c r="AK76" t="s">
        <v>225</v>
      </c>
      <c r="AL76" t="s">
        <v>1759</v>
      </c>
      <c r="AM76" t="s">
        <v>35</v>
      </c>
      <c r="AN76" t="s">
        <v>2873</v>
      </c>
      <c r="AO76" t="s">
        <v>35</v>
      </c>
      <c r="AP76" t="s">
        <v>2874</v>
      </c>
      <c r="AQ76" t="s">
        <v>2875</v>
      </c>
      <c r="AR76" t="s">
        <v>35</v>
      </c>
      <c r="AS76" t="s">
        <v>1081</v>
      </c>
      <c r="AT76" t="s">
        <v>35</v>
      </c>
      <c r="AU76" t="s">
        <v>2876</v>
      </c>
      <c r="AV76" t="s">
        <v>2877</v>
      </c>
      <c r="AW76" t="s">
        <v>2878</v>
      </c>
      <c r="AX76" t="s">
        <v>1059</v>
      </c>
      <c r="AY76" t="s">
        <v>884</v>
      </c>
      <c r="AZ76" t="s">
        <v>569</v>
      </c>
      <c r="BA76" t="s">
        <v>303</v>
      </c>
      <c r="BB76" t="s">
        <v>570</v>
      </c>
      <c r="BC76" t="s">
        <v>322</v>
      </c>
      <c r="BD76" t="s">
        <v>622</v>
      </c>
      <c r="BE76" t="s">
        <v>283</v>
      </c>
      <c r="BF76" t="s">
        <v>202</v>
      </c>
      <c r="BG76" t="s">
        <v>572</v>
      </c>
      <c r="BH76" t="s">
        <v>1157</v>
      </c>
      <c r="BI76" t="s">
        <v>80</v>
      </c>
      <c r="BJ76" t="s">
        <v>1059</v>
      </c>
      <c r="BK76" t="s">
        <v>363</v>
      </c>
      <c r="BL76" t="s">
        <v>2879</v>
      </c>
      <c r="BM76" t="s">
        <v>322</v>
      </c>
      <c r="BN76">
        <v>7.7</v>
      </c>
      <c r="BO76">
        <v>10.23</v>
      </c>
      <c r="BP76">
        <v>10.43</v>
      </c>
      <c r="BQ76">
        <v>7.78</v>
      </c>
      <c r="BR76">
        <v>11.28</v>
      </c>
      <c r="BS76">
        <v>11.57</v>
      </c>
      <c r="BT76" t="s">
        <v>1760</v>
      </c>
      <c r="BU76" t="s">
        <v>733</v>
      </c>
      <c r="BV76">
        <v>38.380000000000003</v>
      </c>
      <c r="BW76">
        <v>40.229999999999997</v>
      </c>
      <c r="BX76">
        <v>43.61</v>
      </c>
      <c r="BY76">
        <v>15.89</v>
      </c>
      <c r="BZ76">
        <v>21.88</v>
      </c>
      <c r="CA76">
        <v>24.25</v>
      </c>
      <c r="CB76">
        <v>-2.8</v>
      </c>
      <c r="CC76" s="1">
        <v>-7.66</v>
      </c>
      <c r="CD76" s="1" t="s">
        <v>2880</v>
      </c>
      <c r="CE76" s="1" t="s">
        <v>383</v>
      </c>
      <c r="CF76" s="8">
        <v>0.85029940119760483</v>
      </c>
      <c r="CG76" s="9">
        <v>0.52903214137684162</v>
      </c>
      <c r="CH76" s="8">
        <v>-0.37578478455543518</v>
      </c>
      <c r="CI76" s="8">
        <v>0.16998957097530365</v>
      </c>
      <c r="CJ76" s="8">
        <v>0.14681106805801392</v>
      </c>
      <c r="CK76" s="8">
        <v>0.23293767869472504</v>
      </c>
      <c r="CL76" s="8">
        <v>1.9667170941829681E-2</v>
      </c>
      <c r="CM76" s="9">
        <v>-0.64538323879241943</v>
      </c>
      <c r="CN76" s="9">
        <v>5.6277055293321609E-2</v>
      </c>
      <c r="CO76" s="9">
        <v>0.19072164595127106</v>
      </c>
      <c r="CP76" s="9">
        <v>0.71681416034698486</v>
      </c>
      <c r="CQ76" s="9">
        <v>0.58933979272842407</v>
      </c>
      <c r="CR76" s="1">
        <v>45.68016694315989</v>
      </c>
      <c r="CS76" s="1">
        <v>11.796302247759929</v>
      </c>
      <c r="CT76">
        <v>1.4380530973451329</v>
      </c>
      <c r="CU76" s="8">
        <v>3.8724140822887422E-2</v>
      </c>
      <c r="CV76" s="9">
        <v>0.18155388310551643</v>
      </c>
      <c r="CW76">
        <v>0.06</v>
      </c>
      <c r="CX76">
        <v>67.492876555006916</v>
      </c>
      <c r="CY76">
        <v>84789777.708407134</v>
      </c>
      <c r="CZ76">
        <v>3.8724140822887422E-2</v>
      </c>
      <c r="DA76">
        <v>23.040502045042018</v>
      </c>
      <c r="DB76">
        <v>248375924.65705162</v>
      </c>
      <c r="DC76">
        <v>3.6787933781743047E-2</v>
      </c>
      <c r="DD76">
        <v>12.010136846800231</v>
      </c>
      <c r="DE76">
        <v>476489658.11115271</v>
      </c>
      <c r="DF76">
        <v>3.4077243924140931E-2</v>
      </c>
      <c r="DG76">
        <v>7.680335821494209</v>
      </c>
      <c r="DH76">
        <v>745111429.11022449</v>
      </c>
      <c r="DI76">
        <v>3.097931265830994E-2</v>
      </c>
      <c r="DJ76">
        <v>4.5291705028488911</v>
      </c>
      <c r="DK76">
        <v>1263521873.685339</v>
      </c>
      <c r="DL76">
        <v>2.7106898576021193E-2</v>
      </c>
      <c r="DM76">
        <v>86526500</v>
      </c>
      <c r="DN76">
        <v>3.8724140822887422E-2</v>
      </c>
      <c r="DO76">
        <v>5722706000</v>
      </c>
      <c r="DP76">
        <v>2066772000</v>
      </c>
      <c r="DQ76">
        <v>4994</v>
      </c>
      <c r="DR76">
        <v>0.81157526037471739</v>
      </c>
      <c r="DS76">
        <v>0.34747825827132517</v>
      </c>
      <c r="DT76" s="10">
        <v>-0.34</v>
      </c>
      <c r="DU76">
        <v>0.35333333333333328</v>
      </c>
      <c r="DV76">
        <v>1.3333333333333253E-2</v>
      </c>
      <c r="DW76">
        <v>-8.3655352480417751</v>
      </c>
      <c r="DX76">
        <v>0.3564909090909103</v>
      </c>
      <c r="DY76">
        <v>-8.0352708283883221</v>
      </c>
      <c r="DZ76">
        <v>3785</v>
      </c>
      <c r="EA76">
        <v>-8.0091455670478524</v>
      </c>
      <c r="EB76">
        <v>8</v>
      </c>
      <c r="EC76">
        <v>2.414287193875253E-2</v>
      </c>
      <c r="ED76">
        <v>0.25020877268351033</v>
      </c>
      <c r="EE76" s="11">
        <v>1.4909999999999996E-2</v>
      </c>
      <c r="EF76">
        <v>4.061E-2</v>
      </c>
      <c r="EG76">
        <v>26.09649090909091</v>
      </c>
      <c r="EH76">
        <v>-1</v>
      </c>
      <c r="EI76">
        <v>0</v>
      </c>
      <c r="EJ76">
        <v>0</v>
      </c>
      <c r="EK76" s="13">
        <v>45470</v>
      </c>
      <c r="EL76" s="14">
        <v>-1.7</v>
      </c>
      <c r="EM76" s="14">
        <v>-5.47</v>
      </c>
      <c r="EN76">
        <v>-0.99</v>
      </c>
      <c r="EO76">
        <v>5.13</v>
      </c>
      <c r="EP76">
        <v>-2.57</v>
      </c>
    </row>
    <row r="77" spans="1:146" ht="84" x14ac:dyDescent="0.25">
      <c r="A77" s="7"/>
      <c r="B77" s="7"/>
      <c r="C77" s="7" t="str">
        <f>""&amp;CHAR(10)&amp;Basic_Fundamental_Information_Constructure(F77)&amp;CHAR(10)&amp;Basic_Fundamental_Information_Concatenate("")</f>
        <v xml:space="preserve">
市值32.357433亿, 利润1.94亿; PE204; 平均PE48.38; 平均PEG.95, PB4.61; ROIC5.3467%; ROE5.7733%; 股利率.0336%; 毛利30.8267%; 净利11.85%; 上一年度营收增191.36%, 利润增356.75%; 当季营收增-72.11%, 利润增-87.84%; 过往5年营收增51.1%, 利润增93.31%
Income profile:
</v>
      </c>
      <c r="D77" t="s">
        <v>574</v>
      </c>
      <c r="E77" t="s">
        <v>575</v>
      </c>
      <c r="F77">
        <v>22.25</v>
      </c>
      <c r="G77">
        <v>2.2999999999999998</v>
      </c>
      <c r="H77" t="s">
        <v>2881</v>
      </c>
      <c r="I77">
        <v>3235743300</v>
      </c>
      <c r="J77">
        <v>204</v>
      </c>
      <c r="K77">
        <v>4.6100000000000003</v>
      </c>
      <c r="L77" t="s">
        <v>1792</v>
      </c>
      <c r="M77" t="s">
        <v>74</v>
      </c>
      <c r="N77" t="s">
        <v>2882</v>
      </c>
      <c r="O77" t="s">
        <v>1763</v>
      </c>
      <c r="P77">
        <v>6.23</v>
      </c>
      <c r="Q77" t="s">
        <v>1144</v>
      </c>
      <c r="R77">
        <v>7977639</v>
      </c>
      <c r="S77" s="6">
        <v>8.3799999999999999E-2</v>
      </c>
      <c r="T77" t="s">
        <v>283</v>
      </c>
      <c r="U77">
        <v>145426670</v>
      </c>
      <c r="V77">
        <v>145426670</v>
      </c>
      <c r="W77">
        <v>1.92</v>
      </c>
      <c r="X77">
        <v>0.06</v>
      </c>
      <c r="Y77">
        <v>11.53</v>
      </c>
      <c r="Z77" t="s">
        <v>2883</v>
      </c>
      <c r="AA77" t="s">
        <v>2884</v>
      </c>
      <c r="AB77" t="s">
        <v>2885</v>
      </c>
      <c r="AC77" t="s">
        <v>2886</v>
      </c>
      <c r="AD77" t="s">
        <v>35</v>
      </c>
      <c r="AE77">
        <v>1426534</v>
      </c>
      <c r="AF77" t="s">
        <v>1765</v>
      </c>
      <c r="AG77" t="s">
        <v>35</v>
      </c>
      <c r="AH77" t="s">
        <v>1766</v>
      </c>
      <c r="AI77" t="s">
        <v>2887</v>
      </c>
      <c r="AJ77" t="s">
        <v>1767</v>
      </c>
      <c r="AK77" t="s">
        <v>2888</v>
      </c>
      <c r="AL77" t="s">
        <v>2889</v>
      </c>
      <c r="AM77" t="s">
        <v>35</v>
      </c>
      <c r="AN77" t="s">
        <v>2890</v>
      </c>
      <c r="AO77" t="s">
        <v>984</v>
      </c>
      <c r="AP77" t="s">
        <v>2891</v>
      </c>
      <c r="AQ77" t="s">
        <v>2892</v>
      </c>
      <c r="AR77" t="s">
        <v>35</v>
      </c>
      <c r="AS77" t="s">
        <v>774</v>
      </c>
      <c r="AT77" t="s">
        <v>2893</v>
      </c>
      <c r="AU77" t="s">
        <v>2894</v>
      </c>
      <c r="AV77" t="s">
        <v>2895</v>
      </c>
      <c r="AW77" t="s">
        <v>325</v>
      </c>
      <c r="AX77" t="s">
        <v>959</v>
      </c>
      <c r="AY77" t="s">
        <v>857</v>
      </c>
      <c r="AZ77" t="s">
        <v>121</v>
      </c>
      <c r="BA77" t="s">
        <v>577</v>
      </c>
      <c r="BB77" t="s">
        <v>215</v>
      </c>
      <c r="BC77" t="s">
        <v>1071</v>
      </c>
      <c r="BD77" t="s">
        <v>732</v>
      </c>
      <c r="BE77" t="s">
        <v>576</v>
      </c>
      <c r="BF77" t="s">
        <v>578</v>
      </c>
      <c r="BG77" t="s">
        <v>579</v>
      </c>
      <c r="BH77" t="s">
        <v>771</v>
      </c>
      <c r="BI77" t="s">
        <v>174</v>
      </c>
      <c r="BJ77" t="s">
        <v>959</v>
      </c>
      <c r="BK77" t="s">
        <v>1764</v>
      </c>
      <c r="BL77" t="s">
        <v>2896</v>
      </c>
      <c r="BM77" t="s">
        <v>1071</v>
      </c>
      <c r="BN77">
        <v>1.72</v>
      </c>
      <c r="BO77">
        <v>5.61</v>
      </c>
      <c r="BP77">
        <v>8.7100000000000009</v>
      </c>
      <c r="BQ77">
        <v>1.98</v>
      </c>
      <c r="BR77">
        <v>6.18</v>
      </c>
      <c r="BS77">
        <v>9.16</v>
      </c>
      <c r="BT77" t="s">
        <v>1768</v>
      </c>
      <c r="BU77" t="s">
        <v>733</v>
      </c>
      <c r="BV77">
        <v>28.55</v>
      </c>
      <c r="BW77">
        <v>32.130000000000003</v>
      </c>
      <c r="BX77">
        <v>31.8</v>
      </c>
      <c r="BY77">
        <v>5.54</v>
      </c>
      <c r="BZ77">
        <v>13.23</v>
      </c>
      <c r="CA77">
        <v>16.78</v>
      </c>
      <c r="CB77">
        <v>-9</v>
      </c>
      <c r="CC77">
        <v>-28.9</v>
      </c>
      <c r="CD77" t="s">
        <v>2897</v>
      </c>
      <c r="CE77" t="s">
        <v>2898</v>
      </c>
      <c r="CF77" s="8">
        <v>-0.72111155378486047</v>
      </c>
      <c r="CG77" s="9">
        <v>-0.8784168943849473</v>
      </c>
      <c r="CH77" s="8">
        <v>1.9135802984237671</v>
      </c>
      <c r="CI77" s="8">
        <v>9.3457940965890884E-3</v>
      </c>
      <c r="CJ77" s="8">
        <v>0.11072664707899094</v>
      </c>
      <c r="CK77" s="8">
        <v>0.16064256429672241</v>
      </c>
      <c r="CL77" s="8">
        <v>0.36065572500228882</v>
      </c>
      <c r="CM77" s="9">
        <v>3.5675430297851563</v>
      </c>
      <c r="CN77" s="9">
        <v>-0.16656331717967987</v>
      </c>
      <c r="CO77" s="9">
        <v>-4.6348287723958492E-3</v>
      </c>
      <c r="CP77" s="9">
        <v>0.21422320604324341</v>
      </c>
      <c r="CQ77" s="9">
        <v>1.0549279451370239</v>
      </c>
      <c r="CR77">
        <v>48.376410592224474</v>
      </c>
      <c r="CS77">
        <v>0.94671893991415124</v>
      </c>
      <c r="CT77">
        <v>3.3598778226246316E-2</v>
      </c>
      <c r="CU77" s="8">
        <v>0.51099020577967169</v>
      </c>
      <c r="CV77" s="9">
        <v>0.93309920700266957</v>
      </c>
      <c r="CW77">
        <v>0.06</v>
      </c>
      <c r="CX77">
        <v>9.7445073356596534</v>
      </c>
      <c r="CY77">
        <v>276539716.90684551</v>
      </c>
      <c r="CZ77">
        <v>0.51099020577967169</v>
      </c>
      <c r="DA77">
        <v>2.2707294594675527</v>
      </c>
      <c r="DB77">
        <v>1186730232.7736883</v>
      </c>
      <c r="DC77">
        <v>0.48544069549068808</v>
      </c>
      <c r="DD77">
        <v>0.67358670292722922</v>
      </c>
      <c r="DE77">
        <v>4000588622.5030274</v>
      </c>
      <c r="DF77">
        <v>0.4496713810861111</v>
      </c>
      <c r="DG77">
        <v>0.21234671534582772</v>
      </c>
      <c r="DH77">
        <v>12690298955.702436</v>
      </c>
      <c r="DI77">
        <v>0.40879216462373735</v>
      </c>
      <c r="DJ77">
        <v>2.1719698588027334E-2</v>
      </c>
      <c r="DK77">
        <v>124069092813.53645</v>
      </c>
      <c r="DL77">
        <v>0.35769314404577018</v>
      </c>
      <c r="DM77">
        <v>194000000</v>
      </c>
      <c r="DN77">
        <v>0.51099020577967169</v>
      </c>
      <c r="DO77">
        <v>2694743300</v>
      </c>
      <c r="DP77">
        <v>-173594240</v>
      </c>
      <c r="DQ77">
        <v>5065</v>
      </c>
      <c r="DR77">
        <v>-1.2321017595645323</v>
      </c>
      <c r="DS77">
        <v>-1.8115161013876169</v>
      </c>
      <c r="DT77" s="10">
        <v>7.6666666666666591E-2</v>
      </c>
      <c r="DU77">
        <v>2.6666666666666616E-2</v>
      </c>
      <c r="DV77">
        <v>0.10333333333333321</v>
      </c>
      <c r="DW77">
        <v>-9.311418685121108</v>
      </c>
      <c r="DX77">
        <v>0.38071467304672751</v>
      </c>
      <c r="DY77">
        <v>-9.059392112713514</v>
      </c>
      <c r="DZ77">
        <v>1539</v>
      </c>
      <c r="EA77">
        <v>-9.0415047425635926</v>
      </c>
      <c r="EB77">
        <v>9</v>
      </c>
      <c r="EC77">
        <v>9.8593332295926192E-2</v>
      </c>
      <c r="ED77">
        <v>0.51696776114037402</v>
      </c>
      <c r="EE77" s="11">
        <v>-6.0263099999999996</v>
      </c>
      <c r="EF77">
        <v>-6.0581100000000001</v>
      </c>
      <c r="EG77">
        <v>19.190714673046728</v>
      </c>
      <c r="EH77" t="s">
        <v>2899</v>
      </c>
      <c r="EI77">
        <v>0</v>
      </c>
      <c r="EJ77">
        <v>0</v>
      </c>
      <c r="EK77" s="13">
        <v>45470</v>
      </c>
      <c r="EL77" s="14">
        <v>-2.61</v>
      </c>
      <c r="EM77" s="14">
        <v>-4.3499999999999996</v>
      </c>
      <c r="EN77">
        <v>-5.52</v>
      </c>
      <c r="EO77">
        <v>3.03</v>
      </c>
      <c r="EP77">
        <v>-3.18</v>
      </c>
    </row>
    <row r="78" spans="1:146" x14ac:dyDescent="0.25">
      <c r="D78"/>
      <c r="S78" s="6"/>
    </row>
  </sheetData>
  <autoFilter ref="BU1:BU78"/>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军工装备&quot;,&quot;&quot;'" altText="更新基本面按钮_x000a_">
                <anchor moveWithCells="1" sizeWithCells="1">
                  <from>
                    <xdr:col>147</xdr:col>
                    <xdr:colOff>279400</xdr:colOff>
                    <xdr:row>0</xdr:row>
                    <xdr:rowOff>50800</xdr:rowOff>
                  </from>
                  <to>
                    <xdr:col>147</xdr:col>
                    <xdr:colOff>1365250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4" sqref="A4"/>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国防军工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2024-07-11T12:31:46Z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