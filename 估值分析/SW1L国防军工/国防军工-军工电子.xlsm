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4Investment\value-investment\估值分析\SW1L国防军工\"/>
    </mc:Choice>
  </mc:AlternateContent>
  <bookViews>
    <workbookView xWindow="0" yWindow="0" windowWidth="3800" windowHeight="2950"/>
  </bookViews>
  <sheets>
    <sheet name="国防军工" sheetId="15" r:id="rId1"/>
    <sheet name="估值-增速与年化收益" sheetId="14" r:id="rId2"/>
  </sheets>
  <functionGroups builtInGroupCount="18"/>
  <definedNames>
    <definedName name="_xlnm._FilterDatabase" localSheetId="0" hidden="1">国防军工!$BU$1:$BU$62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60" i="15"/>
  <c r="C59" i="15"/>
  <c r="C58" i="15"/>
  <c r="C57" i="15"/>
  <c r="C56" i="15"/>
  <c r="C55" i="15"/>
  <c r="C54" i="15"/>
  <c r="C53" i="15"/>
  <c r="C52" i="15"/>
  <c r="C51" i="15"/>
  <c r="C50" i="15"/>
  <c r="C49" i="15"/>
  <c r="C48" i="15"/>
  <c r="C47" i="15"/>
  <c r="C46" i="15"/>
  <c r="C45" i="15"/>
  <c r="C44"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3" i="15"/>
  <c r="C12" i="15"/>
  <c r="C11" i="15"/>
  <c r="C10" i="15"/>
  <c r="C9" i="15"/>
  <c r="C8" i="15"/>
  <c r="C7" i="15"/>
  <c r="C6" i="15"/>
  <c r="C5" i="15"/>
  <c r="C4" i="15"/>
  <c r="C3" i="15"/>
  <c r="C2" i="15"/>
</calcChain>
</file>

<file path=xl/sharedStrings.xml><?xml version="1.0" encoding="utf-8"?>
<sst xmlns="http://schemas.openxmlformats.org/spreadsheetml/2006/main" count="3481" uniqueCount="2279">
  <si>
    <t>&lt;-增速</t>
    <phoneticPr fontId="1" type="noConversion"/>
  </si>
  <si>
    <t>&lt;-估值</t>
    <phoneticPr fontId="1" type="noConversion"/>
  </si>
  <si>
    <t>&lt;-折合年化收益</t>
    <phoneticPr fontId="1" type="noConversion"/>
  </si>
  <si>
    <t>现价</t>
  </si>
  <si>
    <t>市净率</t>
  </si>
  <si>
    <t>国睿科技</t>
  </si>
  <si>
    <t>北斗星通</t>
  </si>
  <si>
    <t>振芯科技</t>
  </si>
  <si>
    <t>天奥电子</t>
  </si>
  <si>
    <t>景嘉微</t>
  </si>
  <si>
    <t>亚光科技</t>
  </si>
  <si>
    <t>航天发展</t>
  </si>
  <si>
    <t>雷科防务</t>
  </si>
  <si>
    <t>天和防务</t>
  </si>
  <si>
    <t>四创电子</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</si>
  <si>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</si>
  <si>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</si>
  <si>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</si>
  <si>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</si>
  <si>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</si>
  <si>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</si>
  <si>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</si>
  <si>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</si>
  <si>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</si>
  <si>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</si>
  <si>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</si>
  <si>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</si>
  <si>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</si>
  <si>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</si>
  <si>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</si>
  <si>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</si>
  <si>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2.55亿</t>
  </si>
  <si>
    <t>1.17亿</t>
  </si>
  <si>
    <t>1.50亿</t>
  </si>
  <si>
    <t>1.75亿</t>
  </si>
  <si>
    <t>SZ000547</t>
  </si>
  <si>
    <t>40.39亿</t>
  </si>
  <si>
    <t>6.75亿</t>
  </si>
  <si>
    <t>1.21亿</t>
  </si>
  <si>
    <t>2.98亿</t>
  </si>
  <si>
    <t>2.83亿</t>
  </si>
  <si>
    <t>2.33亿</t>
  </si>
  <si>
    <t>4.95亿</t>
  </si>
  <si>
    <t>1.37亿</t>
  </si>
  <si>
    <t>1.01亿</t>
  </si>
  <si>
    <t>1.65亿</t>
  </si>
  <si>
    <t>1.49亿</t>
  </si>
  <si>
    <t>1.02亿</t>
  </si>
  <si>
    <t>1.67亿</t>
  </si>
  <si>
    <t>2.40亿</t>
  </si>
  <si>
    <t>2.15亿</t>
  </si>
  <si>
    <t>1.84亿</t>
  </si>
  <si>
    <t>1.71亿</t>
  </si>
  <si>
    <t>2.11亿</t>
  </si>
  <si>
    <t>2.61亿</t>
  </si>
  <si>
    <t>3.85亿</t>
  </si>
  <si>
    <t>2.45亿</t>
  </si>
  <si>
    <t>4.40亿</t>
  </si>
  <si>
    <t>2.64亿</t>
  </si>
  <si>
    <t>3.04亿</t>
  </si>
  <si>
    <t>SZ002025</t>
  </si>
  <si>
    <t>航天电器</t>
  </si>
  <si>
    <t>35.34亿</t>
  </si>
  <si>
    <t>4.02亿</t>
  </si>
  <si>
    <t>1.41亿</t>
  </si>
  <si>
    <t>1.55亿</t>
  </si>
  <si>
    <t>0亿</t>
  </si>
  <si>
    <t>SZ002151</t>
  </si>
  <si>
    <t>29.87亿</t>
  </si>
  <si>
    <t>-6.51亿</t>
  </si>
  <si>
    <t>2.14亿</t>
  </si>
  <si>
    <t>1.51亿</t>
  </si>
  <si>
    <t>2.10亿</t>
  </si>
  <si>
    <t>SZ002179</t>
  </si>
  <si>
    <t>中航光电</t>
  </si>
  <si>
    <t>91.59亿</t>
  </si>
  <si>
    <t>10.71亿</t>
  </si>
  <si>
    <t>1.29亿</t>
  </si>
  <si>
    <t>3.33亿</t>
  </si>
  <si>
    <t>1.24亿</t>
  </si>
  <si>
    <t>2.05亿</t>
  </si>
  <si>
    <t>2.89亿</t>
  </si>
  <si>
    <t>SZ002413</t>
  </si>
  <si>
    <t>11.25亿</t>
  </si>
  <si>
    <t>SZ002465</t>
  </si>
  <si>
    <t>海格通信</t>
  </si>
  <si>
    <t>46.07亿</t>
  </si>
  <si>
    <t>5.19亿</t>
  </si>
  <si>
    <t>1.18亿</t>
  </si>
  <si>
    <t>3.08亿</t>
  </si>
  <si>
    <t>3.01亿</t>
  </si>
  <si>
    <t>2.22亿</t>
  </si>
  <si>
    <t>3.69亿</t>
  </si>
  <si>
    <t>1.06亿</t>
  </si>
  <si>
    <t>SZ002935</t>
  </si>
  <si>
    <t>8.67亿</t>
  </si>
  <si>
    <t>1.11亿</t>
  </si>
  <si>
    <t>2.71亿</t>
  </si>
  <si>
    <t>1.03亿</t>
  </si>
  <si>
    <t>2.19亿</t>
  </si>
  <si>
    <t>SZ002977</t>
  </si>
  <si>
    <t>天箭科技</t>
  </si>
  <si>
    <t>1.82亿</t>
  </si>
  <si>
    <t>2.77亿</t>
  </si>
  <si>
    <t>9607.65万</t>
  </si>
  <si>
    <t>2.12亿</t>
  </si>
  <si>
    <t>1.07亿</t>
  </si>
  <si>
    <t>1.61亿</t>
  </si>
  <si>
    <t>4.44亿</t>
  </si>
  <si>
    <t>1.66亿</t>
  </si>
  <si>
    <t>1.60亿</t>
  </si>
  <si>
    <t>3.06亿</t>
  </si>
  <si>
    <t>1.56亿</t>
  </si>
  <si>
    <t>5.46亿</t>
  </si>
  <si>
    <t>1.32亿</t>
  </si>
  <si>
    <t>1.05亿</t>
  </si>
  <si>
    <t>SZ300101</t>
  </si>
  <si>
    <t>5.86亿</t>
  </si>
  <si>
    <t>4.72亿</t>
  </si>
  <si>
    <t>458.68万</t>
  </si>
  <si>
    <t>1.58亿</t>
  </si>
  <si>
    <t>SZ300123</t>
  </si>
  <si>
    <t>22.06亿</t>
  </si>
  <si>
    <t>2.80亿</t>
  </si>
  <si>
    <t>4.78亿</t>
  </si>
  <si>
    <t>SZ300397</t>
  </si>
  <si>
    <t>8.68亿</t>
  </si>
  <si>
    <t>8678.00万</t>
  </si>
  <si>
    <t>3.25亿</t>
  </si>
  <si>
    <t>3.16亿</t>
  </si>
  <si>
    <t>SZ300474</t>
  </si>
  <si>
    <t>2.51亿</t>
  </si>
  <si>
    <t>5.31亿</t>
  </si>
  <si>
    <t>1.76亿</t>
  </si>
  <si>
    <t>2.18亿</t>
  </si>
  <si>
    <t>2.42亿</t>
  </si>
  <si>
    <t>24.64亿</t>
  </si>
  <si>
    <t>1.25亿</t>
  </si>
  <si>
    <t>5.51亿</t>
  </si>
  <si>
    <t>1.95亿</t>
  </si>
  <si>
    <t>2.72亿</t>
  </si>
  <si>
    <t>4.86亿</t>
  </si>
  <si>
    <t>3.39亿</t>
  </si>
  <si>
    <t>1.19亿</t>
  </si>
  <si>
    <t>1.90亿</t>
  </si>
  <si>
    <t>2.02亿</t>
  </si>
  <si>
    <t>1.13亿</t>
  </si>
  <si>
    <t>4.34亿</t>
  </si>
  <si>
    <t>2.25亿</t>
  </si>
  <si>
    <t>1.91亿</t>
  </si>
  <si>
    <t>SZ300762</t>
  </si>
  <si>
    <t>上海瀚讯</t>
  </si>
  <si>
    <t>1.15亿</t>
  </si>
  <si>
    <t>1.33亿</t>
  </si>
  <si>
    <t>2.29亿</t>
  </si>
  <si>
    <t>1.92亿</t>
  </si>
  <si>
    <t>1.83亿</t>
  </si>
  <si>
    <t>1.69亿</t>
  </si>
  <si>
    <t>1.35亿</t>
  </si>
  <si>
    <t>3.36亿</t>
  </si>
  <si>
    <t>1.08亿</t>
  </si>
  <si>
    <t>-1.33亿</t>
  </si>
  <si>
    <t>1.87亿</t>
  </si>
  <si>
    <t>3.31亿</t>
  </si>
  <si>
    <t>33.84亿</t>
  </si>
  <si>
    <t>17.00亿</t>
  </si>
  <si>
    <t>1.70亿</t>
  </si>
  <si>
    <t>2.79亿</t>
  </si>
  <si>
    <t>SH600562</t>
  </si>
  <si>
    <t>1.12亿</t>
  </si>
  <si>
    <t>4.49亿</t>
  </si>
  <si>
    <t>2.07亿</t>
  </si>
  <si>
    <t>2.62亿</t>
  </si>
  <si>
    <t>3.81亿</t>
  </si>
  <si>
    <t>2.03亿</t>
  </si>
  <si>
    <t>1.59亿</t>
  </si>
  <si>
    <t>24.73亿</t>
  </si>
  <si>
    <t>12.23亿</t>
  </si>
  <si>
    <t>2.30亿</t>
  </si>
  <si>
    <t>1.44亿</t>
  </si>
  <si>
    <t>1.20亿</t>
  </si>
  <si>
    <t>3.07亿</t>
  </si>
  <si>
    <t>8.05亿</t>
  </si>
  <si>
    <t>SH600990</t>
  </si>
  <si>
    <t>36.71亿</t>
  </si>
  <si>
    <t>5.26亿</t>
  </si>
  <si>
    <t>8.71亿</t>
  </si>
  <si>
    <t>5.30亿</t>
  </si>
  <si>
    <t>3.15亿</t>
  </si>
  <si>
    <t>27.34亿</t>
  </si>
  <si>
    <t>4.46亿</t>
  </si>
  <si>
    <t>SH688011</t>
  </si>
  <si>
    <t>新光光电</t>
  </si>
  <si>
    <t>6049.41万</t>
  </si>
  <si>
    <t>SH688311</t>
  </si>
  <si>
    <t>盟升电子</t>
  </si>
  <si>
    <t>7306.02万</t>
  </si>
  <si>
    <t>6.74亿</t>
  </si>
  <si>
    <t>流动资产</t>
  </si>
  <si>
    <t>营业收入[20191231]</t>
  </si>
  <si>
    <t>营业收入[20181231]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</si>
  <si>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</si>
  <si>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</si>
  <si>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</si>
  <si>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</si>
  <si>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</si>
  <si>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</si>
  <si>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</si>
  <si>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</si>
  <si>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</si>
  <si>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10.84亿</t>
  </si>
  <si>
    <t>3.11亿</t>
  </si>
  <si>
    <t>35.16亿</t>
  </si>
  <si>
    <t>2.44亿</t>
  </si>
  <si>
    <t>2.16亿</t>
  </si>
  <si>
    <t>4.79亿</t>
  </si>
  <si>
    <t>1.77亿</t>
  </si>
  <si>
    <t>6.78亿</t>
  </si>
  <si>
    <t>1.09亿</t>
  </si>
  <si>
    <t>2.00亿</t>
  </si>
  <si>
    <t>3.98亿</t>
  </si>
  <si>
    <t>-2.83亿</t>
  </si>
  <si>
    <t>17.60亿</t>
  </si>
  <si>
    <t>1.36亿</t>
  </si>
  <si>
    <t>3.68亿</t>
  </si>
  <si>
    <t>1.28亿</t>
  </si>
  <si>
    <t>2.66亿</t>
  </si>
  <si>
    <t>1.96亿</t>
  </si>
  <si>
    <t>7.77亿</t>
  </si>
  <si>
    <t>1.10亿</t>
  </si>
  <si>
    <t>4.13亿</t>
  </si>
  <si>
    <t>1.93亿</t>
  </si>
  <si>
    <t>4.26亿</t>
  </si>
  <si>
    <t>1.63亿</t>
  </si>
  <si>
    <t>42.18亿</t>
  </si>
  <si>
    <t>28.34亿</t>
  </si>
  <si>
    <t>3.59亿</t>
  </si>
  <si>
    <t>36.24亿</t>
  </si>
  <si>
    <t>1.47亿</t>
  </si>
  <si>
    <t>1.42亿</t>
  </si>
  <si>
    <t>3.05亿</t>
  </si>
  <si>
    <t>30.51亿</t>
  </si>
  <si>
    <t>103.05亿</t>
  </si>
  <si>
    <t>14.39亿</t>
  </si>
  <si>
    <t>78.16亿</t>
  </si>
  <si>
    <t>9.52亿</t>
  </si>
  <si>
    <t>1.86亿</t>
  </si>
  <si>
    <t>2.48亿</t>
  </si>
  <si>
    <t>3.90亿</t>
  </si>
  <si>
    <t>3.45亿</t>
  </si>
  <si>
    <t>3.71亿</t>
  </si>
  <si>
    <t>1.98亿</t>
  </si>
  <si>
    <t>9.23亿</t>
  </si>
  <si>
    <t>14.17亿</t>
  </si>
  <si>
    <t>12.16亿</t>
  </si>
  <si>
    <t>1.72亿</t>
  </si>
  <si>
    <t>1.99亿</t>
  </si>
  <si>
    <t>1.54亿</t>
  </si>
  <si>
    <t>2.37亿</t>
  </si>
  <si>
    <t>1.78亿</t>
  </si>
  <si>
    <t>9.94亿</t>
  </si>
  <si>
    <t>51.22亿</t>
  </si>
  <si>
    <t>41.43亿</t>
  </si>
  <si>
    <t>4.35亿</t>
  </si>
  <si>
    <t>2.93亿</t>
  </si>
  <si>
    <t>6.85亿</t>
  </si>
  <si>
    <t>4.10亿</t>
  </si>
  <si>
    <t>3.20亿</t>
  </si>
  <si>
    <t>1.74亿</t>
  </si>
  <si>
    <t>9.16亿</t>
  </si>
  <si>
    <t>8.64亿</t>
  </si>
  <si>
    <t>9707.80万</t>
  </si>
  <si>
    <t>8236.96万</t>
  </si>
  <si>
    <t>2.76亿</t>
  </si>
  <si>
    <t>9955.50万</t>
  </si>
  <si>
    <t>6.87亿</t>
  </si>
  <si>
    <t>1.14亿</t>
  </si>
  <si>
    <t>3.97亿</t>
  </si>
  <si>
    <t>7.97亿</t>
  </si>
  <si>
    <t>6.68亿</t>
  </si>
  <si>
    <t>3.84亿</t>
  </si>
  <si>
    <t>10.29亿</t>
  </si>
  <si>
    <t>1.62亿</t>
  </si>
  <si>
    <t>2.97亿</t>
  </si>
  <si>
    <t>5.77亿</t>
  </si>
  <si>
    <t>8061.05万</t>
  </si>
  <si>
    <t>4.41亿</t>
  </si>
  <si>
    <t>1617.00万</t>
  </si>
  <si>
    <t>53.38亿</t>
  </si>
  <si>
    <t>18.13亿</t>
  </si>
  <si>
    <t>3511.54万</t>
  </si>
  <si>
    <t>14.12亿</t>
  </si>
  <si>
    <t>10.47亿</t>
  </si>
  <si>
    <t>1.52亿</t>
  </si>
  <si>
    <t>14.01亿</t>
  </si>
  <si>
    <t>3.54亿</t>
  </si>
  <si>
    <t>-1.70亿</t>
  </si>
  <si>
    <t>-3.27亿</t>
  </si>
  <si>
    <t>2.23亿</t>
  </si>
  <si>
    <t>7.55亿</t>
  </si>
  <si>
    <t>6.54亿</t>
  </si>
  <si>
    <t>2.08亿</t>
  </si>
  <si>
    <t>2.78亿</t>
  </si>
  <si>
    <t>1.43亿</t>
  </si>
  <si>
    <t>1.39亿</t>
  </si>
  <si>
    <t>4.23亿</t>
  </si>
  <si>
    <t>4.89亿</t>
  </si>
  <si>
    <t>3.02亿</t>
  </si>
  <si>
    <t>SZ300629</t>
  </si>
  <si>
    <t>新劲刚</t>
  </si>
  <si>
    <t>2.38亿</t>
  </si>
  <si>
    <t>4.99亿</t>
  </si>
  <si>
    <t>49.37万</t>
  </si>
  <si>
    <t>6.41亿</t>
  </si>
  <si>
    <t>4.66亿</t>
  </si>
  <si>
    <t>53.04亿</t>
  </si>
  <si>
    <t>4.61亿</t>
  </si>
  <si>
    <t>5.42亿</t>
  </si>
  <si>
    <t>27.21亿</t>
  </si>
  <si>
    <t>6.37亿</t>
  </si>
  <si>
    <t>36.06亿</t>
  </si>
  <si>
    <t>10.43亿</t>
  </si>
  <si>
    <t>11.54亿</t>
  </si>
  <si>
    <t>3780.38万</t>
  </si>
  <si>
    <t>3.26亿</t>
  </si>
  <si>
    <t>2.34亿</t>
  </si>
  <si>
    <t>3.12亿</t>
  </si>
  <si>
    <t>4.74亿</t>
  </si>
  <si>
    <t>9.60亿</t>
  </si>
  <si>
    <t>8.91亿</t>
  </si>
  <si>
    <t>39.42亿</t>
  </si>
  <si>
    <t>52.46亿</t>
  </si>
  <si>
    <t>2.57亿</t>
  </si>
  <si>
    <t>15.86亿</t>
  </si>
  <si>
    <t>1.16亿</t>
  </si>
  <si>
    <t>11.09亿</t>
  </si>
  <si>
    <t>6.98亿</t>
  </si>
  <si>
    <t>SH603267</t>
  </si>
  <si>
    <t>10.54亿</t>
  </si>
  <si>
    <t>SH603678</t>
  </si>
  <si>
    <t>火炬电子</t>
  </si>
  <si>
    <t>36.56亿</t>
  </si>
  <si>
    <t>6.09亿</t>
  </si>
  <si>
    <t>25.69亿</t>
  </si>
  <si>
    <t>20.24亿</t>
  </si>
  <si>
    <t>2419.29万</t>
  </si>
  <si>
    <t>7267.61万</t>
  </si>
  <si>
    <t>962.27万</t>
  </si>
  <si>
    <t>5.23亿</t>
  </si>
  <si>
    <t>3227.72万</t>
  </si>
  <si>
    <t>10.01亿</t>
  </si>
  <si>
    <t>8.31亿</t>
  </si>
  <si>
    <t>6.61亿</t>
  </si>
  <si>
    <t>6.79亿</t>
  </si>
  <si>
    <t>SH688636</t>
  </si>
  <si>
    <t>8558.40万</t>
  </si>
  <si>
    <t>2.35亿</t>
  </si>
  <si>
    <t>5946.01万</t>
  </si>
  <si>
    <t>6246.79万</t>
  </si>
  <si>
    <t>SH688682</t>
  </si>
  <si>
    <t>霍莱沃</t>
  </si>
  <si>
    <t>4482.73万</t>
  </si>
  <si>
    <t>3457.02万</t>
  </si>
  <si>
    <t>2982.08万</t>
  </si>
  <si>
    <t>SH688788</t>
  </si>
  <si>
    <t>科思科技</t>
  </si>
  <si>
    <t>6.55亿</t>
  </si>
  <si>
    <t>1.34亿</t>
  </si>
  <si>
    <t>6.48亿</t>
  </si>
  <si>
    <t>2.52亿</t>
  </si>
  <si>
    <t>1.57亿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</si>
  <si>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</si>
  <si>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</si>
  <si>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</si>
  <si>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</si>
  <si>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</si>
  <si>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</si>
  <si>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</si>
  <si>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</si>
  <si>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</si>
  <si>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</si>
  <si>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</si>
  <si>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</si>
  <si>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</si>
  <si>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</si>
  <si>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</si>
  <si>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-1.54亿</t>
  </si>
  <si>
    <t>销售毛利率%[20201231]</t>
  </si>
  <si>
    <t>销售净利率%[20201231]</t>
  </si>
  <si>
    <t>4.85亿</t>
  </si>
  <si>
    <t>2.20亿</t>
  </si>
  <si>
    <t>SZ000733</t>
  </si>
  <si>
    <t>振华科技</t>
  </si>
  <si>
    <t>39.50亿</t>
  </si>
  <si>
    <t>6.06亿</t>
  </si>
  <si>
    <t>36.68亿</t>
  </si>
  <si>
    <t>16.19亿</t>
  </si>
  <si>
    <t>4.88亿</t>
  </si>
  <si>
    <t>SZ002189</t>
  </si>
  <si>
    <t>中光学</t>
  </si>
  <si>
    <t>33.33亿</t>
  </si>
  <si>
    <t>25.52亿</t>
  </si>
  <si>
    <t>25.84亿</t>
  </si>
  <si>
    <t>9815.77万</t>
  </si>
  <si>
    <t>SZ002214</t>
  </si>
  <si>
    <t>大立科技</t>
  </si>
  <si>
    <t>10.90亿</t>
  </si>
  <si>
    <t>3.60亿</t>
  </si>
  <si>
    <t>4.24亿</t>
  </si>
  <si>
    <t>5487.84万</t>
  </si>
  <si>
    <t>SZ002338</t>
  </si>
  <si>
    <t>奥普光电</t>
  </si>
  <si>
    <t>3.42亿</t>
  </si>
  <si>
    <t>4080.02万</t>
  </si>
  <si>
    <t>1.81亿</t>
  </si>
  <si>
    <t>SZ002383</t>
  </si>
  <si>
    <t>合众思壮</t>
  </si>
  <si>
    <t>2.31亿</t>
  </si>
  <si>
    <t>4.96亿</t>
  </si>
  <si>
    <t>3.70亿</t>
  </si>
  <si>
    <t>4.22亿</t>
  </si>
  <si>
    <t>SZ002414</t>
  </si>
  <si>
    <t>高德红外</t>
  </si>
  <si>
    <t>33.34亿</t>
  </si>
  <si>
    <t>16.38亿</t>
  </si>
  <si>
    <t>2.21亿</t>
  </si>
  <si>
    <t>SZ002446</t>
  </si>
  <si>
    <t>盛路通信</t>
  </si>
  <si>
    <t>11.45亿</t>
  </si>
  <si>
    <t>13.34亿</t>
  </si>
  <si>
    <t>-7.57亿</t>
  </si>
  <si>
    <t>2.26亿</t>
  </si>
  <si>
    <t>4.84亿</t>
  </si>
  <si>
    <t>5.61亿</t>
  </si>
  <si>
    <t>SZ300045</t>
  </si>
  <si>
    <t>华力创通</t>
  </si>
  <si>
    <t>6.45亿</t>
  </si>
  <si>
    <t>2784.79万</t>
  </si>
  <si>
    <t>-1.48亿</t>
  </si>
  <si>
    <t>3.55亿</t>
  </si>
  <si>
    <t>SZ300114</t>
  </si>
  <si>
    <t>中航电测</t>
  </si>
  <si>
    <t>2.63亿</t>
  </si>
  <si>
    <t>15.45亿</t>
  </si>
  <si>
    <t>13.88亿</t>
  </si>
  <si>
    <t>-2.12亿</t>
  </si>
  <si>
    <t>SZ300177</t>
  </si>
  <si>
    <t>中海达</t>
  </si>
  <si>
    <t>17.73亿</t>
  </si>
  <si>
    <t>8589.87万</t>
  </si>
  <si>
    <t>12.89亿</t>
  </si>
  <si>
    <t>9541.56万</t>
  </si>
  <si>
    <t>3.27亿</t>
  </si>
  <si>
    <t>SZ300252</t>
  </si>
  <si>
    <t>金信诺</t>
  </si>
  <si>
    <t>19.61亿</t>
  </si>
  <si>
    <t>-6597.08万</t>
  </si>
  <si>
    <t>26.77亿</t>
  </si>
  <si>
    <t>25.93亿</t>
  </si>
  <si>
    <t>7136.75万</t>
  </si>
  <si>
    <t>7.79亿</t>
  </si>
  <si>
    <t>SZ300447</t>
  </si>
  <si>
    <t>全信股份</t>
  </si>
  <si>
    <t>7.13亿</t>
  </si>
  <si>
    <t>6.25亿</t>
  </si>
  <si>
    <t>-2.53亿</t>
  </si>
  <si>
    <t>3.30亿</t>
  </si>
  <si>
    <t>13.64亿</t>
  </si>
  <si>
    <t>SZ300726</t>
  </si>
  <si>
    <t>宏达电子</t>
  </si>
  <si>
    <t>8.44亿</t>
  </si>
  <si>
    <t>6.36亿</t>
  </si>
  <si>
    <t>SZ301050</t>
  </si>
  <si>
    <t>雷电微力</t>
  </si>
  <si>
    <t>4600.33万</t>
  </si>
  <si>
    <t>8276.12万</t>
  </si>
  <si>
    <t>-3080.74万</t>
  </si>
  <si>
    <t>2.46亿</t>
  </si>
  <si>
    <t>7.29亿</t>
  </si>
  <si>
    <t>5.84亿</t>
  </si>
  <si>
    <t>SH603712</t>
  </si>
  <si>
    <t>七一二</t>
  </si>
  <si>
    <t>26.96亿</t>
  </si>
  <si>
    <t>21.41亿</t>
  </si>
  <si>
    <t>16.26亿</t>
  </si>
  <si>
    <t>8.84亿</t>
  </si>
  <si>
    <t>SH688002</t>
  </si>
  <si>
    <t>睿创微纳</t>
  </si>
  <si>
    <t>15.61亿</t>
  </si>
  <si>
    <t>SH688081</t>
  </si>
  <si>
    <t>兴图新科</t>
  </si>
  <si>
    <t>3284.03万</t>
  </si>
  <si>
    <t>5188.83万</t>
  </si>
  <si>
    <t>4221.38万</t>
  </si>
  <si>
    <t>SH688272</t>
  </si>
  <si>
    <t>8588.09万</t>
  </si>
  <si>
    <t>8768.10万</t>
  </si>
  <si>
    <t>1392.31万</t>
  </si>
  <si>
    <t>SH688511</t>
  </si>
  <si>
    <t>天微电子</t>
  </si>
  <si>
    <t>4252.53万</t>
  </si>
  <si>
    <t>4508.45万</t>
  </si>
  <si>
    <t>SH688776</t>
  </si>
  <si>
    <t>国光电气</t>
  </si>
  <si>
    <t>9540.72万</t>
  </si>
  <si>
    <t>3000.00万</t>
  </si>
  <si>
    <t>4207.27万</t>
  </si>
  <si>
    <t>1928.49万</t>
  </si>
  <si>
    <t>未来，公司将把发展的重心放在新一代指挥硬件设备及支撑软件、火控系统、智能无线通信等领域</t>
    <phoneticPr fontId="1" type="noConversion"/>
  </si>
  <si>
    <t>季度level的可预测性要打折扣，四季度一般是回款和确认营收的季度</t>
    <phoneticPr fontId="1" type="noConversion"/>
  </si>
  <si>
    <t>指挥控制信息处理设备84.94%（毛利70.28%）其他信息处理终端及专用模块等10.83%（毛利70.06%）软件雷达信息处理设备2.75%（毛利43.10%）其他业务1.49%（毛利41.10%）
公司业绩增长的持续性如何？
答：从公司的研发投入方向看，一个是往高端走，做系统级产品；另外做更复杂的芯片。这对核心技术的要求非常高，自研芯片将会增强公司的研发实力和竞争优势。</t>
    <phoneticPr fontId="1" type="noConversion"/>
  </si>
  <si>
    <t/>
  </si>
  <si>
    <t>涨幅%</t>
  </si>
  <si>
    <t>流通股本</t>
  </si>
  <si>
    <t>投入资本回报率roic%[20201231]</t>
  </si>
  <si>
    <t>净资产收益率%[20201231]</t>
  </si>
  <si>
    <t>营业收入[20171231]</t>
  </si>
  <si>
    <t>净利润[20201231]</t>
  </si>
  <si>
    <t>14.91亿</t>
  </si>
  <si>
    <t>3.18亿</t>
  </si>
  <si>
    <t>19.91亿</t>
  </si>
  <si>
    <t>SZ002231</t>
  </si>
  <si>
    <t>奥维通信</t>
  </si>
  <si>
    <t>2332.94万</t>
  </si>
  <si>
    <t>-1.67亿</t>
  </si>
  <si>
    <t>4793.50万</t>
  </si>
  <si>
    <t>4905.77万</t>
  </si>
  <si>
    <t>-2.41亿</t>
  </si>
  <si>
    <t>11.11亿</t>
  </si>
  <si>
    <t>10.16亿</t>
  </si>
  <si>
    <t>4.01亿</t>
  </si>
  <si>
    <t>1.40亿</t>
  </si>
  <si>
    <t>-2.28亿</t>
  </si>
  <si>
    <t>-11.99亿</t>
  </si>
  <si>
    <t>4730.38万</t>
  </si>
  <si>
    <t>4656.79万</t>
  </si>
  <si>
    <t>-7211.36万</t>
  </si>
  <si>
    <t>9.56亿</t>
  </si>
  <si>
    <t>5.49亿</t>
  </si>
  <si>
    <t>9703.05万</t>
  </si>
  <si>
    <t>5023.80万</t>
  </si>
  <si>
    <t>-2577.44万</t>
  </si>
  <si>
    <t>763.75万</t>
  </si>
  <si>
    <t>8.16亿</t>
  </si>
  <si>
    <t>SZ301213</t>
  </si>
  <si>
    <t>观想科技</t>
  </si>
  <si>
    <t>8745.94万</t>
  </si>
  <si>
    <t>5655.42万</t>
  </si>
  <si>
    <t>5163.32万</t>
  </si>
  <si>
    <t>3725.85万</t>
  </si>
  <si>
    <t>7.99亿</t>
  </si>
  <si>
    <t>8.27亿</t>
  </si>
  <si>
    <t>182.55万</t>
  </si>
  <si>
    <t>-4561.13万</t>
  </si>
  <si>
    <t>SH688175</t>
  </si>
  <si>
    <t>高凌信息</t>
  </si>
  <si>
    <t>4093.59万</t>
  </si>
  <si>
    <t>2087.87万</t>
  </si>
  <si>
    <t>2.84亿</t>
  </si>
  <si>
    <t>7644.36万</t>
  </si>
  <si>
    <t>5.17亿</t>
  </si>
  <si>
    <t>3.13亿</t>
  </si>
  <si>
    <t>6091.80万</t>
  </si>
  <si>
    <t xml:space="preserve">    名称</t>
  </si>
  <si>
    <t>净利润?</t>
  </si>
  <si>
    <t>扣非净利润</t>
  </si>
  <si>
    <t>营业总收入[20201231]</t>
  </si>
  <si>
    <t>1-0</t>
  </si>
  <si>
    <t>亏损</t>
  </si>
  <si>
    <t>扭亏</t>
  </si>
  <si>
    <t>2.92亿</t>
  </si>
  <si>
    <t>60.45亿</t>
  </si>
  <si>
    <t>61.27亿</t>
  </si>
  <si>
    <t>6.11亿</t>
  </si>
  <si>
    <t>开始亏损</t>
  </si>
  <si>
    <t>1.79亿</t>
  </si>
  <si>
    <t>4.29亿</t>
  </si>
  <si>
    <t>3.61亿</t>
  </si>
  <si>
    <r>
      <t>1.2022年半年度实现营业收入为5.44亿元，同比增长14.47%；归母净利润1.25亿元，同比</t>
    </r>
    <r>
      <rPr>
        <sz val="9"/>
        <color rgb="FFFF0000"/>
        <rFont val="宋体"/>
        <family val="3"/>
        <charset val="134"/>
        <scheme val="minor"/>
      </rPr>
      <t>下滑0.86%;</t>
    </r>
    <r>
      <rPr>
        <sz val="9"/>
        <rFont val="宋体"/>
        <family val="3"/>
        <charset val="134"/>
        <scheme val="minor"/>
      </rPr>
      <t>2.定增10亿，将用于面向消费电子领域的通用类芯片研发及产业化项目、高性能通用图形处理器研发及产业化项目和补充流动资金；</t>
    </r>
    <phoneticPr fontId="1" type="noConversion"/>
  </si>
  <si>
    <r>
      <t xml:space="preserve">1.研发投入 134,511,811.15 同比增23.58% 主要原因是公司报告期内研发投入增加所致。2.公司应收账款金额增加较快且周转率较低，公司的应收账款占总资产的比例较高，虽然绝大部分应收账款的账龄在 1 年以内，且应收货款集中在财务状况良好的大型国企，客户信用良好，未曾发生过不能偿还货款的情况，根据截止到 2022 年 6 月 30 日的情况来看，应收账款较上年末增长 </t>
    </r>
    <r>
      <rPr>
        <sz val="9"/>
        <color rgb="FFFF0000"/>
        <rFont val="宋体"/>
        <family val="3"/>
        <charset val="134"/>
        <scheme val="minor"/>
      </rPr>
      <t>81.01%。</t>
    </r>
    <r>
      <rPr>
        <sz val="9"/>
        <rFont val="宋体"/>
        <family val="3"/>
        <charset val="134"/>
        <scheme val="minor"/>
      </rPr>
      <t>（2022H1 营收5亿，应收8.5亿）</t>
    </r>
    <r>
      <rPr>
        <sz val="9"/>
        <color theme="1"/>
        <rFont val="宋体"/>
        <family val="2"/>
        <charset val="134"/>
        <scheme val="minor"/>
      </rPr>
      <t xml:space="preserve">
</t>
    </r>
    <r>
      <rPr>
        <sz val="9"/>
        <color theme="1"/>
        <rFont val="宋体"/>
        <family val="3"/>
        <charset val="134"/>
        <scheme val="minor"/>
      </rPr>
      <t>3.问：有很多初创企业进入到GPU领域，并且有些公司据说已研发成功，初创公司的加入是否会对公司造成影响？答：现在有越来越多的企业进入GPU研发领域，充分说明了GPU领域未来发展一片光明，体现了公司选择GPU方向的战略正确性。公司愿意与同行企业进行学习交流，期待通过良性的竞争共同推进行业的不断进步，促进图形显控领域技术的持续创新;</t>
    </r>
    <phoneticPr fontId="1" type="noConversion"/>
  </si>
  <si>
    <t>营业收入(同比增长率) %[20220630]</t>
  </si>
  <si>
    <t>销售费用[20220630]</t>
  </si>
  <si>
    <t>研发费用总额[20220630]</t>
  </si>
  <si>
    <t>其他收入[20220630]</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</si>
  <si>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</si>
  <si>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</si>
  <si>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</si>
  <si>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</si>
  <si>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</si>
  <si>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</si>
  <si>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</si>
  <si>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</si>
  <si>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</si>
  <si>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</si>
  <si>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</si>
  <si>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</si>
  <si>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</si>
  <si>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投入资本回报率roic%[20220331]</t>
  </si>
  <si>
    <t>销售毛利率%[20220331]</t>
  </si>
  <si>
    <t>销售净利率%[20220331]</t>
  </si>
  <si>
    <t>SZ001270</t>
  </si>
  <si>
    <t>铖昌科技</t>
  </si>
  <si>
    <t>9984.78万</t>
  </si>
  <si>
    <t>4548.46万</t>
  </si>
  <si>
    <t>6663.43万</t>
  </si>
  <si>
    <t>5788.88万</t>
  </si>
  <si>
    <t>4.62亿</t>
  </si>
  <si>
    <t>SZ301302</t>
  </si>
  <si>
    <t>华如科技</t>
  </si>
  <si>
    <t>9175.20万</t>
  </si>
  <si>
    <t>7083.96万</t>
  </si>
  <si>
    <t>5646.33万</t>
  </si>
  <si>
    <t>SH600590</t>
  </si>
  <si>
    <t>泰豪科技</t>
  </si>
  <si>
    <t>-2.63亿</t>
  </si>
  <si>
    <t>9237.30万</t>
  </si>
  <si>
    <t>2.85亿</t>
  </si>
  <si>
    <t>SH688053</t>
  </si>
  <si>
    <t>思科瑞</t>
  </si>
  <si>
    <t>6575.73万</t>
  </si>
  <si>
    <t>7549.47万</t>
  </si>
  <si>
    <t>3385.49万</t>
  </si>
  <si>
    <t>2224.92万</t>
  </si>
  <si>
    <t>9706.06万</t>
  </si>
  <si>
    <t>SH688375</t>
  </si>
  <si>
    <t>国博电子</t>
  </si>
  <si>
    <t>22.12亿</t>
  </si>
  <si>
    <t>22.25亿</t>
  </si>
  <si>
    <t>17.24亿</t>
  </si>
  <si>
    <t>3.67亿</t>
  </si>
  <si>
    <t>SH688439</t>
  </si>
  <si>
    <t>振华风光</t>
  </si>
  <si>
    <t>2.70亿</t>
  </si>
  <si>
    <t>6925.01万</t>
  </si>
  <si>
    <t>3710.33万</t>
  </si>
  <si>
    <t>35.00亿</t>
  </si>
  <si>
    <r>
      <t>1.：预计一季报业绩：净利润3.101亿元至3.578亿元，增长幅度为30.00%至50.00% 变动原因：a.报告期内，已签订合同的型号项目持续交货，使得业绩稳步增长；同时，批量效益带来了生产效率的提升，摊薄了固定支出，使得公司经营业绩进一步增长。 　　b.报告期内应收账款回款情况良好，带来了信用减值的转回，利润增加;2.公司设立了诸多研究室，不仅是红外，还有光学、雷达、通讯指控、陀螺、精密稳定、人工智能AI、数据链等近50个研究室。对标国有军工集团，专业完善度接近80%，除了底盘和炸药本身不做，其他基本都有覆盖，公司能够实现连设计到加工独立完成，</t>
    </r>
    <r>
      <rPr>
        <sz val="9"/>
        <color rgb="FFFF0000"/>
        <rFont val="宋体"/>
        <family val="3"/>
        <charset val="134"/>
        <scheme val="minor"/>
      </rPr>
      <t>构成了一个完整的军工集团</t>
    </r>
    <r>
      <rPr>
        <sz val="9"/>
        <color theme="1"/>
        <rFont val="宋体"/>
        <family val="2"/>
        <charset val="134"/>
        <scheme val="minor"/>
      </rPr>
      <t>;3.在芯片方面，公司从十几年前开始布局，目前已经拥有非制冷、碲镉汞和二类超晶格三条8英寸批产线，三个领域都完成了自己的技术构建，全部实现了自主可控且技术水平走在了世界前列，特别是二类超晶格探测器，不仅仅是领先而且是只有公司把产品做出来并且批量上型号。</t>
    </r>
    <phoneticPr fontId="1" type="noConversion"/>
  </si>
  <si>
    <t>17.80亿</t>
  </si>
  <si>
    <t>公司的主营业务是从事非制冷红外热成像与MEMS传感技术开发的集成电路芯片企业，致力于专用集成电路、MEMS传感器及红外成像产品的设计与制造；坚持从红外芯片、红外探测器、热成像机芯模组到红外热像仪整机的全产业链布局；
市值223亿，利润4.61亿，pe73.27，pb6.15；毛利53.52%，净利23.41%；2021营收增14.03%，利润增-21%；2022Q2营收增31.05%,利润增-43.49%；过往5年营收增105%，利润增178%；
2021：
红外热像仪整机 8.89亿 49.96% 43.22% 50.47%
红外探测器及机芯模组 8.24亿 46.26% 53.70% 67.72%
其他 5342.42万 3.00% 2.49% 48.36%
其他业务 1374.69万 0.77% 0.59% 44.60%</t>
    <phoneticPr fontId="1" type="noConversion"/>
  </si>
  <si>
    <r>
      <t>1.2020 年睿创微纳发布的 8μm 非制冷红外探测 芯片是最全世界最小的像元尺寸，公司作为国内领先的非制冷红外探测器供应商，凭借多年的技术积累和产品性能优势，满足了特种装备对大面阵、小像元、高性能非制冷红外探测器芯片的需求；2.上半年，公司在海外市场的销售收入依旧保持快速增长态势，实现</t>
    </r>
    <r>
      <rPr>
        <sz val="9"/>
        <color rgb="FFFF0000"/>
        <rFont val="宋体"/>
        <family val="3"/>
        <charset val="134"/>
        <scheme val="minor"/>
      </rPr>
      <t>境外主营业务</t>
    </r>
    <r>
      <rPr>
        <sz val="9"/>
        <color theme="1"/>
        <rFont val="宋体"/>
        <family val="2"/>
        <charset val="134"/>
        <scheme val="minor"/>
      </rPr>
      <t>收入53,080.84万元，较上年同期</t>
    </r>
    <r>
      <rPr>
        <sz val="9"/>
        <color rgb="FFFF0000"/>
        <rFont val="宋体"/>
        <family val="3"/>
        <charset val="134"/>
        <scheme val="minor"/>
      </rPr>
      <t>增长77.71%</t>
    </r>
    <r>
      <rPr>
        <sz val="9"/>
        <color theme="1"/>
        <rFont val="宋体"/>
        <family val="2"/>
        <charset val="134"/>
        <scheme val="minor"/>
      </rPr>
      <t>,占当期主营业务收入的49.16%。海外的户外夜视领域需求较好，奠定了公司在海外快速发展的基础。</t>
    </r>
    <phoneticPr fontId="1" type="noConversion"/>
  </si>
  <si>
    <r>
      <t>1.问：请问公司如何看待</t>
    </r>
    <r>
      <rPr>
        <sz val="9"/>
        <color rgb="FFFF0000"/>
        <rFont val="宋体"/>
        <family val="3"/>
        <charset val="134"/>
        <scheme val="minor"/>
      </rPr>
      <t>红外在汽车自动驾驶领域</t>
    </r>
    <r>
      <rPr>
        <sz val="9"/>
        <color theme="1"/>
        <rFont val="宋体"/>
        <family val="2"/>
        <charset val="134"/>
        <scheme val="minor"/>
      </rPr>
      <t>的应用，以及公司在汽车领域的布局进展如何？答：红外热成像是实现高级别自动驾驶不可或缺的技术。红外传感相比于激光雷达、毫米波雷达具有其独特的优势，车载红外热像仪不受光线影响、能够穿透烟雾，在全黑夜间、雾霾天气以及对面车灯眩光等人眼能见度较低的情况下，依旧具备优异的环境感知能力。</t>
    </r>
    <phoneticPr fontId="1" type="noConversion"/>
  </si>
  <si>
    <t>公司主要业务红外热像仪为核心的综合光电系统及新型装备系统的研发生产及销售，并提供技术服务。公司通过自身积累的技术创新实力，以新民营经济的高速、高效创新机制为国防工业提供全系统国产化的新型高科技 WQ 系统，逐步完成了由政府装备类产品配套生产商向完整WQ系统提供商的转型发展，公司是国内首个取得完整WQ系统总体资质的民营企业。
市值481亿，利润11.11亿，pe40.59，pb6.12；毛利55%，净利28.52%；2021营收增5%，利润增11%；2022Q1营收增13%,利润增30.4%；过往5年营收增38.35%，利润增108%；
2021：
红外热成像仪及综合光电系统 26.15亿 74.72% 利润占比86.70% 64.90%
传统弹药及信息化弹药 8.03亿 22.94% 利润占比10.97% 26.74%
技术服务 5284.00万 1.51% 利润占比1.86% 68.75%
其他 2095.83万 0.60% 利润占比0.12% 11.31%
房屋出租 795.37万 0.23% 利润占比0.35% 85.70%</t>
    <phoneticPr fontId="1" type="noConversion"/>
  </si>
  <si>
    <t>1.2022年一季度受到疫情多点散发，波及范围进一步扩大及杭州本地疫情等不利因素影响，导致业务收入不及预期。</t>
    <phoneticPr fontId="1" type="noConversion"/>
  </si>
  <si>
    <t>成交量[20220902]</t>
  </si>
  <si>
    <t>LY营业总收入[20211231]</t>
  </si>
  <si>
    <t>净利润[20211231]</t>
  </si>
  <si>
    <t>权益乘数[20220630]</t>
  </si>
  <si>
    <t>总资产周转率[20220630]</t>
  </si>
  <si>
    <t>净利润／营业总收入%[20220630]</t>
  </si>
  <si>
    <t>营业总成本[20220630]</t>
  </si>
  <si>
    <t>营业成本[20220630]</t>
  </si>
  <si>
    <t>管理费用[20220630]</t>
  </si>
  <si>
    <t>CYLQ营业收入[20220331]</t>
  </si>
  <si>
    <t>LYCQ营业收入[20210630]</t>
  </si>
  <si>
    <t>LYLQ营业收入[20210331]</t>
  </si>
  <si>
    <t>CYLQ净利润[20220331]</t>
  </si>
  <si>
    <t>LYCQ净利润[20210630]</t>
  </si>
  <si>
    <t>LYLQ净利润[20210331]</t>
  </si>
  <si>
    <t>投入资本回报率roic%[20211231]</t>
  </si>
  <si>
    <t>净资产收益率%[20211231]</t>
  </si>
  <si>
    <t>细分行业</t>
  </si>
  <si>
    <t>区间涨跌幅:前复权%[20220829-20220902]</t>
  </si>
  <si>
    <t>区间涨跌幅:前复权%[20220725-20220902]</t>
  </si>
  <si>
    <t>区间成交量[20220829-20220902]</t>
  </si>
  <si>
    <t>指数@区间成交量[20220725-20220902]</t>
  </si>
  <si>
    <t>5.90亿</t>
  </si>
  <si>
    <t>3.14亿</t>
  </si>
  <si>
    <t>军工电子</t>
  </si>
  <si>
    <t>1.53亿</t>
  </si>
  <si>
    <t>56.56亿</t>
  </si>
  <si>
    <t>4.36亿</t>
  </si>
  <si>
    <t>-1.10亿</t>
  </si>
  <si>
    <t>1.31亿</t>
  </si>
  <si>
    <t>38.51亿</t>
  </si>
  <si>
    <t>128.67亿</t>
  </si>
  <si>
    <t>7.35亿</t>
  </si>
  <si>
    <t>41.29亿</t>
  </si>
  <si>
    <t>5.47亿</t>
  </si>
  <si>
    <t>21.08亿</t>
  </si>
  <si>
    <t>1.68亿</t>
  </si>
  <si>
    <t>16.22亿</t>
  </si>
  <si>
    <t>3.94亿</t>
  </si>
  <si>
    <t>6.17亿</t>
  </si>
  <si>
    <t>3.82亿</t>
  </si>
  <si>
    <t>9.62亿</t>
  </si>
  <si>
    <t>54.74亿</t>
  </si>
  <si>
    <t>3.66亿</t>
  </si>
  <si>
    <t>6.65亿</t>
  </si>
  <si>
    <t>7.94亿</t>
  </si>
  <si>
    <t>19.43亿</t>
  </si>
  <si>
    <t>4.76亿</t>
  </si>
  <si>
    <t>15.88亿</t>
  </si>
  <si>
    <t>17.96亿</t>
  </si>
  <si>
    <t>5.59亿</t>
  </si>
  <si>
    <t>9.40亿</t>
  </si>
  <si>
    <t>10.93亿</t>
  </si>
  <si>
    <t>1.45亿</t>
  </si>
  <si>
    <t>3.21亿</t>
  </si>
  <si>
    <t>20.00亿</t>
  </si>
  <si>
    <t>6.86亿</t>
  </si>
  <si>
    <t>3.22亿</t>
  </si>
  <si>
    <t>25.09亿</t>
  </si>
  <si>
    <t>7.26亿</t>
  </si>
  <si>
    <t>34.32亿</t>
  </si>
  <si>
    <t>60.63亿</t>
  </si>
  <si>
    <t>38.08亿</t>
  </si>
  <si>
    <t>31.43亿</t>
  </si>
  <si>
    <t>5.02亿</t>
  </si>
  <si>
    <t>24.03亿</t>
  </si>
  <si>
    <t>47.34亿</t>
  </si>
  <si>
    <t>10.92亿</t>
  </si>
  <si>
    <t>-1.97亿</t>
  </si>
  <si>
    <t>8.33亿</t>
  </si>
  <si>
    <t>9.53亿</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</si>
  <si>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</si>
  <si>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</si>
  <si>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</si>
  <si>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</si>
  <si>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</si>
  <si>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</si>
  <si>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</si>
  <si>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</si>
  <si>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</si>
  <si>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</si>
  <si>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</si>
  <si>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</si>
  <si>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</si>
  <si>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</si>
  <si>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</si>
  <si>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</si>
  <si>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</si>
  <si>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</si>
  <si>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</si>
  <si>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</si>
  <si>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</si>
  <si>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</si>
  <si>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</si>
  <si>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</si>
  <si>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</si>
  <si>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</si>
  <si>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</si>
  <si>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</si>
  <si>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</si>
  <si>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</si>
  <si>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</si>
  <si>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</si>
  <si>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</si>
  <si>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</si>
  <si>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</si>
  <si>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</si>
  <si>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</si>
  <si>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</si>
  <si>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</si>
  <si>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</si>
  <si>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</si>
  <si>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</si>
  <si>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SH688132</t>
  </si>
  <si>
    <t>7926.84万</t>
  </si>
  <si>
    <t>7110.12万</t>
  </si>
  <si>
    <t>2789.01万</t>
  </si>
  <si>
    <t>-4645.78万</t>
  </si>
  <si>
    <t>3.87亿</t>
  </si>
  <si>
    <t>2.36亿</t>
  </si>
  <si>
    <t>5.41亿</t>
  </si>
  <si>
    <t>邦彦技术</t>
  </si>
  <si>
    <r>
      <t>1.问：公司在军用宽带领域的市场占有率？答：公司是</t>
    </r>
    <r>
      <rPr>
        <sz val="9"/>
        <color rgb="FFFF0000"/>
        <rFont val="宋体"/>
        <family val="3"/>
        <charset val="134"/>
        <scheme val="minor"/>
      </rPr>
      <t>全军首个</t>
    </r>
    <r>
      <rPr>
        <sz val="9"/>
        <color theme="1"/>
        <rFont val="宋体"/>
        <family val="2"/>
        <charset val="134"/>
        <scheme val="minor"/>
      </rPr>
      <t>宽带通信系统的技术总体单位，一直参与相关军用标准的制定，推动我军通信装备从窄带向宽带演进，由此奠定了在该领域的竞争优势和行业影响力，目前在军用宽带通信领域市场占明显优势；2.问：公司在5G方向研发投入有多大？答：“十四五”关于军用5G已有相应规划，预计各军种会陆续按照布署完成定型产品并开始逐步列装。公司在</t>
    </r>
    <r>
      <rPr>
        <sz val="9"/>
        <color rgb="FFFF0000"/>
        <rFont val="宋体"/>
        <family val="3"/>
        <charset val="134"/>
        <scheme val="minor"/>
      </rPr>
      <t>军用5G方向及民用5G小基站</t>
    </r>
    <r>
      <rPr>
        <sz val="9"/>
        <color theme="1"/>
        <rFont val="宋体"/>
        <family val="2"/>
        <charset val="134"/>
        <scheme val="minor"/>
      </rPr>
      <t>领域也早有布局，目前已取得阶段性成果;</t>
    </r>
    <phoneticPr fontId="1" type="noConversion"/>
  </si>
  <si>
    <t>21.58亿</t>
  </si>
  <si>
    <t>2.67亿</t>
  </si>
  <si>
    <t>25.92亿</t>
  </si>
  <si>
    <t>3.00亿</t>
  </si>
  <si>
    <t>15.97亿</t>
  </si>
  <si>
    <t>6.67亿</t>
  </si>
  <si>
    <t>8.60亿</t>
  </si>
  <si>
    <t>14.25亿</t>
  </si>
  <si>
    <t>-1.96亿</t>
  </si>
  <si>
    <t>6.39亿</t>
  </si>
  <si>
    <t>3.58亿</t>
  </si>
  <si>
    <t>4.30亿</t>
  </si>
  <si>
    <t>25.29亿</t>
  </si>
  <si>
    <t>12.00亿</t>
  </si>
  <si>
    <t>10派0.5元(含税)</t>
  </si>
  <si>
    <t>不分配不转增</t>
  </si>
  <si>
    <t>10派3元(含税)</t>
  </si>
  <si>
    <t>10派1元(含税)</t>
  </si>
  <si>
    <t>10派1.5元(含税)</t>
  </si>
  <si>
    <t>2.43亿</t>
  </si>
  <si>
    <t>10派3.5元(含税)</t>
  </si>
  <si>
    <t>SH688084</t>
  </si>
  <si>
    <t>6050.58万</t>
  </si>
  <si>
    <t>4752.79万</t>
  </si>
  <si>
    <t>5890.07万</t>
  </si>
  <si>
    <t>-3.74亿</t>
  </si>
  <si>
    <t>-1.61亿</t>
  </si>
  <si>
    <t>3.24亿</t>
  </si>
  <si>
    <t>10派2元(含税)</t>
  </si>
  <si>
    <t>9.04亿</t>
  </si>
  <si>
    <r>
      <t>1.成都国光电气股份有限公司是国家微波电真空器生产、科研基地之一，多年来一直承担着雷达装备等重点工程配套产品的研制和生产任务。公司从事</t>
    </r>
    <r>
      <rPr>
        <sz val="9"/>
        <color rgb="FFFF0000"/>
        <rFont val="宋体"/>
        <family val="3"/>
        <charset val="134"/>
        <scheme val="minor"/>
      </rPr>
      <t>微波电真空器件和微波固态器件研制生产</t>
    </r>
    <r>
      <rPr>
        <sz val="9"/>
        <color theme="1"/>
        <rFont val="宋体"/>
        <family val="2"/>
        <charset val="134"/>
        <scheme val="minor"/>
      </rPr>
      <t>，为用户提供全套优质的解决方案。公司具备丰富的真空及相关技术的积累，是国家核工业设备及部件制造企业，也是全球首家研制出满足ITER技术标准“ITER</t>
    </r>
    <r>
      <rPr>
        <sz val="9"/>
        <color rgb="FFFF0000"/>
        <rFont val="宋体"/>
        <family val="3"/>
        <charset val="134"/>
        <scheme val="minor"/>
      </rPr>
      <t>热氦检漏设备</t>
    </r>
    <r>
      <rPr>
        <sz val="9"/>
        <color theme="1"/>
        <rFont val="宋体"/>
        <family val="2"/>
        <charset val="134"/>
        <scheme val="minor"/>
      </rPr>
      <t>”企业。</t>
    </r>
    <phoneticPr fontId="1" type="noConversion"/>
  </si>
  <si>
    <t>1.专注军用嵌入式计算机的研发、生产及销售。在成都青羊工业总部基地拥有近10000平米的研发生产基地，在西北、华东、华北设有办事处。公司已在硬件、软件、FPGA、测试、结构、工艺、可靠性等专业领域深耕20年。</t>
    <phoneticPr fontId="1" type="noConversion"/>
  </si>
  <si>
    <t>1-1</t>
  </si>
  <si>
    <t>3-0</t>
  </si>
  <si>
    <t>-1-1</t>
  </si>
  <si>
    <t>2.87亿</t>
  </si>
  <si>
    <t>14.23亿</t>
  </si>
  <si>
    <t>SH688522</t>
  </si>
  <si>
    <t>纳睿雷达</t>
  </si>
  <si>
    <t>9661.62万</t>
  </si>
  <si>
    <t>6659.14万</t>
  </si>
  <si>
    <t>13.82亿</t>
  </si>
  <si>
    <t>5.92亿</t>
  </si>
  <si>
    <t>-1-0</t>
  </si>
  <si>
    <t>72.67亿</t>
  </si>
  <si>
    <t>60.20亿</t>
  </si>
  <si>
    <t>5.55亿</t>
  </si>
  <si>
    <t>51.47亿</t>
  </si>
  <si>
    <t>38.16亿</t>
  </si>
  <si>
    <t>158.38亿</t>
  </si>
  <si>
    <t>4000.00万</t>
  </si>
  <si>
    <t>32.85亿</t>
  </si>
  <si>
    <t>-1.51亿</t>
  </si>
  <si>
    <t>5.76亿</t>
  </si>
  <si>
    <t>-5318.20万</t>
  </si>
  <si>
    <t>5.57亿</t>
  </si>
  <si>
    <t>6.27亿</t>
  </si>
  <si>
    <t>4665.73万</t>
  </si>
  <si>
    <t>19.24亿</t>
  </si>
  <si>
    <t>-2.40亿</t>
  </si>
  <si>
    <t>-9.35亿</t>
  </si>
  <si>
    <t>56.16亿</t>
  </si>
  <si>
    <t>9.38亿</t>
  </si>
  <si>
    <t>SZ002519</t>
  </si>
  <si>
    <t>银河电子</t>
  </si>
  <si>
    <t>13.11亿</t>
  </si>
  <si>
    <t>2.56亿</t>
  </si>
  <si>
    <t>14.97亿</t>
  </si>
  <si>
    <t>15.19亿</t>
  </si>
  <si>
    <t>1435.35万</t>
  </si>
  <si>
    <t>-11.67亿</t>
  </si>
  <si>
    <t>8.02亿</t>
  </si>
  <si>
    <t>12.11亿</t>
  </si>
  <si>
    <t>3.43亿</t>
  </si>
  <si>
    <t>7273.77万</t>
  </si>
  <si>
    <t>6.64亿</t>
  </si>
  <si>
    <t>2-0</t>
  </si>
  <si>
    <t>11.82亿</t>
  </si>
  <si>
    <t>19.05亿</t>
  </si>
  <si>
    <t>16.86亿</t>
  </si>
  <si>
    <t>-12.01亿</t>
  </si>
  <si>
    <t>13.18亿</t>
  </si>
  <si>
    <t>7.75亿</t>
  </si>
  <si>
    <t>21.31亿</t>
  </si>
  <si>
    <t>-3.78亿</t>
  </si>
  <si>
    <t>1.89亿</t>
  </si>
  <si>
    <t>3.62亿</t>
  </si>
  <si>
    <t>10派1.2元(含税)</t>
  </si>
  <si>
    <t>8.52亿</t>
  </si>
  <si>
    <t>8557.91万</t>
  </si>
  <si>
    <t>10派0.14元(含税)</t>
  </si>
  <si>
    <t>3.51亿</t>
  </si>
  <si>
    <t>32.25亿</t>
  </si>
  <si>
    <t>61.91亿</t>
  </si>
  <si>
    <t>3.03亿</t>
  </si>
  <si>
    <t>SH600855</t>
  </si>
  <si>
    <t>航天长峰</t>
  </si>
  <si>
    <t>18.02亿</t>
  </si>
  <si>
    <t>547.78万</t>
  </si>
  <si>
    <t>27.85亿</t>
  </si>
  <si>
    <t>27.63亿</t>
  </si>
  <si>
    <t>23.57亿</t>
  </si>
  <si>
    <t>4269.38万</t>
  </si>
  <si>
    <t>10派1.45元(含税)</t>
  </si>
  <si>
    <t>25.02亿</t>
  </si>
  <si>
    <t>35.59亿</t>
  </si>
  <si>
    <t>8.01亿</t>
  </si>
  <si>
    <t>40.40亿</t>
  </si>
  <si>
    <t>34.53亿</t>
  </si>
  <si>
    <t>26.46亿</t>
  </si>
  <si>
    <t>-2467.17万</t>
  </si>
  <si>
    <t>6.72亿</t>
  </si>
  <si>
    <t>-7910.48万</t>
  </si>
  <si>
    <t>晶品特装</t>
  </si>
  <si>
    <t>4532.90万</t>
  </si>
  <si>
    <t>4111.78万</t>
  </si>
  <si>
    <t>8841.74万</t>
  </si>
  <si>
    <t>-2-0</t>
  </si>
  <si>
    <t>34.61亿</t>
  </si>
  <si>
    <t>95.83万</t>
  </si>
  <si>
    <t>7097.31万</t>
  </si>
  <si>
    <t>281.95万</t>
  </si>
  <si>
    <t>SH688552</t>
  </si>
  <si>
    <t>航天南湖</t>
  </si>
  <si>
    <t>7.72亿</t>
  </si>
  <si>
    <t>8675.77万</t>
  </si>
  <si>
    <t>10转4.9股</t>
  </si>
  <si>
    <t>5041.20万</t>
  </si>
  <si>
    <t>9.11亿</t>
  </si>
  <si>
    <t>4.90亿</t>
  </si>
  <si>
    <t>6000.00万</t>
  </si>
  <si>
    <t>2.09亿</t>
  </si>
  <si>
    <t>5.54亿</t>
  </si>
  <si>
    <t>7.73亿</t>
  </si>
  <si>
    <t>7.45亿</t>
  </si>
  <si>
    <t>4.43亿</t>
  </si>
  <si>
    <t>3.40亿</t>
  </si>
  <si>
    <t>3.48亿</t>
  </si>
  <si>
    <t>5.27亿</t>
  </si>
  <si>
    <t>3.83亿</t>
  </si>
  <si>
    <t>10派1.8元(含税)</t>
  </si>
  <si>
    <t>4-0</t>
  </si>
  <si>
    <t>9.84亿</t>
  </si>
  <si>
    <t>SH688629</t>
  </si>
  <si>
    <t>华丰科技</t>
  </si>
  <si>
    <t>8.89亿</t>
  </si>
  <si>
    <r>
      <t>1.公司主营业务为自产业务产品（包括瓷介电容器、滤波器、微波模块、微控制器及微处理器等，广泛应用于航天、航空、电子信息、兵器、船舶等高可靠领域，以及汽车电子、通信、轨道交通、医疗电子等民用高端领域），代理业务产品（包括电容、电阻、电感、射频器件、分立器件、连接器、集成电路等多种系列的电子元器件，主要面向工业类及消费类民用市场，覆盖了新能源、汽车电子、轨道交通、智能电网、通讯、消费电子、医疗装备、工业/人工智能、物联网等领域。自产业务：受益航天强国建设，公司赛道优异，预计未来三年复合</t>
    </r>
    <r>
      <rPr>
        <sz val="9"/>
        <color rgb="FFFF0000"/>
        <rFont val="宋体"/>
        <family val="3"/>
        <charset val="134"/>
        <scheme val="minor"/>
      </rPr>
      <t>增速 23%</t>
    </r>
    <r>
      <rPr>
        <sz val="9"/>
        <color theme="1"/>
        <rFont val="宋体"/>
        <family val="2"/>
        <charset val="134"/>
        <scheme val="minor"/>
      </rPr>
      <t>，代理业务：产品附加值提升叠加新兴行业拓展，预计未来三年复合</t>
    </r>
    <r>
      <rPr>
        <sz val="9"/>
        <color rgb="FFFF0000"/>
        <rFont val="宋体"/>
        <family val="3"/>
        <charset val="134"/>
        <scheme val="minor"/>
      </rPr>
      <t>增速 15%</t>
    </r>
    <phoneticPr fontId="1" type="noConversion"/>
  </si>
  <si>
    <r>
      <t>1.特种 MLCC 行业具有资质、技术双壁垒，竞争格局三足鼎立，鸿远、火炬、宏明三家占据市场主要份额，公司先发优势明显有望充分受益。2.MLCC 是被动元器件第一大细分领域，</t>
    </r>
    <r>
      <rPr>
        <b/>
        <sz val="9"/>
        <color rgb="FFFF0000"/>
        <rFont val="宋体"/>
        <family val="3"/>
        <charset val="134"/>
        <scheme val="minor"/>
      </rPr>
      <t>材料+工艺是核心壁垒</t>
    </r>
    <r>
      <rPr>
        <sz val="9"/>
        <color theme="1"/>
        <rFont val="宋体"/>
        <family val="2"/>
        <charset val="134"/>
        <scheme val="minor"/>
      </rPr>
      <t>。</t>
    </r>
    <r>
      <rPr>
        <sz val="9"/>
        <color theme="1"/>
        <rFont val="宋体"/>
        <family val="3"/>
        <charset val="134"/>
        <scheme val="minor"/>
      </rPr>
      <t xml:space="preserve">2019 </t>
    </r>
    <r>
      <rPr>
        <sz val="9"/>
        <color theme="1"/>
        <rFont val="宋体"/>
        <family val="2"/>
        <charset val="134"/>
        <scheme val="minor"/>
      </rPr>
      <t>年全球</t>
    </r>
    <r>
      <rPr>
        <sz val="9"/>
        <color theme="1"/>
        <rFont val="宋体"/>
        <family val="3"/>
        <charset val="134"/>
        <scheme val="minor"/>
      </rPr>
      <t xml:space="preserve"> RCL</t>
    </r>
    <r>
      <rPr>
        <sz val="9"/>
        <color theme="1"/>
        <rFont val="宋体"/>
        <family val="2"/>
        <charset val="134"/>
        <scheme val="minor"/>
      </rPr>
      <t>（容阻感）市场规模达</t>
    </r>
    <r>
      <rPr>
        <sz val="9"/>
        <color theme="1"/>
        <rFont val="宋体"/>
        <family val="3"/>
        <charset val="134"/>
        <scheme val="minor"/>
      </rPr>
      <t xml:space="preserve"> 277 </t>
    </r>
    <r>
      <rPr>
        <sz val="9"/>
        <color theme="1"/>
        <rFont val="宋体"/>
        <family val="2"/>
        <charset val="134"/>
        <scheme val="minor"/>
      </rPr>
      <t>亿美元，约占被动元件市场的</t>
    </r>
    <r>
      <rPr>
        <sz val="9"/>
        <color theme="1"/>
        <rFont val="宋体"/>
        <family val="3"/>
        <charset val="134"/>
        <scheme val="minor"/>
      </rPr>
      <t xml:space="preserve"> 89%</t>
    </r>
    <r>
      <rPr>
        <sz val="9"/>
        <color theme="1"/>
        <rFont val="宋体"/>
        <family val="2"/>
        <charset val="134"/>
        <scheme val="minor"/>
      </rPr>
      <t>，其中电容、电感、电阻占比分别为</t>
    </r>
    <r>
      <rPr>
        <sz val="9"/>
        <color theme="1"/>
        <rFont val="宋体"/>
        <family val="3"/>
        <charset val="134"/>
        <scheme val="minor"/>
      </rPr>
      <t xml:space="preserve"> 65%</t>
    </r>
    <r>
      <rPr>
        <sz val="9"/>
        <color theme="1"/>
        <rFont val="宋体"/>
        <family val="2"/>
        <charset val="134"/>
        <scheme val="minor"/>
      </rPr>
      <t>、</t>
    </r>
    <r>
      <rPr>
        <sz val="9"/>
        <color theme="1"/>
        <rFont val="宋体"/>
        <family val="3"/>
        <charset val="134"/>
        <scheme val="minor"/>
      </rPr>
      <t>15%</t>
    </r>
    <r>
      <rPr>
        <sz val="9"/>
        <color theme="1"/>
        <rFont val="宋体"/>
        <family val="2"/>
        <charset val="134"/>
        <scheme val="minor"/>
      </rPr>
      <t>、</t>
    </r>
    <r>
      <rPr>
        <sz val="9"/>
        <color theme="1"/>
        <rFont val="宋体"/>
        <family val="3"/>
        <charset val="134"/>
        <scheme val="minor"/>
      </rPr>
      <t>9%；3.下游应用来看，手机是目前 MLCC 下游最大的应用领域，占比 38%；PC是 MLCC下游第二大应用领域，占比 19%；汽车是 MLCC下游第三大应用领域，占比 16%。</t>
    </r>
    <phoneticPr fontId="1" type="noConversion"/>
  </si>
  <si>
    <t>6.63亿</t>
  </si>
  <si>
    <t>1.信息化，武器装备共同推进市场规模增长，2021到2024预计CAGR为12%。</t>
    <phoneticPr fontId="1" type="noConversion"/>
  </si>
  <si>
    <r>
      <t>1.从细分赛道看，</t>
    </r>
    <r>
      <rPr>
        <sz val="9"/>
        <color rgb="FFFF0000"/>
        <rFont val="宋体"/>
        <family val="3"/>
        <charset val="134"/>
        <scheme val="minor"/>
      </rPr>
      <t>火炬电子客户航空、电子类客户占比相对较大，鸿远电子航天类客户占比相对较高</t>
    </r>
    <r>
      <rPr>
        <sz val="9"/>
        <color theme="1"/>
        <rFont val="宋体"/>
        <family val="2"/>
        <charset val="134"/>
        <scheme val="minor"/>
      </rPr>
      <t>.</t>
    </r>
    <phoneticPr fontId="1" type="noConversion"/>
  </si>
  <si>
    <t>8.81亿</t>
  </si>
  <si>
    <t>14.82亿</t>
  </si>
  <si>
    <t>-2.92亿</t>
  </si>
  <si>
    <t>35.67亿</t>
  </si>
  <si>
    <t>7.23亿</t>
  </si>
  <si>
    <t>4.83亿</t>
  </si>
  <si>
    <t>-2-1</t>
  </si>
  <si>
    <t>1.97亿</t>
  </si>
  <si>
    <t>7.04亿</t>
  </si>
  <si>
    <t>6.02亿</t>
  </si>
  <si>
    <t>16.35亿</t>
  </si>
  <si>
    <t>14.13亿</t>
  </si>
  <si>
    <t>-13.10亿</t>
  </si>
  <si>
    <t>-11.40亿</t>
  </si>
  <si>
    <t>-2.20亿</t>
  </si>
  <si>
    <t>10.49亿</t>
  </si>
  <si>
    <t>11.37亿</t>
  </si>
  <si>
    <t>5.94亿</t>
  </si>
  <si>
    <t>3.56亿</t>
  </si>
  <si>
    <t>7.19亿</t>
  </si>
  <si>
    <t>5.08亿</t>
  </si>
  <si>
    <t>6.49亿</t>
  </si>
  <si>
    <t>36.28亿</t>
  </si>
  <si>
    <t>8.73亿</t>
  </si>
  <si>
    <t>8.86亿</t>
  </si>
  <si>
    <t>3301.97万</t>
  </si>
  <si>
    <t>7.76亿</t>
  </si>
  <si>
    <t>5.73亿</t>
  </si>
  <si>
    <t>6.83亿</t>
  </si>
  <si>
    <t>7.50亿</t>
  </si>
  <si>
    <t>17.37亿</t>
  </si>
  <si>
    <t>8.83亿</t>
  </si>
  <si>
    <t>5.99亿</t>
  </si>
  <si>
    <t>SZ301517</t>
  </si>
  <si>
    <t>陕西华达</t>
  </si>
  <si>
    <t>7.10亿</t>
  </si>
  <si>
    <t>7.56亿</t>
  </si>
  <si>
    <t>5.04亿</t>
  </si>
  <si>
    <t>6674.53万</t>
  </si>
  <si>
    <t>5762.47万</t>
  </si>
  <si>
    <t>4484.23万</t>
  </si>
  <si>
    <t>3939.30万</t>
  </si>
  <si>
    <t>8.18亿</t>
  </si>
  <si>
    <t>3.92亿</t>
  </si>
  <si>
    <t>-1.07亿</t>
  </si>
  <si>
    <t>1200.00万</t>
  </si>
  <si>
    <t>-1.01亿</t>
  </si>
  <si>
    <t>5.62亿</t>
  </si>
  <si>
    <t>17.49亿</t>
  </si>
  <si>
    <t>7.81亿</t>
  </si>
  <si>
    <t>-3-1</t>
  </si>
  <si>
    <t>6918.00万</t>
  </si>
  <si>
    <t>5.20亿</t>
  </si>
  <si>
    <t>-1.19亿</t>
  </si>
  <si>
    <t>-2.48亿</t>
  </si>
  <si>
    <t>16.14亿</t>
  </si>
  <si>
    <t>49.85亿</t>
  </si>
  <si>
    <t>4.33亿</t>
  </si>
  <si>
    <t>18.63亿</t>
  </si>
  <si>
    <t>-19.50亿</t>
  </si>
  <si>
    <t>-26771211亿</t>
  </si>
  <si>
    <t>-180864150亿</t>
  </si>
  <si>
    <t>13.93亿</t>
  </si>
  <si>
    <t>2536807200亿</t>
  </si>
  <si>
    <t>7152661700亿</t>
  </si>
  <si>
    <t>4.52亿</t>
  </si>
  <si>
    <t>35.64亿</t>
  </si>
  <si>
    <t>3604.91万</t>
  </si>
  <si>
    <t>-1.15亿</t>
  </si>
  <si>
    <t>20.34亿</t>
  </si>
  <si>
    <t>10.14亿</t>
  </si>
  <si>
    <t>77.89亿</t>
  </si>
  <si>
    <t>26.82亿</t>
  </si>
  <si>
    <t>4239696亿</t>
  </si>
  <si>
    <t>94525980亿</t>
  </si>
  <si>
    <t>5071751200亿</t>
  </si>
  <si>
    <t>14119467000亿</t>
  </si>
  <si>
    <t>23.83亿</t>
  </si>
  <si>
    <t>21.02亿</t>
  </si>
  <si>
    <t>10派11.14元(含税)</t>
  </si>
  <si>
    <t>4.47亿</t>
  </si>
  <si>
    <t>7238.81万</t>
  </si>
  <si>
    <t>1977.60万</t>
  </si>
  <si>
    <t>7970.79万</t>
  </si>
  <si>
    <t>-16436404亿</t>
  </si>
  <si>
    <t>428685970亿</t>
  </si>
  <si>
    <t>1093085150亿</t>
  </si>
  <si>
    <t>4012.76万</t>
  </si>
  <si>
    <t>1220.66万</t>
  </si>
  <si>
    <t>10转3股派2元(含税)</t>
  </si>
  <si>
    <t>38.66亿</t>
  </si>
  <si>
    <t>62.10亿</t>
  </si>
  <si>
    <t>208173580亿</t>
  </si>
  <si>
    <t>4158476500亿</t>
  </si>
  <si>
    <t>9666555400亿</t>
  </si>
  <si>
    <t>17.83亿</t>
  </si>
  <si>
    <t>10派3.8元(含税)</t>
  </si>
  <si>
    <t>3.53亿</t>
  </si>
  <si>
    <t>40.82亿</t>
  </si>
  <si>
    <t>3269305亿</t>
  </si>
  <si>
    <t>-59538850亿</t>
  </si>
  <si>
    <t>799502290亿</t>
  </si>
  <si>
    <t>3558906700亿</t>
  </si>
  <si>
    <t>9.90亿</t>
  </si>
  <si>
    <t>2017.33万</t>
  </si>
  <si>
    <t>135.55亿</t>
  </si>
  <si>
    <t>40.13亿</t>
  </si>
  <si>
    <t>200.74亿</t>
  </si>
  <si>
    <t>33.39亿</t>
  </si>
  <si>
    <t>21.97亿</t>
  </si>
  <si>
    <t>11356100亿</t>
  </si>
  <si>
    <t>736146670亿</t>
  </si>
  <si>
    <t>9513635300亿</t>
  </si>
  <si>
    <t>27407964000亿</t>
  </si>
  <si>
    <t>27.18亿</t>
  </si>
  <si>
    <t>53.42亿</t>
  </si>
  <si>
    <t>9.93亿</t>
  </si>
  <si>
    <t>10派6元(含税)</t>
  </si>
  <si>
    <t>19.68亿</t>
  </si>
  <si>
    <t>4.51亿</t>
  </si>
  <si>
    <t>21.74亿</t>
  </si>
  <si>
    <t>24.15亿</t>
  </si>
  <si>
    <t>775388亿</t>
  </si>
  <si>
    <t>-15288778亿</t>
  </si>
  <si>
    <t>896691020亿</t>
  </si>
  <si>
    <t>1740328700亿</t>
  </si>
  <si>
    <t>540.18万</t>
  </si>
  <si>
    <t>-1.86亿</t>
  </si>
  <si>
    <t>-6532.35万</t>
  </si>
  <si>
    <t>3019.67万</t>
  </si>
  <si>
    <t>-77637133亿</t>
  </si>
  <si>
    <t>609398900亿</t>
  </si>
  <si>
    <t>1638710600亿</t>
  </si>
  <si>
    <t>4068.70万</t>
  </si>
  <si>
    <t>-4616.24万</t>
  </si>
  <si>
    <t>-3095.30万</t>
  </si>
  <si>
    <t>7862亿</t>
  </si>
  <si>
    <t>-3419132亿</t>
  </si>
  <si>
    <t>92336224亿</t>
  </si>
  <si>
    <t>505280170亿</t>
  </si>
  <si>
    <t>4281.55万</t>
  </si>
  <si>
    <t>223.02万</t>
  </si>
  <si>
    <t>7.11亿</t>
  </si>
  <si>
    <t>8663.52万</t>
  </si>
  <si>
    <t>10160633亿</t>
  </si>
  <si>
    <t>13623381亿</t>
  </si>
  <si>
    <t>336589210亿</t>
  </si>
  <si>
    <t>1103826510亿</t>
  </si>
  <si>
    <t>288.48万</t>
  </si>
  <si>
    <t>8180.01万</t>
  </si>
  <si>
    <t>2110.45万</t>
  </si>
  <si>
    <t>10派0.25元(含税)</t>
  </si>
  <si>
    <t>18.34亿</t>
  </si>
  <si>
    <t>11.79亿</t>
  </si>
  <si>
    <t>-1000489亿</t>
  </si>
  <si>
    <t>-37214383亿</t>
  </si>
  <si>
    <t>618224970亿</t>
  </si>
  <si>
    <t>2195362100亿</t>
  </si>
  <si>
    <t>15.46亿</t>
  </si>
  <si>
    <t>3.93亿</t>
  </si>
  <si>
    <t>-1777.29万</t>
  </si>
  <si>
    <t>14.28亿</t>
  </si>
  <si>
    <t>-4.43亿</t>
  </si>
  <si>
    <t>-1923174亿</t>
  </si>
  <si>
    <t>-34520069亿</t>
  </si>
  <si>
    <t>1099030140亿</t>
  </si>
  <si>
    <t>2832434300亿</t>
  </si>
  <si>
    <t>114.71万</t>
  </si>
  <si>
    <t>1658.41万</t>
  </si>
  <si>
    <t>18.37亿</t>
  </si>
  <si>
    <t>4.68亿</t>
  </si>
  <si>
    <t>6769.83万</t>
  </si>
  <si>
    <t>926481亿</t>
  </si>
  <si>
    <t>1630524900亿</t>
  </si>
  <si>
    <t>5368777300亿</t>
  </si>
  <si>
    <t>6317.31万</t>
  </si>
  <si>
    <t>11.87亿</t>
  </si>
  <si>
    <t>5239.31万</t>
  </si>
  <si>
    <t>10.37亿</t>
  </si>
  <si>
    <t>-2008337亿</t>
  </si>
  <si>
    <t>32750141亿</t>
  </si>
  <si>
    <t>720995810亿</t>
  </si>
  <si>
    <t>2481380500亿</t>
  </si>
  <si>
    <t>3.65万</t>
  </si>
  <si>
    <t>7325.51万</t>
  </si>
  <si>
    <t>052393100</t>
  </si>
  <si>
    <t>0157179300</t>
  </si>
  <si>
    <t>0314358600</t>
  </si>
  <si>
    <t>0523931000</t>
  </si>
  <si>
    <t>01047862000</t>
  </si>
  <si>
    <t>59.44亿</t>
  </si>
  <si>
    <t>11.44亿</t>
  </si>
  <si>
    <t>64.49亿</t>
  </si>
  <si>
    <t>7.03亿</t>
  </si>
  <si>
    <t>-2619982亿</t>
  </si>
  <si>
    <t>23515194亿</t>
  </si>
  <si>
    <t>5454813000亿</t>
  </si>
  <si>
    <t>12945703300亿</t>
  </si>
  <si>
    <t>10.34亿</t>
  </si>
  <si>
    <t>4226.21万</t>
  </si>
  <si>
    <t>12.86亿</t>
  </si>
  <si>
    <t>11.28亿</t>
  </si>
  <si>
    <t>6140470亿</t>
  </si>
  <si>
    <t>27924809亿</t>
  </si>
  <si>
    <t>467979500亿</t>
  </si>
  <si>
    <t>3327682400亿</t>
  </si>
  <si>
    <t>6278.90万</t>
  </si>
  <si>
    <t>0187000000</t>
  </si>
  <si>
    <t>0561000000</t>
  </si>
  <si>
    <t>01122000000</t>
  </si>
  <si>
    <t>01870000000</t>
  </si>
  <si>
    <t>03740000000</t>
  </si>
  <si>
    <t>-2.03亿</t>
  </si>
  <si>
    <t>8718.64万</t>
  </si>
  <si>
    <t>-9524239亿</t>
  </si>
  <si>
    <t>796116560亿</t>
  </si>
  <si>
    <t>2238931900亿</t>
  </si>
  <si>
    <t>-1085.43万</t>
  </si>
  <si>
    <t>10转2股派0.8元(含税)</t>
  </si>
  <si>
    <t>2832.95万</t>
  </si>
  <si>
    <t>5004.82万</t>
  </si>
  <si>
    <t>6974380亿</t>
  </si>
  <si>
    <t>409511900亿</t>
  </si>
  <si>
    <t>1067948250亿</t>
  </si>
  <si>
    <t>620.80万</t>
  </si>
  <si>
    <t>2361.42万</t>
  </si>
  <si>
    <t>1602.17万</t>
  </si>
  <si>
    <t>050048200</t>
  </si>
  <si>
    <t>0150144600</t>
  </si>
  <si>
    <t>0300289200</t>
  </si>
  <si>
    <t>0500482000</t>
  </si>
  <si>
    <t>01000964000</t>
  </si>
  <si>
    <t>4.39亿</t>
  </si>
  <si>
    <t>6.52亿</t>
  </si>
  <si>
    <t>1761.61万</t>
  </si>
  <si>
    <t>-124204亿</t>
  </si>
  <si>
    <t>3421682亿</t>
  </si>
  <si>
    <t>561102020亿</t>
  </si>
  <si>
    <t>1533033000亿</t>
  </si>
  <si>
    <t>9077.33万</t>
  </si>
  <si>
    <t>205.87万</t>
  </si>
  <si>
    <t>1.22万</t>
  </si>
  <si>
    <t>7260.27万</t>
  </si>
  <si>
    <t>-148563亿</t>
  </si>
  <si>
    <t>1694618亿</t>
  </si>
  <si>
    <t>951629590亿</t>
  </si>
  <si>
    <t>2080933200亿</t>
  </si>
  <si>
    <t>5088.77万</t>
  </si>
  <si>
    <t>15.49亿</t>
  </si>
  <si>
    <t>16.77亿</t>
  </si>
  <si>
    <t>9816.71万</t>
  </si>
  <si>
    <t>8992500亿</t>
  </si>
  <si>
    <t>15461028亿</t>
  </si>
  <si>
    <t>1076251930亿</t>
  </si>
  <si>
    <t>2279638600亿</t>
  </si>
  <si>
    <t>2288.29万</t>
  </si>
  <si>
    <t>35.71亿</t>
  </si>
  <si>
    <t>15.89亿</t>
  </si>
  <si>
    <t>-20620411亿</t>
  </si>
  <si>
    <t>1659327100亿</t>
  </si>
  <si>
    <t>2977567300亿</t>
  </si>
  <si>
    <t>474.56万</t>
  </si>
  <si>
    <t>16.51亿</t>
  </si>
  <si>
    <t>11.86亿</t>
  </si>
  <si>
    <t>-4.27亿</t>
  </si>
  <si>
    <t>66671亿</t>
  </si>
  <si>
    <t>-43440867亿</t>
  </si>
  <si>
    <t>954185770亿</t>
  </si>
  <si>
    <t>2118429000亿</t>
  </si>
  <si>
    <t>-3857.39万</t>
  </si>
  <si>
    <t>30.37亿</t>
  </si>
  <si>
    <t>19.98亿</t>
  </si>
  <si>
    <t>1148244亿</t>
  </si>
  <si>
    <t>-32323500亿</t>
  </si>
  <si>
    <t>1020818280亿</t>
  </si>
  <si>
    <t>2786979300亿</t>
  </si>
  <si>
    <t>2044.23万</t>
  </si>
  <si>
    <t>9.37亿</t>
  </si>
  <si>
    <t>81624亿</t>
  </si>
  <si>
    <t>5371355亿</t>
  </si>
  <si>
    <t>141355700亿</t>
  </si>
  <si>
    <t>787829550亿</t>
  </si>
  <si>
    <t>8077.47万</t>
  </si>
  <si>
    <t>-2177.97万</t>
  </si>
  <si>
    <t>7.64亿</t>
  </si>
  <si>
    <t>89293亿</t>
  </si>
  <si>
    <t>31910539亿</t>
  </si>
  <si>
    <t>968560630亿</t>
  </si>
  <si>
    <t>2207583700亿</t>
  </si>
  <si>
    <t>6345.83万</t>
  </si>
  <si>
    <t>10派0.66元(含税)</t>
  </si>
  <si>
    <t>5968.11万</t>
  </si>
  <si>
    <t>-17284007亿</t>
  </si>
  <si>
    <t>667111450亿</t>
  </si>
  <si>
    <t>2917384200亿</t>
  </si>
  <si>
    <t>4600.00万</t>
  </si>
  <si>
    <t>6518.20万</t>
  </si>
  <si>
    <t>-7067.87万</t>
  </si>
  <si>
    <t>6.03亿</t>
  </si>
  <si>
    <t>3.57亿</t>
  </si>
  <si>
    <t>4.32亿</t>
  </si>
  <si>
    <t>5.11亿</t>
  </si>
  <si>
    <t>242784亿</t>
  </si>
  <si>
    <t>41304892亿</t>
  </si>
  <si>
    <t>713873230亿</t>
  </si>
  <si>
    <t>1233164580亿</t>
  </si>
  <si>
    <t>180.00万</t>
  </si>
  <si>
    <t>3585.76万</t>
  </si>
  <si>
    <t>12.93亿</t>
  </si>
  <si>
    <t>8.51亿</t>
  </si>
  <si>
    <t>3.10亿</t>
  </si>
  <si>
    <t>17.06亿</t>
  </si>
  <si>
    <t>6.93亿</t>
  </si>
  <si>
    <t>8024532亿</t>
  </si>
  <si>
    <t>62462218亿</t>
  </si>
  <si>
    <t>1447574300亿</t>
  </si>
  <si>
    <t>4438845900亿</t>
  </si>
  <si>
    <t>6807.27万</t>
  </si>
  <si>
    <t>-1.90亿</t>
  </si>
  <si>
    <t>-13294885亿</t>
  </si>
  <si>
    <t>1025746650亿</t>
  </si>
  <si>
    <t>2807444400亿</t>
  </si>
  <si>
    <t>7718.30万</t>
  </si>
  <si>
    <t>-827.91万</t>
  </si>
  <si>
    <t>17.07亿</t>
  </si>
  <si>
    <t>9.17亿</t>
  </si>
  <si>
    <t>18.97亿</t>
  </si>
  <si>
    <t>6425147亿</t>
  </si>
  <si>
    <t>90391004亿</t>
  </si>
  <si>
    <t>94972233亿</t>
  </si>
  <si>
    <t>3919879300亿</t>
  </si>
  <si>
    <t>10派4.08元(含税)</t>
  </si>
  <si>
    <t>8186.10万</t>
  </si>
  <si>
    <t>1501.11万</t>
  </si>
  <si>
    <t>-208.51万</t>
  </si>
  <si>
    <t>747608亿</t>
  </si>
  <si>
    <t>253343970亿</t>
  </si>
  <si>
    <t>792524460亿</t>
  </si>
  <si>
    <t>950.00万</t>
  </si>
  <si>
    <t>9603.82万</t>
  </si>
  <si>
    <t>1761.63万</t>
  </si>
  <si>
    <t>5823.46万</t>
  </si>
  <si>
    <t>3713.99万</t>
  </si>
  <si>
    <t>-2.22亿</t>
  </si>
  <si>
    <t>1416283亿</t>
  </si>
  <si>
    <t>-41466666亿</t>
  </si>
  <si>
    <t>578831910亿</t>
  </si>
  <si>
    <t>1971261800亿</t>
  </si>
  <si>
    <t>292.23万</t>
  </si>
  <si>
    <t>-2.27亿</t>
  </si>
  <si>
    <t>5.37亿</t>
  </si>
  <si>
    <t>10.61亿</t>
  </si>
  <si>
    <t>7878.70万</t>
  </si>
  <si>
    <t>-20932亿</t>
  </si>
  <si>
    <t>9525052亿</t>
  </si>
  <si>
    <t>629086880亿</t>
  </si>
  <si>
    <t>1866666200亿</t>
  </si>
  <si>
    <t>6458.08万</t>
  </si>
  <si>
    <t>10派1.31元(含税)</t>
  </si>
  <si>
    <t>7.30亿</t>
  </si>
  <si>
    <t>32.82亿</t>
  </si>
  <si>
    <t>15.56亿</t>
  </si>
  <si>
    <t>7.91亿</t>
  </si>
  <si>
    <t>33.99亿</t>
  </si>
  <si>
    <t>111578480亿</t>
  </si>
  <si>
    <t>3318026400亿</t>
  </si>
  <si>
    <t>7868075400亿</t>
  </si>
  <si>
    <t>92.28亿</t>
  </si>
  <si>
    <t>42.83亿</t>
  </si>
  <si>
    <t>5634.26万</t>
  </si>
  <si>
    <t>6097035亿</t>
  </si>
  <si>
    <t>41167858亿</t>
  </si>
  <si>
    <t>3631956000亿</t>
  </si>
  <si>
    <t>8381429500亿</t>
  </si>
  <si>
    <t>7758.16万</t>
  </si>
  <si>
    <t>19.86亿</t>
  </si>
  <si>
    <t>-2.35亿</t>
  </si>
  <si>
    <t>-43715321亿</t>
  </si>
  <si>
    <t>1019197920亿</t>
  </si>
  <si>
    <t>2993318700亿</t>
  </si>
  <si>
    <t>6.12亿</t>
  </si>
  <si>
    <t>43.89亿</t>
  </si>
  <si>
    <t>19.27亿</t>
  </si>
  <si>
    <t>-5.53亿</t>
  </si>
  <si>
    <t>-26611143亿</t>
  </si>
  <si>
    <t>2036762600亿</t>
  </si>
  <si>
    <t>4132743800亿</t>
  </si>
  <si>
    <t>6604.25万</t>
  </si>
  <si>
    <t>16.15亿</t>
  </si>
  <si>
    <t>18.66亿</t>
  </si>
  <si>
    <t>36.11亿</t>
  </si>
  <si>
    <t>16.76亿</t>
  </si>
  <si>
    <t>846545亿</t>
  </si>
  <si>
    <t>71862411亿</t>
  </si>
  <si>
    <t>1440730300亿</t>
  </si>
  <si>
    <t>4220407800亿</t>
  </si>
  <si>
    <t>22.51亿</t>
  </si>
  <si>
    <t>35.04亿</t>
  </si>
  <si>
    <t>528972亿</t>
  </si>
  <si>
    <t>68963682亿</t>
  </si>
  <si>
    <t>1411518100亿</t>
  </si>
  <si>
    <t>4416482900亿</t>
  </si>
  <si>
    <t>12.48亿</t>
  </si>
  <si>
    <t>50.08亿</t>
  </si>
  <si>
    <t>32.68亿</t>
  </si>
  <si>
    <t>-1848495亿</t>
  </si>
  <si>
    <t>8264208亿</t>
  </si>
  <si>
    <t>3226505400亿</t>
  </si>
  <si>
    <t>8308369900亿</t>
  </si>
  <si>
    <t>10派0.60元(含税)</t>
  </si>
  <si>
    <t>31.75亿</t>
  </si>
  <si>
    <t>10.07亿</t>
  </si>
  <si>
    <t>6762211亿</t>
  </si>
  <si>
    <t>114685061亿</t>
  </si>
  <si>
    <t>1328070370亿</t>
  </si>
  <si>
    <t>4780534000亿</t>
  </si>
  <si>
    <t>3321.66万</t>
  </si>
  <si>
    <t>-3916.79万</t>
  </si>
  <si>
    <t>1432266亿</t>
  </si>
  <si>
    <t>-9787406亿</t>
  </si>
  <si>
    <t>155927220亿</t>
  </si>
  <si>
    <t>1019728180亿</t>
  </si>
  <si>
    <t>724.42万</t>
  </si>
  <si>
    <t>2867.02万</t>
  </si>
  <si>
    <t>4309.77万</t>
  </si>
  <si>
    <t>3475452亿</t>
  </si>
  <si>
    <t>3357116亿</t>
  </si>
  <si>
    <t>190265070亿</t>
  </si>
  <si>
    <t>1266647610亿</t>
  </si>
  <si>
    <t>9739.33万</t>
  </si>
  <si>
    <t>10派3.1元(含税)</t>
  </si>
  <si>
    <t>21.91亿</t>
  </si>
  <si>
    <t>1771.26万</t>
  </si>
  <si>
    <t>-6793.60万</t>
  </si>
  <si>
    <t>80548亿</t>
  </si>
  <si>
    <t>-12945897亿</t>
  </si>
  <si>
    <t>203514110亿</t>
  </si>
  <si>
    <t>428351880亿</t>
  </si>
  <si>
    <t>844.25万</t>
  </si>
  <si>
    <t>3060.64万</t>
  </si>
  <si>
    <t>718518亿</t>
  </si>
  <si>
    <t>-10037947亿</t>
  </si>
  <si>
    <t>228170790亿</t>
  </si>
  <si>
    <t>-5225.08万</t>
  </si>
  <si>
    <t>2757883亿</t>
  </si>
  <si>
    <t>31167097亿</t>
  </si>
  <si>
    <t>362552650亿</t>
  </si>
  <si>
    <t>1107052740亿</t>
  </si>
  <si>
    <t>247.88万</t>
  </si>
  <si>
    <t>18.72亿</t>
  </si>
  <si>
    <t>4063.99万</t>
  </si>
  <si>
    <t>4605.17万</t>
  </si>
  <si>
    <t>13679110亿</t>
  </si>
  <si>
    <t>-15183239亿</t>
  </si>
  <si>
    <t>206067890亿</t>
  </si>
  <si>
    <t>1719855100亿</t>
  </si>
  <si>
    <t>10转4股派2元(含税)</t>
  </si>
  <si>
    <t>21.04亿</t>
  </si>
  <si>
    <t>7637.41万</t>
  </si>
  <si>
    <t>-9631.87万</t>
  </si>
  <si>
    <t>7225057亿</t>
  </si>
  <si>
    <t>612332670亿</t>
  </si>
  <si>
    <t>-8773.05万</t>
  </si>
  <si>
    <t>10.09亿</t>
  </si>
  <si>
    <t>1426.46万</t>
  </si>
  <si>
    <t>-5631.08万</t>
  </si>
  <si>
    <t>-26422191亿</t>
  </si>
  <si>
    <t>566606110亿</t>
  </si>
  <si>
    <t>1500798600亿</t>
  </si>
  <si>
    <t>5500.00万</t>
  </si>
  <si>
    <t>6980.00万</t>
  </si>
  <si>
    <t>2616.67万</t>
  </si>
  <si>
    <t>1160740亿</t>
  </si>
  <si>
    <t>118396875亿</t>
  </si>
  <si>
    <t>2255281500亿</t>
  </si>
  <si>
    <t>6179852600亿</t>
  </si>
  <si>
    <t>12.97亿</t>
  </si>
  <si>
    <t>5838867亿</t>
  </si>
  <si>
    <t>134025825亿</t>
  </si>
  <si>
    <t>1480880100亿</t>
  </si>
  <si>
    <t>4853711200亿</t>
  </si>
  <si>
    <t>10派7.03元(含税)</t>
  </si>
  <si>
    <t>4.54亿</t>
  </si>
  <si>
    <t>3705.56万</t>
  </si>
  <si>
    <t>4970.43万</t>
  </si>
  <si>
    <t>2593829亿</t>
  </si>
  <si>
    <t>6837996亿</t>
  </si>
  <si>
    <t>154988270亿</t>
  </si>
  <si>
    <t>861108370亿</t>
  </si>
  <si>
    <t>4492.25万</t>
  </si>
  <si>
    <t>10转3股派3.75元(含税)</t>
  </si>
  <si>
    <t>3148.78万</t>
  </si>
  <si>
    <t>6330.20万</t>
  </si>
  <si>
    <t>3350726亿</t>
  </si>
  <si>
    <t>260328740亿</t>
  </si>
  <si>
    <t>2132919700亿</t>
  </si>
  <si>
    <t>10转4股派1.5元(含税)</t>
  </si>
  <si>
    <t>2750.86万</t>
  </si>
  <si>
    <t>-17181819亿</t>
  </si>
  <si>
    <t>232005820亿</t>
  </si>
  <si>
    <t>2662639800亿</t>
  </si>
  <si>
    <t>10派0.92元(含税)</t>
  </si>
  <si>
    <t>4.19亿</t>
  </si>
  <si>
    <t>7236.92万</t>
  </si>
  <si>
    <t>503244亿</t>
  </si>
  <si>
    <t>979320亿</t>
  </si>
  <si>
    <t>549308220亿</t>
  </si>
  <si>
    <t>1870165900亿</t>
  </si>
  <si>
    <t>5.29亿</t>
  </si>
  <si>
    <t>9878.38万</t>
  </si>
  <si>
    <t>7553.69万</t>
  </si>
  <si>
    <t>-1063.80万</t>
  </si>
  <si>
    <t>-9656.41万</t>
  </si>
  <si>
    <t>4899.28万</t>
  </si>
  <si>
    <t>9625.60万</t>
  </si>
  <si>
    <t>-2857414亿</t>
  </si>
  <si>
    <t>-12528514亿</t>
  </si>
  <si>
    <t>627862960亿</t>
  </si>
  <si>
    <t>1082650700亿</t>
  </si>
  <si>
    <t>7535.73万</t>
  </si>
  <si>
    <t>10转4.9股派2.10元(含税)</t>
  </si>
  <si>
    <t>5930.37万</t>
  </si>
  <si>
    <t>2711.25万</t>
  </si>
  <si>
    <t>-57694亿</t>
  </si>
  <si>
    <t>246063亿</t>
  </si>
  <si>
    <t>160630980亿</t>
  </si>
  <si>
    <t>746316080亿</t>
  </si>
  <si>
    <t>9035.50万</t>
  </si>
  <si>
    <t>28249736亿</t>
  </si>
  <si>
    <t>798994970亿</t>
  </si>
  <si>
    <t>2105086700亿</t>
  </si>
  <si>
    <t>1429.31万</t>
  </si>
  <si>
    <t>-70180818亿</t>
  </si>
  <si>
    <t>651912790亿</t>
  </si>
  <si>
    <t>2400204500亿</t>
  </si>
  <si>
    <t>-1.29亿</t>
  </si>
  <si>
    <t>-2.14亿</t>
  </si>
  <si>
    <t>智明达</t>
  </si>
  <si>
    <t>-4-0</t>
  </si>
  <si>
    <t>鸿远电子</t>
  </si>
  <si>
    <r>
      <t>1.公司主要从事毫米波微系统的研发、制造、测试及销售，产品目前主要应用于雷达、通信等领域，产品技术性能处于行业先进水平。公司的客户主要为</t>
    </r>
    <r>
      <rPr>
        <sz val="9"/>
        <color rgb="FFFF0000"/>
        <rFont val="宋体"/>
        <family val="3"/>
        <charset val="134"/>
        <scheme val="minor"/>
      </rPr>
      <t>国内各大工业集团下属科研院所和总体单位</t>
    </r>
    <r>
      <rPr>
        <sz val="9"/>
        <color theme="1"/>
        <rFont val="宋体"/>
        <family val="2"/>
        <charset val="134"/>
        <scheme val="minor"/>
      </rPr>
      <t>。2.</t>
    </r>
    <r>
      <rPr>
        <b/>
        <sz val="9"/>
        <color rgb="FFFF0000"/>
        <rFont val="宋体"/>
        <family val="3"/>
        <charset val="134"/>
        <scheme val="minor"/>
      </rPr>
      <t>陈发树</t>
    </r>
    <r>
      <rPr>
        <sz val="9"/>
        <color theme="1"/>
        <rFont val="宋体"/>
        <family val="2"/>
        <charset val="134"/>
        <scheme val="minor"/>
      </rPr>
      <t>进入10大股东；3.在专用通信数据链领域内，</t>
    </r>
    <r>
      <rPr>
        <sz val="9"/>
        <color rgb="FFFF0000"/>
        <rFont val="宋体"/>
        <family val="3"/>
        <charset val="134"/>
        <scheme val="minor"/>
      </rPr>
      <t>行业壁垒高</t>
    </r>
    <r>
      <rPr>
        <sz val="9"/>
        <color theme="1"/>
        <rFont val="宋体"/>
        <family val="2"/>
        <charset val="134"/>
        <scheme val="minor"/>
      </rPr>
      <t>，民营企业较难涉足，竞争对手主要为国内各大军工集团，公司是国内少数能够提供宇航级通信数据链产品的企业之一，具有一定的技术领先优势。4.毫米波有源相控阵还是一项典型的通信基础技术，公司作为领域内优势民营企业之一，运作机制高效，当前公司正积极推进多应用领域产品协同发展战略，</t>
    </r>
    <r>
      <rPr>
        <sz val="9"/>
        <color rgb="FFFF0000"/>
        <rFont val="宋体"/>
        <family val="3"/>
        <charset val="134"/>
        <scheme val="minor"/>
      </rPr>
      <t>逐步将专用产品研制的经验和技术积累运用于通用产品市场</t>
    </r>
    <r>
      <rPr>
        <sz val="9"/>
        <color theme="1"/>
        <rFont val="宋体"/>
        <family val="2"/>
        <charset val="134"/>
        <scheme val="minor"/>
      </rPr>
      <t>，布局5G通信、天基互联网、智慧交通等领域。5.毫米波有源相控阵技术是目前最前沿技术之一，用于精确制导效率高；毫米波由于其波长短、频带宽，可有效地解决 高速宽带无线接入面临的许多问题，有着广泛的应 用前景。</t>
    </r>
    <phoneticPr fontId="1" type="noConversion"/>
  </si>
  <si>
    <r>
      <t>1.</t>
    </r>
    <r>
      <rPr>
        <b/>
        <sz val="9"/>
        <color rgb="FFFF0000"/>
        <rFont val="宋体"/>
        <family val="3"/>
        <charset val="134"/>
        <scheme val="minor"/>
      </rPr>
      <t>前2大客户占比97%</t>
    </r>
    <r>
      <rPr>
        <sz val="9"/>
        <color theme="1"/>
        <rFont val="宋体"/>
        <family val="2"/>
        <charset val="134"/>
        <scheme val="minor"/>
      </rPr>
      <t>，太高了；2.军工类型注意持续度；3.暂无民用场景规划，重点还是毫米波在军工的精确制导为主要方向；4.竞争对手为国内研究所（14所，38所），还有天箭科技；</t>
    </r>
    <phoneticPr fontId="1" type="noConversion"/>
  </si>
  <si>
    <t>2.88亿</t>
  </si>
  <si>
    <t>11.24亿</t>
  </si>
  <si>
    <t>76.79亿</t>
  </si>
  <si>
    <t>3462.39万</t>
  </si>
  <si>
    <t>13.34万</t>
  </si>
  <si>
    <t>13.47亿</t>
  </si>
  <si>
    <t>44.58亿</t>
  </si>
  <si>
    <t>-3.31亿</t>
  </si>
  <si>
    <t>-3951.39万</t>
  </si>
  <si>
    <t>42.25亿</t>
  </si>
  <si>
    <t>42.47亿</t>
  </si>
  <si>
    <t>6.51亿</t>
  </si>
  <si>
    <t>144.70亿</t>
  </si>
  <si>
    <t>5.32亿</t>
  </si>
  <si>
    <t>8071.68万</t>
  </si>
  <si>
    <t>101.82万</t>
  </si>
  <si>
    <t>26.05亿</t>
  </si>
  <si>
    <t>4.67亿</t>
  </si>
  <si>
    <t>21.34亿</t>
  </si>
  <si>
    <t>-1789.95万</t>
  </si>
  <si>
    <t>3557.10万</t>
  </si>
  <si>
    <t>1215.96万</t>
  </si>
  <si>
    <t>216.71万</t>
  </si>
  <si>
    <t>752.76万</t>
  </si>
  <si>
    <t>2.60万</t>
  </si>
  <si>
    <t>3237.77万</t>
  </si>
  <si>
    <t>3358.06万</t>
  </si>
  <si>
    <t>2093.19万</t>
  </si>
  <si>
    <t>2666.49万</t>
  </si>
  <si>
    <t>-8233.45万</t>
  </si>
  <si>
    <t>-3268.57万</t>
  </si>
  <si>
    <t>75.44亿</t>
  </si>
  <si>
    <t>9.63亿</t>
  </si>
  <si>
    <t>3619.78万</t>
  </si>
  <si>
    <t>57.65万</t>
  </si>
  <si>
    <t>29.69亿</t>
  </si>
  <si>
    <t>13.00亿</t>
  </si>
  <si>
    <t>11.13亿</t>
  </si>
  <si>
    <t>18.08亿</t>
  </si>
  <si>
    <t>137.04万</t>
  </si>
  <si>
    <t>-3.67亿</t>
  </si>
  <si>
    <t>-6542.55万</t>
  </si>
  <si>
    <t>-355.23万</t>
  </si>
  <si>
    <t>56.23亿</t>
  </si>
  <si>
    <t>3465.31万</t>
  </si>
  <si>
    <t>8320.49万</t>
  </si>
  <si>
    <t>84.36万</t>
  </si>
  <si>
    <t>7.42亿</t>
  </si>
  <si>
    <t>3480.48万</t>
  </si>
  <si>
    <t>39.69万</t>
  </si>
  <si>
    <t>8310.85万</t>
  </si>
  <si>
    <t>-1.04亿</t>
  </si>
  <si>
    <t>-4.37亿</t>
  </si>
  <si>
    <t>5318.78万</t>
  </si>
  <si>
    <t>230.92亿</t>
  </si>
  <si>
    <t>31.48亿</t>
  </si>
  <si>
    <t>25.86亿</t>
  </si>
  <si>
    <t>7335.25万</t>
  </si>
  <si>
    <t>1354.32万</t>
  </si>
  <si>
    <t>90.30亿</t>
  </si>
  <si>
    <t>40.67亿</t>
  </si>
  <si>
    <t>51.33亿</t>
  </si>
  <si>
    <t>115.28亿</t>
  </si>
  <si>
    <t>-1.45亿</t>
  </si>
  <si>
    <t>-3.35亿</t>
  </si>
  <si>
    <t>-4.03亿</t>
  </si>
  <si>
    <t>11.52亿</t>
  </si>
  <si>
    <t>3.96亿</t>
  </si>
  <si>
    <t>956.79万</t>
  </si>
  <si>
    <t>3182.28万</t>
  </si>
  <si>
    <t>18.53万</t>
  </si>
  <si>
    <t>4563.94万</t>
  </si>
  <si>
    <t>6019.59万</t>
  </si>
  <si>
    <t>957.07万</t>
  </si>
  <si>
    <t>6.34亿</t>
  </si>
  <si>
    <t>18.64亿</t>
  </si>
  <si>
    <t>-7486.46万</t>
  </si>
  <si>
    <t>-3418.08万</t>
  </si>
  <si>
    <t>1355.53万</t>
  </si>
  <si>
    <t>8672.36万</t>
  </si>
  <si>
    <t>2071.77万</t>
  </si>
  <si>
    <t>1025.64万</t>
  </si>
  <si>
    <t>1793.12万</t>
  </si>
  <si>
    <t>2.76万</t>
  </si>
  <si>
    <t>1088.15万</t>
  </si>
  <si>
    <t>8262.90万</t>
  </si>
  <si>
    <t>3386.97万</t>
  </si>
  <si>
    <t>-4987.49万</t>
  </si>
  <si>
    <t>-2805.00万</t>
  </si>
  <si>
    <t>7206.61万</t>
  </si>
  <si>
    <t>10派0.500613元(含税)</t>
  </si>
  <si>
    <t>231.85万</t>
  </si>
  <si>
    <t>535.03万</t>
  </si>
  <si>
    <t>4308.89万</t>
  </si>
  <si>
    <t>1096.81万</t>
  </si>
  <si>
    <t>1438.32万</t>
  </si>
  <si>
    <t>638.23万</t>
  </si>
  <si>
    <t>-4062.72万</t>
  </si>
  <si>
    <t>2585.51万</t>
  </si>
  <si>
    <t>-730.02万</t>
  </si>
  <si>
    <t>14.89亿</t>
  </si>
  <si>
    <t>745.28万</t>
  </si>
  <si>
    <t>2029.41万</t>
  </si>
  <si>
    <t>1896.81万</t>
  </si>
  <si>
    <t>8581.31万</t>
  </si>
  <si>
    <t>47.40万</t>
  </si>
  <si>
    <t>5009.86万</t>
  </si>
  <si>
    <t>-6376.43万</t>
  </si>
  <si>
    <t>-3935.58万</t>
  </si>
  <si>
    <t>-4886.54万</t>
  </si>
  <si>
    <t>19.11亿</t>
  </si>
  <si>
    <t>3311.63万</t>
  </si>
  <si>
    <t>7450.14万</t>
  </si>
  <si>
    <t>47.77万</t>
  </si>
  <si>
    <t>564.15万</t>
  </si>
  <si>
    <t>145.39万</t>
  </si>
  <si>
    <t>4.15亿</t>
  </si>
  <si>
    <t>833.49万</t>
  </si>
  <si>
    <t>-19.39万</t>
  </si>
  <si>
    <t>-8106.25万</t>
  </si>
  <si>
    <t>1105.44万</t>
  </si>
  <si>
    <t>4506.58万</t>
  </si>
  <si>
    <t>9.02万</t>
  </si>
  <si>
    <t>6391.89万</t>
  </si>
  <si>
    <t>5.65亿</t>
  </si>
  <si>
    <t>73.25万</t>
  </si>
  <si>
    <t>10.67亿</t>
  </si>
  <si>
    <t>2622.86万</t>
  </si>
  <si>
    <t>-7388.42万</t>
  </si>
  <si>
    <t>68.06亿</t>
  </si>
  <si>
    <t>2706.58万</t>
  </si>
  <si>
    <t>6370.50万</t>
  </si>
  <si>
    <t>16.86万</t>
  </si>
  <si>
    <t>11.77亿</t>
  </si>
  <si>
    <t>2307.73万</t>
  </si>
  <si>
    <t>6.00亿</t>
  </si>
  <si>
    <t>4343.58万</t>
  </si>
  <si>
    <t>3.72亿</t>
  </si>
  <si>
    <t>16.11亿</t>
  </si>
  <si>
    <t>-2.06亿</t>
  </si>
  <si>
    <t>-2.42亿</t>
  </si>
  <si>
    <t>5.80亿</t>
  </si>
  <si>
    <t>32.44亿</t>
  </si>
  <si>
    <t>955.17万</t>
  </si>
  <si>
    <t>2543.72万</t>
  </si>
  <si>
    <t>15.75万</t>
  </si>
  <si>
    <t>8.13亿</t>
  </si>
  <si>
    <t>-1617.07万</t>
  </si>
  <si>
    <t>-9367.28万</t>
  </si>
  <si>
    <t>2960.27万</t>
  </si>
  <si>
    <t>135.42亿</t>
  </si>
  <si>
    <t>11.10亿</t>
  </si>
  <si>
    <t>3329.83万</t>
  </si>
  <si>
    <t>7142.27万</t>
  </si>
  <si>
    <t>30.86万</t>
  </si>
  <si>
    <t>39.12亿</t>
  </si>
  <si>
    <t>17.56亿</t>
  </si>
  <si>
    <t>869.87万</t>
  </si>
  <si>
    <t>51.61亿</t>
  </si>
  <si>
    <t>-5.23亿</t>
  </si>
  <si>
    <t>-5.98亿</t>
  </si>
  <si>
    <t>32.70亿</t>
  </si>
  <si>
    <t>546.01万</t>
  </si>
  <si>
    <t>2343.97万</t>
  </si>
  <si>
    <t>27.70万</t>
  </si>
  <si>
    <t>6456.90万</t>
  </si>
  <si>
    <t>-8697.91万</t>
  </si>
  <si>
    <t>-3.24亿</t>
  </si>
  <si>
    <t>7934.75万</t>
  </si>
  <si>
    <t>1118.43万</t>
  </si>
  <si>
    <t>2265.08万</t>
  </si>
  <si>
    <t>3.79万</t>
  </si>
  <si>
    <t>2346.70万</t>
  </si>
  <si>
    <t>-198.18万</t>
  </si>
  <si>
    <t>11.06亿</t>
  </si>
  <si>
    <t>2048.83万</t>
  </si>
  <si>
    <t>1587.58万</t>
  </si>
  <si>
    <t>18.85万</t>
  </si>
  <si>
    <t>341.14万</t>
  </si>
  <si>
    <t>1523.98万</t>
  </si>
  <si>
    <t>5892.09万</t>
  </si>
  <si>
    <t>-775.20万</t>
  </si>
  <si>
    <t>-124.46万</t>
  </si>
  <si>
    <t>775.29万</t>
  </si>
  <si>
    <t>3380.36万</t>
  </si>
  <si>
    <t>6628.01万</t>
  </si>
  <si>
    <t>7343.66万</t>
  </si>
  <si>
    <t>1644.94万</t>
  </si>
  <si>
    <t>3812.54万</t>
  </si>
  <si>
    <t>-997.16万</t>
  </si>
  <si>
    <t>-48.29万</t>
  </si>
  <si>
    <t>18.96亿</t>
  </si>
  <si>
    <t>5721.21万</t>
  </si>
  <si>
    <t>1176.62万</t>
  </si>
  <si>
    <t>2686.41万</t>
  </si>
  <si>
    <t>7.58万</t>
  </si>
  <si>
    <t>157.98万</t>
  </si>
  <si>
    <t>652.52万</t>
  </si>
  <si>
    <t>-6333.21万</t>
  </si>
  <si>
    <t>-3985.87万</t>
  </si>
  <si>
    <t>235.51万</t>
  </si>
  <si>
    <t>24.47亿</t>
  </si>
  <si>
    <t>2312.62万</t>
  </si>
  <si>
    <t>4420.49万</t>
  </si>
  <si>
    <t>1.11万</t>
  </si>
  <si>
    <t>7169.87万</t>
  </si>
  <si>
    <t>8027.00万</t>
  </si>
  <si>
    <t>26.13万</t>
  </si>
  <si>
    <t>10.69亿</t>
  </si>
  <si>
    <t>-3079.68万</t>
  </si>
  <si>
    <t>-1116.94万</t>
  </si>
  <si>
    <t>26.72亿</t>
  </si>
  <si>
    <t>911.88万</t>
  </si>
  <si>
    <t>3266.05万</t>
  </si>
  <si>
    <t>470.98万</t>
  </si>
  <si>
    <t>5432.99万</t>
  </si>
  <si>
    <t>1505.97万</t>
  </si>
  <si>
    <t>28.68亿</t>
  </si>
  <si>
    <t>-5954.52万</t>
  </si>
  <si>
    <t>-2476.40万</t>
  </si>
  <si>
    <t>-3902.25万</t>
  </si>
  <si>
    <t>7101.54万</t>
  </si>
  <si>
    <t>3850.59万</t>
  </si>
  <si>
    <t>3225.64万</t>
  </si>
  <si>
    <t>31.93万</t>
  </si>
  <si>
    <t>3103.73万</t>
  </si>
  <si>
    <t>6741.82万</t>
  </si>
  <si>
    <t>14.60亿</t>
  </si>
  <si>
    <t>1222.27万</t>
  </si>
  <si>
    <t>-9780.08万</t>
  </si>
  <si>
    <t>1579.49万</t>
  </si>
  <si>
    <t>-115.62万</t>
  </si>
  <si>
    <t>4.98亿</t>
  </si>
  <si>
    <t>2029.46万</t>
  </si>
  <si>
    <t>3299.30万</t>
  </si>
  <si>
    <t>79.06万</t>
  </si>
  <si>
    <t>6506.20万</t>
  </si>
  <si>
    <t>9477.66万</t>
  </si>
  <si>
    <t>13.21亿</t>
  </si>
  <si>
    <t>26.19亿</t>
  </si>
  <si>
    <t>9593.44万</t>
  </si>
  <si>
    <t>613.39万</t>
  </si>
  <si>
    <t>225.23万</t>
  </si>
  <si>
    <t>-1.35亿</t>
  </si>
  <si>
    <t>-5-0</t>
  </si>
  <si>
    <t>8616.19万</t>
  </si>
  <si>
    <t>767.01万</t>
  </si>
  <si>
    <t>1915.88万</t>
  </si>
  <si>
    <t>8.89万</t>
  </si>
  <si>
    <t>2043.97万</t>
  </si>
  <si>
    <t>5325.42万</t>
  </si>
  <si>
    <t>620.81万</t>
  </si>
  <si>
    <t>63.48万</t>
  </si>
  <si>
    <t>4.94亿</t>
  </si>
  <si>
    <t>-2761.58万</t>
  </si>
  <si>
    <t>-4127.70万</t>
  </si>
  <si>
    <t>334.76万</t>
  </si>
  <si>
    <t>20.54亿</t>
  </si>
  <si>
    <t>826.22万</t>
  </si>
  <si>
    <t>2738.82万</t>
  </si>
  <si>
    <t>74.64万</t>
  </si>
  <si>
    <t>1340.11万</t>
  </si>
  <si>
    <t>4890.00万</t>
  </si>
  <si>
    <t>6.80亿</t>
  </si>
  <si>
    <t>-5887.39万</t>
  </si>
  <si>
    <t>-549.00万</t>
  </si>
  <si>
    <t>-70.12万</t>
  </si>
  <si>
    <t>34.28亿</t>
  </si>
  <si>
    <t>4020.26万</t>
  </si>
  <si>
    <t>873.22万</t>
  </si>
  <si>
    <t>2581.98万</t>
  </si>
  <si>
    <t>69.50万</t>
  </si>
  <si>
    <t>-9025.68万</t>
  </si>
  <si>
    <t>-587.76万</t>
  </si>
  <si>
    <t>2231.86万</t>
  </si>
  <si>
    <t>16.95亿</t>
  </si>
  <si>
    <t>7122.86万</t>
  </si>
  <si>
    <t>4755.11万</t>
  </si>
  <si>
    <t>181.55万</t>
  </si>
  <si>
    <t>1081.18万</t>
  </si>
  <si>
    <t>191.64万</t>
  </si>
  <si>
    <t>200.15万</t>
  </si>
  <si>
    <t>1428.72万</t>
  </si>
  <si>
    <t>4415.66万</t>
  </si>
  <si>
    <t>-3585.48万</t>
  </si>
  <si>
    <t>-4090.93万</t>
  </si>
  <si>
    <t>-1572.75万</t>
  </si>
  <si>
    <t>3497.47万</t>
  </si>
  <si>
    <t>3216.01万</t>
  </si>
  <si>
    <t>7.66万</t>
  </si>
  <si>
    <t>1368.36万</t>
  </si>
  <si>
    <t>3805.64万</t>
  </si>
  <si>
    <t>3486.64万</t>
  </si>
  <si>
    <t>-11.77万</t>
  </si>
  <si>
    <t>24.86亿</t>
  </si>
  <si>
    <t>7257.92万</t>
  </si>
  <si>
    <t>2375.29万</t>
  </si>
  <si>
    <t>856.73万</t>
  </si>
  <si>
    <t>1066.73万</t>
  </si>
  <si>
    <t>10.81万</t>
  </si>
  <si>
    <t>14.06亿</t>
  </si>
  <si>
    <t>1210.51万</t>
  </si>
  <si>
    <t>414.94万</t>
  </si>
  <si>
    <t>9.81亿</t>
  </si>
  <si>
    <t>-7976.74万</t>
  </si>
  <si>
    <t>-2501.29万</t>
  </si>
  <si>
    <t>7957.41万</t>
  </si>
  <si>
    <t>26.63亿</t>
  </si>
  <si>
    <t>899.42万</t>
  </si>
  <si>
    <t>3082.10万</t>
  </si>
  <si>
    <t>9.91亿</t>
  </si>
  <si>
    <t>5290.80万</t>
  </si>
  <si>
    <t>2702.89万</t>
  </si>
  <si>
    <t>2568.75万</t>
  </si>
  <si>
    <t>4027.42万</t>
  </si>
  <si>
    <t>1539.17万</t>
  </si>
  <si>
    <t>680.64万</t>
  </si>
  <si>
    <t>102.66万</t>
  </si>
  <si>
    <t>542.33万</t>
  </si>
  <si>
    <t>277.69万</t>
  </si>
  <si>
    <t>1502.42万</t>
  </si>
  <si>
    <t>4129.32万</t>
  </si>
  <si>
    <t>7042.63万</t>
  </si>
  <si>
    <t>-3397.01万</t>
  </si>
  <si>
    <t>-1821.30万</t>
  </si>
  <si>
    <t>1683.23万</t>
  </si>
  <si>
    <t>9269.80万</t>
  </si>
  <si>
    <t>2176.85万</t>
  </si>
  <si>
    <t>1334.68万</t>
  </si>
  <si>
    <t>1656.64万</t>
  </si>
  <si>
    <t>8.16万</t>
  </si>
  <si>
    <t>1128.79万</t>
  </si>
  <si>
    <t>-1.53亿</t>
  </si>
  <si>
    <t>-6.84亿</t>
  </si>
  <si>
    <t>-180.77万</t>
  </si>
  <si>
    <t>13.83亿</t>
  </si>
  <si>
    <t>1306.02万</t>
  </si>
  <si>
    <t>2633.16万</t>
  </si>
  <si>
    <t>1174.78万</t>
  </si>
  <si>
    <t>-1.09亿</t>
  </si>
  <si>
    <t>-135.12万</t>
  </si>
  <si>
    <t>-4917.38万</t>
  </si>
  <si>
    <t>56.88亿</t>
  </si>
  <si>
    <t>1387.41万</t>
  </si>
  <si>
    <t>2524.71万</t>
  </si>
  <si>
    <t>2.56万</t>
  </si>
  <si>
    <t>13.01亿</t>
  </si>
  <si>
    <t>528.28万</t>
  </si>
  <si>
    <t>32.56亿</t>
  </si>
  <si>
    <t>-2.88亿</t>
  </si>
  <si>
    <t>2916.34万</t>
  </si>
  <si>
    <t>-222.89万</t>
  </si>
  <si>
    <t>43.78亿</t>
  </si>
  <si>
    <t>7.05亿</t>
  </si>
  <si>
    <t>3593.86万</t>
  </si>
  <si>
    <t>4362.95万</t>
  </si>
  <si>
    <t>376.13万</t>
  </si>
  <si>
    <t>8881.00万</t>
  </si>
  <si>
    <t>1008.92万</t>
  </si>
  <si>
    <t>10.96亿</t>
  </si>
  <si>
    <t>10.13亿</t>
  </si>
  <si>
    <t>97.68万</t>
  </si>
  <si>
    <t>54.55亿</t>
  </si>
  <si>
    <t>15.27亿</t>
  </si>
  <si>
    <t>3190.73万</t>
  </si>
  <si>
    <t>-5561.38万</t>
  </si>
  <si>
    <t>-2.61亿</t>
  </si>
  <si>
    <t>19.49亿</t>
  </si>
  <si>
    <t>2524.17万</t>
  </si>
  <si>
    <t>4573.61万</t>
  </si>
  <si>
    <t>2.58万</t>
  </si>
  <si>
    <t>3449.44万</t>
  </si>
  <si>
    <t>5749.50万</t>
  </si>
  <si>
    <t>9.19亿</t>
  </si>
  <si>
    <t>491.69万</t>
  </si>
  <si>
    <t>16.93亿</t>
  </si>
  <si>
    <t>-7248.35万</t>
  </si>
  <si>
    <t>-3262.61万</t>
  </si>
  <si>
    <t>-365.28万</t>
  </si>
  <si>
    <t>2076.41万</t>
  </si>
  <si>
    <t>5673.95万</t>
  </si>
  <si>
    <t>152.09万</t>
  </si>
  <si>
    <t>15.91亿</t>
  </si>
  <si>
    <t>32.28亿</t>
  </si>
  <si>
    <t>449.66万</t>
  </si>
  <si>
    <t>-6256.66万</t>
  </si>
  <si>
    <t>42.34亿</t>
  </si>
  <si>
    <t>2298.58万</t>
  </si>
  <si>
    <t>2702.30万</t>
  </si>
  <si>
    <t>4936.22万</t>
  </si>
  <si>
    <t>3054.65万</t>
  </si>
  <si>
    <t>-3759.61万</t>
  </si>
  <si>
    <t>57.21亿</t>
  </si>
  <si>
    <t>5.71亿</t>
  </si>
  <si>
    <t>3437.34万</t>
  </si>
  <si>
    <t>6078.60万</t>
  </si>
  <si>
    <t>1.08万</t>
  </si>
  <si>
    <t>853.79万</t>
  </si>
  <si>
    <t>3.17万</t>
  </si>
  <si>
    <t>-1.21亿</t>
  </si>
  <si>
    <t>47.84亿</t>
  </si>
  <si>
    <t>1622.10万</t>
  </si>
  <si>
    <t>4120.59万</t>
  </si>
  <si>
    <t>832.20万</t>
  </si>
  <si>
    <t>26.85亿</t>
  </si>
  <si>
    <t>38.71亿</t>
  </si>
  <si>
    <t>8.06亿</t>
  </si>
  <si>
    <t>4267.03万</t>
  </si>
  <si>
    <t>-5.43亿</t>
  </si>
  <si>
    <t>4806.19万</t>
  </si>
  <si>
    <t>51.72亿</t>
  </si>
  <si>
    <t>5888.54万</t>
  </si>
  <si>
    <t>9640.17万</t>
  </si>
  <si>
    <t>25.88万</t>
  </si>
  <si>
    <t>9623.13万</t>
  </si>
  <si>
    <t>8.25亿</t>
  </si>
  <si>
    <t>18.82亿</t>
  </si>
  <si>
    <t>-2.65亿</t>
  </si>
  <si>
    <t>3918.15万</t>
  </si>
  <si>
    <t>11.39亿</t>
  </si>
  <si>
    <t>4408.57万</t>
  </si>
  <si>
    <t>1873.48万</t>
  </si>
  <si>
    <t>653.01万</t>
  </si>
  <si>
    <t>1057.67万</t>
  </si>
  <si>
    <t>2.02万</t>
  </si>
  <si>
    <t>1003.24万</t>
  </si>
  <si>
    <t>200.00万</t>
  </si>
  <si>
    <t>123.85万</t>
  </si>
  <si>
    <t>4572.82万</t>
  </si>
  <si>
    <t>120.86万</t>
  </si>
  <si>
    <t>-1140.90万</t>
  </si>
  <si>
    <t>307.14万</t>
  </si>
  <si>
    <t>171.34万</t>
  </si>
  <si>
    <t>17.23亿</t>
  </si>
  <si>
    <t>3293.30万</t>
  </si>
  <si>
    <t>1741.77万</t>
  </si>
  <si>
    <t>312.38万</t>
  </si>
  <si>
    <t>692.22万</t>
  </si>
  <si>
    <t>6265.12万</t>
  </si>
  <si>
    <t>270.08万</t>
  </si>
  <si>
    <t>3182.29万</t>
  </si>
  <si>
    <t>18.13万</t>
  </si>
  <si>
    <t>5482.70万</t>
  </si>
  <si>
    <t>2359.62万</t>
  </si>
  <si>
    <t>-8231.97万</t>
  </si>
  <si>
    <t>-1121.26万</t>
  </si>
  <si>
    <t>5.01亿</t>
  </si>
  <si>
    <t>3462.24万</t>
  </si>
  <si>
    <t>828.57万</t>
  </si>
  <si>
    <t>691.26万</t>
  </si>
  <si>
    <t>1104.47万</t>
  </si>
  <si>
    <t>5511.40万</t>
  </si>
  <si>
    <t>2642.52万</t>
  </si>
  <si>
    <t>4003.90万</t>
  </si>
  <si>
    <t>1119.23万</t>
  </si>
  <si>
    <t>4081.19万</t>
  </si>
  <si>
    <t>14.78万</t>
  </si>
  <si>
    <t>-2534.17万</t>
  </si>
  <si>
    <t>-3161.43万</t>
  </si>
  <si>
    <t>942.60万</t>
  </si>
  <si>
    <t>16.54亿</t>
  </si>
  <si>
    <t>2036.31万</t>
  </si>
  <si>
    <t>526.47万</t>
  </si>
  <si>
    <t>175.87万</t>
  </si>
  <si>
    <t>614.22万</t>
  </si>
  <si>
    <t>5.05亿</t>
  </si>
  <si>
    <t>488.92万</t>
  </si>
  <si>
    <t>4771.83万</t>
  </si>
  <si>
    <t>2194.08万</t>
  </si>
  <si>
    <t>-4134.65万</t>
  </si>
  <si>
    <t>-6.64亿</t>
  </si>
  <si>
    <t>-2813.08万</t>
  </si>
  <si>
    <t>8652.33万</t>
  </si>
  <si>
    <t>5733.56万</t>
  </si>
  <si>
    <t>705.56万</t>
  </si>
  <si>
    <t>1519.36万</t>
  </si>
  <si>
    <t>3.73万</t>
  </si>
  <si>
    <t>681.91万</t>
  </si>
  <si>
    <t>262.47万</t>
  </si>
  <si>
    <t>6100.74万</t>
  </si>
  <si>
    <t>728.60万</t>
  </si>
  <si>
    <t>-2644.24万</t>
  </si>
  <si>
    <t>2764.19万</t>
  </si>
  <si>
    <t>-1447.92万</t>
  </si>
  <si>
    <t>18.69亿</t>
  </si>
  <si>
    <t>5917.49万</t>
  </si>
  <si>
    <t>2316.49万</t>
  </si>
  <si>
    <t>1055.48万</t>
  </si>
  <si>
    <t>1117.13万</t>
  </si>
  <si>
    <t>10.82亿</t>
  </si>
  <si>
    <t>19.10万</t>
  </si>
  <si>
    <t>5709.04万</t>
  </si>
  <si>
    <t>-7290.93万</t>
  </si>
  <si>
    <t>6.24亿</t>
  </si>
  <si>
    <t>富吉瑞</t>
  </si>
  <si>
    <t>6697.18万</t>
  </si>
  <si>
    <t>3727.33万</t>
  </si>
  <si>
    <t>321.84万</t>
  </si>
  <si>
    <t>1051.03万</t>
  </si>
  <si>
    <t>199496340亿</t>
  </si>
  <si>
    <t>3414.03万</t>
  </si>
  <si>
    <t>5103.58万</t>
  </si>
  <si>
    <t>-2913.89万</t>
  </si>
  <si>
    <t>-1550.92万</t>
  </si>
  <si>
    <t>284.22万</t>
  </si>
  <si>
    <t>5956.77万</t>
  </si>
  <si>
    <t>879.45万</t>
  </si>
  <si>
    <t>235.82万</t>
  </si>
  <si>
    <t>2646.71万</t>
  </si>
  <si>
    <t>3141.67万</t>
  </si>
  <si>
    <t>1587.06万</t>
  </si>
  <si>
    <t>-7426.16万</t>
  </si>
  <si>
    <t>-2.79亿</t>
  </si>
  <si>
    <t>-408.18万</t>
  </si>
  <si>
    <t>61.21亿</t>
  </si>
  <si>
    <t>208.32万</t>
  </si>
  <si>
    <t>3371.25万</t>
  </si>
  <si>
    <t>10.50亿</t>
  </si>
  <si>
    <t>6.77亿</t>
  </si>
  <si>
    <t>5085.03万</t>
  </si>
  <si>
    <t>-2.03万</t>
  </si>
  <si>
    <t>49.05亿</t>
  </si>
  <si>
    <t>9905.06万</t>
  </si>
  <si>
    <t>856.37万</t>
  </si>
  <si>
    <t>2400.55万</t>
  </si>
  <si>
    <t>13.86亿</t>
  </si>
  <si>
    <t>5975.97万</t>
  </si>
  <si>
    <t>-9589.12万</t>
  </si>
  <si>
    <t>-265.34万</t>
  </si>
  <si>
    <t>8.65亿</t>
  </si>
  <si>
    <t>2665.49万</t>
  </si>
  <si>
    <t>1351.48万</t>
  </si>
  <si>
    <t>141.53万</t>
  </si>
  <si>
    <t>632.01万</t>
  </si>
  <si>
    <t>4813.61万</t>
  </si>
  <si>
    <t>4491.19万</t>
  </si>
  <si>
    <t>2516.10万</t>
  </si>
  <si>
    <t>734.48万</t>
  </si>
  <si>
    <t>3706.54万</t>
  </si>
  <si>
    <t>7686.81万</t>
  </si>
  <si>
    <t>-1518.35万</t>
  </si>
  <si>
    <t>-8822.25万</t>
  </si>
  <si>
    <t>2687.29万</t>
  </si>
  <si>
    <t>603.22万</t>
  </si>
  <si>
    <t>496.90万</t>
  </si>
  <si>
    <t>579.64万</t>
  </si>
  <si>
    <t>16.37亿</t>
  </si>
  <si>
    <t>4368.32万</t>
  </si>
  <si>
    <t>6004.72万</t>
  </si>
  <si>
    <t>3928.85万</t>
  </si>
  <si>
    <t>-5326.91万</t>
  </si>
  <si>
    <t>-4332.82万</t>
  </si>
  <si>
    <t>-123.07万</t>
  </si>
  <si>
    <t>26.52亿</t>
  </si>
  <si>
    <t>5111.27万</t>
  </si>
  <si>
    <t>2641.07万</t>
  </si>
  <si>
    <t>138.60万</t>
  </si>
  <si>
    <t>1183.92万</t>
  </si>
  <si>
    <t>19.25亿</t>
  </si>
  <si>
    <t>2803.27万</t>
  </si>
  <si>
    <t>2663.96万</t>
  </si>
  <si>
    <t>-5435.38万</t>
  </si>
  <si>
    <t>-128.14万</t>
  </si>
  <si>
    <t>15.33亿</t>
  </si>
  <si>
    <t>633.48万</t>
  </si>
  <si>
    <t>2938.83万</t>
  </si>
  <si>
    <t>1.74万</t>
  </si>
  <si>
    <t>6.94亿</t>
  </si>
  <si>
    <t>7951.04万</t>
  </si>
  <si>
    <t>5931.34万</t>
  </si>
  <si>
    <t>292.35万</t>
  </si>
  <si>
    <t>5.18亿</t>
  </si>
  <si>
    <t>-6666.91万</t>
  </si>
  <si>
    <t>-3484.92万</t>
  </si>
  <si>
    <t>-378.56万</t>
  </si>
  <si>
    <t>10.78亿</t>
  </si>
  <si>
    <t>7205.18万</t>
  </si>
  <si>
    <t>2616.31万</t>
  </si>
  <si>
    <t>696.71万</t>
  </si>
  <si>
    <t>1041.94万</t>
  </si>
  <si>
    <t>3203.54万</t>
  </si>
  <si>
    <t>2.65万</t>
  </si>
  <si>
    <t>6865.84万</t>
  </si>
  <si>
    <t>3370.00万</t>
  </si>
  <si>
    <t>-2409.20万</t>
  </si>
  <si>
    <t>-3960.01万</t>
  </si>
  <si>
    <t>-1237.69万</t>
  </si>
  <si>
    <t>6056.24万</t>
  </si>
  <si>
    <t>4041.71万</t>
  </si>
  <si>
    <t>318.81万</t>
  </si>
  <si>
    <t>702.76万</t>
  </si>
  <si>
    <t>7985.23万</t>
  </si>
  <si>
    <t>235.66万</t>
  </si>
  <si>
    <t>2829.17万</t>
  </si>
  <si>
    <t>385.23万</t>
  </si>
  <si>
    <t>16.06万</t>
  </si>
  <si>
    <t>-6177.62万</t>
  </si>
  <si>
    <t>-3109.16万</t>
  </si>
  <si>
    <t>1062.62万</t>
  </si>
  <si>
    <t>9421.68万</t>
  </si>
  <si>
    <t>428.24万</t>
  </si>
  <si>
    <t>1283.16万</t>
  </si>
  <si>
    <t>9.87亿</t>
  </si>
  <si>
    <t>7554.51万</t>
  </si>
  <si>
    <t>8216.27万</t>
  </si>
  <si>
    <t>3837.00万</t>
  </si>
  <si>
    <t>3174.85万</t>
  </si>
  <si>
    <t>-2474.89万</t>
  </si>
  <si>
    <t>23.74亿</t>
  </si>
  <si>
    <t>9292.50万</t>
  </si>
  <si>
    <t>786.41万</t>
  </si>
  <si>
    <t>496.05万</t>
  </si>
  <si>
    <t>1410.05万</t>
  </si>
  <si>
    <t>5687.93万</t>
  </si>
  <si>
    <t>1136.89万</t>
  </si>
  <si>
    <t>54.22万</t>
  </si>
  <si>
    <t>6068.39万</t>
  </si>
  <si>
    <t>-2603.58万</t>
  </si>
  <si>
    <t>-503.32万</t>
  </si>
  <si>
    <t>235.64万</t>
  </si>
  <si>
    <t>2824.32万</t>
  </si>
  <si>
    <t>1.38亿</t>
  </si>
  <si>
    <t>851.74万</t>
  </si>
  <si>
    <t>3856.67万</t>
  </si>
  <si>
    <t>718.03万</t>
  </si>
  <si>
    <t>3793.96万</t>
  </si>
  <si>
    <t>1.23亿</t>
  </si>
  <si>
    <t>667.22万</t>
  </si>
  <si>
    <t>2454.88万</t>
  </si>
  <si>
    <t>1201.99万</t>
  </si>
  <si>
    <t>5605.11万</t>
  </si>
  <si>
    <t>1586.52万</t>
  </si>
  <si>
    <t>6198.44万</t>
  </si>
  <si>
    <t>548.92万</t>
  </si>
  <si>
    <t>2428.21万</t>
  </si>
  <si>
    <t>564.76万</t>
  </si>
  <si>
    <t>3626.02万</t>
  </si>
  <si>
    <t>1466.53万</t>
  </si>
  <si>
    <t>8112.66万</t>
  </si>
  <si>
    <t>760.52万</t>
  </si>
  <si>
    <t>4402.05万</t>
  </si>
  <si>
    <t>4109.86万</t>
  </si>
  <si>
    <t>3924.03万</t>
  </si>
  <si>
    <t>4.77亿</t>
  </si>
  <si>
    <t>4373.11万</t>
  </si>
  <si>
    <t>3140.84万</t>
  </si>
  <si>
    <t>7.40亿</t>
  </si>
  <si>
    <t>-3-0</t>
  </si>
  <si>
    <t>3192.20万</t>
  </si>
  <si>
    <t>5.81亿</t>
  </si>
  <si>
    <t>5375.42万</t>
  </si>
  <si>
    <t>9.61亿</t>
  </si>
  <si>
    <t>4905.03万</t>
  </si>
  <si>
    <t>865.65万</t>
  </si>
  <si>
    <t>2627.51万</t>
  </si>
  <si>
    <t>1.48亿</t>
  </si>
  <si>
    <t>1014.83万</t>
  </si>
  <si>
    <t>3858.84万</t>
  </si>
  <si>
    <t>4167.54万</t>
  </si>
  <si>
    <t>7.24亿</t>
  </si>
  <si>
    <t>6-0</t>
  </si>
  <si>
    <t>1337.13万</t>
  </si>
  <si>
    <t>6318.03万</t>
  </si>
  <si>
    <t>2.53亿</t>
  </si>
  <si>
    <t>1113.93万</t>
  </si>
  <si>
    <t>5827.05万</t>
  </si>
  <si>
    <t>4.70亿</t>
  </si>
  <si>
    <t>7605.15万</t>
  </si>
  <si>
    <t>8.82亿</t>
  </si>
  <si>
    <t>23.86亿</t>
  </si>
  <si>
    <t>5060.39万</t>
  </si>
  <si>
    <t>7.83亿</t>
  </si>
  <si>
    <t>2580.12万</t>
  </si>
  <si>
    <t>8939.97万</t>
  </si>
  <si>
    <t>3.29亿</t>
  </si>
  <si>
    <t>1163.40万</t>
  </si>
  <si>
    <t>5764.15万</t>
  </si>
  <si>
    <t>848.30万</t>
  </si>
  <si>
    <t>3881.37万</t>
  </si>
  <si>
    <t>606.88万</t>
  </si>
  <si>
    <t>2940.41万</t>
  </si>
  <si>
    <t>536.01万</t>
  </si>
  <si>
    <t>2609.93万</t>
  </si>
  <si>
    <t>6277.72万</t>
  </si>
  <si>
    <t>3.19亿</t>
  </si>
  <si>
    <t>10.75亿</t>
  </si>
  <si>
    <t>639.54万</t>
  </si>
  <si>
    <t>8955.29万</t>
  </si>
  <si>
    <t>2237.71万</t>
  </si>
  <si>
    <t>9535.03万</t>
  </si>
  <si>
    <t>507.58万</t>
  </si>
  <si>
    <t>950.82万</t>
  </si>
  <si>
    <t>142.79万</t>
  </si>
  <si>
    <t>2864.19万</t>
  </si>
  <si>
    <t>9182.57万</t>
  </si>
  <si>
    <t>374.27万</t>
  </si>
  <si>
    <t>1924.46万</t>
  </si>
  <si>
    <t>-5399.08万</t>
  </si>
  <si>
    <t>1505.01万</t>
  </si>
  <si>
    <t>7581.92万</t>
  </si>
  <si>
    <t>613.77万</t>
  </si>
  <si>
    <t>1141.84万</t>
  </si>
  <si>
    <t>3442.49万</t>
  </si>
  <si>
    <t>1280.58万</t>
  </si>
  <si>
    <t>5.72亿</t>
  </si>
  <si>
    <t>4148.66万</t>
  </si>
  <si>
    <t>1039.96万</t>
  </si>
  <si>
    <t>6282.18万</t>
  </si>
  <si>
    <t>4259.09万</t>
  </si>
  <si>
    <t>0169027800</t>
  </si>
  <si>
    <t>0338055600</t>
  </si>
  <si>
    <t>0563426000</t>
  </si>
  <si>
    <t>01126852000</t>
  </si>
  <si>
    <t>602.18万</t>
  </si>
  <si>
    <t>-4452.29万</t>
  </si>
  <si>
    <t>7388.43万</t>
  </si>
  <si>
    <t>2260.75万</t>
  </si>
  <si>
    <t>-6984.82万</t>
  </si>
  <si>
    <t>6541.04万</t>
  </si>
  <si>
    <t>1361.48万</t>
  </si>
  <si>
    <t>6716.46万</t>
  </si>
  <si>
    <t>2.13亿</t>
  </si>
  <si>
    <t>1066.75万</t>
  </si>
  <si>
    <t>6.42亿</t>
  </si>
  <si>
    <t>1.26亿</t>
  </si>
  <si>
    <t>3684.28万</t>
  </si>
  <si>
    <t>1288.94万</t>
  </si>
  <si>
    <t>2497.57万</t>
  </si>
  <si>
    <t>5759.31万</t>
  </si>
  <si>
    <t>536.81万</t>
  </si>
  <si>
    <t>7.90亿</t>
  </si>
  <si>
    <t>8159.69万</t>
  </si>
  <si>
    <t>3026.47万</t>
  </si>
  <si>
    <t>105.41万</t>
  </si>
  <si>
    <t>2813.13万</t>
  </si>
  <si>
    <t>-673.08万</t>
  </si>
  <si>
    <t>397.39万</t>
  </si>
  <si>
    <t>2217.03万</t>
  </si>
  <si>
    <t>221.53万</t>
  </si>
  <si>
    <t>6371.94万</t>
  </si>
  <si>
    <t>2341.34万</t>
  </si>
  <si>
    <t>931.71万</t>
  </si>
  <si>
    <t>4621.56万</t>
  </si>
  <si>
    <t>122.23万</t>
  </si>
  <si>
    <t>4306.70万</t>
  </si>
  <si>
    <t>5.96万</t>
  </si>
  <si>
    <t>697.40万</t>
  </si>
  <si>
    <t>3266.33万</t>
  </si>
  <si>
    <t>97.06万</t>
  </si>
  <si>
    <t>1600994400亿</t>
  </si>
  <si>
    <t>1360.13万</t>
  </si>
  <si>
    <t>-1040.60万</t>
  </si>
  <si>
    <t>304.83万</t>
  </si>
  <si>
    <t>966.35万</t>
  </si>
  <si>
    <t>4-1</t>
  </si>
  <si>
    <t>124.74万</t>
  </si>
  <si>
    <t>5672.95万</t>
  </si>
  <si>
    <t>1177.33万</t>
  </si>
  <si>
    <t>361.29万</t>
  </si>
  <si>
    <t>2070.14万</t>
  </si>
  <si>
    <t>86.52万</t>
  </si>
  <si>
    <t>1966.43万</t>
  </si>
  <si>
    <t>-1051.53万</t>
  </si>
  <si>
    <t>375.99万</t>
  </si>
  <si>
    <t>3246.80万</t>
  </si>
  <si>
    <t>104.74万</t>
  </si>
  <si>
    <t>3090.64万</t>
  </si>
  <si>
    <t>-1913.01万</t>
  </si>
  <si>
    <t>393.29万</t>
  </si>
  <si>
    <t>1879.22万</t>
  </si>
  <si>
    <t>-7-0</t>
  </si>
  <si>
    <t>833.14万</t>
  </si>
  <si>
    <t>4131.65万</t>
  </si>
  <si>
    <t>-1948.90万</t>
  </si>
  <si>
    <t>3435.65万</t>
  </si>
  <si>
    <t>143.88万</t>
  </si>
  <si>
    <t>532.56万</t>
  </si>
  <si>
    <t>2430.18万</t>
  </si>
  <si>
    <t>-6-0</t>
  </si>
  <si>
    <t>220.68万</t>
  </si>
  <si>
    <t>886.51万</t>
  </si>
  <si>
    <t>6279.00万</t>
  </si>
  <si>
    <t>183.16万</t>
  </si>
  <si>
    <t>4131.37万</t>
  </si>
  <si>
    <t>1751.41万</t>
  </si>
  <si>
    <t>728.10万</t>
  </si>
  <si>
    <t>4175.60万</t>
  </si>
  <si>
    <t>328.29万</t>
  </si>
  <si>
    <t>3512.05万</t>
  </si>
  <si>
    <t>848.03万</t>
  </si>
  <si>
    <t>1593.49万</t>
  </si>
  <si>
    <t>9133.64万</t>
  </si>
  <si>
    <t>694.70万</t>
  </si>
  <si>
    <t>5088.75万</t>
  </si>
  <si>
    <t>-1707.46万</t>
  </si>
  <si>
    <t>1531.66万</t>
  </si>
  <si>
    <t>4621.68万</t>
  </si>
  <si>
    <t>583.00万</t>
  </si>
  <si>
    <t>1166.21万</t>
  </si>
  <si>
    <t>4003.99万</t>
  </si>
  <si>
    <t>582.38万</t>
  </si>
  <si>
    <t>6840.79万</t>
  </si>
  <si>
    <t>-130.63万</t>
  </si>
  <si>
    <t>2575.03万</t>
  </si>
  <si>
    <t>8442.32万</t>
  </si>
  <si>
    <t>12-0</t>
  </si>
  <si>
    <t>328.82万</t>
  </si>
  <si>
    <t>7618.30万</t>
  </si>
  <si>
    <t>419.01万</t>
  </si>
  <si>
    <t>1722.58万</t>
  </si>
  <si>
    <t>3390.47万</t>
  </si>
  <si>
    <t>113.96万</t>
  </si>
  <si>
    <t>2044.51万</t>
  </si>
  <si>
    <t>615.45万</t>
  </si>
  <si>
    <t>2824.56万</t>
  </si>
  <si>
    <t>65.89万</t>
  </si>
  <si>
    <t>1140.50万</t>
  </si>
  <si>
    <t>-5388.90万</t>
  </si>
  <si>
    <t>290.93万</t>
  </si>
  <si>
    <t>1348.91万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</si>
</sst>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9"/>
      <name val="宋体"/>
      <family val="3"/>
      <charset val="134"/>
      <scheme val="minor"/>
    </font>
    <font>
      <sz val="9"/>
      <color theme="1"/>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pplyAlignment="1">
      <alignment vertical="center" wrapText="1"/>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279400</xdr:colOff>
          <xdr:row>0</xdr:row>
          <xdr:rowOff>50800</xdr:rowOff>
        </xdr:from>
        <xdr:to>
          <xdr:col>147</xdr:col>
          <xdr:colOff>1365250</xdr:colOff>
          <xdr:row>0</xdr:row>
          <xdr:rowOff>406400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62"/>
  <sheetViews>
    <sheetView tabSelected="1" zoomScale="85" zoomScaleNormal="85" workbookViewId="0">
      <pane xSplit="5" ySplit="1" topLeftCell="F2" activePane="bottomRight" state="frozen"/>
      <selection pane="topRight" activeCell="F1" sqref="F1"/>
      <selection pane="bottomLeft" activeCell="A2" sqref="A2"/>
      <selection pane="bottomRight" activeCell="A38" sqref="A38:XFD39"/>
    </sheetView>
  </sheetViews>
  <sheetFormatPr defaultRowHeight="14" x14ac:dyDescent="0.25"/>
  <cols>
    <col min="1" max="1" width="36.453125" customWidth="1"/>
    <col min="2" max="2" width="38.36328125" customWidth="1"/>
    <col min="3" max="3" width="51.6328125" customWidth="1"/>
    <col min="4" max="4" width="8.81640625" style="3"/>
    <col min="148" max="148" width="23.08984375" customWidth="1"/>
  </cols>
  <sheetData>
    <row r="1" spans="1:146" ht="39.5" customHeight="1" x14ac:dyDescent="0.25">
      <c r="A1" s="4" t="s">
        <v>16</v>
      </c>
      <c r="B1" s="5" t="s">
        <v>17</v>
      </c>
      <c r="C1" s="4" t="s">
        <v>18</v>
      </c>
      <c r="D1" t="s">
        <v>19</v>
      </c>
      <c r="E1" t="s">
        <v>563</v>
      </c>
      <c r="F1" t="s">
        <v>3</v>
      </c>
      <c r="G1" t="s">
        <v>512</v>
      </c>
      <c r="H1" t="s">
        <v>643</v>
      </c>
      <c r="I1" t="s">
        <v>20</v>
      </c>
      <c r="J1" t="s">
        <v>21</v>
      </c>
      <c r="K1" t="s">
        <v>4</v>
      </c>
      <c r="L1" t="s">
        <v>22</v>
      </c>
      <c r="M1" t="s">
        <v>23</v>
      </c>
      <c r="N1" t="s">
        <v>24</v>
      </c>
      <c r="O1" t="s">
        <v>25</v>
      </c>
      <c r="P1" t="s">
        <v>580</v>
      </c>
      <c r="Q1" t="s">
        <v>644</v>
      </c>
      <c r="R1" t="s">
        <v>564</v>
      </c>
      <c r="S1" t="s">
        <v>26</v>
      </c>
      <c r="T1" t="s">
        <v>645</v>
      </c>
      <c r="U1" t="s">
        <v>513</v>
      </c>
      <c r="V1" t="s">
        <v>27</v>
      </c>
      <c r="W1" t="s">
        <v>646</v>
      </c>
      <c r="X1" t="s">
        <v>647</v>
      </c>
      <c r="Y1" t="s">
        <v>648</v>
      </c>
      <c r="Z1" t="s">
        <v>649</v>
      </c>
      <c r="AA1" t="s">
        <v>650</v>
      </c>
      <c r="AB1" t="s">
        <v>581</v>
      </c>
      <c r="AC1" t="s">
        <v>651</v>
      </c>
      <c r="AD1" t="s">
        <v>582</v>
      </c>
      <c r="AE1" t="s">
        <v>28</v>
      </c>
      <c r="AF1" t="s">
        <v>29</v>
      </c>
      <c r="AG1" t="s">
        <v>583</v>
      </c>
      <c r="AH1" t="s">
        <v>565</v>
      </c>
      <c r="AI1" t="s">
        <v>584</v>
      </c>
      <c r="AJ1" t="s">
        <v>30</v>
      </c>
      <c r="AK1" t="s">
        <v>585</v>
      </c>
      <c r="AL1" t="s">
        <v>198</v>
      </c>
      <c r="AM1" t="s">
        <v>586</v>
      </c>
      <c r="AN1" t="s">
        <v>587</v>
      </c>
      <c r="AO1" t="s">
        <v>588</v>
      </c>
      <c r="AP1" t="s">
        <v>589</v>
      </c>
      <c r="AQ1" t="s">
        <v>590</v>
      </c>
      <c r="AR1" t="s">
        <v>591</v>
      </c>
      <c r="AS1" t="s">
        <v>592</v>
      </c>
      <c r="AT1" t="s">
        <v>593</v>
      </c>
      <c r="AU1" t="s">
        <v>594</v>
      </c>
      <c r="AV1" t="s">
        <v>595</v>
      </c>
      <c r="AW1" t="s">
        <v>596</v>
      </c>
      <c r="AX1" t="s">
        <v>566</v>
      </c>
      <c r="AY1" t="s">
        <v>199</v>
      </c>
      <c r="AZ1" t="s">
        <v>200</v>
      </c>
      <c r="BA1" t="s">
        <v>516</v>
      </c>
      <c r="BB1" t="s">
        <v>201</v>
      </c>
      <c r="BC1" t="s">
        <v>517</v>
      </c>
      <c r="BD1" t="s">
        <v>202</v>
      </c>
      <c r="BE1" t="s">
        <v>203</v>
      </c>
      <c r="BF1" t="s">
        <v>204</v>
      </c>
      <c r="BG1" t="s">
        <v>205</v>
      </c>
      <c r="BH1" t="s">
        <v>652</v>
      </c>
      <c r="BI1" t="s">
        <v>653</v>
      </c>
      <c r="BJ1" t="s">
        <v>654</v>
      </c>
      <c r="BK1" t="s">
        <v>655</v>
      </c>
      <c r="BL1" t="s">
        <v>656</v>
      </c>
      <c r="BM1" t="s">
        <v>657</v>
      </c>
      <c r="BN1" t="s">
        <v>597</v>
      </c>
      <c r="BO1" t="s">
        <v>658</v>
      </c>
      <c r="BP1" t="s">
        <v>514</v>
      </c>
      <c r="BQ1" t="s">
        <v>206</v>
      </c>
      <c r="BR1" t="s">
        <v>659</v>
      </c>
      <c r="BS1" t="s">
        <v>515</v>
      </c>
      <c r="BT1" t="s">
        <v>207</v>
      </c>
      <c r="BU1" t="s">
        <v>660</v>
      </c>
      <c r="BV1" t="s">
        <v>598</v>
      </c>
      <c r="BW1" t="s">
        <v>387</v>
      </c>
      <c r="BX1" t="s">
        <v>208</v>
      </c>
      <c r="BY1" t="s">
        <v>599</v>
      </c>
      <c r="BZ1" t="s">
        <v>388</v>
      </c>
      <c r="CA1" t="s">
        <v>209</v>
      </c>
      <c r="CB1" t="s">
        <v>661</v>
      </c>
      <c r="CC1" t="s">
        <v>662</v>
      </c>
      <c r="CD1" t="s">
        <v>663</v>
      </c>
      <c r="CE1" t="s">
        <v>664</v>
      </c>
      <c r="CF1" s="1" t="s">
        <v>371</v>
      </c>
      <c r="CG1" s="1" t="s">
        <v>372</v>
      </c>
      <c r="CH1" s="1" t="s">
        <v>373</v>
      </c>
      <c r="CI1" s="1" t="s">
        <v>374</v>
      </c>
      <c r="CJ1" s="1" t="s">
        <v>375</v>
      </c>
      <c r="CK1" s="1" t="s">
        <v>376</v>
      </c>
      <c r="CL1" s="1" t="s">
        <v>377</v>
      </c>
      <c r="CM1" s="1" t="s">
        <v>378</v>
      </c>
      <c r="CN1" s="1" t="s">
        <v>379</v>
      </c>
      <c r="CO1" s="1" t="s">
        <v>380</v>
      </c>
      <c r="CP1" s="1" t="s">
        <v>381</v>
      </c>
      <c r="CQ1" s="1" t="s">
        <v>382</v>
      </c>
      <c r="CR1" s="1" t="s">
        <v>714</v>
      </c>
      <c r="CS1" s="1" t="s">
        <v>715</v>
      </c>
      <c r="CT1" s="1" t="s">
        <v>716</v>
      </c>
      <c r="CU1" s="1" t="s">
        <v>717</v>
      </c>
      <c r="CV1" s="1" t="s">
        <v>718</v>
      </c>
      <c r="CW1" s="1" t="s">
        <v>719</v>
      </c>
      <c r="CX1">
        <v>1</v>
      </c>
      <c r="CY1" t="s">
        <v>720</v>
      </c>
      <c r="CZ1" t="s">
        <v>721</v>
      </c>
      <c r="DA1">
        <v>3</v>
      </c>
      <c r="DB1" t="s">
        <v>722</v>
      </c>
      <c r="DC1" t="s">
        <v>723</v>
      </c>
      <c r="DD1">
        <v>6</v>
      </c>
      <c r="DE1" t="s">
        <v>724</v>
      </c>
      <c r="DF1" t="s">
        <v>725</v>
      </c>
      <c r="DG1">
        <v>10</v>
      </c>
      <c r="DH1" t="s">
        <v>726</v>
      </c>
      <c r="DI1" t="s">
        <v>727</v>
      </c>
      <c r="DJ1">
        <v>20</v>
      </c>
      <c r="DK1" t="s">
        <v>728</v>
      </c>
      <c r="DL1" t="s">
        <v>383</v>
      </c>
      <c r="DM1" t="s">
        <v>384</v>
      </c>
      <c r="DN1" s="2" t="s">
        <v>385</v>
      </c>
      <c r="DO1" t="s">
        <v>729</v>
      </c>
      <c r="DP1" t="s">
        <v>730</v>
      </c>
      <c r="DQ1" s="13" t="s">
        <v>731</v>
      </c>
      <c r="DR1" s="1" t="s">
        <v>732</v>
      </c>
      <c r="DS1" s="1" t="s">
        <v>733</v>
      </c>
      <c r="DT1" t="s">
        <v>734</v>
      </c>
      <c r="DU1" t="s">
        <v>735</v>
      </c>
      <c r="DV1" t="s">
        <v>736</v>
      </c>
      <c r="DW1" t="s">
        <v>737</v>
      </c>
      <c r="DX1" t="s">
        <v>738</v>
      </c>
      <c r="DY1" t="s">
        <v>739</v>
      </c>
      <c r="DZ1" t="s">
        <v>740</v>
      </c>
      <c r="EA1" t="s">
        <v>741</v>
      </c>
      <c r="EB1" t="s">
        <v>742</v>
      </c>
      <c r="EC1" t="s">
        <v>743</v>
      </c>
      <c r="ED1" t="s">
        <v>744</v>
      </c>
      <c r="EE1" t="s">
        <v>745</v>
      </c>
      <c r="EF1" t="s">
        <v>746</v>
      </c>
      <c r="EG1" t="s">
        <v>747</v>
      </c>
      <c r="EH1" t="s">
        <v>748</v>
      </c>
      <c r="EI1" t="s">
        <v>749</v>
      </c>
      <c r="EK1" s="14" t="s">
        <v>750</v>
      </c>
      <c r="EL1" t="s">
        <v>751</v>
      </c>
      <c r="EM1" t="s">
        <v>752</v>
      </c>
      <c r="EN1" t="s">
        <v>753</v>
      </c>
      <c r="EO1" t="s">
        <v>754</v>
      </c>
      <c r="EP1" t="s">
        <v>755</v>
      </c>
    </row>
    <row r="2" spans="1:146" ht="84" x14ac:dyDescent="0.25">
      <c r="A2" s="8"/>
      <c r="B2" s="8"/>
      <c r="C2" s="8" t="str">
        <f>""&amp;CHAR(10)&amp;Basic_Fundamental_Information_Constructure(F2)&amp;CHAR(10)&amp;Basic_Fundamental_Information_Concatenate("")</f>
        <v xml:space="preserve">
市值114.929869亿, 利润-19.50亿; PE; 平均PE111.94; 平均PEG12.76, PB1.72; ROIC3.15%; ROE.3767%; 股利率0%; 毛利14.7767%; 净利-35.13%; 上一年度营收增-47.73%, 利润增-5509.29%; 当季营收增-20.11%, 利润增-173.91%; 过往5年营收增-8.77%, 利润增-1110.11%
Income profile:
</v>
      </c>
      <c r="D2" t="s">
        <v>35</v>
      </c>
      <c r="E2" t="s">
        <v>11</v>
      </c>
      <c r="F2">
        <v>7.19</v>
      </c>
      <c r="G2">
        <v>9.94</v>
      </c>
      <c r="H2" t="s">
        <v>2079</v>
      </c>
      <c r="I2">
        <v>11492986900</v>
      </c>
      <c r="K2">
        <v>1.72</v>
      </c>
      <c r="L2" t="s">
        <v>667</v>
      </c>
      <c r="M2" t="s">
        <v>973</v>
      </c>
      <c r="N2" t="s">
        <v>1461</v>
      </c>
      <c r="O2" t="s">
        <v>974</v>
      </c>
      <c r="P2">
        <v>-20.170000000000002</v>
      </c>
      <c r="Q2" t="s">
        <v>975</v>
      </c>
      <c r="R2">
        <v>-315000000</v>
      </c>
      <c r="S2" s="6">
        <v>-0.5202</v>
      </c>
      <c r="T2" t="s">
        <v>976</v>
      </c>
      <c r="U2">
        <v>1588350700</v>
      </c>
      <c r="V2">
        <v>1598468300</v>
      </c>
      <c r="W2">
        <v>1.66</v>
      </c>
      <c r="X2">
        <v>0.03</v>
      </c>
      <c r="Y2">
        <v>-44.01</v>
      </c>
      <c r="Z2" t="s">
        <v>944</v>
      </c>
      <c r="AA2" t="s">
        <v>1216</v>
      </c>
      <c r="AB2" t="s">
        <v>1462</v>
      </c>
      <c r="AC2" t="s">
        <v>98</v>
      </c>
      <c r="AD2" t="s">
        <v>15</v>
      </c>
      <c r="AE2">
        <v>-1359920</v>
      </c>
      <c r="AF2" t="s">
        <v>977</v>
      </c>
      <c r="AG2" t="s">
        <v>1463</v>
      </c>
      <c r="AH2" t="s">
        <v>978</v>
      </c>
      <c r="AI2" t="s">
        <v>1464</v>
      </c>
      <c r="AJ2" t="s">
        <v>980</v>
      </c>
      <c r="AK2" t="s">
        <v>102</v>
      </c>
      <c r="AL2" t="s">
        <v>981</v>
      </c>
      <c r="AM2" t="s">
        <v>15</v>
      </c>
      <c r="AN2" t="s">
        <v>1217</v>
      </c>
      <c r="AO2" t="s">
        <v>828</v>
      </c>
      <c r="AP2" t="s">
        <v>286</v>
      </c>
      <c r="AQ2" t="s">
        <v>484</v>
      </c>
      <c r="AR2" t="s">
        <v>15</v>
      </c>
      <c r="AS2" t="s">
        <v>1465</v>
      </c>
      <c r="AT2" t="s">
        <v>280</v>
      </c>
      <c r="AU2" t="s">
        <v>1466</v>
      </c>
      <c r="AV2" t="s">
        <v>1467</v>
      </c>
      <c r="AW2" t="s">
        <v>417</v>
      </c>
      <c r="AX2" t="s">
        <v>983</v>
      </c>
      <c r="AY2" t="s">
        <v>1468</v>
      </c>
      <c r="AZ2" t="s">
        <v>1469</v>
      </c>
      <c r="BA2" t="s">
        <v>36</v>
      </c>
      <c r="BB2" t="s">
        <v>212</v>
      </c>
      <c r="BC2" t="s">
        <v>984</v>
      </c>
      <c r="BD2" t="s">
        <v>1470</v>
      </c>
      <c r="BE2" t="s">
        <v>460</v>
      </c>
      <c r="BF2" t="s">
        <v>841</v>
      </c>
      <c r="BG2" t="s">
        <v>670</v>
      </c>
      <c r="BH2" t="s">
        <v>975</v>
      </c>
      <c r="BI2" t="s">
        <v>317</v>
      </c>
      <c r="BJ2" t="s">
        <v>983</v>
      </c>
      <c r="BK2" t="s">
        <v>976</v>
      </c>
      <c r="BL2" t="s">
        <v>985</v>
      </c>
      <c r="BM2" t="s">
        <v>984</v>
      </c>
      <c r="BN2" t="s">
        <v>15</v>
      </c>
      <c r="BO2">
        <v>0.04</v>
      </c>
      <c r="BP2">
        <v>6.26</v>
      </c>
      <c r="BQ2">
        <v>-6.66</v>
      </c>
      <c r="BR2">
        <v>0.41</v>
      </c>
      <c r="BS2">
        <v>7.38</v>
      </c>
      <c r="BT2" t="s">
        <v>781</v>
      </c>
      <c r="BU2" t="s">
        <v>667</v>
      </c>
      <c r="BV2">
        <v>-17.489999999999998</v>
      </c>
      <c r="BW2">
        <v>27.37</v>
      </c>
      <c r="BX2">
        <v>34.450000000000003</v>
      </c>
      <c r="BY2">
        <v>-123.16</v>
      </c>
      <c r="BZ2">
        <v>1.93</v>
      </c>
      <c r="CA2">
        <v>15.84</v>
      </c>
      <c r="CB2">
        <v>21.45</v>
      </c>
      <c r="CC2">
        <v>17.48</v>
      </c>
      <c r="CD2" t="s">
        <v>2080</v>
      </c>
      <c r="CE2" t="s">
        <v>108</v>
      </c>
      <c r="CF2" s="9">
        <v>-0.2011070110701107</v>
      </c>
      <c r="CG2" s="10">
        <v>-1.7391304347826089</v>
      </c>
      <c r="CH2" s="9">
        <v>-0.47727271914482117</v>
      </c>
      <c r="CI2" s="9">
        <v>-0.15644969046115875</v>
      </c>
      <c r="CJ2" s="9">
        <v>-5.1801572553813457E-3</v>
      </c>
      <c r="CK2" s="9">
        <v>5.1497895270586014E-2</v>
      </c>
      <c r="CL2" s="9">
        <v>0.14874859154224396</v>
      </c>
      <c r="CM2" s="10">
        <v>-55.092891693115234</v>
      </c>
      <c r="CN2" s="10">
        <v>-0.94462507963180542</v>
      </c>
      <c r="CO2" s="10">
        <v>-0.16431322693824768</v>
      </c>
      <c r="CP2" s="10">
        <v>0.17319276928901672</v>
      </c>
      <c r="CQ2" s="10">
        <v>0.52293580770492554</v>
      </c>
      <c r="CR2">
        <v>111.93575544546692</v>
      </c>
      <c r="CS2">
        <v>12.758942658800349</v>
      </c>
      <c r="CT2">
        <v>0</v>
      </c>
      <c r="CU2" s="9">
        <v>-8.7731216009706264E-2</v>
      </c>
      <c r="CV2" s="10">
        <v>-11.101140284538269</v>
      </c>
      <c r="CW2">
        <v>0.06</v>
      </c>
      <c r="CX2" t="e">
        <v>#VALUE!</v>
      </c>
      <c r="CY2" t="s">
        <v>568</v>
      </c>
      <c r="CZ2">
        <v>-8.7731216009706264E-2</v>
      </c>
      <c r="DA2" t="e">
        <v>#VALUE!</v>
      </c>
      <c r="DB2" t="s">
        <v>569</v>
      </c>
      <c r="DC2">
        <v>-8.334465520922095E-2</v>
      </c>
      <c r="DD2" t="e">
        <v>#VALUE!</v>
      </c>
      <c r="DE2" t="s">
        <v>569</v>
      </c>
      <c r="DF2">
        <v>-7.7203470088541518E-2</v>
      </c>
      <c r="DG2" t="e">
        <v>#VALUE!</v>
      </c>
      <c r="DH2" t="s">
        <v>569</v>
      </c>
      <c r="DI2">
        <v>-7.018497280776502E-2</v>
      </c>
      <c r="DJ2" t="e">
        <v>#VALUE!</v>
      </c>
      <c r="DK2" t="s">
        <v>569</v>
      </c>
      <c r="DL2">
        <v>-6.1411851206794384E-2</v>
      </c>
      <c r="DM2">
        <v>-1950000000</v>
      </c>
      <c r="DN2">
        <v>-8.7731216009706264E-2</v>
      </c>
      <c r="DO2">
        <v>8798986900</v>
      </c>
      <c r="DP2">
        <v>2694661700</v>
      </c>
      <c r="DQ2">
        <v>129</v>
      </c>
      <c r="DR2">
        <v>-0.11337579506040443</v>
      </c>
      <c r="DS2">
        <v>9.3620098497556601</v>
      </c>
      <c r="DT2" s="11">
        <v>-0.75666666666666671</v>
      </c>
      <c r="DU2">
        <v>-1.8650000000000002</v>
      </c>
      <c r="DV2">
        <v>-2.621666666666667</v>
      </c>
      <c r="DW2">
        <v>5.8149184149184148</v>
      </c>
      <c r="DX2">
        <v>0.56081081081081052</v>
      </c>
      <c r="DY2">
        <v>5.2532854532854536</v>
      </c>
      <c r="DZ2">
        <v>4727</v>
      </c>
      <c r="EA2">
        <v>5.0188922783284573</v>
      </c>
      <c r="EB2">
        <v>5</v>
      </c>
      <c r="EC2">
        <v>8.6332647322439865E-2</v>
      </c>
      <c r="ED2">
        <v>0.27776590877654567</v>
      </c>
      <c r="EE2" s="12">
        <v>1.0703</v>
      </c>
      <c r="EF2">
        <v>2.0196999999999998</v>
      </c>
      <c r="EG2">
        <v>25.310810810810811</v>
      </c>
      <c r="EH2" t="s">
        <v>842</v>
      </c>
      <c r="EI2">
        <v>1</v>
      </c>
      <c r="EJ2">
        <v>0</v>
      </c>
      <c r="EK2" s="14">
        <v>45505</v>
      </c>
      <c r="EL2" s="15">
        <v>-0.34</v>
      </c>
      <c r="EM2" s="15">
        <v>4.9000000000000004</v>
      </c>
      <c r="EN2" s="15">
        <v>2.09</v>
      </c>
      <c r="EO2" s="15">
        <v>1.55</v>
      </c>
      <c r="EP2" s="15">
        <v>9.94</v>
      </c>
    </row>
    <row r="3" spans="1:146" ht="96" x14ac:dyDescent="0.25">
      <c r="A3" s="8"/>
      <c r="B3" s="8"/>
      <c r="C3" s="8" t="str">
        <f>""&amp;CHAR(10)&amp;Basic_Fundamental_Information_Constructure(F3)&amp;CHAR(10)&amp;Basic_Fundamental_Information_Concatenate("")</f>
        <v xml:space="preserve">
市值222.88695亿, 利润26.82亿; PE10.88; 平均PE17.22; 平均PEG1.56, PB1.54; ROIC19.5633%; ROE23.23%; 股利率2.7698%; 毛利60.96%; 净利31.2367%; 上一年度营收增7.18%, 利润增12.55%; 当季营收增-51.76%, 利润增-42.18%; 过往5年营收增11.05%, 利润增63.83%
Income profile:
</v>
      </c>
      <c r="D3" t="s">
        <v>391</v>
      </c>
      <c r="E3" t="s">
        <v>392</v>
      </c>
      <c r="F3">
        <v>40.22</v>
      </c>
      <c r="G3">
        <v>-0.89</v>
      </c>
      <c r="H3" t="s">
        <v>2081</v>
      </c>
      <c r="I3">
        <v>22288695000</v>
      </c>
      <c r="J3">
        <v>10.88</v>
      </c>
      <c r="K3">
        <v>1.54</v>
      </c>
      <c r="L3" t="s">
        <v>667</v>
      </c>
      <c r="M3" t="s">
        <v>939</v>
      </c>
      <c r="N3" t="s">
        <v>1471</v>
      </c>
      <c r="O3" t="s">
        <v>987</v>
      </c>
      <c r="P3">
        <v>-51.75</v>
      </c>
      <c r="Q3" t="s">
        <v>988</v>
      </c>
      <c r="R3">
        <v>425000000</v>
      </c>
      <c r="S3" s="6">
        <v>-0.86129999999999995</v>
      </c>
      <c r="T3" t="s">
        <v>989</v>
      </c>
      <c r="U3">
        <v>553774230</v>
      </c>
      <c r="V3">
        <v>554169430</v>
      </c>
      <c r="W3">
        <v>1.24</v>
      </c>
      <c r="X3">
        <v>0.06</v>
      </c>
      <c r="Y3">
        <v>10.050000000000001</v>
      </c>
      <c r="Z3" t="s">
        <v>485</v>
      </c>
      <c r="AA3" t="s">
        <v>1472</v>
      </c>
      <c r="AB3" t="s">
        <v>1473</v>
      </c>
      <c r="AC3" t="s">
        <v>414</v>
      </c>
      <c r="AD3" t="s">
        <v>15</v>
      </c>
      <c r="AE3">
        <v>7937314</v>
      </c>
      <c r="AF3" t="s">
        <v>990</v>
      </c>
      <c r="AG3" t="s">
        <v>1474</v>
      </c>
      <c r="AH3" t="s">
        <v>991</v>
      </c>
      <c r="AI3" t="s">
        <v>1475</v>
      </c>
      <c r="AJ3" t="s">
        <v>992</v>
      </c>
      <c r="AK3" t="s">
        <v>844</v>
      </c>
      <c r="AL3" t="s">
        <v>993</v>
      </c>
      <c r="AM3" t="s">
        <v>15</v>
      </c>
      <c r="AN3" t="s">
        <v>283</v>
      </c>
      <c r="AO3" t="s">
        <v>1476</v>
      </c>
      <c r="AP3" t="s">
        <v>256</v>
      </c>
      <c r="AQ3" t="s">
        <v>695</v>
      </c>
      <c r="AR3" t="s">
        <v>15</v>
      </c>
      <c r="AS3" t="s">
        <v>1477</v>
      </c>
      <c r="AT3" t="s">
        <v>841</v>
      </c>
      <c r="AU3" t="s">
        <v>64</v>
      </c>
      <c r="AV3" t="s">
        <v>963</v>
      </c>
      <c r="AW3" t="s">
        <v>1478</v>
      </c>
      <c r="AX3" t="s">
        <v>810</v>
      </c>
      <c r="AY3" t="s">
        <v>669</v>
      </c>
      <c r="AZ3" t="s">
        <v>393</v>
      </c>
      <c r="BA3" t="s">
        <v>395</v>
      </c>
      <c r="BB3" t="s">
        <v>288</v>
      </c>
      <c r="BC3" t="s">
        <v>994</v>
      </c>
      <c r="BD3" t="s">
        <v>518</v>
      </c>
      <c r="BE3" t="s">
        <v>394</v>
      </c>
      <c r="BF3" t="s">
        <v>39</v>
      </c>
      <c r="BG3" t="s">
        <v>111</v>
      </c>
      <c r="BH3" t="s">
        <v>988</v>
      </c>
      <c r="BI3" t="s">
        <v>995</v>
      </c>
      <c r="BJ3" t="s">
        <v>810</v>
      </c>
      <c r="BK3" t="s">
        <v>989</v>
      </c>
      <c r="BL3" t="s">
        <v>675</v>
      </c>
      <c r="BM3" t="s">
        <v>994</v>
      </c>
      <c r="BN3">
        <v>15.88</v>
      </c>
      <c r="BO3">
        <v>24.18</v>
      </c>
      <c r="BP3">
        <v>18.63</v>
      </c>
      <c r="BQ3">
        <v>19.559999999999999</v>
      </c>
      <c r="BR3">
        <v>27.83</v>
      </c>
      <c r="BS3">
        <v>22.3</v>
      </c>
      <c r="BT3" t="s">
        <v>996</v>
      </c>
      <c r="BU3" t="s">
        <v>667</v>
      </c>
      <c r="BV3">
        <v>59.34</v>
      </c>
      <c r="BW3">
        <v>62.72</v>
      </c>
      <c r="BX3">
        <v>60.82</v>
      </c>
      <c r="BY3">
        <v>34.450000000000003</v>
      </c>
      <c r="BZ3">
        <v>32.79</v>
      </c>
      <c r="CA3">
        <v>26.47</v>
      </c>
      <c r="CB3">
        <v>3.42</v>
      </c>
      <c r="CC3">
        <v>-8.23</v>
      </c>
      <c r="CD3" t="s">
        <v>2082</v>
      </c>
      <c r="CE3" t="s">
        <v>310</v>
      </c>
      <c r="CF3" s="9">
        <v>-0.51760228353948623</v>
      </c>
      <c r="CG3" s="10">
        <v>-0.42176870748299322</v>
      </c>
      <c r="CH3" s="9">
        <v>7.183162122964859E-2</v>
      </c>
      <c r="CI3" s="9">
        <v>0.284830242395401</v>
      </c>
      <c r="CJ3" s="9">
        <v>0.43189868330955505</v>
      </c>
      <c r="CK3" s="9">
        <v>7.6881170272827148E-2</v>
      </c>
      <c r="CL3" s="9">
        <v>-0.31285125017166138</v>
      </c>
      <c r="CM3" s="10">
        <v>0.12547200918197632</v>
      </c>
      <c r="CN3" s="10">
        <v>0.59825617074966431</v>
      </c>
      <c r="CO3" s="10">
        <v>1.4603961706161499</v>
      </c>
      <c r="CP3" s="10">
        <v>1.0335570573806763</v>
      </c>
      <c r="CQ3" s="10">
        <v>-2.6143791154026985E-2</v>
      </c>
      <c r="CR3">
        <v>17.220212464589235</v>
      </c>
      <c r="CS3">
        <v>1.5581351373072576</v>
      </c>
      <c r="CT3">
        <v>2.7697662854301344</v>
      </c>
      <c r="CU3" s="9">
        <v>0.11051809340715409</v>
      </c>
      <c r="CV3" s="10">
        <v>0.63830752335488794</v>
      </c>
      <c r="CW3">
        <v>0.06</v>
      </c>
      <c r="CX3">
        <v>4.0738174492025232</v>
      </c>
      <c r="CY3">
        <v>2809820308.0358372</v>
      </c>
      <c r="CZ3">
        <v>0.11051809340715409</v>
      </c>
      <c r="DA3">
        <v>1.3084082629852221</v>
      </c>
      <c r="DB3">
        <v>8748565202.3349285</v>
      </c>
      <c r="DC3">
        <v>0.10499218873679637</v>
      </c>
      <c r="DD3">
        <v>0.629227046622998</v>
      </c>
      <c r="DE3">
        <v>18191676695.134659</v>
      </c>
      <c r="DF3">
        <v>9.7255922198295597E-2</v>
      </c>
      <c r="DG3">
        <v>0.36794425549346127</v>
      </c>
      <c r="DH3">
        <v>31109861967.13002</v>
      </c>
      <c r="DI3">
        <v>8.841447472572328E-2</v>
      </c>
      <c r="DJ3">
        <v>0.17914245580579746</v>
      </c>
      <c r="DK3">
        <v>63897164681.101578</v>
      </c>
      <c r="DL3">
        <v>7.7362665385007856E-2</v>
      </c>
      <c r="DM3">
        <v>2682000000</v>
      </c>
      <c r="DN3">
        <v>0.11051809340715409</v>
      </c>
      <c r="DO3">
        <v>11446695000.000002</v>
      </c>
      <c r="DP3">
        <v>11985467000</v>
      </c>
      <c r="DQ3">
        <v>254</v>
      </c>
      <c r="DR3">
        <v>-0.62812037694664036</v>
      </c>
      <c r="DS3">
        <v>-1.0600762308378813</v>
      </c>
      <c r="DT3" s="11">
        <v>-0.25666666666666665</v>
      </c>
      <c r="DU3">
        <v>0.43</v>
      </c>
      <c r="DV3">
        <v>0.17333333333333334</v>
      </c>
      <c r="DW3">
        <v>6.2935622317596565</v>
      </c>
      <c r="DX3">
        <v>0.44204495798319487</v>
      </c>
      <c r="DY3">
        <v>6.0475702795109463</v>
      </c>
      <c r="DZ3">
        <v>1395</v>
      </c>
      <c r="EA3">
        <v>6.0345787877494406</v>
      </c>
      <c r="EB3">
        <v>6</v>
      </c>
      <c r="EC3">
        <v>6.9593698086161115E-2</v>
      </c>
      <c r="ED3">
        <v>0.42947154266520982</v>
      </c>
      <c r="EE3" s="12">
        <v>-2.0794000000000001</v>
      </c>
      <c r="EF3">
        <v>-2.0705</v>
      </c>
      <c r="EG3">
        <v>28.162044957983195</v>
      </c>
      <c r="EH3" t="s">
        <v>883</v>
      </c>
      <c r="EI3">
        <v>0</v>
      </c>
      <c r="EJ3">
        <v>1</v>
      </c>
      <c r="EK3" s="14">
        <v>45505</v>
      </c>
      <c r="EL3" s="15">
        <v>-0.61</v>
      </c>
      <c r="EM3" s="15">
        <v>1.57</v>
      </c>
      <c r="EN3" s="15">
        <v>-0.56000000000000005</v>
      </c>
      <c r="EO3" s="15">
        <v>1.81</v>
      </c>
      <c r="EP3" s="15">
        <v>-0.89</v>
      </c>
    </row>
    <row r="4" spans="1:146" ht="132" x14ac:dyDescent="0.25">
      <c r="A4" s="8"/>
      <c r="B4" s="8"/>
      <c r="C4" s="8" t="str">
        <f>"公司的主营业务是微波毫米波模拟相控阵T/R芯片的研发、生产、销售和技术服务。公司产品主要包含功率放大器芯片、低噪声放大器芯片、模拟波束赋形芯片及相控阵用无源器件等，频率可覆盖L波段至W波段。"&amp;CHAR(10)&amp;Basic_Fundamental_Information_Constructure(F4)&amp;CHAR(10)&amp;Basic_Fundamental_Information_Concatenate("相控阵T/R芯片 1.13亿 98.44% 98.11% 66.03%
研制技术服务 178.30万 1.56% 1.89% 80.54%")</f>
        <v>公司的主营业务是微波毫米波模拟相控阵T/R芯片的研发、生产、销售和技术服务。公司产品主要包含功率放大器芯片、低噪声放大器芯片、模拟波束赋形芯片及相控阵用无源器件等，频率可覆盖L波段至W波段。
市值76.793372亿, 利润7970.79万; PE146; 平均PE84.9; 平均PEG3.53, PB5.41; ROIC14.0333%; ROE14.0367%; 股利率.5398%; 毛利70.1833%; 净利50.4567%; 上一年度营收增3.24%, 利润增-40.07%; 当季营收增-50.72%, 利润增-294.98%; 过往5年营收增24.07%, 利润增35.64%
Income profile:
相控阵T/R芯片 1.13亿 98.44% 98.11% 66.03%
研制技术服务 178.30万 1.56% 1.89% 80.54%</v>
      </c>
      <c r="D4" t="s">
        <v>600</v>
      </c>
      <c r="E4" t="s">
        <v>601</v>
      </c>
      <c r="F4">
        <v>37.049999999999997</v>
      </c>
      <c r="G4">
        <v>3.43</v>
      </c>
      <c r="H4" t="s">
        <v>2083</v>
      </c>
      <c r="I4">
        <v>7679337200</v>
      </c>
      <c r="J4">
        <v>146</v>
      </c>
      <c r="K4">
        <v>5.41</v>
      </c>
      <c r="L4" t="s">
        <v>667</v>
      </c>
      <c r="M4" t="s">
        <v>998</v>
      </c>
      <c r="N4" t="s">
        <v>979</v>
      </c>
      <c r="O4" t="s">
        <v>999</v>
      </c>
      <c r="P4">
        <v>-50.72</v>
      </c>
      <c r="Q4" t="s">
        <v>801</v>
      </c>
      <c r="R4">
        <v>-23800000</v>
      </c>
      <c r="S4" s="6">
        <v>-2.2210000000000001</v>
      </c>
      <c r="T4" t="s">
        <v>1000</v>
      </c>
      <c r="U4">
        <v>101391963</v>
      </c>
      <c r="V4">
        <v>207269560</v>
      </c>
      <c r="W4">
        <v>1.03</v>
      </c>
      <c r="X4">
        <v>0.01</v>
      </c>
      <c r="Y4">
        <v>-75.36</v>
      </c>
      <c r="Z4" t="s">
        <v>1479</v>
      </c>
      <c r="AA4" t="s">
        <v>1480</v>
      </c>
      <c r="AB4" t="s">
        <v>1481</v>
      </c>
      <c r="AC4" t="s">
        <v>1482</v>
      </c>
      <c r="AD4" t="s">
        <v>15</v>
      </c>
      <c r="AE4">
        <v>-1733270</v>
      </c>
      <c r="AF4" t="s">
        <v>66</v>
      </c>
      <c r="AG4" t="s">
        <v>1483</v>
      </c>
      <c r="AH4" t="s">
        <v>1001</v>
      </c>
      <c r="AI4" t="s">
        <v>960</v>
      </c>
      <c r="AJ4" t="s">
        <v>1002</v>
      </c>
      <c r="AK4" t="s">
        <v>1484</v>
      </c>
      <c r="AL4" t="s">
        <v>1003</v>
      </c>
      <c r="AM4" t="s">
        <v>15</v>
      </c>
      <c r="AN4" t="s">
        <v>1485</v>
      </c>
      <c r="AO4" t="s">
        <v>15</v>
      </c>
      <c r="AP4" t="s">
        <v>15</v>
      </c>
      <c r="AQ4" t="s">
        <v>1486</v>
      </c>
      <c r="AR4" t="s">
        <v>15</v>
      </c>
      <c r="AS4" t="s">
        <v>1487</v>
      </c>
      <c r="AT4" t="s">
        <v>15</v>
      </c>
      <c r="AU4" t="s">
        <v>1488</v>
      </c>
      <c r="AV4" t="s">
        <v>1489</v>
      </c>
      <c r="AW4" t="s">
        <v>15</v>
      </c>
      <c r="AX4" t="s">
        <v>302</v>
      </c>
      <c r="AY4" t="s">
        <v>53</v>
      </c>
      <c r="AZ4" t="s">
        <v>34</v>
      </c>
      <c r="BA4" t="s">
        <v>153</v>
      </c>
      <c r="BB4" t="s">
        <v>602</v>
      </c>
      <c r="BC4" t="s">
        <v>153</v>
      </c>
      <c r="BD4" t="s">
        <v>110</v>
      </c>
      <c r="BE4" t="s">
        <v>603</v>
      </c>
      <c r="BF4" t="s">
        <v>604</v>
      </c>
      <c r="BG4" t="s">
        <v>605</v>
      </c>
      <c r="BH4" t="s">
        <v>801</v>
      </c>
      <c r="BI4" t="s">
        <v>1004</v>
      </c>
      <c r="BJ4" t="s">
        <v>302</v>
      </c>
      <c r="BK4" t="s">
        <v>1000</v>
      </c>
      <c r="BL4" t="s">
        <v>1005</v>
      </c>
      <c r="BM4" t="s">
        <v>153</v>
      </c>
      <c r="BN4">
        <v>3.49</v>
      </c>
      <c r="BO4">
        <v>12.75</v>
      </c>
      <c r="BP4">
        <v>25.86</v>
      </c>
      <c r="BQ4">
        <v>3.82</v>
      </c>
      <c r="BR4">
        <v>12.37</v>
      </c>
      <c r="BS4">
        <v>25.92</v>
      </c>
      <c r="BT4" t="s">
        <v>1006</v>
      </c>
      <c r="BU4" t="s">
        <v>667</v>
      </c>
      <c r="BV4">
        <v>62.3</v>
      </c>
      <c r="BW4">
        <v>71.25</v>
      </c>
      <c r="BX4">
        <v>77</v>
      </c>
      <c r="BY4">
        <v>27.74</v>
      </c>
      <c r="BZ4">
        <v>47.79</v>
      </c>
      <c r="CA4">
        <v>75.84</v>
      </c>
      <c r="CB4">
        <v>14.18</v>
      </c>
      <c r="CC4">
        <v>-5.46</v>
      </c>
      <c r="CD4" t="s">
        <v>2084</v>
      </c>
      <c r="CE4" t="s">
        <v>2085</v>
      </c>
      <c r="CF4" s="9">
        <v>-0.50717212093421982</v>
      </c>
      <c r="CG4" s="10">
        <v>-2.9497648812937265</v>
      </c>
      <c r="CH4" s="9">
        <v>3.2374098896980286E-2</v>
      </c>
      <c r="CI4" s="9">
        <v>0.31753554940223694</v>
      </c>
      <c r="CJ4" s="9">
        <v>0.20571428537368774</v>
      </c>
      <c r="CK4" s="9">
        <v>0.31578946113586426</v>
      </c>
      <c r="CL4" s="9">
        <v>0.33202734589576721</v>
      </c>
      <c r="CM4" s="10">
        <v>-0.40069246292114258</v>
      </c>
      <c r="CN4" s="10">
        <v>-0.16875000298023224</v>
      </c>
      <c r="CO4" s="10">
        <v>2.5176742076873779</v>
      </c>
      <c r="CP4" s="10">
        <v>-0.31739959120750427</v>
      </c>
      <c r="CQ4" s="10">
        <v>0.1510741263628006</v>
      </c>
      <c r="CR4">
        <v>84.899021144776384</v>
      </c>
      <c r="CS4">
        <v>3.5273453138653723</v>
      </c>
      <c r="CT4">
        <v>0.53981106612685559</v>
      </c>
      <c r="CU4" s="9">
        <v>0.24068814814090728</v>
      </c>
      <c r="CV4" s="10">
        <v>0.35638125538825988</v>
      </c>
      <c r="CW4">
        <v>0.06</v>
      </c>
      <c r="CX4">
        <v>68.157229411474972</v>
      </c>
      <c r="CY4">
        <v>93294949.852076054</v>
      </c>
      <c r="CZ4">
        <v>0.24068814814090728</v>
      </c>
      <c r="DA4">
        <v>19.649428261757503</v>
      </c>
      <c r="DB4">
        <v>323608667.65653449</v>
      </c>
      <c r="DC4">
        <v>0.22865374073386191</v>
      </c>
      <c r="DD4">
        <v>8.1094060801736596</v>
      </c>
      <c r="DE4">
        <v>784117262.9825722</v>
      </c>
      <c r="DF4">
        <v>0.21180557036399841</v>
      </c>
      <c r="DG4">
        <v>3.9431419127684935</v>
      </c>
      <c r="DH4">
        <v>1612603715.6840539</v>
      </c>
      <c r="DI4">
        <v>0.19255051851272584</v>
      </c>
      <c r="DJ4">
        <v>1.2303411371525543</v>
      </c>
      <c r="DK4">
        <v>5168261962.4637966</v>
      </c>
      <c r="DL4">
        <v>0.16848170369863508</v>
      </c>
      <c r="DM4">
        <v>79707900</v>
      </c>
      <c r="DN4">
        <v>0.24068814814090728</v>
      </c>
      <c r="DO4">
        <v>6358725300</v>
      </c>
      <c r="DP4">
        <v>1066420250</v>
      </c>
      <c r="DQ4">
        <v>465</v>
      </c>
      <c r="DR4">
        <v>-0.74786026907512704</v>
      </c>
      <c r="DS4">
        <v>-3.3061461366819862</v>
      </c>
      <c r="DT4" s="11">
        <v>5.9999999999999908E-2</v>
      </c>
      <c r="DU4">
        <v>-0.86333333333333329</v>
      </c>
      <c r="DV4">
        <v>-0.80333333333333334</v>
      </c>
      <c r="DW4">
        <v>5.3850493653032441</v>
      </c>
      <c r="DX4">
        <v>0.53845203252032503</v>
      </c>
      <c r="DY4">
        <v>5.1187692593484471</v>
      </c>
      <c r="DZ4">
        <v>3404</v>
      </c>
      <c r="EA4">
        <v>5.0396207552720735</v>
      </c>
      <c r="EB4">
        <v>5</v>
      </c>
      <c r="EC4">
        <v>0.18304472687644052</v>
      </c>
      <c r="ED4">
        <v>0.59343012066026479</v>
      </c>
      <c r="EE4" s="12">
        <v>-1.0470999999999999</v>
      </c>
      <c r="EF4">
        <v>-1.0813999999999999</v>
      </c>
      <c r="EG4">
        <v>23.308452032520325</v>
      </c>
      <c r="EH4" t="s">
        <v>809</v>
      </c>
      <c r="EI4">
        <v>1</v>
      </c>
      <c r="EJ4">
        <v>0</v>
      </c>
      <c r="EK4" s="14">
        <v>45505</v>
      </c>
      <c r="EL4" s="15">
        <v>2.5</v>
      </c>
      <c r="EM4" s="15">
        <v>6.07</v>
      </c>
      <c r="EN4" s="15">
        <v>0.99</v>
      </c>
      <c r="EO4" s="15">
        <v>2.2799999999999998</v>
      </c>
      <c r="EP4" s="15">
        <v>3.43</v>
      </c>
    </row>
    <row r="5" spans="1:146" ht="84" x14ac:dyDescent="0.25">
      <c r="A5" s="8"/>
      <c r="B5" s="8"/>
      <c r="C5" s="8" t="str">
        <f>""&amp;CHAR(10)&amp;Basic_Fundamental_Information_Constructure(F5)&amp;CHAR(10)&amp;Basic_Fundamental_Information_Concatenate("")</f>
        <v xml:space="preserve">
市值218.38398亿, 利润7.50亿; PE28.87; 平均PE43.84; 平均PEG2.54, PB3.35; ROIC9.7367%; ROE10.6533%; 股利率.795%; 毛利34.5367%; 净利12.0033%; 上一年度营收增3.16%, 利润增35.14%; 当季营收增-9.48%, 利润增2.5%; 过往5年营收增17.24%, 利润增16.25%
Income profile:
</v>
      </c>
      <c r="D5" t="s">
        <v>60</v>
      </c>
      <c r="E5" t="s">
        <v>61</v>
      </c>
      <c r="F5">
        <v>47.8</v>
      </c>
      <c r="G5">
        <v>-0.25</v>
      </c>
      <c r="H5" t="s">
        <v>2086</v>
      </c>
      <c r="I5">
        <v>21838398000</v>
      </c>
      <c r="J5">
        <v>28.87</v>
      </c>
      <c r="K5">
        <v>3.35</v>
      </c>
      <c r="L5" t="s">
        <v>667</v>
      </c>
      <c r="M5" t="s">
        <v>1007</v>
      </c>
      <c r="N5" t="s">
        <v>1490</v>
      </c>
      <c r="O5" t="s">
        <v>972</v>
      </c>
      <c r="P5">
        <v>-9.4700000000000006</v>
      </c>
      <c r="Q5" t="s">
        <v>1008</v>
      </c>
      <c r="R5">
        <v>225504080</v>
      </c>
      <c r="S5" s="6">
        <v>2.6800000000000001E-2</v>
      </c>
      <c r="T5" t="s">
        <v>946</v>
      </c>
      <c r="U5">
        <v>452561030</v>
      </c>
      <c r="V5">
        <v>456870260</v>
      </c>
      <c r="W5">
        <v>1.51</v>
      </c>
      <c r="X5">
        <v>0.14000000000000001</v>
      </c>
      <c r="Y5">
        <v>15.75</v>
      </c>
      <c r="Z5" t="s">
        <v>1225</v>
      </c>
      <c r="AA5" t="s">
        <v>1491</v>
      </c>
      <c r="AB5" t="s">
        <v>1492</v>
      </c>
      <c r="AC5" t="s">
        <v>257</v>
      </c>
      <c r="AD5" t="s">
        <v>15</v>
      </c>
      <c r="AE5">
        <v>-2608676</v>
      </c>
      <c r="AF5" t="s">
        <v>66</v>
      </c>
      <c r="AG5" t="s">
        <v>1493</v>
      </c>
      <c r="AH5" t="s">
        <v>1009</v>
      </c>
      <c r="AI5" t="s">
        <v>1494</v>
      </c>
      <c r="AJ5" t="s">
        <v>1010</v>
      </c>
      <c r="AK5" t="s">
        <v>1495</v>
      </c>
      <c r="AL5" t="s">
        <v>1011</v>
      </c>
      <c r="AM5" t="s">
        <v>15</v>
      </c>
      <c r="AN5" t="s">
        <v>88</v>
      </c>
      <c r="AO5" t="s">
        <v>816</v>
      </c>
      <c r="AP5" t="s">
        <v>1496</v>
      </c>
      <c r="AQ5" t="s">
        <v>1497</v>
      </c>
      <c r="AR5" t="s">
        <v>1498</v>
      </c>
      <c r="AS5" t="s">
        <v>1280</v>
      </c>
      <c r="AT5" t="s">
        <v>15</v>
      </c>
      <c r="AU5" t="s">
        <v>1499</v>
      </c>
      <c r="AV5" t="s">
        <v>1500</v>
      </c>
      <c r="AW5" t="s">
        <v>1501</v>
      </c>
      <c r="AX5" t="s">
        <v>811</v>
      </c>
      <c r="AY5" t="s">
        <v>813</v>
      </c>
      <c r="AZ5" t="s">
        <v>234</v>
      </c>
      <c r="BA5" t="s">
        <v>62</v>
      </c>
      <c r="BB5" t="s">
        <v>235</v>
      </c>
      <c r="BC5" t="s">
        <v>812</v>
      </c>
      <c r="BD5" t="s">
        <v>306</v>
      </c>
      <c r="BE5" t="s">
        <v>147</v>
      </c>
      <c r="BF5" t="s">
        <v>63</v>
      </c>
      <c r="BG5" t="s">
        <v>236</v>
      </c>
      <c r="BH5" t="s">
        <v>1008</v>
      </c>
      <c r="BI5" t="s">
        <v>1012</v>
      </c>
      <c r="BJ5" t="s">
        <v>811</v>
      </c>
      <c r="BK5" t="s">
        <v>946</v>
      </c>
      <c r="BL5" t="s">
        <v>390</v>
      </c>
      <c r="BM5" t="s">
        <v>812</v>
      </c>
      <c r="BN5">
        <v>9.17</v>
      </c>
      <c r="BO5">
        <v>9.5</v>
      </c>
      <c r="BP5">
        <v>10.54</v>
      </c>
      <c r="BQ5">
        <v>9.94</v>
      </c>
      <c r="BR5">
        <v>10.08</v>
      </c>
      <c r="BS5">
        <v>11.94</v>
      </c>
      <c r="BT5" t="s">
        <v>1013</v>
      </c>
      <c r="BU5" t="s">
        <v>667</v>
      </c>
      <c r="BV5">
        <v>37.99</v>
      </c>
      <c r="BW5">
        <v>33</v>
      </c>
      <c r="BX5">
        <v>32.619999999999997</v>
      </c>
      <c r="BY5">
        <v>13.98</v>
      </c>
      <c r="BZ5">
        <v>10.82</v>
      </c>
      <c r="CA5">
        <v>11.21</v>
      </c>
      <c r="CB5">
        <v>2.66</v>
      </c>
      <c r="CC5">
        <v>0.27</v>
      </c>
      <c r="CD5" t="s">
        <v>2087</v>
      </c>
      <c r="CE5" t="s">
        <v>531</v>
      </c>
      <c r="CF5" s="9">
        <v>-9.4784071789119337E-2</v>
      </c>
      <c r="CG5" s="10">
        <v>2.5018545454545314E-2</v>
      </c>
      <c r="CH5" s="9">
        <v>3.1561482697725296E-2</v>
      </c>
      <c r="CI5" s="9">
        <v>0.16961336135864258</v>
      </c>
      <c r="CJ5" s="9">
        <v>0.22024655342102051</v>
      </c>
      <c r="CK5" s="9">
        <v>0.19354830682277679</v>
      </c>
      <c r="CL5" s="9">
        <v>0.24700081348419189</v>
      </c>
      <c r="CM5" s="10">
        <v>0.35135135054588318</v>
      </c>
      <c r="CN5" s="10">
        <v>0.1349693238735199</v>
      </c>
      <c r="CO5" s="10">
        <v>0.1267281174659729</v>
      </c>
      <c r="CP5" s="10">
        <v>7.9601988196372986E-2</v>
      </c>
      <c r="CQ5" s="10">
        <v>0.11977715790271759</v>
      </c>
      <c r="CR5">
        <v>43.837533623285381</v>
      </c>
      <c r="CS5">
        <v>2.542867343999601</v>
      </c>
      <c r="CT5">
        <v>0.79497907949790791</v>
      </c>
      <c r="CU5" s="9">
        <v>0.1723941035568714</v>
      </c>
      <c r="CV5" s="10">
        <v>0.1624855875968933</v>
      </c>
      <c r="CW5">
        <v>0.06</v>
      </c>
      <c r="CX5">
        <v>21.892549409904923</v>
      </c>
      <c r="CY5">
        <v>829524129.87514496</v>
      </c>
      <c r="CZ5">
        <v>0.1723941035568714</v>
      </c>
      <c r="DA5">
        <v>6.6765951013823734</v>
      </c>
      <c r="DB5">
        <v>2720008885.4032698</v>
      </c>
      <c r="DC5">
        <v>0.16377439837902782</v>
      </c>
      <c r="DD5">
        <v>2.9883758180903897</v>
      </c>
      <c r="DE5">
        <v>6077012767.2913399</v>
      </c>
      <c r="DF5">
        <v>0.15170681113004683</v>
      </c>
      <c r="DG5">
        <v>1.605709164068619</v>
      </c>
      <c r="DH5">
        <v>11309892480.145256</v>
      </c>
      <c r="DI5">
        <v>0.13791528284549712</v>
      </c>
      <c r="DJ5">
        <v>0.64130097959154975</v>
      </c>
      <c r="DK5">
        <v>28318057476.797428</v>
      </c>
      <c r="DL5">
        <v>0.12067587248980997</v>
      </c>
      <c r="DM5">
        <v>750000000</v>
      </c>
      <c r="DN5">
        <v>0.1723941035568714</v>
      </c>
      <c r="DO5">
        <v>18160398000</v>
      </c>
      <c r="DP5">
        <v>6267555400</v>
      </c>
      <c r="DQ5">
        <v>541</v>
      </c>
      <c r="DR5">
        <v>-0.26717817534599075</v>
      </c>
      <c r="DS5">
        <v>-0.13746704214234798</v>
      </c>
      <c r="DT5" s="11">
        <v>5.9999999999999908E-2</v>
      </c>
      <c r="DU5">
        <v>0.16666666666666666</v>
      </c>
      <c r="DV5">
        <v>0.22666666666666657</v>
      </c>
      <c r="DW5">
        <v>4.1015037593984962</v>
      </c>
      <c r="DX5">
        <v>0.54534857142857163</v>
      </c>
      <c r="DY5">
        <v>4.0177985392051561</v>
      </c>
      <c r="DZ5">
        <v>1292</v>
      </c>
      <c r="EA5">
        <v>4.0132966377460599</v>
      </c>
      <c r="EB5">
        <v>4</v>
      </c>
      <c r="EC5">
        <v>5.373254105005653E-2</v>
      </c>
      <c r="ED5">
        <v>0.3064327277507623</v>
      </c>
      <c r="EE5" s="12">
        <v>1.0992</v>
      </c>
      <c r="EF5">
        <v>1.0967</v>
      </c>
      <c r="EG5">
        <v>37.175348571428572</v>
      </c>
      <c r="EH5" t="s">
        <v>567</v>
      </c>
      <c r="EI5">
        <v>0</v>
      </c>
      <c r="EJ5">
        <v>1</v>
      </c>
      <c r="EK5" s="14">
        <v>45505</v>
      </c>
      <c r="EL5" s="15">
        <v>1.22</v>
      </c>
      <c r="EM5" s="15">
        <v>2.96</v>
      </c>
      <c r="EN5" s="15">
        <v>-1.36</v>
      </c>
      <c r="EO5" s="15">
        <v>0.76</v>
      </c>
      <c r="EP5" s="15">
        <v>-0.25</v>
      </c>
    </row>
    <row r="6" spans="1:146" ht="96" x14ac:dyDescent="0.25">
      <c r="A6" s="8"/>
      <c r="B6" s="8"/>
      <c r="C6" s="8" t="str">
        <f>""&amp;CHAR(10)&amp;Basic_Fundamental_Information_Constructure(F6)&amp;CHAR(10)&amp;Basic_Fundamental_Information_Concatenate("")</f>
        <v xml:space="preserve">
市值143.11212亿, 利润1.61亿; PE151; 平均PE766.67; 平均PEG121.49, PB2.58; ROIC2.89%; ROE2.8467%; 股利率.5697%; 毛利27.0533%; 净利1.8633%; 上一年度营收增6.97%, 利润增11.03%; 当季营收增-71.72%, 利润增-310.67%; 过往5年营收增6.31%, 利润增-113.05%
Income profile:
</v>
      </c>
      <c r="D6" t="s">
        <v>67</v>
      </c>
      <c r="E6" t="s">
        <v>6</v>
      </c>
      <c r="F6">
        <v>26.33</v>
      </c>
      <c r="G6">
        <v>0.5</v>
      </c>
      <c r="H6" t="s">
        <v>2088</v>
      </c>
      <c r="I6">
        <v>14311212000</v>
      </c>
      <c r="J6">
        <v>151</v>
      </c>
      <c r="K6">
        <v>2.58</v>
      </c>
      <c r="L6" t="s">
        <v>667</v>
      </c>
      <c r="M6" t="s">
        <v>917</v>
      </c>
      <c r="N6" t="s">
        <v>1502</v>
      </c>
      <c r="O6" t="s">
        <v>123</v>
      </c>
      <c r="P6">
        <v>-71.7</v>
      </c>
      <c r="Q6" t="s">
        <v>1015</v>
      </c>
      <c r="R6">
        <v>-42500000</v>
      </c>
      <c r="S6" s="6">
        <v>-3.2930000000000001</v>
      </c>
      <c r="T6" t="s">
        <v>107</v>
      </c>
      <c r="U6">
        <v>441540120</v>
      </c>
      <c r="V6">
        <v>543532560</v>
      </c>
      <c r="W6">
        <v>1.1399999999999999</v>
      </c>
      <c r="X6">
        <v>0.04</v>
      </c>
      <c r="Y6">
        <v>-21.02</v>
      </c>
      <c r="Z6" t="s">
        <v>250</v>
      </c>
      <c r="AA6" t="s">
        <v>162</v>
      </c>
      <c r="AB6" t="s">
        <v>1503</v>
      </c>
      <c r="AC6" t="s">
        <v>1504</v>
      </c>
      <c r="AD6" t="s">
        <v>15</v>
      </c>
      <c r="AE6">
        <v>-2144667</v>
      </c>
      <c r="AF6" t="s">
        <v>1016</v>
      </c>
      <c r="AG6" t="s">
        <v>1505</v>
      </c>
      <c r="AH6" t="s">
        <v>1017</v>
      </c>
      <c r="AI6" t="s">
        <v>1506</v>
      </c>
      <c r="AJ6" t="s">
        <v>1018</v>
      </c>
      <c r="AK6" t="s">
        <v>1507</v>
      </c>
      <c r="AL6" t="s">
        <v>1019</v>
      </c>
      <c r="AM6" t="s">
        <v>15</v>
      </c>
      <c r="AN6" t="s">
        <v>1508</v>
      </c>
      <c r="AO6" t="s">
        <v>15</v>
      </c>
      <c r="AP6" t="s">
        <v>1509</v>
      </c>
      <c r="AQ6" t="s">
        <v>97</v>
      </c>
      <c r="AR6" t="s">
        <v>15</v>
      </c>
      <c r="AS6" t="s">
        <v>949</v>
      </c>
      <c r="AT6" t="s">
        <v>15</v>
      </c>
      <c r="AU6" t="s">
        <v>1510</v>
      </c>
      <c r="AV6" t="s">
        <v>1511</v>
      </c>
      <c r="AW6" t="s">
        <v>1512</v>
      </c>
      <c r="AX6" t="s">
        <v>814</v>
      </c>
      <c r="AY6" t="s">
        <v>673</v>
      </c>
      <c r="AZ6" t="s">
        <v>237</v>
      </c>
      <c r="BA6" t="s">
        <v>68</v>
      </c>
      <c r="BB6" t="s">
        <v>241</v>
      </c>
      <c r="BC6" t="s">
        <v>696</v>
      </c>
      <c r="BD6" t="s">
        <v>174</v>
      </c>
      <c r="BE6" t="s">
        <v>238</v>
      </c>
      <c r="BF6" t="s">
        <v>69</v>
      </c>
      <c r="BG6" t="s">
        <v>106</v>
      </c>
      <c r="BH6" t="s">
        <v>1015</v>
      </c>
      <c r="BI6" t="s">
        <v>1020</v>
      </c>
      <c r="BJ6" t="s">
        <v>814</v>
      </c>
      <c r="BK6" t="s">
        <v>107</v>
      </c>
      <c r="BL6" t="s">
        <v>1021</v>
      </c>
      <c r="BM6" t="s">
        <v>696</v>
      </c>
      <c r="BN6" t="s">
        <v>15</v>
      </c>
      <c r="BO6">
        <v>1.68</v>
      </c>
      <c r="BP6">
        <v>4.0999999999999996</v>
      </c>
      <c r="BQ6">
        <v>0.53</v>
      </c>
      <c r="BR6">
        <v>3.32</v>
      </c>
      <c r="BS6">
        <v>4.6900000000000004</v>
      </c>
      <c r="BT6" t="s">
        <v>784</v>
      </c>
      <c r="BU6" t="s">
        <v>667</v>
      </c>
      <c r="BV6">
        <v>21.7</v>
      </c>
      <c r="BW6">
        <v>30.23</v>
      </c>
      <c r="BX6">
        <v>29.23</v>
      </c>
      <c r="BY6">
        <v>-1.37</v>
      </c>
      <c r="BZ6">
        <v>1.92</v>
      </c>
      <c r="CA6">
        <v>5.04</v>
      </c>
      <c r="CB6">
        <v>9.07</v>
      </c>
      <c r="CC6">
        <v>4.4400000000000004</v>
      </c>
      <c r="CD6" t="s">
        <v>2089</v>
      </c>
      <c r="CE6" t="s">
        <v>149</v>
      </c>
      <c r="CF6" s="9">
        <v>-0.71717171717171713</v>
      </c>
      <c r="CG6" s="10">
        <v>-3.1067450541061699</v>
      </c>
      <c r="CH6" s="9">
        <v>6.9706462323665619E-2</v>
      </c>
      <c r="CI6" s="9">
        <v>-9.0885646641254425E-3</v>
      </c>
      <c r="CJ6" s="9">
        <v>6.2637984752655029E-2</v>
      </c>
      <c r="CK6" s="9">
        <v>0.21325741708278656</v>
      </c>
      <c r="CL6" s="9">
        <v>-2.0976727828383446E-2</v>
      </c>
      <c r="CM6" s="10">
        <v>0.11034482717514038</v>
      </c>
      <c r="CN6" s="10">
        <v>-0.28571429848670959</v>
      </c>
      <c r="CO6" s="10">
        <v>0.380952388048172</v>
      </c>
      <c r="CP6" s="10">
        <v>1.2258064746856689</v>
      </c>
      <c r="CQ6" s="10">
        <v>-7.0841121673583984</v>
      </c>
      <c r="CR6">
        <v>766.67207142857137</v>
      </c>
      <c r="CS6">
        <v>121.48703831368412</v>
      </c>
      <c r="CT6">
        <v>0.56969236612229401</v>
      </c>
      <c r="CU6" s="9">
        <v>6.3107314333319661E-2</v>
      </c>
      <c r="CV6" s="10">
        <v>-1.1305445551872253</v>
      </c>
      <c r="CW6">
        <v>0.06</v>
      </c>
      <c r="CX6">
        <v>59.262375954137774</v>
      </c>
      <c r="CY6">
        <v>161471960.00723061</v>
      </c>
      <c r="CZ6">
        <v>6.3107314333319661E-2</v>
      </c>
      <c r="DA6">
        <v>19.813829452977139</v>
      </c>
      <c r="DB6">
        <v>482956211.10043281</v>
      </c>
      <c r="DC6">
        <v>5.9951948616653677E-2</v>
      </c>
      <c r="DD6">
        <v>10.053212604370545</v>
      </c>
      <c r="DE6">
        <v>951856125.65677464</v>
      </c>
      <c r="DF6">
        <v>5.5534436613321303E-2</v>
      </c>
      <c r="DG6">
        <v>6.2436823302398752</v>
      </c>
      <c r="DH6">
        <v>1532623137.0955033</v>
      </c>
      <c r="DI6">
        <v>5.0485851466655733E-2</v>
      </c>
      <c r="DJ6">
        <v>3.4672045782285261</v>
      </c>
      <c r="DK6">
        <v>2759921367.2269459</v>
      </c>
      <c r="DL6">
        <v>4.4175120033323759E-2</v>
      </c>
      <c r="DM6">
        <v>161000000</v>
      </c>
      <c r="DN6">
        <v>6.3107314333319661E-2</v>
      </c>
      <c r="DO6">
        <v>9569212000</v>
      </c>
      <c r="DP6">
        <v>2959906700</v>
      </c>
      <c r="DQ6">
        <v>659</v>
      </c>
      <c r="DR6">
        <v>-0.78027903150503675</v>
      </c>
      <c r="DS6">
        <v>-1.9762004989189446</v>
      </c>
      <c r="DT6" s="11">
        <v>-0.32333333333333336</v>
      </c>
      <c r="DU6">
        <v>-1.2983333333333333</v>
      </c>
      <c r="DV6">
        <v>-1.6216666666666666</v>
      </c>
      <c r="DW6">
        <v>5.4895259095920617</v>
      </c>
      <c r="DX6">
        <v>0.56346125654450363</v>
      </c>
      <c r="DY6">
        <v>5.1436568885399767</v>
      </c>
      <c r="DZ6">
        <v>4107</v>
      </c>
      <c r="EA6">
        <v>5.028152025338394</v>
      </c>
      <c r="EB6">
        <v>5</v>
      </c>
      <c r="EC6">
        <v>0.10312372086779861</v>
      </c>
      <c r="ED6">
        <v>0.35140489099677857</v>
      </c>
      <c r="EE6" s="12">
        <v>-4.0701999999999998</v>
      </c>
      <c r="EF6">
        <v>-4.0751999999999997</v>
      </c>
      <c r="EG6">
        <v>27.293461256544504</v>
      </c>
      <c r="EH6" t="s">
        <v>1455</v>
      </c>
      <c r="EI6">
        <v>1</v>
      </c>
      <c r="EJ6">
        <v>0</v>
      </c>
      <c r="EK6" s="14">
        <v>45505</v>
      </c>
      <c r="EL6" s="15">
        <v>-0.28999999999999998</v>
      </c>
      <c r="EM6" s="15">
        <v>3.15</v>
      </c>
      <c r="EN6" s="15">
        <v>1.81</v>
      </c>
      <c r="EO6" s="15">
        <v>0.23</v>
      </c>
      <c r="EP6" s="15">
        <v>0.5</v>
      </c>
    </row>
    <row r="7" spans="1:146" ht="96" x14ac:dyDescent="0.25">
      <c r="A7" s="8"/>
      <c r="B7" s="8"/>
      <c r="C7" s="8" t="str">
        <f>""&amp;CHAR(10)&amp;Basic_Fundamental_Information_Constructure(F7)&amp;CHAR(10)&amp;Basic_Fundamental_Information_Concatenate("")</f>
        <v xml:space="preserve">
市值816.06964亿, 利润33.39亿; PE26.35; 平均PE42.54; 平均PEG2.04, PB3.79; ROIC14.6867%; ROE16.8367%; 股利率1.5584%; 毛利37.1633%; 净利17.4833%; 上一年度营收增26.75%, 利润增22.85%; 当季营收增-24.88%, 利润增-24.38%; 过往5年营收增20.88%, 利润增28.92%
Income profile:
</v>
      </c>
      <c r="D7" t="s">
        <v>73</v>
      </c>
      <c r="E7" t="s">
        <v>74</v>
      </c>
      <c r="F7">
        <v>38.5</v>
      </c>
      <c r="G7">
        <v>-1.21</v>
      </c>
      <c r="H7" t="s">
        <v>2090</v>
      </c>
      <c r="I7">
        <v>81606964000</v>
      </c>
      <c r="J7">
        <v>26.35</v>
      </c>
      <c r="K7">
        <v>3.79</v>
      </c>
      <c r="L7" t="s">
        <v>667</v>
      </c>
      <c r="M7" t="s">
        <v>1022</v>
      </c>
      <c r="N7" t="s">
        <v>1513</v>
      </c>
      <c r="O7" t="s">
        <v>1023</v>
      </c>
      <c r="P7">
        <v>-24.87</v>
      </c>
      <c r="Q7" t="s">
        <v>1024</v>
      </c>
      <c r="R7">
        <v>750886080</v>
      </c>
      <c r="S7" s="6">
        <v>-0.24410000000000001</v>
      </c>
      <c r="T7" t="s">
        <v>1025</v>
      </c>
      <c r="U7">
        <v>2063842400</v>
      </c>
      <c r="V7">
        <v>2119661400</v>
      </c>
      <c r="W7">
        <v>1.54</v>
      </c>
      <c r="X7">
        <v>0.11</v>
      </c>
      <c r="Y7">
        <v>19.79</v>
      </c>
      <c r="Z7" t="s">
        <v>1514</v>
      </c>
      <c r="AA7" t="s">
        <v>1515</v>
      </c>
      <c r="AB7" t="s">
        <v>1516</v>
      </c>
      <c r="AC7" t="s">
        <v>246</v>
      </c>
      <c r="AD7" t="s">
        <v>15</v>
      </c>
      <c r="AE7">
        <v>-32802587</v>
      </c>
      <c r="AF7" t="s">
        <v>1027</v>
      </c>
      <c r="AG7" t="s">
        <v>1517</v>
      </c>
      <c r="AH7" t="s">
        <v>1028</v>
      </c>
      <c r="AI7" t="s">
        <v>1518</v>
      </c>
      <c r="AJ7" t="s">
        <v>1029</v>
      </c>
      <c r="AK7" t="s">
        <v>1519</v>
      </c>
      <c r="AL7" t="s">
        <v>1030</v>
      </c>
      <c r="AM7" t="s">
        <v>15</v>
      </c>
      <c r="AN7" t="s">
        <v>986</v>
      </c>
      <c r="AO7" t="s">
        <v>302</v>
      </c>
      <c r="AP7" t="s">
        <v>1307</v>
      </c>
      <c r="AQ7" t="s">
        <v>1520</v>
      </c>
      <c r="AR7" t="s">
        <v>15</v>
      </c>
      <c r="AS7" t="s">
        <v>1521</v>
      </c>
      <c r="AT7" t="s">
        <v>812</v>
      </c>
      <c r="AU7" t="s">
        <v>1522</v>
      </c>
      <c r="AV7" t="s">
        <v>1523</v>
      </c>
      <c r="AW7" t="s">
        <v>1524</v>
      </c>
      <c r="AX7" t="s">
        <v>815</v>
      </c>
      <c r="AY7" t="s">
        <v>674</v>
      </c>
      <c r="AZ7" t="s">
        <v>242</v>
      </c>
      <c r="BA7" t="s">
        <v>75</v>
      </c>
      <c r="BB7" t="s">
        <v>244</v>
      </c>
      <c r="BC7" t="s">
        <v>1031</v>
      </c>
      <c r="BD7" t="s">
        <v>520</v>
      </c>
      <c r="BE7" t="s">
        <v>243</v>
      </c>
      <c r="BF7" t="s">
        <v>76</v>
      </c>
      <c r="BG7" t="s">
        <v>245</v>
      </c>
      <c r="BH7" t="s">
        <v>1024</v>
      </c>
      <c r="BI7" t="s">
        <v>1032</v>
      </c>
      <c r="BJ7" t="s">
        <v>815</v>
      </c>
      <c r="BK7" t="s">
        <v>1025</v>
      </c>
      <c r="BL7" t="s">
        <v>1033</v>
      </c>
      <c r="BM7" t="s">
        <v>1031</v>
      </c>
      <c r="BN7">
        <v>13.79</v>
      </c>
      <c r="BO7">
        <v>15.46</v>
      </c>
      <c r="BP7">
        <v>14.81</v>
      </c>
      <c r="BQ7">
        <v>15.47</v>
      </c>
      <c r="BR7">
        <v>16.82</v>
      </c>
      <c r="BS7">
        <v>18.22</v>
      </c>
      <c r="BT7" t="s">
        <v>1034</v>
      </c>
      <c r="BU7" t="s">
        <v>667</v>
      </c>
      <c r="BV7">
        <v>37.950000000000003</v>
      </c>
      <c r="BW7">
        <v>36.54</v>
      </c>
      <c r="BX7">
        <v>37</v>
      </c>
      <c r="BY7">
        <v>17.61</v>
      </c>
      <c r="BZ7">
        <v>18.32</v>
      </c>
      <c r="CA7">
        <v>16.52</v>
      </c>
      <c r="CB7">
        <v>1.85</v>
      </c>
      <c r="CC7">
        <v>3</v>
      </c>
      <c r="CD7" t="s">
        <v>2091</v>
      </c>
      <c r="CE7" t="s">
        <v>59</v>
      </c>
      <c r="CF7" s="9">
        <v>-0.24878322725570939</v>
      </c>
      <c r="CG7" s="10">
        <v>-0.24382066465256796</v>
      </c>
      <c r="CH7" s="9">
        <v>0.26745802164077759</v>
      </c>
      <c r="CI7" s="9">
        <v>0.23090073466300964</v>
      </c>
      <c r="CJ7" s="9">
        <v>0.24861715734004974</v>
      </c>
      <c r="CK7" s="9">
        <v>0.12512287497520447</v>
      </c>
      <c r="CL7" s="9">
        <v>0.171827033162117</v>
      </c>
      <c r="CM7" s="10">
        <v>0.22847679257392883</v>
      </c>
      <c r="CN7" s="10">
        <v>0.36514315009117126</v>
      </c>
      <c r="CO7" s="10">
        <v>0.38359969854354858</v>
      </c>
      <c r="CP7" s="10">
        <v>0.34360417723655701</v>
      </c>
      <c r="CQ7" s="10">
        <v>0.125</v>
      </c>
      <c r="CR7">
        <v>42.540554648132058</v>
      </c>
      <c r="CS7">
        <v>2.0375276557269588</v>
      </c>
      <c r="CT7">
        <v>1.5584415584415585</v>
      </c>
      <c r="CU7" s="9">
        <v>0.20878516435623168</v>
      </c>
      <c r="CV7" s="10">
        <v>0.28916476368904115</v>
      </c>
      <c r="CW7">
        <v>0.06</v>
      </c>
      <c r="CX7">
        <v>18.927559938228242</v>
      </c>
      <c r="CY7">
        <v>3807673267.7221298</v>
      </c>
      <c r="CZ7">
        <v>0.20878516435623168</v>
      </c>
      <c r="DA7">
        <v>5.601291405658178</v>
      </c>
      <c r="DB7">
        <v>12866669269.732708</v>
      </c>
      <c r="DC7">
        <v>0.1983459061384201</v>
      </c>
      <c r="DD7">
        <v>2.4014901977856913</v>
      </c>
      <c r="DE7">
        <v>30010517663.762505</v>
      </c>
      <c r="DF7">
        <v>0.18373094463348388</v>
      </c>
      <c r="DG7">
        <v>1.2244018983245502</v>
      </c>
      <c r="DH7">
        <v>58861362513.909248</v>
      </c>
      <c r="DI7">
        <v>0.16702813148498535</v>
      </c>
      <c r="DJ7">
        <v>0.43009803177554001</v>
      </c>
      <c r="DK7">
        <v>167566365515.50635</v>
      </c>
      <c r="DL7">
        <v>0.14614961504936216</v>
      </c>
      <c r="DM7">
        <v>3339000000</v>
      </c>
      <c r="DN7">
        <v>0.20878516435623168</v>
      </c>
      <c r="DO7">
        <v>72069964000</v>
      </c>
      <c r="DP7">
        <v>15879964000</v>
      </c>
      <c r="DQ7">
        <v>687</v>
      </c>
      <c r="DR7">
        <v>-0.45756839161194107</v>
      </c>
      <c r="DS7">
        <v>-0.53298542834160911</v>
      </c>
      <c r="DT7" s="11">
        <v>0.10999999999999995</v>
      </c>
      <c r="DU7">
        <v>0.34666666666666668</v>
      </c>
      <c r="DV7">
        <v>0.45666666666666661</v>
      </c>
      <c r="DW7">
        <v>1.03</v>
      </c>
      <c r="DX7">
        <v>0.5438960526315777</v>
      </c>
      <c r="DY7">
        <v>1.0061168815789474</v>
      </c>
      <c r="DZ7">
        <v>844</v>
      </c>
      <c r="EA7">
        <v>1.0051061830565058</v>
      </c>
      <c r="EB7">
        <v>1</v>
      </c>
      <c r="EC7">
        <v>2.92425950673065E-2</v>
      </c>
      <c r="ED7">
        <v>0.14341913288603547</v>
      </c>
      <c r="EE7" s="12">
        <v>2.0419999999999998</v>
      </c>
      <c r="EF7">
        <v>2.0299</v>
      </c>
      <c r="EG7">
        <v>34.203896052631578</v>
      </c>
      <c r="EH7" t="s">
        <v>842</v>
      </c>
      <c r="EI7">
        <v>0</v>
      </c>
      <c r="EJ7">
        <v>1</v>
      </c>
      <c r="EK7" s="14">
        <v>45505</v>
      </c>
      <c r="EL7" s="15">
        <v>-1.59</v>
      </c>
      <c r="EM7" s="15">
        <v>3.94</v>
      </c>
      <c r="EN7" s="15">
        <v>-2.52</v>
      </c>
      <c r="EO7" s="15">
        <v>1.22</v>
      </c>
      <c r="EP7" s="15">
        <v>-1.21</v>
      </c>
    </row>
    <row r="8" spans="1:146" ht="84" x14ac:dyDescent="0.25">
      <c r="A8" s="8"/>
      <c r="B8" s="8"/>
      <c r="C8" s="8" t="str">
        <f>""&amp;CHAR(10)&amp;Basic_Fundamental_Information_Constructure(F8)&amp;CHAR(10)&amp;Basic_Fundamental_Information_Concatenate("")</f>
        <v xml:space="preserve">
市值39.284371亿, 利润-2.48亿; PE; 平均PE196.16; 平均PEG967.53, PB3.62; ROIC7.91%; ROE-4.1033%; 股利率0%; 毛利8.49%; 净利-5.0733%; 上一年度营收增-33.82%, 利润增-33.33%; 当季营收增-21.7%, 利润增120.67%; 过往5年营收增-.2%, 利润增-49.9%
Income profile:
</v>
      </c>
      <c r="D8" t="s">
        <v>398</v>
      </c>
      <c r="E8" t="s">
        <v>399</v>
      </c>
      <c r="F8">
        <v>15.04</v>
      </c>
      <c r="G8">
        <v>7.0000000000000007E-2</v>
      </c>
      <c r="H8" t="s">
        <v>2092</v>
      </c>
      <c r="I8">
        <v>3928437100</v>
      </c>
      <c r="K8">
        <v>3.62</v>
      </c>
      <c r="L8" t="s">
        <v>667</v>
      </c>
      <c r="M8" t="s">
        <v>1035</v>
      </c>
      <c r="N8" t="s">
        <v>1525</v>
      </c>
      <c r="O8" t="s">
        <v>1036</v>
      </c>
      <c r="P8">
        <v>-21.7</v>
      </c>
      <c r="Q8" t="s">
        <v>1037</v>
      </c>
      <c r="R8">
        <v>13500000</v>
      </c>
      <c r="S8" s="6">
        <v>0.84750000000000003</v>
      </c>
      <c r="T8" t="s">
        <v>971</v>
      </c>
      <c r="U8">
        <v>261173440</v>
      </c>
      <c r="V8">
        <v>261199270</v>
      </c>
      <c r="W8">
        <v>2.67</v>
      </c>
      <c r="X8">
        <v>0.15</v>
      </c>
      <c r="Y8">
        <v>-2.63</v>
      </c>
      <c r="Z8" t="s">
        <v>118</v>
      </c>
      <c r="AA8" t="s">
        <v>1526</v>
      </c>
      <c r="AB8" t="s">
        <v>1527</v>
      </c>
      <c r="AC8" t="s">
        <v>1528</v>
      </c>
      <c r="AD8" t="s">
        <v>15</v>
      </c>
      <c r="AE8">
        <v>4368128</v>
      </c>
      <c r="AF8" t="s">
        <v>1039</v>
      </c>
      <c r="AG8" t="s">
        <v>1529</v>
      </c>
      <c r="AH8" t="s">
        <v>1040</v>
      </c>
      <c r="AI8" t="s">
        <v>89</v>
      </c>
      <c r="AJ8" t="s">
        <v>1041</v>
      </c>
      <c r="AK8" t="s">
        <v>1530</v>
      </c>
      <c r="AL8" t="s">
        <v>1042</v>
      </c>
      <c r="AM8" t="s">
        <v>15</v>
      </c>
      <c r="AN8" t="s">
        <v>1531</v>
      </c>
      <c r="AO8" t="s">
        <v>352</v>
      </c>
      <c r="AP8" t="s">
        <v>1532</v>
      </c>
      <c r="AQ8" t="s">
        <v>1533</v>
      </c>
      <c r="AR8" t="s">
        <v>15</v>
      </c>
      <c r="AS8" t="s">
        <v>1534</v>
      </c>
      <c r="AT8" t="s">
        <v>1043</v>
      </c>
      <c r="AU8" t="s">
        <v>1535</v>
      </c>
      <c r="AV8" t="s">
        <v>1536</v>
      </c>
      <c r="AW8" t="s">
        <v>1537</v>
      </c>
      <c r="AX8" t="s">
        <v>817</v>
      </c>
      <c r="AY8" t="s">
        <v>676</v>
      </c>
      <c r="AZ8" t="s">
        <v>400</v>
      </c>
      <c r="BA8" t="s">
        <v>401</v>
      </c>
      <c r="BB8" t="s">
        <v>402</v>
      </c>
      <c r="BC8" t="s">
        <v>1044</v>
      </c>
      <c r="BD8" t="s">
        <v>238</v>
      </c>
      <c r="BE8" t="s">
        <v>238</v>
      </c>
      <c r="BF8" t="s">
        <v>403</v>
      </c>
      <c r="BG8" t="s">
        <v>282</v>
      </c>
      <c r="BH8" t="s">
        <v>1037</v>
      </c>
      <c r="BI8" t="s">
        <v>819</v>
      </c>
      <c r="BJ8" t="s">
        <v>817</v>
      </c>
      <c r="BK8" t="s">
        <v>971</v>
      </c>
      <c r="BL8" t="s">
        <v>1045</v>
      </c>
      <c r="BM8" t="s">
        <v>1044</v>
      </c>
      <c r="BN8" t="s">
        <v>15</v>
      </c>
      <c r="BO8" t="s">
        <v>15</v>
      </c>
      <c r="BP8">
        <v>7.91</v>
      </c>
      <c r="BQ8">
        <v>-9.34</v>
      </c>
      <c r="BR8">
        <v>-12.59</v>
      </c>
      <c r="BS8">
        <v>9.6199999999999992</v>
      </c>
      <c r="BT8" t="s">
        <v>781</v>
      </c>
      <c r="BU8" t="s">
        <v>667</v>
      </c>
      <c r="BV8">
        <v>5.83</v>
      </c>
      <c r="BW8">
        <v>6.01</v>
      </c>
      <c r="BX8">
        <v>13.63</v>
      </c>
      <c r="BY8">
        <v>-13.31</v>
      </c>
      <c r="BZ8">
        <v>-5.75</v>
      </c>
      <c r="CA8">
        <v>3.84</v>
      </c>
      <c r="CB8">
        <v>7.97</v>
      </c>
      <c r="CC8">
        <v>5.84</v>
      </c>
      <c r="CD8" t="s">
        <v>2093</v>
      </c>
      <c r="CE8" t="s">
        <v>153</v>
      </c>
      <c r="CF8" s="9">
        <v>-0.2170138888888889</v>
      </c>
      <c r="CG8" s="10">
        <v>1.2066637580656272</v>
      </c>
      <c r="CH8" s="9">
        <v>-0.33820390701293945</v>
      </c>
      <c r="CI8" s="9">
        <v>-0.20440785586833954</v>
      </c>
      <c r="CJ8" s="9">
        <v>0.23882389068603516</v>
      </c>
      <c r="CK8" s="9">
        <v>0.30603444576263428</v>
      </c>
      <c r="CL8" s="9">
        <v>-1.2383900582790375E-2</v>
      </c>
      <c r="CM8" s="10">
        <v>-0.3333333432674408</v>
      </c>
      <c r="CN8" s="10">
        <v>-2.2653062343597412</v>
      </c>
      <c r="CO8" s="10">
        <v>0</v>
      </c>
      <c r="CP8" s="10">
        <v>0.49759015440940857</v>
      </c>
      <c r="CQ8" s="10">
        <v>-0.39408829808235168</v>
      </c>
      <c r="CR8">
        <v>196.16406272756555</v>
      </c>
      <c r="CS8">
        <v>967.53346532851583</v>
      </c>
      <c r="CT8">
        <v>0</v>
      </c>
      <c r="CU8" s="9">
        <v>-2.0274654030799865E-3</v>
      </c>
      <c r="CV8" s="10">
        <v>-0.49902754426002505</v>
      </c>
      <c r="CW8">
        <v>0.06</v>
      </c>
      <c r="CX8" t="e">
        <v>#VALUE!</v>
      </c>
      <c r="CY8" t="s">
        <v>569</v>
      </c>
      <c r="CZ8">
        <v>-2.0274654030799865E-3</v>
      </c>
      <c r="DA8" t="e">
        <v>#VALUE!</v>
      </c>
      <c r="DB8" t="s">
        <v>569</v>
      </c>
      <c r="DC8">
        <v>-1.926092132925987E-3</v>
      </c>
      <c r="DD8" t="e">
        <v>#VALUE!</v>
      </c>
      <c r="DE8" t="s">
        <v>569</v>
      </c>
      <c r="DF8">
        <v>-1.784169554710388E-3</v>
      </c>
      <c r="DG8" t="e">
        <v>#VALUE!</v>
      </c>
      <c r="DH8" t="s">
        <v>569</v>
      </c>
      <c r="DI8">
        <v>-1.6219723224639893E-3</v>
      </c>
      <c r="DJ8" t="e">
        <v>#VALUE!</v>
      </c>
      <c r="DK8" t="s">
        <v>569</v>
      </c>
      <c r="DL8">
        <v>-1.4192257821559905E-3</v>
      </c>
      <c r="DM8">
        <v>-248000000</v>
      </c>
      <c r="DN8">
        <v>-2.0274654030799865E-3</v>
      </c>
      <c r="DO8">
        <v>4744437100</v>
      </c>
      <c r="DP8">
        <v>-123671300</v>
      </c>
      <c r="DQ8">
        <v>697</v>
      </c>
      <c r="DR8">
        <v>-0.2149864234858089</v>
      </c>
      <c r="DS8">
        <v>1.7056913023256524</v>
      </c>
      <c r="DT8" s="11">
        <v>-0.50666666666666671</v>
      </c>
      <c r="DU8">
        <v>-0.84333333333333338</v>
      </c>
      <c r="DV8">
        <v>-1.35</v>
      </c>
      <c r="DW8">
        <v>5.7327478042659976</v>
      </c>
      <c r="DX8">
        <v>0.4725721804511282</v>
      </c>
      <c r="DY8">
        <v>5.1337793643456191</v>
      </c>
      <c r="DZ8">
        <v>3920</v>
      </c>
      <c r="EA8">
        <v>5.0311139163748226</v>
      </c>
      <c r="EB8">
        <v>5</v>
      </c>
      <c r="EC8">
        <v>9.296388921760769E-2</v>
      </c>
      <c r="ED8">
        <v>0.50918978448906083</v>
      </c>
      <c r="EE8" s="12">
        <v>3.1006999999999998</v>
      </c>
      <c r="EF8">
        <v>3.1013999999999999</v>
      </c>
      <c r="EG8">
        <v>29.182572180451128</v>
      </c>
      <c r="EH8" t="s">
        <v>799</v>
      </c>
      <c r="EI8">
        <v>1</v>
      </c>
      <c r="EJ8">
        <v>0</v>
      </c>
      <c r="EK8" s="14">
        <v>45505</v>
      </c>
      <c r="EL8" s="15">
        <v>-0.92</v>
      </c>
      <c r="EM8" s="15">
        <v>3.8</v>
      </c>
      <c r="EN8" s="15">
        <v>0.83</v>
      </c>
      <c r="EO8" s="15">
        <v>2.2400000000000002</v>
      </c>
      <c r="EP8" s="15">
        <v>7.0000000000000007E-2</v>
      </c>
    </row>
    <row r="9" spans="1:146" ht="180" x14ac:dyDescent="0.25">
      <c r="A9" s="8"/>
      <c r="B9" s="8" t="s">
        <v>642</v>
      </c>
      <c r="C9" s="8" t="str">
        <f>"公司主要从事非制冷焦平面探测器、红外热像仪、红外热成像系统的研发、生产和销售。公司是国内少数拥有完全自主知识产权,能够独立研发、生产热成像技术相关核心芯片、机芯组件到整机系统全产业链完整的高新技术企业,是国内综合实力最强的民用红外热像仪生产厂商之一,是国内红外行业中首家上市公司,是军用红外非制冷探测器定点承研承制单位"&amp;CHAR(10)&amp;Basic_Fundamental_Information_Constructure(F9)&amp;CHAR(10)&amp;Basic_Fundamental_Information_Concatenate("红外及光电类产品 7.67亿 95.27% 93.30% 52.66%
其他产品 1851.97万 2.30% 3.63% 84.78%
机器人系列产品 1606.18万 1.99% 2.31% 62.26%
其他业务 352.66万 0.44% 0.76% 93.92%")</f>
        <v>公司主要从事非制冷焦平面探测器、红外热像仪、红外热成像系统的研发、生产和销售。公司是国内少数拥有完全自主知识产权,能够独立研发、生产热成像技术相关核心芯片、机芯组件到整机系统全产业链完整的高新技术企业,是国内综合实力最强的民用红外热像仪生产厂商之一,是国内红外行业中首家上市公司,是军用红外非制冷探测器定点承研承制单位
市值78.799788亿, 利润-2.92亿; PE; 平均PE153.07; 平均PEG42.71, PB4.19; ROIC7.23%; ROE-2.1667%; 股利率.3807%; 毛利47.24%; 净利-45.7767%; 上一年度营收增-36.41%, 利润增-93.38%; 当季营收增-25.78%, 利润增-293.18%; 过往5年营收增3.58%, 利润增-.65%
Income profile:
红外及光电类产品 7.67亿 95.27% 93.30% 52.66%
其他产品 1851.97万 2.30% 3.63% 84.78%
机器人系列产品 1606.18万 1.99% 2.31% 62.26%
其他业务 352.66万 0.44% 0.76% 93.92%</v>
      </c>
      <c r="D9" t="s">
        <v>404</v>
      </c>
      <c r="E9" t="s">
        <v>405</v>
      </c>
      <c r="F9">
        <v>13.15</v>
      </c>
      <c r="G9">
        <v>-0.53</v>
      </c>
      <c r="H9" t="s">
        <v>2094</v>
      </c>
      <c r="I9">
        <v>7879978800</v>
      </c>
      <c r="K9">
        <v>4.1900000000000004</v>
      </c>
      <c r="L9" t="s">
        <v>667</v>
      </c>
      <c r="M9" t="s">
        <v>937</v>
      </c>
      <c r="N9" t="s">
        <v>1366</v>
      </c>
      <c r="O9" t="s">
        <v>1046</v>
      </c>
      <c r="P9">
        <v>-25.78</v>
      </c>
      <c r="Q9" t="s">
        <v>31</v>
      </c>
      <c r="R9">
        <v>-181500000</v>
      </c>
      <c r="S9" s="6">
        <v>-0.66949999999999998</v>
      </c>
      <c r="T9" t="s">
        <v>919</v>
      </c>
      <c r="U9">
        <v>479018900</v>
      </c>
      <c r="V9">
        <v>599237940</v>
      </c>
      <c r="W9">
        <v>1.3</v>
      </c>
      <c r="X9">
        <v>0.01</v>
      </c>
      <c r="Y9">
        <v>-261.98</v>
      </c>
      <c r="Z9" t="s">
        <v>1538</v>
      </c>
      <c r="AA9" t="s">
        <v>1539</v>
      </c>
      <c r="AB9" t="s">
        <v>1540</v>
      </c>
      <c r="AC9" t="s">
        <v>1541</v>
      </c>
      <c r="AD9" t="s">
        <v>15</v>
      </c>
      <c r="AE9">
        <v>2347900</v>
      </c>
      <c r="AF9" t="s">
        <v>66</v>
      </c>
      <c r="AG9" t="s">
        <v>1542</v>
      </c>
      <c r="AH9" t="s">
        <v>1047</v>
      </c>
      <c r="AI9" t="s">
        <v>226</v>
      </c>
      <c r="AJ9" t="s">
        <v>1048</v>
      </c>
      <c r="AK9" t="s">
        <v>1543</v>
      </c>
      <c r="AL9" t="s">
        <v>1049</v>
      </c>
      <c r="AM9" t="s">
        <v>15</v>
      </c>
      <c r="AN9" t="s">
        <v>71</v>
      </c>
      <c r="AO9" t="s">
        <v>1544</v>
      </c>
      <c r="AP9" t="s">
        <v>1545</v>
      </c>
      <c r="AQ9" t="s">
        <v>112</v>
      </c>
      <c r="AR9" t="s">
        <v>15</v>
      </c>
      <c r="AS9" t="s">
        <v>519</v>
      </c>
      <c r="AT9" t="s">
        <v>762</v>
      </c>
      <c r="AU9" t="s">
        <v>1546</v>
      </c>
      <c r="AV9" t="s">
        <v>1547</v>
      </c>
      <c r="AW9" t="s">
        <v>1548</v>
      </c>
      <c r="AX9" t="s">
        <v>530</v>
      </c>
      <c r="AY9" t="s">
        <v>182</v>
      </c>
      <c r="AZ9" t="s">
        <v>406</v>
      </c>
      <c r="BA9" t="s">
        <v>187</v>
      </c>
      <c r="BB9" t="s">
        <v>408</v>
      </c>
      <c r="BC9" t="s">
        <v>818</v>
      </c>
      <c r="BD9" t="s">
        <v>52</v>
      </c>
      <c r="BE9" t="s">
        <v>248</v>
      </c>
      <c r="BF9" t="s">
        <v>223</v>
      </c>
      <c r="BG9" t="s">
        <v>409</v>
      </c>
      <c r="BH9" t="s">
        <v>31</v>
      </c>
      <c r="BI9" t="s">
        <v>1050</v>
      </c>
      <c r="BJ9" t="s">
        <v>530</v>
      </c>
      <c r="BK9" t="s">
        <v>919</v>
      </c>
      <c r="BL9" t="s">
        <v>1051</v>
      </c>
      <c r="BM9" t="s">
        <v>818</v>
      </c>
      <c r="BN9" t="s">
        <v>15</v>
      </c>
      <c r="BO9" t="s">
        <v>15</v>
      </c>
      <c r="BP9">
        <v>7.23</v>
      </c>
      <c r="BQ9">
        <v>-7.42</v>
      </c>
      <c r="BR9">
        <v>-6.29</v>
      </c>
      <c r="BS9">
        <v>7.21</v>
      </c>
      <c r="BT9" t="s">
        <v>1549</v>
      </c>
      <c r="BU9" t="s">
        <v>667</v>
      </c>
      <c r="BV9">
        <v>42.44</v>
      </c>
      <c r="BW9">
        <v>45.51</v>
      </c>
      <c r="BX9">
        <v>53.77</v>
      </c>
      <c r="BY9">
        <v>-118.31</v>
      </c>
      <c r="BZ9">
        <v>-39.76</v>
      </c>
      <c r="CA9">
        <v>20.74</v>
      </c>
      <c r="CB9">
        <v>6.74</v>
      </c>
      <c r="CC9">
        <v>13.95</v>
      </c>
      <c r="CD9" t="s">
        <v>2095</v>
      </c>
      <c r="CE9" t="s">
        <v>897</v>
      </c>
      <c r="CF9" s="9">
        <v>-0.25782928208027134</v>
      </c>
      <c r="CG9" s="10">
        <v>-2.9317713117168953</v>
      </c>
      <c r="CH9" s="9">
        <v>-0.36408978700637817</v>
      </c>
      <c r="CI9" s="9">
        <v>-0.50186336040496826</v>
      </c>
      <c r="CJ9" s="9">
        <v>-0.26146790385246277</v>
      </c>
      <c r="CK9" s="9">
        <v>1.0566037893295288</v>
      </c>
      <c r="CL9" s="9">
        <v>0.25</v>
      </c>
      <c r="CM9" s="10">
        <v>-0.93377482891082764</v>
      </c>
      <c r="CN9" s="10">
        <v>-1.8830409049987793</v>
      </c>
      <c r="CO9" s="10">
        <v>-0.5615384578704834</v>
      </c>
      <c r="CP9" s="10">
        <v>1.8676470518112183</v>
      </c>
      <c r="CQ9" s="10">
        <v>1.4782063961029053</v>
      </c>
      <c r="CR9">
        <v>153.06953415972109</v>
      </c>
      <c r="CS9">
        <v>42.713247886517713</v>
      </c>
      <c r="CT9">
        <v>0.38069429657794673</v>
      </c>
      <c r="CU9" s="9">
        <v>3.5836547613143921E-2</v>
      </c>
      <c r="CV9" s="10">
        <v>-6.500148773193359E-3</v>
      </c>
      <c r="CW9">
        <v>0.06</v>
      </c>
      <c r="CX9" t="e">
        <v>#VALUE!</v>
      </c>
      <c r="CY9" t="s">
        <v>568</v>
      </c>
      <c r="CZ9">
        <v>3.5836547613143921E-2</v>
      </c>
      <c r="DA9" t="e">
        <v>#VALUE!</v>
      </c>
      <c r="DB9" t="s">
        <v>569</v>
      </c>
      <c r="DC9">
        <v>3.4044720232486725E-2</v>
      </c>
      <c r="DD9" t="e">
        <v>#VALUE!</v>
      </c>
      <c r="DE9" t="s">
        <v>569</v>
      </c>
      <c r="DF9">
        <v>3.153616189956665E-2</v>
      </c>
      <c r="DG9" t="e">
        <v>#VALUE!</v>
      </c>
      <c r="DH9" t="s">
        <v>569</v>
      </c>
      <c r="DI9">
        <v>2.8669238090515137E-2</v>
      </c>
      <c r="DJ9" t="e">
        <v>#VALUE!</v>
      </c>
      <c r="DK9" t="s">
        <v>569</v>
      </c>
      <c r="DL9">
        <v>2.5085583329200745E-2</v>
      </c>
      <c r="DM9">
        <v>-292000000</v>
      </c>
      <c r="DN9">
        <v>3.5836547613143921E-2</v>
      </c>
      <c r="DO9">
        <v>6515978800</v>
      </c>
      <c r="DP9">
        <v>1320710600</v>
      </c>
      <c r="DQ9">
        <v>722</v>
      </c>
      <c r="DR9">
        <v>-0.29366582969341526</v>
      </c>
      <c r="DS9">
        <v>-2.925271162943702</v>
      </c>
      <c r="DT9" s="11">
        <v>-0.55666666666666675</v>
      </c>
      <c r="DU9">
        <v>-2.0083333333333337</v>
      </c>
      <c r="DV9">
        <v>-2.5650000000000004</v>
      </c>
      <c r="DW9">
        <v>9.4831541218637998</v>
      </c>
      <c r="DX9">
        <v>0.35349377990430525</v>
      </c>
      <c r="DY9">
        <v>9.083824234878497</v>
      </c>
      <c r="DZ9">
        <v>4688</v>
      </c>
      <c r="EA9">
        <v>9.0068923607378562</v>
      </c>
      <c r="EB9">
        <v>9</v>
      </c>
      <c r="EC9">
        <v>6.0510521079489725E-2</v>
      </c>
      <c r="ED9">
        <v>0.34877631412990973</v>
      </c>
      <c r="EE9" s="12">
        <v>3.1238999999999999</v>
      </c>
      <c r="EF9">
        <v>3.1185999999999998</v>
      </c>
      <c r="EG9">
        <v>18.173493779904305</v>
      </c>
      <c r="EH9" t="s">
        <v>799</v>
      </c>
      <c r="EI9">
        <v>1</v>
      </c>
      <c r="EJ9">
        <v>0</v>
      </c>
      <c r="EK9" s="14">
        <v>45505</v>
      </c>
      <c r="EL9" s="15">
        <v>3.01</v>
      </c>
      <c r="EM9" s="15">
        <v>1.79</v>
      </c>
      <c r="EN9" s="15">
        <v>4.8600000000000003</v>
      </c>
      <c r="EO9" s="15">
        <v>0.84</v>
      </c>
      <c r="EP9" s="15">
        <v>-0.53</v>
      </c>
    </row>
    <row r="10" spans="1:146" ht="84" x14ac:dyDescent="0.25">
      <c r="A10" s="8"/>
      <c r="B10" s="8"/>
      <c r="C10" s="8" t="str">
        <f>""&amp;CHAR(10)&amp;Basic_Fundamental_Information_Constructure(F10)&amp;CHAR(10)&amp;Basic_Fundamental_Information_Concatenate("")</f>
        <v xml:space="preserve">
市值14.498331亿, 利润-3095.30万; PE; 平均PE-27.8; 平均PEG-1.72, PB4.58; ROIC5.02%; ROE-3.0067%; 股利率0%; 毛利11.76%; 净利-12.3%; 上一年度营收增23.04%, 利润增41.8%; 当季营收增231.66%, 利润增-380.24%; 过往5年营收增16.13%, 利润增-96.91%
Income profile:
</v>
      </c>
      <c r="D10" t="s">
        <v>521</v>
      </c>
      <c r="E10" t="s">
        <v>522</v>
      </c>
      <c r="F10">
        <v>4.18</v>
      </c>
      <c r="G10">
        <v>0.97</v>
      </c>
      <c r="H10" t="s">
        <v>2096</v>
      </c>
      <c r="I10">
        <v>1449833100</v>
      </c>
      <c r="K10">
        <v>4.58</v>
      </c>
      <c r="L10" t="s">
        <v>667</v>
      </c>
      <c r="M10" t="s">
        <v>425</v>
      </c>
      <c r="N10" t="s">
        <v>129</v>
      </c>
      <c r="O10" t="s">
        <v>239</v>
      </c>
      <c r="P10">
        <v>231.12</v>
      </c>
      <c r="Q10" t="s">
        <v>356</v>
      </c>
      <c r="R10">
        <v>-6250000</v>
      </c>
      <c r="S10" s="6">
        <v>-2.073</v>
      </c>
      <c r="T10" t="s">
        <v>1052</v>
      </c>
      <c r="U10">
        <v>294818770</v>
      </c>
      <c r="V10">
        <v>346850020</v>
      </c>
      <c r="W10">
        <v>1.76</v>
      </c>
      <c r="X10">
        <v>0.26</v>
      </c>
      <c r="Y10">
        <v>-1.69</v>
      </c>
      <c r="Z10" t="s">
        <v>238</v>
      </c>
      <c r="AA10" t="s">
        <v>223</v>
      </c>
      <c r="AB10" t="s">
        <v>1550</v>
      </c>
      <c r="AC10" t="s">
        <v>1551</v>
      </c>
      <c r="AD10" t="s">
        <v>15</v>
      </c>
      <c r="AE10">
        <v>36637</v>
      </c>
      <c r="AF10" t="s">
        <v>1053</v>
      </c>
      <c r="AG10">
        <v>5082.54</v>
      </c>
      <c r="AH10" t="s">
        <v>1054</v>
      </c>
      <c r="AI10" t="s">
        <v>1552</v>
      </c>
      <c r="AJ10" t="s">
        <v>1055</v>
      </c>
      <c r="AK10" t="s">
        <v>1553</v>
      </c>
      <c r="AL10" t="s">
        <v>1056</v>
      </c>
      <c r="AM10" t="s">
        <v>15</v>
      </c>
      <c r="AN10">
        <v>0</v>
      </c>
      <c r="AO10" t="s">
        <v>1554</v>
      </c>
      <c r="AP10" t="s">
        <v>1555</v>
      </c>
      <c r="AQ10" t="s">
        <v>696</v>
      </c>
      <c r="AR10" t="s">
        <v>15</v>
      </c>
      <c r="AS10" t="s">
        <v>762</v>
      </c>
      <c r="AT10" t="s">
        <v>15</v>
      </c>
      <c r="AU10" t="s">
        <v>1556</v>
      </c>
      <c r="AV10" t="s">
        <v>1557</v>
      </c>
      <c r="AW10" t="s">
        <v>1558</v>
      </c>
      <c r="AX10" t="s">
        <v>149</v>
      </c>
      <c r="AY10" t="s">
        <v>433</v>
      </c>
      <c r="AZ10" t="s">
        <v>167</v>
      </c>
      <c r="BA10" t="s">
        <v>236</v>
      </c>
      <c r="BB10" t="s">
        <v>247</v>
      </c>
      <c r="BC10" t="s">
        <v>820</v>
      </c>
      <c r="BD10" t="s">
        <v>523</v>
      </c>
      <c r="BE10" t="s">
        <v>524</v>
      </c>
      <c r="BF10" t="s">
        <v>525</v>
      </c>
      <c r="BG10" t="s">
        <v>161</v>
      </c>
      <c r="BH10" t="s">
        <v>356</v>
      </c>
      <c r="BI10" t="s">
        <v>1057</v>
      </c>
      <c r="BJ10" t="s">
        <v>149</v>
      </c>
      <c r="BK10" t="s">
        <v>1052</v>
      </c>
      <c r="BL10" t="s">
        <v>1058</v>
      </c>
      <c r="BM10" t="s">
        <v>820</v>
      </c>
      <c r="BN10" t="s">
        <v>15</v>
      </c>
      <c r="BO10" t="s">
        <v>15</v>
      </c>
      <c r="BP10">
        <v>5.0199999999999996</v>
      </c>
      <c r="BQ10">
        <v>-0.57999999999999996</v>
      </c>
      <c r="BR10">
        <v>-14.13</v>
      </c>
      <c r="BS10">
        <v>5.69</v>
      </c>
      <c r="BT10" t="s">
        <v>781</v>
      </c>
      <c r="BU10" t="s">
        <v>667</v>
      </c>
      <c r="BV10">
        <v>10.42</v>
      </c>
      <c r="BW10">
        <v>11.19</v>
      </c>
      <c r="BX10">
        <v>13.67</v>
      </c>
      <c r="BY10">
        <v>-13.16</v>
      </c>
      <c r="BZ10">
        <v>-27.9</v>
      </c>
      <c r="CA10">
        <v>4.16</v>
      </c>
      <c r="CB10">
        <v>10.29</v>
      </c>
      <c r="CC10">
        <v>1.21</v>
      </c>
      <c r="CD10" t="s">
        <v>2097</v>
      </c>
      <c r="CE10" t="s">
        <v>240</v>
      </c>
      <c r="CF10" s="9">
        <v>2.3165559201690975</v>
      </c>
      <c r="CG10" s="10">
        <v>-3.8024392431172092</v>
      </c>
      <c r="CH10" s="9">
        <v>0.23036649823188782</v>
      </c>
      <c r="CI10" s="9">
        <v>-0.65953654050827026</v>
      </c>
      <c r="CJ10" s="9">
        <v>1.0107526779174805</v>
      </c>
      <c r="CK10" s="9">
        <v>-0.22284123301506042</v>
      </c>
      <c r="CL10" s="9">
        <v>0.44758063554763794</v>
      </c>
      <c r="CM10" s="10">
        <v>0.41797977685928345</v>
      </c>
      <c r="CN10" s="10">
        <v>-3.2796127796173096</v>
      </c>
      <c r="CO10" s="10">
        <v>1.1396970748901367</v>
      </c>
      <c r="CP10" s="10">
        <v>-4.4838848114013672</v>
      </c>
      <c r="CQ10" s="10">
        <v>1.3604135513305664</v>
      </c>
      <c r="CR10">
        <v>-27.803822410926433</v>
      </c>
      <c r="CS10">
        <v>-1.7241140074691661</v>
      </c>
      <c r="CT10">
        <v>0</v>
      </c>
      <c r="CU10" s="9">
        <v>0.1612644076347351</v>
      </c>
      <c r="CV10" s="10">
        <v>-0.96908143758773801</v>
      </c>
      <c r="CW10">
        <v>0.06</v>
      </c>
      <c r="CX10" t="e">
        <v>#VALUE!</v>
      </c>
      <c r="CY10" t="s">
        <v>568</v>
      </c>
      <c r="CZ10">
        <v>0.1612644076347351</v>
      </c>
      <c r="DA10" t="e">
        <v>#VALUE!</v>
      </c>
      <c r="DB10" t="s">
        <v>569</v>
      </c>
      <c r="DC10">
        <v>0.15320118725299833</v>
      </c>
      <c r="DD10" t="e">
        <v>#VALUE!</v>
      </c>
      <c r="DE10" t="s">
        <v>569</v>
      </c>
      <c r="DF10">
        <v>0.14191267871856689</v>
      </c>
      <c r="DG10" t="e">
        <v>#VALUE!</v>
      </c>
      <c r="DH10" t="s">
        <v>569</v>
      </c>
      <c r="DI10">
        <v>0.12901152610778807</v>
      </c>
      <c r="DJ10" t="e">
        <v>#VALUE!</v>
      </c>
      <c r="DK10" t="s">
        <v>569</v>
      </c>
      <c r="DL10">
        <v>0.11288508534431456</v>
      </c>
      <c r="DM10">
        <v>-30953000</v>
      </c>
      <c r="DN10">
        <v>0.1612644076347351</v>
      </c>
      <c r="DO10">
        <v>1354833100</v>
      </c>
      <c r="DP10">
        <v>269280170</v>
      </c>
      <c r="DQ10">
        <v>738</v>
      </c>
      <c r="DR10">
        <v>2.1552915125343626</v>
      </c>
      <c r="DS10">
        <v>-2.833357805529471</v>
      </c>
      <c r="DT10" s="11">
        <v>-0.32333333333333336</v>
      </c>
      <c r="DU10">
        <v>-2.0483333333333333</v>
      </c>
      <c r="DV10">
        <v>-2.3716666666666666</v>
      </c>
      <c r="DW10">
        <v>5.1175898931000976</v>
      </c>
      <c r="DX10">
        <v>0.48598885245901724</v>
      </c>
      <c r="DY10">
        <v>5.0312776007264732</v>
      </c>
      <c r="DZ10">
        <v>4590</v>
      </c>
      <c r="EA10">
        <v>5.0031718475286437</v>
      </c>
      <c r="EB10">
        <v>5</v>
      </c>
      <c r="EC10">
        <v>0.23389533032173387</v>
      </c>
      <c r="ED10">
        <v>0.87934260462202074</v>
      </c>
      <c r="EE10" s="12">
        <v>0.10600000000000001</v>
      </c>
      <c r="EF10">
        <v>0.1157</v>
      </c>
      <c r="EG10">
        <v>22.265988852459017</v>
      </c>
      <c r="EH10" t="s">
        <v>511</v>
      </c>
      <c r="EI10">
        <v>1</v>
      </c>
      <c r="EJ10">
        <v>0</v>
      </c>
      <c r="EK10" s="14">
        <v>45505</v>
      </c>
      <c r="EL10" s="15">
        <v>1.07</v>
      </c>
      <c r="EM10" s="15">
        <v>2.64</v>
      </c>
      <c r="EN10" s="15">
        <v>1.8</v>
      </c>
      <c r="EO10" s="15">
        <v>2.99</v>
      </c>
      <c r="EP10" s="15">
        <v>0.97</v>
      </c>
    </row>
    <row r="11" spans="1:146" ht="84" x14ac:dyDescent="0.25">
      <c r="A11" s="8"/>
      <c r="B11" s="8"/>
      <c r="C11" s="8" t="str">
        <f>""&amp;CHAR(10)&amp;Basic_Fundamental_Information_Constructure(F11)&amp;CHAR(10)&amp;Basic_Fundamental_Information_Concatenate("")</f>
        <v xml:space="preserve">
市值71.736亿, 利润8663.52万; PE86.79; 平均PE123.34; 平均PEG8.11, PB5.51; ROIC6.56%; ROE6.8267%; 股利率.0836%; 毛利31.4733%; 净利13.95%; 上一年度营收增23.29%, 利润增5.91%; 当季营收增-9.47%, 利润增-18.88%; 过往5年营收增15.21%, 利润增19.13%
Income profile:
</v>
      </c>
      <c r="D11" t="s">
        <v>410</v>
      </c>
      <c r="E11" t="s">
        <v>411</v>
      </c>
      <c r="F11">
        <v>29.89</v>
      </c>
      <c r="G11">
        <v>-0.7</v>
      </c>
      <c r="H11" t="s">
        <v>2098</v>
      </c>
      <c r="I11">
        <v>7173600000</v>
      </c>
      <c r="J11">
        <v>86.79</v>
      </c>
      <c r="K11">
        <v>5.51</v>
      </c>
      <c r="L11" t="s">
        <v>667</v>
      </c>
      <c r="M11" t="s">
        <v>1059</v>
      </c>
      <c r="N11" t="s">
        <v>1559</v>
      </c>
      <c r="O11" t="s">
        <v>255</v>
      </c>
      <c r="P11">
        <v>-9.26</v>
      </c>
      <c r="Q11" t="s">
        <v>899</v>
      </c>
      <c r="R11">
        <v>17119726</v>
      </c>
      <c r="S11" s="6">
        <v>-0.1888</v>
      </c>
      <c r="T11" t="s">
        <v>1060</v>
      </c>
      <c r="U11">
        <v>239994000</v>
      </c>
      <c r="V11">
        <v>240000000</v>
      </c>
      <c r="W11">
        <v>1.42</v>
      </c>
      <c r="X11">
        <v>0.08</v>
      </c>
      <c r="Y11">
        <v>13.52</v>
      </c>
      <c r="Z11" t="s">
        <v>282</v>
      </c>
      <c r="AA11" t="s">
        <v>146</v>
      </c>
      <c r="AB11" t="s">
        <v>1560</v>
      </c>
      <c r="AC11" t="s">
        <v>1561</v>
      </c>
      <c r="AD11" t="s">
        <v>15</v>
      </c>
      <c r="AE11">
        <v>1441744</v>
      </c>
      <c r="AF11" t="s">
        <v>1061</v>
      </c>
      <c r="AG11" t="s">
        <v>15</v>
      </c>
      <c r="AH11" t="s">
        <v>1062</v>
      </c>
      <c r="AI11" t="s">
        <v>233</v>
      </c>
      <c r="AJ11" t="s">
        <v>1063</v>
      </c>
      <c r="AK11" t="s">
        <v>1562</v>
      </c>
      <c r="AL11" t="s">
        <v>1064</v>
      </c>
      <c r="AM11" t="s">
        <v>15</v>
      </c>
      <c r="AN11" t="s">
        <v>1065</v>
      </c>
      <c r="AO11" t="s">
        <v>1563</v>
      </c>
      <c r="AP11" t="s">
        <v>1564</v>
      </c>
      <c r="AQ11" t="s">
        <v>1565</v>
      </c>
      <c r="AR11" t="s">
        <v>15</v>
      </c>
      <c r="AS11" t="s">
        <v>163</v>
      </c>
      <c r="AT11" t="s">
        <v>276</v>
      </c>
      <c r="AU11" t="s">
        <v>1566</v>
      </c>
      <c r="AV11" t="s">
        <v>1567</v>
      </c>
      <c r="AW11" t="s">
        <v>1568</v>
      </c>
      <c r="AX11" t="s">
        <v>822</v>
      </c>
      <c r="AY11" t="s">
        <v>677</v>
      </c>
      <c r="AZ11" t="s">
        <v>286</v>
      </c>
      <c r="BA11" t="s">
        <v>63</v>
      </c>
      <c r="BB11" t="s">
        <v>55</v>
      </c>
      <c r="BC11" t="s">
        <v>1066</v>
      </c>
      <c r="BD11" t="s">
        <v>823</v>
      </c>
      <c r="BE11" t="s">
        <v>526</v>
      </c>
      <c r="BF11" t="s">
        <v>2099</v>
      </c>
      <c r="BG11" t="s">
        <v>413</v>
      </c>
      <c r="BH11" t="s">
        <v>899</v>
      </c>
      <c r="BI11" t="s">
        <v>144</v>
      </c>
      <c r="BJ11" t="s">
        <v>822</v>
      </c>
      <c r="BK11" t="s">
        <v>1060</v>
      </c>
      <c r="BL11" t="s">
        <v>1067</v>
      </c>
      <c r="BM11" t="s">
        <v>1066</v>
      </c>
      <c r="BN11">
        <v>6.96</v>
      </c>
      <c r="BO11">
        <v>7.68</v>
      </c>
      <c r="BP11">
        <v>5.04</v>
      </c>
      <c r="BQ11">
        <v>6.7</v>
      </c>
      <c r="BR11">
        <v>7.88</v>
      </c>
      <c r="BS11">
        <v>5.9</v>
      </c>
      <c r="BT11" t="s">
        <v>1068</v>
      </c>
      <c r="BU11" t="s">
        <v>667</v>
      </c>
      <c r="BV11">
        <v>34.93</v>
      </c>
      <c r="BW11">
        <v>29.95</v>
      </c>
      <c r="BX11">
        <v>29.54</v>
      </c>
      <c r="BY11">
        <v>15.94</v>
      </c>
      <c r="BZ11">
        <v>16.559999999999999</v>
      </c>
      <c r="CA11">
        <v>9.35</v>
      </c>
      <c r="CB11">
        <v>5.62</v>
      </c>
      <c r="CC11">
        <v>-8.1</v>
      </c>
      <c r="CD11" t="s">
        <v>2100</v>
      </c>
      <c r="CE11" t="s">
        <v>629</v>
      </c>
      <c r="CF11" s="9">
        <v>-9.4736842105263161E-2</v>
      </c>
      <c r="CG11" s="10">
        <v>-0.18881158046862043</v>
      </c>
      <c r="CH11" s="9">
        <v>0.23285485804080963</v>
      </c>
      <c r="CI11" s="9">
        <v>0.14625228941440582</v>
      </c>
      <c r="CJ11" s="9">
        <v>0.24036280810832977</v>
      </c>
      <c r="CK11" s="9">
        <v>9.7014926373958588E-2</v>
      </c>
      <c r="CL11" s="9">
        <v>4.4155843555927277E-2</v>
      </c>
      <c r="CM11" s="10">
        <v>5.9108782559633255E-2</v>
      </c>
      <c r="CN11" s="10">
        <v>0.75321108102798462</v>
      </c>
      <c r="CO11" s="10">
        <v>-4.8930138349533081E-2</v>
      </c>
      <c r="CP11" s="10">
        <v>0.11442850530147552</v>
      </c>
      <c r="CQ11" s="10">
        <v>7.8928537666797638E-2</v>
      </c>
      <c r="CR11">
        <v>123.33861552965719</v>
      </c>
      <c r="CS11">
        <v>8.1075474528166289</v>
      </c>
      <c r="CT11">
        <v>8.3640013382402137E-2</v>
      </c>
      <c r="CU11" s="9">
        <v>0.15212814509868622</v>
      </c>
      <c r="CV11" s="10">
        <v>0.19134935364127159</v>
      </c>
      <c r="CW11">
        <v>0.06</v>
      </c>
      <c r="CX11">
        <v>67.919110687426496</v>
      </c>
      <c r="CY11">
        <v>94164954.977597833</v>
      </c>
      <c r="CZ11">
        <v>0.15212814509868622</v>
      </c>
      <c r="DA11">
        <v>21.065786557782513</v>
      </c>
      <c r="DB11">
        <v>303601291.24337012</v>
      </c>
      <c r="DC11">
        <v>0.14452173784375191</v>
      </c>
      <c r="DD11">
        <v>9.6551822977697999</v>
      </c>
      <c r="DE11">
        <v>662400750.47337902</v>
      </c>
      <c r="DF11">
        <v>0.13387276768684386</v>
      </c>
      <c r="DG11">
        <v>5.3373105754118315</v>
      </c>
      <c r="DH11">
        <v>1198281402.1472809</v>
      </c>
      <c r="DI11">
        <v>0.12170251607894898</v>
      </c>
      <c r="DJ11">
        <v>2.2813888561290789</v>
      </c>
      <c r="DK11">
        <v>2803380047.5608807</v>
      </c>
      <c r="DL11">
        <v>0.10648970156908034</v>
      </c>
      <c r="DM11">
        <v>86635200</v>
      </c>
      <c r="DN11">
        <v>0.15212814509868622</v>
      </c>
      <c r="DO11">
        <v>6395600000</v>
      </c>
      <c r="DP11">
        <v>772826510</v>
      </c>
      <c r="DQ11">
        <v>843</v>
      </c>
      <c r="DR11">
        <v>-0.24686498720394939</v>
      </c>
      <c r="DS11">
        <v>-0.38016093410989205</v>
      </c>
      <c r="DT11" s="11">
        <v>-0.14000000000000001</v>
      </c>
      <c r="DU11">
        <v>0.08</v>
      </c>
      <c r="DV11">
        <v>-6.0000000000000012E-2</v>
      </c>
      <c r="DW11">
        <v>6.4096209912536439</v>
      </c>
      <c r="DX11">
        <v>0.33198528610354328</v>
      </c>
      <c r="DY11">
        <v>6.0458715238995557</v>
      </c>
      <c r="DZ11">
        <v>1934</v>
      </c>
      <c r="EA11">
        <v>6.028503566338526</v>
      </c>
      <c r="EB11">
        <v>6</v>
      </c>
      <c r="EC11">
        <v>0.17124416666666667</v>
      </c>
      <c r="ED11">
        <v>1.5291666666666666</v>
      </c>
      <c r="EE11" s="12">
        <v>-1.0276099999999999</v>
      </c>
      <c r="EF11">
        <v>-1.03461</v>
      </c>
      <c r="EG11">
        <v>22.111985286103543</v>
      </c>
      <c r="EH11" t="s">
        <v>800</v>
      </c>
      <c r="EI11">
        <v>0</v>
      </c>
      <c r="EJ11">
        <v>0</v>
      </c>
      <c r="EK11" s="14">
        <v>45505</v>
      </c>
      <c r="EL11" s="15">
        <v>-0.39</v>
      </c>
      <c r="EM11" s="15">
        <v>2.2599999999999998</v>
      </c>
      <c r="EN11" s="15">
        <v>-0.24</v>
      </c>
      <c r="EO11" s="15">
        <v>3.76</v>
      </c>
      <c r="EP11" s="15">
        <v>-0.7</v>
      </c>
    </row>
    <row r="12" spans="1:146" ht="84" x14ac:dyDescent="0.25">
      <c r="A12" s="8"/>
      <c r="B12" s="8"/>
      <c r="C12" s="8" t="str">
        <f>""&amp;CHAR(10)&amp;Basic_Fundamental_Information_Constructure(F12)&amp;CHAR(10)&amp;Basic_Fundamental_Information_Concatenate("")</f>
        <v xml:space="preserve">
市值47.531132亿, 利润4.78亿; PE10.28; 平均PE-12.79; 平均PEG-3.54, PB2.56; ROIC10.62%; ROE-7.3467%; 股利率0%; 毛利39.9433%; 净利7.1433%; 上一年度营收增-6.34%, 利润增299.17%; 当季营收增-32.06%, 利润增-181.33%; 过往5年营收增3.61%, 利润增-47.46%
Income profile:
</v>
      </c>
      <c r="D12" t="s">
        <v>415</v>
      </c>
      <c r="E12" t="s">
        <v>416</v>
      </c>
      <c r="F12">
        <v>6.42</v>
      </c>
      <c r="G12">
        <v>1.9</v>
      </c>
      <c r="H12" t="s">
        <v>2101</v>
      </c>
      <c r="I12">
        <v>4753113200</v>
      </c>
      <c r="J12">
        <v>10.28</v>
      </c>
      <c r="K12">
        <v>2.56</v>
      </c>
      <c r="L12" t="s">
        <v>667</v>
      </c>
      <c r="M12" t="s">
        <v>1069</v>
      </c>
      <c r="N12" t="s">
        <v>1569</v>
      </c>
      <c r="O12" t="s">
        <v>767</v>
      </c>
      <c r="P12">
        <v>-31.98</v>
      </c>
      <c r="Q12" t="s">
        <v>863</v>
      </c>
      <c r="R12">
        <v>-50000000</v>
      </c>
      <c r="S12" s="6">
        <v>-0.87229999999999996</v>
      </c>
      <c r="T12" t="s">
        <v>124</v>
      </c>
      <c r="U12">
        <v>616245790</v>
      </c>
      <c r="V12">
        <v>740360310</v>
      </c>
      <c r="W12">
        <v>1.93</v>
      </c>
      <c r="X12">
        <v>7.0000000000000007E-2</v>
      </c>
      <c r="Y12">
        <v>-13.74</v>
      </c>
      <c r="Z12" t="s">
        <v>240</v>
      </c>
      <c r="AA12" t="s">
        <v>112</v>
      </c>
      <c r="AB12" t="s">
        <v>1570</v>
      </c>
      <c r="AC12" t="s">
        <v>1571</v>
      </c>
      <c r="AD12" t="s">
        <v>15</v>
      </c>
      <c r="AE12">
        <v>13786542</v>
      </c>
      <c r="AF12" t="s">
        <v>1071</v>
      </c>
      <c r="AG12" t="s">
        <v>1572</v>
      </c>
      <c r="AH12" t="s">
        <v>1072</v>
      </c>
      <c r="AI12" t="s">
        <v>795</v>
      </c>
      <c r="AJ12" t="s">
        <v>1073</v>
      </c>
      <c r="AK12" t="s">
        <v>1573</v>
      </c>
      <c r="AL12" t="s">
        <v>1074</v>
      </c>
      <c r="AM12" t="s">
        <v>15</v>
      </c>
      <c r="AN12" t="s">
        <v>1574</v>
      </c>
      <c r="AO12" t="s">
        <v>319</v>
      </c>
      <c r="AP12" t="s">
        <v>15</v>
      </c>
      <c r="AQ12" t="s">
        <v>1575</v>
      </c>
      <c r="AR12" t="s">
        <v>15</v>
      </c>
      <c r="AS12" t="s">
        <v>918</v>
      </c>
      <c r="AT12" t="s">
        <v>174</v>
      </c>
      <c r="AU12" t="s">
        <v>1576</v>
      </c>
      <c r="AV12" t="s">
        <v>1577</v>
      </c>
      <c r="AW12" t="s">
        <v>1578</v>
      </c>
      <c r="AX12" t="s">
        <v>824</v>
      </c>
      <c r="AY12" t="s">
        <v>678</v>
      </c>
      <c r="AZ12" t="s">
        <v>927</v>
      </c>
      <c r="BA12" t="s">
        <v>928</v>
      </c>
      <c r="BB12" t="s">
        <v>770</v>
      </c>
      <c r="BC12" t="s">
        <v>825</v>
      </c>
      <c r="BD12" t="s">
        <v>145</v>
      </c>
      <c r="BE12" t="s">
        <v>929</v>
      </c>
      <c r="BF12" t="s">
        <v>930</v>
      </c>
      <c r="BG12" t="s">
        <v>931</v>
      </c>
      <c r="BH12" t="s">
        <v>863</v>
      </c>
      <c r="BI12" t="s">
        <v>1076</v>
      </c>
      <c r="BJ12" t="s">
        <v>824</v>
      </c>
      <c r="BK12" t="s">
        <v>124</v>
      </c>
      <c r="BL12" t="s">
        <v>1077</v>
      </c>
      <c r="BM12" t="s">
        <v>825</v>
      </c>
      <c r="BN12" t="s">
        <v>15</v>
      </c>
      <c r="BO12" t="s">
        <v>15</v>
      </c>
      <c r="BP12">
        <v>10.62</v>
      </c>
      <c r="BQ12">
        <v>-0.19</v>
      </c>
      <c r="BR12">
        <v>-16.22</v>
      </c>
      <c r="BS12">
        <v>-5.63</v>
      </c>
      <c r="BT12" t="s">
        <v>781</v>
      </c>
      <c r="BU12" t="s">
        <v>667</v>
      </c>
      <c r="BV12">
        <v>34.58</v>
      </c>
      <c r="BW12">
        <v>43.25</v>
      </c>
      <c r="BX12">
        <v>42</v>
      </c>
      <c r="BY12">
        <v>25.43</v>
      </c>
      <c r="BZ12">
        <v>-13.17</v>
      </c>
      <c r="CA12">
        <v>9.17</v>
      </c>
      <c r="CB12">
        <v>15.88</v>
      </c>
      <c r="CC12">
        <v>8.81</v>
      </c>
      <c r="CD12" t="s">
        <v>110</v>
      </c>
      <c r="CE12" t="s">
        <v>2102</v>
      </c>
      <c r="CF12" s="9">
        <v>-0.32061068702290074</v>
      </c>
      <c r="CG12" s="10">
        <v>-1.8132718914752235</v>
      </c>
      <c r="CH12" s="9">
        <v>-6.3409566879272461E-2</v>
      </c>
      <c r="CI12" s="9">
        <v>-8.7286524474620819E-2</v>
      </c>
      <c r="CJ12" s="9">
        <v>0.28929659724235535</v>
      </c>
      <c r="CK12" s="9">
        <v>0.15711262822151184</v>
      </c>
      <c r="CL12" s="9">
        <v>-0.11521603167057037</v>
      </c>
      <c r="CM12" s="10">
        <v>2.9916665554046631</v>
      </c>
      <c r="CN12" s="10">
        <v>-2.1881186962127686</v>
      </c>
      <c r="CO12" s="10">
        <v>1.1541985273361206</v>
      </c>
      <c r="CP12" s="10">
        <v>-0.14912280440330505</v>
      </c>
      <c r="CQ12" s="10">
        <v>-4.1818180084228516</v>
      </c>
      <c r="CR12">
        <v>-12.788645381165919</v>
      </c>
      <c r="CS12">
        <v>-3.5426179169439358</v>
      </c>
      <c r="CT12">
        <v>0</v>
      </c>
      <c r="CU12" s="9">
        <v>3.6099420487880708E-2</v>
      </c>
      <c r="CV12" s="10">
        <v>-0.47463888525962827</v>
      </c>
      <c r="CW12">
        <v>0.06</v>
      </c>
      <c r="CX12">
        <v>10.008328553396037</v>
      </c>
      <c r="CY12">
        <v>467222191.50302535</v>
      </c>
      <c r="CZ12">
        <v>3.6099420487880708E-2</v>
      </c>
      <c r="DA12">
        <v>3.4243012601347984</v>
      </c>
      <c r="DB12">
        <v>1365567117.1338248</v>
      </c>
      <c r="DC12">
        <v>3.429444946348667E-2</v>
      </c>
      <c r="DD12">
        <v>1.790104997448114</v>
      </c>
      <c r="DE12">
        <v>2612200517.101532</v>
      </c>
      <c r="DF12">
        <v>3.1767490029335023E-2</v>
      </c>
      <c r="DG12">
        <v>1.1482723786710674</v>
      </c>
      <c r="DH12">
        <v>4072303128.4718499</v>
      </c>
      <c r="DI12">
        <v>2.8879536390304567E-2</v>
      </c>
      <c r="DJ12">
        <v>0.68132707569305573</v>
      </c>
      <c r="DK12">
        <v>6863242878.2364035</v>
      </c>
      <c r="DL12">
        <v>2.5269594341516495E-2</v>
      </c>
      <c r="DM12">
        <v>478000000</v>
      </c>
      <c r="DN12">
        <v>3.6099420487880708E-2</v>
      </c>
      <c r="DO12">
        <v>4676113200</v>
      </c>
      <c r="DP12">
        <v>713362100</v>
      </c>
      <c r="DQ12">
        <v>887</v>
      </c>
      <c r="DR12">
        <v>-0.35671010751078147</v>
      </c>
      <c r="DS12">
        <v>-1.3386330062155953</v>
      </c>
      <c r="DT12" s="11">
        <v>-0.19000000000000003</v>
      </c>
      <c r="DU12">
        <v>-2.081666666666667</v>
      </c>
      <c r="DV12">
        <v>-2.2716666666666669</v>
      </c>
      <c r="DW12">
        <v>5.5547858942065496</v>
      </c>
      <c r="DX12">
        <v>0.6554297693920359</v>
      </c>
      <c r="DY12">
        <v>5.1860917045556558</v>
      </c>
      <c r="DZ12">
        <v>4541</v>
      </c>
      <c r="EA12">
        <v>5.0206566163827437</v>
      </c>
      <c r="EB12">
        <v>5</v>
      </c>
      <c r="EC12">
        <v>0.21611099060672229</v>
      </c>
      <c r="ED12">
        <v>0.64428089074629069</v>
      </c>
      <c r="EE12" s="12">
        <v>-1.0904</v>
      </c>
      <c r="EF12">
        <v>-1.1093999999999999</v>
      </c>
      <c r="EG12">
        <v>32.335429769392036</v>
      </c>
      <c r="EH12" t="s">
        <v>809</v>
      </c>
      <c r="EI12">
        <v>1</v>
      </c>
      <c r="EJ12">
        <v>0</v>
      </c>
      <c r="EK12" s="14">
        <v>45505</v>
      </c>
      <c r="EL12" s="15">
        <v>-0.18</v>
      </c>
      <c r="EM12" s="15">
        <v>3.97</v>
      </c>
      <c r="EN12" s="15">
        <v>4.17</v>
      </c>
      <c r="EO12" s="15">
        <v>1.61</v>
      </c>
      <c r="EP12" s="15">
        <v>1.9</v>
      </c>
    </row>
    <row r="13" spans="1:146" ht="84" x14ac:dyDescent="0.25">
      <c r="A13" s="8"/>
      <c r="B13" s="8"/>
      <c r="C13" s="8" t="str">
        <f>""&amp;CHAR(10)&amp;Basic_Fundamental_Information_Constructure(F13)&amp;CHAR(10)&amp;Basic_Fundamental_Information_Concatenate("")</f>
        <v xml:space="preserve">
市值50.704982亿, 利润-4.43亿; PE; 平均PE-25.91; 平均PEG-3.66, PB1.34; ROIC2.05%; ROE-7.8933%; 股利率0%; 毛利30.3333%; 净利-39.3267%; 上一年度营收增-3.37%, 利润增52.62%; 当季营收增-20.93%, 利润增-476.87%; 过往5年营收增7.08%, 利润增-89.84%
Income profile:
</v>
      </c>
      <c r="D13" t="s">
        <v>82</v>
      </c>
      <c r="E13" t="s">
        <v>12</v>
      </c>
      <c r="F13">
        <v>3.82</v>
      </c>
      <c r="G13">
        <v>2.41</v>
      </c>
      <c r="H13" t="s">
        <v>2103</v>
      </c>
      <c r="I13">
        <v>5070498200</v>
      </c>
      <c r="K13">
        <v>1.34</v>
      </c>
      <c r="L13" t="s">
        <v>667</v>
      </c>
      <c r="M13" t="s">
        <v>1078</v>
      </c>
      <c r="N13" t="s">
        <v>705</v>
      </c>
      <c r="O13" t="s">
        <v>310</v>
      </c>
      <c r="P13">
        <v>-20.92</v>
      </c>
      <c r="Q13" t="s">
        <v>847</v>
      </c>
      <c r="R13">
        <v>-62500000</v>
      </c>
      <c r="S13" s="6">
        <v>-2.8889999999999998</v>
      </c>
      <c r="T13" t="s">
        <v>1079</v>
      </c>
      <c r="U13">
        <v>1250528060</v>
      </c>
      <c r="V13">
        <v>1327355560</v>
      </c>
      <c r="W13">
        <v>1.32</v>
      </c>
      <c r="X13">
        <v>0.05</v>
      </c>
      <c r="Y13">
        <v>-12.55</v>
      </c>
      <c r="Z13" t="s">
        <v>58</v>
      </c>
      <c r="AA13" t="s">
        <v>107</v>
      </c>
      <c r="AB13" t="s">
        <v>1579</v>
      </c>
      <c r="AC13" t="s">
        <v>1580</v>
      </c>
      <c r="AD13" t="s">
        <v>15</v>
      </c>
      <c r="AE13">
        <v>1744741</v>
      </c>
      <c r="AF13" t="s">
        <v>1080</v>
      </c>
      <c r="AG13" t="s">
        <v>1581</v>
      </c>
      <c r="AH13" t="s">
        <v>1081</v>
      </c>
      <c r="AI13" t="s">
        <v>902</v>
      </c>
      <c r="AJ13" t="s">
        <v>1082</v>
      </c>
      <c r="AK13" t="s">
        <v>231</v>
      </c>
      <c r="AL13" t="s">
        <v>1083</v>
      </c>
      <c r="AM13" t="s">
        <v>15</v>
      </c>
      <c r="AN13" t="s">
        <v>1084</v>
      </c>
      <c r="AO13" t="s">
        <v>79</v>
      </c>
      <c r="AP13" t="s">
        <v>1582</v>
      </c>
      <c r="AQ13" t="s">
        <v>1583</v>
      </c>
      <c r="AR13" t="s">
        <v>1584</v>
      </c>
      <c r="AS13" t="s">
        <v>1585</v>
      </c>
      <c r="AT13" t="s">
        <v>15</v>
      </c>
      <c r="AU13" t="s">
        <v>1586</v>
      </c>
      <c r="AV13" t="s">
        <v>1587</v>
      </c>
      <c r="AW13" t="s">
        <v>445</v>
      </c>
      <c r="AX13" t="s">
        <v>467</v>
      </c>
      <c r="AY13" t="s">
        <v>680</v>
      </c>
      <c r="AZ13" t="s">
        <v>254</v>
      </c>
      <c r="BA13" t="s">
        <v>83</v>
      </c>
      <c r="BB13" t="s">
        <v>260</v>
      </c>
      <c r="BC13" t="s">
        <v>826</v>
      </c>
      <c r="BD13" t="s">
        <v>527</v>
      </c>
      <c r="BE13" t="s">
        <v>255</v>
      </c>
      <c r="BF13" t="s">
        <v>43</v>
      </c>
      <c r="BG13" t="s">
        <v>223</v>
      </c>
      <c r="BH13" t="s">
        <v>847</v>
      </c>
      <c r="BI13" t="s">
        <v>90</v>
      </c>
      <c r="BJ13" t="s">
        <v>467</v>
      </c>
      <c r="BK13" t="s">
        <v>1079</v>
      </c>
      <c r="BL13" t="s">
        <v>1085</v>
      </c>
      <c r="BM13" t="s">
        <v>826</v>
      </c>
      <c r="BN13">
        <v>2.0499999999999998</v>
      </c>
      <c r="BO13" t="s">
        <v>15</v>
      </c>
      <c r="BP13" t="s">
        <v>15</v>
      </c>
      <c r="BQ13">
        <v>2.1</v>
      </c>
      <c r="BR13">
        <v>-20.64</v>
      </c>
      <c r="BS13">
        <v>-5.14</v>
      </c>
      <c r="BT13" t="s">
        <v>781</v>
      </c>
      <c r="BU13" t="s">
        <v>667</v>
      </c>
      <c r="BV13">
        <v>24.22</v>
      </c>
      <c r="BW13">
        <v>28.92</v>
      </c>
      <c r="BX13">
        <v>37.86</v>
      </c>
      <c r="BY13">
        <v>-34.07</v>
      </c>
      <c r="BZ13">
        <v>-69.010000000000005</v>
      </c>
      <c r="CA13">
        <v>-14.9</v>
      </c>
      <c r="CB13">
        <v>13.35</v>
      </c>
      <c r="CC13">
        <v>2.69</v>
      </c>
      <c r="CD13" t="s">
        <v>367</v>
      </c>
      <c r="CE13" t="s">
        <v>1267</v>
      </c>
      <c r="CF13" s="9">
        <v>-0.20930232558139536</v>
      </c>
      <c r="CG13" s="10">
        <v>-4.7686699911360879</v>
      </c>
      <c r="CH13" s="9">
        <v>-3.3724341541528702E-2</v>
      </c>
      <c r="CI13" s="9">
        <v>-0.15906289219856262</v>
      </c>
      <c r="CJ13" s="9">
        <v>0.33388158679008484</v>
      </c>
      <c r="CK13" s="9">
        <v>8.0888949334621429E-2</v>
      </c>
      <c r="CL13" s="9">
        <v>0.13179068267345428</v>
      </c>
      <c r="CM13" s="10">
        <v>0.5262032151222229</v>
      </c>
      <c r="CN13" s="10">
        <v>-2.8796679973602295</v>
      </c>
      <c r="CO13" s="10">
        <v>-2.40116286277771</v>
      </c>
      <c r="CP13" s="10">
        <v>0.25547444820404053</v>
      </c>
      <c r="CQ13" s="10">
        <v>7.3529412038624287E-3</v>
      </c>
      <c r="CR13">
        <v>-25.913960136286203</v>
      </c>
      <c r="CS13">
        <v>-3.6625022232814306</v>
      </c>
      <c r="CT13">
        <v>0</v>
      </c>
      <c r="CU13" s="9">
        <v>7.0754797011613843E-2</v>
      </c>
      <c r="CV13" s="10">
        <v>-0.8983600511215627</v>
      </c>
      <c r="CW13">
        <v>0.06</v>
      </c>
      <c r="CX13" t="e">
        <v>#VALUE!</v>
      </c>
      <c r="CY13" t="s">
        <v>568</v>
      </c>
      <c r="CZ13">
        <v>7.0754797011613843E-2</v>
      </c>
      <c r="DA13" t="e">
        <v>#VALUE!</v>
      </c>
      <c r="DB13" t="s">
        <v>569</v>
      </c>
      <c r="DC13">
        <v>6.7217057161033142E-2</v>
      </c>
      <c r="DD13" t="e">
        <v>#VALUE!</v>
      </c>
      <c r="DE13" t="s">
        <v>569</v>
      </c>
      <c r="DF13">
        <v>6.2264221370220182E-2</v>
      </c>
      <c r="DG13" t="e">
        <v>#VALUE!</v>
      </c>
      <c r="DH13" t="s">
        <v>569</v>
      </c>
      <c r="DI13">
        <v>5.660383760929108E-2</v>
      </c>
      <c r="DJ13" t="e">
        <v>#VALUE!</v>
      </c>
      <c r="DK13" t="s">
        <v>569</v>
      </c>
      <c r="DL13">
        <v>4.9528357908129685E-2</v>
      </c>
      <c r="DM13">
        <v>-443000000</v>
      </c>
      <c r="DN13">
        <v>7.0754797011613843E-2</v>
      </c>
      <c r="DO13">
        <v>2690498200</v>
      </c>
      <c r="DP13">
        <v>1765434300</v>
      </c>
      <c r="DQ13">
        <v>916</v>
      </c>
      <c r="DR13">
        <v>-0.28005712259300919</v>
      </c>
      <c r="DS13">
        <v>-3.8703099400145251</v>
      </c>
      <c r="DT13" s="11">
        <v>-0.45666666666666672</v>
      </c>
      <c r="DU13">
        <v>-2.4316666666666666</v>
      </c>
      <c r="DV13">
        <v>-2.8883333333333332</v>
      </c>
      <c r="DW13">
        <v>5.2014981273408241</v>
      </c>
      <c r="DX13">
        <v>0.72953445065177247</v>
      </c>
      <c r="DY13">
        <v>5.0502807245133523</v>
      </c>
      <c r="DZ13">
        <v>4846</v>
      </c>
      <c r="EA13">
        <v>5.0025790034891342</v>
      </c>
      <c r="EB13">
        <v>5</v>
      </c>
      <c r="EC13">
        <v>0.10095260383736217</v>
      </c>
      <c r="ED13">
        <v>0.40456379299002598</v>
      </c>
      <c r="EE13" s="12">
        <v>-5.0735000000000001</v>
      </c>
      <c r="EF13">
        <v>-5.0975999999999999</v>
      </c>
      <c r="EG13">
        <v>48.249534450651772</v>
      </c>
      <c r="EH13" t="s">
        <v>1703</v>
      </c>
      <c r="EI13">
        <v>1</v>
      </c>
      <c r="EJ13">
        <v>0</v>
      </c>
      <c r="EK13" s="14">
        <v>45505</v>
      </c>
      <c r="EL13" s="15">
        <v>0</v>
      </c>
      <c r="EM13" s="15">
        <v>3.86</v>
      </c>
      <c r="EN13" s="15">
        <v>2.29</v>
      </c>
      <c r="EO13" s="15">
        <v>2.19</v>
      </c>
      <c r="EP13" s="15">
        <v>2.41</v>
      </c>
    </row>
    <row r="14" spans="1:146" ht="228" x14ac:dyDescent="0.25">
      <c r="A14" s="8" t="s">
        <v>636</v>
      </c>
      <c r="B14" s="8"/>
      <c r="C14" s="8" t="s">
        <v>641</v>
      </c>
      <c r="D14" t="s">
        <v>421</v>
      </c>
      <c r="E14" t="s">
        <v>422</v>
      </c>
      <c r="F14">
        <v>6.31</v>
      </c>
      <c r="G14">
        <v>-0.32</v>
      </c>
      <c r="H14" t="s">
        <v>2104</v>
      </c>
      <c r="I14">
        <v>26948345000</v>
      </c>
      <c r="J14">
        <v>2088</v>
      </c>
      <c r="K14">
        <v>3.96</v>
      </c>
      <c r="L14" t="s">
        <v>667</v>
      </c>
      <c r="M14" t="s">
        <v>1086</v>
      </c>
      <c r="N14" t="s">
        <v>1588</v>
      </c>
      <c r="O14" t="s">
        <v>1087</v>
      </c>
      <c r="P14">
        <v>5.57</v>
      </c>
      <c r="Q14" t="s">
        <v>1038</v>
      </c>
      <c r="R14">
        <v>17000000</v>
      </c>
      <c r="S14" s="6">
        <v>-0.86729999999999996</v>
      </c>
      <c r="T14" t="s">
        <v>1088</v>
      </c>
      <c r="U14">
        <v>3398612400</v>
      </c>
      <c r="V14">
        <v>4270736100</v>
      </c>
      <c r="W14">
        <v>1.29</v>
      </c>
      <c r="X14">
        <v>0.05</v>
      </c>
      <c r="Y14">
        <v>1.79</v>
      </c>
      <c r="Z14" t="s">
        <v>1399</v>
      </c>
      <c r="AA14" t="s">
        <v>174</v>
      </c>
      <c r="AB14" t="s">
        <v>1589</v>
      </c>
      <c r="AC14" t="s">
        <v>1590</v>
      </c>
      <c r="AD14" t="s">
        <v>15</v>
      </c>
      <c r="AE14">
        <v>4983452</v>
      </c>
      <c r="AF14" t="s">
        <v>66</v>
      </c>
      <c r="AG14" t="s">
        <v>1591</v>
      </c>
      <c r="AH14" t="s">
        <v>1089</v>
      </c>
      <c r="AI14" t="s">
        <v>1592</v>
      </c>
      <c r="AJ14" t="s">
        <v>1090</v>
      </c>
      <c r="AK14" t="s">
        <v>1593</v>
      </c>
      <c r="AL14" t="s">
        <v>1091</v>
      </c>
      <c r="AM14" t="s">
        <v>15</v>
      </c>
      <c r="AN14" t="s">
        <v>217</v>
      </c>
      <c r="AO14" t="s">
        <v>1594</v>
      </c>
      <c r="AP14" t="s">
        <v>1595</v>
      </c>
      <c r="AQ14" t="s">
        <v>1596</v>
      </c>
      <c r="AR14" t="s">
        <v>15</v>
      </c>
      <c r="AS14" t="s">
        <v>1597</v>
      </c>
      <c r="AT14" t="s">
        <v>33</v>
      </c>
      <c r="AU14" t="s">
        <v>1598</v>
      </c>
      <c r="AV14" t="s">
        <v>1599</v>
      </c>
      <c r="AW14" t="s">
        <v>239</v>
      </c>
      <c r="AX14" t="s">
        <v>778</v>
      </c>
      <c r="AY14" t="s">
        <v>635</v>
      </c>
      <c r="AZ14" t="s">
        <v>423</v>
      </c>
      <c r="BA14" t="s">
        <v>424</v>
      </c>
      <c r="BB14" t="s">
        <v>210</v>
      </c>
      <c r="BC14" t="s">
        <v>707</v>
      </c>
      <c r="BD14" t="s">
        <v>528</v>
      </c>
      <c r="BE14" t="s">
        <v>350</v>
      </c>
      <c r="BF14" t="s">
        <v>425</v>
      </c>
      <c r="BG14" t="s">
        <v>114</v>
      </c>
      <c r="BH14" t="s">
        <v>1038</v>
      </c>
      <c r="BI14" t="s">
        <v>901</v>
      </c>
      <c r="BJ14" t="s">
        <v>778</v>
      </c>
      <c r="BK14" t="s">
        <v>1088</v>
      </c>
      <c r="BL14" t="s">
        <v>1092</v>
      </c>
      <c r="BM14" t="s">
        <v>707</v>
      </c>
      <c r="BN14">
        <v>3.4</v>
      </c>
      <c r="BO14">
        <v>6.01</v>
      </c>
      <c r="BP14">
        <v>17.100000000000001</v>
      </c>
      <c r="BQ14">
        <v>4.0199999999999996</v>
      </c>
      <c r="BR14">
        <v>6.94</v>
      </c>
      <c r="BS14">
        <v>17.46</v>
      </c>
      <c r="BT14" t="s">
        <v>856</v>
      </c>
      <c r="BU14" t="s">
        <v>667</v>
      </c>
      <c r="BV14">
        <v>43.72</v>
      </c>
      <c r="BW14">
        <v>46.71</v>
      </c>
      <c r="BX14">
        <v>55.93</v>
      </c>
      <c r="BY14">
        <v>2.85</v>
      </c>
      <c r="BZ14">
        <v>19.899999999999999</v>
      </c>
      <c r="CA14">
        <v>31.77</v>
      </c>
      <c r="CB14">
        <v>9.5500000000000007</v>
      </c>
      <c r="CC14">
        <v>0.96</v>
      </c>
      <c r="CD14" t="s">
        <v>851</v>
      </c>
      <c r="CE14" t="s">
        <v>2105</v>
      </c>
      <c r="CF14" s="9">
        <v>5.6433408577878104E-2</v>
      </c>
      <c r="CG14" s="10">
        <v>-0.73089811961103701</v>
      </c>
      <c r="CH14" s="9">
        <v>-4.5077055692672729E-2</v>
      </c>
      <c r="CI14" s="9">
        <v>-0.27742859721183777</v>
      </c>
      <c r="CJ14" s="9">
        <v>4.9790002405643463E-2</v>
      </c>
      <c r="CK14" s="9">
        <v>1.0354090929031372</v>
      </c>
      <c r="CL14" s="9">
        <v>0.5110701322555542</v>
      </c>
      <c r="CM14" s="10">
        <v>-0.865142822265625</v>
      </c>
      <c r="CN14" s="10">
        <v>-0.54815483093261719</v>
      </c>
      <c r="CO14" s="10">
        <v>0.1098901703953743</v>
      </c>
      <c r="CP14" s="10">
        <v>3.529411792755127</v>
      </c>
      <c r="CQ14" s="10">
        <v>0.67424243688583374</v>
      </c>
      <c r="CR14">
        <v>53.280443067437709</v>
      </c>
      <c r="CS14">
        <v>2.0914573209422702</v>
      </c>
      <c r="CT14">
        <v>0.22187004754358164</v>
      </c>
      <c r="CU14" s="9">
        <v>0.25475271493196489</v>
      </c>
      <c r="CV14" s="10">
        <v>0.58004934936761854</v>
      </c>
      <c r="CW14">
        <v>0.06</v>
      </c>
      <c r="CX14">
        <v>274.27404031946691</v>
      </c>
      <c r="CY14">
        <v>80136439.35969682</v>
      </c>
      <c r="CZ14">
        <v>0.25475271493196489</v>
      </c>
      <c r="DA14">
        <v>78.17106581179759</v>
      </c>
      <c r="DB14">
        <v>281169826.35131061</v>
      </c>
      <c r="DC14">
        <v>0.24201507918536663</v>
      </c>
      <c r="DD14">
        <v>31.72078782287689</v>
      </c>
      <c r="DE14">
        <v>692900350.4808476</v>
      </c>
      <c r="DF14">
        <v>0.22418238914012911</v>
      </c>
      <c r="DG14">
        <v>15.099347792023364</v>
      </c>
      <c r="DH14">
        <v>1455648634.8113115</v>
      </c>
      <c r="DI14">
        <v>0.20380217194557193</v>
      </c>
      <c r="DJ14">
        <v>4.4647265982204232</v>
      </c>
      <c r="DK14">
        <v>4922887105.5084667</v>
      </c>
      <c r="DL14">
        <v>0.1783269004523754</v>
      </c>
      <c r="DM14">
        <v>67698300</v>
      </c>
      <c r="DN14">
        <v>0.25475271493196489</v>
      </c>
      <c r="DO14">
        <v>21979345000</v>
      </c>
      <c r="DP14">
        <v>3757777300</v>
      </c>
      <c r="DQ14">
        <v>917</v>
      </c>
      <c r="DR14">
        <v>-0.19831930635408679</v>
      </c>
      <c r="DS14">
        <v>-1.3109474689786556</v>
      </c>
      <c r="DT14" s="11">
        <v>-0.25666666666666665</v>
      </c>
      <c r="DU14">
        <v>-0.32166666666666677</v>
      </c>
      <c r="DV14">
        <v>-0.57833333333333337</v>
      </c>
      <c r="DW14">
        <v>5.1005235602094237</v>
      </c>
      <c r="DX14">
        <v>0.44540540540540491</v>
      </c>
      <c r="DY14">
        <v>5.0256742606480822</v>
      </c>
      <c r="DZ14">
        <v>3069</v>
      </c>
      <c r="EA14">
        <v>5.0102485938648078</v>
      </c>
      <c r="EB14">
        <v>5</v>
      </c>
      <c r="EC14">
        <v>4.4254666075012224E-2</v>
      </c>
      <c r="ED14">
        <v>0.17327223754237589</v>
      </c>
      <c r="EE14" s="12">
        <v>-3.0556999999999999</v>
      </c>
      <c r="EF14">
        <v>-3.0525000000000002</v>
      </c>
      <c r="EG14">
        <v>19.255405405405405</v>
      </c>
      <c r="EH14" t="s">
        <v>2106</v>
      </c>
      <c r="EI14">
        <v>1</v>
      </c>
      <c r="EJ14">
        <v>0</v>
      </c>
      <c r="EK14" s="14">
        <v>45505</v>
      </c>
      <c r="EL14" s="15">
        <v>-1.03</v>
      </c>
      <c r="EM14" s="15">
        <v>5.21</v>
      </c>
      <c r="EN14" s="15">
        <v>3.8</v>
      </c>
      <c r="EO14" s="15">
        <v>1.28</v>
      </c>
      <c r="EP14" s="15">
        <v>-0.32</v>
      </c>
    </row>
    <row r="15" spans="1:146" ht="84" x14ac:dyDescent="0.25">
      <c r="A15" s="8"/>
      <c r="B15" s="8"/>
      <c r="C15" s="8" t="str">
        <f>""&amp;CHAR(10)&amp;Basic_Fundamental_Information_Constructure(F15)&amp;CHAR(10)&amp;Basic_Fundamental_Information_Concatenate("")</f>
        <v xml:space="preserve">
市值54.278578亿, 利润5239.31万; PE401.7; 平均PE-87.88; 平均PEG-94.05, PB1.68; ROIC6.275%; ROE2.01%; 股利率0%; 毛利38.4267%; 净利-.2633%; 上一年度营收增-16.58%, 利润增-78.53%; 当季营收增-19.13%, 利润增-31.75%; 过往5年营收增-.93%, 利润增-136.45%
Income profile:
</v>
      </c>
      <c r="D15" t="s">
        <v>426</v>
      </c>
      <c r="E15" t="s">
        <v>427</v>
      </c>
      <c r="F15">
        <v>5.93</v>
      </c>
      <c r="G15">
        <v>2.2400000000000002</v>
      </c>
      <c r="H15" t="s">
        <v>2107</v>
      </c>
      <c r="I15">
        <v>5427857800</v>
      </c>
      <c r="J15">
        <v>401.7</v>
      </c>
      <c r="K15">
        <v>1.68</v>
      </c>
      <c r="L15" t="s">
        <v>667</v>
      </c>
      <c r="M15" t="s">
        <v>932</v>
      </c>
      <c r="N15" t="s">
        <v>1601</v>
      </c>
      <c r="O15" t="s">
        <v>167</v>
      </c>
      <c r="P15">
        <v>-19.190000000000001</v>
      </c>
      <c r="Q15" t="s">
        <v>1093</v>
      </c>
      <c r="R15">
        <v>50000000</v>
      </c>
      <c r="S15" s="7">
        <v>-0.53080000000000005</v>
      </c>
      <c r="T15" t="s">
        <v>1094</v>
      </c>
      <c r="U15">
        <v>846557190</v>
      </c>
      <c r="V15">
        <v>914195620</v>
      </c>
      <c r="W15">
        <v>1.32</v>
      </c>
      <c r="X15">
        <v>7.0000000000000007E-2</v>
      </c>
      <c r="Y15">
        <v>12.16</v>
      </c>
      <c r="Z15" t="s">
        <v>49</v>
      </c>
      <c r="AA15" t="s">
        <v>575</v>
      </c>
      <c r="AB15" t="s">
        <v>1602</v>
      </c>
      <c r="AC15" t="s">
        <v>1603</v>
      </c>
      <c r="AD15" t="s">
        <v>15</v>
      </c>
      <c r="AE15">
        <v>-900932</v>
      </c>
      <c r="AF15" t="s">
        <v>1096</v>
      </c>
      <c r="AG15" t="s">
        <v>1604</v>
      </c>
      <c r="AH15" t="s">
        <v>1097</v>
      </c>
      <c r="AI15" t="s">
        <v>228</v>
      </c>
      <c r="AJ15" t="s">
        <v>1098</v>
      </c>
      <c r="AK15" t="s">
        <v>325</v>
      </c>
      <c r="AL15" t="s">
        <v>1099</v>
      </c>
      <c r="AM15" t="s">
        <v>15</v>
      </c>
      <c r="AN15" t="s">
        <v>31</v>
      </c>
      <c r="AO15" t="s">
        <v>120</v>
      </c>
      <c r="AP15" t="s">
        <v>51</v>
      </c>
      <c r="AQ15" t="s">
        <v>267</v>
      </c>
      <c r="AR15" t="s">
        <v>1100</v>
      </c>
      <c r="AS15" t="s">
        <v>1605</v>
      </c>
      <c r="AT15" t="s">
        <v>223</v>
      </c>
      <c r="AU15" t="s">
        <v>1606</v>
      </c>
      <c r="AV15" t="s">
        <v>1607</v>
      </c>
      <c r="AW15" t="s">
        <v>1608</v>
      </c>
      <c r="AX15" t="s">
        <v>802</v>
      </c>
      <c r="AY15" t="s">
        <v>684</v>
      </c>
      <c r="AZ15" t="s">
        <v>428</v>
      </c>
      <c r="BA15" t="s">
        <v>429</v>
      </c>
      <c r="BB15" t="s">
        <v>253</v>
      </c>
      <c r="BC15" t="s">
        <v>213</v>
      </c>
      <c r="BD15" t="s">
        <v>445</v>
      </c>
      <c r="BE15" t="s">
        <v>414</v>
      </c>
      <c r="BF15" t="s">
        <v>430</v>
      </c>
      <c r="BG15" t="s">
        <v>38</v>
      </c>
      <c r="BH15" t="s">
        <v>1093</v>
      </c>
      <c r="BI15" t="s">
        <v>249</v>
      </c>
      <c r="BJ15" t="s">
        <v>802</v>
      </c>
      <c r="BK15" t="s">
        <v>1094</v>
      </c>
      <c r="BL15" t="s">
        <v>1101</v>
      </c>
      <c r="BM15" t="s">
        <v>213</v>
      </c>
      <c r="BN15">
        <v>4.8</v>
      </c>
      <c r="BO15">
        <v>7.75</v>
      </c>
      <c r="BP15" t="s">
        <v>15</v>
      </c>
      <c r="BQ15">
        <v>5.07</v>
      </c>
      <c r="BR15">
        <v>8.18</v>
      </c>
      <c r="BS15">
        <v>-7.22</v>
      </c>
      <c r="BT15" t="s">
        <v>781</v>
      </c>
      <c r="BU15" t="s">
        <v>667</v>
      </c>
      <c r="BV15">
        <v>37.58</v>
      </c>
      <c r="BW15">
        <v>39.14</v>
      </c>
      <c r="BX15">
        <v>38.56</v>
      </c>
      <c r="BY15">
        <v>4.38</v>
      </c>
      <c r="BZ15">
        <v>17.04</v>
      </c>
      <c r="CA15">
        <v>-22.21</v>
      </c>
      <c r="CB15">
        <v>15.37</v>
      </c>
      <c r="CC15">
        <v>1.89</v>
      </c>
      <c r="CD15" t="s">
        <v>2080</v>
      </c>
      <c r="CE15" t="s">
        <v>2108</v>
      </c>
      <c r="CF15" s="9">
        <v>-0.19130434782608696</v>
      </c>
      <c r="CG15" s="10">
        <v>-0.31745366534207176</v>
      </c>
      <c r="CH15" s="9">
        <v>-0.16584679484367371</v>
      </c>
      <c r="CI15" s="9">
        <v>0.47921004891395569</v>
      </c>
      <c r="CJ15" s="9">
        <v>-0.15982528030872345</v>
      </c>
      <c r="CK15" s="9">
        <v>-0.14167921245098114</v>
      </c>
      <c r="CL15" s="9">
        <v>-5.8574412018060684E-2</v>
      </c>
      <c r="CM15" s="10">
        <v>-0.78527414798736572</v>
      </c>
      <c r="CN15" s="10">
        <v>2.1509432792663574</v>
      </c>
      <c r="CO15" s="10">
        <v>-2.1712706089019775</v>
      </c>
      <c r="CP15" s="10">
        <v>1.239101767539978</v>
      </c>
      <c r="CQ15" s="10">
        <v>-7.2561984062194824</v>
      </c>
      <c r="CR15">
        <v>-87.875176635944996</v>
      </c>
      <c r="CS15">
        <v>-94.053251217871235</v>
      </c>
      <c r="CT15">
        <v>0</v>
      </c>
      <c r="CU15" s="9">
        <v>-9.343130141496658E-3</v>
      </c>
      <c r="CV15" s="10">
        <v>-1.364539623260498</v>
      </c>
      <c r="CW15">
        <v>0.06</v>
      </c>
      <c r="CX15">
        <v>61.703884671836562</v>
      </c>
      <c r="CY15" t="s">
        <v>1102</v>
      </c>
      <c r="CZ15">
        <v>-9.343130141496658E-3</v>
      </c>
      <c r="DA15">
        <v>20.567961557278853</v>
      </c>
      <c r="DB15" t="s">
        <v>1103</v>
      </c>
      <c r="DC15">
        <v>-8.8759736344218246E-3</v>
      </c>
      <c r="DD15">
        <v>10.283980778639426</v>
      </c>
      <c r="DE15" t="s">
        <v>1104</v>
      </c>
      <c r="DF15">
        <v>-8.2219545245170583E-3</v>
      </c>
      <c r="DG15">
        <v>6.1703884671836562</v>
      </c>
      <c r="DH15" t="s">
        <v>1105</v>
      </c>
      <c r="DI15">
        <v>-7.4745041131973264E-3</v>
      </c>
      <c r="DJ15">
        <v>3.0851942335918281</v>
      </c>
      <c r="DK15" t="s">
        <v>1106</v>
      </c>
      <c r="DL15">
        <v>-6.5401910990476606E-3</v>
      </c>
      <c r="DM15">
        <v>52393100.000000007</v>
      </c>
      <c r="DN15">
        <v>-9.343130141496658E-3</v>
      </c>
      <c r="DO15">
        <v>3232857800</v>
      </c>
      <c r="DP15">
        <v>1668380500</v>
      </c>
      <c r="DQ15">
        <v>947</v>
      </c>
      <c r="DR15">
        <v>-0.18196121768459031</v>
      </c>
      <c r="DS15">
        <v>1.0470859579184264</v>
      </c>
      <c r="DT15" s="11">
        <v>-0.59</v>
      </c>
      <c r="DU15">
        <v>-1.5233333333333334</v>
      </c>
      <c r="DV15">
        <v>-2.1133333333333333</v>
      </c>
      <c r="DW15">
        <v>5.1229668184775541</v>
      </c>
      <c r="DX15">
        <v>0.53752151462994679</v>
      </c>
      <c r="DY15">
        <v>5.0292072649740147</v>
      </c>
      <c r="DZ15">
        <v>4450</v>
      </c>
      <c r="EA15">
        <v>5.0037624080565584</v>
      </c>
      <c r="EB15">
        <v>5</v>
      </c>
      <c r="EC15">
        <v>0.15095237494137195</v>
      </c>
      <c r="ED15">
        <v>0.63553137565896456</v>
      </c>
      <c r="EE15" s="12">
        <v>7.9100000000000004E-3</v>
      </c>
      <c r="EF15">
        <v>1.4500000000000002E-2</v>
      </c>
      <c r="EG15">
        <v>30.237521514629947</v>
      </c>
      <c r="EH15" t="s">
        <v>511</v>
      </c>
      <c r="EI15">
        <v>1</v>
      </c>
      <c r="EJ15">
        <v>0</v>
      </c>
      <c r="EK15" s="14">
        <v>45505</v>
      </c>
      <c r="EL15" s="15">
        <v>0.59</v>
      </c>
      <c r="EM15" s="15">
        <v>3.89</v>
      </c>
      <c r="EN15" s="15">
        <v>3.37</v>
      </c>
      <c r="EO15" s="15">
        <v>2.65</v>
      </c>
      <c r="EP15" s="15">
        <v>2.2400000000000002</v>
      </c>
    </row>
    <row r="16" spans="1:146" ht="84" x14ac:dyDescent="0.25">
      <c r="A16" s="8"/>
      <c r="B16" s="8"/>
      <c r="C16" s="8" t="str">
        <f>""&amp;CHAR(10)&amp;Basic_Fundamental_Information_Constructure(F16)&amp;CHAR(10)&amp;Basic_Fundamental_Information_Concatenate("")</f>
        <v xml:space="preserve">
市值252.89888亿, 利润7.03亿; PE35.96; 平均PE42.56; 平均PEG4.56, PB1.96; ROIC4.8867%; ROE5.4133%; 股利率1.472%; 毛利34.9667%; 净利12.1467%; 上一年度营收增14.83%, 利润增5.24%; 当季营收增10.64%, 利润增.58%; 过往5年营收增9.34%, 利润增10.24%
Income profile:
</v>
      </c>
      <c r="D16" t="s">
        <v>84</v>
      </c>
      <c r="E16" t="s">
        <v>85</v>
      </c>
      <c r="F16">
        <v>10.19</v>
      </c>
      <c r="G16">
        <v>2.1</v>
      </c>
      <c r="H16" t="s">
        <v>2109</v>
      </c>
      <c r="I16">
        <v>25289888000</v>
      </c>
      <c r="J16">
        <v>35.96</v>
      </c>
      <c r="K16">
        <v>1.96</v>
      </c>
      <c r="L16" t="s">
        <v>667</v>
      </c>
      <c r="M16" t="s">
        <v>1107</v>
      </c>
      <c r="N16" t="s">
        <v>1609</v>
      </c>
      <c r="O16" t="s">
        <v>1108</v>
      </c>
      <c r="P16">
        <v>10.67</v>
      </c>
      <c r="Q16" t="s">
        <v>1109</v>
      </c>
      <c r="R16">
        <v>42507169</v>
      </c>
      <c r="S16" s="6">
        <v>5.7999999999999996E-3</v>
      </c>
      <c r="T16" t="s">
        <v>1110</v>
      </c>
      <c r="U16">
        <v>2431731500</v>
      </c>
      <c r="V16">
        <v>2481833900</v>
      </c>
      <c r="W16">
        <v>1.43</v>
      </c>
      <c r="X16">
        <v>0.06</v>
      </c>
      <c r="Y16">
        <v>4.62</v>
      </c>
      <c r="Z16" t="s">
        <v>1610</v>
      </c>
      <c r="AA16" t="s">
        <v>460</v>
      </c>
      <c r="AB16" t="s">
        <v>1611</v>
      </c>
      <c r="AC16" t="s">
        <v>1612</v>
      </c>
      <c r="AD16" t="s">
        <v>15</v>
      </c>
      <c r="AE16">
        <v>-9560934</v>
      </c>
      <c r="AF16" t="s">
        <v>1111</v>
      </c>
      <c r="AG16" t="s">
        <v>1613</v>
      </c>
      <c r="AH16" t="s">
        <v>1112</v>
      </c>
      <c r="AI16" t="s">
        <v>1614</v>
      </c>
      <c r="AJ16" t="s">
        <v>1113</v>
      </c>
      <c r="AK16" t="s">
        <v>832</v>
      </c>
      <c r="AL16" t="s">
        <v>1114</v>
      </c>
      <c r="AM16" t="s">
        <v>15</v>
      </c>
      <c r="AN16" t="s">
        <v>905</v>
      </c>
      <c r="AO16" t="s">
        <v>1615</v>
      </c>
      <c r="AP16" t="s">
        <v>575</v>
      </c>
      <c r="AQ16" t="s">
        <v>1515</v>
      </c>
      <c r="AR16" t="s">
        <v>1616</v>
      </c>
      <c r="AS16" t="s">
        <v>1617</v>
      </c>
      <c r="AT16" t="s">
        <v>390</v>
      </c>
      <c r="AU16" t="s">
        <v>1618</v>
      </c>
      <c r="AV16" t="s">
        <v>1619</v>
      </c>
      <c r="AW16" t="s">
        <v>397</v>
      </c>
      <c r="AX16" t="s">
        <v>827</v>
      </c>
      <c r="AY16" t="s">
        <v>685</v>
      </c>
      <c r="AZ16" t="s">
        <v>261</v>
      </c>
      <c r="BA16" t="s">
        <v>86</v>
      </c>
      <c r="BB16" t="s">
        <v>262</v>
      </c>
      <c r="BC16" t="s">
        <v>279</v>
      </c>
      <c r="BD16" t="s">
        <v>300</v>
      </c>
      <c r="BE16" t="s">
        <v>117</v>
      </c>
      <c r="BF16" t="s">
        <v>87</v>
      </c>
      <c r="BG16" t="s">
        <v>263</v>
      </c>
      <c r="BH16" t="s">
        <v>1109</v>
      </c>
      <c r="BI16" t="s">
        <v>1115</v>
      </c>
      <c r="BJ16" t="s">
        <v>827</v>
      </c>
      <c r="BK16" t="s">
        <v>1110</v>
      </c>
      <c r="BL16" t="s">
        <v>1116</v>
      </c>
      <c r="BM16" t="s">
        <v>279</v>
      </c>
      <c r="BN16">
        <v>2.85</v>
      </c>
      <c r="BO16">
        <v>5.88</v>
      </c>
      <c r="BP16">
        <v>5.93</v>
      </c>
      <c r="BQ16">
        <v>3.36</v>
      </c>
      <c r="BR16">
        <v>6.41</v>
      </c>
      <c r="BS16">
        <v>6.47</v>
      </c>
      <c r="BT16" t="s">
        <v>784</v>
      </c>
      <c r="BU16" t="s">
        <v>667</v>
      </c>
      <c r="BV16">
        <v>32.590000000000003</v>
      </c>
      <c r="BW16">
        <v>34.97</v>
      </c>
      <c r="BX16">
        <v>37.340000000000003</v>
      </c>
      <c r="BY16">
        <v>11.37</v>
      </c>
      <c r="BZ16">
        <v>12.4</v>
      </c>
      <c r="CA16">
        <v>12.67</v>
      </c>
      <c r="CB16">
        <v>10.64</v>
      </c>
      <c r="CC16">
        <v>-1.07</v>
      </c>
      <c r="CD16" t="s">
        <v>417</v>
      </c>
      <c r="CE16" t="s">
        <v>2110</v>
      </c>
      <c r="CF16" s="9">
        <v>0.10638297872340426</v>
      </c>
      <c r="CG16" s="10">
        <v>5.798788985876234E-3</v>
      </c>
      <c r="CH16" s="9">
        <v>0.14832620322704315</v>
      </c>
      <c r="CI16" s="9">
        <v>2.5940835475921631E-2</v>
      </c>
      <c r="CJ16" s="9">
        <v>6.8723157048225403E-2</v>
      </c>
      <c r="CK16" s="9">
        <v>0.1117863655090332</v>
      </c>
      <c r="CL16" s="9">
        <v>0.11199613660573959</v>
      </c>
      <c r="CM16" s="10">
        <v>5.2395209670066833E-2</v>
      </c>
      <c r="CN16" s="10">
        <v>2.1406726911664009E-2</v>
      </c>
      <c r="CO16" s="10">
        <v>0.11604095250368118</v>
      </c>
      <c r="CP16" s="10">
        <v>0.12909440696239471</v>
      </c>
      <c r="CQ16" s="10">
        <v>0.19310344755649567</v>
      </c>
      <c r="CR16">
        <v>42.563626367461431</v>
      </c>
      <c r="CS16">
        <v>4.5593526101738568</v>
      </c>
      <c r="CT16">
        <v>1.4720314033366046</v>
      </c>
      <c r="CU16" s="9">
        <v>9.3354539573192591E-2</v>
      </c>
      <c r="CV16" s="10">
        <v>0.10240814872086049</v>
      </c>
      <c r="CW16">
        <v>0.06</v>
      </c>
      <c r="CX16">
        <v>24.398532700015096</v>
      </c>
      <c r="CY16">
        <v>725120982.3773154</v>
      </c>
      <c r="CZ16">
        <v>9.3354539573192591E-2</v>
      </c>
      <c r="DA16">
        <v>7.9506051703621106</v>
      </c>
      <c r="DB16">
        <v>2225225328.2493491</v>
      </c>
      <c r="DC16">
        <v>8.8686812594532954E-2</v>
      </c>
      <c r="DD16">
        <v>3.899045604107811</v>
      </c>
      <c r="DE16">
        <v>4537491939.4020014</v>
      </c>
      <c r="DF16">
        <v>8.2151994824409477E-2</v>
      </c>
      <c r="DG16">
        <v>2.3314097949844932</v>
      </c>
      <c r="DH16">
        <v>7588493467.7979574</v>
      </c>
      <c r="DI16">
        <v>7.4683631658554073E-2</v>
      </c>
      <c r="DJ16">
        <v>1.1930430832984862</v>
      </c>
      <c r="DK16">
        <v>14829211323.270952</v>
      </c>
      <c r="DL16">
        <v>6.5348177701234814E-2</v>
      </c>
      <c r="DM16">
        <v>703000000</v>
      </c>
      <c r="DN16">
        <v>9.3354539573192591E-2</v>
      </c>
      <c r="DO16">
        <v>17691888000</v>
      </c>
      <c r="DP16">
        <v>7784703300</v>
      </c>
      <c r="DQ16">
        <v>963</v>
      </c>
      <c r="DR16">
        <v>1.3028439150211665E-2</v>
      </c>
      <c r="DS16">
        <v>-9.6609359734984246E-2</v>
      </c>
      <c r="DT16" s="11">
        <v>-0.44</v>
      </c>
      <c r="DU16">
        <v>9.9999999999999992E-2</v>
      </c>
      <c r="DV16">
        <v>-0.34</v>
      </c>
      <c r="DW16">
        <v>5.1005639097744364</v>
      </c>
      <c r="DX16">
        <v>0.54037460978147611</v>
      </c>
      <c r="DY16">
        <v>5.0241730105701299</v>
      </c>
      <c r="DZ16">
        <v>2616</v>
      </c>
      <c r="EA16">
        <v>5.0117930975608385</v>
      </c>
      <c r="EB16">
        <v>5</v>
      </c>
      <c r="EC16">
        <v>9.3076333593476987E-2</v>
      </c>
      <c r="ED16">
        <v>0.38721366486290643</v>
      </c>
      <c r="EE16" s="12">
        <v>3.0031099999999999</v>
      </c>
      <c r="EF16">
        <v>3.0179</v>
      </c>
      <c r="EG16">
        <v>30.240374609781476</v>
      </c>
      <c r="EH16" t="s">
        <v>799</v>
      </c>
      <c r="EI16">
        <v>1</v>
      </c>
      <c r="EJ16">
        <v>0</v>
      </c>
      <c r="EK16" s="14">
        <v>45505</v>
      </c>
      <c r="EL16" s="15">
        <v>-0.54</v>
      </c>
      <c r="EM16" s="15">
        <v>4.2300000000000004</v>
      </c>
      <c r="EN16" s="15">
        <v>0.31</v>
      </c>
      <c r="EO16" s="15">
        <v>2.78</v>
      </c>
      <c r="EP16" s="15">
        <v>2.1</v>
      </c>
    </row>
    <row r="17" spans="1:146" ht="96" x14ac:dyDescent="0.25">
      <c r="C17" s="8" t="str">
        <f>""&amp;CHAR(10)&amp;Basic_Fundamental_Information_Constructure(F17)&amp;CHAR(10)&amp;Basic_Fundamental_Information_Concatenate("")</f>
        <v xml:space="preserve">
市值59.813481亿, 利润1.87亿; PE27.42; 平均PE-80.35; 平均PEG-17.45, PB1.83; ROIC3.5633%; ROE3.7167%; 股利率1.8832%; 毛利37.1067%; 净利10.7733%; 上一年度营收增-13.96%, 利润增-4.59%; 当季营收增-10.13%, 利润增49.7%; 过往5年营收增-4.6%, 利润增258.72%
Income profile:
</v>
      </c>
      <c r="D17" t="s">
        <v>829</v>
      </c>
      <c r="E17" t="s">
        <v>830</v>
      </c>
      <c r="F17">
        <v>5.31</v>
      </c>
      <c r="G17">
        <v>2.12</v>
      </c>
      <c r="H17" t="s">
        <v>2111</v>
      </c>
      <c r="I17">
        <v>5981348100</v>
      </c>
      <c r="J17">
        <v>27.42</v>
      </c>
      <c r="K17">
        <v>1.83</v>
      </c>
      <c r="L17" t="s">
        <v>667</v>
      </c>
      <c r="M17" t="s">
        <v>1117</v>
      </c>
      <c r="N17" t="s">
        <v>1620</v>
      </c>
      <c r="O17" t="s">
        <v>558</v>
      </c>
      <c r="P17" s="6">
        <v>-9.9700000000000006</v>
      </c>
      <c r="Q17" t="s">
        <v>1118</v>
      </c>
      <c r="R17">
        <v>93994433</v>
      </c>
      <c r="S17">
        <v>0.497</v>
      </c>
      <c r="T17" t="s">
        <v>162</v>
      </c>
      <c r="U17">
        <v>1116299880</v>
      </c>
      <c r="V17">
        <v>1126430900</v>
      </c>
      <c r="W17">
        <v>1.33</v>
      </c>
      <c r="X17">
        <v>0.06</v>
      </c>
      <c r="Y17">
        <v>32.799999999999997</v>
      </c>
      <c r="Z17" t="s">
        <v>56</v>
      </c>
      <c r="AA17" t="s">
        <v>156</v>
      </c>
      <c r="AB17" t="s">
        <v>1621</v>
      </c>
      <c r="AC17" t="s">
        <v>1622</v>
      </c>
      <c r="AD17" t="s">
        <v>15</v>
      </c>
      <c r="AE17">
        <v>-13074722</v>
      </c>
      <c r="AF17" t="s">
        <v>1119</v>
      </c>
      <c r="AG17" t="s">
        <v>15</v>
      </c>
      <c r="AH17" t="s">
        <v>1120</v>
      </c>
      <c r="AI17" t="s">
        <v>327</v>
      </c>
      <c r="AJ17" t="s">
        <v>1121</v>
      </c>
      <c r="AK17" t="s">
        <v>851</v>
      </c>
      <c r="AL17" t="s">
        <v>1122</v>
      </c>
      <c r="AM17" t="s">
        <v>15</v>
      </c>
      <c r="AN17" t="s">
        <v>1623</v>
      </c>
      <c r="AO17" t="s">
        <v>15</v>
      </c>
      <c r="AP17" t="s">
        <v>1624</v>
      </c>
      <c r="AQ17" t="s">
        <v>264</v>
      </c>
      <c r="AR17" t="s">
        <v>15</v>
      </c>
      <c r="AS17" t="s">
        <v>338</v>
      </c>
      <c r="AT17" t="s">
        <v>15</v>
      </c>
      <c r="AU17" t="s">
        <v>1625</v>
      </c>
      <c r="AV17" t="s">
        <v>1626</v>
      </c>
      <c r="AW17" t="s">
        <v>15</v>
      </c>
      <c r="AX17" t="s">
        <v>831</v>
      </c>
      <c r="AY17" t="s">
        <v>773</v>
      </c>
      <c r="AZ17" t="s">
        <v>833</v>
      </c>
      <c r="BA17" t="s">
        <v>779</v>
      </c>
      <c r="BB17" t="s">
        <v>834</v>
      </c>
      <c r="BC17" t="s">
        <v>227</v>
      </c>
      <c r="BD17" t="s">
        <v>835</v>
      </c>
      <c r="BE17" t="s">
        <v>166</v>
      </c>
      <c r="BF17" t="s">
        <v>668</v>
      </c>
      <c r="BG17" t="s">
        <v>836</v>
      </c>
      <c r="BH17" t="s">
        <v>1118</v>
      </c>
      <c r="BI17" t="s">
        <v>129</v>
      </c>
      <c r="BJ17" t="s">
        <v>831</v>
      </c>
      <c r="BK17" t="s">
        <v>162</v>
      </c>
      <c r="BL17" t="s">
        <v>1123</v>
      </c>
      <c r="BM17" t="s">
        <v>227</v>
      </c>
      <c r="BN17">
        <v>3.91</v>
      </c>
      <c r="BO17">
        <v>6.31</v>
      </c>
      <c r="BP17">
        <v>0.47</v>
      </c>
      <c r="BQ17">
        <v>4.0999999999999996</v>
      </c>
      <c r="BR17">
        <v>6.55</v>
      </c>
      <c r="BS17">
        <v>0.5</v>
      </c>
      <c r="BT17" t="s">
        <v>783</v>
      </c>
      <c r="BU17" t="s">
        <v>667</v>
      </c>
      <c r="BV17">
        <v>37.880000000000003</v>
      </c>
      <c r="BW17">
        <v>35.28</v>
      </c>
      <c r="BX17">
        <v>38.159999999999997</v>
      </c>
      <c r="BY17">
        <v>16.37</v>
      </c>
      <c r="BZ17">
        <v>14.94</v>
      </c>
      <c r="CA17">
        <v>1.01</v>
      </c>
      <c r="CB17">
        <v>16.96</v>
      </c>
      <c r="CC17" s="9">
        <v>6.2</v>
      </c>
      <c r="CD17" s="10" t="s">
        <v>785</v>
      </c>
      <c r="CE17" s="9" t="s">
        <v>819</v>
      </c>
      <c r="CF17" s="9">
        <v>-0.10126582278481013</v>
      </c>
      <c r="CG17" s="9">
        <v>0.49698885155043082</v>
      </c>
      <c r="CH17" s="9">
        <v>-0.13958814740180969</v>
      </c>
      <c r="CI17" s="9">
        <v>-7.9999916255474091E-2</v>
      </c>
      <c r="CJ17" s="10">
        <v>-4.8096194863319397E-2</v>
      </c>
      <c r="CK17" s="10">
        <v>0.24749994277954102</v>
      </c>
      <c r="CL17" s="10">
        <v>-0.21000660955905914</v>
      </c>
      <c r="CM17" s="10">
        <v>-4.5918367803096771E-2</v>
      </c>
      <c r="CN17" s="10">
        <v>12.655205726623535</v>
      </c>
      <c r="CO17">
        <v>-0.91556763648986816</v>
      </c>
      <c r="CP17">
        <v>0.1111111119389534</v>
      </c>
      <c r="CQ17">
        <v>1.1311053037643433</v>
      </c>
      <c r="CR17" s="9">
        <v>-80.350094761741119</v>
      </c>
      <c r="CS17" s="10">
        <v>-17.452924057927397</v>
      </c>
      <c r="CT17">
        <v>1.8832391713747647</v>
      </c>
      <c r="CU17">
        <v>-4.6038185060024259E-2</v>
      </c>
      <c r="CV17">
        <v>2.5871872276067736</v>
      </c>
      <c r="CW17">
        <v>0.06</v>
      </c>
      <c r="CX17">
        <v>21.376193048128339</v>
      </c>
      <c r="CY17" t="s">
        <v>1124</v>
      </c>
      <c r="CZ17">
        <v>-4.6038185060024259E-2</v>
      </c>
      <c r="DA17">
        <v>7.1253976827094467</v>
      </c>
      <c r="DB17" t="s">
        <v>1125</v>
      </c>
      <c r="DC17">
        <v>-4.3736275807023044E-2</v>
      </c>
      <c r="DD17">
        <v>3.5626988413547234</v>
      </c>
      <c r="DE17" t="s">
        <v>1126</v>
      </c>
      <c r="DF17">
        <v>-4.0513602852821351E-2</v>
      </c>
      <c r="DG17">
        <v>2.137619304812834</v>
      </c>
      <c r="DH17" t="s">
        <v>1127</v>
      </c>
      <c r="DI17">
        <v>-3.6830548048019406E-2</v>
      </c>
      <c r="DJ17">
        <v>1.068809652406417</v>
      </c>
      <c r="DK17" t="s">
        <v>1128</v>
      </c>
      <c r="DL17">
        <v>-3.2226729542016982E-2</v>
      </c>
      <c r="DM17">
        <v>187000000</v>
      </c>
      <c r="DN17">
        <v>-4.6038185060024259E-2</v>
      </c>
      <c r="DO17">
        <v>3997348099.9999995</v>
      </c>
      <c r="DP17">
        <v>2273682400</v>
      </c>
      <c r="DQ17" s="11">
        <v>1011</v>
      </c>
      <c r="DR17">
        <v>-5.5227637724785866E-2</v>
      </c>
      <c r="DS17">
        <v>-2.0901983760563425</v>
      </c>
      <c r="DT17">
        <v>-0.42333333333333334</v>
      </c>
      <c r="DU17">
        <v>0.5033333333333333</v>
      </c>
      <c r="DV17">
        <v>7.999999999999996E-2</v>
      </c>
      <c r="DW17">
        <v>5.3655660377358494</v>
      </c>
      <c r="DX17">
        <v>0.671875</v>
      </c>
      <c r="DY17">
        <v>5.1542231721698117</v>
      </c>
      <c r="DZ17">
        <v>1599</v>
      </c>
      <c r="EA17">
        <v>5.1059454015551822</v>
      </c>
      <c r="EB17" s="12">
        <v>5</v>
      </c>
      <c r="EC17" s="12">
        <v>0.21572561619181438</v>
      </c>
      <c r="ED17">
        <v>0.51134960875096735</v>
      </c>
      <c r="EE17">
        <v>9.5099999999999994E-3</v>
      </c>
      <c r="EF17">
        <v>1.17E-2</v>
      </c>
      <c r="EG17">
        <v>25.421875</v>
      </c>
      <c r="EH17" s="14" t="s">
        <v>511</v>
      </c>
      <c r="EI17" s="15">
        <v>1</v>
      </c>
      <c r="EJ17" s="15">
        <v>0</v>
      </c>
      <c r="EK17" s="15">
        <v>45505</v>
      </c>
      <c r="EL17" s="15">
        <v>0.89</v>
      </c>
      <c r="EM17" s="15">
        <v>4.63</v>
      </c>
      <c r="EN17" s="15">
        <v>5.47</v>
      </c>
      <c r="EO17" s="15">
        <v>0.19</v>
      </c>
      <c r="EP17" s="15">
        <v>2.12</v>
      </c>
    </row>
    <row r="18" spans="1:146" ht="84" x14ac:dyDescent="0.25">
      <c r="A18" s="8"/>
      <c r="B18" s="8"/>
      <c r="C18" s="8" t="str">
        <f>""&amp;CHAR(10)&amp;Basic_Fundamental_Information_Constructure(F18)&amp;CHAR(10)&amp;Basic_Fundamental_Information_Concatenate("")</f>
        <v xml:space="preserve">
市值57.820587亿, 利润8718.64万; PE65.01; 平均PE55.4; 平均PEG10.05, PB3.74; ROIC5.78%; ROE5.9167%; 股利率.5935%; 毛利28.3833%; 净利9.5%; 上一年度营收增-8.42%, 利润增-22.16%; 当季营收增-14.4%, 利润增16.18%; 过往5年营收增5.51%, 利润增-1.02%
Income profile:
</v>
      </c>
      <c r="D18" t="s">
        <v>94</v>
      </c>
      <c r="E18" t="s">
        <v>8</v>
      </c>
      <c r="F18">
        <v>13.48</v>
      </c>
      <c r="G18">
        <v>3.37</v>
      </c>
      <c r="H18" t="s">
        <v>2112</v>
      </c>
      <c r="I18">
        <v>5782058700</v>
      </c>
      <c r="J18">
        <v>65.010000000000005</v>
      </c>
      <c r="K18">
        <v>3.74</v>
      </c>
      <c r="L18" t="s">
        <v>667</v>
      </c>
      <c r="M18" t="s">
        <v>529</v>
      </c>
      <c r="N18" t="s">
        <v>1075</v>
      </c>
      <c r="O18" t="s">
        <v>106</v>
      </c>
      <c r="P18">
        <v>-14.54</v>
      </c>
      <c r="Q18" t="s">
        <v>335</v>
      </c>
      <c r="R18">
        <v>-9097894</v>
      </c>
      <c r="S18" s="6">
        <v>0.1618</v>
      </c>
      <c r="T18" t="s">
        <v>1130</v>
      </c>
      <c r="U18">
        <v>415090890</v>
      </c>
      <c r="V18">
        <v>428936100</v>
      </c>
      <c r="W18">
        <v>1.66</v>
      </c>
      <c r="X18">
        <v>0.04</v>
      </c>
      <c r="Y18">
        <v>-8.5</v>
      </c>
      <c r="Z18" t="s">
        <v>143</v>
      </c>
      <c r="AA18" t="s">
        <v>1627</v>
      </c>
      <c r="AB18" t="s">
        <v>1628</v>
      </c>
      <c r="AC18" t="s">
        <v>1629</v>
      </c>
      <c r="AD18" t="s">
        <v>15</v>
      </c>
      <c r="AE18">
        <v>-1131480</v>
      </c>
      <c r="AF18" t="s">
        <v>66</v>
      </c>
      <c r="AG18" t="s">
        <v>1630</v>
      </c>
      <c r="AH18" t="s">
        <v>1131</v>
      </c>
      <c r="AI18" t="s">
        <v>769</v>
      </c>
      <c r="AJ18" t="s">
        <v>1132</v>
      </c>
      <c r="AK18" t="s">
        <v>232</v>
      </c>
      <c r="AL18" t="s">
        <v>1133</v>
      </c>
      <c r="AM18" t="s">
        <v>15</v>
      </c>
      <c r="AN18" t="s">
        <v>1631</v>
      </c>
      <c r="AO18" t="s">
        <v>15</v>
      </c>
      <c r="AP18" t="s">
        <v>91</v>
      </c>
      <c r="AQ18" t="s">
        <v>319</v>
      </c>
      <c r="AR18" t="s">
        <v>15</v>
      </c>
      <c r="AS18" t="s">
        <v>328</v>
      </c>
      <c r="AT18" t="s">
        <v>15</v>
      </c>
      <c r="AU18" t="s">
        <v>386</v>
      </c>
      <c r="AV18" t="s">
        <v>1632</v>
      </c>
      <c r="AW18" t="s">
        <v>15</v>
      </c>
      <c r="AX18" t="s">
        <v>838</v>
      </c>
      <c r="AY18" t="s">
        <v>321</v>
      </c>
      <c r="AZ18" t="s">
        <v>269</v>
      </c>
      <c r="BA18" t="s">
        <v>95</v>
      </c>
      <c r="BB18" t="s">
        <v>270</v>
      </c>
      <c r="BC18" t="s">
        <v>169</v>
      </c>
      <c r="BD18" t="s">
        <v>88</v>
      </c>
      <c r="BE18" t="s">
        <v>44</v>
      </c>
      <c r="BF18" t="s">
        <v>96</v>
      </c>
      <c r="BG18" t="s">
        <v>271</v>
      </c>
      <c r="BH18" t="s">
        <v>335</v>
      </c>
      <c r="BI18" t="s">
        <v>137</v>
      </c>
      <c r="BJ18" t="s">
        <v>838</v>
      </c>
      <c r="BK18" t="s">
        <v>1130</v>
      </c>
      <c r="BL18" t="s">
        <v>1134</v>
      </c>
      <c r="BM18" t="s">
        <v>169</v>
      </c>
      <c r="BN18">
        <v>1.26</v>
      </c>
      <c r="BO18">
        <v>7.58</v>
      </c>
      <c r="BP18">
        <v>8.5</v>
      </c>
      <c r="BQ18">
        <v>1.56</v>
      </c>
      <c r="BR18">
        <v>7.61</v>
      </c>
      <c r="BS18">
        <v>8.58</v>
      </c>
      <c r="BT18" t="s">
        <v>1135</v>
      </c>
      <c r="BU18" t="s">
        <v>667</v>
      </c>
      <c r="BV18">
        <v>27.51</v>
      </c>
      <c r="BW18">
        <v>28.25</v>
      </c>
      <c r="BX18">
        <v>29.39</v>
      </c>
      <c r="BY18">
        <v>7.86</v>
      </c>
      <c r="BZ18">
        <v>9.2899999999999991</v>
      </c>
      <c r="CA18">
        <v>11.35</v>
      </c>
      <c r="CB18">
        <v>11.22</v>
      </c>
      <c r="CC18">
        <v>9.15</v>
      </c>
      <c r="CD18" t="s">
        <v>2113</v>
      </c>
      <c r="CE18" t="s">
        <v>2114</v>
      </c>
      <c r="CF18" s="9">
        <v>-0.14399999999999999</v>
      </c>
      <c r="CG18" s="10">
        <v>0.16181660724321237</v>
      </c>
      <c r="CH18" s="9">
        <v>-8.4228008985519409E-2</v>
      </c>
      <c r="CI18" s="9">
        <v>0.16107389330863953</v>
      </c>
      <c r="CJ18" s="9">
        <v>0.13864628970623016</v>
      </c>
      <c r="CK18" s="9">
        <v>5.6516725569963455E-2</v>
      </c>
      <c r="CL18" s="9">
        <v>3.4722222480922937E-3</v>
      </c>
      <c r="CM18" s="10">
        <v>-0.22155000269412994</v>
      </c>
      <c r="CN18" s="10">
        <v>-5.0847455859184265E-2</v>
      </c>
      <c r="CO18" s="10">
        <v>0.16831682622432709</v>
      </c>
      <c r="CP18" s="10">
        <v>-9.0090088546276093E-2</v>
      </c>
      <c r="CQ18" s="10">
        <v>0.14341045916080475</v>
      </c>
      <c r="CR18">
        <v>55.395695811545409</v>
      </c>
      <c r="CS18">
        <v>10.05435425847984</v>
      </c>
      <c r="CT18">
        <v>0.59347181008902083</v>
      </c>
      <c r="CU18" s="9">
        <v>5.5096224369481209E-2</v>
      </c>
      <c r="CV18" s="10">
        <v>-1.0152052342891692E-2</v>
      </c>
      <c r="CW18">
        <v>0.06</v>
      </c>
      <c r="CX18">
        <v>60.519401164099079</v>
      </c>
      <c r="CY18">
        <v>86783057.977705032</v>
      </c>
      <c r="CZ18">
        <v>5.5096224369481209E-2</v>
      </c>
      <c r="DA18">
        <v>20.372783324928815</v>
      </c>
      <c r="DB18">
        <v>257797798.96708596</v>
      </c>
      <c r="DC18">
        <v>5.2341413151007148E-2</v>
      </c>
      <c r="DD18">
        <v>10.429349783557855</v>
      </c>
      <c r="DE18">
        <v>503584481.19939452</v>
      </c>
      <c r="DF18">
        <v>4.8484677445143461E-2</v>
      </c>
      <c r="DG18">
        <v>6.5406949933592067</v>
      </c>
      <c r="DH18">
        <v>802981748.16780722</v>
      </c>
      <c r="DI18">
        <v>4.4076979495584971E-2</v>
      </c>
      <c r="DJ18">
        <v>3.7067217438499211</v>
      </c>
      <c r="DK18">
        <v>1416901257.4828565</v>
      </c>
      <c r="DL18">
        <v>3.8567357058636842E-2</v>
      </c>
      <c r="DM18">
        <v>87186400</v>
      </c>
      <c r="DN18">
        <v>5.5096224369481209E-2</v>
      </c>
      <c r="DO18">
        <v>5252058700</v>
      </c>
      <c r="DP18">
        <v>1278931900</v>
      </c>
      <c r="DQ18">
        <v>1395</v>
      </c>
      <c r="DR18">
        <v>-0.19909622436948121</v>
      </c>
      <c r="DS18">
        <v>0.17196865958610405</v>
      </c>
      <c r="DT18" s="11">
        <v>-0.28999999999999998</v>
      </c>
      <c r="DU18">
        <v>-0.4916666666666667</v>
      </c>
      <c r="DV18">
        <v>-0.78166666666666673</v>
      </c>
      <c r="DW18">
        <v>5.8155080213903743</v>
      </c>
      <c r="DX18">
        <v>0.66753445945945855</v>
      </c>
      <c r="DY18">
        <v>5.1447807757623938</v>
      </c>
      <c r="DZ18">
        <v>3374</v>
      </c>
      <c r="EA18">
        <v>5.0491483682795595</v>
      </c>
      <c r="EB18">
        <v>5</v>
      </c>
      <c r="EC18">
        <v>6.1256443558842459E-2</v>
      </c>
      <c r="ED18">
        <v>0.34503973901940171</v>
      </c>
      <c r="EE18" s="12">
        <v>4.0084999999999997</v>
      </c>
      <c r="EF18">
        <v>4.0422000000000002</v>
      </c>
      <c r="EG18">
        <v>49.177534459459459</v>
      </c>
      <c r="EH18" t="s">
        <v>907</v>
      </c>
      <c r="EI18">
        <v>1</v>
      </c>
      <c r="EJ18">
        <v>0</v>
      </c>
      <c r="EK18" s="14">
        <v>45505</v>
      </c>
      <c r="EL18" s="15">
        <v>-0.56999999999999995</v>
      </c>
      <c r="EM18" s="15">
        <v>3.3</v>
      </c>
      <c r="EN18" s="15">
        <v>1.04</v>
      </c>
      <c r="EO18" s="15">
        <v>1.64</v>
      </c>
      <c r="EP18" s="15">
        <v>3.37</v>
      </c>
    </row>
    <row r="19" spans="1:146" ht="144" x14ac:dyDescent="0.25">
      <c r="A19" s="8"/>
      <c r="B19" s="8"/>
      <c r="C19" s="8" t="str">
        <f>"公司是一家专业从事高波段、大功率固态微波前端研发、生产和销售的高新技术企业。当前主要代表产品为弹载固态发射机、新型相控阵天线及其他固态发射机产品，其在军事领域的应用包括雷达制导导弹精确制导系统、其它雷达系统、卫星通信和电子对抗等。"&amp;CHAR(10)&amp;Basic_Fundamental_Information_Constructure(F19)&amp;CHAR(10)&amp;Basic_Fundamental_Information_Concatenate("固态发射机 2.77亿 99.66%
新型相控阵产品 94.34万 0.34%")</f>
        <v>公司是一家专业从事高波段、大功率固态微波前端研发、生产和销售的高新技术企业。当前主要代表产品为弹载固态发射机、新型相控阵天线及其他固态发射机产品，其在军事领域的应用包括雷达制导导弹精确制导系统、其它雷达系统、卫星通信和电子对抗等。
市值38.4384亿, 利润5004.82万; PE93.75; 平均PE45.06; 平均PEG10.45, PB3.48; ROIC6.99%; ROE7.57%; 股利率.5625%; 毛利45.83%; 净利30.3833%; 上一年度营收增-51.31%, 利润增-31.19%; 当季营收增19.97%, 利润增-31.34%; 过往5年营收增-4.31%, 利润增-9.73%
Income profile:
固态发射机 2.77亿 99.66%
新型相控阵产品 94.34万 0.34%</v>
      </c>
      <c r="D19" t="s">
        <v>100</v>
      </c>
      <c r="E19" t="s">
        <v>101</v>
      </c>
      <c r="F19">
        <v>32</v>
      </c>
      <c r="G19">
        <v>4.71</v>
      </c>
      <c r="H19" t="s">
        <v>2115</v>
      </c>
      <c r="I19">
        <v>3843840000</v>
      </c>
      <c r="J19">
        <v>93.75</v>
      </c>
      <c r="K19">
        <v>3.48</v>
      </c>
      <c r="L19" t="s">
        <v>667</v>
      </c>
      <c r="M19" t="s">
        <v>188</v>
      </c>
      <c r="N19" t="s">
        <v>1633</v>
      </c>
      <c r="O19" t="s">
        <v>1136</v>
      </c>
      <c r="P19">
        <v>19.97</v>
      </c>
      <c r="Q19" t="s">
        <v>48</v>
      </c>
      <c r="R19">
        <v>11000000</v>
      </c>
      <c r="S19" s="6">
        <v>-0.56469999999999998</v>
      </c>
      <c r="T19" t="s">
        <v>1137</v>
      </c>
      <c r="U19">
        <v>64910980</v>
      </c>
      <c r="V19">
        <v>120120000</v>
      </c>
      <c r="W19">
        <v>1.22</v>
      </c>
      <c r="X19">
        <v>0.02</v>
      </c>
      <c r="Y19">
        <v>24.62</v>
      </c>
      <c r="Z19" t="s">
        <v>1634</v>
      </c>
      <c r="AA19" t="s">
        <v>1635</v>
      </c>
      <c r="AB19" t="s">
        <v>1636</v>
      </c>
      <c r="AC19" t="s">
        <v>1637</v>
      </c>
      <c r="AD19" t="s">
        <v>15</v>
      </c>
      <c r="AE19">
        <v>-2245071</v>
      </c>
      <c r="AF19" t="s">
        <v>66</v>
      </c>
      <c r="AG19" t="s">
        <v>15</v>
      </c>
      <c r="AH19" t="s">
        <v>1138</v>
      </c>
      <c r="AI19" t="s">
        <v>922</v>
      </c>
      <c r="AJ19" t="s">
        <v>1139</v>
      </c>
      <c r="AK19" t="s">
        <v>1638</v>
      </c>
      <c r="AL19" t="s">
        <v>1140</v>
      </c>
      <c r="AM19" t="s">
        <v>15</v>
      </c>
      <c r="AN19" t="s">
        <v>1141</v>
      </c>
      <c r="AO19" t="s">
        <v>15</v>
      </c>
      <c r="AP19" t="s">
        <v>1639</v>
      </c>
      <c r="AQ19" t="s">
        <v>77</v>
      </c>
      <c r="AR19" t="s">
        <v>15</v>
      </c>
      <c r="AS19" t="s">
        <v>431</v>
      </c>
      <c r="AT19" t="s">
        <v>15</v>
      </c>
      <c r="AU19" t="s">
        <v>1640</v>
      </c>
      <c r="AV19" t="s">
        <v>1641</v>
      </c>
      <c r="AW19" t="s">
        <v>15</v>
      </c>
      <c r="AX19" t="s">
        <v>839</v>
      </c>
      <c r="AY19" t="s">
        <v>302</v>
      </c>
      <c r="AZ19" t="s">
        <v>99</v>
      </c>
      <c r="BA19" t="s">
        <v>103</v>
      </c>
      <c r="BB19" t="s">
        <v>273</v>
      </c>
      <c r="BC19" t="s">
        <v>840</v>
      </c>
      <c r="BD19" t="s">
        <v>96</v>
      </c>
      <c r="BE19" t="s">
        <v>272</v>
      </c>
      <c r="BF19" t="s">
        <v>104</v>
      </c>
      <c r="BG19" t="s">
        <v>274</v>
      </c>
      <c r="BH19" t="s">
        <v>48</v>
      </c>
      <c r="BI19" t="s">
        <v>1142</v>
      </c>
      <c r="BJ19" t="s">
        <v>839</v>
      </c>
      <c r="BK19" t="s">
        <v>1137</v>
      </c>
      <c r="BL19" t="s">
        <v>1143</v>
      </c>
      <c r="BM19" t="s">
        <v>840</v>
      </c>
      <c r="BN19">
        <v>3.75</v>
      </c>
      <c r="BO19">
        <v>6.43</v>
      </c>
      <c r="BP19">
        <v>10.79</v>
      </c>
      <c r="BQ19">
        <v>4.2</v>
      </c>
      <c r="BR19">
        <v>7</v>
      </c>
      <c r="BS19">
        <v>11.51</v>
      </c>
      <c r="BT19" t="s">
        <v>906</v>
      </c>
      <c r="BU19" t="s">
        <v>667</v>
      </c>
      <c r="BV19">
        <v>44.99</v>
      </c>
      <c r="BW19">
        <v>42.96</v>
      </c>
      <c r="BX19">
        <v>49.54</v>
      </c>
      <c r="BY19">
        <v>29.93</v>
      </c>
      <c r="BZ19">
        <v>21.22</v>
      </c>
      <c r="CA19">
        <v>40</v>
      </c>
      <c r="CB19">
        <v>5.65</v>
      </c>
      <c r="CC19">
        <v>6.31</v>
      </c>
      <c r="CD19" t="s">
        <v>2116</v>
      </c>
      <c r="CE19" t="s">
        <v>79</v>
      </c>
      <c r="CF19" s="9">
        <v>0.19968070059540446</v>
      </c>
      <c r="CG19" s="10">
        <v>-0.31343115899061896</v>
      </c>
      <c r="CH19" s="9">
        <v>-0.51311951875686646</v>
      </c>
      <c r="CI19" s="9">
        <v>0.23381294310092926</v>
      </c>
      <c r="CJ19" s="9">
        <v>0.26940637826919556</v>
      </c>
      <c r="CK19" s="9">
        <v>-0.20938627421855927</v>
      </c>
      <c r="CL19" s="9">
        <v>3.6231884732842445E-3</v>
      </c>
      <c r="CM19" s="10">
        <v>-0.31193587183952332</v>
      </c>
      <c r="CN19" s="10">
        <v>-0.34470543265342712</v>
      </c>
      <c r="CO19" s="10">
        <v>0.34758454561233521</v>
      </c>
      <c r="CP19" s="10">
        <v>-0.14266648888587952</v>
      </c>
      <c r="CQ19" s="10">
        <v>-3.4940525889396667E-2</v>
      </c>
      <c r="CR19">
        <v>45.063747222965809</v>
      </c>
      <c r="CS19">
        <v>10.447709635251258</v>
      </c>
      <c r="CT19">
        <v>0.5625</v>
      </c>
      <c r="CU19" s="9">
        <v>-4.313265662640333E-2</v>
      </c>
      <c r="CV19" s="10">
        <v>-9.7332754731178278E-2</v>
      </c>
      <c r="CW19">
        <v>0.06</v>
      </c>
      <c r="CX19">
        <v>60.997997929995485</v>
      </c>
      <c r="CY19" t="s">
        <v>1144</v>
      </c>
      <c r="CZ19">
        <v>-4.313265662640333E-2</v>
      </c>
      <c r="DA19">
        <v>20.332665976665162</v>
      </c>
      <c r="DB19" t="s">
        <v>1145</v>
      </c>
      <c r="DC19">
        <v>-4.0976023795083159E-2</v>
      </c>
      <c r="DD19">
        <v>10.166332988332581</v>
      </c>
      <c r="DE19" t="s">
        <v>1146</v>
      </c>
      <c r="DF19">
        <v>-3.7956737831234932E-2</v>
      </c>
      <c r="DG19">
        <v>6.0997997929995487</v>
      </c>
      <c r="DH19" t="s">
        <v>1147</v>
      </c>
      <c r="DI19">
        <v>-3.4506125301122667E-2</v>
      </c>
      <c r="DJ19">
        <v>3.0498998964997743</v>
      </c>
      <c r="DK19" t="s">
        <v>1148</v>
      </c>
      <c r="DL19">
        <v>-3.0192859638482328E-2</v>
      </c>
      <c r="DM19">
        <v>50048200</v>
      </c>
      <c r="DN19">
        <v>-4.313265662640333E-2</v>
      </c>
      <c r="DO19">
        <v>3052840000</v>
      </c>
      <c r="DP19">
        <v>841948250</v>
      </c>
      <c r="DQ19">
        <v>1433</v>
      </c>
      <c r="DR19">
        <v>0.2428133572218078</v>
      </c>
      <c r="DS19">
        <v>-0.21609840425944069</v>
      </c>
      <c r="DT19" s="11">
        <v>-0.44</v>
      </c>
      <c r="DU19">
        <v>-0.40333333333333332</v>
      </c>
      <c r="DV19">
        <v>-0.84333333333333327</v>
      </c>
      <c r="DW19">
        <v>8.8954041204437395</v>
      </c>
      <c r="DX19">
        <v>0.66119677419354728</v>
      </c>
      <c r="DY19">
        <v>8.2786468738817032</v>
      </c>
      <c r="DZ19">
        <v>3458</v>
      </c>
      <c r="EA19">
        <v>8.0900092681880995</v>
      </c>
      <c r="EB19">
        <v>8</v>
      </c>
      <c r="EC19">
        <v>0.32124875124875124</v>
      </c>
      <c r="ED19">
        <v>1.0323010323010322</v>
      </c>
      <c r="EE19" s="12">
        <v>-1.0357000000000001</v>
      </c>
      <c r="EF19">
        <v>-1.0828</v>
      </c>
      <c r="EG19">
        <v>35.311196774193547</v>
      </c>
      <c r="EH19" t="s">
        <v>809</v>
      </c>
      <c r="EI19">
        <v>0</v>
      </c>
      <c r="EJ19">
        <v>0</v>
      </c>
      <c r="EK19" s="14">
        <v>45505</v>
      </c>
      <c r="EL19" s="15">
        <v>0.66</v>
      </c>
      <c r="EM19" s="15">
        <v>1.1200000000000001</v>
      </c>
      <c r="EN19" s="15">
        <v>-0.78</v>
      </c>
      <c r="EO19" s="15">
        <v>1.36</v>
      </c>
      <c r="EP19" s="15">
        <v>4.71</v>
      </c>
    </row>
    <row r="20" spans="1:146" ht="84" x14ac:dyDescent="0.25">
      <c r="A20" s="8"/>
      <c r="B20" s="8"/>
      <c r="C20" s="8" t="str">
        <f>""&amp;CHAR(10)&amp;Basic_Fundamental_Information_Constructure(F20)&amp;CHAR(10)&amp;Basic_Fundamental_Information_Concatenate("")</f>
        <v xml:space="preserve">
市值123.588932亿, 利润1761.61万; PE732.4; 平均PE-229.91; 平均PEG-28.43, PB7.1; ROIC.36%; ROE-6.8667%; 股利率0%; 毛利36.57%; 净利-20.0533%; 上一年度营收增84.42%, 利润增116.01%; 当季营收增91.69%, 利润增-35.98%; 过往5年营收增8.09%, 利润增-171.51%
Income profile:
</v>
      </c>
      <c r="D20" t="s">
        <v>434</v>
      </c>
      <c r="E20" t="s">
        <v>435</v>
      </c>
      <c r="F20">
        <v>18.649999999999999</v>
      </c>
      <c r="G20">
        <v>0.92</v>
      </c>
      <c r="H20" t="s">
        <v>2117</v>
      </c>
      <c r="I20">
        <v>12358893200</v>
      </c>
      <c r="J20">
        <v>732.4</v>
      </c>
      <c r="K20">
        <v>7.1</v>
      </c>
      <c r="L20" t="s">
        <v>667</v>
      </c>
      <c r="M20" t="s">
        <v>775</v>
      </c>
      <c r="N20" t="s">
        <v>965</v>
      </c>
      <c r="O20" t="s">
        <v>268</v>
      </c>
      <c r="P20">
        <v>91.53</v>
      </c>
      <c r="Q20" t="s">
        <v>952</v>
      </c>
      <c r="R20">
        <v>1317939</v>
      </c>
      <c r="S20" s="6">
        <v>-0.35980000000000001</v>
      </c>
      <c r="T20" t="s">
        <v>1151</v>
      </c>
      <c r="U20">
        <v>492820900</v>
      </c>
      <c r="V20">
        <v>662675240</v>
      </c>
      <c r="W20">
        <v>1.42</v>
      </c>
      <c r="X20">
        <v>7.0000000000000007E-2</v>
      </c>
      <c r="Y20">
        <v>0.54</v>
      </c>
      <c r="Z20" t="s">
        <v>34</v>
      </c>
      <c r="AA20" t="s">
        <v>96</v>
      </c>
      <c r="AB20" t="s">
        <v>1642</v>
      </c>
      <c r="AC20" t="s">
        <v>1643</v>
      </c>
      <c r="AD20" t="s">
        <v>15</v>
      </c>
      <c r="AE20">
        <v>230416</v>
      </c>
      <c r="AF20" t="s">
        <v>1152</v>
      </c>
      <c r="AG20">
        <v>727.3</v>
      </c>
      <c r="AH20" t="s">
        <v>1153</v>
      </c>
      <c r="AI20" t="s">
        <v>519</v>
      </c>
      <c r="AJ20" t="s">
        <v>1154</v>
      </c>
      <c r="AK20" t="s">
        <v>1644</v>
      </c>
      <c r="AL20" t="s">
        <v>1155</v>
      </c>
      <c r="AM20" t="s">
        <v>15</v>
      </c>
      <c r="AN20">
        <v>0</v>
      </c>
      <c r="AO20" t="s">
        <v>1645</v>
      </c>
      <c r="AP20" t="s">
        <v>1646</v>
      </c>
      <c r="AQ20" t="s">
        <v>570</v>
      </c>
      <c r="AR20" t="s">
        <v>15</v>
      </c>
      <c r="AS20" t="s">
        <v>1297</v>
      </c>
      <c r="AT20" t="s">
        <v>15</v>
      </c>
      <c r="AU20" t="s">
        <v>1647</v>
      </c>
      <c r="AV20" t="s">
        <v>1648</v>
      </c>
      <c r="AW20" t="s">
        <v>1649</v>
      </c>
      <c r="AX20" t="s">
        <v>55</v>
      </c>
      <c r="AY20" t="s">
        <v>687</v>
      </c>
      <c r="AZ20" t="s">
        <v>436</v>
      </c>
      <c r="BA20" t="s">
        <v>313</v>
      </c>
      <c r="BB20" t="s">
        <v>353</v>
      </c>
      <c r="BC20" t="s">
        <v>671</v>
      </c>
      <c r="BD20" t="s">
        <v>532</v>
      </c>
      <c r="BE20" t="s">
        <v>437</v>
      </c>
      <c r="BF20" t="s">
        <v>438</v>
      </c>
      <c r="BG20" t="s">
        <v>88</v>
      </c>
      <c r="BH20" t="s">
        <v>952</v>
      </c>
      <c r="BI20" t="s">
        <v>1156</v>
      </c>
      <c r="BJ20" t="s">
        <v>55</v>
      </c>
      <c r="BK20" t="s">
        <v>1151</v>
      </c>
      <c r="BL20" t="s">
        <v>1157</v>
      </c>
      <c r="BM20" t="s">
        <v>671</v>
      </c>
      <c r="BN20">
        <v>0.36</v>
      </c>
      <c r="BO20" t="s">
        <v>15</v>
      </c>
      <c r="BP20" t="s">
        <v>15</v>
      </c>
      <c r="BQ20">
        <v>0.38</v>
      </c>
      <c r="BR20">
        <v>-6.95</v>
      </c>
      <c r="BS20">
        <v>-14.03</v>
      </c>
      <c r="BT20" t="s">
        <v>781</v>
      </c>
      <c r="BU20" t="s">
        <v>667</v>
      </c>
      <c r="BV20">
        <v>34.6</v>
      </c>
      <c r="BW20">
        <v>35.53</v>
      </c>
      <c r="BX20">
        <v>39.58</v>
      </c>
      <c r="BY20">
        <v>2.63</v>
      </c>
      <c r="BZ20">
        <v>-28.65</v>
      </c>
      <c r="CA20">
        <v>-34.14</v>
      </c>
      <c r="CB20">
        <v>14.84</v>
      </c>
      <c r="CC20">
        <v>3.73</v>
      </c>
      <c r="CD20" t="s">
        <v>53</v>
      </c>
      <c r="CE20" t="s">
        <v>2118</v>
      </c>
      <c r="CF20" s="9">
        <v>0.91686321858960729</v>
      </c>
      <c r="CG20" s="10">
        <v>-0.35981978918735125</v>
      </c>
      <c r="CH20" s="9">
        <v>0.84415584802627563</v>
      </c>
      <c r="CI20" s="9">
        <v>-0.42105263471603394</v>
      </c>
      <c r="CJ20" s="9">
        <v>3.1007751822471619E-2</v>
      </c>
      <c r="CK20" s="9">
        <v>6.2402496114373207E-3</v>
      </c>
      <c r="CL20" s="9">
        <v>-5.5964652448892593E-2</v>
      </c>
      <c r="CM20" s="10">
        <v>1.1601463556289673</v>
      </c>
      <c r="CN20" s="10">
        <v>0.51754385232925415</v>
      </c>
      <c r="CO20" s="10">
        <v>-9.1873321533203125</v>
      </c>
      <c r="CP20" s="10">
        <v>1.1881614923477173</v>
      </c>
      <c r="CQ20" s="10">
        <v>-2.254237174987793</v>
      </c>
      <c r="CR20">
        <v>-229.90723268100305</v>
      </c>
      <c r="CS20">
        <v>-28.426665734893909</v>
      </c>
      <c r="CT20">
        <v>0</v>
      </c>
      <c r="CU20" s="9">
        <v>8.0877312459051609E-2</v>
      </c>
      <c r="CV20" s="10">
        <v>-1.7151435256004333</v>
      </c>
      <c r="CW20">
        <v>0.06</v>
      </c>
      <c r="CX20">
        <v>626.22368674586357</v>
      </c>
      <c r="CY20">
        <v>17963059.267933868</v>
      </c>
      <c r="CZ20">
        <v>8.0877312459051609E-2</v>
      </c>
      <c r="DA20">
        <v>206.23268351646865</v>
      </c>
      <c r="DB20">
        <v>54544667.742257848</v>
      </c>
      <c r="DC20">
        <v>7.6833446836099023E-2</v>
      </c>
      <c r="DD20">
        <v>102.57520541493268</v>
      </c>
      <c r="DE20">
        <v>109664837.17479751</v>
      </c>
      <c r="DF20">
        <v>7.1172034963965417E-2</v>
      </c>
      <c r="DG20">
        <v>62.315078450400705</v>
      </c>
      <c r="DH20">
        <v>180516393.13835552</v>
      </c>
      <c r="DI20">
        <v>6.4701849967241293E-2</v>
      </c>
      <c r="DJ20">
        <v>33.01303214573047</v>
      </c>
      <c r="DK20">
        <v>340740988.29649019</v>
      </c>
      <c r="DL20">
        <v>5.6614118721336121E-2</v>
      </c>
      <c r="DM20">
        <v>17616100</v>
      </c>
      <c r="DN20">
        <v>8.0877312459051609E-2</v>
      </c>
      <c r="DO20">
        <v>11248893200</v>
      </c>
      <c r="DP20">
        <v>921033000</v>
      </c>
      <c r="DQ20">
        <v>1538</v>
      </c>
      <c r="DR20">
        <v>0.83598590613055568</v>
      </c>
      <c r="DS20">
        <v>1.3553237364130819</v>
      </c>
      <c r="DT20" s="11">
        <v>-0.25666666666666665</v>
      </c>
      <c r="DU20">
        <v>-1.4400000000000002</v>
      </c>
      <c r="DV20">
        <v>-1.6966666666666668</v>
      </c>
      <c r="DW20">
        <v>5.2513477088948788</v>
      </c>
      <c r="DX20">
        <v>0.53143646408839884</v>
      </c>
      <c r="DY20">
        <v>5.0732518875370438</v>
      </c>
      <c r="DZ20">
        <v>4174</v>
      </c>
      <c r="EA20">
        <v>5.0133941391855128</v>
      </c>
      <c r="EB20">
        <v>5</v>
      </c>
      <c r="EC20">
        <v>0.31840634335455176</v>
      </c>
      <c r="ED20">
        <v>1.0925411971028223</v>
      </c>
      <c r="EE20" s="12">
        <v>6.0080999999999998</v>
      </c>
      <c r="EF20">
        <v>6.0172999999999996</v>
      </c>
      <c r="EG20">
        <v>24.291436464088399</v>
      </c>
      <c r="EH20" t="s">
        <v>2119</v>
      </c>
      <c r="EI20">
        <v>1</v>
      </c>
      <c r="EJ20">
        <v>0</v>
      </c>
      <c r="EK20" s="14">
        <v>45505</v>
      </c>
      <c r="EL20" s="15">
        <v>-0.55000000000000004</v>
      </c>
      <c r="EM20" s="15">
        <v>9.24</v>
      </c>
      <c r="EN20" s="15">
        <v>1.01</v>
      </c>
      <c r="EO20" s="15">
        <v>1.54</v>
      </c>
      <c r="EP20" s="15">
        <v>0.92</v>
      </c>
    </row>
    <row r="21" spans="1:146" ht="84" x14ac:dyDescent="0.25">
      <c r="A21" s="8"/>
      <c r="B21" s="8"/>
      <c r="C21" s="8" t="str">
        <f>""&amp;CHAR(10)&amp;Basic_Fundamental_Information_Constructure(F21)&amp;CHAR(10)&amp;Basic_Fundamental_Information_Concatenate("")</f>
        <v xml:space="preserve">
市值84.004445亿, 利润7260.27万; PE223.7; 平均PE80.65; 平均PEG4.63, PB4.85; ROIC11.1%; ROE14.6667%; 股利率0%; 毛利55.53%; 净利16.6667%; 上一年度营收增-27.92%, 利润增-75.8%; 当季营收增-27.6%, 利润增-68.87%; 过往5年营收增17.42%, 利润增339.2%
Income profile:
</v>
      </c>
      <c r="D21" t="s">
        <v>116</v>
      </c>
      <c r="E21" t="s">
        <v>7</v>
      </c>
      <c r="F21">
        <v>14.88</v>
      </c>
      <c r="G21">
        <v>1.22</v>
      </c>
      <c r="H21" t="s">
        <v>2120</v>
      </c>
      <c r="I21">
        <v>8400444500</v>
      </c>
      <c r="J21">
        <v>223.7</v>
      </c>
      <c r="K21">
        <v>4.8499999999999996</v>
      </c>
      <c r="L21" t="s">
        <v>667</v>
      </c>
      <c r="M21" t="s">
        <v>959</v>
      </c>
      <c r="N21" t="s">
        <v>1650</v>
      </c>
      <c r="O21" t="s">
        <v>304</v>
      </c>
      <c r="P21">
        <v>-27.62</v>
      </c>
      <c r="Q21" t="s">
        <v>854</v>
      </c>
      <c r="R21">
        <v>15842500</v>
      </c>
      <c r="S21" s="6">
        <v>-0.68869999999999998</v>
      </c>
      <c r="T21" t="s">
        <v>1159</v>
      </c>
      <c r="U21">
        <v>563355940</v>
      </c>
      <c r="V21">
        <v>564546000</v>
      </c>
      <c r="W21">
        <v>1.4</v>
      </c>
      <c r="X21">
        <v>0.05</v>
      </c>
      <c r="Y21">
        <v>8.67</v>
      </c>
      <c r="Z21" t="s">
        <v>239</v>
      </c>
      <c r="AA21" t="s">
        <v>1651</v>
      </c>
      <c r="AB21" t="s">
        <v>1652</v>
      </c>
      <c r="AC21" t="s">
        <v>1653</v>
      </c>
      <c r="AD21" t="s">
        <v>15</v>
      </c>
      <c r="AE21">
        <v>1445990</v>
      </c>
      <c r="AF21" t="s">
        <v>1160</v>
      </c>
      <c r="AG21" t="s">
        <v>1654</v>
      </c>
      <c r="AH21" t="s">
        <v>1161</v>
      </c>
      <c r="AI21" t="s">
        <v>259</v>
      </c>
      <c r="AJ21" t="s">
        <v>1162</v>
      </c>
      <c r="AK21" t="s">
        <v>233</v>
      </c>
      <c r="AL21" t="s">
        <v>1163</v>
      </c>
      <c r="AM21" t="s">
        <v>15</v>
      </c>
      <c r="AN21" t="s">
        <v>1655</v>
      </c>
      <c r="AO21" t="s">
        <v>89</v>
      </c>
      <c r="AP21" t="s">
        <v>1656</v>
      </c>
      <c r="AQ21" t="s">
        <v>59</v>
      </c>
      <c r="AR21" t="s">
        <v>15</v>
      </c>
      <c r="AS21" t="s">
        <v>1276</v>
      </c>
      <c r="AT21" t="s">
        <v>15</v>
      </c>
      <c r="AU21" t="s">
        <v>1657</v>
      </c>
      <c r="AV21" t="s">
        <v>1658</v>
      </c>
      <c r="AW21" t="s">
        <v>1659</v>
      </c>
      <c r="AX21" t="s">
        <v>843</v>
      </c>
      <c r="AY21" t="s">
        <v>688</v>
      </c>
      <c r="AZ21" t="s">
        <v>284</v>
      </c>
      <c r="BA21" t="s">
        <v>118</v>
      </c>
      <c r="BB21" t="s">
        <v>108</v>
      </c>
      <c r="BC21" t="s">
        <v>769</v>
      </c>
      <c r="BD21" t="s">
        <v>71</v>
      </c>
      <c r="BE21" t="s">
        <v>285</v>
      </c>
      <c r="BF21" t="s">
        <v>119</v>
      </c>
      <c r="BG21" t="s">
        <v>287</v>
      </c>
      <c r="BH21" t="s">
        <v>854</v>
      </c>
      <c r="BI21" t="s">
        <v>155</v>
      </c>
      <c r="BJ21" t="s">
        <v>843</v>
      </c>
      <c r="BK21" t="s">
        <v>1159</v>
      </c>
      <c r="BL21" t="s">
        <v>1164</v>
      </c>
      <c r="BM21" t="s">
        <v>769</v>
      </c>
      <c r="BN21">
        <v>6.81</v>
      </c>
      <c r="BO21">
        <v>17.21</v>
      </c>
      <c r="BP21">
        <v>9.2799999999999994</v>
      </c>
      <c r="BQ21">
        <v>8.4700000000000006</v>
      </c>
      <c r="BR21">
        <v>21.83</v>
      </c>
      <c r="BS21">
        <v>13.7</v>
      </c>
      <c r="BT21" t="s">
        <v>781</v>
      </c>
      <c r="BU21" t="s">
        <v>667</v>
      </c>
      <c r="BV21">
        <v>54.63</v>
      </c>
      <c r="BW21">
        <v>55.38</v>
      </c>
      <c r="BX21">
        <v>56.58</v>
      </c>
      <c r="BY21">
        <v>6.59</v>
      </c>
      <c r="BZ21">
        <v>26.08</v>
      </c>
      <c r="CA21">
        <v>17.329999999999998</v>
      </c>
      <c r="CB21">
        <v>12.9</v>
      </c>
      <c r="CC21">
        <v>-4</v>
      </c>
      <c r="CD21" t="s">
        <v>2121</v>
      </c>
      <c r="CE21" t="s">
        <v>2122</v>
      </c>
      <c r="CF21" s="9">
        <v>-0.27604166666666669</v>
      </c>
      <c r="CG21" s="10">
        <v>-0.68867722455524616</v>
      </c>
      <c r="CH21" s="9">
        <v>-0.27918782830238342</v>
      </c>
      <c r="CI21" s="9">
        <v>0.48866498470306396</v>
      </c>
      <c r="CJ21" s="9">
        <v>0.37608319520950317</v>
      </c>
      <c r="CK21" s="9">
        <v>0.2224576324224472</v>
      </c>
      <c r="CL21" s="9">
        <v>6.3063062727451324E-2</v>
      </c>
      <c r="CM21" s="10">
        <v>-0.75799101591110229</v>
      </c>
      <c r="CN21" s="10">
        <v>0.98675495386123657</v>
      </c>
      <c r="CO21" s="10">
        <v>0.87320518493652344</v>
      </c>
      <c r="CP21" s="10">
        <v>16.574451446533203</v>
      </c>
      <c r="CQ21" s="10">
        <v>-0.7163388729095459</v>
      </c>
      <c r="CR21">
        <v>80.648138310638913</v>
      </c>
      <c r="CS21">
        <v>4.629198316884712</v>
      </c>
      <c r="CT21">
        <v>0</v>
      </c>
      <c r="CU21" s="9">
        <v>0.17421620935201645</v>
      </c>
      <c r="CV21" s="10">
        <v>3.3920163393020628</v>
      </c>
      <c r="CW21">
        <v>0.06</v>
      </c>
      <c r="CX21">
        <v>91.046050416633875</v>
      </c>
      <c r="CY21">
        <v>80425723.757284567</v>
      </c>
      <c r="CZ21">
        <v>0.17421620935201645</v>
      </c>
      <c r="DA21">
        <v>27.724442625845565</v>
      </c>
      <c r="DB21">
        <v>264115120.32251987</v>
      </c>
      <c r="DC21">
        <v>0.16550539888441562</v>
      </c>
      <c r="DD21">
        <v>12.382628159259808</v>
      </c>
      <c r="DE21">
        <v>591348169.8571583</v>
      </c>
      <c r="DF21">
        <v>0.15331026422977448</v>
      </c>
      <c r="DG21">
        <v>6.6362498577920856</v>
      </c>
      <c r="DH21">
        <v>1103400965.4416802</v>
      </c>
      <c r="DI21">
        <v>0.13937296748161318</v>
      </c>
      <c r="DJ21">
        <v>2.6339614211838995</v>
      </c>
      <c r="DK21">
        <v>2780012053.7485871</v>
      </c>
      <c r="DL21">
        <v>0.12195134654641152</v>
      </c>
      <c r="DM21">
        <v>72602700</v>
      </c>
      <c r="DN21">
        <v>0.17421620935201645</v>
      </c>
      <c r="DO21">
        <v>7322444500</v>
      </c>
      <c r="DP21">
        <v>1350933200</v>
      </c>
      <c r="DQ21">
        <v>1590</v>
      </c>
      <c r="DR21">
        <v>-0.45025787601868317</v>
      </c>
      <c r="DS21">
        <v>-4.0806935638573094</v>
      </c>
      <c r="DT21" s="11">
        <v>-0.20666666666666669</v>
      </c>
      <c r="DU21">
        <v>6.6666666666666652E-2</v>
      </c>
      <c r="DV21">
        <v>-0.14000000000000004</v>
      </c>
      <c r="DW21">
        <v>5.3100775193798446</v>
      </c>
      <c r="DX21">
        <v>0.5097245059288531</v>
      </c>
      <c r="DY21">
        <v>5.077433955326776</v>
      </c>
      <c r="DZ21">
        <v>2129</v>
      </c>
      <c r="EA21">
        <v>5.0451597010412028</v>
      </c>
      <c r="EB21">
        <v>5</v>
      </c>
      <c r="EC21">
        <v>0.11191346675027367</v>
      </c>
      <c r="ED21">
        <v>0.44814771515518659</v>
      </c>
      <c r="EE21" s="12">
        <v>-1.0187999999999999</v>
      </c>
      <c r="EF21">
        <v>-1.0309999999999999</v>
      </c>
      <c r="EG21">
        <v>26.249724505928853</v>
      </c>
      <c r="EH21" t="s">
        <v>809</v>
      </c>
      <c r="EI21">
        <v>1</v>
      </c>
      <c r="EJ21">
        <v>0</v>
      </c>
      <c r="EK21" s="14">
        <v>45505</v>
      </c>
      <c r="EL21" s="15">
        <v>-0.38</v>
      </c>
      <c r="EM21" s="15">
        <v>5.08</v>
      </c>
      <c r="EN21" s="15">
        <v>0.43</v>
      </c>
      <c r="EO21" s="15">
        <v>3.74</v>
      </c>
      <c r="EP21" s="15">
        <v>1.22</v>
      </c>
    </row>
    <row r="22" spans="1:146" ht="84" x14ac:dyDescent="0.25">
      <c r="A22" s="8"/>
      <c r="B22" s="8"/>
      <c r="C22" s="8" t="str">
        <f>""&amp;CHAR(10)&amp;Basic_Fundamental_Information_Constructure(F22)&amp;CHAR(10)&amp;Basic_Fundamental_Information_Concatenate("")</f>
        <v xml:space="preserve">
市值286.04623亿, 利润9816.71万; PE299.7; 平均PE139.63; 平均PEG32.17, PB11.87; ROIC8.82%; ROE9.4%; 股利率0%; 毛利35.3667%; 净利10.8267%; 上一年度营收增-11.97%, 利润增-49.14%; 当季营收增-8.94%, 利润增-11.84%; 过往5年营收增4.34%, 利润增-1.92%
Income profile:
</v>
      </c>
      <c r="D22" t="s">
        <v>440</v>
      </c>
      <c r="E22" t="s">
        <v>441</v>
      </c>
      <c r="F22">
        <v>48.42</v>
      </c>
      <c r="G22">
        <v>-0.33</v>
      </c>
      <c r="H22" t="s">
        <v>2123</v>
      </c>
      <c r="I22">
        <v>28604623000</v>
      </c>
      <c r="J22">
        <v>299.7</v>
      </c>
      <c r="K22">
        <v>11.87</v>
      </c>
      <c r="L22" t="s">
        <v>667</v>
      </c>
      <c r="M22" t="s">
        <v>1165</v>
      </c>
      <c r="N22" t="s">
        <v>1660</v>
      </c>
      <c r="O22" t="s">
        <v>324</v>
      </c>
      <c r="P22">
        <v>-8.9700000000000006</v>
      </c>
      <c r="Q22" t="s">
        <v>1166</v>
      </c>
      <c r="R22">
        <v>20173526</v>
      </c>
      <c r="S22" s="6">
        <v>-0.11840000000000001</v>
      </c>
      <c r="T22" t="s">
        <v>1167</v>
      </c>
      <c r="U22">
        <v>590760500</v>
      </c>
      <c r="V22">
        <v>590760500</v>
      </c>
      <c r="W22">
        <v>1.61</v>
      </c>
      <c r="X22">
        <v>0.08</v>
      </c>
      <c r="Y22">
        <v>5.76</v>
      </c>
      <c r="Z22" t="s">
        <v>666</v>
      </c>
      <c r="AA22" t="s">
        <v>145</v>
      </c>
      <c r="AB22" t="s">
        <v>1661</v>
      </c>
      <c r="AC22" t="s">
        <v>1662</v>
      </c>
      <c r="AD22" t="s">
        <v>15</v>
      </c>
      <c r="AE22">
        <v>1906405</v>
      </c>
      <c r="AF22" t="s">
        <v>1168</v>
      </c>
      <c r="AG22" t="s">
        <v>1663</v>
      </c>
      <c r="AH22" t="s">
        <v>1169</v>
      </c>
      <c r="AI22" t="s">
        <v>211</v>
      </c>
      <c r="AJ22" t="s">
        <v>1170</v>
      </c>
      <c r="AK22" t="s">
        <v>1664</v>
      </c>
      <c r="AL22" t="s">
        <v>1171</v>
      </c>
      <c r="AM22" t="s">
        <v>15</v>
      </c>
      <c r="AN22" t="s">
        <v>133</v>
      </c>
      <c r="AO22" t="s">
        <v>1665</v>
      </c>
      <c r="AP22" t="s">
        <v>137</v>
      </c>
      <c r="AQ22" t="s">
        <v>841</v>
      </c>
      <c r="AR22" t="s">
        <v>1666</v>
      </c>
      <c r="AS22" t="s">
        <v>1667</v>
      </c>
      <c r="AT22" t="s">
        <v>683</v>
      </c>
      <c r="AU22" t="s">
        <v>961</v>
      </c>
      <c r="AV22" t="s">
        <v>1668</v>
      </c>
      <c r="AW22" t="s">
        <v>1669</v>
      </c>
      <c r="AX22" t="s">
        <v>844</v>
      </c>
      <c r="AY22" t="s">
        <v>689</v>
      </c>
      <c r="AZ22" t="s">
        <v>222</v>
      </c>
      <c r="BA22" t="s">
        <v>443</v>
      </c>
      <c r="BB22" t="s">
        <v>444</v>
      </c>
      <c r="BC22" t="s">
        <v>231</v>
      </c>
      <c r="BD22" t="s">
        <v>181</v>
      </c>
      <c r="BE22" t="s">
        <v>442</v>
      </c>
      <c r="BF22" t="s">
        <v>105</v>
      </c>
      <c r="BG22" t="s">
        <v>112</v>
      </c>
      <c r="BH22" t="s">
        <v>1166</v>
      </c>
      <c r="BI22" t="s">
        <v>776</v>
      </c>
      <c r="BJ22" t="s">
        <v>844</v>
      </c>
      <c r="BK22" t="s">
        <v>1167</v>
      </c>
      <c r="BL22" t="s">
        <v>1172</v>
      </c>
      <c r="BM22" t="s">
        <v>231</v>
      </c>
      <c r="BN22">
        <v>3.55</v>
      </c>
      <c r="BO22">
        <v>8.23</v>
      </c>
      <c r="BP22">
        <v>14.68</v>
      </c>
      <c r="BQ22">
        <v>4.17</v>
      </c>
      <c r="BR22">
        <v>8.7200000000000006</v>
      </c>
      <c r="BS22">
        <v>15.31</v>
      </c>
      <c r="BT22" t="s">
        <v>781</v>
      </c>
      <c r="BU22" t="s">
        <v>667</v>
      </c>
      <c r="BV22">
        <v>32.53</v>
      </c>
      <c r="BW22">
        <v>36.24</v>
      </c>
      <c r="BX22">
        <v>37.33</v>
      </c>
      <c r="BY22">
        <v>5.89</v>
      </c>
      <c r="BZ22">
        <v>10.31</v>
      </c>
      <c r="CA22">
        <v>16.28</v>
      </c>
      <c r="CB22">
        <v>8.25</v>
      </c>
      <c r="CC22">
        <v>24.47</v>
      </c>
      <c r="CD22" t="s">
        <v>2124</v>
      </c>
      <c r="CE22" t="s">
        <v>2125</v>
      </c>
      <c r="CF22" s="9">
        <v>-8.9385474860335198E-2</v>
      </c>
      <c r="CG22" s="10">
        <v>-0.11840168859716207</v>
      </c>
      <c r="CH22" s="9">
        <v>-0.11968504637479782</v>
      </c>
      <c r="CI22" s="9">
        <v>-1.9557449966669083E-2</v>
      </c>
      <c r="CJ22" s="9">
        <v>0.10397730767726898</v>
      </c>
      <c r="CK22" s="9">
        <v>0.13915862143039703</v>
      </c>
      <c r="CL22" s="9">
        <v>0.11311234533786774</v>
      </c>
      <c r="CM22" s="10">
        <v>-0.49136218428611755</v>
      </c>
      <c r="CN22" s="10">
        <v>-0.37133550643920898</v>
      </c>
      <c r="CO22" s="10">
        <v>0.16730037331581116</v>
      </c>
      <c r="CP22" s="10">
        <v>0.24056604504585266</v>
      </c>
      <c r="CQ22" s="10">
        <v>0.35897436738014221</v>
      </c>
      <c r="CR22">
        <v>139.62929694424784</v>
      </c>
      <c r="CS22">
        <v>32.171792420496629</v>
      </c>
      <c r="CT22">
        <v>0</v>
      </c>
      <c r="CU22" s="9">
        <v>4.340115562081337E-2</v>
      </c>
      <c r="CV22" s="10">
        <v>-1.9171380996704103E-2</v>
      </c>
      <c r="CW22">
        <v>0.06</v>
      </c>
      <c r="CX22">
        <v>286.72937348094507</v>
      </c>
      <c r="CY22">
        <v>96629873.192399919</v>
      </c>
      <c r="CZ22">
        <v>4.340115562081337E-2</v>
      </c>
      <c r="DA22">
        <v>97.491700663222119</v>
      </c>
      <c r="DB22">
        <v>284194683.35782224</v>
      </c>
      <c r="DC22">
        <v>4.1231097839772697E-2</v>
      </c>
      <c r="DD22">
        <v>50.558003188476278</v>
      </c>
      <c r="DE22">
        <v>548016560.24095488</v>
      </c>
      <c r="DF22">
        <v>3.8193016946315765E-2</v>
      </c>
      <c r="DG22">
        <v>32.153549209595219</v>
      </c>
      <c r="DH22">
        <v>861697189.92427206</v>
      </c>
      <c r="DI22">
        <v>3.47209244966507E-2</v>
      </c>
      <c r="DJ22">
        <v>18.751634462579009</v>
      </c>
      <c r="DK22">
        <v>1477557759.3138175</v>
      </c>
      <c r="DL22">
        <v>3.0380808934569358E-2</v>
      </c>
      <c r="DM22">
        <v>98167099.999999985</v>
      </c>
      <c r="DN22">
        <v>4.340115562081337E-2</v>
      </c>
      <c r="DO22">
        <v>27706623000</v>
      </c>
      <c r="DP22">
        <v>1210638600</v>
      </c>
      <c r="DQ22">
        <v>1602</v>
      </c>
      <c r="DR22">
        <v>-0.13278663048114858</v>
      </c>
      <c r="DS22">
        <v>-9.9230307600457979E-2</v>
      </c>
      <c r="DT22" s="11">
        <v>-0.44</v>
      </c>
      <c r="DU22">
        <v>3.3333333333333291E-2</v>
      </c>
      <c r="DV22">
        <v>-0.40666666666666673</v>
      </c>
      <c r="DW22">
        <v>9.337147527584797</v>
      </c>
      <c r="DX22">
        <v>0.35397978723404178</v>
      </c>
      <c r="DY22">
        <v>9.0417994787364471</v>
      </c>
      <c r="DZ22">
        <v>2760</v>
      </c>
      <c r="EA22">
        <v>9.0192140125436921</v>
      </c>
      <c r="EB22">
        <v>9</v>
      </c>
      <c r="EC22">
        <v>9.8636418650197497E-2</v>
      </c>
      <c r="ED22">
        <v>0.79558467433079905</v>
      </c>
      <c r="EE22" s="12">
        <v>4.2499999999999996E-2</v>
      </c>
      <c r="EF22">
        <v>3.9200000000000006E-2</v>
      </c>
      <c r="EG22">
        <v>23.123979787234042</v>
      </c>
      <c r="EH22" t="s">
        <v>511</v>
      </c>
      <c r="EI22">
        <v>1</v>
      </c>
      <c r="EJ22">
        <v>0</v>
      </c>
      <c r="EK22" s="14">
        <v>45505</v>
      </c>
      <c r="EL22" s="15">
        <v>-2.4900000000000002</v>
      </c>
      <c r="EM22" s="15">
        <v>4.4000000000000004</v>
      </c>
      <c r="EN22" s="15">
        <v>2.72</v>
      </c>
      <c r="EO22" s="15">
        <v>1.1499999999999999</v>
      </c>
      <c r="EP22" s="15">
        <v>-0.33</v>
      </c>
    </row>
    <row r="23" spans="1:146" ht="84" x14ac:dyDescent="0.25">
      <c r="A23" s="8"/>
      <c r="B23" s="8"/>
      <c r="C23" s="8" t="str">
        <f>""&amp;CHAR(10)&amp;Basic_Fundamental_Information_Constructure(F23)&amp;CHAR(10)&amp;Basic_Fundamental_Information_Concatenate("")</f>
        <v xml:space="preserve">
市值51.398256亿, 利润-2.83亿; PE; 平均PE-13.92; 平均PEG-2.63, PB2.08; ROIC1.34%; ROE-21.0633%; 股利率0%; 毛利21.66%; 净利-54.33%; 上一年度营收增-5.75%, 利润增76.44%; 当季营收增-30.19%, 利润增-363.91%; 过往5年营收增5.28%, 利润增-688.29%
Income profile:
</v>
      </c>
      <c r="D23" t="s">
        <v>121</v>
      </c>
      <c r="E23" t="s">
        <v>10</v>
      </c>
      <c r="F23">
        <v>5.03</v>
      </c>
      <c r="G23">
        <v>3.5</v>
      </c>
      <c r="H23" t="s">
        <v>2126</v>
      </c>
      <c r="I23">
        <v>5139825600</v>
      </c>
      <c r="K23">
        <v>2.08</v>
      </c>
      <c r="L23" t="s">
        <v>667</v>
      </c>
      <c r="M23" t="s">
        <v>1173</v>
      </c>
      <c r="N23" t="s">
        <v>1670</v>
      </c>
      <c r="O23" t="s">
        <v>91</v>
      </c>
      <c r="P23">
        <v>-30.32</v>
      </c>
      <c r="Q23" t="s">
        <v>1174</v>
      </c>
      <c r="R23">
        <v>-12524124</v>
      </c>
      <c r="S23" s="6">
        <v>-3.6389999999999998</v>
      </c>
      <c r="T23" t="s">
        <v>221</v>
      </c>
      <c r="U23">
        <v>1000373820</v>
      </c>
      <c r="V23">
        <v>1021834120</v>
      </c>
      <c r="W23">
        <v>2.2799999999999998</v>
      </c>
      <c r="X23">
        <v>0.04</v>
      </c>
      <c r="Y23">
        <v>-3.38</v>
      </c>
      <c r="Z23" t="s">
        <v>178</v>
      </c>
      <c r="AA23" t="s">
        <v>179</v>
      </c>
      <c r="AB23" t="s">
        <v>1671</v>
      </c>
      <c r="AC23" t="s">
        <v>1672</v>
      </c>
      <c r="AD23" t="s">
        <v>15</v>
      </c>
      <c r="AE23">
        <v>25895226</v>
      </c>
      <c r="AF23" t="s">
        <v>66</v>
      </c>
      <c r="AG23" t="s">
        <v>1673</v>
      </c>
      <c r="AH23" t="s">
        <v>1175</v>
      </c>
      <c r="AI23" t="s">
        <v>112</v>
      </c>
      <c r="AJ23" t="s">
        <v>1176</v>
      </c>
      <c r="AK23" t="s">
        <v>697</v>
      </c>
      <c r="AL23" t="s">
        <v>1177</v>
      </c>
      <c r="AM23" t="s">
        <v>15</v>
      </c>
      <c r="AN23" t="s">
        <v>1674</v>
      </c>
      <c r="AO23" t="s">
        <v>1319</v>
      </c>
      <c r="AP23" t="s">
        <v>153</v>
      </c>
      <c r="AQ23" t="s">
        <v>1279</v>
      </c>
      <c r="AR23" t="s">
        <v>1675</v>
      </c>
      <c r="AS23" t="s">
        <v>1676</v>
      </c>
      <c r="AT23" t="s">
        <v>606</v>
      </c>
      <c r="AU23" t="s">
        <v>1677</v>
      </c>
      <c r="AV23" t="s">
        <v>1678</v>
      </c>
      <c r="AW23" t="s">
        <v>1679</v>
      </c>
      <c r="AX23" t="s">
        <v>845</v>
      </c>
      <c r="AY23" t="s">
        <v>691</v>
      </c>
      <c r="AZ23" t="s">
        <v>289</v>
      </c>
      <c r="BA23" t="s">
        <v>122</v>
      </c>
      <c r="BB23" t="s">
        <v>291</v>
      </c>
      <c r="BC23" t="s">
        <v>846</v>
      </c>
      <c r="BD23" t="s">
        <v>533</v>
      </c>
      <c r="BE23" t="s">
        <v>290</v>
      </c>
      <c r="BF23" t="s">
        <v>123</v>
      </c>
      <c r="BG23" t="s">
        <v>293</v>
      </c>
      <c r="BH23" t="s">
        <v>1174</v>
      </c>
      <c r="BI23" t="s">
        <v>519</v>
      </c>
      <c r="BJ23" t="s">
        <v>845</v>
      </c>
      <c r="BK23" t="s">
        <v>221</v>
      </c>
      <c r="BL23" t="s">
        <v>1178</v>
      </c>
      <c r="BM23" t="s">
        <v>846</v>
      </c>
      <c r="BN23">
        <v>1.34</v>
      </c>
      <c r="BO23" t="s">
        <v>15</v>
      </c>
      <c r="BP23" t="s">
        <v>15</v>
      </c>
      <c r="BQ23">
        <v>-7.0000000000000007E-2</v>
      </c>
      <c r="BR23">
        <v>-36.49</v>
      </c>
      <c r="BS23">
        <v>-26.63</v>
      </c>
      <c r="BT23" t="s">
        <v>781</v>
      </c>
      <c r="BU23" t="s">
        <v>667</v>
      </c>
      <c r="BV23">
        <v>26.88</v>
      </c>
      <c r="BW23">
        <v>19.350000000000001</v>
      </c>
      <c r="BX23">
        <v>18.75</v>
      </c>
      <c r="BY23">
        <v>-17.190000000000001</v>
      </c>
      <c r="BZ23">
        <v>-70.989999999999995</v>
      </c>
      <c r="CA23">
        <v>-74.81</v>
      </c>
      <c r="CB23">
        <v>13.54</v>
      </c>
      <c r="CC23">
        <v>10.55</v>
      </c>
      <c r="CD23" t="s">
        <v>2122</v>
      </c>
      <c r="CE23" t="s">
        <v>2127</v>
      </c>
      <c r="CF23" s="9">
        <v>-0.30188679245283012</v>
      </c>
      <c r="CG23" s="10">
        <v>-3.6391023263654754</v>
      </c>
      <c r="CH23" s="9">
        <v>-5.7532660663127899E-2</v>
      </c>
      <c r="CI23" s="9">
        <v>6.1712846159934998E-2</v>
      </c>
      <c r="CJ23" s="9">
        <v>-0.12410366535186768</v>
      </c>
      <c r="CK23" s="9">
        <v>-0.17815057933330536</v>
      </c>
      <c r="CL23" s="9">
        <v>0.56232303380966187</v>
      </c>
      <c r="CM23" s="10">
        <v>0.76436299085617065</v>
      </c>
      <c r="CN23" s="10">
        <v>-1.6679498367011547E-3</v>
      </c>
      <c r="CO23" s="10">
        <v>-35.144565582275391</v>
      </c>
      <c r="CP23" s="10">
        <v>-0.87458789348602295</v>
      </c>
      <c r="CQ23" s="10">
        <v>0.84210526943206787</v>
      </c>
      <c r="CR23">
        <v>-13.917220057398296</v>
      </c>
      <c r="CS23">
        <v>-2.6333536539438858</v>
      </c>
      <c r="CT23">
        <v>0</v>
      </c>
      <c r="CU23" s="9">
        <v>5.2849794924259189E-2</v>
      </c>
      <c r="CV23" s="10">
        <v>-6.8828706330619749</v>
      </c>
      <c r="CW23">
        <v>0.06</v>
      </c>
      <c r="CX23" t="e">
        <v>#VALUE!</v>
      </c>
      <c r="CY23" t="s">
        <v>568</v>
      </c>
      <c r="CZ23">
        <v>5.2849794924259189E-2</v>
      </c>
      <c r="DA23" t="e">
        <v>#VALUE!</v>
      </c>
      <c r="DB23" t="s">
        <v>569</v>
      </c>
      <c r="DC23">
        <v>5.0207305178046224E-2</v>
      </c>
      <c r="DD23" t="e">
        <v>#VALUE!</v>
      </c>
      <c r="DE23" t="s">
        <v>569</v>
      </c>
      <c r="DF23">
        <v>4.6507819533348087E-2</v>
      </c>
      <c r="DG23" t="e">
        <v>#VALUE!</v>
      </c>
      <c r="DH23" t="s">
        <v>569</v>
      </c>
      <c r="DI23">
        <v>4.2279835939407352E-2</v>
      </c>
      <c r="DJ23" t="e">
        <v>#VALUE!</v>
      </c>
      <c r="DK23" t="s">
        <v>569</v>
      </c>
      <c r="DL23">
        <v>3.6994856446981431E-2</v>
      </c>
      <c r="DM23">
        <v>-283000000</v>
      </c>
      <c r="DN23">
        <v>5.2849794924259189E-2</v>
      </c>
      <c r="DO23">
        <v>6038825600</v>
      </c>
      <c r="DP23">
        <v>109567300</v>
      </c>
      <c r="DQ23">
        <v>1610</v>
      </c>
      <c r="DR23">
        <v>-0.3547365873770893</v>
      </c>
      <c r="DS23">
        <v>3.2437683066964995</v>
      </c>
      <c r="DT23" s="11">
        <v>-0.45666666666666672</v>
      </c>
      <c r="DU23">
        <v>-2.1150000000000002</v>
      </c>
      <c r="DV23">
        <v>-2.5716666666666668</v>
      </c>
      <c r="DW23">
        <v>5.7791728212703104</v>
      </c>
      <c r="DX23">
        <v>0.70684807256235693</v>
      </c>
      <c r="DY23">
        <v>5.2235042219743635</v>
      </c>
      <c r="DZ23">
        <v>4695</v>
      </c>
      <c r="EA23">
        <v>5.0180711127007465</v>
      </c>
      <c r="EB23">
        <v>5</v>
      </c>
      <c r="EC23">
        <v>0.24759400283090954</v>
      </c>
      <c r="ED23">
        <v>0.86315379643028556</v>
      </c>
      <c r="EE23" s="12">
        <v>1.0438000000000001</v>
      </c>
      <c r="EF23">
        <v>1.0788</v>
      </c>
      <c r="EG23">
        <v>42.286848072562357</v>
      </c>
      <c r="EH23" t="s">
        <v>567</v>
      </c>
      <c r="EI23">
        <v>1</v>
      </c>
      <c r="EJ23">
        <v>0</v>
      </c>
      <c r="EK23" s="14">
        <v>45505</v>
      </c>
      <c r="EL23" s="15">
        <v>0.45</v>
      </c>
      <c r="EM23" s="15">
        <v>3.61</v>
      </c>
      <c r="EN23" s="15">
        <v>2.1800000000000002</v>
      </c>
      <c r="EO23" s="15">
        <v>0.21</v>
      </c>
      <c r="EP23" s="15">
        <v>3.5</v>
      </c>
    </row>
    <row r="24" spans="1:146" ht="84" x14ac:dyDescent="0.25">
      <c r="A24" s="8"/>
      <c r="B24" s="8"/>
      <c r="C24" s="8" t="str">
        <f>""&amp;CHAR(10)&amp;Basic_Fundamental_Information_Constructure(F24)&amp;CHAR(10)&amp;Basic_Fundamental_Information_Concatenate("")</f>
        <v xml:space="preserve">
市值57.375435亿, 利润-4.27亿; PE; 平均PE-74.45; 平均PEG-1697.15, PB3.51; ROIC2.32%; ROE-1.23%; 股利率0%; 毛利41.1067%; 净利-20.29%; 上一年度营收增-10.02%, 利润增-288.18%; 当季营收增-38.62%, 利润增-2.63%; 过往5年营收增-.04%, 利润增-154.25%
Income profile:
</v>
      </c>
      <c r="D24" t="s">
        <v>446</v>
      </c>
      <c r="E24" t="s">
        <v>447</v>
      </c>
      <c r="F24">
        <v>7.71</v>
      </c>
      <c r="G24">
        <v>2.94</v>
      </c>
      <c r="H24" t="s">
        <v>146</v>
      </c>
      <c r="I24">
        <v>5737543500</v>
      </c>
      <c r="K24">
        <v>3.51</v>
      </c>
      <c r="L24" t="s">
        <v>667</v>
      </c>
      <c r="M24" t="s">
        <v>1179</v>
      </c>
      <c r="N24" t="s">
        <v>333</v>
      </c>
      <c r="O24" t="s">
        <v>334</v>
      </c>
      <c r="P24">
        <v>-38.49</v>
      </c>
      <c r="Q24" t="s">
        <v>1180</v>
      </c>
      <c r="R24">
        <v>-39590187</v>
      </c>
      <c r="S24" s="6">
        <v>-2.63E-2</v>
      </c>
      <c r="T24" t="s">
        <v>1181</v>
      </c>
      <c r="U24">
        <v>606267410</v>
      </c>
      <c r="V24">
        <v>744169070</v>
      </c>
      <c r="W24">
        <v>1.96</v>
      </c>
      <c r="X24">
        <v>0.04</v>
      </c>
      <c r="Y24">
        <v>-39.200000000000003</v>
      </c>
      <c r="Z24" t="s">
        <v>259</v>
      </c>
      <c r="AA24" t="s">
        <v>1680</v>
      </c>
      <c r="AB24" t="s">
        <v>1681</v>
      </c>
      <c r="AC24" t="s">
        <v>1682</v>
      </c>
      <c r="AD24" t="s">
        <v>15</v>
      </c>
      <c r="AE24">
        <v>3845775</v>
      </c>
      <c r="AF24" t="s">
        <v>1182</v>
      </c>
      <c r="AG24" t="s">
        <v>1683</v>
      </c>
      <c r="AH24" t="s">
        <v>1183</v>
      </c>
      <c r="AI24" t="s">
        <v>142</v>
      </c>
      <c r="AJ24" t="s">
        <v>1184</v>
      </c>
      <c r="AK24" t="s">
        <v>1684</v>
      </c>
      <c r="AL24" t="s">
        <v>1185</v>
      </c>
      <c r="AM24" t="s">
        <v>15</v>
      </c>
      <c r="AN24" t="s">
        <v>166</v>
      </c>
      <c r="AO24" t="s">
        <v>185</v>
      </c>
      <c r="AP24" t="s">
        <v>1685</v>
      </c>
      <c r="AQ24" t="s">
        <v>220</v>
      </c>
      <c r="AR24" t="s">
        <v>15</v>
      </c>
      <c r="AS24" t="s">
        <v>1686</v>
      </c>
      <c r="AT24" t="s">
        <v>1687</v>
      </c>
      <c r="AU24" t="s">
        <v>1688</v>
      </c>
      <c r="AV24" t="s">
        <v>1689</v>
      </c>
      <c r="AW24" t="s">
        <v>1690</v>
      </c>
      <c r="AX24" t="s">
        <v>847</v>
      </c>
      <c r="AY24" t="s">
        <v>692</v>
      </c>
      <c r="AZ24" t="s">
        <v>448</v>
      </c>
      <c r="BA24" t="s">
        <v>396</v>
      </c>
      <c r="BB24" t="s">
        <v>450</v>
      </c>
      <c r="BC24" t="s">
        <v>671</v>
      </c>
      <c r="BD24" t="s">
        <v>534</v>
      </c>
      <c r="BE24" t="s">
        <v>449</v>
      </c>
      <c r="BF24" t="s">
        <v>386</v>
      </c>
      <c r="BG24" t="s">
        <v>451</v>
      </c>
      <c r="BH24" t="s">
        <v>1180</v>
      </c>
      <c r="BI24" t="s">
        <v>851</v>
      </c>
      <c r="BJ24" t="s">
        <v>847</v>
      </c>
      <c r="BK24" t="s">
        <v>1181</v>
      </c>
      <c r="BL24" t="s">
        <v>1186</v>
      </c>
      <c r="BM24" t="s">
        <v>671</v>
      </c>
      <c r="BN24" t="s">
        <v>15</v>
      </c>
      <c r="BO24" t="s">
        <v>15</v>
      </c>
      <c r="BP24">
        <v>2.3199999999999998</v>
      </c>
      <c r="BQ24">
        <v>-0.98</v>
      </c>
      <c r="BR24">
        <v>-4.8499999999999996</v>
      </c>
      <c r="BS24">
        <v>2.14</v>
      </c>
      <c r="BT24" t="s">
        <v>781</v>
      </c>
      <c r="BU24" t="s">
        <v>667</v>
      </c>
      <c r="BV24">
        <v>36.65</v>
      </c>
      <c r="BW24">
        <v>41.21</v>
      </c>
      <c r="BX24">
        <v>45.46</v>
      </c>
      <c r="BY24">
        <v>-52.59</v>
      </c>
      <c r="BZ24">
        <v>-11.61</v>
      </c>
      <c r="CA24">
        <v>3.33</v>
      </c>
      <c r="CB24">
        <v>14.05</v>
      </c>
      <c r="CC24">
        <v>11.9</v>
      </c>
      <c r="CD24" t="s">
        <v>1600</v>
      </c>
      <c r="CE24" t="s">
        <v>2128</v>
      </c>
      <c r="CF24" s="9">
        <v>-0.38624338624338633</v>
      </c>
      <c r="CG24" s="10">
        <v>-2.6346493354314705E-2</v>
      </c>
      <c r="CH24" s="9">
        <v>-0.10015174746513367</v>
      </c>
      <c r="CI24" s="9">
        <v>-0.26614698767662048</v>
      </c>
      <c r="CJ24" s="9">
        <v>1.2972399592399597E-2</v>
      </c>
      <c r="CK24" s="9">
        <v>9.5120362937450409E-2</v>
      </c>
      <c r="CL24" s="9">
        <v>0.25601252913475037</v>
      </c>
      <c r="CM24" s="10">
        <v>-2.8818182945251465</v>
      </c>
      <c r="CN24" s="10">
        <v>-3.3253946304321289</v>
      </c>
      <c r="CO24" s="10">
        <v>-0.44930717349052429</v>
      </c>
      <c r="CP24" s="10">
        <v>1.557783842086792</v>
      </c>
      <c r="CQ24" s="10">
        <v>-2.6139917373657227</v>
      </c>
      <c r="CR24">
        <v>-74.452008177655756</v>
      </c>
      <c r="CS24">
        <v>-1697.1490023135907</v>
      </c>
      <c r="CT24">
        <v>0</v>
      </c>
      <c r="CU24" s="9">
        <v>-4.3868869543075564E-4</v>
      </c>
      <c r="CV24" s="10">
        <v>-1.542545598745346</v>
      </c>
      <c r="CW24">
        <v>0.06</v>
      </c>
      <c r="CX24" t="e">
        <v>#VALUE!</v>
      </c>
      <c r="CY24" t="s">
        <v>568</v>
      </c>
      <c r="CZ24">
        <v>-4.3868869543075564E-4</v>
      </c>
      <c r="DA24" t="e">
        <v>#VALUE!</v>
      </c>
      <c r="DB24" t="s">
        <v>569</v>
      </c>
      <c r="DC24">
        <v>-4.1675426065921782E-4</v>
      </c>
      <c r="DD24" t="e">
        <v>#VALUE!</v>
      </c>
      <c r="DE24" t="s">
        <v>569</v>
      </c>
      <c r="DF24">
        <v>-3.8604605197906496E-4</v>
      </c>
      <c r="DG24" t="e">
        <v>#VALUE!</v>
      </c>
      <c r="DH24" t="s">
        <v>569</v>
      </c>
      <c r="DI24">
        <v>-3.5095095634460452E-4</v>
      </c>
      <c r="DJ24" t="e">
        <v>#VALUE!</v>
      </c>
      <c r="DK24" t="s">
        <v>569</v>
      </c>
      <c r="DL24">
        <v>-3.0708208680152894E-4</v>
      </c>
      <c r="DM24">
        <v>-426999999.99999994</v>
      </c>
      <c r="DN24">
        <v>-4.3868869543075564E-4</v>
      </c>
      <c r="DO24">
        <v>5802543500</v>
      </c>
      <c r="DP24">
        <v>658429000</v>
      </c>
      <c r="DQ24">
        <v>1663</v>
      </c>
      <c r="DR24">
        <v>-0.3858046975479556</v>
      </c>
      <c r="DS24">
        <v>1.5161991053910313</v>
      </c>
      <c r="DT24" s="11">
        <v>-0.49</v>
      </c>
      <c r="DU24">
        <v>-2.8816666666666664</v>
      </c>
      <c r="DV24">
        <v>-3.3716666666666661</v>
      </c>
      <c r="DW24">
        <v>5.8469750889679712</v>
      </c>
      <c r="DX24">
        <v>0.48308467356028273</v>
      </c>
      <c r="DY24">
        <v>5.2058866630154723</v>
      </c>
      <c r="DZ24">
        <v>4988</v>
      </c>
      <c r="EA24">
        <v>5.0048368049259704</v>
      </c>
      <c r="EB24">
        <v>5</v>
      </c>
      <c r="EC24">
        <v>0.7793927796542256</v>
      </c>
      <c r="ED24">
        <v>3.2062606418189352</v>
      </c>
      <c r="EE24" s="12">
        <v>-3.0933000000000002</v>
      </c>
      <c r="EF24">
        <v>-3.1227</v>
      </c>
      <c r="EG24">
        <v>24.243084673560283</v>
      </c>
      <c r="EH24" t="s">
        <v>2106</v>
      </c>
      <c r="EI24">
        <v>1</v>
      </c>
      <c r="EJ24">
        <v>0</v>
      </c>
      <c r="EK24" s="14">
        <v>45505</v>
      </c>
      <c r="EL24" s="15">
        <v>10.64</v>
      </c>
      <c r="EM24" s="15">
        <v>1.63</v>
      </c>
      <c r="EN24" s="15">
        <v>4.66</v>
      </c>
      <c r="EO24" s="15">
        <v>-2.98</v>
      </c>
      <c r="EP24" s="15">
        <v>2.94</v>
      </c>
    </row>
    <row r="25" spans="1:146" ht="84" x14ac:dyDescent="0.25">
      <c r="A25" s="8"/>
      <c r="B25" s="8"/>
      <c r="C25" s="8" t="str">
        <f>""&amp;CHAR(10)&amp;Basic_Fundamental_Information_Constructure(F25)&amp;CHAR(10)&amp;Basic_Fundamental_Information_Concatenate("")</f>
        <v xml:space="preserve">
市值48.866953亿, 利润-3.27亿; PE; 平均PE-56.27; 平均PEG-22.72, PB2.3; ROIC2.165%; ROE-5.17%; 股利率0%; 毛利13.1267%; 净利-10.9133%; 上一年度营收增-6.24%, 利润增13.49%; 当季营收增-28.2%, 利润增-207.74%; 过往5年营收增-2.48%, 利润增-193.2%
Income profile:
</v>
      </c>
      <c r="D25" t="s">
        <v>453</v>
      </c>
      <c r="E25" t="s">
        <v>454</v>
      </c>
      <c r="F25">
        <v>7.38</v>
      </c>
      <c r="G25">
        <v>0</v>
      </c>
      <c r="H25" t="s">
        <v>2129</v>
      </c>
      <c r="I25">
        <v>4886695300</v>
      </c>
      <c r="K25">
        <v>2.2999999999999998</v>
      </c>
      <c r="L25" t="s">
        <v>667</v>
      </c>
      <c r="M25" t="s">
        <v>1187</v>
      </c>
      <c r="N25" t="s">
        <v>678</v>
      </c>
      <c r="O25" t="s">
        <v>314</v>
      </c>
      <c r="P25">
        <v>-28.24</v>
      </c>
      <c r="Q25" t="s">
        <v>1188</v>
      </c>
      <c r="R25">
        <v>-22024931</v>
      </c>
      <c r="S25" s="6">
        <v>-2.077</v>
      </c>
      <c r="T25" t="s">
        <v>297</v>
      </c>
      <c r="U25">
        <v>533246310</v>
      </c>
      <c r="V25">
        <v>662153830</v>
      </c>
      <c r="W25">
        <v>2.36</v>
      </c>
      <c r="X25">
        <v>0.09</v>
      </c>
      <c r="Y25">
        <v>-6.77</v>
      </c>
      <c r="Z25" t="s">
        <v>1691</v>
      </c>
      <c r="AA25" t="s">
        <v>220</v>
      </c>
      <c r="AB25" t="s">
        <v>1692</v>
      </c>
      <c r="AC25" t="s">
        <v>1693</v>
      </c>
      <c r="AD25" t="s">
        <v>15</v>
      </c>
      <c r="AE25">
        <v>13657558</v>
      </c>
      <c r="AF25" t="s">
        <v>1189</v>
      </c>
      <c r="AG25" t="s">
        <v>1694</v>
      </c>
      <c r="AH25" t="s">
        <v>1190</v>
      </c>
      <c r="AI25" t="s">
        <v>1215</v>
      </c>
      <c r="AJ25" t="s">
        <v>1191</v>
      </c>
      <c r="AK25" t="s">
        <v>1695</v>
      </c>
      <c r="AL25" t="s">
        <v>1192</v>
      </c>
      <c r="AM25" t="s">
        <v>15</v>
      </c>
      <c r="AN25" t="s">
        <v>1696</v>
      </c>
      <c r="AO25" t="s">
        <v>1697</v>
      </c>
      <c r="AP25" t="s">
        <v>227</v>
      </c>
      <c r="AQ25" t="s">
        <v>1242</v>
      </c>
      <c r="AR25" t="s">
        <v>15</v>
      </c>
      <c r="AS25" t="s">
        <v>1698</v>
      </c>
      <c r="AT25" t="s">
        <v>1699</v>
      </c>
      <c r="AU25" t="s">
        <v>1700</v>
      </c>
      <c r="AV25" t="s">
        <v>1701</v>
      </c>
      <c r="AW25" t="s">
        <v>1702</v>
      </c>
      <c r="AX25" t="s">
        <v>849</v>
      </c>
      <c r="AY25" t="s">
        <v>189</v>
      </c>
      <c r="AZ25" t="s">
        <v>455</v>
      </c>
      <c r="BA25" t="s">
        <v>457</v>
      </c>
      <c r="BB25" t="s">
        <v>458</v>
      </c>
      <c r="BC25" t="s">
        <v>850</v>
      </c>
      <c r="BD25" t="s">
        <v>535</v>
      </c>
      <c r="BE25" t="s">
        <v>456</v>
      </c>
      <c r="BF25" t="s">
        <v>459</v>
      </c>
      <c r="BG25" t="s">
        <v>114</v>
      </c>
      <c r="BH25" t="s">
        <v>1188</v>
      </c>
      <c r="BI25" t="s">
        <v>938</v>
      </c>
      <c r="BJ25" t="s">
        <v>849</v>
      </c>
      <c r="BK25" t="s">
        <v>297</v>
      </c>
      <c r="BL25" t="s">
        <v>1193</v>
      </c>
      <c r="BM25" t="s">
        <v>850</v>
      </c>
      <c r="BN25">
        <v>1.6</v>
      </c>
      <c r="BO25" t="s">
        <v>15</v>
      </c>
      <c r="BP25">
        <v>2.73</v>
      </c>
      <c r="BQ25">
        <v>0.22</v>
      </c>
      <c r="BR25">
        <v>-17.71</v>
      </c>
      <c r="BS25">
        <v>1.98</v>
      </c>
      <c r="BT25" t="s">
        <v>781</v>
      </c>
      <c r="BU25" t="s">
        <v>667</v>
      </c>
      <c r="BV25">
        <v>14.7</v>
      </c>
      <c r="BW25">
        <v>8.1</v>
      </c>
      <c r="BX25">
        <v>16.579999999999998</v>
      </c>
      <c r="BY25">
        <v>-16.29</v>
      </c>
      <c r="BZ25">
        <v>-18.41</v>
      </c>
      <c r="CA25">
        <v>1.96</v>
      </c>
      <c r="CB25">
        <v>5.88</v>
      </c>
      <c r="CC25">
        <v>13.89</v>
      </c>
      <c r="CD25" t="s">
        <v>1216</v>
      </c>
      <c r="CE25" t="s">
        <v>2130</v>
      </c>
      <c r="CF25" s="9">
        <v>-0.28197226502311246</v>
      </c>
      <c r="CG25" s="10">
        <v>-2.0774194195369406</v>
      </c>
      <c r="CH25" s="9">
        <v>-6.2411986291408539E-2</v>
      </c>
      <c r="CI25" s="9">
        <v>-0.22055602073669434</v>
      </c>
      <c r="CJ25" s="9">
        <v>0.39418676495552063</v>
      </c>
      <c r="CK25" s="9">
        <v>-0.26746359467506409</v>
      </c>
      <c r="CL25" s="9">
        <v>3.2394908368587494E-2</v>
      </c>
      <c r="CM25" s="10">
        <v>0.1349206417798996</v>
      </c>
      <c r="CN25" s="10">
        <v>-9.1171798706054687</v>
      </c>
      <c r="CO25" s="10">
        <v>1.7058866024017334</v>
      </c>
      <c r="CP25" s="10">
        <v>-1.9243814945220947</v>
      </c>
      <c r="CQ25" s="10">
        <v>-0.45933708548545837</v>
      </c>
      <c r="CR25">
        <v>-56.272897772397044</v>
      </c>
      <c r="CS25">
        <v>-22.718179375997099</v>
      </c>
      <c r="CT25">
        <v>0</v>
      </c>
      <c r="CU25" s="9">
        <v>-2.4769985675811769E-2</v>
      </c>
      <c r="CV25" s="10">
        <v>-1.9320182412862779</v>
      </c>
      <c r="CW25">
        <v>0.06</v>
      </c>
      <c r="CX25" t="e">
        <v>#VALUE!</v>
      </c>
      <c r="CY25" t="s">
        <v>568</v>
      </c>
      <c r="CZ25">
        <v>-2.4769985675811769E-2</v>
      </c>
      <c r="DA25" t="e">
        <v>#VALUE!</v>
      </c>
      <c r="DB25" t="s">
        <v>569</v>
      </c>
      <c r="DC25">
        <v>-2.353148639202118E-2</v>
      </c>
      <c r="DD25" t="e">
        <v>#VALUE!</v>
      </c>
      <c r="DE25" t="s">
        <v>569</v>
      </c>
      <c r="DF25">
        <v>-2.1797587394714355E-2</v>
      </c>
      <c r="DG25" t="e">
        <v>#VALUE!</v>
      </c>
      <c r="DH25" t="s">
        <v>569</v>
      </c>
      <c r="DI25">
        <v>-1.9815988540649417E-2</v>
      </c>
      <c r="DJ25" t="e">
        <v>#VALUE!</v>
      </c>
      <c r="DK25" t="s">
        <v>569</v>
      </c>
      <c r="DL25">
        <v>-1.7338989973068236E-2</v>
      </c>
      <c r="DM25">
        <v>-327000000</v>
      </c>
      <c r="DN25">
        <v>-2.4769985675811769E-2</v>
      </c>
      <c r="DO25">
        <v>5815695300</v>
      </c>
      <c r="DP25">
        <v>167979300</v>
      </c>
      <c r="DQ25">
        <v>1734</v>
      </c>
      <c r="DR25">
        <v>-0.25720227934730067</v>
      </c>
      <c r="DS25">
        <v>-0.14540117825066279</v>
      </c>
      <c r="DT25" s="11">
        <v>-0.57333333333333336</v>
      </c>
      <c r="DU25">
        <v>-2.5150000000000001</v>
      </c>
      <c r="DV25">
        <v>-3.0883333333333334</v>
      </c>
      <c r="DW25">
        <v>8.4233261339092866</v>
      </c>
      <c r="DX25">
        <v>0.61593869731800754</v>
      </c>
      <c r="DY25">
        <v>8.1930107660352682</v>
      </c>
      <c r="DZ25">
        <v>4916</v>
      </c>
      <c r="EA25">
        <v>8.007254907415577</v>
      </c>
      <c r="EB25">
        <v>8</v>
      </c>
      <c r="EC25">
        <v>0.53914964140583466</v>
      </c>
      <c r="ED25">
        <v>1.1825046756884272</v>
      </c>
      <c r="EE25" s="12">
        <v>3.0127000000000002</v>
      </c>
      <c r="EF25">
        <v>3.0127000000000002</v>
      </c>
      <c r="EG25">
        <v>16.455938697318008</v>
      </c>
      <c r="EH25" t="s">
        <v>799</v>
      </c>
      <c r="EI25">
        <v>0</v>
      </c>
      <c r="EJ25">
        <v>0</v>
      </c>
      <c r="EK25" s="14">
        <v>45505</v>
      </c>
      <c r="EL25" s="15">
        <v>-1.83</v>
      </c>
      <c r="EM25" s="15">
        <v>3.87</v>
      </c>
      <c r="EN25" s="15">
        <v>-1.93</v>
      </c>
      <c r="EO25" s="15">
        <v>-0.81</v>
      </c>
      <c r="EP25" s="15">
        <v>0</v>
      </c>
    </row>
    <row r="26" spans="1:146" ht="84" x14ac:dyDescent="0.25">
      <c r="A26" s="8"/>
      <c r="B26" s="8"/>
      <c r="C26" s="8" t="str">
        <f>""&amp;CHAR(10)&amp;Basic_Fundamental_Information_Constructure(F26)&amp;CHAR(10)&amp;Basic_Fundamental_Information_Concatenate("")</f>
        <v xml:space="preserve">
市值50.262528亿, 利润-1.96亿; PE; 平均PE-75.52; 平均PEG-2.16, PB3.05; ROIC0%; ROE-5.6067%; 股利率0%; 毛利26.5%; 净利-36.81%; 上一年度营收增-30.08%, 利润增-29.8%; 当季营收增67.13%, 利润增132.13%; 过往5年营收增35.02%, 利润增-27.89%
Income profile:
</v>
      </c>
      <c r="D26" t="s">
        <v>125</v>
      </c>
      <c r="E26" t="s">
        <v>13</v>
      </c>
      <c r="F26">
        <v>9.7100000000000009</v>
      </c>
      <c r="G26">
        <v>0.83</v>
      </c>
      <c r="H26" t="s">
        <v>2131</v>
      </c>
      <c r="I26">
        <v>5026252800</v>
      </c>
      <c r="K26">
        <v>3.05</v>
      </c>
      <c r="L26" t="s">
        <v>667</v>
      </c>
      <c r="M26" t="s">
        <v>1194</v>
      </c>
      <c r="N26" t="s">
        <v>1305</v>
      </c>
      <c r="O26" t="s">
        <v>158</v>
      </c>
      <c r="P26">
        <v>66.95</v>
      </c>
      <c r="Q26" t="s">
        <v>857</v>
      </c>
      <c r="R26">
        <v>6998025</v>
      </c>
      <c r="S26" s="6">
        <v>1.321</v>
      </c>
      <c r="T26" t="s">
        <v>774</v>
      </c>
      <c r="U26">
        <v>405505410</v>
      </c>
      <c r="V26">
        <v>517636750</v>
      </c>
      <c r="W26">
        <v>1.55</v>
      </c>
      <c r="X26">
        <v>0.05</v>
      </c>
      <c r="Y26">
        <v>4.2300000000000004</v>
      </c>
      <c r="Z26" t="s">
        <v>153</v>
      </c>
      <c r="AA26" t="s">
        <v>1704</v>
      </c>
      <c r="AB26" t="s">
        <v>1705</v>
      </c>
      <c r="AC26" t="s">
        <v>1706</v>
      </c>
      <c r="AD26" t="s">
        <v>15</v>
      </c>
      <c r="AE26">
        <v>823243</v>
      </c>
      <c r="AF26" t="s">
        <v>1195</v>
      </c>
      <c r="AG26" t="s">
        <v>1707</v>
      </c>
      <c r="AH26" t="s">
        <v>1196</v>
      </c>
      <c r="AI26" t="s">
        <v>785</v>
      </c>
      <c r="AJ26" t="s">
        <v>1197</v>
      </c>
      <c r="AK26" t="s">
        <v>1708</v>
      </c>
      <c r="AL26" t="s">
        <v>1198</v>
      </c>
      <c r="AM26" t="s">
        <v>15</v>
      </c>
      <c r="AN26" t="s">
        <v>550</v>
      </c>
      <c r="AO26" t="s">
        <v>1709</v>
      </c>
      <c r="AP26" t="s">
        <v>1710</v>
      </c>
      <c r="AQ26" t="s">
        <v>33</v>
      </c>
      <c r="AR26" t="s">
        <v>1711</v>
      </c>
      <c r="AS26" t="s">
        <v>1712</v>
      </c>
      <c r="AT26" t="s">
        <v>213</v>
      </c>
      <c r="AU26" t="s">
        <v>1713</v>
      </c>
      <c r="AV26" t="s">
        <v>1714</v>
      </c>
      <c r="AW26" t="s">
        <v>1715</v>
      </c>
      <c r="AX26" t="s">
        <v>707</v>
      </c>
      <c r="AY26" t="s">
        <v>693</v>
      </c>
      <c r="AZ26" t="s">
        <v>177</v>
      </c>
      <c r="BA26" t="s">
        <v>126</v>
      </c>
      <c r="BB26" t="s">
        <v>58</v>
      </c>
      <c r="BC26" t="s">
        <v>818</v>
      </c>
      <c r="BD26" t="s">
        <v>536</v>
      </c>
      <c r="BE26" t="s">
        <v>98</v>
      </c>
      <c r="BF26" t="s">
        <v>127</v>
      </c>
      <c r="BG26" t="s">
        <v>296</v>
      </c>
      <c r="BH26" t="s">
        <v>857</v>
      </c>
      <c r="BI26" t="s">
        <v>1199</v>
      </c>
      <c r="BJ26" t="s">
        <v>707</v>
      </c>
      <c r="BK26" t="s">
        <v>774</v>
      </c>
      <c r="BL26" t="s">
        <v>1200</v>
      </c>
      <c r="BM26" t="s">
        <v>818</v>
      </c>
      <c r="BN26" t="s">
        <v>15</v>
      </c>
      <c r="BO26" t="s">
        <v>15</v>
      </c>
      <c r="BP26" t="s">
        <v>15</v>
      </c>
      <c r="BQ26">
        <v>-4.4000000000000004</v>
      </c>
      <c r="BR26">
        <v>-7.94</v>
      </c>
      <c r="BS26">
        <v>-4.4800000000000004</v>
      </c>
      <c r="BT26" t="s">
        <v>781</v>
      </c>
      <c r="BU26" t="s">
        <v>667</v>
      </c>
      <c r="BV26">
        <v>20.77</v>
      </c>
      <c r="BW26">
        <v>28.63</v>
      </c>
      <c r="BX26">
        <v>30.1</v>
      </c>
      <c r="BY26">
        <v>-63.57</v>
      </c>
      <c r="BZ26">
        <v>-33.090000000000003</v>
      </c>
      <c r="CA26">
        <v>-13.77</v>
      </c>
      <c r="CB26">
        <v>14.1</v>
      </c>
      <c r="CC26">
        <v>3.96</v>
      </c>
      <c r="CD26" t="s">
        <v>2132</v>
      </c>
      <c r="CE26" t="s">
        <v>2133</v>
      </c>
      <c r="CF26" s="9">
        <v>0.671315399500091</v>
      </c>
      <c r="CG26" s="10">
        <v>1.3213095221697269</v>
      </c>
      <c r="CH26" s="9">
        <v>-0.30079680681228638</v>
      </c>
      <c r="CI26" s="9">
        <v>-0.10196779668331146</v>
      </c>
      <c r="CJ26" s="9">
        <v>-0.54292726516723633</v>
      </c>
      <c r="CK26" s="9">
        <v>0.40898624062538147</v>
      </c>
      <c r="CL26" s="9">
        <v>2.2878787517547607</v>
      </c>
      <c r="CM26" s="10">
        <v>-0.29801324009895325</v>
      </c>
      <c r="CN26" s="10">
        <v>-1.0939184427261353</v>
      </c>
      <c r="CO26" s="10">
        <v>-1.7001320123672485</v>
      </c>
      <c r="CP26" s="10">
        <v>0.18690942227840424</v>
      </c>
      <c r="CQ26" s="10">
        <v>1.5104706287384033</v>
      </c>
      <c r="CR26">
        <v>-75.519607666372181</v>
      </c>
      <c r="CS26">
        <v>-2.1562576150684265</v>
      </c>
      <c r="CT26">
        <v>0</v>
      </c>
      <c r="CU26" s="9">
        <v>0.35023462474346162</v>
      </c>
      <c r="CV26" s="10">
        <v>-0.2789367288351059</v>
      </c>
      <c r="CW26">
        <v>0.06</v>
      </c>
      <c r="CX26" t="e">
        <v>#VALUE!</v>
      </c>
      <c r="CY26" t="s">
        <v>569</v>
      </c>
      <c r="CZ26">
        <v>0.35023462474346162</v>
      </c>
      <c r="DA26" t="e">
        <v>#VALUE!</v>
      </c>
      <c r="DB26" t="s">
        <v>569</v>
      </c>
      <c r="DC26">
        <v>0.33272289350628853</v>
      </c>
      <c r="DD26" t="e">
        <v>#VALUE!</v>
      </c>
      <c r="DE26" t="s">
        <v>569</v>
      </c>
      <c r="DF26">
        <v>0.30820646977424621</v>
      </c>
      <c r="DG26" t="e">
        <v>#VALUE!</v>
      </c>
      <c r="DH26" t="s">
        <v>569</v>
      </c>
      <c r="DI26">
        <v>0.28018769979476932</v>
      </c>
      <c r="DJ26" t="e">
        <v>#VALUE!</v>
      </c>
      <c r="DK26" t="s">
        <v>569</v>
      </c>
      <c r="DL26">
        <v>0.24516423732042311</v>
      </c>
      <c r="DM26">
        <v>-196000000</v>
      </c>
      <c r="DN26">
        <v>0.35023462474346162</v>
      </c>
      <c r="DO26">
        <v>4348252800</v>
      </c>
      <c r="DP26">
        <v>293829549.99999994</v>
      </c>
      <c r="DQ26">
        <v>1865</v>
      </c>
      <c r="DR26">
        <v>0.32108077475662938</v>
      </c>
      <c r="DS26">
        <v>1.6002462510048328</v>
      </c>
      <c r="DT26" s="11">
        <v>-0.14166666666666675</v>
      </c>
      <c r="DU26">
        <v>-1.2266666666666668</v>
      </c>
      <c r="DV26">
        <v>-1.3683333333333336</v>
      </c>
      <c r="DW26">
        <v>5.280851063829787</v>
      </c>
      <c r="DX26">
        <v>0.67173159878419286</v>
      </c>
      <c r="DY26">
        <v>5.0763161085947104</v>
      </c>
      <c r="DZ26">
        <v>3936</v>
      </c>
      <c r="EA26">
        <v>5.0175102739375488</v>
      </c>
      <c r="EB26">
        <v>5</v>
      </c>
      <c r="EC26">
        <v>0.17270740533781653</v>
      </c>
      <c r="ED26">
        <v>0.63558083926614561</v>
      </c>
      <c r="EE26" s="12">
        <v>-1.0274000000000001</v>
      </c>
      <c r="EF26">
        <v>-1.0357000000000001</v>
      </c>
      <c r="EG26">
        <v>40.271731598784193</v>
      </c>
      <c r="EH26" t="s">
        <v>809</v>
      </c>
      <c r="EI26">
        <v>1</v>
      </c>
      <c r="EJ26">
        <v>0</v>
      </c>
      <c r="EK26" s="14">
        <v>45505</v>
      </c>
      <c r="EL26" s="15">
        <v>0</v>
      </c>
      <c r="EM26" s="15">
        <v>4.1100000000000003</v>
      </c>
      <c r="EN26" s="15">
        <v>2.14</v>
      </c>
      <c r="EO26" s="15">
        <v>5.59</v>
      </c>
      <c r="EP26" s="15">
        <v>0.83</v>
      </c>
    </row>
    <row r="27" spans="1:146" ht="84" x14ac:dyDescent="0.25">
      <c r="A27" s="8"/>
      <c r="B27" s="8"/>
      <c r="C27" s="8" t="str">
        <f>""&amp;CHAR(10)&amp;Basic_Fundamental_Information_Constructure(F27)&amp;CHAR(10)&amp;Basic_Fundamental_Information_Concatenate("")</f>
        <v xml:space="preserve">
市值41.256201亿, 利润1.34亿; PE40.12; 平均PE48.63; 平均PEG4.54, PB2.01; ROIC9.01%; ROE9.4133%; 股利率.4996%; 毛利43.22%; 净利16.2%; 上一年度营收增-5.04%, 利润增-29.1%; 当季营收增-13.98%, 利润增-48.36%; 过往5年营收增10.7%, 利润增31.95%
Income profile:
</v>
      </c>
      <c r="D27" t="s">
        <v>461</v>
      </c>
      <c r="E27" t="s">
        <v>462</v>
      </c>
      <c r="F27">
        <v>13.21</v>
      </c>
      <c r="G27">
        <v>1.62</v>
      </c>
      <c r="H27" t="s">
        <v>2134</v>
      </c>
      <c r="I27">
        <v>4125620100</v>
      </c>
      <c r="J27">
        <v>40.119999999999997</v>
      </c>
      <c r="K27">
        <v>2.0099999999999998</v>
      </c>
      <c r="L27" t="s">
        <v>667</v>
      </c>
      <c r="M27" t="s">
        <v>1201</v>
      </c>
      <c r="N27" t="s">
        <v>1716</v>
      </c>
      <c r="O27" t="s">
        <v>103</v>
      </c>
      <c r="P27">
        <v>-13.8</v>
      </c>
      <c r="Q27" t="s">
        <v>1095</v>
      </c>
      <c r="R27">
        <v>32770689</v>
      </c>
      <c r="S27" s="6">
        <v>-0.48359999999999997</v>
      </c>
      <c r="T27" t="s">
        <v>367</v>
      </c>
      <c r="U27">
        <v>201331390</v>
      </c>
      <c r="V27">
        <v>312310380</v>
      </c>
      <c r="W27">
        <v>1.34</v>
      </c>
      <c r="X27">
        <v>0.1</v>
      </c>
      <c r="Y27">
        <v>11.81</v>
      </c>
      <c r="Z27" t="s">
        <v>148</v>
      </c>
      <c r="AA27" t="s">
        <v>48</v>
      </c>
      <c r="AB27" t="s">
        <v>1717</v>
      </c>
      <c r="AC27" t="s">
        <v>1718</v>
      </c>
      <c r="AD27" t="s">
        <v>15</v>
      </c>
      <c r="AE27">
        <v>-1394467</v>
      </c>
      <c r="AF27" t="s">
        <v>1202</v>
      </c>
      <c r="AG27" t="s">
        <v>1719</v>
      </c>
      <c r="AH27" t="s">
        <v>1203</v>
      </c>
      <c r="AI27" t="s">
        <v>214</v>
      </c>
      <c r="AJ27" t="s">
        <v>1204</v>
      </c>
      <c r="AK27" t="s">
        <v>178</v>
      </c>
      <c r="AL27" t="s">
        <v>1205</v>
      </c>
      <c r="AM27" t="s">
        <v>15</v>
      </c>
      <c r="AN27" t="s">
        <v>1720</v>
      </c>
      <c r="AO27" t="s">
        <v>1721</v>
      </c>
      <c r="AP27" t="s">
        <v>148</v>
      </c>
      <c r="AQ27" t="s">
        <v>89</v>
      </c>
      <c r="AR27" t="s">
        <v>15</v>
      </c>
      <c r="AS27" t="s">
        <v>1722</v>
      </c>
      <c r="AT27" t="s">
        <v>15</v>
      </c>
      <c r="AU27" t="s">
        <v>1723</v>
      </c>
      <c r="AV27" t="s">
        <v>1724</v>
      </c>
      <c r="AW27" t="s">
        <v>1725</v>
      </c>
      <c r="AX27" t="s">
        <v>710</v>
      </c>
      <c r="AY27" t="s">
        <v>694</v>
      </c>
      <c r="AZ27" t="s">
        <v>463</v>
      </c>
      <c r="BA27" t="s">
        <v>464</v>
      </c>
      <c r="BB27" t="s">
        <v>368</v>
      </c>
      <c r="BC27" t="s">
        <v>851</v>
      </c>
      <c r="BD27" t="s">
        <v>233</v>
      </c>
      <c r="BE27" t="s">
        <v>304</v>
      </c>
      <c r="BF27" t="s">
        <v>43</v>
      </c>
      <c r="BG27" t="s">
        <v>465</v>
      </c>
      <c r="BH27" t="s">
        <v>1095</v>
      </c>
      <c r="BI27" t="s">
        <v>700</v>
      </c>
      <c r="BJ27" t="s">
        <v>710</v>
      </c>
      <c r="BK27" t="s">
        <v>367</v>
      </c>
      <c r="BL27" t="s">
        <v>1206</v>
      </c>
      <c r="BM27" t="s">
        <v>851</v>
      </c>
      <c r="BN27">
        <v>6.28</v>
      </c>
      <c r="BO27">
        <v>10.050000000000001</v>
      </c>
      <c r="BP27">
        <v>10.7</v>
      </c>
      <c r="BQ27">
        <v>6.51</v>
      </c>
      <c r="BR27">
        <v>10.52</v>
      </c>
      <c r="BS27">
        <v>11.21</v>
      </c>
      <c r="BT27" t="s">
        <v>1207</v>
      </c>
      <c r="BU27" t="s">
        <v>667</v>
      </c>
      <c r="BV27">
        <v>39.68</v>
      </c>
      <c r="BW27">
        <v>43.52</v>
      </c>
      <c r="BX27">
        <v>46.46</v>
      </c>
      <c r="BY27">
        <v>12.88</v>
      </c>
      <c r="BZ27">
        <v>17.32</v>
      </c>
      <c r="CA27">
        <v>18.399999999999999</v>
      </c>
      <c r="CB27">
        <v>5.34</v>
      </c>
      <c r="CC27">
        <v>5.43</v>
      </c>
      <c r="CD27" t="s">
        <v>2135</v>
      </c>
      <c r="CE27" t="s">
        <v>268</v>
      </c>
      <c r="CF27" s="9">
        <v>-0.13975155279503104</v>
      </c>
      <c r="CG27" s="10">
        <v>-0.48358703274433762</v>
      </c>
      <c r="CH27" s="9">
        <v>-5.0366301089525223E-2</v>
      </c>
      <c r="CI27" s="9">
        <v>0.16170212626457214</v>
      </c>
      <c r="CJ27" s="9">
        <v>0.31837308406829834</v>
      </c>
      <c r="CK27" s="9">
        <v>0.14079999923706055</v>
      </c>
      <c r="CL27" s="9">
        <v>-3.5493828356266022E-2</v>
      </c>
      <c r="CM27" s="10">
        <v>-0.29100528359413147</v>
      </c>
      <c r="CN27" s="10">
        <v>0.15950919687747955</v>
      </c>
      <c r="CO27" s="10">
        <v>0.17266187071800232</v>
      </c>
      <c r="CP27" s="10">
        <v>1.4598540030419827E-2</v>
      </c>
      <c r="CQ27" s="10">
        <v>1.5415019989013672</v>
      </c>
      <c r="CR27">
        <v>48.632064047151282</v>
      </c>
      <c r="CS27">
        <v>4.5449246062248525</v>
      </c>
      <c r="CT27">
        <v>0.49962149886449658</v>
      </c>
      <c r="CU27" s="9">
        <v>0.10700301602482795</v>
      </c>
      <c r="CV27" s="10">
        <v>0.31945326458662748</v>
      </c>
      <c r="CW27">
        <v>0.06</v>
      </c>
      <c r="CX27">
        <v>20.262839709497872</v>
      </c>
      <c r="CY27">
        <v>139941890.7050254</v>
      </c>
      <c r="CZ27">
        <v>0.10700301602482795</v>
      </c>
      <c r="DA27">
        <v>6.5272336509685704</v>
      </c>
      <c r="DB27">
        <v>434429078.47786707</v>
      </c>
      <c r="DC27">
        <v>0.10165286522358655</v>
      </c>
      <c r="DD27">
        <v>3.1516563181929822</v>
      </c>
      <c r="DE27">
        <v>899723768.62011933</v>
      </c>
      <c r="DF27">
        <v>9.4162654101848597E-2</v>
      </c>
      <c r="DG27">
        <v>1.8514679159341065</v>
      </c>
      <c r="DH27">
        <v>1531552383.7038066</v>
      </c>
      <c r="DI27">
        <v>8.5602412819862361E-2</v>
      </c>
      <c r="DJ27">
        <v>0.91084593261170854</v>
      </c>
      <c r="DK27">
        <v>3113172050.8091879</v>
      </c>
      <c r="DL27">
        <v>7.4902111217379566E-2</v>
      </c>
      <c r="DM27">
        <v>134000000.00000001</v>
      </c>
      <c r="DN27">
        <v>0.10700301602482795</v>
      </c>
      <c r="DO27">
        <v>2835620100</v>
      </c>
      <c r="DP27">
        <v>1527583700</v>
      </c>
      <c r="DQ27">
        <v>1914</v>
      </c>
      <c r="DR27">
        <v>-0.24675456881985899</v>
      </c>
      <c r="DS27">
        <v>-0.80304029733096516</v>
      </c>
      <c r="DT27" s="11">
        <v>-0.15666666666666665</v>
      </c>
      <c r="DU27">
        <v>9.6666666666666637E-2</v>
      </c>
      <c r="DV27">
        <v>-6.0000000000000012E-2</v>
      </c>
      <c r="DW27">
        <v>8.9834254143646408</v>
      </c>
      <c r="DX27">
        <v>0.5812729885057486</v>
      </c>
      <c r="DY27">
        <v>8.3257822759890772</v>
      </c>
      <c r="DZ27">
        <v>1935</v>
      </c>
      <c r="EA27">
        <v>8.2023702352610304</v>
      </c>
      <c r="EB27">
        <v>8</v>
      </c>
      <c r="EC27">
        <v>0.18456479096211917</v>
      </c>
      <c r="ED27">
        <v>0.55713806246209296</v>
      </c>
      <c r="EE27" s="12">
        <v>3.1036999999999999</v>
      </c>
      <c r="EF27">
        <v>3.1198999999999999</v>
      </c>
      <c r="EG27">
        <v>25.331272988505749</v>
      </c>
      <c r="EH27" t="s">
        <v>799</v>
      </c>
      <c r="EI27">
        <v>0</v>
      </c>
      <c r="EJ27">
        <v>0</v>
      </c>
      <c r="EK27" s="14">
        <v>45505</v>
      </c>
      <c r="EL27" s="15">
        <v>1.87</v>
      </c>
      <c r="EM27" s="15">
        <v>4.07</v>
      </c>
      <c r="EN27" s="15">
        <v>-1.99</v>
      </c>
      <c r="EO27" s="15">
        <v>2.04</v>
      </c>
      <c r="EP27" s="15">
        <v>1.62</v>
      </c>
    </row>
    <row r="28" spans="1:146" ht="192" x14ac:dyDescent="0.25">
      <c r="A28" s="8" t="s">
        <v>578</v>
      </c>
      <c r="B28" s="8" t="s">
        <v>579</v>
      </c>
      <c r="C28" s="8" t="str">
        <f>"公司从事高可靠军用电子产品的研发、生产和销售，主要产品为图形显控、小型专用化雷达领域的核心模块及系统级产品。"&amp;CHAR(10)&amp;Basic_Fundamental_Information_Constructure(F28)&amp;CHAR(10)&amp;Basic_Fundamental_Information_Concatenate("图形显控领域产品 2.63亿 48.26% 55.63% 72.17% 增25.36%
芯片领域产品 2.09亿 38.38% 29.45% 48.04% 增-2.54%
小型专用化雷达领域产品 6551.44万 12.05% 14.00% 72.79% 增46.19%
其他 711.44万 1.31% 0.91% 43.79%")</f>
        <v>公司从事高可靠军用电子产品的研发、生产和销售，主要产品为图形显控、小型专用化雷达领域的核心模块及系统级产品。
市值301.6883亿, 利润5968.11万; PE253.9; 平均PE155.02; 平均PEG8.48, PB8.8; ROIC9.39%; ROE6.9367%; 股利率.1824%; 毛利62.0633%; 净利20.0633%; 上一年度营收增-38.21%, 利润增-79.35%; 当季营收增65.69%, 利润增83.68%; 过往5年营收增18.28%, 利润增.46%
Income profile:
图形显控领域产品 2.63亿 48.26% 55.63% 72.17% 增25.36%
芯片领域产品 2.09亿 38.38% 29.45% 48.04% 增-2.54%
小型专用化雷达领域产品 6551.44万 12.05% 14.00% 72.79% 增46.19%
其他 711.44万 1.31% 0.91% 43.79%</v>
      </c>
      <c r="D28" t="s">
        <v>130</v>
      </c>
      <c r="E28" t="s">
        <v>9</v>
      </c>
      <c r="F28">
        <v>65.78</v>
      </c>
      <c r="G28">
        <v>-0.2</v>
      </c>
      <c r="H28" t="s">
        <v>2136</v>
      </c>
      <c r="I28">
        <v>30168830000</v>
      </c>
      <c r="J28">
        <v>253.9</v>
      </c>
      <c r="K28">
        <v>8.8000000000000007</v>
      </c>
      <c r="L28" t="s">
        <v>667</v>
      </c>
      <c r="M28" t="s">
        <v>966</v>
      </c>
      <c r="N28" t="s">
        <v>1726</v>
      </c>
      <c r="O28" t="s">
        <v>160</v>
      </c>
      <c r="P28">
        <v>66.27</v>
      </c>
      <c r="Q28" t="s">
        <v>463</v>
      </c>
      <c r="R28">
        <v>-11535164</v>
      </c>
      <c r="S28" s="6">
        <v>0.83679999999999999</v>
      </c>
      <c r="T28" t="s">
        <v>1208</v>
      </c>
      <c r="U28">
        <v>330757010</v>
      </c>
      <c r="V28">
        <v>458632250</v>
      </c>
      <c r="W28">
        <v>1.22</v>
      </c>
      <c r="X28">
        <v>0.03</v>
      </c>
      <c r="Y28">
        <v>-10.64</v>
      </c>
      <c r="Z28" t="s">
        <v>179</v>
      </c>
      <c r="AA28" t="s">
        <v>1727</v>
      </c>
      <c r="AB28" t="s">
        <v>1728</v>
      </c>
      <c r="AC28" t="s">
        <v>1729</v>
      </c>
      <c r="AD28" t="s">
        <v>15</v>
      </c>
      <c r="AE28">
        <v>-3193540</v>
      </c>
      <c r="AF28" t="s">
        <v>66</v>
      </c>
      <c r="AG28" t="s">
        <v>15</v>
      </c>
      <c r="AH28" t="s">
        <v>1209</v>
      </c>
      <c r="AI28" t="s">
        <v>1380</v>
      </c>
      <c r="AJ28" t="s">
        <v>1210</v>
      </c>
      <c r="AK28" t="s">
        <v>326</v>
      </c>
      <c r="AL28" t="s">
        <v>1211</v>
      </c>
      <c r="AM28" t="s">
        <v>15</v>
      </c>
      <c r="AN28" t="s">
        <v>1730</v>
      </c>
      <c r="AO28" t="s">
        <v>15</v>
      </c>
      <c r="AP28" t="s">
        <v>276</v>
      </c>
      <c r="AQ28" t="s">
        <v>325</v>
      </c>
      <c r="AR28" t="s">
        <v>15</v>
      </c>
      <c r="AS28" t="s">
        <v>808</v>
      </c>
      <c r="AT28" t="s">
        <v>1212</v>
      </c>
      <c r="AU28" t="s">
        <v>1731</v>
      </c>
      <c r="AV28" t="s">
        <v>1732</v>
      </c>
      <c r="AW28" t="s">
        <v>1733</v>
      </c>
      <c r="AX28" t="s">
        <v>322</v>
      </c>
      <c r="AY28" t="s">
        <v>695</v>
      </c>
      <c r="AZ28" t="s">
        <v>300</v>
      </c>
      <c r="BA28" t="s">
        <v>132</v>
      </c>
      <c r="BB28" t="s">
        <v>277</v>
      </c>
      <c r="BC28" t="s">
        <v>81</v>
      </c>
      <c r="BD28" t="s">
        <v>264</v>
      </c>
      <c r="BE28" t="s">
        <v>301</v>
      </c>
      <c r="BF28" t="s">
        <v>133</v>
      </c>
      <c r="BG28" t="s">
        <v>239</v>
      </c>
      <c r="BH28" t="s">
        <v>463</v>
      </c>
      <c r="BI28" t="s">
        <v>1213</v>
      </c>
      <c r="BJ28" t="s">
        <v>322</v>
      </c>
      <c r="BK28" t="s">
        <v>1208</v>
      </c>
      <c r="BL28" t="s">
        <v>1214</v>
      </c>
      <c r="BM28" t="s">
        <v>81</v>
      </c>
      <c r="BN28" t="s">
        <v>15</v>
      </c>
      <c r="BO28">
        <v>8.77</v>
      </c>
      <c r="BP28">
        <v>10.01</v>
      </c>
      <c r="BQ28">
        <v>0.47</v>
      </c>
      <c r="BR28">
        <v>9.49</v>
      </c>
      <c r="BS28">
        <v>10.85</v>
      </c>
      <c r="BT28" t="s">
        <v>853</v>
      </c>
      <c r="BU28" t="s">
        <v>667</v>
      </c>
      <c r="BV28">
        <v>60.32</v>
      </c>
      <c r="BW28">
        <v>65.010000000000005</v>
      </c>
      <c r="BX28">
        <v>60.86</v>
      </c>
      <c r="BY28">
        <v>8.3699999999999992</v>
      </c>
      <c r="BZ28">
        <v>25.04</v>
      </c>
      <c r="CA28">
        <v>26.78</v>
      </c>
      <c r="CB28">
        <v>-0.45</v>
      </c>
      <c r="CC28">
        <v>-3.19</v>
      </c>
      <c r="CD28" t="s">
        <v>2137</v>
      </c>
      <c r="CE28" t="s">
        <v>49</v>
      </c>
      <c r="CF28" s="9">
        <v>0.65689914393544235</v>
      </c>
      <c r="CG28" s="10">
        <v>0.8367943383225781</v>
      </c>
      <c r="CH28" s="9">
        <v>-0.38214904069900513</v>
      </c>
      <c r="CI28" s="9">
        <v>5.5809758603572845E-2</v>
      </c>
      <c r="CJ28" s="9">
        <v>0.6712537407875061</v>
      </c>
      <c r="CK28" s="9">
        <v>0.23163841664791107</v>
      </c>
      <c r="CL28" s="9">
        <v>0.33753147721290588</v>
      </c>
      <c r="CM28" s="10">
        <v>-0.79349100589752197</v>
      </c>
      <c r="CN28" s="10">
        <v>-1.3651876710355282E-2</v>
      </c>
      <c r="CO28" s="10">
        <v>0.4086538553237915</v>
      </c>
      <c r="CP28" s="10">
        <v>0.18181818723678589</v>
      </c>
      <c r="CQ28" s="10">
        <v>0.23943662643432617</v>
      </c>
      <c r="CR28">
        <v>155.01919145561234</v>
      </c>
      <c r="CS28">
        <v>8.4794795481767427</v>
      </c>
      <c r="CT28">
        <v>0.18242626938279111</v>
      </c>
      <c r="CU28" s="9">
        <v>0.18281687051057816</v>
      </c>
      <c r="CV28" s="10">
        <v>4.5531572774052623E-3</v>
      </c>
      <c r="CW28">
        <v>0.06</v>
      </c>
      <c r="CX28">
        <v>413.26520742474605</v>
      </c>
      <c r="CY28">
        <v>66596048.991159305</v>
      </c>
      <c r="CZ28">
        <v>0.18281687051057816</v>
      </c>
      <c r="DA28">
        <v>124.94918962874272</v>
      </c>
      <c r="DB28">
        <v>220264173.6354968</v>
      </c>
      <c r="DC28">
        <v>0.17367602698504925</v>
      </c>
      <c r="DD28">
        <v>55.243948384155694</v>
      </c>
      <c r="DE28">
        <v>498187236.88282627</v>
      </c>
      <c r="DF28">
        <v>0.16087884604930877</v>
      </c>
      <c r="DG28">
        <v>29.246329062840839</v>
      </c>
      <c r="DH28">
        <v>941035366.89560413</v>
      </c>
      <c r="DI28">
        <v>0.14625349640846252</v>
      </c>
      <c r="DJ28">
        <v>11.26811380694587</v>
      </c>
      <c r="DK28">
        <v>2442452257.008182</v>
      </c>
      <c r="DL28">
        <v>0.12797180935740471</v>
      </c>
      <c r="DM28">
        <v>59681100</v>
      </c>
      <c r="DN28">
        <v>0.18281687051057816</v>
      </c>
      <c r="DO28">
        <v>27521830000</v>
      </c>
      <c r="DP28">
        <v>2325384200</v>
      </c>
      <c r="DQ28">
        <v>1941</v>
      </c>
      <c r="DR28">
        <v>0.4740822734248642</v>
      </c>
      <c r="DS28">
        <v>0.83224118104517286</v>
      </c>
      <c r="DT28" s="11">
        <v>-0.12333333333333336</v>
      </c>
      <c r="DU28">
        <v>-0.44166666666666671</v>
      </c>
      <c r="DV28">
        <v>-0.56500000000000006</v>
      </c>
      <c r="DW28">
        <v>-1.0319</v>
      </c>
      <c r="DX28">
        <v>0.43172375000000018</v>
      </c>
      <c r="DY28">
        <v>-1.005158987625</v>
      </c>
      <c r="DZ28">
        <v>3045</v>
      </c>
      <c r="EA28">
        <v>-1.0020835926919294</v>
      </c>
      <c r="EB28">
        <v>1</v>
      </c>
      <c r="EC28">
        <v>8.4629242710254238E-2</v>
      </c>
      <c r="ED28">
        <v>0.5232950800995787</v>
      </c>
      <c r="EE28" s="12">
        <v>-5.0951000000000004</v>
      </c>
      <c r="EF28">
        <v>-5.0930999999999997</v>
      </c>
      <c r="EG28">
        <v>27.16172375</v>
      </c>
      <c r="EH28" t="s">
        <v>1703</v>
      </c>
      <c r="EI28">
        <v>0</v>
      </c>
      <c r="EJ28">
        <v>0</v>
      </c>
      <c r="EK28" s="14">
        <v>45505</v>
      </c>
      <c r="EL28" s="15">
        <v>1.57</v>
      </c>
      <c r="EM28" s="15">
        <v>-2</v>
      </c>
      <c r="EN28" s="15">
        <v>-1.76</v>
      </c>
      <c r="EO28" s="15">
        <v>3.15</v>
      </c>
      <c r="EP28" s="15">
        <v>-0.2</v>
      </c>
    </row>
    <row r="29" spans="1:146" ht="84" x14ac:dyDescent="0.25">
      <c r="A29" s="8"/>
      <c r="B29" s="8"/>
      <c r="C29" s="8" t="str">
        <f>""&amp;CHAR(10)&amp;Basic_Fundamental_Information_Constructure(F29)&amp;CHAR(10)&amp;Basic_Fundamental_Information_Concatenate("")</f>
        <v xml:space="preserve">
市值44.476804亿, 利润1.39亿; PE30.72; 平均PE66.69; 平均PEG3.07, PB2.66; ROIC9.7667%; ROE9.8967%; 股利率.5653%; 毛利60.15%; 净利28.5633%; 上一年度营收增18.84%, 利润增5.3%; 当季营收增11.02%, 利润增15.63%; 过往5年营收增21.74%, 利润增-1.61%
Income profile:
</v>
      </c>
      <c r="D29" t="s">
        <v>308</v>
      </c>
      <c r="E29" t="s">
        <v>309</v>
      </c>
      <c r="F29">
        <v>17.690000000000001</v>
      </c>
      <c r="G29">
        <v>-0.84</v>
      </c>
      <c r="H29" t="s">
        <v>2138</v>
      </c>
      <c r="I29">
        <v>4447680400</v>
      </c>
      <c r="J29">
        <v>30.72</v>
      </c>
      <c r="K29">
        <v>2.66</v>
      </c>
      <c r="L29" t="s">
        <v>667</v>
      </c>
      <c r="M29" t="s">
        <v>307</v>
      </c>
      <c r="N29" t="s">
        <v>1734</v>
      </c>
      <c r="O29" t="s">
        <v>672</v>
      </c>
      <c r="P29">
        <v>11.05</v>
      </c>
      <c r="Q29" t="s">
        <v>1218</v>
      </c>
      <c r="R29">
        <v>41462877</v>
      </c>
      <c r="S29" s="6">
        <v>0.15629999999999999</v>
      </c>
      <c r="T29" t="s">
        <v>304</v>
      </c>
      <c r="U29">
        <v>199319600</v>
      </c>
      <c r="V29">
        <v>251423420</v>
      </c>
      <c r="W29">
        <v>1.17</v>
      </c>
      <c r="X29">
        <v>7.0000000000000007E-2</v>
      </c>
      <c r="Y29">
        <v>32.619999999999997</v>
      </c>
      <c r="Z29" t="s">
        <v>1735</v>
      </c>
      <c r="AA29" t="s">
        <v>1736</v>
      </c>
      <c r="AB29" t="s">
        <v>1737</v>
      </c>
      <c r="AC29" t="s">
        <v>1738</v>
      </c>
      <c r="AD29" t="s">
        <v>15</v>
      </c>
      <c r="AE29">
        <v>858219</v>
      </c>
      <c r="AF29" t="s">
        <v>1219</v>
      </c>
      <c r="AG29">
        <v>2318.6799999999998</v>
      </c>
      <c r="AH29" t="s">
        <v>1220</v>
      </c>
      <c r="AI29" t="s">
        <v>258</v>
      </c>
      <c r="AJ29" t="s">
        <v>1221</v>
      </c>
      <c r="AK29" t="s">
        <v>96</v>
      </c>
      <c r="AL29" t="s">
        <v>1222</v>
      </c>
      <c r="AM29" t="s">
        <v>15</v>
      </c>
      <c r="AN29" t="s">
        <v>1739</v>
      </c>
      <c r="AO29" t="s">
        <v>1740</v>
      </c>
      <c r="AP29" t="s">
        <v>1741</v>
      </c>
      <c r="AQ29" t="s">
        <v>1742</v>
      </c>
      <c r="AR29" t="s">
        <v>15</v>
      </c>
      <c r="AS29" t="s">
        <v>45</v>
      </c>
      <c r="AT29" t="s">
        <v>1223</v>
      </c>
      <c r="AU29" t="s">
        <v>1743</v>
      </c>
      <c r="AV29" t="s">
        <v>1744</v>
      </c>
      <c r="AW29" t="s">
        <v>1745</v>
      </c>
      <c r="AX29" t="s">
        <v>777</v>
      </c>
      <c r="AY29" t="s">
        <v>407</v>
      </c>
      <c r="AZ29" t="s">
        <v>519</v>
      </c>
      <c r="BA29" t="s">
        <v>251</v>
      </c>
      <c r="BB29" t="s">
        <v>80</v>
      </c>
      <c r="BC29" t="s">
        <v>114</v>
      </c>
      <c r="BD29" t="s">
        <v>539</v>
      </c>
      <c r="BE29" t="s">
        <v>540</v>
      </c>
      <c r="BF29" t="s">
        <v>541</v>
      </c>
      <c r="BG29" t="s">
        <v>542</v>
      </c>
      <c r="BH29" t="s">
        <v>1218</v>
      </c>
      <c r="BI29" t="s">
        <v>88</v>
      </c>
      <c r="BJ29" t="s">
        <v>777</v>
      </c>
      <c r="BK29" t="s">
        <v>304</v>
      </c>
      <c r="BL29" t="s">
        <v>1224</v>
      </c>
      <c r="BM29" t="s">
        <v>114</v>
      </c>
      <c r="BN29">
        <v>8.64</v>
      </c>
      <c r="BO29">
        <v>11.3</v>
      </c>
      <c r="BP29">
        <v>9.36</v>
      </c>
      <c r="BQ29">
        <v>8.64</v>
      </c>
      <c r="BR29">
        <v>11.28</v>
      </c>
      <c r="BS29">
        <v>9.77</v>
      </c>
      <c r="BT29" t="s">
        <v>783</v>
      </c>
      <c r="BU29" t="s">
        <v>667</v>
      </c>
      <c r="BV29">
        <v>62.55</v>
      </c>
      <c r="BW29">
        <v>60.85</v>
      </c>
      <c r="BX29">
        <v>57.05</v>
      </c>
      <c r="BY29">
        <v>28.2</v>
      </c>
      <c r="BZ29">
        <v>30.56</v>
      </c>
      <c r="CA29">
        <v>26.93</v>
      </c>
      <c r="CB29">
        <v>8.26</v>
      </c>
      <c r="CC29">
        <v>-2.8</v>
      </c>
      <c r="CD29" t="s">
        <v>2139</v>
      </c>
      <c r="CE29" t="s">
        <v>180</v>
      </c>
      <c r="CF29" s="9">
        <v>0.11016949152542373</v>
      </c>
      <c r="CG29" s="10">
        <v>0.15632047320512249</v>
      </c>
      <c r="CH29" s="9">
        <v>0.18837209045886993</v>
      </c>
      <c r="CI29" s="9">
        <v>0.1944444477558136</v>
      </c>
      <c r="CJ29" s="9">
        <v>0.1320754736661911</v>
      </c>
      <c r="CK29" s="9">
        <v>0.60606062412261963</v>
      </c>
      <c r="CL29" s="9">
        <v>-3.4146342426538467E-2</v>
      </c>
      <c r="CM29" s="10">
        <v>5.3030304610729218E-2</v>
      </c>
      <c r="CN29" s="10">
        <v>0.36039704084396362</v>
      </c>
      <c r="CO29" s="10">
        <v>0.93141639232635498</v>
      </c>
      <c r="CP29" s="10">
        <v>2.9491434097290039</v>
      </c>
      <c r="CQ29" s="10">
        <v>-4.3747167587280273</v>
      </c>
      <c r="CR29">
        <v>66.693263916171574</v>
      </c>
      <c r="CS29">
        <v>3.0683142115724729</v>
      </c>
      <c r="CT29">
        <v>0.56529112492933853</v>
      </c>
      <c r="CU29" s="9">
        <v>0.21736125871539116</v>
      </c>
      <c r="CV29" s="10">
        <v>-1.6145922243595123E-2</v>
      </c>
      <c r="CW29">
        <v>0.06</v>
      </c>
      <c r="CX29">
        <v>19.135392142616478</v>
      </c>
      <c r="CY29">
        <v>159635108.45418808</v>
      </c>
      <c r="CZ29">
        <v>0.21736125871539116</v>
      </c>
      <c r="DA29">
        <v>5.6230150580707399</v>
      </c>
      <c r="DB29">
        <v>543245993.19996536</v>
      </c>
      <c r="DC29">
        <v>0.20649319577962161</v>
      </c>
      <c r="DD29">
        <v>2.3863077838886628</v>
      </c>
      <c r="DE29">
        <v>1280086508.7998729</v>
      </c>
      <c r="DF29">
        <v>0.19127790766954422</v>
      </c>
      <c r="DG29">
        <v>1.2013998404986204</v>
      </c>
      <c r="DH29">
        <v>2542600970.1584506</v>
      </c>
      <c r="DI29">
        <v>0.17388900697231294</v>
      </c>
      <c r="DJ29">
        <v>0.40899380082913855</v>
      </c>
      <c r="DK29">
        <v>7468769438.0877056</v>
      </c>
      <c r="DL29">
        <v>0.1521528811007738</v>
      </c>
      <c r="DM29">
        <v>139000000</v>
      </c>
      <c r="DN29">
        <v>0.21736125871539116</v>
      </c>
      <c r="DO29">
        <v>3054680400</v>
      </c>
      <c r="DP29">
        <v>1068164580</v>
      </c>
      <c r="DQ29">
        <v>2092</v>
      </c>
      <c r="DR29">
        <v>-0.10719176718996744</v>
      </c>
      <c r="DS29">
        <v>0.17246639544871761</v>
      </c>
      <c r="DT29" s="11">
        <v>0.10999999999999995</v>
      </c>
      <c r="DU29">
        <v>0.51166666666666671</v>
      </c>
      <c r="DV29">
        <v>0.6216666666666667</v>
      </c>
      <c r="DW29">
        <v>5.3389830508474576</v>
      </c>
      <c r="DX29">
        <v>0.50503416666666667</v>
      </c>
      <c r="DY29">
        <v>5.0830624293785309</v>
      </c>
      <c r="DZ29">
        <v>601</v>
      </c>
      <c r="EA29">
        <v>5.0732894223197018</v>
      </c>
      <c r="EB29">
        <v>5</v>
      </c>
      <c r="EC29">
        <v>0.11695052115670052</v>
      </c>
      <c r="ED29">
        <v>0.47728250614043832</v>
      </c>
      <c r="EE29" s="12">
        <v>1.0486</v>
      </c>
      <c r="EF29">
        <v>1.0402</v>
      </c>
      <c r="EG29">
        <v>26.245034166666667</v>
      </c>
      <c r="EH29" t="s">
        <v>567</v>
      </c>
      <c r="EI29">
        <v>1</v>
      </c>
      <c r="EJ29">
        <v>1</v>
      </c>
      <c r="EK29" s="14">
        <v>45505</v>
      </c>
      <c r="EL29" s="15">
        <v>-2.16</v>
      </c>
      <c r="EM29" s="15">
        <v>3.61</v>
      </c>
      <c r="EN29" s="15">
        <v>-0.35</v>
      </c>
      <c r="EO29" s="15">
        <v>1.94</v>
      </c>
      <c r="EP29" s="15">
        <v>-0.84</v>
      </c>
    </row>
    <row r="30" spans="1:146" ht="84" x14ac:dyDescent="0.25">
      <c r="A30" s="8"/>
      <c r="B30" s="8"/>
      <c r="C30" s="8" t="str">
        <f>""&amp;CHAR(10)&amp;Basic_Fundamental_Information_Constructure(F30)&amp;CHAR(10)&amp;Basic_Fundamental_Information_Concatenate("")</f>
        <v xml:space="preserve">
市值95.09382亿, 利润4.72亿; PE23.46; 平均PE18.17; 平均PEG.71, PB1.96; ROIC19.6233%; ROE20.6667%; 股利率1.2993%; 毛利64.9%; 净利39.7533%; 上一年度营收增-20.95%, 利润增-44.6%; 当季营收增-19.9%, 利润增-45.87%; 过往5年营收增25.68%, 利润增25%
Income profile:
</v>
      </c>
      <c r="D30" t="s">
        <v>468</v>
      </c>
      <c r="E30" t="s">
        <v>469</v>
      </c>
      <c r="F30">
        <v>23.09</v>
      </c>
      <c r="G30">
        <v>-0.04</v>
      </c>
      <c r="H30" t="s">
        <v>2140</v>
      </c>
      <c r="I30">
        <v>9509382000</v>
      </c>
      <c r="J30">
        <v>23.46</v>
      </c>
      <c r="K30">
        <v>1.96</v>
      </c>
      <c r="L30" t="s">
        <v>667</v>
      </c>
      <c r="M30" t="s">
        <v>936</v>
      </c>
      <c r="N30" t="s">
        <v>1520</v>
      </c>
      <c r="O30" t="s">
        <v>1227</v>
      </c>
      <c r="P30">
        <v>-19.96</v>
      </c>
      <c r="Q30" t="s">
        <v>1228</v>
      </c>
      <c r="R30">
        <v>78490002</v>
      </c>
      <c r="S30" s="6">
        <v>-0.45839999999999997</v>
      </c>
      <c r="T30" t="s">
        <v>118</v>
      </c>
      <c r="U30">
        <v>213572170</v>
      </c>
      <c r="V30">
        <v>411839850</v>
      </c>
      <c r="W30">
        <v>1.1200000000000001</v>
      </c>
      <c r="X30">
        <v>0.05</v>
      </c>
      <c r="Y30">
        <v>28</v>
      </c>
      <c r="Z30" t="s">
        <v>390</v>
      </c>
      <c r="AA30" t="s">
        <v>32</v>
      </c>
      <c r="AB30" t="s">
        <v>1746</v>
      </c>
      <c r="AC30" t="s">
        <v>1747</v>
      </c>
      <c r="AD30" t="s">
        <v>15</v>
      </c>
      <c r="AE30">
        <v>-663471</v>
      </c>
      <c r="AF30" t="s">
        <v>1230</v>
      </c>
      <c r="AG30" t="s">
        <v>1748</v>
      </c>
      <c r="AH30" t="s">
        <v>1231</v>
      </c>
      <c r="AI30" t="s">
        <v>925</v>
      </c>
      <c r="AJ30" t="s">
        <v>1232</v>
      </c>
      <c r="AK30" t="s">
        <v>389</v>
      </c>
      <c r="AL30" t="s">
        <v>1233</v>
      </c>
      <c r="AM30" t="s">
        <v>15</v>
      </c>
      <c r="AN30" t="s">
        <v>1749</v>
      </c>
      <c r="AO30" t="s">
        <v>962</v>
      </c>
      <c r="AP30" t="s">
        <v>1750</v>
      </c>
      <c r="AQ30" t="s">
        <v>226</v>
      </c>
      <c r="AR30" t="s">
        <v>15</v>
      </c>
      <c r="AS30" t="s">
        <v>408</v>
      </c>
      <c r="AT30" t="s">
        <v>15</v>
      </c>
      <c r="AU30" t="s">
        <v>1751</v>
      </c>
      <c r="AV30" t="s">
        <v>152</v>
      </c>
      <c r="AW30" t="s">
        <v>1752</v>
      </c>
      <c r="AX30" t="s">
        <v>766</v>
      </c>
      <c r="AY30" t="s">
        <v>698</v>
      </c>
      <c r="AZ30" t="s">
        <v>294</v>
      </c>
      <c r="BA30" t="s">
        <v>470</v>
      </c>
      <c r="BB30" t="s">
        <v>471</v>
      </c>
      <c r="BC30" t="s">
        <v>854</v>
      </c>
      <c r="BD30" t="s">
        <v>543</v>
      </c>
      <c r="BE30" t="s">
        <v>432</v>
      </c>
      <c r="BF30" t="s">
        <v>264</v>
      </c>
      <c r="BG30" t="s">
        <v>298</v>
      </c>
      <c r="BH30" t="s">
        <v>1228</v>
      </c>
      <c r="BI30" t="s">
        <v>761</v>
      </c>
      <c r="BJ30" t="s">
        <v>766</v>
      </c>
      <c r="BK30" t="s">
        <v>118</v>
      </c>
      <c r="BL30" t="s">
        <v>696</v>
      </c>
      <c r="BM30" t="s">
        <v>854</v>
      </c>
      <c r="BN30">
        <v>8.9600000000000009</v>
      </c>
      <c r="BO30">
        <v>21.42</v>
      </c>
      <c r="BP30">
        <v>28.49</v>
      </c>
      <c r="BQ30">
        <v>8.4700000000000006</v>
      </c>
      <c r="BR30">
        <v>20.6</v>
      </c>
      <c r="BS30">
        <v>32.93</v>
      </c>
      <c r="BT30" t="s">
        <v>782</v>
      </c>
      <c r="BU30" t="s">
        <v>667</v>
      </c>
      <c r="BV30">
        <v>59.37</v>
      </c>
      <c r="BW30">
        <v>66.599999999999994</v>
      </c>
      <c r="BX30">
        <v>68.73</v>
      </c>
      <c r="BY30">
        <v>31.09</v>
      </c>
      <c r="BZ30">
        <v>43.64</v>
      </c>
      <c r="CA30">
        <v>44.53</v>
      </c>
      <c r="CB30">
        <v>8.92</v>
      </c>
      <c r="CC30">
        <v>-2.78</v>
      </c>
      <c r="CD30" t="s">
        <v>2141</v>
      </c>
      <c r="CE30" t="s">
        <v>238</v>
      </c>
      <c r="CF30" s="9">
        <v>-0.19896640826873385</v>
      </c>
      <c r="CG30" s="10">
        <v>-0.45868964137931034</v>
      </c>
      <c r="CH30" s="9">
        <v>-0.20945324003696442</v>
      </c>
      <c r="CI30" s="9">
        <v>7.9000063240528107E-2</v>
      </c>
      <c r="CJ30" s="9">
        <v>0.42755180597305298</v>
      </c>
      <c r="CK30" s="9">
        <v>0.65995252132415771</v>
      </c>
      <c r="CL30" s="9">
        <v>0.3270440399646759</v>
      </c>
      <c r="CM30" s="10">
        <v>-0.44600939750671387</v>
      </c>
      <c r="CN30" s="10">
        <v>4.4117648154497147E-2</v>
      </c>
      <c r="CO30" s="10">
        <v>0.68595039844512939</v>
      </c>
      <c r="CP30" s="10">
        <v>0.65187710523605347</v>
      </c>
      <c r="CQ30" s="10">
        <v>0.31390133500099182</v>
      </c>
      <c r="CR30">
        <v>18.17079363057325</v>
      </c>
      <c r="CS30">
        <v>0.70753296817453326</v>
      </c>
      <c r="CT30">
        <v>1.29926375054136</v>
      </c>
      <c r="CU30" s="9">
        <v>0.25681903809309004</v>
      </c>
      <c r="CV30" s="10">
        <v>0.24996741786599158</v>
      </c>
      <c r="CW30">
        <v>0.06</v>
      </c>
      <c r="CX30">
        <v>9.1047466273800364</v>
      </c>
      <c r="CY30">
        <v>559640175.45277226</v>
      </c>
      <c r="CZ30">
        <v>0.25681903809309004</v>
      </c>
      <c r="DA30">
        <v>2.5905952537200396</v>
      </c>
      <c r="DB30">
        <v>1966876914.748894</v>
      </c>
      <c r="DC30">
        <v>0.24397808618843553</v>
      </c>
      <c r="DD30">
        <v>1.0486170461047557</v>
      </c>
      <c r="DE30">
        <v>4859144736.3244343</v>
      </c>
      <c r="DF30">
        <v>0.22600075352191923</v>
      </c>
      <c r="DG30">
        <v>0.49758350092496123</v>
      </c>
      <c r="DH30">
        <v>10240255134.119522</v>
      </c>
      <c r="DI30">
        <v>0.20545523047447203</v>
      </c>
      <c r="DJ30">
        <v>0.14596266969677985</v>
      </c>
      <c r="DK30">
        <v>34908802439.589882</v>
      </c>
      <c r="DL30">
        <v>0.17977332666516302</v>
      </c>
      <c r="DM30">
        <v>472000000</v>
      </c>
      <c r="DN30">
        <v>0.25681903809309004</v>
      </c>
      <c r="DO30">
        <v>5095382000</v>
      </c>
      <c r="DP30">
        <v>4014845900</v>
      </c>
      <c r="DQ30">
        <v>2186</v>
      </c>
      <c r="DR30">
        <v>-0.45578544636182389</v>
      </c>
      <c r="DS30">
        <v>-0.70865705924530187</v>
      </c>
      <c r="DT30" s="11">
        <v>-0.14000000000000004</v>
      </c>
      <c r="DU30">
        <v>0.21333333333333335</v>
      </c>
      <c r="DV30">
        <v>7.3333333333333306E-2</v>
      </c>
      <c r="DW30">
        <v>5.311659192825112</v>
      </c>
      <c r="DX30">
        <v>0.42754625850340133</v>
      </c>
      <c r="DY30">
        <v>5.0553339236142891</v>
      </c>
      <c r="DZ30">
        <v>1627</v>
      </c>
      <c r="EA30">
        <v>5.0377089639979129</v>
      </c>
      <c r="EB30">
        <v>5</v>
      </c>
      <c r="EC30">
        <v>6.3372449266383524E-2</v>
      </c>
      <c r="ED30">
        <v>0.35693486193723117</v>
      </c>
      <c r="EE30" s="12">
        <v>-1.0118100000000001</v>
      </c>
      <c r="EF30">
        <v>-1.0122100000000001</v>
      </c>
      <c r="EG30">
        <v>25.177546258503401</v>
      </c>
      <c r="EH30" t="s">
        <v>800</v>
      </c>
      <c r="EI30">
        <v>1</v>
      </c>
      <c r="EJ30">
        <v>0</v>
      </c>
      <c r="EK30" s="14">
        <v>45505</v>
      </c>
      <c r="EL30" s="15">
        <v>0.47</v>
      </c>
      <c r="EM30" s="15">
        <v>4.29</v>
      </c>
      <c r="EN30" s="15">
        <v>1.81</v>
      </c>
      <c r="EO30" s="15">
        <v>1.49</v>
      </c>
      <c r="EP30" s="15">
        <v>-0.04</v>
      </c>
    </row>
    <row r="31" spans="1:146" ht="136" customHeight="1" x14ac:dyDescent="0.25">
      <c r="A31" s="8" t="s">
        <v>765</v>
      </c>
      <c r="B31" s="8"/>
      <c r="C31" s="8" t="str">
        <f>"公司主要从事行业宽带移动通信设备的研发、制造、销售及工程实施，结合业务应用软件、指挥调度软件等配套产品，向客户提供行业宽带移动通信系统的整体解决方案。主要产品有军用宽带移动通信业务和铁路、城市轨道交通专网宽带移动通信产品。"&amp;CHAR(10)&amp;Basic_Fundamental_Information_Constructure(F31)&amp;CHAR(10)&amp;Basic_Fundamental_Information_Concatenate("宽带移动通信设备 1.83亿 100.00% 100.00% 57.23%")</f>
        <v>公司主要从事行业宽带移动通信设备的研发、制造、销售及工程实施，结合业务应用软件、指挥调度软件等配套产品，向客户提供行业宽带移动通信系统的整体解决方案。主要产品有军用宽带移动通信业务和铁路、城市轨道交通专网宽带移动通信产品。
市值115.294516亿, 利润-1.90亿; PE; 平均PE134.17; 平均PEG87.79, PB4.64; ROIC5.99%; ROE3.9233%; 股利率0%; 毛利55.4867%; 净利-2.36%; 上一年度营收增-21.95%, 利润增-322.02%; 当季营收增-11.8%, 利润增-21.23%; 过往5年营收增-1.53%, 利润增-57.6%
Income profile:
宽带移动通信设备 1.83亿 100.00% 100.00% 57.23%</v>
      </c>
      <c r="D31" t="s">
        <v>150</v>
      </c>
      <c r="E31" t="s">
        <v>151</v>
      </c>
      <c r="F31">
        <v>18.36</v>
      </c>
      <c r="G31">
        <v>1.77</v>
      </c>
      <c r="H31" t="s">
        <v>2142</v>
      </c>
      <c r="I31">
        <v>11529451600</v>
      </c>
      <c r="K31">
        <v>4.6399999999999997</v>
      </c>
      <c r="L31" t="s">
        <v>667</v>
      </c>
      <c r="M31" t="s">
        <v>908</v>
      </c>
      <c r="N31" t="s">
        <v>1753</v>
      </c>
      <c r="O31" t="s">
        <v>1234</v>
      </c>
      <c r="P31">
        <v>-11.8</v>
      </c>
      <c r="Q31" t="s">
        <v>561</v>
      </c>
      <c r="R31">
        <v>-10036550</v>
      </c>
      <c r="S31" s="6">
        <v>-0.21229999999999999</v>
      </c>
      <c r="T31" t="s">
        <v>1235</v>
      </c>
      <c r="U31">
        <v>627965770</v>
      </c>
      <c r="V31">
        <v>627965770</v>
      </c>
      <c r="W31">
        <v>1.41</v>
      </c>
      <c r="X31">
        <v>0.02</v>
      </c>
      <c r="Y31">
        <v>-14.74</v>
      </c>
      <c r="Z31" t="s">
        <v>1754</v>
      </c>
      <c r="AA31" t="s">
        <v>1755</v>
      </c>
      <c r="AB31" t="s">
        <v>1756</v>
      </c>
      <c r="AC31" t="s">
        <v>1757</v>
      </c>
      <c r="AD31" t="s">
        <v>15</v>
      </c>
      <c r="AE31">
        <v>-27017234</v>
      </c>
      <c r="AF31" t="s">
        <v>66</v>
      </c>
      <c r="AG31" t="s">
        <v>1758</v>
      </c>
      <c r="AH31" t="s">
        <v>1236</v>
      </c>
      <c r="AI31" t="s">
        <v>1759</v>
      </c>
      <c r="AJ31" t="s">
        <v>1237</v>
      </c>
      <c r="AK31" t="s">
        <v>1760</v>
      </c>
      <c r="AL31" t="s">
        <v>1238</v>
      </c>
      <c r="AM31" t="s">
        <v>15</v>
      </c>
      <c r="AN31">
        <v>0</v>
      </c>
      <c r="AO31" t="s">
        <v>37</v>
      </c>
      <c r="AP31" t="s">
        <v>1761</v>
      </c>
      <c r="AQ31" t="s">
        <v>302</v>
      </c>
      <c r="AR31" t="s">
        <v>15</v>
      </c>
      <c r="AS31" t="s">
        <v>1762</v>
      </c>
      <c r="AT31" t="s">
        <v>15</v>
      </c>
      <c r="AU31" t="s">
        <v>1763</v>
      </c>
      <c r="AV31" t="s">
        <v>1764</v>
      </c>
      <c r="AW31" t="s">
        <v>1765</v>
      </c>
      <c r="AX31" t="s">
        <v>530</v>
      </c>
      <c r="AY31" t="s">
        <v>478</v>
      </c>
      <c r="AZ31" t="s">
        <v>313</v>
      </c>
      <c r="BA31" t="s">
        <v>113</v>
      </c>
      <c r="BB31" t="s">
        <v>232</v>
      </c>
      <c r="BC31" t="s">
        <v>855</v>
      </c>
      <c r="BD31" t="s">
        <v>356</v>
      </c>
      <c r="BE31" t="s">
        <v>48</v>
      </c>
      <c r="BF31" t="s">
        <v>152</v>
      </c>
      <c r="BG31" t="s">
        <v>98</v>
      </c>
      <c r="BH31" t="s">
        <v>561</v>
      </c>
      <c r="BI31" t="s">
        <v>1239</v>
      </c>
      <c r="BJ31" t="s">
        <v>530</v>
      </c>
      <c r="BK31" t="s">
        <v>1235</v>
      </c>
      <c r="BL31" t="s">
        <v>1240</v>
      </c>
      <c r="BM31" t="s">
        <v>855</v>
      </c>
      <c r="BN31" t="s">
        <v>15</v>
      </c>
      <c r="BO31">
        <v>1.58</v>
      </c>
      <c r="BP31">
        <v>10.4</v>
      </c>
      <c r="BQ31">
        <v>-2.36</v>
      </c>
      <c r="BR31">
        <v>3.23</v>
      </c>
      <c r="BS31">
        <v>10.9</v>
      </c>
      <c r="BT31" t="s">
        <v>781</v>
      </c>
      <c r="BU31" t="s">
        <v>667</v>
      </c>
      <c r="BV31">
        <v>43.34</v>
      </c>
      <c r="BW31">
        <v>59.37</v>
      </c>
      <c r="BX31">
        <v>63.75</v>
      </c>
      <c r="BY31">
        <v>-60.67</v>
      </c>
      <c r="BZ31">
        <v>21.36</v>
      </c>
      <c r="CA31">
        <v>32.229999999999997</v>
      </c>
      <c r="CB31">
        <v>11</v>
      </c>
      <c r="CC31">
        <v>12.57</v>
      </c>
      <c r="CD31" t="s">
        <v>2143</v>
      </c>
      <c r="CE31" t="s">
        <v>2144</v>
      </c>
      <c r="CF31" s="9">
        <v>-0.11803505953383517</v>
      </c>
      <c r="CG31" s="10">
        <v>-0.21227548888164172</v>
      </c>
      <c r="CH31" s="9">
        <v>-0.21945136785507202</v>
      </c>
      <c r="CI31" s="9">
        <v>-0.44993141293525696</v>
      </c>
      <c r="CJ31" s="9">
        <v>0.13728548586368561</v>
      </c>
      <c r="CK31" s="9">
        <v>0.17399267852306366</v>
      </c>
      <c r="CL31" s="9">
        <v>0.28169015049934387</v>
      </c>
      <c r="CM31" s="10">
        <v>-3.2201681137084961</v>
      </c>
      <c r="CN31" s="10">
        <v>-0.63583362102508545</v>
      </c>
      <c r="CO31" s="10">
        <v>0.40718561410903931</v>
      </c>
      <c r="CP31" s="10">
        <v>0.45217391848564148</v>
      </c>
      <c r="CQ31" s="10">
        <v>0.11650485545396805</v>
      </c>
      <c r="CR31">
        <v>134.17283516729051</v>
      </c>
      <c r="CS31">
        <v>87.792824028527946</v>
      </c>
      <c r="CT31">
        <v>0</v>
      </c>
      <c r="CU31" s="9">
        <v>-1.5282893180847168E-2</v>
      </c>
      <c r="CV31" s="10">
        <v>-0.57602746933698656</v>
      </c>
      <c r="CW31">
        <v>0.06</v>
      </c>
      <c r="CX31" t="e">
        <v>#VALUE!</v>
      </c>
      <c r="CY31" t="s">
        <v>568</v>
      </c>
      <c r="CZ31">
        <v>-1.5282893180847168E-2</v>
      </c>
      <c r="DA31" t="e">
        <v>#VALUE!</v>
      </c>
      <c r="DB31" t="s">
        <v>569</v>
      </c>
      <c r="DC31">
        <v>-1.4518748521804809E-2</v>
      </c>
      <c r="DD31" t="e">
        <v>#VALUE!</v>
      </c>
      <c r="DE31" t="s">
        <v>569</v>
      </c>
      <c r="DF31">
        <v>-1.3448945999145508E-2</v>
      </c>
      <c r="DG31" t="e">
        <v>#VALUE!</v>
      </c>
      <c r="DH31" t="s">
        <v>569</v>
      </c>
      <c r="DI31">
        <v>-1.2226314544677735E-2</v>
      </c>
      <c r="DJ31" t="e">
        <v>#VALUE!</v>
      </c>
      <c r="DK31" t="s">
        <v>569</v>
      </c>
      <c r="DL31">
        <v>-1.0698025226593017E-2</v>
      </c>
      <c r="DM31">
        <v>-190000000</v>
      </c>
      <c r="DN31">
        <v>-1.5282893180847168E-2</v>
      </c>
      <c r="DO31">
        <v>10027451600</v>
      </c>
      <c r="DP31">
        <v>1826444400</v>
      </c>
      <c r="DQ31">
        <v>2217</v>
      </c>
      <c r="DR31">
        <v>-0.10275216635298801</v>
      </c>
      <c r="DS31">
        <v>0.36375198045534485</v>
      </c>
      <c r="DT31" s="11">
        <v>-0.54</v>
      </c>
      <c r="DU31">
        <v>-1.4783333333333333</v>
      </c>
      <c r="DV31">
        <v>-2.0183333333333335</v>
      </c>
      <c r="DW31">
        <v>9.8750994431185362</v>
      </c>
      <c r="DX31">
        <v>0.53674416837988104</v>
      </c>
      <c r="DY31">
        <v>9.2596806564979079</v>
      </c>
      <c r="DZ31">
        <v>4388</v>
      </c>
      <c r="EA31">
        <v>9.0366033814953983</v>
      </c>
      <c r="EB31">
        <v>9</v>
      </c>
      <c r="EC31">
        <v>0.50798947210132173</v>
      </c>
      <c r="ED31">
        <v>1.7118767476768677</v>
      </c>
      <c r="EE31" s="12">
        <v>2.0112999999999999</v>
      </c>
      <c r="EF31">
        <v>2.0289999999999999</v>
      </c>
      <c r="EG31">
        <v>24.296744168379881</v>
      </c>
      <c r="EH31" t="s">
        <v>842</v>
      </c>
      <c r="EI31">
        <v>1</v>
      </c>
      <c r="EJ31">
        <v>0</v>
      </c>
      <c r="EK31" s="14">
        <v>45505</v>
      </c>
      <c r="EL31" s="15">
        <v>0.92</v>
      </c>
      <c r="EM31" s="15">
        <v>7.01</v>
      </c>
      <c r="EN31" s="15">
        <v>2.3199999999999998</v>
      </c>
      <c r="EO31" s="15">
        <v>-0.33</v>
      </c>
      <c r="EP31" s="15">
        <v>1.77</v>
      </c>
    </row>
    <row r="32" spans="1:146" ht="216" x14ac:dyDescent="0.25">
      <c r="A32" s="8" t="s">
        <v>1457</v>
      </c>
      <c r="B32" s="8" t="s">
        <v>1458</v>
      </c>
      <c r="C32" s="8" t="str">
        <f>"公司是一家从事毫米波有源相控阵微系统研发、制造、测试和销售的高新技术企业，提供专用和通用的毫米波有源相控阵产品。公司的主要产品有毫米波有源相控阵微系统、高频段毫米波前端、星载毫米波有源相控阵微系统、机载数据链相控阵微系统、火控雷达相控阵微系统。"&amp;CHAR(10)&amp;Basic_Fundamental_Information_Constructure(F32)&amp;CHAR(10)&amp;Basic_Fundamental_Information_Concatenate("精确制导类 7.17亿 97.61% 96.23% 41.79%
通信数据链类 1620.25万 2.20% 3.60% 69.20%")</f>
        <v>公司是一家从事毫米波有源相控阵微系统研发、制造、测试和销售的高新技术企业，提供专用和通用的毫米波有源相控阵产品。公司的主要产品有毫米波有源相控阵微系统、高频段毫米波前端、星载毫米波有源相控阵微系统、机载数据链相控阵微系统、火控雷达相控阵微系统。
市值86.783883亿, 利润3.05亿; PE27.61; 平均PE54.41; 平均PEG.39, PB3.26; ROIC12.3333%; ROE14.0867%; 股利率.8226%; 毛利46.4367%; 净利31.37%; 上一年度营收增3.02%, 利润增10.11%; 当季营收增47.15%, 利润增10.12%; 过往5年营收增139.14%, 利润增105.8%
Income profile:
精确制导类 7.17亿 97.61% 96.23% 41.79%
通信数据链类 1620.25万 2.20% 3.60% 69.20%</v>
      </c>
      <c r="D32" t="s">
        <v>472</v>
      </c>
      <c r="E32" t="s">
        <v>473</v>
      </c>
      <c r="F32">
        <v>49.6</v>
      </c>
      <c r="G32">
        <v>1.54</v>
      </c>
      <c r="H32" t="s">
        <v>2145</v>
      </c>
      <c r="I32">
        <v>8678388300</v>
      </c>
      <c r="J32">
        <v>27.61</v>
      </c>
      <c r="K32">
        <v>3.26</v>
      </c>
      <c r="L32" t="s">
        <v>667</v>
      </c>
      <c r="M32" t="s">
        <v>1243</v>
      </c>
      <c r="N32" t="s">
        <v>1766</v>
      </c>
      <c r="O32" t="s">
        <v>852</v>
      </c>
      <c r="P32">
        <v>47.29</v>
      </c>
      <c r="Q32" t="s">
        <v>941</v>
      </c>
      <c r="R32">
        <v>98618144</v>
      </c>
      <c r="S32" s="6">
        <v>0.1012</v>
      </c>
      <c r="T32" t="s">
        <v>240</v>
      </c>
      <c r="U32">
        <v>134661260</v>
      </c>
      <c r="V32">
        <v>174967510</v>
      </c>
      <c r="W32">
        <v>1.57</v>
      </c>
      <c r="X32">
        <v>0.08</v>
      </c>
      <c r="Y32">
        <v>27.26</v>
      </c>
      <c r="Z32" t="s">
        <v>442</v>
      </c>
      <c r="AA32" t="s">
        <v>53</v>
      </c>
      <c r="AB32" t="s">
        <v>1767</v>
      </c>
      <c r="AC32" t="s">
        <v>1768</v>
      </c>
      <c r="AD32" t="s">
        <v>15</v>
      </c>
      <c r="AE32">
        <v>-8172856</v>
      </c>
      <c r="AF32" t="s">
        <v>1244</v>
      </c>
      <c r="AG32">
        <v>6193.75</v>
      </c>
      <c r="AH32" t="s">
        <v>1245</v>
      </c>
      <c r="AI32" t="s">
        <v>1769</v>
      </c>
      <c r="AJ32" t="s">
        <v>1246</v>
      </c>
      <c r="AK32" t="s">
        <v>1770</v>
      </c>
      <c r="AL32" t="s">
        <v>1247</v>
      </c>
      <c r="AM32" t="s">
        <v>15</v>
      </c>
      <c r="AN32" t="s">
        <v>1771</v>
      </c>
      <c r="AO32" t="s">
        <v>505</v>
      </c>
      <c r="AP32" t="s">
        <v>298</v>
      </c>
      <c r="AQ32" t="s">
        <v>407</v>
      </c>
      <c r="AR32" t="s">
        <v>15</v>
      </c>
      <c r="AS32" t="s">
        <v>833</v>
      </c>
      <c r="AT32" t="s">
        <v>15</v>
      </c>
      <c r="AU32" t="s">
        <v>1772</v>
      </c>
      <c r="AV32" t="s">
        <v>1773</v>
      </c>
      <c r="AW32" t="s">
        <v>1452</v>
      </c>
      <c r="AX32" t="s">
        <v>772</v>
      </c>
      <c r="AY32" t="s">
        <v>675</v>
      </c>
      <c r="AZ32" t="s">
        <v>412</v>
      </c>
      <c r="BA32" t="s">
        <v>283</v>
      </c>
      <c r="BB32" t="s">
        <v>474</v>
      </c>
      <c r="BC32" t="s">
        <v>103</v>
      </c>
      <c r="BD32" t="s">
        <v>145</v>
      </c>
      <c r="BE32" t="s">
        <v>38</v>
      </c>
      <c r="BF32" t="s">
        <v>475</v>
      </c>
      <c r="BG32" t="s">
        <v>476</v>
      </c>
      <c r="BH32" t="s">
        <v>941</v>
      </c>
      <c r="BI32" t="s">
        <v>477</v>
      </c>
      <c r="BJ32" t="s">
        <v>772</v>
      </c>
      <c r="BK32" t="s">
        <v>240</v>
      </c>
      <c r="BL32" t="s">
        <v>2146</v>
      </c>
      <c r="BM32" t="s">
        <v>103</v>
      </c>
      <c r="BN32">
        <v>10.23</v>
      </c>
      <c r="BO32">
        <v>11.68</v>
      </c>
      <c r="BP32">
        <v>15.09</v>
      </c>
      <c r="BQ32">
        <v>10.64</v>
      </c>
      <c r="BR32">
        <v>12.62</v>
      </c>
      <c r="BS32">
        <v>19</v>
      </c>
      <c r="BT32" t="s">
        <v>1248</v>
      </c>
      <c r="BU32" t="s">
        <v>667</v>
      </c>
      <c r="BV32">
        <v>52.16</v>
      </c>
      <c r="BW32">
        <v>44.76</v>
      </c>
      <c r="BX32">
        <v>42.39</v>
      </c>
      <c r="BY32">
        <v>34.46</v>
      </c>
      <c r="BZ32">
        <v>32.229999999999997</v>
      </c>
      <c r="CA32">
        <v>27.42</v>
      </c>
      <c r="CB32">
        <v>10.94</v>
      </c>
      <c r="CC32">
        <v>-1.7</v>
      </c>
      <c r="CD32" t="s">
        <v>2147</v>
      </c>
      <c r="CE32" t="s">
        <v>2148</v>
      </c>
      <c r="CF32" s="9">
        <v>0.47154471544715448</v>
      </c>
      <c r="CG32" s="10">
        <v>0.10122781060133154</v>
      </c>
      <c r="CH32" s="9">
        <v>3.0232558026909828E-2</v>
      </c>
      <c r="CI32" s="9">
        <v>0.17006802558898926</v>
      </c>
      <c r="CJ32" s="9">
        <v>1.1491228342056274</v>
      </c>
      <c r="CK32" s="9">
        <v>0.15151515603065491</v>
      </c>
      <c r="CL32" s="9">
        <v>5.4560585021972656</v>
      </c>
      <c r="CM32" s="10">
        <v>0.10108303278684616</v>
      </c>
      <c r="CN32" s="10">
        <v>0.37128713726997375</v>
      </c>
      <c r="CO32" s="10">
        <v>0.6694214940071106</v>
      </c>
      <c r="CP32" s="10">
        <v>0.46203777194023132</v>
      </c>
      <c r="CQ32" s="10">
        <v>3.6864066123962402</v>
      </c>
      <c r="CR32">
        <v>54.41258480816942</v>
      </c>
      <c r="CS32">
        <v>0.39106373204822287</v>
      </c>
      <c r="CT32">
        <v>0.82258064516129026</v>
      </c>
      <c r="CU32" s="9">
        <v>1.3913994152098894</v>
      </c>
      <c r="CV32" s="10">
        <v>1.0580472096800804</v>
      </c>
      <c r="CW32">
        <v>0.06</v>
      </c>
      <c r="CX32">
        <v>11.499037739028903</v>
      </c>
      <c r="CY32">
        <v>688091341.1688832</v>
      </c>
      <c r="CZ32">
        <v>1.3913994152098894</v>
      </c>
      <c r="DA32">
        <v>1.4826206186743986</v>
      </c>
      <c r="DB32">
        <v>5336758574.8769732</v>
      </c>
      <c r="DC32">
        <v>1.321829444449395</v>
      </c>
      <c r="DD32">
        <v>0.16089361981532424</v>
      </c>
      <c r="DE32">
        <v>49177762978.307907</v>
      </c>
      <c r="DF32">
        <v>1.2244314853847027</v>
      </c>
      <c r="DG32">
        <v>1.3056227705506865E-2</v>
      </c>
      <c r="DH32">
        <v>606024073604.56091</v>
      </c>
      <c r="DI32">
        <v>1.1131195321679115</v>
      </c>
      <c r="DJ32">
        <v>4.7738356334951471E-5</v>
      </c>
      <c r="DK32">
        <v>165744883306905.41</v>
      </c>
      <c r="DL32">
        <v>0.97397959064692252</v>
      </c>
      <c r="DM32">
        <v>305000000</v>
      </c>
      <c r="DN32">
        <v>1.3913994152098894</v>
      </c>
      <c r="DO32">
        <v>7912388300</v>
      </c>
      <c r="DP32">
        <v>2422879300</v>
      </c>
      <c r="DQ32">
        <v>2492</v>
      </c>
      <c r="DR32">
        <v>-0.91985469976273493</v>
      </c>
      <c r="DS32">
        <v>-0.9568193990787488</v>
      </c>
      <c r="DT32" s="11">
        <v>0.64666666666666672</v>
      </c>
      <c r="DU32">
        <v>1.0866666666666667</v>
      </c>
      <c r="DV32">
        <v>1.7333333333333334</v>
      </c>
      <c r="DW32">
        <v>5.1553930530164536</v>
      </c>
      <c r="DX32">
        <v>0.63468304830994671</v>
      </c>
      <c r="DY32">
        <v>5.0364681153680904</v>
      </c>
      <c r="DZ32">
        <v>30</v>
      </c>
      <c r="EA32">
        <v>5.0362539330147147</v>
      </c>
      <c r="EB32">
        <v>5</v>
      </c>
      <c r="EC32">
        <v>0.12789288708515084</v>
      </c>
      <c r="ED32">
        <v>0.5449600328655303</v>
      </c>
      <c r="EE32" s="12">
        <v>-2.12</v>
      </c>
      <c r="EF32">
        <v>-2.1354000000000002</v>
      </c>
      <c r="EG32">
        <v>40.234683048309947</v>
      </c>
      <c r="EH32" t="s">
        <v>883</v>
      </c>
      <c r="EI32">
        <v>1</v>
      </c>
      <c r="EJ32">
        <v>1</v>
      </c>
      <c r="EK32" s="14">
        <v>45505</v>
      </c>
      <c r="EL32" s="15">
        <v>0.56000000000000005</v>
      </c>
      <c r="EM32" s="15">
        <v>3.87</v>
      </c>
      <c r="EN32" s="15">
        <v>0.6</v>
      </c>
      <c r="EO32" s="15">
        <v>3.12</v>
      </c>
      <c r="EP32" s="15">
        <v>1.54</v>
      </c>
    </row>
    <row r="33" spans="1:146" ht="84" x14ac:dyDescent="0.25">
      <c r="A33" s="8"/>
      <c r="B33" s="8"/>
      <c r="C33" s="8" t="str">
        <f>""&amp;CHAR(10)&amp;Basic_Fundamental_Information_Constructure(F33)&amp;CHAR(10)&amp;Basic_Fundamental_Information_Concatenate("")</f>
        <v xml:space="preserve">
市值26.408亿, 利润-208.51万; PE; 平均PE72.28; 平均PEG9.3, PB3.3; ROIC3.4633%; ROE9.8167%; 股利率0%; 毛利63.69%; 净利18.0033%; 上一年度营收增6.21%, 利润增-111.84%; 当季营收增57.88%, 利润增-36.56%; 过往5年营收增7.78%, 利润增-26.1%
Income profile:
</v>
      </c>
      <c r="D33" t="s">
        <v>544</v>
      </c>
      <c r="E33" t="s">
        <v>545</v>
      </c>
      <c r="F33">
        <v>33.01</v>
      </c>
      <c r="G33">
        <v>-2.91</v>
      </c>
      <c r="H33" t="s">
        <v>2149</v>
      </c>
      <c r="I33">
        <v>2640800000</v>
      </c>
      <c r="K33">
        <v>3.3</v>
      </c>
      <c r="L33" t="s">
        <v>667</v>
      </c>
      <c r="M33" t="s">
        <v>1249</v>
      </c>
      <c r="N33" t="s">
        <v>543</v>
      </c>
      <c r="O33" t="s">
        <v>1250</v>
      </c>
      <c r="P33">
        <v>57.88</v>
      </c>
      <c r="Q33" t="s">
        <v>47</v>
      </c>
      <c r="R33">
        <v>905929</v>
      </c>
      <c r="S33" s="6">
        <v>-0.36559999999999998</v>
      </c>
      <c r="T33" t="s">
        <v>1251</v>
      </c>
      <c r="U33">
        <v>28756399</v>
      </c>
      <c r="V33">
        <v>79999999</v>
      </c>
      <c r="W33">
        <v>1.1000000000000001</v>
      </c>
      <c r="X33">
        <v>0.02</v>
      </c>
      <c r="Y33">
        <v>4.42</v>
      </c>
      <c r="Z33" t="s">
        <v>1774</v>
      </c>
      <c r="AA33" t="s">
        <v>1775</v>
      </c>
      <c r="AB33" t="s">
        <v>1776</v>
      </c>
      <c r="AC33" t="s">
        <v>1777</v>
      </c>
      <c r="AD33" t="s">
        <v>15</v>
      </c>
      <c r="AE33">
        <v>-2327429</v>
      </c>
      <c r="AF33" t="s">
        <v>66</v>
      </c>
      <c r="AG33">
        <v>2.2200000000000002</v>
      </c>
      <c r="AH33" t="s">
        <v>1252</v>
      </c>
      <c r="AI33" t="s">
        <v>903</v>
      </c>
      <c r="AJ33" t="s">
        <v>1253</v>
      </c>
      <c r="AK33" t="s">
        <v>1778</v>
      </c>
      <c r="AL33" t="s">
        <v>1254</v>
      </c>
      <c r="AM33" t="s">
        <v>15</v>
      </c>
      <c r="AN33">
        <v>0</v>
      </c>
      <c r="AO33" t="s">
        <v>1779</v>
      </c>
      <c r="AP33" t="s">
        <v>15</v>
      </c>
      <c r="AQ33" t="s">
        <v>1780</v>
      </c>
      <c r="AR33" t="s">
        <v>15</v>
      </c>
      <c r="AS33" t="s">
        <v>1781</v>
      </c>
      <c r="AT33" t="s">
        <v>1255</v>
      </c>
      <c r="AU33" t="s">
        <v>1782</v>
      </c>
      <c r="AV33" t="s">
        <v>1783</v>
      </c>
      <c r="AW33" t="s">
        <v>1784</v>
      </c>
      <c r="AX33" t="s">
        <v>1256</v>
      </c>
      <c r="AY33" t="s">
        <v>257</v>
      </c>
      <c r="AZ33" t="s">
        <v>370</v>
      </c>
      <c r="BA33" t="s">
        <v>531</v>
      </c>
      <c r="BB33" t="s">
        <v>546</v>
      </c>
      <c r="BC33" t="s">
        <v>1257</v>
      </c>
      <c r="BD33" t="s">
        <v>1258</v>
      </c>
      <c r="BE33" t="s">
        <v>547</v>
      </c>
      <c r="BF33" t="s">
        <v>548</v>
      </c>
      <c r="BG33" t="s">
        <v>549</v>
      </c>
      <c r="BH33" t="s">
        <v>47</v>
      </c>
      <c r="BI33" t="s">
        <v>2150</v>
      </c>
      <c r="BJ33" t="s">
        <v>1256</v>
      </c>
      <c r="BK33" t="s">
        <v>1251</v>
      </c>
      <c r="BL33" t="s">
        <v>2151</v>
      </c>
      <c r="BM33" t="s">
        <v>1257</v>
      </c>
      <c r="BN33">
        <v>-0.41</v>
      </c>
      <c r="BO33">
        <v>0.04</v>
      </c>
      <c r="BP33">
        <v>10.76</v>
      </c>
      <c r="BQ33">
        <v>0.76</v>
      </c>
      <c r="BR33">
        <v>2.16</v>
      </c>
      <c r="BS33">
        <v>26.53</v>
      </c>
      <c r="BT33" t="s">
        <v>781</v>
      </c>
      <c r="BU33" t="s">
        <v>667</v>
      </c>
      <c r="BV33">
        <v>62.64</v>
      </c>
      <c r="BW33">
        <v>59.39</v>
      </c>
      <c r="BX33">
        <v>69.040000000000006</v>
      </c>
      <c r="BY33">
        <v>-2.19</v>
      </c>
      <c r="BZ33">
        <v>18.34</v>
      </c>
      <c r="CA33">
        <v>37.86</v>
      </c>
      <c r="CB33">
        <v>5.3</v>
      </c>
      <c r="CC33">
        <v>20.96</v>
      </c>
      <c r="CD33" t="s">
        <v>2152</v>
      </c>
      <c r="CE33" t="s">
        <v>2153</v>
      </c>
      <c r="CF33" s="9">
        <v>0.57875307629204242</v>
      </c>
      <c r="CG33" s="10">
        <v>-0.36555150920932838</v>
      </c>
      <c r="CH33" s="9">
        <v>6.207738071680069E-2</v>
      </c>
      <c r="CI33" s="9">
        <v>-0.37637531757354736</v>
      </c>
      <c r="CJ33" s="9">
        <v>-1.9108280539512634E-2</v>
      </c>
      <c r="CK33" s="9">
        <v>0.12142857164144516</v>
      </c>
      <c r="CL33" s="9">
        <v>0.60074275732040405</v>
      </c>
      <c r="CM33" s="10">
        <v>-1.1183619499206543</v>
      </c>
      <c r="CN33" s="10">
        <v>-0.6974942684173584</v>
      </c>
      <c r="CO33" s="10">
        <v>2.9713088646531105E-2</v>
      </c>
      <c r="CP33" s="10">
        <v>9.5306895673274994E-2</v>
      </c>
      <c r="CQ33" s="10">
        <v>0.38580995798110962</v>
      </c>
      <c r="CR33">
        <v>72.280813478477654</v>
      </c>
      <c r="CS33">
        <v>9.296206286026635</v>
      </c>
      <c r="CT33">
        <v>0</v>
      </c>
      <c r="CU33" s="9">
        <v>7.7753022313117981E-2</v>
      </c>
      <c r="CV33" s="10">
        <v>-0.26100525520741941</v>
      </c>
      <c r="CW33">
        <v>0.06</v>
      </c>
      <c r="CX33" t="e">
        <v>#VALUE!</v>
      </c>
      <c r="CY33" t="s">
        <v>569</v>
      </c>
      <c r="CZ33">
        <v>7.7753022313117981E-2</v>
      </c>
      <c r="DA33" t="e">
        <v>#VALUE!</v>
      </c>
      <c r="DB33" t="s">
        <v>569</v>
      </c>
      <c r="DC33">
        <v>7.3865371197462074E-2</v>
      </c>
      <c r="DD33" t="e">
        <v>#VALUE!</v>
      </c>
      <c r="DE33" t="s">
        <v>569</v>
      </c>
      <c r="DF33">
        <v>6.8422659635543823E-2</v>
      </c>
      <c r="DG33" t="e">
        <v>#VALUE!</v>
      </c>
      <c r="DH33" t="s">
        <v>569</v>
      </c>
      <c r="DI33">
        <v>6.2202417850494386E-2</v>
      </c>
      <c r="DJ33" t="e">
        <v>#VALUE!</v>
      </c>
      <c r="DK33" t="s">
        <v>569</v>
      </c>
      <c r="DL33">
        <v>5.4427115619182585E-2</v>
      </c>
      <c r="DM33">
        <v>-2085100</v>
      </c>
      <c r="DN33">
        <v>7.7753022313117981E-2</v>
      </c>
      <c r="DO33">
        <v>1906661000</v>
      </c>
      <c r="DP33">
        <v>722098160</v>
      </c>
      <c r="DQ33">
        <v>2632</v>
      </c>
      <c r="DR33">
        <v>0.50100005397892444</v>
      </c>
      <c r="DS33">
        <v>-0.10454625400190898</v>
      </c>
      <c r="DT33" s="11">
        <v>-0.39000000000000007</v>
      </c>
      <c r="DU33">
        <v>-1.1700000000000002</v>
      </c>
      <c r="DV33">
        <v>-1.5600000000000003</v>
      </c>
      <c r="DW33">
        <v>8.2528625954198471</v>
      </c>
      <c r="DX33">
        <v>0.52191595868764207</v>
      </c>
      <c r="DY33">
        <v>8.0788718788666269</v>
      </c>
      <c r="DZ33">
        <v>4061</v>
      </c>
      <c r="EA33">
        <v>8.0161665734481904</v>
      </c>
      <c r="EB33">
        <v>8</v>
      </c>
      <c r="EC33">
        <v>0.35802375447529694</v>
      </c>
      <c r="ED33">
        <v>1.1478212643477659</v>
      </c>
      <c r="EE33" s="12">
        <v>2.1038000000000001</v>
      </c>
      <c r="EF33">
        <v>2.0747</v>
      </c>
      <c r="EG33">
        <v>21.311915958687642</v>
      </c>
      <c r="EH33" t="s">
        <v>842</v>
      </c>
      <c r="EI33">
        <v>0</v>
      </c>
      <c r="EJ33">
        <v>0</v>
      </c>
      <c r="EK33" s="14">
        <v>45505</v>
      </c>
      <c r="EL33" s="15">
        <v>3.09</v>
      </c>
      <c r="EM33" s="15">
        <v>4.08</v>
      </c>
      <c r="EN33" s="15">
        <v>-2.1800000000000002</v>
      </c>
      <c r="EO33" s="15">
        <v>3.37</v>
      </c>
      <c r="EP33" s="15">
        <v>-2.91</v>
      </c>
    </row>
    <row r="34" spans="1:146" ht="84" x14ac:dyDescent="0.25">
      <c r="A34" s="8"/>
      <c r="B34" s="8"/>
      <c r="C34" s="8" t="str">
        <f>""&amp;CHAR(10)&amp;Basic_Fundamental_Information_Constructure(F34)&amp;CHAR(10)&amp;Basic_Fundamental_Information_Concatenate("")</f>
        <v xml:space="preserve">
市值27.385481亿, 利润-2.22亿; PE; 平均PE65.97; 平均PEG3.68, PB1.32; ROIC10.26%; ROE6.8633%; 股利率0%; 毛利51.38%; 净利-9.3233%; 上一年度营收增-56.54%, 利润增-265.67%; 当季营收增92.99%, 利润增26.39%; 过往5年营收增17.95%, 利润增-33.7%
Income profile:
</v>
      </c>
      <c r="D34" t="s">
        <v>607</v>
      </c>
      <c r="E34" t="s">
        <v>608</v>
      </c>
      <c r="F34">
        <v>17.57</v>
      </c>
      <c r="G34">
        <v>0.28999999999999998</v>
      </c>
      <c r="H34" t="s">
        <v>2154</v>
      </c>
      <c r="I34">
        <v>2738548100</v>
      </c>
      <c r="K34">
        <v>1.32</v>
      </c>
      <c r="L34" t="s">
        <v>667</v>
      </c>
      <c r="M34" t="s">
        <v>134</v>
      </c>
      <c r="N34" t="s">
        <v>1374</v>
      </c>
      <c r="O34" t="s">
        <v>1259</v>
      </c>
      <c r="P34">
        <v>92.99</v>
      </c>
      <c r="Q34" t="s">
        <v>852</v>
      </c>
      <c r="R34">
        <v>-39741671</v>
      </c>
      <c r="S34" s="6">
        <v>0.26390000000000002</v>
      </c>
      <c r="T34" t="s">
        <v>1260</v>
      </c>
      <c r="U34">
        <v>86580000</v>
      </c>
      <c r="V34">
        <v>158205000</v>
      </c>
      <c r="W34">
        <v>1.0900000000000001</v>
      </c>
      <c r="X34">
        <v>0.02</v>
      </c>
      <c r="Y34">
        <v>-107.01</v>
      </c>
      <c r="Z34" t="s">
        <v>1785</v>
      </c>
      <c r="AA34" t="s">
        <v>1786</v>
      </c>
      <c r="AB34" t="s">
        <v>1787</v>
      </c>
      <c r="AC34" t="s">
        <v>1788</v>
      </c>
      <c r="AD34" t="s">
        <v>15</v>
      </c>
      <c r="AE34">
        <v>-1290114</v>
      </c>
      <c r="AF34" t="s">
        <v>1261</v>
      </c>
      <c r="AG34" t="s">
        <v>1789</v>
      </c>
      <c r="AH34" t="s">
        <v>1262</v>
      </c>
      <c r="AI34" t="s">
        <v>103</v>
      </c>
      <c r="AJ34" t="s">
        <v>1263</v>
      </c>
      <c r="AK34" t="s">
        <v>1790</v>
      </c>
      <c r="AL34" t="s">
        <v>1264</v>
      </c>
      <c r="AM34" t="s">
        <v>15</v>
      </c>
      <c r="AN34">
        <v>0</v>
      </c>
      <c r="AO34" t="s">
        <v>15</v>
      </c>
      <c r="AP34" t="s">
        <v>1265</v>
      </c>
      <c r="AQ34" t="s">
        <v>44</v>
      </c>
      <c r="AR34" t="s">
        <v>15</v>
      </c>
      <c r="AS34" t="s">
        <v>293</v>
      </c>
      <c r="AT34" t="s">
        <v>15</v>
      </c>
      <c r="AU34" t="s">
        <v>1791</v>
      </c>
      <c r="AV34" t="s">
        <v>1792</v>
      </c>
      <c r="AW34" t="s">
        <v>1793</v>
      </c>
      <c r="AX34" t="s">
        <v>712</v>
      </c>
      <c r="AY34" t="s">
        <v>699</v>
      </c>
      <c r="AZ34" t="s">
        <v>185</v>
      </c>
      <c r="BA34" t="s">
        <v>267</v>
      </c>
      <c r="BB34" t="s">
        <v>477</v>
      </c>
      <c r="BC34" t="s">
        <v>367</v>
      </c>
      <c r="BD34" t="s">
        <v>88</v>
      </c>
      <c r="BE34" t="s">
        <v>609</v>
      </c>
      <c r="BF34" t="s">
        <v>610</v>
      </c>
      <c r="BG34" t="s">
        <v>611</v>
      </c>
      <c r="BH34" t="s">
        <v>852</v>
      </c>
      <c r="BI34" t="s">
        <v>2155</v>
      </c>
      <c r="BJ34" t="s">
        <v>712</v>
      </c>
      <c r="BK34" t="s">
        <v>1260</v>
      </c>
      <c r="BL34" t="s">
        <v>2156</v>
      </c>
      <c r="BM34" t="s">
        <v>367</v>
      </c>
      <c r="BN34" t="s">
        <v>15</v>
      </c>
      <c r="BO34">
        <v>7.65</v>
      </c>
      <c r="BP34">
        <v>12.87</v>
      </c>
      <c r="BQ34">
        <v>-0.62</v>
      </c>
      <c r="BR34">
        <v>8.0500000000000007</v>
      </c>
      <c r="BS34">
        <v>13.16</v>
      </c>
      <c r="BT34" t="s">
        <v>781</v>
      </c>
      <c r="BU34" t="s">
        <v>667</v>
      </c>
      <c r="BV34">
        <v>38.89</v>
      </c>
      <c r="BW34">
        <v>56.11</v>
      </c>
      <c r="BX34">
        <v>59.14</v>
      </c>
      <c r="BY34">
        <v>-61.22</v>
      </c>
      <c r="BZ34">
        <v>16.05</v>
      </c>
      <c r="CA34">
        <v>17.2</v>
      </c>
      <c r="CB34">
        <v>10.99</v>
      </c>
      <c r="CC34">
        <v>-2.0099999999999998</v>
      </c>
      <c r="CD34" t="s">
        <v>2157</v>
      </c>
      <c r="CE34" t="s">
        <v>2158</v>
      </c>
      <c r="CF34" s="9">
        <v>0.92988682539517575</v>
      </c>
      <c r="CG34" s="10">
        <v>0.26391772301947741</v>
      </c>
      <c r="CH34" s="9">
        <v>-0.56542617082595825</v>
      </c>
      <c r="CI34" s="9">
        <v>0.2142857164144516</v>
      </c>
      <c r="CJ34" s="9">
        <v>0.3041824996471405</v>
      </c>
      <c r="CK34" s="9">
        <v>0.64375001192092896</v>
      </c>
      <c r="CL34" s="9">
        <v>0.30081301927566528</v>
      </c>
      <c r="CM34" s="10">
        <v>-2.6567163467407227</v>
      </c>
      <c r="CN34" s="10">
        <v>0.1355932205915451</v>
      </c>
      <c r="CO34" s="10">
        <v>0.28607550263404846</v>
      </c>
      <c r="CP34" s="10">
        <v>0.29520776867866516</v>
      </c>
      <c r="CQ34" s="10">
        <v>0.25461316108703613</v>
      </c>
      <c r="CR34">
        <v>65.974564644180873</v>
      </c>
      <c r="CS34">
        <v>3.675032950259955</v>
      </c>
      <c r="CT34">
        <v>0</v>
      </c>
      <c r="CU34" s="9">
        <v>0.17952101528644562</v>
      </c>
      <c r="CV34" s="10">
        <v>-0.33704533874988557</v>
      </c>
      <c r="CW34">
        <v>0.06</v>
      </c>
      <c r="CX34" t="e">
        <v>#VALUE!</v>
      </c>
      <c r="CY34" t="s">
        <v>568</v>
      </c>
      <c r="CZ34">
        <v>0.17952101528644562</v>
      </c>
      <c r="DA34" t="e">
        <v>#VALUE!</v>
      </c>
      <c r="DB34" t="s">
        <v>569</v>
      </c>
      <c r="DC34">
        <v>0.17054496452212334</v>
      </c>
      <c r="DD34" t="e">
        <v>#VALUE!</v>
      </c>
      <c r="DE34" t="s">
        <v>569</v>
      </c>
      <c r="DF34">
        <v>0.15797849345207216</v>
      </c>
      <c r="DG34" t="e">
        <v>#VALUE!</v>
      </c>
      <c r="DH34" t="s">
        <v>569</v>
      </c>
      <c r="DI34">
        <v>0.14361681222915651</v>
      </c>
      <c r="DJ34" t="e">
        <v>#VALUE!</v>
      </c>
      <c r="DK34" t="s">
        <v>569</v>
      </c>
      <c r="DL34">
        <v>0.12566471070051194</v>
      </c>
      <c r="DM34">
        <v>-222000000.00000003</v>
      </c>
      <c r="DN34">
        <v>0.17952101528644562</v>
      </c>
      <c r="DO34">
        <v>852548100</v>
      </c>
      <c r="DP34">
        <v>1819261800</v>
      </c>
      <c r="DQ34">
        <v>2702</v>
      </c>
      <c r="DR34">
        <v>0.75036581010873016</v>
      </c>
      <c r="DS34">
        <v>0.60096306176936298</v>
      </c>
      <c r="DT34" s="11">
        <v>9.999999999999936E-3</v>
      </c>
      <c r="DU34">
        <v>-1.0783333333333334</v>
      </c>
      <c r="DV34">
        <v>-1.0683333333333334</v>
      </c>
      <c r="DW34">
        <v>5.1828935395814373</v>
      </c>
      <c r="DX34">
        <v>0.52849985228016472</v>
      </c>
      <c r="DY34">
        <v>5.0363043405899113</v>
      </c>
      <c r="DZ34">
        <v>3670</v>
      </c>
      <c r="EA34">
        <v>5.0102203683962987</v>
      </c>
      <c r="EB34">
        <v>5</v>
      </c>
      <c r="EC34">
        <v>9.5130368825258368E-2</v>
      </c>
      <c r="ED34">
        <v>0.47924654720141591</v>
      </c>
      <c r="EE34" s="12">
        <v>-2.0501999999999998</v>
      </c>
      <c r="EF34">
        <v>-2.0531000000000001</v>
      </c>
      <c r="EG34">
        <v>33.198499852280165</v>
      </c>
      <c r="EH34" t="s">
        <v>883</v>
      </c>
      <c r="EI34">
        <v>1</v>
      </c>
      <c r="EJ34">
        <v>0</v>
      </c>
      <c r="EK34" s="14">
        <v>45505</v>
      </c>
      <c r="EL34" s="15">
        <v>0.38</v>
      </c>
      <c r="EM34" s="15">
        <v>3.35</v>
      </c>
      <c r="EN34" s="15">
        <v>1.83</v>
      </c>
      <c r="EO34" s="15">
        <v>3.85</v>
      </c>
      <c r="EP34" s="15">
        <v>0.28999999999999998</v>
      </c>
    </row>
    <row r="35" spans="1:146" ht="96" x14ac:dyDescent="0.25">
      <c r="C35" s="8" t="str">
        <f>""&amp;CHAR(10)&amp;Basic_Fundamental_Information_Constructure(F35)&amp;CHAR(10)&amp;Basic_Fundamental_Information_Concatenate("")</f>
        <v xml:space="preserve">
市值63.055185亿, 利润7878.70万; PE81.39; 平均PE107.49; 平均PEG9.64, PB4.71; ROIC8.74%; ROE10.55%; 股利率.2244%; 毛利40.6333%; 净利9.9133%; 上一年度营收增6.11%, 利润增22%; 当季营收增-20.09%, 利润增-11.53%; 过往5年营收增11.16%, 利润增15.38%
Income profile:
</v>
      </c>
      <c r="D35" t="s">
        <v>950</v>
      </c>
      <c r="E35" t="s">
        <v>951</v>
      </c>
      <c r="F35">
        <v>58.37</v>
      </c>
      <c r="G35">
        <v>0.59</v>
      </c>
      <c r="H35" t="s">
        <v>2159</v>
      </c>
      <c r="I35">
        <v>6305518500</v>
      </c>
      <c r="J35">
        <v>81.39</v>
      </c>
      <c r="K35">
        <v>4.71</v>
      </c>
      <c r="L35" t="s">
        <v>667</v>
      </c>
      <c r="M35" t="s">
        <v>1268</v>
      </c>
      <c r="N35" t="s">
        <v>1794</v>
      </c>
      <c r="O35" t="s">
        <v>156</v>
      </c>
      <c r="P35" s="6">
        <v>-20.309999999999999</v>
      </c>
      <c r="Q35" t="s">
        <v>1226</v>
      </c>
      <c r="R35">
        <v>10101385</v>
      </c>
      <c r="S35">
        <v>-0.1153</v>
      </c>
      <c r="T35" t="s">
        <v>1269</v>
      </c>
      <c r="U35">
        <v>22339788</v>
      </c>
      <c r="V35">
        <v>108026700</v>
      </c>
      <c r="W35">
        <v>1.68</v>
      </c>
      <c r="X35">
        <v>0.08</v>
      </c>
      <c r="Y35">
        <v>5.31</v>
      </c>
      <c r="Z35" t="s">
        <v>52</v>
      </c>
      <c r="AA35" t="s">
        <v>38</v>
      </c>
      <c r="AB35" t="s">
        <v>1795</v>
      </c>
      <c r="AC35" t="s">
        <v>1796</v>
      </c>
      <c r="AD35" t="s">
        <v>15</v>
      </c>
      <c r="AE35">
        <v>1445660</v>
      </c>
      <c r="AF35" t="s">
        <v>1270</v>
      </c>
      <c r="AG35">
        <v>300</v>
      </c>
      <c r="AH35" t="s">
        <v>1271</v>
      </c>
      <c r="AI35" t="s">
        <v>808</v>
      </c>
      <c r="AJ35" t="s">
        <v>1272</v>
      </c>
      <c r="AK35" t="s">
        <v>767</v>
      </c>
      <c r="AL35" t="s">
        <v>1273</v>
      </c>
      <c r="AM35" t="s">
        <v>15</v>
      </c>
      <c r="AN35" t="s">
        <v>1797</v>
      </c>
      <c r="AO35" t="s">
        <v>257</v>
      </c>
      <c r="AP35" t="s">
        <v>160</v>
      </c>
      <c r="AQ35" t="s">
        <v>326</v>
      </c>
      <c r="AR35" t="s">
        <v>15</v>
      </c>
      <c r="AS35" t="s">
        <v>299</v>
      </c>
      <c r="AT35" t="s">
        <v>71</v>
      </c>
      <c r="AU35" t="s">
        <v>1798</v>
      </c>
      <c r="AV35" t="s">
        <v>1799</v>
      </c>
      <c r="AW35" t="s">
        <v>1800</v>
      </c>
      <c r="AX35" t="s">
        <v>837</v>
      </c>
      <c r="AY35" t="s">
        <v>953</v>
      </c>
      <c r="AZ35" t="s">
        <v>319</v>
      </c>
      <c r="BA35" t="s">
        <v>898</v>
      </c>
      <c r="BB35" t="s">
        <v>954</v>
      </c>
      <c r="BC35" t="s">
        <v>1274</v>
      </c>
      <c r="BD35" t="s">
        <v>955</v>
      </c>
      <c r="BE35" t="s">
        <v>956</v>
      </c>
      <c r="BF35" t="s">
        <v>957</v>
      </c>
      <c r="BG35" t="s">
        <v>958</v>
      </c>
      <c r="BH35" t="s">
        <v>1226</v>
      </c>
      <c r="BI35" t="s">
        <v>154</v>
      </c>
      <c r="BJ35" t="s">
        <v>837</v>
      </c>
      <c r="BK35" t="s">
        <v>1269</v>
      </c>
      <c r="BL35" t="s">
        <v>2160</v>
      </c>
      <c r="BM35" t="s">
        <v>1274</v>
      </c>
      <c r="BN35">
        <v>6.91</v>
      </c>
      <c r="BO35">
        <v>9.39</v>
      </c>
      <c r="BP35">
        <v>9.92</v>
      </c>
      <c r="BQ35">
        <v>9.76</v>
      </c>
      <c r="BR35">
        <v>11.34</v>
      </c>
      <c r="BS35" t="s">
        <v>15</v>
      </c>
      <c r="BT35" t="s">
        <v>1275</v>
      </c>
      <c r="BU35" t="s">
        <v>667</v>
      </c>
      <c r="BV35">
        <v>40.17</v>
      </c>
      <c r="BW35">
        <v>41.36</v>
      </c>
      <c r="BX35">
        <v>40.369999999999997</v>
      </c>
      <c r="BY35">
        <v>9.59</v>
      </c>
      <c r="BZ35">
        <v>9.86</v>
      </c>
      <c r="CA35">
        <v>10.29</v>
      </c>
      <c r="CB35">
        <v>9.7799999999999994</v>
      </c>
      <c r="CC35" s="1">
        <v>5.42</v>
      </c>
      <c r="CD35" s="1" t="s">
        <v>2161</v>
      </c>
      <c r="CE35" s="1" t="s">
        <v>334</v>
      </c>
      <c r="CF35" s="9">
        <v>-0.20087336244541484</v>
      </c>
      <c r="CG35" s="10">
        <v>-0.11534146640510054</v>
      </c>
      <c r="CH35" s="9">
        <v>6.109725683927536E-2</v>
      </c>
      <c r="CI35" s="9">
        <v>6.0846559703350067E-2</v>
      </c>
      <c r="CJ35" s="9">
        <v>0.18681319057941437</v>
      </c>
      <c r="CK35" s="9">
        <v>0.14981949329376221</v>
      </c>
      <c r="CL35" s="9">
        <v>9.9206350743770599E-2</v>
      </c>
      <c r="CM35" s="10">
        <v>0.21997559070587158</v>
      </c>
      <c r="CN35" s="10">
        <v>-3.2429248094558716E-2</v>
      </c>
      <c r="CO35" s="10">
        <v>0.15827587246894836</v>
      </c>
      <c r="CP35" s="10">
        <v>0.28505226969718933</v>
      </c>
      <c r="CQ35" s="10">
        <v>0.13833168148994446</v>
      </c>
      <c r="CR35" s="1">
        <v>107.48864330825282</v>
      </c>
      <c r="CS35" s="1">
        <v>9.6353485128482426</v>
      </c>
      <c r="CT35" s="1">
        <v>0.22443035806064762</v>
      </c>
      <c r="CU35" s="9">
        <v>0.11155657023191452</v>
      </c>
      <c r="CV35" s="10">
        <v>0.15384123325347901</v>
      </c>
      <c r="CW35">
        <v>0.06</v>
      </c>
      <c r="CX35">
        <v>72.422976412656695</v>
      </c>
      <c r="CY35">
        <v>82619063.67817156</v>
      </c>
      <c r="CZ35">
        <v>0.11155657023191452</v>
      </c>
      <c r="DA35">
        <v>23.240101425143909</v>
      </c>
      <c r="DB35">
        <v>257465248.99096686</v>
      </c>
      <c r="DC35">
        <v>0.10597874172031879</v>
      </c>
      <c r="DD35">
        <v>11.163126222826099</v>
      </c>
      <c r="DE35">
        <v>536007421.26923561</v>
      </c>
      <c r="DF35">
        <v>9.8169781804084782E-2</v>
      </c>
      <c r="DG35">
        <v>6.5187896268709915</v>
      </c>
      <c r="DH35">
        <v>917887958.11655593</v>
      </c>
      <c r="DI35">
        <v>8.9245256185531627E-2</v>
      </c>
      <c r="DJ35">
        <v>3.1640417746191583</v>
      </c>
      <c r="DK35">
        <v>1891099715.5592895</v>
      </c>
      <c r="DL35">
        <v>7.8089599162340165E-2</v>
      </c>
      <c r="DM35">
        <v>78787000</v>
      </c>
      <c r="DN35">
        <v>0.11155657023191452</v>
      </c>
      <c r="DO35">
        <v>5983518500</v>
      </c>
      <c r="DP35">
        <v>1111666200</v>
      </c>
      <c r="DQ35" s="11">
        <v>2812</v>
      </c>
      <c r="DR35">
        <v>-0.31242993267732938</v>
      </c>
      <c r="DS35">
        <v>-0.26918269965857955</v>
      </c>
      <c r="DT35">
        <v>-0.3066666666666667</v>
      </c>
      <c r="DU35">
        <v>0.41666666666666669</v>
      </c>
      <c r="DV35">
        <v>0.10999999999999999</v>
      </c>
      <c r="DW35">
        <v>5.554192229038855</v>
      </c>
      <c r="DX35">
        <v>0.50676637931034474</v>
      </c>
      <c r="DY35">
        <v>5.1644656212537905</v>
      </c>
      <c r="DZ35">
        <v>1539</v>
      </c>
      <c r="EA35">
        <v>5.1149134303552817</v>
      </c>
      <c r="EB35" s="12">
        <v>5</v>
      </c>
      <c r="EC35" s="12">
        <v>0.31867029169640471</v>
      </c>
      <c r="ED35">
        <v>1.0738086047245725</v>
      </c>
      <c r="EE35">
        <v>3.0794000000000001</v>
      </c>
      <c r="EF35">
        <v>3.0853000000000002</v>
      </c>
      <c r="EG35">
        <v>21.296766379310345</v>
      </c>
      <c r="EH35" s="14" t="s">
        <v>799</v>
      </c>
      <c r="EI35">
        <v>1</v>
      </c>
      <c r="EJ35">
        <v>0</v>
      </c>
      <c r="EK35">
        <v>45505</v>
      </c>
      <c r="EL35">
        <v>0.53</v>
      </c>
      <c r="EM35">
        <v>6.83</v>
      </c>
      <c r="EN35" s="15">
        <v>0</v>
      </c>
      <c r="EO35" s="15">
        <v>-0.89</v>
      </c>
      <c r="EP35" s="15">
        <v>0.59</v>
      </c>
    </row>
    <row r="36" spans="1:146" ht="96" x14ac:dyDescent="0.25">
      <c r="A36" s="8"/>
      <c r="B36" s="8"/>
      <c r="C36" s="8" t="str">
        <f>""&amp;CHAR(10)&amp;Basic_Fundamental_Information_Constructure(F36)&amp;CHAR(10)&amp;Basic_Fundamental_Information_Concatenate("")</f>
        <v xml:space="preserve">
市值174.35684亿, 利润5.99亿; PE28.95; 平均PE40.43; 平均PEG.91, PB3.08; ROIC9.75%; ROE10.15%; 股利率1.0328%; 毛利30.64%; 净利16.9967%; 上一年度营收增1.77%, 利润增9.11%; 当季营收增-1.75%, 利润增3.14%; 过往5年营收增44.38%, 利润增204.91%
Income profile:
</v>
      </c>
      <c r="D36" t="s">
        <v>168</v>
      </c>
      <c r="E36" t="s">
        <v>5</v>
      </c>
      <c r="F36">
        <v>14.04</v>
      </c>
      <c r="G36">
        <v>2.1800000000000002</v>
      </c>
      <c r="H36" t="s">
        <v>2162</v>
      </c>
      <c r="I36">
        <v>17435684000</v>
      </c>
      <c r="J36">
        <v>28.95</v>
      </c>
      <c r="K36">
        <v>3.08</v>
      </c>
      <c r="L36" t="s">
        <v>667</v>
      </c>
      <c r="M36" t="s">
        <v>1280</v>
      </c>
      <c r="N36" t="s">
        <v>1801</v>
      </c>
      <c r="O36" t="s">
        <v>964</v>
      </c>
      <c r="P36">
        <v>-1.82</v>
      </c>
      <c r="Q36" t="s">
        <v>1277</v>
      </c>
      <c r="R36">
        <v>115520448</v>
      </c>
      <c r="S36" s="6">
        <v>2.7E-2</v>
      </c>
      <c r="T36" t="s">
        <v>949</v>
      </c>
      <c r="U36">
        <v>1234031760</v>
      </c>
      <c r="V36">
        <v>1241857840</v>
      </c>
      <c r="W36">
        <v>1.58</v>
      </c>
      <c r="X36">
        <v>0.06</v>
      </c>
      <c r="Y36">
        <v>20.6</v>
      </c>
      <c r="Z36" t="s">
        <v>263</v>
      </c>
      <c r="AA36" t="s">
        <v>935</v>
      </c>
      <c r="AB36" t="s">
        <v>1802</v>
      </c>
      <c r="AC36" t="s">
        <v>1803</v>
      </c>
      <c r="AD36" t="s">
        <v>15</v>
      </c>
      <c r="AE36">
        <v>-3961211</v>
      </c>
      <c r="AF36" t="s">
        <v>66</v>
      </c>
      <c r="AG36" t="s">
        <v>1804</v>
      </c>
      <c r="AH36" t="s">
        <v>1281</v>
      </c>
      <c r="AI36" t="s">
        <v>1805</v>
      </c>
      <c r="AJ36" t="s">
        <v>1282</v>
      </c>
      <c r="AK36" t="s">
        <v>154</v>
      </c>
      <c r="AL36" t="s">
        <v>1283</v>
      </c>
      <c r="AM36" t="s">
        <v>15</v>
      </c>
      <c r="AN36">
        <v>0</v>
      </c>
      <c r="AO36" t="s">
        <v>77</v>
      </c>
      <c r="AP36" t="s">
        <v>945</v>
      </c>
      <c r="AQ36" t="s">
        <v>1241</v>
      </c>
      <c r="AR36" t="s">
        <v>1806</v>
      </c>
      <c r="AS36" t="s">
        <v>1807</v>
      </c>
      <c r="AT36" t="s">
        <v>15</v>
      </c>
      <c r="AU36" t="s">
        <v>1808</v>
      </c>
      <c r="AV36" t="s">
        <v>1809</v>
      </c>
      <c r="AW36" t="s">
        <v>1810</v>
      </c>
      <c r="AX36" t="s">
        <v>858</v>
      </c>
      <c r="AY36" t="s">
        <v>703</v>
      </c>
      <c r="AZ36" t="s">
        <v>320</v>
      </c>
      <c r="BA36" t="s">
        <v>164</v>
      </c>
      <c r="BB36" t="s">
        <v>321</v>
      </c>
      <c r="BC36" t="s">
        <v>538</v>
      </c>
      <c r="BD36" t="s">
        <v>185</v>
      </c>
      <c r="BE36" t="s">
        <v>314</v>
      </c>
      <c r="BF36" t="s">
        <v>266</v>
      </c>
      <c r="BG36" t="s">
        <v>323</v>
      </c>
      <c r="BH36" t="s">
        <v>1277</v>
      </c>
      <c r="BI36" t="s">
        <v>2163</v>
      </c>
      <c r="BJ36" t="s">
        <v>858</v>
      </c>
      <c r="BK36" t="s">
        <v>949</v>
      </c>
      <c r="BL36" t="s">
        <v>169</v>
      </c>
      <c r="BM36" t="s">
        <v>538</v>
      </c>
      <c r="BN36">
        <v>7.09</v>
      </c>
      <c r="BO36">
        <v>10.89</v>
      </c>
      <c r="BP36">
        <v>11.27</v>
      </c>
      <c r="BQ36">
        <v>7.53</v>
      </c>
      <c r="BR36">
        <v>11.22</v>
      </c>
      <c r="BS36">
        <v>11.7</v>
      </c>
      <c r="BT36" t="s">
        <v>869</v>
      </c>
      <c r="BU36" t="s">
        <v>667</v>
      </c>
      <c r="BV36">
        <v>34.71</v>
      </c>
      <c r="BW36">
        <v>30.24</v>
      </c>
      <c r="BX36">
        <v>26.97</v>
      </c>
      <c r="BY36">
        <v>18.420000000000002</v>
      </c>
      <c r="BZ36">
        <v>17.149999999999999</v>
      </c>
      <c r="CA36">
        <v>15.42</v>
      </c>
      <c r="CB36">
        <v>11.69</v>
      </c>
      <c r="CC36">
        <v>0.9</v>
      </c>
      <c r="CD36" t="s">
        <v>2164</v>
      </c>
      <c r="CE36" t="s">
        <v>34</v>
      </c>
      <c r="CF36" s="9">
        <v>-1.7482517482517484E-2</v>
      </c>
      <c r="CG36" s="10">
        <v>3.1432571428571289E-2</v>
      </c>
      <c r="CH36" s="9">
        <v>1.76743995398283E-2</v>
      </c>
      <c r="CI36" s="9">
        <v>-6.0314703732728958E-2</v>
      </c>
      <c r="CJ36" s="9">
        <v>-4.8252943903207779E-2</v>
      </c>
      <c r="CK36" s="9">
        <v>6.5602876245975494E-2</v>
      </c>
      <c r="CL36" s="9">
        <v>2.2444870471954346</v>
      </c>
      <c r="CM36" s="10">
        <v>9.1074682772159576E-2</v>
      </c>
      <c r="CN36" s="10">
        <v>4.3726235628128052E-2</v>
      </c>
      <c r="CO36" s="10">
        <v>0.1287553608417511</v>
      </c>
      <c r="CP36" s="10">
        <v>0.13658536970615387</v>
      </c>
      <c r="CQ36" s="10">
        <v>9.8454704284667969</v>
      </c>
      <c r="CR36">
        <v>40.425825172681179</v>
      </c>
      <c r="CS36">
        <v>0.91082114581825013</v>
      </c>
      <c r="CT36">
        <v>1.0327635327635327</v>
      </c>
      <c r="CU36" s="9">
        <v>0.44383933506906031</v>
      </c>
      <c r="CV36" s="10">
        <v>2.0491224154829979</v>
      </c>
      <c r="CW36">
        <v>0.06</v>
      </c>
      <c r="CX36">
        <v>18.564264116441894</v>
      </c>
      <c r="CY36">
        <v>815905435.57204449</v>
      </c>
      <c r="CZ36">
        <v>0.44383933506906031</v>
      </c>
      <c r="DA36">
        <v>4.5541940150549163</v>
      </c>
      <c r="DB36">
        <v>3325875873.959084</v>
      </c>
      <c r="DC36">
        <v>0.42164736831560728</v>
      </c>
      <c r="DD36">
        <v>1.4671509916076084</v>
      </c>
      <c r="DE36">
        <v>10323875379.318151</v>
      </c>
      <c r="DF36">
        <v>0.39057861486077305</v>
      </c>
      <c r="DG36">
        <v>0.51670948248387916</v>
      </c>
      <c r="DH36">
        <v>29313733371.387394</v>
      </c>
      <c r="DI36">
        <v>0.35507146805524825</v>
      </c>
      <c r="DJ36">
        <v>7.0295102219115141E-2</v>
      </c>
      <c r="DK36">
        <v>215472821318.14307</v>
      </c>
      <c r="DL36">
        <v>0.31068753454834219</v>
      </c>
      <c r="DM36">
        <v>599000000</v>
      </c>
      <c r="DN36">
        <v>0.44383933506906031</v>
      </c>
      <c r="DO36">
        <v>15146684000</v>
      </c>
      <c r="DP36">
        <v>4612075400</v>
      </c>
      <c r="DQ36">
        <v>3268</v>
      </c>
      <c r="DR36">
        <v>-0.46132185255157782</v>
      </c>
      <c r="DS36">
        <v>-2.0176898440544266</v>
      </c>
      <c r="DT36" s="11">
        <v>5.9999999999999977E-2</v>
      </c>
      <c r="DU36">
        <v>0.5</v>
      </c>
      <c r="DV36">
        <v>0.55999999999999994</v>
      </c>
      <c r="DW36">
        <v>5.0769888793840892</v>
      </c>
      <c r="DX36">
        <v>0.67706628571428462</v>
      </c>
      <c r="DY36">
        <v>5.0182514676768912</v>
      </c>
      <c r="DZ36">
        <v>685</v>
      </c>
      <c r="EA36">
        <v>5.0158038844038551</v>
      </c>
      <c r="EB36">
        <v>5</v>
      </c>
      <c r="EC36">
        <v>3.3406883351479268E-2</v>
      </c>
      <c r="ED36">
        <v>0.14091790087664141</v>
      </c>
      <c r="EE36" s="12">
        <v>-5.0138100000000003</v>
      </c>
      <c r="EF36">
        <v>-5.008</v>
      </c>
      <c r="EG36">
        <v>44.237066285714285</v>
      </c>
      <c r="EH36" t="s">
        <v>1703</v>
      </c>
      <c r="EI36">
        <v>1</v>
      </c>
      <c r="EJ36">
        <v>1</v>
      </c>
      <c r="EK36" s="14">
        <v>45505</v>
      </c>
      <c r="EL36" s="15">
        <v>0</v>
      </c>
      <c r="EM36" s="15">
        <v>4.7699999999999996</v>
      </c>
      <c r="EN36" s="15">
        <v>0.99</v>
      </c>
      <c r="EO36" s="15">
        <v>3.46</v>
      </c>
      <c r="EP36" s="15">
        <v>2.1800000000000002</v>
      </c>
    </row>
    <row r="37" spans="1:146" ht="84" x14ac:dyDescent="0.25">
      <c r="A37" s="8"/>
      <c r="B37" s="8"/>
      <c r="C37" s="8" t="str">
        <f>""&amp;CHAR(10)&amp;Basic_Fundamental_Information_Constructure(F37)&amp;CHAR(10)&amp;Basic_Fundamental_Information_Concatenate("")</f>
        <v xml:space="preserve">
市值31.641468亿, 利润5634.26万; PE; 平均PE51.41; 平均PEG9.22, PB.908; ROIC3.65%; ROE2.86%; 股利率0%; 毛利17.3267%; 净利2.6267%; 上一年度营收增-30.82%, 利润增-27.38%; 当季营收增-13.09%, 利润增-207.45%; 过往5年营收增-5.57%, 利润增-47.19%
Income profile:
</v>
      </c>
      <c r="D37" t="s">
        <v>612</v>
      </c>
      <c r="E37" t="s">
        <v>613</v>
      </c>
      <c r="F37">
        <v>3.71</v>
      </c>
      <c r="G37">
        <v>0.54</v>
      </c>
      <c r="H37" t="s">
        <v>2165</v>
      </c>
      <c r="I37">
        <v>3164146800</v>
      </c>
      <c r="K37">
        <v>0.90800000000000003</v>
      </c>
      <c r="L37" t="s">
        <v>667</v>
      </c>
      <c r="M37" t="s">
        <v>1284</v>
      </c>
      <c r="N37" t="s">
        <v>1811</v>
      </c>
      <c r="O37" t="s">
        <v>948</v>
      </c>
      <c r="P37">
        <v>-13.11</v>
      </c>
      <c r="Q37" t="s">
        <v>1285</v>
      </c>
      <c r="R37">
        <v>-67500000</v>
      </c>
      <c r="S37" s="6">
        <v>-0.93510000000000004</v>
      </c>
      <c r="T37" t="s">
        <v>1286</v>
      </c>
      <c r="U37">
        <v>843569520</v>
      </c>
      <c r="V37">
        <v>852869750</v>
      </c>
      <c r="W37">
        <v>2.93</v>
      </c>
      <c r="X37">
        <v>7.0000000000000007E-2</v>
      </c>
      <c r="Y37">
        <v>1.78</v>
      </c>
      <c r="Z37" t="s">
        <v>911</v>
      </c>
      <c r="AA37" t="s">
        <v>1812</v>
      </c>
      <c r="AB37" t="s">
        <v>1813</v>
      </c>
      <c r="AC37" t="s">
        <v>1814</v>
      </c>
      <c r="AD37" t="s">
        <v>15</v>
      </c>
      <c r="AE37">
        <v>84756720</v>
      </c>
      <c r="AF37" t="s">
        <v>1287</v>
      </c>
      <c r="AG37" t="s">
        <v>1815</v>
      </c>
      <c r="AH37" t="s">
        <v>1288</v>
      </c>
      <c r="AI37" t="s">
        <v>1070</v>
      </c>
      <c r="AJ37" t="s">
        <v>1289</v>
      </c>
      <c r="AK37" t="s">
        <v>1816</v>
      </c>
      <c r="AL37" t="s">
        <v>1290</v>
      </c>
      <c r="AM37" t="s">
        <v>15</v>
      </c>
      <c r="AN37" t="s">
        <v>1817</v>
      </c>
      <c r="AO37" t="s">
        <v>136</v>
      </c>
      <c r="AP37" t="s">
        <v>1818</v>
      </c>
      <c r="AQ37" t="s">
        <v>1819</v>
      </c>
      <c r="AR37" t="s">
        <v>1820</v>
      </c>
      <c r="AS37" t="s">
        <v>1821</v>
      </c>
      <c r="AT37" t="s">
        <v>1822</v>
      </c>
      <c r="AU37" t="s">
        <v>1823</v>
      </c>
      <c r="AV37" t="s">
        <v>1824</v>
      </c>
      <c r="AW37" t="s">
        <v>1825</v>
      </c>
      <c r="AX37" t="s">
        <v>859</v>
      </c>
      <c r="AY37" t="s">
        <v>704</v>
      </c>
      <c r="AZ37" t="s">
        <v>571</v>
      </c>
      <c r="BA37" t="s">
        <v>315</v>
      </c>
      <c r="BB37" t="s">
        <v>572</v>
      </c>
      <c r="BC37" t="s">
        <v>1291</v>
      </c>
      <c r="BD37" t="s">
        <v>615</v>
      </c>
      <c r="BE37" t="s">
        <v>614</v>
      </c>
      <c r="BF37" t="s">
        <v>179</v>
      </c>
      <c r="BG37" t="s">
        <v>172</v>
      </c>
      <c r="BH37" t="s">
        <v>1285</v>
      </c>
      <c r="BI37" t="s">
        <v>529</v>
      </c>
      <c r="BJ37" t="s">
        <v>859</v>
      </c>
      <c r="BK37" t="s">
        <v>1286</v>
      </c>
      <c r="BL37" t="s">
        <v>2166</v>
      </c>
      <c r="BM37" t="s">
        <v>1291</v>
      </c>
      <c r="BN37">
        <v>4.0199999999999996</v>
      </c>
      <c r="BO37">
        <v>3.6</v>
      </c>
      <c r="BP37">
        <v>3.33</v>
      </c>
      <c r="BQ37">
        <v>4.04</v>
      </c>
      <c r="BR37">
        <v>2.04</v>
      </c>
      <c r="BS37">
        <v>2.5</v>
      </c>
      <c r="BT37" t="s">
        <v>781</v>
      </c>
      <c r="BU37" t="s">
        <v>667</v>
      </c>
      <c r="BV37">
        <v>18.14</v>
      </c>
      <c r="BW37">
        <v>16.829999999999998</v>
      </c>
      <c r="BX37">
        <v>17.010000000000002</v>
      </c>
      <c r="BY37">
        <v>3.1</v>
      </c>
      <c r="BZ37">
        <v>2.3199999999999998</v>
      </c>
      <c r="CA37">
        <v>2.46</v>
      </c>
      <c r="CB37">
        <v>12.08</v>
      </c>
      <c r="CC37">
        <v>-5.6</v>
      </c>
      <c r="CD37" t="s">
        <v>2167</v>
      </c>
      <c r="CE37" t="s">
        <v>325</v>
      </c>
      <c r="CF37" s="9">
        <v>-0.13090551181102361</v>
      </c>
      <c r="CG37" s="10">
        <v>-2.0744677802928284</v>
      </c>
      <c r="CH37" s="9">
        <v>-0.30818930268287659</v>
      </c>
      <c r="CI37" s="9">
        <v>2.1111661568284035E-2</v>
      </c>
      <c r="CJ37" s="9">
        <v>2.9776461888104677E-3</v>
      </c>
      <c r="CK37" s="9">
        <v>0.13970591127872467</v>
      </c>
      <c r="CL37" s="9">
        <v>-0.13432349264621735</v>
      </c>
      <c r="CM37" s="10">
        <v>-0.27376335859298706</v>
      </c>
      <c r="CN37" s="10">
        <v>-0.16012687981128693</v>
      </c>
      <c r="CO37" s="10">
        <v>1.3512281179428101</v>
      </c>
      <c r="CP37" s="10">
        <v>-2.8263888359069824</v>
      </c>
      <c r="CQ37" s="10">
        <v>-0.45038166642189026</v>
      </c>
      <c r="CR37">
        <v>51.408136319473854</v>
      </c>
      <c r="CS37">
        <v>9.2222630885288552</v>
      </c>
      <c r="CT37">
        <v>0</v>
      </c>
      <c r="CU37" s="9">
        <v>-5.5743515258654952E-2</v>
      </c>
      <c r="CV37" s="10">
        <v>-0.47188652455806734</v>
      </c>
      <c r="CW37">
        <v>0.06</v>
      </c>
      <c r="CX37" t="e">
        <v>#VALUE!</v>
      </c>
      <c r="CY37" t="s">
        <v>574</v>
      </c>
      <c r="CZ37">
        <v>-5.5743515258654952E-2</v>
      </c>
      <c r="DA37">
        <v>47.413187653155276</v>
      </c>
      <c r="DB37" t="s">
        <v>2168</v>
      </c>
      <c r="DC37">
        <v>-5.2956339495722204E-2</v>
      </c>
      <c r="DD37">
        <v>23.706593826577638</v>
      </c>
      <c r="DE37" t="s">
        <v>2169</v>
      </c>
      <c r="DF37">
        <v>-4.9054293427616358E-2</v>
      </c>
      <c r="DG37">
        <v>14.223956295946584</v>
      </c>
      <c r="DH37" t="s">
        <v>2170</v>
      </c>
      <c r="DI37">
        <v>-4.4594812206923962E-2</v>
      </c>
      <c r="DJ37">
        <v>7.111978147973292</v>
      </c>
      <c r="DK37" t="s">
        <v>2171</v>
      </c>
      <c r="DL37">
        <v>-3.9020460681058466E-2</v>
      </c>
      <c r="DM37">
        <v>56342600</v>
      </c>
      <c r="DN37">
        <v>-5.5743515258654952E-2</v>
      </c>
      <c r="DO37">
        <v>8014146800</v>
      </c>
      <c r="DP37">
        <v>2926429500</v>
      </c>
      <c r="DQ37">
        <v>3294</v>
      </c>
      <c r="DR37">
        <v>-7.516199655236866E-2</v>
      </c>
      <c r="DS37">
        <v>-1.6025812557347612</v>
      </c>
      <c r="DT37" s="11">
        <v>-0.60666666666666669</v>
      </c>
      <c r="DU37">
        <v>-1.6983333333333333</v>
      </c>
      <c r="DV37">
        <v>-2.3049999999999997</v>
      </c>
      <c r="DW37">
        <v>5.4635761589403975</v>
      </c>
      <c r="DX37">
        <v>0.50201239316239543</v>
      </c>
      <c r="DY37">
        <v>5.0843766061017712</v>
      </c>
      <c r="DZ37">
        <v>4558</v>
      </c>
      <c r="EA37">
        <v>5.0090851866397754</v>
      </c>
      <c r="EB37">
        <v>5</v>
      </c>
      <c r="EC37">
        <v>4.9938340526205792E-2</v>
      </c>
      <c r="ED37">
        <v>0.2743678035245124</v>
      </c>
      <c r="EE37" s="12">
        <v>2.0045000000000002</v>
      </c>
      <c r="EF37">
        <v>2.0099</v>
      </c>
      <c r="EG37">
        <v>32.182012393162395</v>
      </c>
      <c r="EH37" t="s">
        <v>842</v>
      </c>
      <c r="EI37">
        <v>1</v>
      </c>
      <c r="EJ37">
        <v>0</v>
      </c>
      <c r="EK37" s="14">
        <v>45505</v>
      </c>
      <c r="EL37" s="15">
        <v>1.53</v>
      </c>
      <c r="EM37" s="15">
        <v>3.32</v>
      </c>
      <c r="EN37" s="15">
        <v>1.46</v>
      </c>
      <c r="EO37" s="15">
        <v>3.07</v>
      </c>
      <c r="EP37" s="15">
        <v>0.54</v>
      </c>
    </row>
    <row r="38" spans="1:146" x14ac:dyDescent="0.25">
      <c r="C38" s="8" t="e">
        <f>""&amp;CHAR(10)&amp;Basic_Fundamental_Information_Constructure(F38)&amp;CHAR(10)&amp;Basic_Fundamental_Information_Concatenate("")</f>
        <v>#VALUE!</v>
      </c>
      <c r="D38" t="s">
        <v>861</v>
      </c>
      <c r="E38" t="s">
        <v>862</v>
      </c>
      <c r="F38">
        <v>11.61</v>
      </c>
      <c r="G38">
        <v>10.050000000000001</v>
      </c>
      <c r="H38" t="s">
        <v>2172</v>
      </c>
      <c r="I38">
        <v>5505372600</v>
      </c>
      <c r="K38">
        <v>3.04</v>
      </c>
      <c r="L38" t="s">
        <v>667</v>
      </c>
      <c r="M38" t="s">
        <v>1292</v>
      </c>
      <c r="N38" t="s">
        <v>1826</v>
      </c>
      <c r="O38" t="s">
        <v>71</v>
      </c>
      <c r="P38" s="6">
        <v>-27.17</v>
      </c>
      <c r="Q38" t="s">
        <v>807</v>
      </c>
      <c r="R38">
        <v>-53500000</v>
      </c>
      <c r="S38">
        <v>2.7799999999999998E-2</v>
      </c>
      <c r="T38" t="s">
        <v>1293</v>
      </c>
      <c r="U38">
        <v>467639730</v>
      </c>
      <c r="V38">
        <v>474192300</v>
      </c>
      <c r="W38">
        <v>1.98</v>
      </c>
      <c r="X38">
        <v>0.04</v>
      </c>
      <c r="Y38">
        <v>-31.42</v>
      </c>
      <c r="Z38" t="s">
        <v>256</v>
      </c>
      <c r="AA38" t="s">
        <v>96</v>
      </c>
      <c r="AB38" t="s">
        <v>1827</v>
      </c>
      <c r="AC38" t="s">
        <v>1828</v>
      </c>
      <c r="AD38" t="s">
        <v>15</v>
      </c>
      <c r="AE38">
        <v>351983</v>
      </c>
      <c r="AF38" t="s">
        <v>66</v>
      </c>
      <c r="AG38" t="s">
        <v>1829</v>
      </c>
      <c r="AH38" t="s">
        <v>1294</v>
      </c>
      <c r="AI38" t="s">
        <v>95</v>
      </c>
      <c r="AJ38" t="s">
        <v>1295</v>
      </c>
      <c r="AK38" t="s">
        <v>115</v>
      </c>
      <c r="AL38" t="s">
        <v>1296</v>
      </c>
      <c r="AM38" t="s">
        <v>15</v>
      </c>
      <c r="AN38" t="s">
        <v>1830</v>
      </c>
      <c r="AO38" t="s">
        <v>896</v>
      </c>
      <c r="AP38" t="s">
        <v>1831</v>
      </c>
      <c r="AQ38" t="s">
        <v>1832</v>
      </c>
      <c r="AR38" t="s">
        <v>1833</v>
      </c>
      <c r="AS38" t="s">
        <v>1834</v>
      </c>
      <c r="AT38" t="s">
        <v>15</v>
      </c>
      <c r="AU38" t="s">
        <v>1835</v>
      </c>
      <c r="AV38" t="s">
        <v>1836</v>
      </c>
      <c r="AW38" t="s">
        <v>1837</v>
      </c>
      <c r="AX38" t="s">
        <v>863</v>
      </c>
      <c r="AY38" t="s">
        <v>865</v>
      </c>
      <c r="AZ38" t="s">
        <v>866</v>
      </c>
      <c r="BA38" t="s">
        <v>768</v>
      </c>
      <c r="BB38" t="s">
        <v>867</v>
      </c>
      <c r="BC38" t="s">
        <v>864</v>
      </c>
      <c r="BD38" t="s">
        <v>32</v>
      </c>
      <c r="BE38" t="s">
        <v>238</v>
      </c>
      <c r="BF38" t="s">
        <v>868</v>
      </c>
      <c r="BG38" t="s">
        <v>47</v>
      </c>
      <c r="BH38" t="s">
        <v>807</v>
      </c>
      <c r="BI38" t="s">
        <v>171</v>
      </c>
      <c r="BJ38" t="s">
        <v>15</v>
      </c>
      <c r="BK38" t="s">
        <v>1293</v>
      </c>
      <c r="BL38" t="s">
        <v>2173</v>
      </c>
      <c r="BM38" t="s">
        <v>864</v>
      </c>
      <c r="BN38" t="s">
        <v>15</v>
      </c>
      <c r="BO38">
        <v>1.67</v>
      </c>
      <c r="BP38">
        <v>5.43</v>
      </c>
      <c r="BQ38">
        <v>-3.92</v>
      </c>
      <c r="BR38">
        <v>0.31</v>
      </c>
      <c r="BS38">
        <v>6.72</v>
      </c>
      <c r="BT38" t="s">
        <v>781</v>
      </c>
      <c r="BU38" t="s">
        <v>667</v>
      </c>
      <c r="BV38">
        <v>18.21</v>
      </c>
      <c r="BW38">
        <v>26.03</v>
      </c>
      <c r="BX38">
        <v>24.99</v>
      </c>
      <c r="BY38">
        <v>-17.649999999999999</v>
      </c>
      <c r="BZ38">
        <v>1.79</v>
      </c>
      <c r="CA38">
        <v>3.75</v>
      </c>
      <c r="CB38">
        <v>29.87</v>
      </c>
      <c r="CC38" s="9">
        <v>22.86</v>
      </c>
      <c r="CD38" s="10" t="s">
        <v>2174</v>
      </c>
      <c r="CE38" s="9" t="s">
        <v>108</v>
      </c>
      <c r="CF38" s="9" t="s">
        <v>15</v>
      </c>
      <c r="CG38" s="9">
        <v>-0.20162882471716803</v>
      </c>
      <c r="CH38" s="9">
        <v>-0.2330743670463562</v>
      </c>
      <c r="CI38" s="9">
        <v>-0.35296228528022766</v>
      </c>
      <c r="CJ38" s="10">
        <v>7.9623134806752205E-3</v>
      </c>
      <c r="CK38" s="10">
        <v>6.597224622964859E-2</v>
      </c>
      <c r="CL38" s="10">
        <v>9.9703043699264526E-2</v>
      </c>
      <c r="CM38" s="10">
        <v>-43.900432586669922</v>
      </c>
      <c r="CN38" s="10">
        <v>-0.95318120718002319</v>
      </c>
      <c r="CO38">
        <v>-0.20408163964748383</v>
      </c>
      <c r="CP38">
        <v>2.4431228637695313</v>
      </c>
      <c r="CQ38">
        <v>-0.58143335580825806</v>
      </c>
      <c r="CR38" s="9">
        <v>184.36088978387201</v>
      </c>
      <c r="CS38" s="10">
        <v>22.352244781847052</v>
      </c>
      <c r="CT38">
        <v>0</v>
      </c>
      <c r="CU38">
        <v>-8.2479809783399111E-2</v>
      </c>
      <c r="CV38">
        <v>-8.6392011851072308</v>
      </c>
      <c r="CW38">
        <v>0.06</v>
      </c>
      <c r="CX38" t="e">
        <v>#VALUE!</v>
      </c>
      <c r="CY38" t="s">
        <v>568</v>
      </c>
      <c r="CZ38">
        <v>-8.2479809783399111E-2</v>
      </c>
      <c r="DA38" t="e">
        <v>#VALUE!</v>
      </c>
      <c r="DB38" t="s">
        <v>569</v>
      </c>
      <c r="DC38">
        <v>-7.8355819294229148E-2</v>
      </c>
      <c r="DD38" t="e">
        <v>#VALUE!</v>
      </c>
      <c r="DE38" t="s">
        <v>569</v>
      </c>
      <c r="DF38">
        <v>-7.2582232609391215E-2</v>
      </c>
      <c r="DG38" t="e">
        <v>#VALUE!</v>
      </c>
      <c r="DH38" t="s">
        <v>569</v>
      </c>
      <c r="DI38">
        <v>-6.5983847826719288E-2</v>
      </c>
      <c r="DJ38" t="e">
        <v>#VALUE!</v>
      </c>
      <c r="DK38" t="s">
        <v>569</v>
      </c>
      <c r="DL38">
        <v>-5.773586684837937E-2</v>
      </c>
      <c r="DM38">
        <v>-235000000</v>
      </c>
      <c r="DN38">
        <v>-8.2479809783399111E-2</v>
      </c>
      <c r="DO38">
        <v>5542372600</v>
      </c>
      <c r="DP38">
        <v>1300318700</v>
      </c>
      <c r="DQ38" s="11">
        <v>3516</v>
      </c>
      <c r="DR38" t="e">
        <v>#VALUE!</v>
      </c>
      <c r="DS38">
        <v>8.4375723603900621</v>
      </c>
      <c r="DT38">
        <v>-0.75666666666666671</v>
      </c>
      <c r="DU38">
        <v>-1.8500000000000003</v>
      </c>
      <c r="DV38">
        <v>-2.6066666666666669</v>
      </c>
      <c r="DW38">
        <v>5.7653163709407433</v>
      </c>
      <c r="DX38">
        <v>0.24640609009009035</v>
      </c>
      <c r="DY38">
        <v>5.1273533049701863</v>
      </c>
      <c r="DZ38">
        <v>4719</v>
      </c>
      <c r="EA38">
        <v>5.0096985974223571</v>
      </c>
      <c r="EB38" s="12">
        <v>5</v>
      </c>
      <c r="EC38" s="12">
        <v>0.15581083876731022</v>
      </c>
      <c r="ED38">
        <v>0.93632899564164174</v>
      </c>
      <c r="EE38">
        <v>-3.1034000000000002</v>
      </c>
      <c r="EF38">
        <v>-2.0539000000000001</v>
      </c>
      <c r="EG38">
        <v>8.1664060900900903</v>
      </c>
      <c r="EH38" s="14" t="s">
        <v>883</v>
      </c>
      <c r="EI38" s="15">
        <v>1</v>
      </c>
      <c r="EJ38" s="15">
        <v>0</v>
      </c>
      <c r="EK38" s="15">
        <v>45505</v>
      </c>
      <c r="EL38" s="15">
        <v>2.88</v>
      </c>
      <c r="EM38" s="15">
        <v>4.25</v>
      </c>
      <c r="EN38" s="15">
        <v>1.39</v>
      </c>
      <c r="EO38" s="15">
        <v>10.01</v>
      </c>
      <c r="EP38" s="15">
        <v>10.050000000000001</v>
      </c>
    </row>
    <row r="39" spans="1:146" x14ac:dyDescent="0.25">
      <c r="A39" s="8"/>
      <c r="B39" s="8"/>
      <c r="C39" s="8" t="e">
        <f>""&amp;CHAR(10)&amp;Basic_Fundamental_Information_Constructure(F39)&amp;CHAR(10)&amp;Basic_Fundamental_Information_Concatenate("")</f>
        <v>#VALUE!</v>
      </c>
      <c r="D39" t="s">
        <v>183</v>
      </c>
      <c r="E39" t="s">
        <v>14</v>
      </c>
      <c r="F39">
        <v>18.91</v>
      </c>
      <c r="G39">
        <v>3</v>
      </c>
      <c r="H39" t="s">
        <v>2175</v>
      </c>
      <c r="I39">
        <v>5167910300</v>
      </c>
      <c r="K39">
        <v>2.42</v>
      </c>
      <c r="L39" t="s">
        <v>667</v>
      </c>
      <c r="M39" t="s">
        <v>1298</v>
      </c>
      <c r="N39" t="s">
        <v>1348</v>
      </c>
      <c r="O39" t="s">
        <v>142</v>
      </c>
      <c r="P39">
        <v>60.84</v>
      </c>
      <c r="Q39" t="s">
        <v>1299</v>
      </c>
      <c r="R39">
        <v>-42285000</v>
      </c>
      <c r="S39" s="6">
        <v>0.89159999999999995</v>
      </c>
      <c r="T39" t="s">
        <v>1300</v>
      </c>
      <c r="U39">
        <v>269012700</v>
      </c>
      <c r="V39">
        <v>276009090</v>
      </c>
      <c r="W39">
        <v>2.83</v>
      </c>
      <c r="X39">
        <v>0.05</v>
      </c>
      <c r="Y39">
        <v>-2.23</v>
      </c>
      <c r="Z39" t="s">
        <v>419</v>
      </c>
      <c r="AA39" t="s">
        <v>167</v>
      </c>
      <c r="AB39" t="s">
        <v>1838</v>
      </c>
      <c r="AC39" t="s">
        <v>1839</v>
      </c>
      <c r="AD39" t="s">
        <v>15</v>
      </c>
      <c r="AE39">
        <v>9501150</v>
      </c>
      <c r="AF39" t="s">
        <v>66</v>
      </c>
      <c r="AG39" t="s">
        <v>1840</v>
      </c>
      <c r="AH39" t="s">
        <v>1301</v>
      </c>
      <c r="AI39" t="s">
        <v>223</v>
      </c>
      <c r="AJ39" t="s">
        <v>1302</v>
      </c>
      <c r="AK39" t="s">
        <v>160</v>
      </c>
      <c r="AL39" t="s">
        <v>1303</v>
      </c>
      <c r="AM39" t="s">
        <v>15</v>
      </c>
      <c r="AN39">
        <v>0</v>
      </c>
      <c r="AO39" t="s">
        <v>281</v>
      </c>
      <c r="AP39" t="s">
        <v>157</v>
      </c>
      <c r="AQ39" t="s">
        <v>1841</v>
      </c>
      <c r="AR39" t="s">
        <v>15</v>
      </c>
      <c r="AS39" t="s">
        <v>1842</v>
      </c>
      <c r="AT39" t="s">
        <v>877</v>
      </c>
      <c r="AU39" t="s">
        <v>1453</v>
      </c>
      <c r="AV39" t="s">
        <v>1843</v>
      </c>
      <c r="AW39" t="s">
        <v>1844</v>
      </c>
      <c r="AX39" t="s">
        <v>318</v>
      </c>
      <c r="AY39" t="s">
        <v>706</v>
      </c>
      <c r="AZ39" t="s">
        <v>330</v>
      </c>
      <c r="BA39" t="s">
        <v>184</v>
      </c>
      <c r="BB39" t="s">
        <v>331</v>
      </c>
      <c r="BC39" t="s">
        <v>1304</v>
      </c>
      <c r="BD39" t="s">
        <v>51</v>
      </c>
      <c r="BE39" t="s">
        <v>166</v>
      </c>
      <c r="BF39" t="s">
        <v>96</v>
      </c>
      <c r="BG39" t="s">
        <v>332</v>
      </c>
      <c r="BH39" t="s">
        <v>1299</v>
      </c>
      <c r="BI39" t="s">
        <v>53</v>
      </c>
      <c r="BJ39" t="s">
        <v>15</v>
      </c>
      <c r="BK39" t="s">
        <v>1300</v>
      </c>
      <c r="BL39" t="s">
        <v>2176</v>
      </c>
      <c r="BM39" t="s">
        <v>1304</v>
      </c>
      <c r="BN39" t="s">
        <v>15</v>
      </c>
      <c r="BO39">
        <v>2.5299999999999998</v>
      </c>
      <c r="BP39">
        <v>4.92</v>
      </c>
      <c r="BQ39">
        <v>-3.25</v>
      </c>
      <c r="BR39">
        <v>2.4300000000000002</v>
      </c>
      <c r="BS39">
        <v>6.98</v>
      </c>
      <c r="BT39" t="s">
        <v>781</v>
      </c>
      <c r="BU39" t="s">
        <v>667</v>
      </c>
      <c r="BV39">
        <v>18.39</v>
      </c>
      <c r="BW39">
        <v>19.47</v>
      </c>
      <c r="BX39">
        <v>19.77</v>
      </c>
      <c r="BY39">
        <v>-28.57</v>
      </c>
      <c r="BZ39">
        <v>2.54</v>
      </c>
      <c r="CA39">
        <v>6</v>
      </c>
      <c r="CB39">
        <v>23.59</v>
      </c>
      <c r="CC39">
        <v>3.5</v>
      </c>
      <c r="CD39" t="s">
        <v>2177</v>
      </c>
      <c r="CE39" t="s">
        <v>48</v>
      </c>
      <c r="CF39" s="9" t="s">
        <v>15</v>
      </c>
      <c r="CG39" s="10">
        <v>0.39461575244601865</v>
      </c>
      <c r="CH39" s="9">
        <v>-0.29180443286895752</v>
      </c>
      <c r="CI39" s="9">
        <v>-0.13426665961742401</v>
      </c>
      <c r="CJ39" s="9">
        <v>-0.20268900692462921</v>
      </c>
      <c r="CK39" s="9">
        <v>7.3821865022182465E-2</v>
      </c>
      <c r="CL39" s="9">
        <v>-0.30022874474525452</v>
      </c>
      <c r="CM39" s="10">
        <v>-9.3733959197998047</v>
      </c>
      <c r="CN39" s="10">
        <v>-0.64107340574264526</v>
      </c>
      <c r="CO39" s="10">
        <v>8.235294371843338E-2</v>
      </c>
      <c r="CP39" s="10">
        <v>0.53153151273727417</v>
      </c>
      <c r="CQ39" s="10">
        <v>-0.56809335947036743</v>
      </c>
      <c r="CR39">
        <v>131.92278758096941</v>
      </c>
      <c r="CS39">
        <v>7.7132765179117762</v>
      </c>
      <c r="CT39">
        <v>0</v>
      </c>
      <c r="CU39" s="9">
        <v>-0.17103339582681656</v>
      </c>
      <c r="CV39" s="10">
        <v>-1.9937356457114219</v>
      </c>
      <c r="CW39">
        <v>0.06</v>
      </c>
      <c r="CX39" t="e">
        <v>#VALUE!</v>
      </c>
      <c r="CY39" t="s">
        <v>568</v>
      </c>
      <c r="CZ39">
        <v>-0.17103339582681656</v>
      </c>
      <c r="DA39" t="e">
        <v>#VALUE!</v>
      </c>
      <c r="DB39" t="s">
        <v>569</v>
      </c>
      <c r="DC39">
        <v>-0.16248172603547573</v>
      </c>
      <c r="DD39" t="e">
        <v>#VALUE!</v>
      </c>
      <c r="DE39" t="s">
        <v>569</v>
      </c>
      <c r="DF39">
        <v>-0.15050938832759858</v>
      </c>
      <c r="DG39" t="e">
        <v>#VALUE!</v>
      </c>
      <c r="DH39" t="s">
        <v>569</v>
      </c>
      <c r="DI39">
        <v>-0.13682671666145327</v>
      </c>
      <c r="DJ39" t="e">
        <v>#VALUE!</v>
      </c>
      <c r="DK39" t="s">
        <v>569</v>
      </c>
      <c r="DL39">
        <v>-0.11972337707877159</v>
      </c>
      <c r="DM39">
        <v>-553000000</v>
      </c>
      <c r="DN39">
        <v>-0.17103339582681656</v>
      </c>
      <c r="DO39">
        <v>7365910300</v>
      </c>
      <c r="DP39">
        <v>904743800</v>
      </c>
      <c r="DQ39">
        <v>3606</v>
      </c>
      <c r="DR39" t="e">
        <v>#VALUE!</v>
      </c>
      <c r="DS39">
        <v>2.3883513981574405</v>
      </c>
      <c r="DT39" s="11">
        <v>-0.84</v>
      </c>
      <c r="DU39">
        <v>-1.9316666666666669</v>
      </c>
      <c r="DV39">
        <v>-2.7716666666666669</v>
      </c>
      <c r="DW39">
        <v>5.1483679525222552</v>
      </c>
      <c r="DX39">
        <v>0.91167904191617</v>
      </c>
      <c r="DY39">
        <v>5.05811261749498</v>
      </c>
      <c r="DZ39">
        <v>4799</v>
      </c>
      <c r="EA39">
        <v>5.0035154265477582</v>
      </c>
      <c r="EB39">
        <v>5</v>
      </c>
      <c r="EC39">
        <v>0.23698639780305786</v>
      </c>
      <c r="ED39">
        <v>0.60505253649435964</v>
      </c>
      <c r="EE39" s="12">
        <v>1.0306</v>
      </c>
      <c r="EF39">
        <v>1.0606</v>
      </c>
      <c r="EG39">
        <v>52.39167904191617</v>
      </c>
      <c r="EH39" t="s">
        <v>567</v>
      </c>
      <c r="EI39">
        <v>1</v>
      </c>
      <c r="EJ39">
        <v>0</v>
      </c>
      <c r="EK39" s="14">
        <v>45505</v>
      </c>
      <c r="EL39" s="15">
        <v>1.06</v>
      </c>
      <c r="EM39" s="15">
        <v>5.0999999999999996</v>
      </c>
      <c r="EN39" s="15">
        <v>6.34</v>
      </c>
      <c r="EO39" s="15">
        <v>8</v>
      </c>
      <c r="EP39" s="15">
        <v>3</v>
      </c>
    </row>
    <row r="40" spans="1:146" ht="168" x14ac:dyDescent="0.25">
      <c r="A40" s="8" t="s">
        <v>912</v>
      </c>
      <c r="B40" s="8" t="s">
        <v>913</v>
      </c>
      <c r="C40" s="8" t="str">
        <f>"公司主营业务为以瓷介电容器,滤波器为主的电子元器件的技术研发,产品生产和销售，包括自产业务和代理业务两大类。公司主要产品是自产电子元器件、代理电子元器件。"&amp;CHAR(10)&amp;Basic_Fundamental_Information_Constructure(F40)&amp;CHAR(10)&amp;Basic_Fundamental_Information_Concatenate("自产电子元器件 13.73亿 54.87% 88.54% 80.91%
代理电子元器件 11.04亿 44.12% 9.48% 10.78%
其他业务 2524.07万 1.01% 1.98% 98.27%")</f>
        <v>公司主营业务为以瓷介电容器,滤波器为主的电子元器件的技术研发,产品生产和销售，包括自产业务和代理业务两大类。公司主要产品是自产电子元器件、代理电子元器件。
市值92.320918亿, 利润2.72亿; PE37.97; 平均PE19.19; 平均PEG1.09, PB2.18; ROIC17.09%; ROE18.72%; 股利率.879%; 毛利47.3933%; 净利27.5433%; 上一年度营收增-33.01%, 利润增-66.21%; 当季营收增-1.38%, 利润增-28.99%; 过往5年营收增17.59%, 利润增20.69%
Income profile:
自产电子元器件 13.73亿 54.87% 88.54% 80.91%
代理电子元器件 11.04亿 44.12% 9.48% 10.78%
其他业务 2524.07万 1.01% 1.98% 98.27%</v>
      </c>
      <c r="D40" t="s">
        <v>337</v>
      </c>
      <c r="E40" t="s">
        <v>1456</v>
      </c>
      <c r="F40">
        <v>39.82</v>
      </c>
      <c r="G40">
        <v>-2.19</v>
      </c>
      <c r="H40" t="s">
        <v>2178</v>
      </c>
      <c r="I40">
        <v>9232091800</v>
      </c>
      <c r="J40">
        <v>37.97</v>
      </c>
      <c r="K40">
        <v>2.1800000000000002</v>
      </c>
      <c r="L40" t="s">
        <v>667</v>
      </c>
      <c r="M40" t="s">
        <v>933</v>
      </c>
      <c r="N40" t="s">
        <v>1845</v>
      </c>
      <c r="O40" t="s">
        <v>576</v>
      </c>
      <c r="P40">
        <v>-1.44</v>
      </c>
      <c r="Q40" t="s">
        <v>1308</v>
      </c>
      <c r="R40">
        <v>72434826</v>
      </c>
      <c r="S40" s="6">
        <v>-0.28699999999999998</v>
      </c>
      <c r="T40" t="s">
        <v>140</v>
      </c>
      <c r="U40">
        <v>231845600</v>
      </c>
      <c r="V40">
        <v>231845600</v>
      </c>
      <c r="W40">
        <v>1.23</v>
      </c>
      <c r="X40">
        <v>0.08</v>
      </c>
      <c r="Y40">
        <v>16.88</v>
      </c>
      <c r="Z40" t="s">
        <v>793</v>
      </c>
      <c r="AA40" t="s">
        <v>131</v>
      </c>
      <c r="AB40" t="s">
        <v>1846</v>
      </c>
      <c r="AC40" t="s">
        <v>1847</v>
      </c>
      <c r="AD40" t="s">
        <v>15</v>
      </c>
      <c r="AE40">
        <v>-2616865</v>
      </c>
      <c r="AF40" t="s">
        <v>1309</v>
      </c>
      <c r="AG40" t="s">
        <v>15</v>
      </c>
      <c r="AH40" t="s">
        <v>1310</v>
      </c>
      <c r="AI40" t="s">
        <v>710</v>
      </c>
      <c r="AJ40" t="s">
        <v>1311</v>
      </c>
      <c r="AK40" t="s">
        <v>761</v>
      </c>
      <c r="AL40" t="s">
        <v>1312</v>
      </c>
      <c r="AM40" t="s">
        <v>15</v>
      </c>
      <c r="AN40" t="s">
        <v>1848</v>
      </c>
      <c r="AO40" t="s">
        <v>92</v>
      </c>
      <c r="AP40" t="s">
        <v>442</v>
      </c>
      <c r="AQ40" t="s">
        <v>175</v>
      </c>
      <c r="AR40" t="s">
        <v>15</v>
      </c>
      <c r="AS40" t="s">
        <v>940</v>
      </c>
      <c r="AT40" t="s">
        <v>1849</v>
      </c>
      <c r="AU40" t="s">
        <v>1850</v>
      </c>
      <c r="AV40" t="s">
        <v>970</v>
      </c>
      <c r="AW40" t="s">
        <v>1266</v>
      </c>
      <c r="AX40" t="s">
        <v>870</v>
      </c>
      <c r="AY40" t="s">
        <v>708</v>
      </c>
      <c r="AZ40" t="s">
        <v>165</v>
      </c>
      <c r="BA40" t="s">
        <v>338</v>
      </c>
      <c r="BB40" t="s">
        <v>252</v>
      </c>
      <c r="BC40" t="s">
        <v>182</v>
      </c>
      <c r="BD40" t="s">
        <v>551</v>
      </c>
      <c r="BE40" t="s">
        <v>141</v>
      </c>
      <c r="BF40" t="s">
        <v>167</v>
      </c>
      <c r="BG40" t="s">
        <v>134</v>
      </c>
      <c r="BH40" t="s">
        <v>1308</v>
      </c>
      <c r="BI40" t="s">
        <v>263</v>
      </c>
      <c r="BJ40" t="s">
        <v>870</v>
      </c>
      <c r="BK40" t="s">
        <v>140</v>
      </c>
      <c r="BL40" t="s">
        <v>47</v>
      </c>
      <c r="BM40" t="s">
        <v>182</v>
      </c>
      <c r="BN40">
        <v>5.3</v>
      </c>
      <c r="BO40">
        <v>19.64</v>
      </c>
      <c r="BP40">
        <v>26.33</v>
      </c>
      <c r="BQ40">
        <v>6.01</v>
      </c>
      <c r="BR40">
        <v>21.98</v>
      </c>
      <c r="BS40">
        <v>28.17</v>
      </c>
      <c r="BT40" t="s">
        <v>786</v>
      </c>
      <c r="BU40" t="s">
        <v>667</v>
      </c>
      <c r="BV40">
        <v>40.520000000000003</v>
      </c>
      <c r="BW40">
        <v>50.15</v>
      </c>
      <c r="BX40">
        <v>51.51</v>
      </c>
      <c r="BY40">
        <v>16.13</v>
      </c>
      <c r="BZ40">
        <v>32.1</v>
      </c>
      <c r="CA40">
        <v>34.4</v>
      </c>
      <c r="CB40">
        <v>13.09</v>
      </c>
      <c r="CC40">
        <v>13.97</v>
      </c>
      <c r="CD40" t="s">
        <v>2179</v>
      </c>
      <c r="CE40" t="s">
        <v>2180</v>
      </c>
      <c r="CF40" s="9">
        <v>-1.3793103448275727E-2</v>
      </c>
      <c r="CG40" s="10">
        <v>-0.28985464705882352</v>
      </c>
      <c r="CH40" s="9">
        <v>-0.33013591170310974</v>
      </c>
      <c r="CI40" s="9">
        <v>4.1198525577783585E-2</v>
      </c>
      <c r="CJ40" s="9">
        <v>0.41352945566177368</v>
      </c>
      <c r="CK40" s="9">
        <v>0.61290323734283447</v>
      </c>
      <c r="CL40" s="9">
        <v>0.14192849397659302</v>
      </c>
      <c r="CM40" s="10">
        <v>-0.66211181879043579</v>
      </c>
      <c r="CN40" s="10">
        <v>-2.6602176949381828E-2</v>
      </c>
      <c r="CO40" s="10">
        <v>0.70164608955383301</v>
      </c>
      <c r="CP40" s="10">
        <v>0.74193549156188965</v>
      </c>
      <c r="CQ40" s="10">
        <v>0.27981650829315186</v>
      </c>
      <c r="CR40">
        <v>19.186889781780394</v>
      </c>
      <c r="CS40">
        <v>1.0908784685556203</v>
      </c>
      <c r="CT40">
        <v>0.87895529884480161</v>
      </c>
      <c r="CU40" s="9">
        <v>0.17588476017117499</v>
      </c>
      <c r="CV40" s="10">
        <v>0.20693681873381137</v>
      </c>
      <c r="CW40">
        <v>0.06</v>
      </c>
      <c r="CX40">
        <v>20.332616292154775</v>
      </c>
      <c r="CY40">
        <v>301736466.76090527</v>
      </c>
      <c r="CZ40">
        <v>0.17588476017117499</v>
      </c>
      <c r="DA40">
        <v>6.1829198290197009</v>
      </c>
      <c r="DB40">
        <v>992264491.47937858</v>
      </c>
      <c r="DC40">
        <v>0.16709052216261625</v>
      </c>
      <c r="DD40">
        <v>2.7560767464475409</v>
      </c>
      <c r="DE40">
        <v>2226023570.6091485</v>
      </c>
      <c r="DF40">
        <v>0.15477858895063398</v>
      </c>
      <c r="DG40">
        <v>1.4735745525325687</v>
      </c>
      <c r="DH40">
        <v>4163407809.5715508</v>
      </c>
      <c r="DI40">
        <v>0.14070780813694</v>
      </c>
      <c r="DJ40">
        <v>0.58152799498769925</v>
      </c>
      <c r="DK40">
        <v>10549950910.153126</v>
      </c>
      <c r="DL40">
        <v>0.12311933211982248</v>
      </c>
      <c r="DM40">
        <v>272000000</v>
      </c>
      <c r="DN40">
        <v>0.17588476017117499</v>
      </c>
      <c r="DO40">
        <v>6135091800</v>
      </c>
      <c r="DP40">
        <v>3347407800</v>
      </c>
      <c r="DQ40">
        <v>4040</v>
      </c>
      <c r="DR40">
        <v>-0.18967786361945072</v>
      </c>
      <c r="DS40">
        <v>-0.49679146579263489</v>
      </c>
      <c r="DT40" s="11">
        <v>-0.24</v>
      </c>
      <c r="DU40">
        <v>4.6666666666666669E-2</v>
      </c>
      <c r="DV40">
        <v>-0.19333333333333333</v>
      </c>
      <c r="DW40">
        <v>9.9370078740157481</v>
      </c>
      <c r="DX40">
        <v>0.56532676056338005</v>
      </c>
      <c r="DY40">
        <v>9.2954636575357661</v>
      </c>
      <c r="DZ40">
        <v>2273</v>
      </c>
      <c r="EA40">
        <v>9.1639858005313037</v>
      </c>
      <c r="EB40">
        <v>9</v>
      </c>
      <c r="EC40">
        <v>0.28969538347935003</v>
      </c>
      <c r="ED40">
        <v>0.91871486886100062</v>
      </c>
      <c r="EE40" s="12">
        <v>2.1065999999999998</v>
      </c>
      <c r="EF40">
        <v>2.0846999999999998</v>
      </c>
      <c r="EG40">
        <v>25.31532676056338</v>
      </c>
      <c r="EH40" t="s">
        <v>842</v>
      </c>
      <c r="EI40">
        <v>1</v>
      </c>
      <c r="EJ40">
        <v>0</v>
      </c>
      <c r="EK40" s="14">
        <v>45505</v>
      </c>
      <c r="EL40" s="15">
        <v>0.74</v>
      </c>
      <c r="EM40" s="15">
        <v>5.57</v>
      </c>
      <c r="EN40" s="15">
        <v>5.43</v>
      </c>
      <c r="EO40" s="15">
        <v>4.22</v>
      </c>
      <c r="EP40" s="15">
        <v>-2.19</v>
      </c>
    </row>
    <row r="41" spans="1:146" ht="204" x14ac:dyDescent="0.25">
      <c r="A41" s="8" t="s">
        <v>915</v>
      </c>
      <c r="B41" s="8" t="s">
        <v>916</v>
      </c>
      <c r="C41" s="8" t="str">
        <f>"公司业务主要分为元器件、新材料和国际贸易三大板块，公司生产的火炬牌陶瓷电容器产品主要包括多层片式陶瓷电容器和引线式电容器,以其高可靠性、高质量等级、高技术含量附加值先后获得国家重点新产品、福建名牌产品、福建自主创新产品称号,在航空航天、通讯、电力、汽车等高端领域广泛应用,并与国内外知名高科技企业建立了良好的战略合作伙伴关系和共赢模式。"&amp;CHAR(10)&amp;Basic_Fundamental_Information_Constructure(F41)&amp;CHAR(10)&amp;Basic_Fundamental_Information_Concatenate("贸易 19.36亿 54.41% 16.69% 13.00%
陶瓷电容器 11.71亿 32.91% 65.48% 84.34%
微波元器件 2.22亿 6.23% 9.25% 62.90%
陶瓷材料 1.01亿 2.84% 4.75% 71.00%
钽电容器 4927.95万 1.38% 1.37% 42.06%")</f>
        <v>公司业务主要分为元器件、新材料和国际贸易三大板块，公司生产的火炬牌陶瓷电容器产品主要包括多层片式陶瓷电容器和引线式电容器,以其高可靠性、高质量等级、高技术含量附加值先后获得国家重点新产品、福建名牌产品、福建自主创新产品称号,在航空航天、通讯、电力、汽车等高端领域广泛应用,并与国内外知名高科技企业建立了良好的战略合作伙伴关系和共赢模式。
市值119.168395亿, 利润3.18亿; PE44.75; 平均PE21.04; 平均PEG1.45, PB2.21; ROIC11.8067%; ROE14.6933%; 股利率.5769%; 毛利36.1633%; 净利17.5933%; 上一年度营收增-1.55%, 利润增-60.3%; 当季营收增1.56%, 利润增-41.05%; 过往5年营收增14.47%, 利润增10.94%
Income profile:
贸易 19.36亿 54.41% 16.69% 13.00%
陶瓷电容器 11.71亿 32.91% 65.48% 84.34%
微波元器件 2.22亿 6.23% 9.25% 62.90%
陶瓷材料 1.01亿 2.84% 4.75% 71.00%
钽电容器 4927.95万 1.38% 1.37% 42.06%</v>
      </c>
      <c r="D41" t="s">
        <v>339</v>
      </c>
      <c r="E41" t="s">
        <v>340</v>
      </c>
      <c r="F41">
        <v>26</v>
      </c>
      <c r="G41">
        <v>1.84</v>
      </c>
      <c r="H41" t="s">
        <v>2181</v>
      </c>
      <c r="I41">
        <v>11916839500</v>
      </c>
      <c r="J41">
        <v>44.75</v>
      </c>
      <c r="K41">
        <v>2.21</v>
      </c>
      <c r="L41" t="s">
        <v>667</v>
      </c>
      <c r="M41" t="s">
        <v>1313</v>
      </c>
      <c r="N41" t="s">
        <v>1851</v>
      </c>
      <c r="O41" t="s">
        <v>1150</v>
      </c>
      <c r="P41">
        <v>1.57</v>
      </c>
      <c r="Q41" t="s">
        <v>1314</v>
      </c>
      <c r="R41">
        <v>74280771</v>
      </c>
      <c r="S41" s="6">
        <v>-0.41220000000000001</v>
      </c>
      <c r="T41" t="s">
        <v>519</v>
      </c>
      <c r="U41">
        <v>458339980</v>
      </c>
      <c r="V41">
        <v>458339980</v>
      </c>
      <c r="W41">
        <v>1.33</v>
      </c>
      <c r="X41">
        <v>0.08</v>
      </c>
      <c r="Y41">
        <v>10.7</v>
      </c>
      <c r="Z41" t="s">
        <v>1852</v>
      </c>
      <c r="AA41" t="s">
        <v>1149</v>
      </c>
      <c r="AB41" t="s">
        <v>1853</v>
      </c>
      <c r="AC41" t="s">
        <v>1854</v>
      </c>
      <c r="AD41" t="s">
        <v>15</v>
      </c>
      <c r="AE41">
        <v>5300107</v>
      </c>
      <c r="AF41" t="s">
        <v>1315</v>
      </c>
      <c r="AG41" t="s">
        <v>1855</v>
      </c>
      <c r="AH41" t="s">
        <v>1316</v>
      </c>
      <c r="AI41" t="s">
        <v>943</v>
      </c>
      <c r="AJ41" t="s">
        <v>1317</v>
      </c>
      <c r="AK41" t="s">
        <v>224</v>
      </c>
      <c r="AL41" t="s">
        <v>1318</v>
      </c>
      <c r="AM41" t="s">
        <v>15</v>
      </c>
      <c r="AN41" t="s">
        <v>250</v>
      </c>
      <c r="AO41" t="s">
        <v>1459</v>
      </c>
      <c r="AP41" t="s">
        <v>1856</v>
      </c>
      <c r="AQ41" t="s">
        <v>230</v>
      </c>
      <c r="AR41" t="s">
        <v>1857</v>
      </c>
      <c r="AS41" t="s">
        <v>186</v>
      </c>
      <c r="AT41" t="s">
        <v>982</v>
      </c>
      <c r="AU41" t="s">
        <v>303</v>
      </c>
      <c r="AV41" t="s">
        <v>1858</v>
      </c>
      <c r="AW41" t="s">
        <v>527</v>
      </c>
      <c r="AX41" t="s">
        <v>871</v>
      </c>
      <c r="AY41" t="s">
        <v>709</v>
      </c>
      <c r="AZ41" t="s">
        <v>341</v>
      </c>
      <c r="BA41" t="s">
        <v>343</v>
      </c>
      <c r="BB41" t="s">
        <v>344</v>
      </c>
      <c r="BC41" t="s">
        <v>872</v>
      </c>
      <c r="BD41" t="s">
        <v>537</v>
      </c>
      <c r="BE41" t="s">
        <v>342</v>
      </c>
      <c r="BF41" t="s">
        <v>173</v>
      </c>
      <c r="BG41" t="s">
        <v>78</v>
      </c>
      <c r="BH41" t="s">
        <v>1314</v>
      </c>
      <c r="BI41" t="s">
        <v>2182</v>
      </c>
      <c r="BJ41" t="s">
        <v>871</v>
      </c>
      <c r="BK41" t="s">
        <v>519</v>
      </c>
      <c r="BL41" t="s">
        <v>2183</v>
      </c>
      <c r="BM41" t="s">
        <v>872</v>
      </c>
      <c r="BN41">
        <v>4.42</v>
      </c>
      <c r="BO41">
        <v>13.15</v>
      </c>
      <c r="BP41">
        <v>17.850000000000001</v>
      </c>
      <c r="BQ41">
        <v>5.45</v>
      </c>
      <c r="BR41">
        <v>16.22</v>
      </c>
      <c r="BS41">
        <v>22.41</v>
      </c>
      <c r="BT41" t="s">
        <v>784</v>
      </c>
      <c r="BU41" t="s">
        <v>667</v>
      </c>
      <c r="BV41">
        <v>30.58</v>
      </c>
      <c r="BW41">
        <v>42.39</v>
      </c>
      <c r="BX41">
        <v>35.520000000000003</v>
      </c>
      <c r="BY41">
        <v>8.9499999999999993</v>
      </c>
      <c r="BZ41">
        <v>23.2</v>
      </c>
      <c r="CA41">
        <v>20.63</v>
      </c>
      <c r="CB41">
        <v>9.66</v>
      </c>
      <c r="CC41">
        <v>10.78</v>
      </c>
      <c r="CD41" t="s">
        <v>2184</v>
      </c>
      <c r="CE41" t="s">
        <v>2114</v>
      </c>
      <c r="CF41" s="9">
        <v>1.5576323987538941E-2</v>
      </c>
      <c r="CG41" s="10">
        <v>-0.41047007142857145</v>
      </c>
      <c r="CH41" s="9">
        <v>-1.5453796833753586E-2</v>
      </c>
      <c r="CI41" s="9">
        <v>-0.24820448458194733</v>
      </c>
      <c r="CJ41" s="9">
        <v>0.29485780000686646</v>
      </c>
      <c r="CK41" s="9">
        <v>0.4231218695640564</v>
      </c>
      <c r="CL41" s="9">
        <v>0.26926875114440918</v>
      </c>
      <c r="CM41" s="10">
        <v>-0.60299623012542725</v>
      </c>
      <c r="CN41" s="10">
        <v>-0.16213388741016388</v>
      </c>
      <c r="CO41" s="10">
        <v>0.56978654861450195</v>
      </c>
      <c r="CP41" s="10">
        <v>0.59842520952224731</v>
      </c>
      <c r="CQ41" s="10">
        <v>0.14414414763450623</v>
      </c>
      <c r="CR41">
        <v>21.042094467333726</v>
      </c>
      <c r="CS41">
        <v>1.4540064412500526</v>
      </c>
      <c r="CT41">
        <v>0.57692307692307687</v>
      </c>
      <c r="CU41" s="9">
        <v>0.14471802785992621</v>
      </c>
      <c r="CV41" s="10">
        <v>0.10944515764713288</v>
      </c>
      <c r="CW41">
        <v>0.06</v>
      </c>
      <c r="CX41">
        <v>24.596565251361621</v>
      </c>
      <c r="CY41">
        <v>343415408.35797787</v>
      </c>
      <c r="CZ41">
        <v>0.14471802785992621</v>
      </c>
      <c r="DA41">
        <v>7.6762344667156404</v>
      </c>
      <c r="DB41">
        <v>1100388417.866302</v>
      </c>
      <c r="DC41">
        <v>0.13748212646692989</v>
      </c>
      <c r="DD41">
        <v>3.5487674090645749</v>
      </c>
      <c r="DE41">
        <v>2380217840.8267436</v>
      </c>
      <c r="DF41">
        <v>0.12735186451673508</v>
      </c>
      <c r="DG41">
        <v>1.9818860789284665</v>
      </c>
      <c r="DH41">
        <v>4262020703.3125224</v>
      </c>
      <c r="DI41">
        <v>0.11577442228794098</v>
      </c>
      <c r="DJ41">
        <v>0.86782088290344761</v>
      </c>
      <c r="DK41">
        <v>9733390456.956522</v>
      </c>
      <c r="DL41">
        <v>0.10130261950194834</v>
      </c>
      <c r="DM41">
        <v>318000000</v>
      </c>
      <c r="DN41">
        <v>0.14471802785992621</v>
      </c>
      <c r="DO41">
        <v>8446839500</v>
      </c>
      <c r="DP41">
        <v>3545482900</v>
      </c>
      <c r="DQ41">
        <v>4244</v>
      </c>
      <c r="DR41">
        <v>-0.12914170387238727</v>
      </c>
      <c r="DS41">
        <v>-0.51991522907570431</v>
      </c>
      <c r="DT41" s="11">
        <v>-0.24000000000000007</v>
      </c>
      <c r="DU41">
        <v>-0.45333333333333331</v>
      </c>
      <c r="DV41">
        <v>-0.69333333333333336</v>
      </c>
      <c r="DW41">
        <v>9.896103896103897</v>
      </c>
      <c r="DX41">
        <v>0.64893783783783621</v>
      </c>
      <c r="DY41">
        <v>9.2230741663741664</v>
      </c>
      <c r="DZ41">
        <v>3256</v>
      </c>
      <c r="EA41">
        <v>9.0808796703455279</v>
      </c>
      <c r="EB41">
        <v>9</v>
      </c>
      <c r="EC41">
        <v>8.0383125207624265E-2</v>
      </c>
      <c r="ED41">
        <v>0.32290440820807298</v>
      </c>
      <c r="EE41" s="12">
        <v>0.12230000000000001</v>
      </c>
      <c r="EF41">
        <v>0.14069999999999999</v>
      </c>
      <c r="EG41">
        <v>40.248937837837836</v>
      </c>
      <c r="EH41" t="s">
        <v>511</v>
      </c>
      <c r="EI41">
        <v>1</v>
      </c>
      <c r="EJ41">
        <v>0</v>
      </c>
      <c r="EK41" s="14">
        <v>45505</v>
      </c>
      <c r="EL41" s="15">
        <v>0.51</v>
      </c>
      <c r="EM41" s="15">
        <v>5.44</v>
      </c>
      <c r="EN41" s="15">
        <v>0.72</v>
      </c>
      <c r="EO41" s="15">
        <v>2.57</v>
      </c>
      <c r="EP41" s="15">
        <v>1.84</v>
      </c>
    </row>
    <row r="42" spans="1:146" ht="84" x14ac:dyDescent="0.25">
      <c r="A42" s="8"/>
      <c r="B42" s="8"/>
      <c r="C42" s="8" t="str">
        <f>""&amp;CHAR(10)&amp;Basic_Fundamental_Information_Constructure(F42)&amp;CHAR(10)&amp;Basic_Fundamental_Information_Concatenate("")</f>
        <v xml:space="preserve">
市值139.4232亿, 利润4.40亿; PE32.37; 平均PE27.83; 平均PEG1.67, PB2.98; ROIC14.3933%; ROE15.7867%; 股利率.3322%; 毛利45.3433%; 净利17.7733%; 上一年度营收增-19.11%, 利润增-43.23%; 当季营收增3.81%, 利润增140.23%; 过往5年营收增16.71%, 利润增21.24%
Income profile:
</v>
      </c>
      <c r="D42" t="s">
        <v>480</v>
      </c>
      <c r="E42" t="s">
        <v>481</v>
      </c>
      <c r="F42">
        <v>18.059999999999999</v>
      </c>
      <c r="G42">
        <v>-0.11</v>
      </c>
      <c r="H42" t="s">
        <v>2185</v>
      </c>
      <c r="I42">
        <v>13942320000</v>
      </c>
      <c r="J42">
        <v>32.369999999999997</v>
      </c>
      <c r="K42">
        <v>2.98</v>
      </c>
      <c r="L42" t="s">
        <v>667</v>
      </c>
      <c r="M42" t="s">
        <v>1320</v>
      </c>
      <c r="N42" t="s">
        <v>1859</v>
      </c>
      <c r="O42" t="s">
        <v>895</v>
      </c>
      <c r="P42">
        <v>3.68</v>
      </c>
      <c r="Q42" t="s">
        <v>1321</v>
      </c>
      <c r="R42">
        <v>60000000</v>
      </c>
      <c r="S42" s="6">
        <v>-0.36430000000000001</v>
      </c>
      <c r="T42" t="s">
        <v>57</v>
      </c>
      <c r="U42">
        <v>772000000</v>
      </c>
      <c r="V42">
        <v>772000000</v>
      </c>
      <c r="W42">
        <v>1.99</v>
      </c>
      <c r="X42">
        <v>0.05</v>
      </c>
      <c r="Y42">
        <v>4.63</v>
      </c>
      <c r="Z42" t="s">
        <v>141</v>
      </c>
      <c r="AA42" t="s">
        <v>129</v>
      </c>
      <c r="AB42" t="s">
        <v>1860</v>
      </c>
      <c r="AC42" t="s">
        <v>1861</v>
      </c>
      <c r="AD42" t="s">
        <v>15</v>
      </c>
      <c r="AE42">
        <v>4109816</v>
      </c>
      <c r="AF42" t="s">
        <v>1322</v>
      </c>
      <c r="AG42">
        <v>5810.9</v>
      </c>
      <c r="AH42" t="s">
        <v>1323</v>
      </c>
      <c r="AI42" t="s">
        <v>113</v>
      </c>
      <c r="AJ42" t="s">
        <v>1324</v>
      </c>
      <c r="AK42" t="s">
        <v>686</v>
      </c>
      <c r="AL42" t="s">
        <v>1325</v>
      </c>
      <c r="AM42" t="s">
        <v>15</v>
      </c>
      <c r="AN42" t="s">
        <v>1862</v>
      </c>
      <c r="AO42" t="s">
        <v>769</v>
      </c>
      <c r="AP42" t="s">
        <v>295</v>
      </c>
      <c r="AQ42" t="s">
        <v>1863</v>
      </c>
      <c r="AR42" t="s">
        <v>15</v>
      </c>
      <c r="AS42" t="s">
        <v>1864</v>
      </c>
      <c r="AT42" t="s">
        <v>1865</v>
      </c>
      <c r="AU42" t="s">
        <v>1866</v>
      </c>
      <c r="AV42" t="s">
        <v>1867</v>
      </c>
      <c r="AW42" t="s">
        <v>1868</v>
      </c>
      <c r="AX42" t="s">
        <v>873</v>
      </c>
      <c r="AY42" t="s">
        <v>874</v>
      </c>
      <c r="AZ42" t="s">
        <v>482</v>
      </c>
      <c r="BA42" t="s">
        <v>483</v>
      </c>
      <c r="BB42" t="s">
        <v>484</v>
      </c>
      <c r="BC42" t="s">
        <v>848</v>
      </c>
      <c r="BD42" t="s">
        <v>336</v>
      </c>
      <c r="BE42" t="s">
        <v>348</v>
      </c>
      <c r="BF42" t="s">
        <v>249</v>
      </c>
      <c r="BG42" t="s">
        <v>148</v>
      </c>
      <c r="BH42" t="s">
        <v>1321</v>
      </c>
      <c r="BI42" t="s">
        <v>118</v>
      </c>
      <c r="BJ42" t="s">
        <v>873</v>
      </c>
      <c r="BK42" t="s">
        <v>57</v>
      </c>
      <c r="BL42" t="s">
        <v>2186</v>
      </c>
      <c r="BM42" t="s">
        <v>848</v>
      </c>
      <c r="BN42">
        <v>6.24</v>
      </c>
      <c r="BO42">
        <v>17.45</v>
      </c>
      <c r="BP42">
        <v>19.489999999999998</v>
      </c>
      <c r="BQ42">
        <v>6.98</v>
      </c>
      <c r="BR42">
        <v>19.5</v>
      </c>
      <c r="BS42">
        <v>20.88</v>
      </c>
      <c r="BT42" t="s">
        <v>1326</v>
      </c>
      <c r="BU42" t="s">
        <v>667</v>
      </c>
      <c r="BV42">
        <v>41.85</v>
      </c>
      <c r="BW42">
        <v>46.59</v>
      </c>
      <c r="BX42">
        <v>47.59</v>
      </c>
      <c r="BY42">
        <v>14.15</v>
      </c>
      <c r="BZ42">
        <v>19.22</v>
      </c>
      <c r="CA42">
        <v>19.95</v>
      </c>
      <c r="CB42">
        <v>5.12</v>
      </c>
      <c r="CC42">
        <v>-8</v>
      </c>
      <c r="CD42" t="s">
        <v>2187</v>
      </c>
      <c r="CE42" t="s">
        <v>326</v>
      </c>
      <c r="CF42" s="9">
        <v>3.813559322033911E-2</v>
      </c>
      <c r="CG42" s="10">
        <v>1.4023350696877366</v>
      </c>
      <c r="CH42" s="9">
        <v>-0.19108910858631134</v>
      </c>
      <c r="CI42" s="9">
        <v>0.16999712586402893</v>
      </c>
      <c r="CJ42" s="9">
        <v>0.28078633546829224</v>
      </c>
      <c r="CK42" s="9">
        <v>0.25922471284866333</v>
      </c>
      <c r="CL42" s="9">
        <v>0.31672811508178711</v>
      </c>
      <c r="CM42" s="10">
        <v>-0.43225806951522827</v>
      </c>
      <c r="CN42" s="10">
        <v>0.11031518876552582</v>
      </c>
      <c r="CO42" s="10">
        <v>0.33460801839828491</v>
      </c>
      <c r="CP42" s="10">
        <v>0.5159420371055603</v>
      </c>
      <c r="CQ42" s="10">
        <v>0.53333336114883423</v>
      </c>
      <c r="CR42">
        <v>27.828982035928142</v>
      </c>
      <c r="CS42">
        <v>1.6651155343694484</v>
      </c>
      <c r="CT42">
        <v>0.33222591362126247</v>
      </c>
      <c r="CU42" s="9">
        <v>0.16712943613529205</v>
      </c>
      <c r="CV42" s="10">
        <v>0.21238810718059539</v>
      </c>
      <c r="CW42">
        <v>0.06</v>
      </c>
      <c r="CX42">
        <v>29.240932214237002</v>
      </c>
      <c r="CY42">
        <v>484468822.54672498</v>
      </c>
      <c r="CZ42">
        <v>0.16712943613529205</v>
      </c>
      <c r="DA42">
        <v>8.9567370588006483</v>
      </c>
      <c r="DB42">
        <v>1581638481.4021704</v>
      </c>
      <c r="DC42">
        <v>0.15877296432852744</v>
      </c>
      <c r="DD42">
        <v>4.0337972151953618</v>
      </c>
      <c r="DE42">
        <v>3511906832.261003</v>
      </c>
      <c r="DF42">
        <v>0.14707390379905699</v>
      </c>
      <c r="DG42">
        <v>2.1836092587336222</v>
      </c>
      <c r="DH42">
        <v>6487570953.1547394</v>
      </c>
      <c r="DI42">
        <v>0.13370354890823363</v>
      </c>
      <c r="DJ42">
        <v>0.88785671547172074</v>
      </c>
      <c r="DK42">
        <v>15955637608.117201</v>
      </c>
      <c r="DL42">
        <v>0.11699060529470443</v>
      </c>
      <c r="DM42">
        <v>440000000.00000006</v>
      </c>
      <c r="DN42">
        <v>0.16712943613529205</v>
      </c>
      <c r="DO42">
        <v>14166320000</v>
      </c>
      <c r="DP42">
        <v>4437369900</v>
      </c>
      <c r="DQ42">
        <v>4269</v>
      </c>
      <c r="DR42">
        <v>-0.12899384291495294</v>
      </c>
      <c r="DS42">
        <v>1.1899469625071413</v>
      </c>
      <c r="DT42" s="11">
        <v>-0.10666666666666676</v>
      </c>
      <c r="DU42">
        <v>0.40333333333333327</v>
      </c>
      <c r="DV42">
        <v>0.29666666666666652</v>
      </c>
      <c r="DW42">
        <v>6.3902439024390247</v>
      </c>
      <c r="DX42">
        <v>0.4645932692307706</v>
      </c>
      <c r="DY42">
        <v>6.0720363977485929</v>
      </c>
      <c r="DZ42">
        <v>1133</v>
      </c>
      <c r="EA42">
        <v>6.0560580816465652</v>
      </c>
      <c r="EB42">
        <v>6</v>
      </c>
      <c r="EC42">
        <v>7.4602461139896381E-2</v>
      </c>
      <c r="ED42">
        <v>0.40414507772020725</v>
      </c>
      <c r="EE42" s="12">
        <v>-2.1337999999999999</v>
      </c>
      <c r="EF42">
        <v>-2.1326999999999998</v>
      </c>
      <c r="EG42">
        <v>28.184593269230771</v>
      </c>
      <c r="EH42" t="s">
        <v>883</v>
      </c>
      <c r="EI42">
        <v>0</v>
      </c>
      <c r="EJ42">
        <v>1</v>
      </c>
      <c r="EK42" s="14">
        <v>45505</v>
      </c>
      <c r="EL42" s="15">
        <v>-0.46</v>
      </c>
      <c r="EM42" s="15">
        <v>5.01</v>
      </c>
      <c r="EN42" s="15">
        <v>-1.39</v>
      </c>
      <c r="EO42" s="15">
        <v>0.39</v>
      </c>
      <c r="EP42" s="15">
        <v>-0.11</v>
      </c>
    </row>
    <row r="43" spans="1:146" ht="144" x14ac:dyDescent="0.25">
      <c r="A43" s="8" t="s">
        <v>639</v>
      </c>
      <c r="B43" s="8" t="s">
        <v>640</v>
      </c>
      <c r="C43" s="8" t="s">
        <v>638</v>
      </c>
      <c r="D43" t="s">
        <v>486</v>
      </c>
      <c r="E43" t="s">
        <v>487</v>
      </c>
      <c r="F43">
        <v>27.38</v>
      </c>
      <c r="G43">
        <v>-0.65</v>
      </c>
      <c r="H43" t="s">
        <v>2188</v>
      </c>
      <c r="I43">
        <v>12278246500</v>
      </c>
      <c r="J43">
        <v>22.62</v>
      </c>
      <c r="K43">
        <v>2.63</v>
      </c>
      <c r="L43" t="s">
        <v>667</v>
      </c>
      <c r="M43" t="s">
        <v>1327</v>
      </c>
      <c r="N43" t="s">
        <v>1869</v>
      </c>
      <c r="O43" t="s">
        <v>1328</v>
      </c>
      <c r="P43">
        <v>27.47</v>
      </c>
      <c r="Q43" t="s">
        <v>871</v>
      </c>
      <c r="R43">
        <v>128567051</v>
      </c>
      <c r="S43" s="6">
        <v>0.5756</v>
      </c>
      <c r="T43" t="s">
        <v>418</v>
      </c>
      <c r="U43">
        <v>448438520</v>
      </c>
      <c r="V43">
        <v>448438520</v>
      </c>
      <c r="W43">
        <v>1.68</v>
      </c>
      <c r="X43">
        <v>0.12</v>
      </c>
      <c r="Y43">
        <v>10.119999999999999</v>
      </c>
      <c r="Z43" t="s">
        <v>329</v>
      </c>
      <c r="AA43" t="s">
        <v>1267</v>
      </c>
      <c r="AB43" t="s">
        <v>1870</v>
      </c>
      <c r="AC43" t="s">
        <v>1871</v>
      </c>
      <c r="AD43" t="s">
        <v>15</v>
      </c>
      <c r="AE43">
        <v>11991494</v>
      </c>
      <c r="AF43" t="s">
        <v>1329</v>
      </c>
      <c r="AG43" t="s">
        <v>1872</v>
      </c>
      <c r="AH43" t="s">
        <v>1330</v>
      </c>
      <c r="AI43" t="s">
        <v>847</v>
      </c>
      <c r="AJ43" t="s">
        <v>1331</v>
      </c>
      <c r="AK43" t="s">
        <v>214</v>
      </c>
      <c r="AL43" t="s">
        <v>1332</v>
      </c>
      <c r="AM43" t="s">
        <v>15</v>
      </c>
      <c r="AN43" t="s">
        <v>1873</v>
      </c>
      <c r="AO43" t="s">
        <v>1014</v>
      </c>
      <c r="AP43" t="s">
        <v>50</v>
      </c>
      <c r="AQ43" t="s">
        <v>1874</v>
      </c>
      <c r="AR43" t="s">
        <v>15</v>
      </c>
      <c r="AS43" t="s">
        <v>1875</v>
      </c>
      <c r="AT43" t="s">
        <v>15</v>
      </c>
      <c r="AU43" t="s">
        <v>107</v>
      </c>
      <c r="AV43" t="s">
        <v>1876</v>
      </c>
      <c r="AW43" t="s">
        <v>1877</v>
      </c>
      <c r="AX43" t="s">
        <v>875</v>
      </c>
      <c r="AY43" t="s">
        <v>637</v>
      </c>
      <c r="AZ43" t="s">
        <v>488</v>
      </c>
      <c r="BA43" t="s">
        <v>265</v>
      </c>
      <c r="BB43" t="s">
        <v>280</v>
      </c>
      <c r="BC43" t="s">
        <v>561</v>
      </c>
      <c r="BD43" t="s">
        <v>316</v>
      </c>
      <c r="BE43" t="s">
        <v>479</v>
      </c>
      <c r="BF43" t="s">
        <v>145</v>
      </c>
      <c r="BG43" t="s">
        <v>137</v>
      </c>
      <c r="BH43" t="s">
        <v>871</v>
      </c>
      <c r="BI43" t="s">
        <v>2189</v>
      </c>
      <c r="BJ43" t="s">
        <v>875</v>
      </c>
      <c r="BK43" t="s">
        <v>418</v>
      </c>
      <c r="BL43" t="s">
        <v>2190</v>
      </c>
      <c r="BM43" t="s">
        <v>561</v>
      </c>
      <c r="BN43">
        <v>6.56</v>
      </c>
      <c r="BO43">
        <v>6.64</v>
      </c>
      <c r="BP43">
        <v>13.06</v>
      </c>
      <c r="BQ43">
        <v>8.8699999999999992</v>
      </c>
      <c r="BR43">
        <v>8.43</v>
      </c>
      <c r="BS43">
        <v>14.74</v>
      </c>
      <c r="BT43" t="s">
        <v>853</v>
      </c>
      <c r="BU43" t="s">
        <v>667</v>
      </c>
      <c r="BV43">
        <v>50.02</v>
      </c>
      <c r="BW43">
        <v>46.58</v>
      </c>
      <c r="BX43">
        <v>58.34</v>
      </c>
      <c r="BY43">
        <v>11.86</v>
      </c>
      <c r="BZ43">
        <v>10.83</v>
      </c>
      <c r="CA43">
        <v>25.78</v>
      </c>
      <c r="CB43">
        <v>7.8</v>
      </c>
      <c r="CC43">
        <v>-8.9499999999999993</v>
      </c>
      <c r="CD43" t="s">
        <v>2191</v>
      </c>
      <c r="CE43" t="s">
        <v>34</v>
      </c>
      <c r="CF43" s="9">
        <v>0.27468354430379749</v>
      </c>
      <c r="CG43" s="10">
        <v>0.5756364641303775</v>
      </c>
      <c r="CH43" s="9">
        <v>0.34504908323287964</v>
      </c>
      <c r="CI43" s="9">
        <v>0.48651692271232605</v>
      </c>
      <c r="CJ43" s="9">
        <v>0.14029473066329956</v>
      </c>
      <c r="CK43" s="9">
        <v>1.2788320779800415</v>
      </c>
      <c r="CL43" s="9">
        <v>0.78385418653488159</v>
      </c>
      <c r="CM43" s="10">
        <v>0.58466452360153198</v>
      </c>
      <c r="CN43" s="10">
        <v>-0.32104122638702393</v>
      </c>
      <c r="CO43" s="10">
        <v>-0.21061643958091736</v>
      </c>
      <c r="CP43" s="10">
        <v>1.8910890817642212</v>
      </c>
      <c r="CQ43" s="10">
        <v>0.61599999666213989</v>
      </c>
      <c r="CR43">
        <v>33.777844566712517</v>
      </c>
      <c r="CS43">
        <v>0.55655497433731504</v>
      </c>
      <c r="CT43">
        <v>0.43827611395178961</v>
      </c>
      <c r="CU43" s="9">
        <v>0.60690940022468565</v>
      </c>
      <c r="CV43" s="10">
        <v>0.51201918721199036</v>
      </c>
      <c r="CW43">
        <v>0.06</v>
      </c>
      <c r="CX43">
        <v>13.673464556723905</v>
      </c>
      <c r="CY43">
        <v>751912323.12400389</v>
      </c>
      <c r="CZ43">
        <v>0.60690940022468565</v>
      </c>
      <c r="DA43">
        <v>2.9655862115208542</v>
      </c>
      <c r="DB43">
        <v>3466851329.4467416</v>
      </c>
      <c r="DC43">
        <v>0.57656393021345131</v>
      </c>
      <c r="DD43">
        <v>0.78226478251648446</v>
      </c>
      <c r="DE43">
        <v>13142923891.992218</v>
      </c>
      <c r="DF43">
        <v>0.53408027219772336</v>
      </c>
      <c r="DG43">
        <v>0.21036983606456039</v>
      </c>
      <c r="DH43">
        <v>48872246574.574448</v>
      </c>
      <c r="DI43">
        <v>0.48552752017974854</v>
      </c>
      <c r="DJ43">
        <v>1.4351136426843833E-2</v>
      </c>
      <c r="DK43">
        <v>716406435992.68591</v>
      </c>
      <c r="DL43">
        <v>0.42483658015727993</v>
      </c>
      <c r="DM43">
        <v>496000000</v>
      </c>
      <c r="DN43">
        <v>0.60690940022468565</v>
      </c>
      <c r="DO43">
        <v>10281246500</v>
      </c>
      <c r="DP43">
        <v>2898534000</v>
      </c>
      <c r="DQ43">
        <v>4537</v>
      </c>
      <c r="DR43">
        <v>-0.33222585592088816</v>
      </c>
      <c r="DS43">
        <v>6.3617276918387144E-2</v>
      </c>
      <c r="DT43" s="11">
        <v>0.31</v>
      </c>
      <c r="DU43">
        <v>0.74166666666666659</v>
      </c>
      <c r="DV43">
        <v>1.0516666666666665</v>
      </c>
      <c r="DW43">
        <v>7.4656716417910447</v>
      </c>
      <c r="DX43">
        <v>0.38294114285714453</v>
      </c>
      <c r="DY43">
        <v>7.0805337859275053</v>
      </c>
      <c r="DZ43">
        <v>210</v>
      </c>
      <c r="EA43">
        <v>7.0772228824340093</v>
      </c>
      <c r="EB43">
        <v>7</v>
      </c>
      <c r="EC43">
        <v>6.7489072972589409E-2</v>
      </c>
      <c r="ED43">
        <v>0.39024301480613216</v>
      </c>
      <c r="EE43" s="12">
        <v>1.0077100000000001</v>
      </c>
      <c r="EF43">
        <v>1.0142100000000001</v>
      </c>
      <c r="EG43">
        <v>21.172941142857145</v>
      </c>
      <c r="EH43" t="s">
        <v>798</v>
      </c>
      <c r="EI43">
        <v>1</v>
      </c>
      <c r="EJ43">
        <v>1</v>
      </c>
      <c r="EK43" s="14">
        <v>45505</v>
      </c>
      <c r="EL43" s="15">
        <v>0.83</v>
      </c>
      <c r="EM43" s="15">
        <v>5.39</v>
      </c>
      <c r="EN43" s="15">
        <v>-2.39</v>
      </c>
      <c r="EO43" s="15">
        <v>5.8</v>
      </c>
      <c r="EP43" s="15">
        <v>-0.65</v>
      </c>
    </row>
    <row r="44" spans="1:146" ht="84" x14ac:dyDescent="0.25">
      <c r="A44" s="8"/>
      <c r="B44" s="8"/>
      <c r="C44" s="8" t="str">
        <f>""&amp;CHAR(10)&amp;Basic_Fundamental_Information_Constructure(F44)&amp;CHAR(10)&amp;Basic_Fundamental_Information_Concatenate("")</f>
        <v xml:space="preserve">
市值13.92亿, 利润-3916.79万; PE; 平均PE87.59; 平均PEG29.57, PB1.22; ROIC0%; ROE-1.26%; 股利率0%; 毛利36.34%; 净利-14.04%; 上一年度营收增8%, 利润增-58.76%; 当季营收增18.08%, 利润增30.75%; 过往5年营收增-2.96%, 利润增-335.9%
Income profile:
</v>
      </c>
      <c r="D44" t="s">
        <v>191</v>
      </c>
      <c r="E44" t="s">
        <v>192</v>
      </c>
      <c r="F44">
        <v>13.92</v>
      </c>
      <c r="G44">
        <v>1.02</v>
      </c>
      <c r="H44" t="s">
        <v>2192</v>
      </c>
      <c r="I44">
        <v>1392000000</v>
      </c>
      <c r="K44">
        <v>1.22</v>
      </c>
      <c r="L44" t="s">
        <v>667</v>
      </c>
      <c r="M44" t="s">
        <v>233</v>
      </c>
      <c r="N44" t="s">
        <v>1878</v>
      </c>
      <c r="O44" t="s">
        <v>1333</v>
      </c>
      <c r="P44">
        <v>18.079999999999998</v>
      </c>
      <c r="Q44" t="s">
        <v>282</v>
      </c>
      <c r="R44">
        <v>-4660900</v>
      </c>
      <c r="S44" s="6">
        <v>0.3075</v>
      </c>
      <c r="T44" t="s">
        <v>1334</v>
      </c>
      <c r="U44">
        <v>100000000</v>
      </c>
      <c r="V44">
        <v>100000000</v>
      </c>
      <c r="W44">
        <v>1.1499999999999999</v>
      </c>
      <c r="X44">
        <v>0.03</v>
      </c>
      <c r="Y44">
        <v>-15.6</v>
      </c>
      <c r="Z44" t="s">
        <v>1879</v>
      </c>
      <c r="AA44" t="s">
        <v>1880</v>
      </c>
      <c r="AB44" t="s">
        <v>1881</v>
      </c>
      <c r="AC44" t="s">
        <v>1882</v>
      </c>
      <c r="AD44" t="s">
        <v>15</v>
      </c>
      <c r="AE44">
        <v>-2346112</v>
      </c>
      <c r="AF44" t="s">
        <v>1335</v>
      </c>
      <c r="AG44" t="s">
        <v>1883</v>
      </c>
      <c r="AH44" t="s">
        <v>1336</v>
      </c>
      <c r="AI44" t="s">
        <v>1419</v>
      </c>
      <c r="AJ44" t="s">
        <v>1337</v>
      </c>
      <c r="AK44" t="s">
        <v>1884</v>
      </c>
      <c r="AL44" t="s">
        <v>1338</v>
      </c>
      <c r="AM44" t="s">
        <v>15</v>
      </c>
      <c r="AN44" t="s">
        <v>1339</v>
      </c>
      <c r="AO44" t="s">
        <v>1885</v>
      </c>
      <c r="AP44" t="s">
        <v>1886</v>
      </c>
      <c r="AQ44" t="s">
        <v>1887</v>
      </c>
      <c r="AR44" t="s">
        <v>1888</v>
      </c>
      <c r="AS44" t="s">
        <v>225</v>
      </c>
      <c r="AT44" t="s">
        <v>15</v>
      </c>
      <c r="AU44" t="s">
        <v>1889</v>
      </c>
      <c r="AV44" t="s">
        <v>1890</v>
      </c>
      <c r="AW44" t="s">
        <v>1891</v>
      </c>
      <c r="AX44" t="s">
        <v>33</v>
      </c>
      <c r="AY44" t="s">
        <v>179</v>
      </c>
      <c r="AZ44" t="s">
        <v>79</v>
      </c>
      <c r="BA44" t="s">
        <v>155</v>
      </c>
      <c r="BB44" t="s">
        <v>301</v>
      </c>
      <c r="BC44" t="s">
        <v>876</v>
      </c>
      <c r="BD44" t="s">
        <v>552</v>
      </c>
      <c r="BE44" t="s">
        <v>345</v>
      </c>
      <c r="BF44" t="s">
        <v>193</v>
      </c>
      <c r="BG44" t="s">
        <v>346</v>
      </c>
      <c r="BH44" t="s">
        <v>282</v>
      </c>
      <c r="BI44" t="s">
        <v>2193</v>
      </c>
      <c r="BJ44" t="s">
        <v>33</v>
      </c>
      <c r="BK44" t="s">
        <v>1334</v>
      </c>
      <c r="BL44" t="s">
        <v>2194</v>
      </c>
      <c r="BM44" t="s">
        <v>876</v>
      </c>
      <c r="BN44" t="s">
        <v>15</v>
      </c>
      <c r="BO44" t="s">
        <v>15</v>
      </c>
      <c r="BP44" t="s">
        <v>15</v>
      </c>
      <c r="BQ44">
        <v>-1.91</v>
      </c>
      <c r="BR44">
        <v>-2.02</v>
      </c>
      <c r="BS44">
        <v>0.15</v>
      </c>
      <c r="BT44" t="s">
        <v>781</v>
      </c>
      <c r="BU44" t="s">
        <v>667</v>
      </c>
      <c r="BV44">
        <v>35.17</v>
      </c>
      <c r="BW44">
        <v>26.13</v>
      </c>
      <c r="BX44">
        <v>47.72</v>
      </c>
      <c r="BY44">
        <v>-25.08</v>
      </c>
      <c r="BZ44">
        <v>-17.68</v>
      </c>
      <c r="CA44">
        <v>0.64</v>
      </c>
      <c r="CB44">
        <v>8.41</v>
      </c>
      <c r="CC44">
        <v>-11.34</v>
      </c>
      <c r="CD44" t="s">
        <v>2195</v>
      </c>
      <c r="CE44" t="s">
        <v>2196</v>
      </c>
      <c r="CF44" s="9">
        <v>0.18077017414765759</v>
      </c>
      <c r="CG44" s="10">
        <v>0.30752659416414097</v>
      </c>
      <c r="CH44" s="9">
        <v>7.9999998211860657E-2</v>
      </c>
      <c r="CI44" s="9">
        <v>4.1666667908430099E-2</v>
      </c>
      <c r="CJ44" s="9">
        <v>0.16129031777381897</v>
      </c>
      <c r="CK44" s="9">
        <v>-0.3541666567325592</v>
      </c>
      <c r="CL44" s="9">
        <v>-7.6923079788684845E-2</v>
      </c>
      <c r="CM44" s="10">
        <v>-0.58756387233734131</v>
      </c>
      <c r="CN44" s="10">
        <v>-14.515036582946777</v>
      </c>
      <c r="CO44" s="10">
        <v>-0.92454397678375244</v>
      </c>
      <c r="CP44" s="10">
        <v>-0.60007834434509277</v>
      </c>
      <c r="CQ44" s="10">
        <v>-0.16762039065361023</v>
      </c>
      <c r="CR44">
        <v>87.593996790737179</v>
      </c>
      <c r="CS44">
        <v>29.566046413523569</v>
      </c>
      <c r="CT44">
        <v>0</v>
      </c>
      <c r="CU44" s="9">
        <v>-2.9626550525426863E-2</v>
      </c>
      <c r="CV44" s="10">
        <v>-3.3589686334133146</v>
      </c>
      <c r="CW44">
        <v>0.06</v>
      </c>
      <c r="CX44" t="e">
        <v>#VALUE!</v>
      </c>
      <c r="CY44" t="s">
        <v>568</v>
      </c>
      <c r="CZ44">
        <v>-2.9626550525426863E-2</v>
      </c>
      <c r="DA44" t="e">
        <v>#VALUE!</v>
      </c>
      <c r="DB44" t="s">
        <v>569</v>
      </c>
      <c r="DC44">
        <v>-2.814522299915552E-2</v>
      </c>
      <c r="DD44" t="e">
        <v>#VALUE!</v>
      </c>
      <c r="DE44" t="s">
        <v>569</v>
      </c>
      <c r="DF44">
        <v>-2.6071364462375641E-2</v>
      </c>
      <c r="DG44" t="e">
        <v>#VALUE!</v>
      </c>
      <c r="DH44" t="s">
        <v>569</v>
      </c>
      <c r="DI44">
        <v>-2.3701240420341493E-2</v>
      </c>
      <c r="DJ44" t="e">
        <v>#VALUE!</v>
      </c>
      <c r="DK44" t="s">
        <v>569</v>
      </c>
      <c r="DL44">
        <v>-2.0738585367798802E-2</v>
      </c>
      <c r="DM44">
        <v>-39167900</v>
      </c>
      <c r="DN44">
        <v>-2.9626550525426863E-2</v>
      </c>
      <c r="DO44">
        <v>416000000</v>
      </c>
      <c r="DP44">
        <v>891728180</v>
      </c>
      <c r="DQ44">
        <v>4546</v>
      </c>
      <c r="DR44">
        <v>0.21039672467308446</v>
      </c>
      <c r="DS44">
        <v>3.6664952275774558</v>
      </c>
      <c r="DT44" s="11">
        <v>-0.42333333333333334</v>
      </c>
      <c r="DU44">
        <v>-2.1383333333333332</v>
      </c>
      <c r="DV44">
        <v>-2.5616666666666665</v>
      </c>
      <c r="DW44">
        <v>7.4258227848101264</v>
      </c>
      <c r="DX44">
        <v>0.53924430431703796</v>
      </c>
      <c r="DY44">
        <v>7.0763263088256343</v>
      </c>
      <c r="DZ44">
        <v>4687</v>
      </c>
      <c r="EA44">
        <v>7.0062907940516039</v>
      </c>
      <c r="EB44">
        <v>7</v>
      </c>
      <c r="EC44">
        <v>3.9738999999999997E-2</v>
      </c>
      <c r="ED44">
        <v>0.22170300000000004</v>
      </c>
      <c r="EE44" s="12">
        <v>4.0678000000000001</v>
      </c>
      <c r="EF44">
        <v>4.0780000000000003</v>
      </c>
      <c r="EG44">
        <v>36.179244304317038</v>
      </c>
      <c r="EH44" t="s">
        <v>907</v>
      </c>
      <c r="EI44">
        <v>1</v>
      </c>
      <c r="EJ44">
        <v>0</v>
      </c>
      <c r="EK44" s="14">
        <v>45505</v>
      </c>
      <c r="EL44" s="15">
        <v>-1</v>
      </c>
      <c r="EM44" s="15">
        <v>3.35</v>
      </c>
      <c r="EN44" s="15">
        <v>0.68</v>
      </c>
      <c r="EO44" s="15">
        <v>2.61</v>
      </c>
      <c r="EP44" s="15">
        <v>1.02</v>
      </c>
    </row>
    <row r="45" spans="1:146" ht="84" x14ac:dyDescent="0.25">
      <c r="A45" s="8"/>
      <c r="B45" s="8"/>
      <c r="C45" s="8" t="str">
        <f>""&amp;CHAR(10)&amp;Basic_Fundamental_Information_Constructure(F45)&amp;CHAR(10)&amp;Basic_Fundamental_Information_Concatenate("")</f>
        <v xml:space="preserve">
市值23.08亿, 利润4309.77万; PE95.15; 平均PE37.51; 平均PEG1.33, PB1.38; ROIC15.2633%; ROE16.66%; 股利率1.3432%; 毛利65.1833%; 净利35.0967%; 上一年度营收增-19.75%, 利润增-55.75%; 当季营收增-55.01%, 利润增-80.47%; 过往5年营收增28.24%, 利润增29.66%
Income profile:
</v>
      </c>
      <c r="D45" t="s">
        <v>617</v>
      </c>
      <c r="E45" t="s">
        <v>618</v>
      </c>
      <c r="F45">
        <v>23.08</v>
      </c>
      <c r="G45">
        <v>2.2599999999999998</v>
      </c>
      <c r="H45" t="s">
        <v>2197</v>
      </c>
      <c r="I45">
        <v>2308000000</v>
      </c>
      <c r="J45">
        <v>95.15</v>
      </c>
      <c r="K45">
        <v>1.38</v>
      </c>
      <c r="L45" t="s">
        <v>667</v>
      </c>
      <c r="M45" t="s">
        <v>152</v>
      </c>
      <c r="N45" t="s">
        <v>1892</v>
      </c>
      <c r="O45" t="s">
        <v>1340</v>
      </c>
      <c r="P45">
        <v>-55.01</v>
      </c>
      <c r="Q45" t="s">
        <v>139</v>
      </c>
      <c r="R45">
        <v>4571727</v>
      </c>
      <c r="S45" s="6">
        <v>-0.80469999999999997</v>
      </c>
      <c r="T45" t="s">
        <v>1341</v>
      </c>
      <c r="U45">
        <v>43273800</v>
      </c>
      <c r="V45">
        <v>100000000</v>
      </c>
      <c r="W45">
        <v>1.06</v>
      </c>
      <c r="X45">
        <v>0.02</v>
      </c>
      <c r="Y45">
        <v>11.43</v>
      </c>
      <c r="Z45" t="s">
        <v>1893</v>
      </c>
      <c r="AA45" t="s">
        <v>1894</v>
      </c>
      <c r="AB45" t="s">
        <v>1895</v>
      </c>
      <c r="AC45" t="s">
        <v>1896</v>
      </c>
      <c r="AD45" t="s">
        <v>15</v>
      </c>
      <c r="AE45">
        <v>-506271</v>
      </c>
      <c r="AF45" t="s">
        <v>1342</v>
      </c>
      <c r="AG45">
        <v>-1377.54</v>
      </c>
      <c r="AH45" t="s">
        <v>1343</v>
      </c>
      <c r="AI45" t="s">
        <v>310</v>
      </c>
      <c r="AJ45" t="s">
        <v>1344</v>
      </c>
      <c r="AK45" t="s">
        <v>1897</v>
      </c>
      <c r="AL45" t="s">
        <v>1345</v>
      </c>
      <c r="AM45" t="s">
        <v>15</v>
      </c>
      <c r="AN45" t="s">
        <v>268</v>
      </c>
      <c r="AO45" t="s">
        <v>15</v>
      </c>
      <c r="AP45" t="s">
        <v>1898</v>
      </c>
      <c r="AQ45" t="s">
        <v>1899</v>
      </c>
      <c r="AR45" t="s">
        <v>1900</v>
      </c>
      <c r="AS45" t="s">
        <v>1901</v>
      </c>
      <c r="AT45" t="s">
        <v>15</v>
      </c>
      <c r="AU45" t="s">
        <v>1902</v>
      </c>
      <c r="AV45" t="s">
        <v>1903</v>
      </c>
      <c r="AW45" t="s">
        <v>1904</v>
      </c>
      <c r="AX45" t="s">
        <v>785</v>
      </c>
      <c r="AY45" t="s">
        <v>91</v>
      </c>
      <c r="AZ45" t="s">
        <v>109</v>
      </c>
      <c r="BA45" t="s">
        <v>115</v>
      </c>
      <c r="BB45" t="s">
        <v>619</v>
      </c>
      <c r="BC45" t="s">
        <v>1346</v>
      </c>
      <c r="BD45" t="s">
        <v>623</v>
      </c>
      <c r="BE45" t="s">
        <v>620</v>
      </c>
      <c r="BF45" t="s">
        <v>621</v>
      </c>
      <c r="BG45" t="s">
        <v>622</v>
      </c>
      <c r="BH45" t="s">
        <v>139</v>
      </c>
      <c r="BI45" t="s">
        <v>2198</v>
      </c>
      <c r="BJ45" t="s">
        <v>785</v>
      </c>
      <c r="BK45" t="s">
        <v>1341</v>
      </c>
      <c r="BL45" t="s">
        <v>2199</v>
      </c>
      <c r="BM45" t="s">
        <v>1346</v>
      </c>
      <c r="BN45">
        <v>2.78</v>
      </c>
      <c r="BO45">
        <v>9.64</v>
      </c>
      <c r="BP45">
        <v>33.369999999999997</v>
      </c>
      <c r="BQ45">
        <v>2.97</v>
      </c>
      <c r="BR45">
        <v>10.97</v>
      </c>
      <c r="BS45">
        <v>36.04</v>
      </c>
      <c r="BT45" t="s">
        <v>1347</v>
      </c>
      <c r="BU45" t="s">
        <v>667</v>
      </c>
      <c r="BV45">
        <v>52.75</v>
      </c>
      <c r="BW45">
        <v>68.16</v>
      </c>
      <c r="BX45">
        <v>74.64</v>
      </c>
      <c r="BY45">
        <v>21.46</v>
      </c>
      <c r="BZ45">
        <v>40.119999999999997</v>
      </c>
      <c r="CA45">
        <v>43.71</v>
      </c>
      <c r="CB45">
        <v>15.11</v>
      </c>
      <c r="CC45">
        <v>-20.14</v>
      </c>
      <c r="CD45" t="s">
        <v>2200</v>
      </c>
      <c r="CE45" t="s">
        <v>2201</v>
      </c>
      <c r="CF45" s="9">
        <v>-0.55005539914060708</v>
      </c>
      <c r="CG45" s="10">
        <v>-0.80473886748614043</v>
      </c>
      <c r="CH45" s="9">
        <v>-0.19753086566925049</v>
      </c>
      <c r="CI45" s="9">
        <v>9.4594597816467285E-2</v>
      </c>
      <c r="CJ45" s="9">
        <v>0.33734938502311707</v>
      </c>
      <c r="CK45" s="9">
        <v>0.58095240592956543</v>
      </c>
      <c r="CL45" s="9">
        <v>0.59678089618682861</v>
      </c>
      <c r="CM45" s="10">
        <v>-0.55748802423477173</v>
      </c>
      <c r="CN45" s="10">
        <v>3.42771434225142E-3</v>
      </c>
      <c r="CO45" s="10">
        <v>0.28566104173660278</v>
      </c>
      <c r="CP45" s="10">
        <v>1.2299491167068481</v>
      </c>
      <c r="CQ45" s="10">
        <v>0.52162325382232666</v>
      </c>
      <c r="CR45">
        <v>37.513165365661258</v>
      </c>
      <c r="CS45">
        <v>1.3282321455238715</v>
      </c>
      <c r="CT45">
        <v>1.3431542461005201</v>
      </c>
      <c r="CU45" s="9">
        <v>0.28242928385734556</v>
      </c>
      <c r="CV45" s="10">
        <v>0.29663462047465144</v>
      </c>
      <c r="CW45">
        <v>0.06</v>
      </c>
      <c r="CX45">
        <v>13.425064629525552</v>
      </c>
      <c r="CY45">
        <v>52141275.987640314</v>
      </c>
      <c r="CZ45">
        <v>0.28242928385734556</v>
      </c>
      <c r="DA45">
        <v>3.7414297780490835</v>
      </c>
      <c r="DB45">
        <v>187094250.46726528</v>
      </c>
      <c r="DC45">
        <v>0.26830781966447825</v>
      </c>
      <c r="DD45">
        <v>1.4683256548672141</v>
      </c>
      <c r="DE45">
        <v>476733480.53249365</v>
      </c>
      <c r="DF45">
        <v>0.2485377697944641</v>
      </c>
      <c r="DG45">
        <v>0.66987894324416797</v>
      </c>
      <c r="DH45">
        <v>1044964925.4684111</v>
      </c>
      <c r="DI45">
        <v>0.22594342708587645</v>
      </c>
      <c r="DJ45">
        <v>0.17777809003479944</v>
      </c>
      <c r="DK45">
        <v>3937493084.0070195</v>
      </c>
      <c r="DL45">
        <v>0.19770049870014189</v>
      </c>
      <c r="DM45">
        <v>43097700.000000007</v>
      </c>
      <c r="DN45">
        <v>0.28242928385734556</v>
      </c>
      <c r="DO45">
        <v>700000000</v>
      </c>
      <c r="DP45">
        <v>1211820610</v>
      </c>
      <c r="DQ45">
        <v>4581</v>
      </c>
      <c r="DR45">
        <v>-0.83248468299795264</v>
      </c>
      <c r="DS45">
        <v>-1.1013734879607919</v>
      </c>
      <c r="DT45" s="11">
        <v>-0.25666666666666677</v>
      </c>
      <c r="DU45">
        <v>-0.14000000000000004</v>
      </c>
      <c r="DV45">
        <v>-0.39666666666666683</v>
      </c>
      <c r="DW45">
        <v>7.4286524822695039</v>
      </c>
      <c r="DX45">
        <v>0.51160075818554906</v>
      </c>
      <c r="DY45">
        <v>7.0864166654236493</v>
      </c>
      <c r="DZ45">
        <v>2745</v>
      </c>
      <c r="EA45">
        <v>7.0399770126069079</v>
      </c>
      <c r="EB45">
        <v>7</v>
      </c>
      <c r="EC45">
        <v>9.3171000000000004E-2</v>
      </c>
      <c r="ED45">
        <v>0.46215600000000007</v>
      </c>
      <c r="EE45" s="12">
        <v>-2.0966</v>
      </c>
      <c r="EF45">
        <v>-2.1192000000000002</v>
      </c>
      <c r="EG45">
        <v>31.201600758185549</v>
      </c>
      <c r="EH45" t="s">
        <v>883</v>
      </c>
      <c r="EI45">
        <v>1</v>
      </c>
      <c r="EJ45">
        <v>0</v>
      </c>
      <c r="EK45" s="14">
        <v>45505</v>
      </c>
      <c r="EL45" s="15">
        <v>1.06</v>
      </c>
      <c r="EM45" s="15">
        <v>7.78</v>
      </c>
      <c r="EN45" s="15">
        <v>0.14000000000000001</v>
      </c>
      <c r="EO45" s="15">
        <v>3.58</v>
      </c>
      <c r="EP45" s="15">
        <v>2.2599999999999998</v>
      </c>
    </row>
    <row r="46" spans="1:146" ht="84" x14ac:dyDescent="0.25">
      <c r="A46" s="8"/>
      <c r="B46" s="8"/>
      <c r="C46" s="8" t="str">
        <f>""&amp;CHAR(10)&amp;Basic_Fundamental_Information_Constructure(F46)&amp;CHAR(10)&amp;Basic_Fundamental_Information_Concatenate("")</f>
        <v xml:space="preserve">
市值9.768192亿, 利润-6793.60万; PE; 平均PE-89.19; 平均PEG-17.19, PB1.94; ROIC0%; ROE-8.6867%; 股利率0%; 毛利52.6167%; 净利-44.3867%; 上一年度营收增3.47%, 利润增14.12%; 当季营收增-58.87%, 利润增-21807.51%; 过往5年营收增-5.19%, 利润增-62.4%
Income profile:
</v>
      </c>
      <c r="D46" t="s">
        <v>489</v>
      </c>
      <c r="E46" t="s">
        <v>490</v>
      </c>
      <c r="F46">
        <v>9.48</v>
      </c>
      <c r="G46">
        <v>1.07</v>
      </c>
      <c r="H46" t="s">
        <v>2202</v>
      </c>
      <c r="I46">
        <v>976819200</v>
      </c>
      <c r="K46">
        <v>1.94</v>
      </c>
      <c r="L46" t="s">
        <v>667</v>
      </c>
      <c r="M46" t="s">
        <v>93</v>
      </c>
      <c r="N46" t="s">
        <v>1905</v>
      </c>
      <c r="O46" t="s">
        <v>1349</v>
      </c>
      <c r="P46">
        <v>-58.87</v>
      </c>
      <c r="Q46" t="s">
        <v>46</v>
      </c>
      <c r="R46">
        <v>-12937677</v>
      </c>
      <c r="S46" s="7">
        <v>-218.06</v>
      </c>
      <c r="T46" t="s">
        <v>1350</v>
      </c>
      <c r="U46">
        <v>103040000</v>
      </c>
      <c r="V46">
        <v>103040000</v>
      </c>
      <c r="W46">
        <v>1.23</v>
      </c>
      <c r="X46">
        <v>0.03</v>
      </c>
      <c r="Y46">
        <v>-75.19</v>
      </c>
      <c r="Z46" t="s">
        <v>1906</v>
      </c>
      <c r="AA46" t="s">
        <v>1907</v>
      </c>
      <c r="AB46" t="s">
        <v>1908</v>
      </c>
      <c r="AC46" t="s">
        <v>1909</v>
      </c>
      <c r="AD46" t="s">
        <v>15</v>
      </c>
      <c r="AE46">
        <v>111149</v>
      </c>
      <c r="AF46" t="s">
        <v>1351</v>
      </c>
      <c r="AG46" t="s">
        <v>15</v>
      </c>
      <c r="AH46" t="s">
        <v>1352</v>
      </c>
      <c r="AI46" t="s">
        <v>1910</v>
      </c>
      <c r="AJ46" t="s">
        <v>1353</v>
      </c>
      <c r="AK46" t="s">
        <v>1911</v>
      </c>
      <c r="AL46" t="s">
        <v>1354</v>
      </c>
      <c r="AM46" t="s">
        <v>15</v>
      </c>
      <c r="AN46">
        <v>0</v>
      </c>
      <c r="AO46" t="s">
        <v>1912</v>
      </c>
      <c r="AP46" t="s">
        <v>1913</v>
      </c>
      <c r="AQ46" t="s">
        <v>1914</v>
      </c>
      <c r="AR46" t="s">
        <v>1915</v>
      </c>
      <c r="AS46" t="s">
        <v>169</v>
      </c>
      <c r="AT46" t="s">
        <v>15</v>
      </c>
      <c r="AU46" t="s">
        <v>1916</v>
      </c>
      <c r="AV46" t="s">
        <v>1917</v>
      </c>
      <c r="AW46" t="s">
        <v>1918</v>
      </c>
      <c r="AX46" t="s">
        <v>179</v>
      </c>
      <c r="AY46" t="s">
        <v>370</v>
      </c>
      <c r="AZ46" t="s">
        <v>231</v>
      </c>
      <c r="BA46" t="s">
        <v>219</v>
      </c>
      <c r="BB46" t="s">
        <v>251</v>
      </c>
      <c r="BC46" t="s">
        <v>878</v>
      </c>
      <c r="BD46" t="s">
        <v>553</v>
      </c>
      <c r="BE46" t="s">
        <v>491</v>
      </c>
      <c r="BF46" t="s">
        <v>492</v>
      </c>
      <c r="BG46" t="s">
        <v>493</v>
      </c>
      <c r="BH46" t="s">
        <v>46</v>
      </c>
      <c r="BI46" t="s">
        <v>2203</v>
      </c>
      <c r="BJ46" t="s">
        <v>179</v>
      </c>
      <c r="BK46" t="s">
        <v>1350</v>
      </c>
      <c r="BL46" t="s">
        <v>2204</v>
      </c>
      <c r="BM46" t="s">
        <v>878</v>
      </c>
      <c r="BN46" t="s">
        <v>15</v>
      </c>
      <c r="BO46" t="s">
        <v>15</v>
      </c>
      <c r="BP46" t="s">
        <v>15</v>
      </c>
      <c r="BQ46">
        <v>-7.02</v>
      </c>
      <c r="BR46">
        <v>-12.51</v>
      </c>
      <c r="BS46">
        <v>-6.53</v>
      </c>
      <c r="BT46" t="s">
        <v>781</v>
      </c>
      <c r="BU46" t="s">
        <v>667</v>
      </c>
      <c r="BV46">
        <v>49.78</v>
      </c>
      <c r="BW46">
        <v>50.29</v>
      </c>
      <c r="BX46">
        <v>57.78</v>
      </c>
      <c r="BY46">
        <v>-46.79</v>
      </c>
      <c r="BZ46">
        <v>-56.91</v>
      </c>
      <c r="CA46">
        <v>-29.46</v>
      </c>
      <c r="CB46">
        <v>10.62</v>
      </c>
      <c r="CC46">
        <v>2.71</v>
      </c>
      <c r="CD46" t="s">
        <v>2205</v>
      </c>
      <c r="CE46" t="s">
        <v>2206</v>
      </c>
      <c r="CF46" s="9">
        <v>-0.58871990154874965</v>
      </c>
      <c r="CG46" s="10">
        <v>-218.07511744966442</v>
      </c>
      <c r="CH46" s="9">
        <v>3.4722223877906799E-2</v>
      </c>
      <c r="CI46" s="9">
        <v>-8.2802549004554749E-2</v>
      </c>
      <c r="CJ46" s="9">
        <v>-0.18652850389480591</v>
      </c>
      <c r="CK46" s="9">
        <v>-3.5000000149011612E-2</v>
      </c>
      <c r="CL46" s="9">
        <v>1.0101010091602802E-2</v>
      </c>
      <c r="CM46" s="10">
        <v>0.14118991792201996</v>
      </c>
      <c r="CN46" s="10">
        <v>-0.73432463407516479</v>
      </c>
      <c r="CO46" s="10">
        <v>-2.3888819217681885</v>
      </c>
      <c r="CP46" s="10">
        <v>-0.36709624528884888</v>
      </c>
      <c r="CQ46" s="10">
        <v>0.22917860746383667</v>
      </c>
      <c r="CR46">
        <v>-89.194064194479665</v>
      </c>
      <c r="CS46">
        <v>-17.185236366110068</v>
      </c>
      <c r="CT46">
        <v>0</v>
      </c>
      <c r="CU46" s="9">
        <v>-5.1901563815772531E-2</v>
      </c>
      <c r="CV46" s="10">
        <v>-0.6239868551492691</v>
      </c>
      <c r="CW46">
        <v>0.06</v>
      </c>
      <c r="CX46" t="e">
        <v>#VALUE!</v>
      </c>
      <c r="CY46" t="s">
        <v>568</v>
      </c>
      <c r="CZ46">
        <v>-5.1901563815772531E-2</v>
      </c>
      <c r="DA46" t="e">
        <v>#VALUE!</v>
      </c>
      <c r="DB46" t="s">
        <v>569</v>
      </c>
      <c r="DC46">
        <v>-4.9306485624983902E-2</v>
      </c>
      <c r="DD46" t="e">
        <v>#VALUE!</v>
      </c>
      <c r="DE46" t="s">
        <v>569</v>
      </c>
      <c r="DF46">
        <v>-4.5673376157879829E-2</v>
      </c>
      <c r="DG46" t="e">
        <v>#VALUE!</v>
      </c>
      <c r="DH46" t="s">
        <v>569</v>
      </c>
      <c r="DI46">
        <v>-4.152125105261803E-2</v>
      </c>
      <c r="DJ46" t="e">
        <v>#VALUE!</v>
      </c>
      <c r="DK46" t="s">
        <v>569</v>
      </c>
      <c r="DL46">
        <v>-3.6331094671040766E-2</v>
      </c>
      <c r="DM46">
        <v>-67936000</v>
      </c>
      <c r="DN46">
        <v>-5.1901563815772531E-2</v>
      </c>
      <c r="DO46">
        <v>581819200</v>
      </c>
      <c r="DP46">
        <v>316351880</v>
      </c>
      <c r="DQ46">
        <v>4606</v>
      </c>
      <c r="DR46">
        <v>-0.53681833773297716</v>
      </c>
      <c r="DS46">
        <v>-217.45113059451515</v>
      </c>
      <c r="DT46" s="11">
        <v>-0.57333333333333336</v>
      </c>
      <c r="DU46">
        <v>-2.7316666666666669</v>
      </c>
      <c r="DV46">
        <v>-3.3050000000000002</v>
      </c>
      <c r="DW46">
        <v>5.2551789077212803</v>
      </c>
      <c r="DX46">
        <v>0.42351180070599082</v>
      </c>
      <c r="DY46">
        <v>5.0544837080897587</v>
      </c>
      <c r="DZ46">
        <v>4973</v>
      </c>
      <c r="EA46">
        <v>5.0014399570462249</v>
      </c>
      <c r="EB46">
        <v>5</v>
      </c>
      <c r="EC46">
        <v>6.7682453416149063E-2</v>
      </c>
      <c r="ED46">
        <v>0.31699631211180124</v>
      </c>
      <c r="EE46" s="12">
        <v>-3.0110999999999999</v>
      </c>
      <c r="EF46">
        <v>-3.0217999999999998</v>
      </c>
      <c r="EG46">
        <v>21.213511800705991</v>
      </c>
      <c r="EH46" t="s">
        <v>2106</v>
      </c>
      <c r="EI46">
        <v>1</v>
      </c>
      <c r="EJ46">
        <v>0</v>
      </c>
      <c r="EK46" s="14">
        <v>45505</v>
      </c>
      <c r="EL46" s="15">
        <v>1.66</v>
      </c>
      <c r="EM46" s="15">
        <v>3.73</v>
      </c>
      <c r="EN46" s="15">
        <v>-0.45</v>
      </c>
      <c r="EO46" s="15">
        <v>-0.21</v>
      </c>
      <c r="EP46" s="15">
        <v>1.07</v>
      </c>
    </row>
    <row r="47" spans="1:146" ht="96" x14ac:dyDescent="0.25">
      <c r="C47" s="8" t="str">
        <f>""&amp;CHAR(10)&amp;Basic_Fundamental_Information_Constructure(F47)&amp;CHAR(10)&amp;Basic_Fundamental_Information_Concatenate("")</f>
        <v xml:space="preserve">
市值29.507036亿, 利润3060.64万; PE93; 平均PE-52.12; 平均PEG-.91, PB1.77; ROIC7.46%; ROE6.5033%; 股利率.5128%; 毛利36.0867%; 净利13.8333%; 上一年度营收增-19.64%, 利润增-32.48%; 当季营收增-37.93%, 利润增10.79%; 过往5年营收增57.06%, 利润增-14.28%
Income profile:
</v>
      </c>
      <c r="D47" t="s">
        <v>787</v>
      </c>
      <c r="E47" t="s">
        <v>879</v>
      </c>
      <c r="F47">
        <v>39</v>
      </c>
      <c r="G47">
        <v>-2.4</v>
      </c>
      <c r="H47" t="s">
        <v>2207</v>
      </c>
      <c r="I47">
        <v>2950703600</v>
      </c>
      <c r="J47">
        <v>93</v>
      </c>
      <c r="K47">
        <v>1.77</v>
      </c>
      <c r="L47" t="s">
        <v>667</v>
      </c>
      <c r="M47" t="s">
        <v>135</v>
      </c>
      <c r="N47" t="s">
        <v>1919</v>
      </c>
      <c r="O47" t="s">
        <v>1355</v>
      </c>
      <c r="P47" s="6">
        <v>-37.93</v>
      </c>
      <c r="Q47" t="s">
        <v>148</v>
      </c>
      <c r="R47">
        <v>-9283701</v>
      </c>
      <c r="S47">
        <v>0.10780000000000001</v>
      </c>
      <c r="T47" t="s">
        <v>1356</v>
      </c>
      <c r="U47">
        <v>36089250</v>
      </c>
      <c r="V47">
        <v>75659066</v>
      </c>
      <c r="W47">
        <v>1.1399999999999999</v>
      </c>
      <c r="X47">
        <v>0</v>
      </c>
      <c r="Y47">
        <v>-123.69</v>
      </c>
      <c r="Z47" t="s">
        <v>1920</v>
      </c>
      <c r="AA47" t="s">
        <v>1921</v>
      </c>
      <c r="AB47" t="s">
        <v>1922</v>
      </c>
      <c r="AC47" t="s">
        <v>1923</v>
      </c>
      <c r="AD47" t="s">
        <v>15</v>
      </c>
      <c r="AE47">
        <v>-4533851</v>
      </c>
      <c r="AF47" t="s">
        <v>1357</v>
      </c>
      <c r="AG47">
        <v>1500.5</v>
      </c>
      <c r="AH47" t="s">
        <v>1358</v>
      </c>
      <c r="AI47" t="s">
        <v>1924</v>
      </c>
      <c r="AJ47" t="s">
        <v>1359</v>
      </c>
      <c r="AK47" t="s">
        <v>1925</v>
      </c>
      <c r="AL47" t="s">
        <v>2208</v>
      </c>
      <c r="AM47" t="s">
        <v>15</v>
      </c>
      <c r="AN47" t="s">
        <v>1926</v>
      </c>
      <c r="AO47" t="s">
        <v>15</v>
      </c>
      <c r="AP47" t="s">
        <v>1927</v>
      </c>
      <c r="AQ47" t="s">
        <v>303</v>
      </c>
      <c r="AR47" t="s">
        <v>15</v>
      </c>
      <c r="AS47" t="s">
        <v>99</v>
      </c>
      <c r="AT47" t="s">
        <v>15</v>
      </c>
      <c r="AU47" t="s">
        <v>1928</v>
      </c>
      <c r="AV47" t="s">
        <v>1929</v>
      </c>
      <c r="AW47" t="s">
        <v>1930</v>
      </c>
      <c r="AX47" t="s">
        <v>123</v>
      </c>
      <c r="AY47" t="s">
        <v>420</v>
      </c>
      <c r="AZ47" t="s">
        <v>616</v>
      </c>
      <c r="BA47" t="s">
        <v>229</v>
      </c>
      <c r="BB47" t="s">
        <v>789</v>
      </c>
      <c r="BC47" t="s">
        <v>880</v>
      </c>
      <c r="BD47" t="s">
        <v>788</v>
      </c>
      <c r="BE47" t="s">
        <v>790</v>
      </c>
      <c r="BF47" t="s">
        <v>791</v>
      </c>
      <c r="BG47" t="s">
        <v>792</v>
      </c>
      <c r="BH47" t="s">
        <v>148</v>
      </c>
      <c r="BI47" t="s">
        <v>2209</v>
      </c>
      <c r="BJ47" t="s">
        <v>123</v>
      </c>
      <c r="BK47" t="s">
        <v>1356</v>
      </c>
      <c r="BL47" t="s">
        <v>2210</v>
      </c>
      <c r="BM47" t="s">
        <v>880</v>
      </c>
      <c r="BN47" t="s">
        <v>15</v>
      </c>
      <c r="BO47">
        <v>3.66</v>
      </c>
      <c r="BP47">
        <v>11.26</v>
      </c>
      <c r="BQ47">
        <v>-0.04</v>
      </c>
      <c r="BR47">
        <v>7.5</v>
      </c>
      <c r="BS47">
        <v>12.05</v>
      </c>
      <c r="BT47" t="s">
        <v>794</v>
      </c>
      <c r="BU47" t="s">
        <v>667</v>
      </c>
      <c r="BV47">
        <v>37.47</v>
      </c>
      <c r="BW47">
        <v>42.19</v>
      </c>
      <c r="BX47">
        <v>28.6</v>
      </c>
      <c r="BY47">
        <v>11.93</v>
      </c>
      <c r="BZ47">
        <v>15.37</v>
      </c>
      <c r="CA47">
        <v>14.2</v>
      </c>
      <c r="CB47">
        <v>-2.74</v>
      </c>
      <c r="CC47" s="1">
        <v>-20.92</v>
      </c>
      <c r="CD47" s="1" t="s">
        <v>2211</v>
      </c>
      <c r="CE47" s="1" t="s">
        <v>2212</v>
      </c>
      <c r="CF47" s="9">
        <v>-0.37928727401057261</v>
      </c>
      <c r="CG47" s="10">
        <v>0.10785114357101672</v>
      </c>
      <c r="CH47" s="9">
        <v>-0.1964285671710968</v>
      </c>
      <c r="CI47" s="9">
        <v>-0.33649289608001709</v>
      </c>
      <c r="CJ47" s="9">
        <v>0.480701744556427</v>
      </c>
      <c r="CK47" s="9">
        <v>1.5909091234207153</v>
      </c>
      <c r="CL47" s="9">
        <v>1.3144299983978271</v>
      </c>
      <c r="CM47" s="10">
        <v>-0.32479429244995117</v>
      </c>
      <c r="CN47" s="10">
        <v>-0.25083214044570923</v>
      </c>
      <c r="CO47" s="10">
        <v>2.7250949293375015E-2</v>
      </c>
      <c r="CP47" s="10">
        <v>1.1574884653091431</v>
      </c>
      <c r="CQ47" s="10">
        <v>-1.3229813575744629</v>
      </c>
      <c r="CR47" s="1">
        <v>-52.123654934182341</v>
      </c>
      <c r="CS47" s="1">
        <v>-0.91345029018260859</v>
      </c>
      <c r="CT47" s="1">
        <v>0.51282051282051277</v>
      </c>
      <c r="CU47" s="9">
        <v>0.5706238806247711</v>
      </c>
      <c r="CV47" s="10">
        <v>-0.14277367517352105</v>
      </c>
      <c r="CW47">
        <v>0.06</v>
      </c>
      <c r="CX47">
        <v>33.929416340759964</v>
      </c>
      <c r="CY47">
        <v>45350134.660333961</v>
      </c>
      <c r="CZ47">
        <v>0.5706238806247711</v>
      </c>
      <c r="DA47">
        <v>7.5596580882248006</v>
      </c>
      <c r="DB47">
        <v>203541427.6733945</v>
      </c>
      <c r="DC47">
        <v>0.54209268659353249</v>
      </c>
      <c r="DD47">
        <v>2.0844335422660611</v>
      </c>
      <c r="DE47">
        <v>738187890.7625047</v>
      </c>
      <c r="DF47">
        <v>0.50214901494979858</v>
      </c>
      <c r="DG47">
        <v>0.59528075104855371</v>
      </c>
      <c r="DH47">
        <v>2584836814.040534</v>
      </c>
      <c r="DI47">
        <v>0.4564991044998169</v>
      </c>
      <c r="DJ47">
        <v>4.7302241217614276E-2</v>
      </c>
      <c r="DK47">
        <v>32529190169.260349</v>
      </c>
      <c r="DL47">
        <v>0.39943671643733974</v>
      </c>
      <c r="DM47">
        <v>30606400</v>
      </c>
      <c r="DN47">
        <v>0.5706238806247711</v>
      </c>
      <c r="DO47">
        <v>1538703600</v>
      </c>
      <c r="DP47">
        <v>1381994400</v>
      </c>
      <c r="DQ47" s="11">
        <v>4609</v>
      </c>
      <c r="DR47">
        <v>-0.9499111546353437</v>
      </c>
      <c r="DS47">
        <v>0.25062481874453779</v>
      </c>
      <c r="DT47">
        <v>-0.19000000000000009</v>
      </c>
      <c r="DU47">
        <v>-1.1583333333333334</v>
      </c>
      <c r="DV47">
        <v>-1.3483333333333336</v>
      </c>
      <c r="DW47">
        <v>-8.1309751434034414</v>
      </c>
      <c r="DX47">
        <v>0.77544471464790288</v>
      </c>
      <c r="DY47">
        <v>-8.0413154167368663</v>
      </c>
      <c r="DZ47">
        <v>3918</v>
      </c>
      <c r="EA47">
        <v>-8.0096251656062787</v>
      </c>
      <c r="EB47" s="12">
        <v>8</v>
      </c>
      <c r="EC47">
        <v>4.0289950182572962E-2</v>
      </c>
      <c r="ED47">
        <v>0.12772428356437812</v>
      </c>
      <c r="EE47">
        <v>4.0063000000000004</v>
      </c>
      <c r="EF47">
        <v>4.0177100000000001</v>
      </c>
      <c r="EG47">
        <v>46.315444714647903</v>
      </c>
      <c r="EH47" s="14" t="s">
        <v>2213</v>
      </c>
      <c r="EI47" s="15">
        <v>0</v>
      </c>
      <c r="EJ47" s="15">
        <v>0</v>
      </c>
      <c r="EK47" s="15">
        <v>45505</v>
      </c>
      <c r="EL47" s="15">
        <v>-0.15</v>
      </c>
      <c r="EM47" s="15">
        <v>1.95</v>
      </c>
      <c r="EN47" s="15">
        <v>-3.38</v>
      </c>
      <c r="EO47" s="15">
        <v>2.2000000000000002</v>
      </c>
      <c r="EP47" s="15">
        <v>-2.4</v>
      </c>
    </row>
    <row r="48" spans="1:146" ht="84" x14ac:dyDescent="0.25">
      <c r="A48" s="8"/>
      <c r="B48" s="8"/>
      <c r="C48" s="8" t="str">
        <f>""&amp;CHAR(10)&amp;Basic_Fundamental_Information_Constructure(F48)&amp;CHAR(10)&amp;Basic_Fundamental_Information_Concatenate("")</f>
        <v xml:space="preserve">
市值26.39585亿, 利润-5225.08万; PE; 平均PE131.25; 平均PEG281.65, PB1.7; ROIC4.76%; ROE6.97%; 股利率0%; 毛利66.4433%; 净利2.54%; 上一年度营收增-51.08%, 利润增-227.08%; 当季营收增125.63%, 利润增200.02%; 过往5年营收增-.47%, 利润增10.25%
Income profile:
</v>
      </c>
      <c r="D48" t="s">
        <v>756</v>
      </c>
      <c r="E48" t="s">
        <v>764</v>
      </c>
      <c r="F48">
        <v>17.34</v>
      </c>
      <c r="G48">
        <v>0.81</v>
      </c>
      <c r="H48" t="s">
        <v>2214</v>
      </c>
      <c r="I48">
        <v>2639585000</v>
      </c>
      <c r="K48">
        <v>1.7</v>
      </c>
      <c r="L48" t="s">
        <v>667</v>
      </c>
      <c r="M48" t="s">
        <v>577</v>
      </c>
      <c r="N48" t="s">
        <v>1278</v>
      </c>
      <c r="O48" t="s">
        <v>225</v>
      </c>
      <c r="P48">
        <v>125.86</v>
      </c>
      <c r="Q48" t="s">
        <v>414</v>
      </c>
      <c r="R48">
        <v>35322519</v>
      </c>
      <c r="S48">
        <v>2</v>
      </c>
      <c r="T48" t="s">
        <v>1360</v>
      </c>
      <c r="U48">
        <v>106973466</v>
      </c>
      <c r="V48">
        <v>152225200</v>
      </c>
      <c r="W48">
        <v>1.19</v>
      </c>
      <c r="X48">
        <v>7.0000000000000007E-2</v>
      </c>
      <c r="Y48">
        <v>27.45</v>
      </c>
      <c r="Z48" t="s">
        <v>1931</v>
      </c>
      <c r="AA48" t="s">
        <v>1932</v>
      </c>
      <c r="AB48" t="s">
        <v>1933</v>
      </c>
      <c r="AC48" t="s">
        <v>1934</v>
      </c>
      <c r="AD48" t="s">
        <v>15</v>
      </c>
      <c r="AE48">
        <v>-102529</v>
      </c>
      <c r="AF48" t="s">
        <v>1361</v>
      </c>
      <c r="AG48" t="s">
        <v>1935</v>
      </c>
      <c r="AH48" t="s">
        <v>1362</v>
      </c>
      <c r="AI48" t="s">
        <v>431</v>
      </c>
      <c r="AJ48" t="s">
        <v>1363</v>
      </c>
      <c r="AK48" t="s">
        <v>1936</v>
      </c>
      <c r="AL48" t="s">
        <v>1364</v>
      </c>
      <c r="AM48" t="s">
        <v>15</v>
      </c>
      <c r="AN48" t="s">
        <v>1937</v>
      </c>
      <c r="AO48" t="s">
        <v>968</v>
      </c>
      <c r="AP48" t="s">
        <v>1365</v>
      </c>
      <c r="AQ48" t="s">
        <v>1938</v>
      </c>
      <c r="AR48" t="s">
        <v>1939</v>
      </c>
      <c r="AS48" t="s">
        <v>258</v>
      </c>
      <c r="AT48" t="s">
        <v>15</v>
      </c>
      <c r="AU48" t="s">
        <v>1940</v>
      </c>
      <c r="AV48" t="s">
        <v>1941</v>
      </c>
      <c r="AW48" t="s">
        <v>1942</v>
      </c>
      <c r="AX48" t="s">
        <v>419</v>
      </c>
      <c r="AY48" t="s">
        <v>89</v>
      </c>
      <c r="AZ48" t="s">
        <v>167</v>
      </c>
      <c r="BA48" t="s">
        <v>632</v>
      </c>
      <c r="BB48" t="s">
        <v>356</v>
      </c>
      <c r="BC48" t="s">
        <v>881</v>
      </c>
      <c r="BD48" t="s">
        <v>757</v>
      </c>
      <c r="BE48" t="s">
        <v>758</v>
      </c>
      <c r="BF48" t="s">
        <v>759</v>
      </c>
      <c r="BG48" t="s">
        <v>760</v>
      </c>
      <c r="BH48" t="s">
        <v>414</v>
      </c>
      <c r="BI48" t="s">
        <v>2215</v>
      </c>
      <c r="BJ48" t="s">
        <v>419</v>
      </c>
      <c r="BK48" t="s">
        <v>1360</v>
      </c>
      <c r="BL48" t="s">
        <v>2216</v>
      </c>
      <c r="BM48" t="s">
        <v>881</v>
      </c>
      <c r="BN48">
        <v>-0.02</v>
      </c>
      <c r="BO48">
        <v>4.9400000000000004</v>
      </c>
      <c r="BP48">
        <v>9.36</v>
      </c>
      <c r="BQ48">
        <v>1.01</v>
      </c>
      <c r="BR48">
        <v>4.93</v>
      </c>
      <c r="BS48">
        <v>14.97</v>
      </c>
      <c r="BT48" t="s">
        <v>781</v>
      </c>
      <c r="BU48" t="s">
        <v>667</v>
      </c>
      <c r="BV48">
        <v>58.38</v>
      </c>
      <c r="BW48">
        <v>68.25</v>
      </c>
      <c r="BX48">
        <v>72.7</v>
      </c>
      <c r="BY48">
        <v>-29.49</v>
      </c>
      <c r="BZ48">
        <v>10.78</v>
      </c>
      <c r="CA48">
        <v>26.33</v>
      </c>
      <c r="CB48">
        <v>6.38</v>
      </c>
      <c r="CC48" s="1">
        <v>-4.78</v>
      </c>
      <c r="CD48" s="1" t="s">
        <v>2217</v>
      </c>
      <c r="CE48" s="1" t="s">
        <v>2218</v>
      </c>
      <c r="CF48" s="9">
        <v>1.2563216668576314</v>
      </c>
      <c r="CG48" s="10">
        <v>2.0002224524984498</v>
      </c>
      <c r="CH48" s="9">
        <v>-0.51081079244613647</v>
      </c>
      <c r="CI48" s="9">
        <v>0.20129869878292084</v>
      </c>
      <c r="CJ48" s="9">
        <v>0.10394265502691269</v>
      </c>
      <c r="CK48" s="9">
        <v>3.3333335071802139E-2</v>
      </c>
      <c r="CL48" s="9">
        <v>0.14893616735935211</v>
      </c>
      <c r="CM48" s="10">
        <v>-2.2707586288452148</v>
      </c>
      <c r="CN48" s="10">
        <v>-0.48128384351730347</v>
      </c>
      <c r="CO48" s="10">
        <v>0.11486726254224777</v>
      </c>
      <c r="CP48" s="10">
        <v>1.5493347644805908</v>
      </c>
      <c r="CQ48" s="10">
        <v>1.6003320217132568</v>
      </c>
      <c r="CR48" s="1">
        <v>131.24765370364693</v>
      </c>
      <c r="CS48" s="1">
        <v>281.64809669016284</v>
      </c>
      <c r="CT48" s="1">
        <v>0</v>
      </c>
      <c r="CU48" s="9">
        <v>-4.6599872410297396E-3</v>
      </c>
      <c r="CV48" s="10">
        <v>0.10249831527471542</v>
      </c>
      <c r="CW48">
        <v>0.06</v>
      </c>
      <c r="CX48" t="e">
        <v>#VALUE!</v>
      </c>
      <c r="CY48" t="s">
        <v>569</v>
      </c>
      <c r="CZ48">
        <v>-4.6599872410297396E-3</v>
      </c>
      <c r="DA48" t="e">
        <v>#VALUE!</v>
      </c>
      <c r="DB48" t="s">
        <v>569</v>
      </c>
      <c r="DC48">
        <v>-4.4269878789782524E-3</v>
      </c>
      <c r="DD48" t="e">
        <v>#VALUE!</v>
      </c>
      <c r="DE48" t="s">
        <v>569</v>
      </c>
      <c r="DF48">
        <v>-4.1007887721061708E-3</v>
      </c>
      <c r="DG48" t="e">
        <v>#VALUE!</v>
      </c>
      <c r="DH48" t="s">
        <v>569</v>
      </c>
      <c r="DI48">
        <v>-3.727989792823792E-3</v>
      </c>
      <c r="DJ48" t="e">
        <v>#VALUE!</v>
      </c>
      <c r="DK48" t="s">
        <v>569</v>
      </c>
      <c r="DL48">
        <v>-3.2619910687208173E-3</v>
      </c>
      <c r="DM48">
        <v>-52250800</v>
      </c>
      <c r="DN48">
        <v>-4.6599872410297396E-3</v>
      </c>
      <c r="DO48">
        <v>1444585000</v>
      </c>
      <c r="DP48">
        <v>870052740</v>
      </c>
      <c r="DQ48" s="11">
        <v>4653</v>
      </c>
      <c r="DR48">
        <v>1.2609816540986611</v>
      </c>
      <c r="DS48">
        <v>1.8977241372237343</v>
      </c>
      <c r="DT48">
        <v>-0.45666666666666672</v>
      </c>
      <c r="DU48">
        <v>0.13333333333333328</v>
      </c>
      <c r="DV48">
        <v>-0.32333333333333347</v>
      </c>
      <c r="DW48">
        <v>5.7492163009404393</v>
      </c>
      <c r="DX48">
        <v>0.69452442829953442</v>
      </c>
      <c r="DY48">
        <v>5.1307565465943226</v>
      </c>
      <c r="DZ48">
        <v>2595</v>
      </c>
      <c r="EA48">
        <v>5.0643287395441527</v>
      </c>
      <c r="EB48" s="12">
        <v>5</v>
      </c>
      <c r="EC48">
        <v>2.3733915278153682E-2</v>
      </c>
      <c r="ED48">
        <v>0.13599193825989389</v>
      </c>
      <c r="EE48">
        <v>-3.0640100000000001</v>
      </c>
      <c r="EF48">
        <v>-3.0559099999999999</v>
      </c>
      <c r="EG48">
        <v>52.174524428299534</v>
      </c>
      <c r="EH48" s="14" t="s">
        <v>967</v>
      </c>
      <c r="EI48" s="15">
        <v>1</v>
      </c>
      <c r="EJ48" s="15">
        <v>0</v>
      </c>
      <c r="EK48" s="15">
        <v>45505</v>
      </c>
      <c r="EL48" s="15">
        <v>-0.37</v>
      </c>
      <c r="EM48" s="15">
        <v>3.56</v>
      </c>
      <c r="EN48" s="15">
        <v>-0.36</v>
      </c>
      <c r="EO48" s="15">
        <v>2.69</v>
      </c>
      <c r="EP48" s="15">
        <v>0.81</v>
      </c>
    </row>
    <row r="49" spans="1:146" ht="96" x14ac:dyDescent="0.25">
      <c r="A49" s="8"/>
      <c r="B49" s="8"/>
      <c r="C49" s="8" t="str">
        <f>""&amp;CHAR(10)&amp;Basic_Fundamental_Information_Constructure(F49)&amp;CHAR(10)&amp;Basic_Fundamental_Information_Concatenate("")</f>
        <v xml:space="preserve">
市值18.768947亿, 利润4605.17万; PE36.07; 平均PE26.54; 平均PEG1.33, PB1; ROIC8.42%; ROE8.5%; 股利率1.386%; 毛利50.0333%; 净利17.94%; 上一年度营收增-31.14%, 利润增-47.92%; 当季营收增106.67%, 利润增56.9%; 过往5年营收增19.92%, 利润增39.58%
Income profile:
</v>
      </c>
      <c r="D49" t="s">
        <v>554</v>
      </c>
      <c r="E49" t="s">
        <v>555</v>
      </c>
      <c r="F49">
        <v>14.43</v>
      </c>
      <c r="G49">
        <v>0.98</v>
      </c>
      <c r="H49" t="s">
        <v>2219</v>
      </c>
      <c r="I49">
        <v>1876894700</v>
      </c>
      <c r="J49">
        <v>36.07</v>
      </c>
      <c r="K49">
        <v>1</v>
      </c>
      <c r="L49" t="s">
        <v>667</v>
      </c>
      <c r="M49" t="s">
        <v>139</v>
      </c>
      <c r="N49" t="s">
        <v>1943</v>
      </c>
      <c r="O49" t="s">
        <v>1367</v>
      </c>
      <c r="P49">
        <v>106.67</v>
      </c>
      <c r="Q49" t="s">
        <v>935</v>
      </c>
      <c r="R49">
        <v>-4532619</v>
      </c>
      <c r="S49" s="6">
        <v>0.56899999999999995</v>
      </c>
      <c r="T49" t="s">
        <v>1368</v>
      </c>
      <c r="U49">
        <v>58528930</v>
      </c>
      <c r="V49">
        <v>130068930</v>
      </c>
      <c r="W49">
        <v>1.0900000000000001</v>
      </c>
      <c r="X49">
        <v>0.02</v>
      </c>
      <c r="Y49">
        <v>-11.24</v>
      </c>
      <c r="Z49" t="s">
        <v>1944</v>
      </c>
      <c r="AA49" t="s">
        <v>1945</v>
      </c>
      <c r="AB49" t="s">
        <v>1946</v>
      </c>
      <c r="AC49" t="s">
        <v>1947</v>
      </c>
      <c r="AD49" t="s">
        <v>15</v>
      </c>
      <c r="AE49">
        <v>-1527041</v>
      </c>
      <c r="AF49" t="s">
        <v>1369</v>
      </c>
      <c r="AG49">
        <v>501.21</v>
      </c>
      <c r="AH49" t="s">
        <v>1370</v>
      </c>
      <c r="AI49" t="s">
        <v>1948</v>
      </c>
      <c r="AJ49" t="s">
        <v>1371</v>
      </c>
      <c r="AK49" t="s">
        <v>1949</v>
      </c>
      <c r="AL49" t="s">
        <v>1372</v>
      </c>
      <c r="AM49" t="s">
        <v>15</v>
      </c>
      <c r="AN49">
        <v>0</v>
      </c>
      <c r="AO49" t="s">
        <v>15</v>
      </c>
      <c r="AP49" t="s">
        <v>15</v>
      </c>
      <c r="AQ49" t="s">
        <v>1950</v>
      </c>
      <c r="AR49" t="s">
        <v>15</v>
      </c>
      <c r="AS49" t="s">
        <v>696</v>
      </c>
      <c r="AT49" t="s">
        <v>15</v>
      </c>
      <c r="AU49" t="s">
        <v>1951</v>
      </c>
      <c r="AV49" t="s">
        <v>1952</v>
      </c>
      <c r="AW49" t="s">
        <v>15</v>
      </c>
      <c r="AX49" t="s">
        <v>560</v>
      </c>
      <c r="AY49" t="s">
        <v>42</v>
      </c>
      <c r="AZ49" t="s">
        <v>220</v>
      </c>
      <c r="BA49" t="s">
        <v>369</v>
      </c>
      <c r="BB49" t="s">
        <v>34</v>
      </c>
      <c r="BC49" t="s">
        <v>882</v>
      </c>
      <c r="BD49" t="s">
        <v>143</v>
      </c>
      <c r="BE49" t="s">
        <v>218</v>
      </c>
      <c r="BF49" t="s">
        <v>556</v>
      </c>
      <c r="BG49" t="s">
        <v>557</v>
      </c>
      <c r="BH49" t="s">
        <v>935</v>
      </c>
      <c r="BI49" t="s">
        <v>2220</v>
      </c>
      <c r="BJ49" t="s">
        <v>560</v>
      </c>
      <c r="BK49" t="s">
        <v>1368</v>
      </c>
      <c r="BL49" t="s">
        <v>2221</v>
      </c>
      <c r="BM49" t="s">
        <v>882</v>
      </c>
      <c r="BN49">
        <v>0.76</v>
      </c>
      <c r="BO49">
        <v>6.63</v>
      </c>
      <c r="BP49">
        <v>17.87</v>
      </c>
      <c r="BQ49">
        <v>0.99</v>
      </c>
      <c r="BR49">
        <v>5.75</v>
      </c>
      <c r="BS49">
        <v>18.760000000000002</v>
      </c>
      <c r="BT49" t="s">
        <v>1373</v>
      </c>
      <c r="BU49" t="s">
        <v>667</v>
      </c>
      <c r="BV49">
        <v>50.87</v>
      </c>
      <c r="BW49">
        <v>42.59</v>
      </c>
      <c r="BX49">
        <v>56.64</v>
      </c>
      <c r="BY49">
        <v>12.89</v>
      </c>
      <c r="BZ49">
        <v>17.010000000000002</v>
      </c>
      <c r="CA49">
        <v>23.92</v>
      </c>
      <c r="CB49">
        <v>8.41</v>
      </c>
      <c r="CC49">
        <v>-9.5299999999999994</v>
      </c>
      <c r="CD49" t="s">
        <v>2222</v>
      </c>
      <c r="CE49" t="s">
        <v>2223</v>
      </c>
      <c r="CF49" s="9">
        <v>1.0666842959067955</v>
      </c>
      <c r="CG49" s="10">
        <v>0.56895010128099055</v>
      </c>
      <c r="CH49" s="9">
        <v>-0.31141200661659241</v>
      </c>
      <c r="CI49" s="9">
        <v>4.444444552063942E-2</v>
      </c>
      <c r="CJ49" s="9">
        <v>0.24371859431266785</v>
      </c>
      <c r="CK49" s="9">
        <v>0.579365074634552</v>
      </c>
      <c r="CL49" s="9">
        <v>0.43999999761581421</v>
      </c>
      <c r="CM49" s="10">
        <v>-0.47915568947792053</v>
      </c>
      <c r="CN49" s="10">
        <v>-0.25699663162231445</v>
      </c>
      <c r="CO49" s="10">
        <v>9.1743119060993195E-2</v>
      </c>
      <c r="CP49" s="10">
        <v>1.6626993417739868</v>
      </c>
      <c r="CQ49" s="10">
        <v>0.96065366268157959</v>
      </c>
      <c r="CR49">
        <v>26.542071260338307</v>
      </c>
      <c r="CS49">
        <v>1.332277990219457</v>
      </c>
      <c r="CT49">
        <v>1.386001386001386</v>
      </c>
      <c r="CU49" s="9">
        <v>0.19922322109341623</v>
      </c>
      <c r="CV49" s="10">
        <v>0.39578876048326495</v>
      </c>
      <c r="CW49">
        <v>0.06</v>
      </c>
      <c r="CX49">
        <v>3.8943131547080716</v>
      </c>
      <c r="CY49">
        <v>52100252.84040346</v>
      </c>
      <c r="CZ49">
        <v>0.19922322109341623</v>
      </c>
      <c r="DA49">
        <v>1.1615712237095097</v>
      </c>
      <c r="DB49">
        <v>174672629.50269201</v>
      </c>
      <c r="DC49">
        <v>0.18926206003874541</v>
      </c>
      <c r="DD49">
        <v>0.50369809722145786</v>
      </c>
      <c r="DE49">
        <v>402810137.89653903</v>
      </c>
      <c r="DF49">
        <v>0.17531643456220627</v>
      </c>
      <c r="DG49">
        <v>0.26042175967658338</v>
      </c>
      <c r="DH49">
        <v>779100411.01010072</v>
      </c>
      <c r="DI49">
        <v>0.159378576874733</v>
      </c>
      <c r="DJ49">
        <v>9.4688129347972258E-2</v>
      </c>
      <c r="DK49">
        <v>2142768068.1532519</v>
      </c>
      <c r="DL49">
        <v>0.13945625476539134</v>
      </c>
      <c r="DM49">
        <v>46051700</v>
      </c>
      <c r="DN49">
        <v>0.19922322109341623</v>
      </c>
      <c r="DO49">
        <v>202894699.99999976</v>
      </c>
      <c r="DP49">
        <v>1574855100</v>
      </c>
      <c r="DQ49">
        <v>4687</v>
      </c>
      <c r="DR49">
        <v>0.86746107481337931</v>
      </c>
      <c r="DS49">
        <v>0.1731613407977256</v>
      </c>
      <c r="DT49" s="11">
        <v>-0.25666666666666677</v>
      </c>
      <c r="DU49">
        <v>-0.12166666666666677</v>
      </c>
      <c r="DV49">
        <v>-0.37833333333333352</v>
      </c>
      <c r="DW49">
        <v>7.4687848383500555</v>
      </c>
      <c r="DX49">
        <v>0.40580325243316379</v>
      </c>
      <c r="DY49">
        <v>7.0542868089722921</v>
      </c>
      <c r="DZ49">
        <v>2707</v>
      </c>
      <c r="EA49">
        <v>7.0255173508892863</v>
      </c>
      <c r="EB49">
        <v>7</v>
      </c>
      <c r="EC49">
        <v>2.8906980321895474E-2</v>
      </c>
      <c r="ED49">
        <v>0.2496214891596325</v>
      </c>
      <c r="EE49" s="12">
        <v>-1.0383100000000001</v>
      </c>
      <c r="EF49">
        <v>-1.02851</v>
      </c>
      <c r="EG49">
        <v>29.115803252433164</v>
      </c>
      <c r="EH49" t="s">
        <v>800</v>
      </c>
      <c r="EI49">
        <v>1</v>
      </c>
      <c r="EJ49">
        <v>0</v>
      </c>
      <c r="EK49" s="14">
        <v>45505</v>
      </c>
      <c r="EL49" s="15">
        <v>0.3</v>
      </c>
      <c r="EM49" s="15">
        <v>2.63</v>
      </c>
      <c r="EN49" s="15">
        <v>-7.0000000000000007E-2</v>
      </c>
      <c r="EO49" s="15">
        <v>3.18</v>
      </c>
      <c r="EP49" s="15">
        <v>0.98</v>
      </c>
    </row>
    <row r="50" spans="1:146" ht="84" x14ac:dyDescent="0.25">
      <c r="A50" s="8"/>
      <c r="B50" s="8"/>
      <c r="C50" s="8" t="str">
        <f>""&amp;CHAR(10)&amp;Basic_Fundamental_Information_Constructure(F50)&amp;CHAR(10)&amp;Basic_Fundamental_Information_Concatenate("")</f>
        <v xml:space="preserve">
市值11.2404亿, 利润-9631.87万; PE; 平均PE-922.87; 平均PEG-22.31, PB2.25; ROIC15.89%; ROE-1%; 股利率0%; 毛利37.4633%; 净利-33.6667%; 上一年度营收增88.29%, 利润增-9.79%; 当季营收增147.11%, 利润增138.48%; 过往5年营收增41.36%, 利润增600.29%
Income profile:
</v>
      </c>
      <c r="D50" t="s">
        <v>494</v>
      </c>
      <c r="E50" t="s">
        <v>1953</v>
      </c>
      <c r="F50">
        <v>14.79</v>
      </c>
      <c r="G50">
        <v>2</v>
      </c>
      <c r="H50" t="s">
        <v>2224</v>
      </c>
      <c r="I50">
        <v>1124040000</v>
      </c>
      <c r="K50">
        <v>2.25</v>
      </c>
      <c r="L50" t="s">
        <v>667</v>
      </c>
      <c r="M50" t="s">
        <v>575</v>
      </c>
      <c r="N50" t="s">
        <v>311</v>
      </c>
      <c r="O50" t="s">
        <v>1375</v>
      </c>
      <c r="P50">
        <v>147.11000000000001</v>
      </c>
      <c r="Q50" t="s">
        <v>897</v>
      </c>
      <c r="R50">
        <v>7361176</v>
      </c>
      <c r="S50" s="6">
        <v>1.385</v>
      </c>
      <c r="T50" t="s">
        <v>1376</v>
      </c>
      <c r="U50">
        <v>27628651</v>
      </c>
      <c r="V50">
        <v>76000000</v>
      </c>
      <c r="W50">
        <v>1.39</v>
      </c>
      <c r="X50">
        <v>0.11</v>
      </c>
      <c r="Y50">
        <v>9.64</v>
      </c>
      <c r="Z50" t="s">
        <v>1954</v>
      </c>
      <c r="AA50" t="s">
        <v>1955</v>
      </c>
      <c r="AB50" t="s">
        <v>1956</v>
      </c>
      <c r="AC50" t="s">
        <v>1957</v>
      </c>
      <c r="AD50" t="s">
        <v>15</v>
      </c>
      <c r="AE50">
        <v>110938</v>
      </c>
      <c r="AF50" t="s">
        <v>66</v>
      </c>
      <c r="AG50">
        <v>0.91</v>
      </c>
      <c r="AH50" t="s">
        <v>1377</v>
      </c>
      <c r="AI50" t="s">
        <v>924</v>
      </c>
      <c r="AJ50" t="s">
        <v>1958</v>
      </c>
      <c r="AK50" t="s">
        <v>1959</v>
      </c>
      <c r="AL50" t="s">
        <v>1378</v>
      </c>
      <c r="AM50" t="s">
        <v>15</v>
      </c>
      <c r="AN50">
        <v>0</v>
      </c>
      <c r="AO50" t="s">
        <v>1960</v>
      </c>
      <c r="AP50" t="s">
        <v>15</v>
      </c>
      <c r="AQ50" t="s">
        <v>229</v>
      </c>
      <c r="AR50" t="s">
        <v>15</v>
      </c>
      <c r="AS50" t="s">
        <v>156</v>
      </c>
      <c r="AT50" t="s">
        <v>15</v>
      </c>
      <c r="AU50" t="s">
        <v>1961</v>
      </c>
      <c r="AV50" t="s">
        <v>1962</v>
      </c>
      <c r="AW50" t="s">
        <v>1963</v>
      </c>
      <c r="AX50" t="s">
        <v>96</v>
      </c>
      <c r="AY50" t="s">
        <v>519</v>
      </c>
      <c r="AZ50" t="s">
        <v>452</v>
      </c>
      <c r="BA50" t="s">
        <v>45</v>
      </c>
      <c r="BB50" t="s">
        <v>496</v>
      </c>
      <c r="BC50" t="s">
        <v>1379</v>
      </c>
      <c r="BD50" t="s">
        <v>559</v>
      </c>
      <c r="BE50" t="s">
        <v>495</v>
      </c>
      <c r="BF50" t="s">
        <v>497</v>
      </c>
      <c r="BG50" t="s">
        <v>312</v>
      </c>
      <c r="BH50" t="s">
        <v>897</v>
      </c>
      <c r="BI50" t="s">
        <v>2225</v>
      </c>
      <c r="BJ50" t="s">
        <v>96</v>
      </c>
      <c r="BK50" t="s">
        <v>1376</v>
      </c>
      <c r="BL50" t="s">
        <v>2226</v>
      </c>
      <c r="BM50" t="s">
        <v>1379</v>
      </c>
      <c r="BN50" t="s">
        <v>15</v>
      </c>
      <c r="BO50" t="s">
        <v>15</v>
      </c>
      <c r="BP50">
        <v>15.89</v>
      </c>
      <c r="BQ50">
        <v>-12.11</v>
      </c>
      <c r="BR50">
        <v>-13.9</v>
      </c>
      <c r="BS50">
        <v>23.01</v>
      </c>
      <c r="BT50" t="s">
        <v>781</v>
      </c>
      <c r="BU50" t="s">
        <v>667</v>
      </c>
      <c r="BV50">
        <v>26.9</v>
      </c>
      <c r="BW50">
        <v>33.08</v>
      </c>
      <c r="BX50">
        <v>52.41</v>
      </c>
      <c r="BY50">
        <v>-46.01</v>
      </c>
      <c r="BZ50">
        <v>-79.03</v>
      </c>
      <c r="CA50">
        <v>24.04</v>
      </c>
      <c r="CB50">
        <v>7.72</v>
      </c>
      <c r="CC50">
        <v>-14.46</v>
      </c>
      <c r="CD50" t="s">
        <v>2227</v>
      </c>
      <c r="CE50" t="s">
        <v>2228</v>
      </c>
      <c r="CF50" s="9">
        <v>1.4711418994124195</v>
      </c>
      <c r="CG50" s="10">
        <v>1.3847954793754345</v>
      </c>
      <c r="CH50" s="9">
        <v>0.88288289308547974</v>
      </c>
      <c r="CI50" s="9">
        <v>-0.65094339847564697</v>
      </c>
      <c r="CJ50" s="9">
        <v>-2.7522936463356018E-2</v>
      </c>
      <c r="CK50" s="9">
        <v>0.98181819915771484</v>
      </c>
      <c r="CL50" s="9">
        <v>0.88182163238525391</v>
      </c>
      <c r="CM50" s="10">
        <v>-9.7893074154853821E-2</v>
      </c>
      <c r="CN50" s="10">
        <v>-2.1476500034332275</v>
      </c>
      <c r="CO50" s="10">
        <v>-0.10988818854093552</v>
      </c>
      <c r="CP50" s="10">
        <v>5.1682305335998535</v>
      </c>
      <c r="CQ50" s="10">
        <v>27.201539993286133</v>
      </c>
      <c r="CR50">
        <v>-922.86977106966242</v>
      </c>
      <c r="CS50">
        <v>-22.312490502453063</v>
      </c>
      <c r="CT50">
        <v>0</v>
      </c>
      <c r="CU50" s="9">
        <v>0.4136112779378891</v>
      </c>
      <c r="CV50" s="10">
        <v>6.0028678521513941</v>
      </c>
      <c r="CW50">
        <v>0.06</v>
      </c>
      <c r="CX50" t="e">
        <v>#VALUE!</v>
      </c>
      <c r="CY50" t="s">
        <v>569</v>
      </c>
      <c r="CZ50">
        <v>0.4136112779378891</v>
      </c>
      <c r="DA50" t="e">
        <v>#VALUE!</v>
      </c>
      <c r="DB50" t="s">
        <v>569</v>
      </c>
      <c r="DC50">
        <v>0.39293071404099461</v>
      </c>
      <c r="DD50" t="e">
        <v>#VALUE!</v>
      </c>
      <c r="DE50" t="s">
        <v>569</v>
      </c>
      <c r="DF50">
        <v>0.36397792458534239</v>
      </c>
      <c r="DG50" t="e">
        <v>#VALUE!</v>
      </c>
      <c r="DH50" t="s">
        <v>569</v>
      </c>
      <c r="DI50">
        <v>0.33088902235031131</v>
      </c>
      <c r="DJ50" t="e">
        <v>#VALUE!</v>
      </c>
      <c r="DK50" t="s">
        <v>569</v>
      </c>
      <c r="DL50">
        <v>0.28952789455652234</v>
      </c>
      <c r="DM50">
        <v>-96318700.000000015</v>
      </c>
      <c r="DN50">
        <v>0.4136112779378891</v>
      </c>
      <c r="DO50">
        <v>804040000</v>
      </c>
      <c r="DP50">
        <v>429332670</v>
      </c>
      <c r="DQ50">
        <v>4771</v>
      </c>
      <c r="DR50">
        <v>1.0575306214745304</v>
      </c>
      <c r="DS50">
        <v>-4.6180723727759592</v>
      </c>
      <c r="DT50" s="11">
        <v>2.6666666666666616E-2</v>
      </c>
      <c r="DU50">
        <v>1.8666666666666533E-2</v>
      </c>
      <c r="DV50">
        <v>4.5333333333333149E-2</v>
      </c>
      <c r="DW50">
        <v>7.3480613165013526</v>
      </c>
      <c r="DX50">
        <v>0.56928363895659173</v>
      </c>
      <c r="DY50">
        <v>7.0728435388974242</v>
      </c>
      <c r="DZ50">
        <v>1686</v>
      </c>
      <c r="EA50">
        <v>7.0488000372174993</v>
      </c>
      <c r="EB50">
        <v>7</v>
      </c>
      <c r="EC50">
        <v>5.1748684210526315E-2</v>
      </c>
      <c r="ED50">
        <v>0.24726578947368422</v>
      </c>
      <c r="EE50" s="12">
        <v>-7.0530999999999997</v>
      </c>
      <c r="EF50">
        <v>-7.0731000000000002</v>
      </c>
      <c r="EG50">
        <v>36.209283638956592</v>
      </c>
      <c r="EH50" t="s">
        <v>2229</v>
      </c>
      <c r="EI50">
        <v>1</v>
      </c>
      <c r="EJ50">
        <v>0</v>
      </c>
      <c r="EK50" s="14">
        <v>45505</v>
      </c>
      <c r="EL50" s="15">
        <v>1.63</v>
      </c>
      <c r="EM50" s="15">
        <v>3.5</v>
      </c>
      <c r="EN50" s="15">
        <v>-1.55</v>
      </c>
      <c r="EO50" s="15">
        <v>2.1800000000000002</v>
      </c>
      <c r="EP50" s="15">
        <v>2</v>
      </c>
    </row>
    <row r="51" spans="1:146" ht="84" x14ac:dyDescent="0.25">
      <c r="A51" s="8"/>
      <c r="B51" s="8"/>
      <c r="C51" s="8" t="str">
        <f>""&amp;CHAR(10)&amp;Basic_Fundamental_Information_Constructure(F51)&amp;CHAR(10)&amp;Basic_Fundamental_Information_Concatenate("")</f>
        <v xml:space="preserve">
市值33.040051亿, 利润-5631.08万; PE; 平均PE62.7; 平均PEG4.36, PB2; ROIC2.9667%; ROE3.3033%; 股利率0%; 毛利52.8733%; 净利6.46%; 上一年度营收增-30.9%, 利润增-315.2%; 当季营收增-65.47%, 利润增-11.62%; 过往5年营收增14.37%, 利润增-39.53%
Income profile:
</v>
      </c>
      <c r="D51" t="s">
        <v>194</v>
      </c>
      <c r="E51" t="s">
        <v>195</v>
      </c>
      <c r="F51">
        <v>20.6</v>
      </c>
      <c r="G51">
        <v>3.15</v>
      </c>
      <c r="H51" t="s">
        <v>2230</v>
      </c>
      <c r="I51">
        <v>3304005100</v>
      </c>
      <c r="K51">
        <v>2</v>
      </c>
      <c r="L51" t="s">
        <v>667</v>
      </c>
      <c r="M51" t="s">
        <v>1380</v>
      </c>
      <c r="N51" t="s">
        <v>947</v>
      </c>
      <c r="O51" t="s">
        <v>1381</v>
      </c>
      <c r="P51">
        <v>-65.47</v>
      </c>
      <c r="Q51" t="s">
        <v>163</v>
      </c>
      <c r="R51">
        <v>-21752869</v>
      </c>
      <c r="S51" s="6">
        <v>-0.1162</v>
      </c>
      <c r="T51" t="s">
        <v>1382</v>
      </c>
      <c r="U51">
        <v>160261340</v>
      </c>
      <c r="V51">
        <v>160388600</v>
      </c>
      <c r="W51">
        <v>1.52</v>
      </c>
      <c r="X51">
        <v>0.01</v>
      </c>
      <c r="Y51">
        <v>-156.02000000000001</v>
      </c>
      <c r="Z51" t="s">
        <v>1964</v>
      </c>
      <c r="AA51" t="s">
        <v>1965</v>
      </c>
      <c r="AB51" t="s">
        <v>1966</v>
      </c>
      <c r="AC51" t="s">
        <v>1967</v>
      </c>
      <c r="AD51" t="s">
        <v>15</v>
      </c>
      <c r="AE51">
        <v>3293144</v>
      </c>
      <c r="AF51" t="s">
        <v>66</v>
      </c>
      <c r="AG51">
        <v>5884.96</v>
      </c>
      <c r="AH51" t="s">
        <v>1383</v>
      </c>
      <c r="AI51" t="s">
        <v>49</v>
      </c>
      <c r="AJ51" t="s">
        <v>1384</v>
      </c>
      <c r="AK51" t="s">
        <v>1968</v>
      </c>
      <c r="AL51" t="s">
        <v>1385</v>
      </c>
      <c r="AM51" t="s">
        <v>15</v>
      </c>
      <c r="AN51" t="s">
        <v>1969</v>
      </c>
      <c r="AO51" t="s">
        <v>1386</v>
      </c>
      <c r="AP51" t="s">
        <v>38</v>
      </c>
      <c r="AQ51" t="s">
        <v>70</v>
      </c>
      <c r="AR51" t="s">
        <v>15</v>
      </c>
      <c r="AS51" t="s">
        <v>306</v>
      </c>
      <c r="AT51" t="s">
        <v>1387</v>
      </c>
      <c r="AU51" t="s">
        <v>1970</v>
      </c>
      <c r="AV51" t="s">
        <v>1971</v>
      </c>
      <c r="AW51" t="s">
        <v>1972</v>
      </c>
      <c r="AX51" t="s">
        <v>215</v>
      </c>
      <c r="AY51" t="s">
        <v>690</v>
      </c>
      <c r="AZ51" t="s">
        <v>305</v>
      </c>
      <c r="BA51" t="s">
        <v>40</v>
      </c>
      <c r="BB51" t="s">
        <v>145</v>
      </c>
      <c r="BC51" t="s">
        <v>1388</v>
      </c>
      <c r="BD51" t="s">
        <v>367</v>
      </c>
      <c r="BE51" t="s">
        <v>106</v>
      </c>
      <c r="BF51" t="s">
        <v>196</v>
      </c>
      <c r="BG51" t="s">
        <v>349</v>
      </c>
      <c r="BH51" t="s">
        <v>163</v>
      </c>
      <c r="BI51" t="s">
        <v>2231</v>
      </c>
      <c r="BJ51" t="s">
        <v>215</v>
      </c>
      <c r="BK51" t="s">
        <v>1382</v>
      </c>
      <c r="BL51" t="s">
        <v>2232</v>
      </c>
      <c r="BM51" t="s">
        <v>1388</v>
      </c>
      <c r="BN51">
        <v>0.82</v>
      </c>
      <c r="BO51">
        <v>1.5</v>
      </c>
      <c r="BP51">
        <v>6.58</v>
      </c>
      <c r="BQ51">
        <v>0.66</v>
      </c>
      <c r="BR51">
        <v>1.47</v>
      </c>
      <c r="BS51">
        <v>7.78</v>
      </c>
      <c r="BT51" t="s">
        <v>781</v>
      </c>
      <c r="BU51" t="s">
        <v>667</v>
      </c>
      <c r="BV51">
        <v>50.29</v>
      </c>
      <c r="BW51">
        <v>48.69</v>
      </c>
      <c r="BX51">
        <v>59.64</v>
      </c>
      <c r="BY51">
        <v>-14.66</v>
      </c>
      <c r="BZ51">
        <v>5.71</v>
      </c>
      <c r="CA51">
        <v>28.33</v>
      </c>
      <c r="CB51">
        <v>14.13</v>
      </c>
      <c r="CC51">
        <v>-8.1199999999999992</v>
      </c>
      <c r="CD51" t="s">
        <v>2233</v>
      </c>
      <c r="CE51" t="s">
        <v>180</v>
      </c>
      <c r="CF51" s="9">
        <v>-0.65474810305810027</v>
      </c>
      <c r="CG51" s="10">
        <v>-0.11616137308225152</v>
      </c>
      <c r="CH51" s="9">
        <v>-0.30897703766822815</v>
      </c>
      <c r="CI51" s="9">
        <v>6.3025210984051228E-3</v>
      </c>
      <c r="CJ51" s="9">
        <v>0.12529550492763519</v>
      </c>
      <c r="CK51" s="9">
        <v>0.49469965696334839</v>
      </c>
      <c r="CL51" s="9">
        <v>0.40099009871482849</v>
      </c>
      <c r="CM51" s="10">
        <v>-3.1520025730133057</v>
      </c>
      <c r="CN51" s="10">
        <v>-0.80472606420516968</v>
      </c>
      <c r="CO51" s="10">
        <v>0.25233644247055054</v>
      </c>
      <c r="CP51" s="10">
        <v>0.46454566717147827</v>
      </c>
      <c r="CQ51" s="10">
        <v>1.2635234594345093</v>
      </c>
      <c r="CR51">
        <v>62.695922399367724</v>
      </c>
      <c r="CS51">
        <v>4.3641225555876222</v>
      </c>
      <c r="CT51">
        <v>0</v>
      </c>
      <c r="CU51" s="9">
        <v>0.1436621488071978</v>
      </c>
      <c r="CV51" s="10">
        <v>-0.39526461362838744</v>
      </c>
      <c r="CW51">
        <v>0.06</v>
      </c>
      <c r="CX51" t="e">
        <v>#VALUE!</v>
      </c>
      <c r="CY51" t="s">
        <v>568</v>
      </c>
      <c r="CZ51">
        <v>0.1436621488071978</v>
      </c>
      <c r="DA51" t="e">
        <v>#VALUE!</v>
      </c>
      <c r="DB51" t="s">
        <v>569</v>
      </c>
      <c r="DC51">
        <v>0.13647904136683789</v>
      </c>
      <c r="DD51" t="e">
        <v>#VALUE!</v>
      </c>
      <c r="DE51" t="s">
        <v>569</v>
      </c>
      <c r="DF51">
        <v>0.12642269095033407</v>
      </c>
      <c r="DG51" t="e">
        <v>#VALUE!</v>
      </c>
      <c r="DH51" t="s">
        <v>569</v>
      </c>
      <c r="DI51">
        <v>0.11492971904575824</v>
      </c>
      <c r="DJ51" t="e">
        <v>#VALUE!</v>
      </c>
      <c r="DK51" t="s">
        <v>569</v>
      </c>
      <c r="DL51">
        <v>0.10056350416503845</v>
      </c>
      <c r="DM51">
        <v>-56310800</v>
      </c>
      <c r="DN51">
        <v>0.1436621488071978</v>
      </c>
      <c r="DO51">
        <v>2576005100</v>
      </c>
      <c r="DP51">
        <v>1011798600</v>
      </c>
      <c r="DQ51">
        <v>4806</v>
      </c>
      <c r="DR51">
        <v>-0.79841025186529802</v>
      </c>
      <c r="DS51">
        <v>0.27910324054613589</v>
      </c>
      <c r="DT51" s="11">
        <v>-0.39000000000000007</v>
      </c>
      <c r="DU51">
        <v>-1.2783333333333333</v>
      </c>
      <c r="DV51">
        <v>-1.6683333333333334</v>
      </c>
      <c r="DW51">
        <v>5.5746638358103322</v>
      </c>
      <c r="DX51">
        <v>0.60630416666666753</v>
      </c>
      <c r="DY51">
        <v>5.1645286506251473</v>
      </c>
      <c r="DZ51">
        <v>4144</v>
      </c>
      <c r="EA51">
        <v>5.0310504344562732</v>
      </c>
      <c r="EB51">
        <v>5</v>
      </c>
      <c r="EC51">
        <v>0.21420786764146579</v>
      </c>
      <c r="ED51">
        <v>0.74818285090087455</v>
      </c>
      <c r="EE51" s="12">
        <v>-4.1304999999999996</v>
      </c>
      <c r="EF51">
        <v>-3.012</v>
      </c>
      <c r="EG51">
        <v>32.286304166666667</v>
      </c>
      <c r="EH51" t="s">
        <v>2106</v>
      </c>
      <c r="EI51">
        <v>1</v>
      </c>
      <c r="EJ51">
        <v>0</v>
      </c>
      <c r="EK51" s="14">
        <v>45505</v>
      </c>
      <c r="EL51" s="15">
        <v>-0.39</v>
      </c>
      <c r="EM51" s="15">
        <v>8.5299999999999994</v>
      </c>
      <c r="EN51" s="15">
        <v>-2.86</v>
      </c>
      <c r="EO51" s="15">
        <v>4.3899999999999997</v>
      </c>
      <c r="EP51" s="15">
        <v>3.15</v>
      </c>
    </row>
    <row r="52" spans="1:146" ht="144" x14ac:dyDescent="0.25">
      <c r="A52" s="8"/>
      <c r="B52" s="8"/>
      <c r="C52" s="8" t="str">
        <f>"公司的主要从事有源相控阵T/R组件和射频集成电路相关产品的研发、生产和销售。产品主要包括有源相控阵T/R组件、砷化镓基站射频集成电路等。"&amp;CHAR(10)&amp;Basic_Fundamental_Information_Constructure(F52)&amp;CHAR(10)&amp;Basic_Fundamental_Information_Concatenate("T/R组件和射频模块 21.31亿 84.95% 81.63% 33.33%
射频芯片 3.42亿 13.63% 15.85% 40.33%
其他芯片 3545.14万 1.41% 2.51% 61.71%")</f>
        <v>公司的主要从事有源相控阵T/R组件和射频集成电路相关产品的研发、生产和销售。产品主要包括有源相控阵T/R组件、砷化镓基站射频集成电路等。
市值263.25978亿, 利润6.06亿; PE43.08; 平均PE65.24; 平均PEG3.93, PB4.3; ROIC11.6267%; ROE12.18%; 股利率0%; 毛利32.5433%; 净利15.57%; 上一年度营收增3.06%, 利润增16.54%; 当季营收增-.72%, 利润增4.12%; 过往5年营收增16.58%, 利润增21.38%
Income profile:
T/R组件和射频模块 21.31亿 84.95% 81.63% 33.33%
射频芯片 3.42亿 13.63% 15.85% 40.33%
其他芯片 3545.14万 1.41% 2.51% 61.71%</v>
      </c>
      <c r="D52" t="s">
        <v>624</v>
      </c>
      <c r="E52" t="s">
        <v>625</v>
      </c>
      <c r="F52">
        <v>44.17</v>
      </c>
      <c r="G52">
        <v>1.21</v>
      </c>
      <c r="H52" t="s">
        <v>2234</v>
      </c>
      <c r="I52">
        <v>26325978000</v>
      </c>
      <c r="J52">
        <v>43.08</v>
      </c>
      <c r="K52">
        <v>4.3</v>
      </c>
      <c r="L52" t="s">
        <v>667</v>
      </c>
      <c r="M52" t="s">
        <v>176</v>
      </c>
      <c r="N52" t="s">
        <v>1973</v>
      </c>
      <c r="O52" t="s">
        <v>1229</v>
      </c>
      <c r="P52">
        <v>-0.62</v>
      </c>
      <c r="Q52" t="s">
        <v>920</v>
      </c>
      <c r="R52">
        <v>120776726</v>
      </c>
      <c r="S52" s="6">
        <v>4.2200000000000001E-2</v>
      </c>
      <c r="T52" t="s">
        <v>394</v>
      </c>
      <c r="U52">
        <v>263683900</v>
      </c>
      <c r="V52">
        <v>596014900</v>
      </c>
      <c r="W52">
        <v>1.34</v>
      </c>
      <c r="X52">
        <v>0.08</v>
      </c>
      <c r="Y52">
        <v>17.420000000000002</v>
      </c>
      <c r="Z52" t="s">
        <v>821</v>
      </c>
      <c r="AA52" t="s">
        <v>190</v>
      </c>
      <c r="AB52" t="s">
        <v>1974</v>
      </c>
      <c r="AC52" t="s">
        <v>1975</v>
      </c>
      <c r="AD52" t="s">
        <v>15</v>
      </c>
      <c r="AE52">
        <v>-6674841</v>
      </c>
      <c r="AF52" t="s">
        <v>1389</v>
      </c>
      <c r="AG52" t="s">
        <v>15</v>
      </c>
      <c r="AH52" t="s">
        <v>1390</v>
      </c>
      <c r="AI52" t="s">
        <v>483</v>
      </c>
      <c r="AJ52" t="s">
        <v>1391</v>
      </c>
      <c r="AK52" t="s">
        <v>1976</v>
      </c>
      <c r="AL52" t="s">
        <v>1392</v>
      </c>
      <c r="AM52" t="s">
        <v>15</v>
      </c>
      <c r="AN52" t="s">
        <v>213</v>
      </c>
      <c r="AO52" t="s">
        <v>15</v>
      </c>
      <c r="AP52" t="s">
        <v>1977</v>
      </c>
      <c r="AQ52" t="s">
        <v>1460</v>
      </c>
      <c r="AR52" t="s">
        <v>15</v>
      </c>
      <c r="AS52" t="s">
        <v>689</v>
      </c>
      <c r="AT52" t="s">
        <v>15</v>
      </c>
      <c r="AU52" t="s">
        <v>527</v>
      </c>
      <c r="AV52" t="s">
        <v>1978</v>
      </c>
      <c r="AW52" t="s">
        <v>1979</v>
      </c>
      <c r="AX52" t="s">
        <v>884</v>
      </c>
      <c r="AY52" t="s">
        <v>701</v>
      </c>
      <c r="AZ52" t="s">
        <v>626</v>
      </c>
      <c r="BA52" t="s">
        <v>627</v>
      </c>
      <c r="BB52" t="s">
        <v>628</v>
      </c>
      <c r="BC52" t="s">
        <v>969</v>
      </c>
      <c r="BD52" t="s">
        <v>224</v>
      </c>
      <c r="BE52" t="s">
        <v>89</v>
      </c>
      <c r="BF52" t="s">
        <v>629</v>
      </c>
      <c r="BG52" t="s">
        <v>369</v>
      </c>
      <c r="BH52" t="s">
        <v>920</v>
      </c>
      <c r="BI52" t="s">
        <v>336</v>
      </c>
      <c r="BJ52" t="s">
        <v>884</v>
      </c>
      <c r="BK52" t="s">
        <v>394</v>
      </c>
      <c r="BL52" t="s">
        <v>334</v>
      </c>
      <c r="BM52" t="s">
        <v>969</v>
      </c>
      <c r="BN52">
        <v>7.52</v>
      </c>
      <c r="BO52">
        <v>12.54</v>
      </c>
      <c r="BP52">
        <v>14.82</v>
      </c>
      <c r="BQ52">
        <v>7.68</v>
      </c>
      <c r="BR52">
        <v>13.29</v>
      </c>
      <c r="BS52">
        <v>15.57</v>
      </c>
      <c r="BT52" t="s">
        <v>892</v>
      </c>
      <c r="BU52" t="s">
        <v>667</v>
      </c>
      <c r="BV52">
        <v>32.28</v>
      </c>
      <c r="BW52">
        <v>30.67</v>
      </c>
      <c r="BX52">
        <v>34.68</v>
      </c>
      <c r="BY52">
        <v>17</v>
      </c>
      <c r="BZ52">
        <v>15.04</v>
      </c>
      <c r="CA52">
        <v>14.67</v>
      </c>
      <c r="CB52">
        <v>8.42</v>
      </c>
      <c r="CC52">
        <v>-8.09</v>
      </c>
      <c r="CD52" t="s">
        <v>2235</v>
      </c>
      <c r="CE52" t="s">
        <v>2236</v>
      </c>
      <c r="CF52" s="9">
        <v>-7.1633237822349575E-3</v>
      </c>
      <c r="CG52" s="10">
        <v>4.1178672413793235E-2</v>
      </c>
      <c r="CH52" s="9">
        <v>3.0627023428678513E-2</v>
      </c>
      <c r="CI52" s="9">
        <v>0.37943404912948608</v>
      </c>
      <c r="CJ52" s="9">
        <v>0.13426759839057922</v>
      </c>
      <c r="CK52" s="9">
        <v>-5.8426680043339729E-3</v>
      </c>
      <c r="CL52" s="9">
        <v>0.29060322046279907</v>
      </c>
      <c r="CM52" s="10">
        <v>0.16538462042808533</v>
      </c>
      <c r="CN52" s="10">
        <v>0.41304346919059753</v>
      </c>
      <c r="CO52" s="10">
        <v>0.19480518996715546</v>
      </c>
      <c r="CP52" s="10">
        <v>-0.16076293587684631</v>
      </c>
      <c r="CQ52" s="10">
        <v>0.45634919404983521</v>
      </c>
      <c r="CR52">
        <v>65.244059479553897</v>
      </c>
      <c r="CS52">
        <v>3.934682639549226</v>
      </c>
      <c r="CT52">
        <v>0</v>
      </c>
      <c r="CU52" s="9">
        <v>0.16581784468144178</v>
      </c>
      <c r="CV52" s="10">
        <v>0.21376390755176544</v>
      </c>
      <c r="CW52">
        <v>0.06</v>
      </c>
      <c r="CX52">
        <v>34.025684611019884</v>
      </c>
      <c r="CY52">
        <v>666495862.14806962</v>
      </c>
      <c r="CZ52">
        <v>0.16581784468144178</v>
      </c>
      <c r="DA52">
        <v>10.433720321650577</v>
      </c>
      <c r="DB52">
        <v>2173527495.551311</v>
      </c>
      <c r="DC52">
        <v>0.15752695244736969</v>
      </c>
      <c r="DD52">
        <v>4.7062098920778359</v>
      </c>
      <c r="DE52">
        <v>4818734931.0906868</v>
      </c>
      <c r="DF52">
        <v>0.14591970331966878</v>
      </c>
      <c r="DG52">
        <v>2.552312519334063</v>
      </c>
      <c r="DH52">
        <v>8885266920.9635143</v>
      </c>
      <c r="DI52">
        <v>0.13265427574515343</v>
      </c>
      <c r="DJ52">
        <v>1.0423799391375927</v>
      </c>
      <c r="DK52">
        <v>21755961668.604729</v>
      </c>
      <c r="DL52">
        <v>0.11607249127700923</v>
      </c>
      <c r="DM52">
        <v>606000000</v>
      </c>
      <c r="DN52">
        <v>0.16581784468144178</v>
      </c>
      <c r="DO52">
        <v>22677978000</v>
      </c>
      <c r="DP52">
        <v>4236852600</v>
      </c>
      <c r="DQ52">
        <v>4861</v>
      </c>
      <c r="DR52">
        <v>-0.17298116846367675</v>
      </c>
      <c r="DS52">
        <v>-0.17258523513797219</v>
      </c>
      <c r="DT52" s="11">
        <v>-0.19000000000000003</v>
      </c>
      <c r="DU52">
        <v>0.43333333333333335</v>
      </c>
      <c r="DV52">
        <v>0.24333333333333332</v>
      </c>
      <c r="DW52">
        <v>5.960807600950119</v>
      </c>
      <c r="DX52">
        <v>0.58914426091894512</v>
      </c>
      <c r="DY52">
        <v>5.2105554715955176</v>
      </c>
      <c r="DZ52">
        <v>1254</v>
      </c>
      <c r="EA52">
        <v>5.1588646804089908</v>
      </c>
      <c r="EB52">
        <v>5</v>
      </c>
      <c r="EC52">
        <v>8.9353470861215038E-3</v>
      </c>
      <c r="ED52">
        <v>4.0773812869443364E-2</v>
      </c>
      <c r="EE52" s="12">
        <v>-6.0442</v>
      </c>
      <c r="EF52">
        <v>-6.0563000000000002</v>
      </c>
      <c r="EG52">
        <v>37.219144260918945</v>
      </c>
      <c r="EH52" t="s">
        <v>2237</v>
      </c>
      <c r="EI52">
        <v>1</v>
      </c>
      <c r="EJ52">
        <v>1</v>
      </c>
      <c r="EK52" s="14">
        <v>45505</v>
      </c>
      <c r="EL52" s="15">
        <v>-1.36</v>
      </c>
      <c r="EM52" s="15">
        <v>3.31</v>
      </c>
      <c r="EN52" s="15">
        <v>-0.28999999999999998</v>
      </c>
      <c r="EO52" s="15">
        <v>4.53</v>
      </c>
      <c r="EP52" s="15">
        <v>1.21</v>
      </c>
    </row>
    <row r="53" spans="1:146" ht="96" x14ac:dyDescent="0.25">
      <c r="A53" s="8"/>
      <c r="B53" s="8"/>
      <c r="C53" s="8" t="str">
        <f>""&amp;CHAR(10)&amp;Basic_Fundamental_Information_Constructure(F53)&amp;CHAR(10)&amp;Basic_Fundamental_Information_Concatenate("")</f>
        <v xml:space="preserve">
市值113.74亿, 利润6.11亿; PE18.3; 平均PE52.4; 平均PEG1.06, PB2.34; ROIC16.6933%; ROE20.35%; 股利率1.2362%; 毛利75.2933%; 净利42.68%; 上一年度营收增66.5%, 利润增101.65%; 当季营收增7.41%, 利润增8.37%; 过往5年营收增49.61%, 利润增75.93%
Income profile:
</v>
      </c>
      <c r="D53" t="s">
        <v>630</v>
      </c>
      <c r="E53" t="s">
        <v>631</v>
      </c>
      <c r="F53">
        <v>56.87</v>
      </c>
      <c r="G53">
        <v>0.23</v>
      </c>
      <c r="H53" t="s">
        <v>2238</v>
      </c>
      <c r="I53">
        <v>11374000000</v>
      </c>
      <c r="J53">
        <v>18.3</v>
      </c>
      <c r="K53">
        <v>2.34</v>
      </c>
      <c r="L53" t="s">
        <v>667</v>
      </c>
      <c r="M53" t="s">
        <v>934</v>
      </c>
      <c r="N53" t="s">
        <v>1980</v>
      </c>
      <c r="O53" t="s">
        <v>903</v>
      </c>
      <c r="P53">
        <v>7.63</v>
      </c>
      <c r="Q53" t="s">
        <v>1393</v>
      </c>
      <c r="R53">
        <v>139793080</v>
      </c>
      <c r="S53" s="6">
        <v>8.5699999999999998E-2</v>
      </c>
      <c r="T53" t="s">
        <v>573</v>
      </c>
      <c r="U53">
        <v>112424882</v>
      </c>
      <c r="V53">
        <v>200000000</v>
      </c>
      <c r="W53">
        <v>1.1299999999999999</v>
      </c>
      <c r="X53">
        <v>0.06</v>
      </c>
      <c r="Y53">
        <v>39.93</v>
      </c>
      <c r="Z53" t="s">
        <v>45</v>
      </c>
      <c r="AA53" t="s">
        <v>1981</v>
      </c>
      <c r="AB53" t="s">
        <v>1982</v>
      </c>
      <c r="AC53" t="s">
        <v>1983</v>
      </c>
      <c r="AD53" t="s">
        <v>15</v>
      </c>
      <c r="AE53">
        <v>-3415394</v>
      </c>
      <c r="AF53" t="s">
        <v>1394</v>
      </c>
      <c r="AG53">
        <v>1220.1400000000001</v>
      </c>
      <c r="AH53" t="s">
        <v>1395</v>
      </c>
      <c r="AI53" t="s">
        <v>1984</v>
      </c>
      <c r="AJ53" t="s">
        <v>1396</v>
      </c>
      <c r="AK53" t="s">
        <v>31</v>
      </c>
      <c r="AL53" t="s">
        <v>1397</v>
      </c>
      <c r="AM53" t="s">
        <v>15</v>
      </c>
      <c r="AN53" t="s">
        <v>34</v>
      </c>
      <c r="AO53" t="s">
        <v>15</v>
      </c>
      <c r="AP53" t="s">
        <v>1985</v>
      </c>
      <c r="AQ53" t="s">
        <v>128</v>
      </c>
      <c r="AR53" t="s">
        <v>15</v>
      </c>
      <c r="AS53" t="s">
        <v>317</v>
      </c>
      <c r="AT53" t="s">
        <v>942</v>
      </c>
      <c r="AU53" t="s">
        <v>1986</v>
      </c>
      <c r="AV53" t="s">
        <v>431</v>
      </c>
      <c r="AW53" t="s">
        <v>1987</v>
      </c>
      <c r="AX53" t="s">
        <v>460</v>
      </c>
      <c r="AY53" t="s">
        <v>707</v>
      </c>
      <c r="AZ53" t="s">
        <v>577</v>
      </c>
      <c r="BA53" t="s">
        <v>332</v>
      </c>
      <c r="BB53" t="s">
        <v>34</v>
      </c>
      <c r="BC53" t="s">
        <v>860</v>
      </c>
      <c r="BD53" t="s">
        <v>216</v>
      </c>
      <c r="BE53" t="s">
        <v>115</v>
      </c>
      <c r="BF53" t="s">
        <v>633</v>
      </c>
      <c r="BG53" t="s">
        <v>634</v>
      </c>
      <c r="BH53" t="s">
        <v>1393</v>
      </c>
      <c r="BI53" t="s">
        <v>793</v>
      </c>
      <c r="BJ53" t="s">
        <v>460</v>
      </c>
      <c r="BK53" t="s">
        <v>573</v>
      </c>
      <c r="BL53" t="s">
        <v>77</v>
      </c>
      <c r="BM53" t="s">
        <v>860</v>
      </c>
      <c r="BN53">
        <v>8.9700000000000006</v>
      </c>
      <c r="BO53">
        <v>12.97</v>
      </c>
      <c r="BP53">
        <v>28.14</v>
      </c>
      <c r="BQ53">
        <v>9.0299999999999994</v>
      </c>
      <c r="BR53">
        <v>16.32</v>
      </c>
      <c r="BS53">
        <v>35.700000000000003</v>
      </c>
      <c r="BT53" t="s">
        <v>1398</v>
      </c>
      <c r="BU53" t="s">
        <v>667</v>
      </c>
      <c r="BV53">
        <v>74.5</v>
      </c>
      <c r="BW53">
        <v>77.39</v>
      </c>
      <c r="BX53">
        <v>73.989999999999995</v>
      </c>
      <c r="BY53">
        <v>47.22</v>
      </c>
      <c r="BZ53">
        <v>43.46</v>
      </c>
      <c r="CA53">
        <v>37.36</v>
      </c>
      <c r="CB53">
        <v>6.24</v>
      </c>
      <c r="CC53">
        <v>-15.24</v>
      </c>
      <c r="CD53" t="s">
        <v>2239</v>
      </c>
      <c r="CE53" t="s">
        <v>2240</v>
      </c>
      <c r="CF53" s="9">
        <v>7.407407407407407E-2</v>
      </c>
      <c r="CG53" s="10">
        <v>8.3667286821705419E-2</v>
      </c>
      <c r="CH53" s="9">
        <v>0.66495496034622192</v>
      </c>
      <c r="CI53" s="9">
        <v>0.55179280042648315</v>
      </c>
      <c r="CJ53" s="9">
        <v>0.39058172702789307</v>
      </c>
      <c r="CK53" s="9">
        <v>0.40466925501823425</v>
      </c>
      <c r="CL53" s="9">
        <v>0.46857142448425293</v>
      </c>
      <c r="CM53" s="10">
        <v>1.0165016651153564</v>
      </c>
      <c r="CN53" s="10">
        <v>0.7118644118309021</v>
      </c>
      <c r="CO53" s="10">
        <v>0.68571430444717407</v>
      </c>
      <c r="CP53" s="10">
        <v>0.51624339818954468</v>
      </c>
      <c r="CQ53" s="10">
        <v>0.866413414478302</v>
      </c>
      <c r="CR53">
        <v>52.400523544530998</v>
      </c>
      <c r="CS53">
        <v>1.0562193368934543</v>
      </c>
      <c r="CT53">
        <v>1.2361526288025322</v>
      </c>
      <c r="CU53" s="9">
        <v>0.49611403346061705</v>
      </c>
      <c r="CV53" s="10">
        <v>0.75934743881225586</v>
      </c>
      <c r="CW53">
        <v>0.06</v>
      </c>
      <c r="CX53">
        <v>8.1900992492636373</v>
      </c>
      <c r="CY53">
        <v>862382711.74003494</v>
      </c>
      <c r="CZ53">
        <v>0.49611403346061705</v>
      </c>
      <c r="DA53">
        <v>1.9302124197789046</v>
      </c>
      <c r="DB53">
        <v>3659182755.030158</v>
      </c>
      <c r="DC53">
        <v>0.47130833178758619</v>
      </c>
      <c r="DD53">
        <v>0.58313259890369673</v>
      </c>
      <c r="DE53">
        <v>12112167992.800625</v>
      </c>
      <c r="DF53">
        <v>0.43658034944534302</v>
      </c>
      <c r="DG53">
        <v>0.18841232350617579</v>
      </c>
      <c r="DH53">
        <v>37486932216.344589</v>
      </c>
      <c r="DI53">
        <v>0.39689122676849364</v>
      </c>
      <c r="DJ53">
        <v>2.0528561347179394E-2</v>
      </c>
      <c r="DK53">
        <v>344057232289.70697</v>
      </c>
      <c r="DL53">
        <v>0.34727982342243191</v>
      </c>
      <c r="DM53">
        <v>611000000</v>
      </c>
      <c r="DN53">
        <v>0.49611403346061705</v>
      </c>
      <c r="DO53">
        <v>7063000000</v>
      </c>
      <c r="DP53">
        <v>4311711200</v>
      </c>
      <c r="DQ53">
        <v>4900</v>
      </c>
      <c r="DR53">
        <v>-0.42203995938654298</v>
      </c>
      <c r="DS53">
        <v>-0.67568015199055043</v>
      </c>
      <c r="DT53" s="11">
        <v>0.39333333333333331</v>
      </c>
      <c r="DU53">
        <v>1.2166666666666666</v>
      </c>
      <c r="DV53">
        <v>1.6099999999999999</v>
      </c>
      <c r="DW53">
        <v>7.2905027932960893</v>
      </c>
      <c r="DX53">
        <v>0.47118649466475832</v>
      </c>
      <c r="DY53">
        <v>7.0410150710757948</v>
      </c>
      <c r="DZ53">
        <v>44</v>
      </c>
      <c r="EA53">
        <v>7.0406617697587759</v>
      </c>
      <c r="EB53">
        <v>7</v>
      </c>
      <c r="EC53">
        <v>4.4325499999999997E-2</v>
      </c>
      <c r="ED53">
        <v>0.31395000000000001</v>
      </c>
      <c r="EE53" s="12">
        <v>1.0281</v>
      </c>
      <c r="EF53">
        <v>1.0304</v>
      </c>
      <c r="EG53">
        <v>33.141186494664758</v>
      </c>
      <c r="EH53" t="s">
        <v>567</v>
      </c>
      <c r="EI53">
        <v>1</v>
      </c>
      <c r="EJ53">
        <v>1</v>
      </c>
      <c r="EK53" s="14">
        <v>45505</v>
      </c>
      <c r="EL53" s="15">
        <v>0.38</v>
      </c>
      <c r="EM53" s="15">
        <v>2.11</v>
      </c>
      <c r="EN53" s="15">
        <v>-1.08</v>
      </c>
      <c r="EO53" s="15">
        <v>4.92</v>
      </c>
      <c r="EP53" s="15">
        <v>0.23</v>
      </c>
    </row>
    <row r="54" spans="1:146" ht="84" x14ac:dyDescent="0.25">
      <c r="A54" s="8"/>
      <c r="B54" s="8"/>
      <c r="C54" s="8" t="str">
        <f>""&amp;CHAR(10)&amp;Basic_Fundamental_Information_Constructure(F54)&amp;CHAR(10)&amp;Basic_Fundamental_Information_Concatenate("")</f>
        <v xml:space="preserve">
市值12.632亿, 利润4970.43万; PE30.25; 平均PE20.09; 平均PEG.36, PB1.46; ROIC9.87%; ROE11.08%; 股利率2.3749%; 毛利64.7833%; 净利43.4333%; 上一年度营收增26.13%, 利润增10.64%; 当季营收增-10.31%, 利润增-45.36%; 过往5年营收增56.01%, 利润增94.13%
Income profile:
</v>
      </c>
      <c r="D54" t="s">
        <v>498</v>
      </c>
      <c r="E54" t="s">
        <v>499</v>
      </c>
      <c r="F54">
        <v>15.79</v>
      </c>
      <c r="G54">
        <v>1.35</v>
      </c>
      <c r="H54" t="s">
        <v>2241</v>
      </c>
      <c r="I54">
        <v>1263200000</v>
      </c>
      <c r="J54">
        <v>30.25</v>
      </c>
      <c r="K54">
        <v>1.46</v>
      </c>
      <c r="L54" t="s">
        <v>667</v>
      </c>
      <c r="M54" t="s">
        <v>115</v>
      </c>
      <c r="N54" t="s">
        <v>1988</v>
      </c>
      <c r="O54" t="s">
        <v>1400</v>
      </c>
      <c r="P54">
        <v>-10.31</v>
      </c>
      <c r="Q54" t="s">
        <v>531</v>
      </c>
      <c r="R54">
        <v>9570429</v>
      </c>
      <c r="S54" s="6">
        <v>-0.4536</v>
      </c>
      <c r="T54" t="s">
        <v>1401</v>
      </c>
      <c r="U54">
        <v>41273185</v>
      </c>
      <c r="V54">
        <v>80000000</v>
      </c>
      <c r="W54">
        <v>1.1200000000000001</v>
      </c>
      <c r="X54">
        <v>0.04</v>
      </c>
      <c r="Y54">
        <v>25.83</v>
      </c>
      <c r="Z54" t="s">
        <v>1989</v>
      </c>
      <c r="AA54" t="s">
        <v>1990</v>
      </c>
      <c r="AB54" t="s">
        <v>1991</v>
      </c>
      <c r="AC54" t="s">
        <v>1992</v>
      </c>
      <c r="AD54" t="s">
        <v>15</v>
      </c>
      <c r="AE54">
        <v>-123126</v>
      </c>
      <c r="AF54" t="s">
        <v>1402</v>
      </c>
      <c r="AG54">
        <v>167.27</v>
      </c>
      <c r="AH54" t="s">
        <v>1403</v>
      </c>
      <c r="AI54" t="s">
        <v>1993</v>
      </c>
      <c r="AJ54" t="s">
        <v>1404</v>
      </c>
      <c r="AK54" t="s">
        <v>1994</v>
      </c>
      <c r="AL54" t="s">
        <v>1405</v>
      </c>
      <c r="AM54" t="s">
        <v>15</v>
      </c>
      <c r="AN54" t="s">
        <v>1995</v>
      </c>
      <c r="AO54" t="s">
        <v>15</v>
      </c>
      <c r="AP54" t="s">
        <v>1996</v>
      </c>
      <c r="AQ54" t="s">
        <v>1997</v>
      </c>
      <c r="AR54" t="s">
        <v>15</v>
      </c>
      <c r="AS54" t="s">
        <v>1998</v>
      </c>
      <c r="AT54" t="s">
        <v>15</v>
      </c>
      <c r="AU54" t="s">
        <v>1999</v>
      </c>
      <c r="AV54" t="s">
        <v>2000</v>
      </c>
      <c r="AW54" t="s">
        <v>15</v>
      </c>
      <c r="AX54" t="s">
        <v>96</v>
      </c>
      <c r="AY54" t="s">
        <v>301</v>
      </c>
      <c r="AZ54" t="s">
        <v>356</v>
      </c>
      <c r="BA54" t="s">
        <v>293</v>
      </c>
      <c r="BB54" t="s">
        <v>500</v>
      </c>
      <c r="BC54" t="s">
        <v>1406</v>
      </c>
      <c r="BD54" t="s">
        <v>152</v>
      </c>
      <c r="BE54" t="s">
        <v>146</v>
      </c>
      <c r="BF54" t="s">
        <v>501</v>
      </c>
      <c r="BG54" t="s">
        <v>347</v>
      </c>
      <c r="BH54" t="s">
        <v>531</v>
      </c>
      <c r="BI54" t="s">
        <v>2242</v>
      </c>
      <c r="BJ54" t="s">
        <v>96</v>
      </c>
      <c r="BK54" t="s">
        <v>1401</v>
      </c>
      <c r="BL54" t="s">
        <v>2243</v>
      </c>
      <c r="BM54" t="s">
        <v>1406</v>
      </c>
      <c r="BN54">
        <v>4.43</v>
      </c>
      <c r="BO54">
        <v>5.17</v>
      </c>
      <c r="BP54">
        <v>20.010000000000002</v>
      </c>
      <c r="BQ54">
        <v>4.5999999999999996</v>
      </c>
      <c r="BR54">
        <v>5.2</v>
      </c>
      <c r="BS54">
        <v>23.44</v>
      </c>
      <c r="BT54" t="s">
        <v>1407</v>
      </c>
      <c r="BU54" t="s">
        <v>667</v>
      </c>
      <c r="BV54">
        <v>59.15</v>
      </c>
      <c r="BW54">
        <v>62.12</v>
      </c>
      <c r="BX54">
        <v>73.08</v>
      </c>
      <c r="BY54">
        <v>35.380000000000003</v>
      </c>
      <c r="BZ54">
        <v>39.869999999999997</v>
      </c>
      <c r="CA54">
        <v>55.05</v>
      </c>
      <c r="CB54">
        <v>5.55</v>
      </c>
      <c r="CC54">
        <v>-31.29</v>
      </c>
      <c r="CD54" t="s">
        <v>2244</v>
      </c>
      <c r="CE54" t="s">
        <v>2245</v>
      </c>
      <c r="CF54" s="9">
        <v>-0.10306750545218657</v>
      </c>
      <c r="CG54" s="10">
        <v>-0.45355861848453533</v>
      </c>
      <c r="CH54" s="9">
        <v>0.26126125454902649</v>
      </c>
      <c r="CI54" s="9">
        <v>-0.4663461446762085</v>
      </c>
      <c r="CJ54" s="9">
        <v>-0.11489361524581909</v>
      </c>
      <c r="CK54" s="9">
        <v>0.54605263471603394</v>
      </c>
      <c r="CL54" s="9">
        <v>2.5743429660797119</v>
      </c>
      <c r="CM54" s="10">
        <v>0.1064455434679985</v>
      </c>
      <c r="CN54" s="10">
        <v>-0.60936957597732544</v>
      </c>
      <c r="CO54" s="10">
        <v>1.7699114978313446E-2</v>
      </c>
      <c r="CP54" s="10">
        <v>1.5064047574996948</v>
      </c>
      <c r="CQ54" s="10">
        <v>3.6852235794067383</v>
      </c>
      <c r="CR54">
        <v>20.086183593315205</v>
      </c>
      <c r="CS54">
        <v>0.35862842763933062</v>
      </c>
      <c r="CT54">
        <v>2.3749208359721345</v>
      </c>
      <c r="CU54" s="9">
        <v>0.56008341908454895</v>
      </c>
      <c r="CV54" s="10">
        <v>0.9412806838750839</v>
      </c>
      <c r="CW54">
        <v>0.06</v>
      </c>
      <c r="CX54">
        <v>6.8786737979029811</v>
      </c>
      <c r="CY54">
        <v>73153636.120003909</v>
      </c>
      <c r="CZ54">
        <v>0.56008341908454895</v>
      </c>
      <c r="DA54">
        <v>1.5447203173297159</v>
      </c>
      <c r="DB54">
        <v>325754762.43483204</v>
      </c>
      <c r="DC54">
        <v>0.53207924813032148</v>
      </c>
      <c r="DD54">
        <v>0.43145647286642824</v>
      </c>
      <c r="DE54">
        <v>1166282189.8508923</v>
      </c>
      <c r="DF54">
        <v>0.49287340879440306</v>
      </c>
      <c r="DG54">
        <v>0.12538882610204857</v>
      </c>
      <c r="DH54">
        <v>4013116763.6139054</v>
      </c>
      <c r="DI54">
        <v>0.44806673526763918</v>
      </c>
      <c r="DJ54">
        <v>1.0416966185066675E-2</v>
      </c>
      <c r="DK54">
        <v>48305811025.993958</v>
      </c>
      <c r="DL54">
        <v>0.39205839335918424</v>
      </c>
      <c r="DM54">
        <v>49704300</v>
      </c>
      <c r="DN54">
        <v>0.56008341908454895</v>
      </c>
      <c r="DO54">
        <v>503200000</v>
      </c>
      <c r="DP54">
        <v>784240270</v>
      </c>
      <c r="DQ54">
        <v>4934</v>
      </c>
      <c r="DR54">
        <v>-0.66315092453673552</v>
      </c>
      <c r="DS54">
        <v>-1.3948393023596193</v>
      </c>
      <c r="DT54" s="11">
        <v>0.20666666666666664</v>
      </c>
      <c r="DU54">
        <v>0.20666666666666658</v>
      </c>
      <c r="DV54">
        <v>0.41333333333333322</v>
      </c>
      <c r="DW54">
        <v>6.1506514657980453</v>
      </c>
      <c r="DX54">
        <v>0.50437015039755018</v>
      </c>
      <c r="DY54">
        <v>6.0262691187488162</v>
      </c>
      <c r="DZ54">
        <v>930</v>
      </c>
      <c r="EA54">
        <v>6.0214863700337808</v>
      </c>
      <c r="EB54">
        <v>6</v>
      </c>
      <c r="EC54">
        <v>9.1012499999999996E-2</v>
      </c>
      <c r="ED54">
        <v>0.52195000000000003</v>
      </c>
      <c r="EE54" s="12">
        <v>-3.05131</v>
      </c>
      <c r="EF54">
        <v>-3.0378099999999999</v>
      </c>
      <c r="EG54">
        <v>33.17437015039755</v>
      </c>
      <c r="EH54" t="s">
        <v>967</v>
      </c>
      <c r="EI54">
        <v>0</v>
      </c>
      <c r="EJ54">
        <v>1</v>
      </c>
      <c r="EK54" s="14">
        <v>45505</v>
      </c>
      <c r="EL54" s="15">
        <v>0.67</v>
      </c>
      <c r="EM54" s="15">
        <v>3.81</v>
      </c>
      <c r="EN54">
        <v>-0.52</v>
      </c>
      <c r="EO54">
        <v>0.57999999999999996</v>
      </c>
      <c r="EP54">
        <v>1.35</v>
      </c>
    </row>
    <row r="55" spans="1:146" ht="84" x14ac:dyDescent="0.25">
      <c r="C55" s="8" t="str">
        <f>""&amp;CHAR(10)&amp;Basic_Fundamental_Information_Constructure(F55)&amp;CHAR(10)&amp;Basic_Fundamental_Information_Concatenate("")</f>
        <v xml:space="preserve">
市值108.050226亿, 利润6330.20万; PE183; 平均PE159.56; 平均PEG.07, PB4.92; ROIC14.7267%; ROE11.665%; 股利率.3006%; 毛利79.1333%; 净利44.3433%; 上一年度营收增.95%, 利润增-40.28%; 当季营收增-10.34%, 利润增-50.11%; 过往5年营收增2187.41%, 利润增485.11%
Income profile:
</v>
      </c>
      <c r="D55" t="s">
        <v>803</v>
      </c>
      <c r="E55" t="s">
        <v>804</v>
      </c>
      <c r="F55">
        <v>49.9</v>
      </c>
      <c r="G55">
        <v>0.14000000000000001</v>
      </c>
      <c r="H55" t="s">
        <v>2246</v>
      </c>
      <c r="I55">
        <v>10805022600</v>
      </c>
      <c r="J55">
        <v>183</v>
      </c>
      <c r="K55">
        <v>4.92</v>
      </c>
      <c r="L55" t="s">
        <v>667</v>
      </c>
      <c r="M55" t="s">
        <v>282</v>
      </c>
      <c r="N55" t="s">
        <v>1026</v>
      </c>
      <c r="O55" t="s">
        <v>1408</v>
      </c>
      <c r="P55">
        <v>-10.34</v>
      </c>
      <c r="Q55" t="s">
        <v>105</v>
      </c>
      <c r="R55">
        <v>4230943</v>
      </c>
      <c r="S55">
        <v>-0.50109999999999999</v>
      </c>
      <c r="T55" t="s">
        <v>1409</v>
      </c>
      <c r="U55">
        <v>84744202</v>
      </c>
      <c r="V55">
        <v>216533520</v>
      </c>
      <c r="W55">
        <v>1.07</v>
      </c>
      <c r="X55">
        <v>0.01</v>
      </c>
      <c r="Y55">
        <v>13.44</v>
      </c>
      <c r="Z55" t="s">
        <v>2001</v>
      </c>
      <c r="AA55" t="s">
        <v>2002</v>
      </c>
      <c r="AB55" t="s">
        <v>2003</v>
      </c>
      <c r="AC55" t="s">
        <v>2004</v>
      </c>
      <c r="AD55" t="s">
        <v>15</v>
      </c>
      <c r="AE55">
        <v>-9072277</v>
      </c>
      <c r="AF55" t="s">
        <v>66</v>
      </c>
      <c r="AG55">
        <v>5575.48</v>
      </c>
      <c r="AH55" t="s">
        <v>1410</v>
      </c>
      <c r="AI55" t="s">
        <v>2005</v>
      </c>
      <c r="AJ55" t="s">
        <v>1411</v>
      </c>
      <c r="AK55" t="s">
        <v>15</v>
      </c>
      <c r="AL55" t="s">
        <v>1412</v>
      </c>
      <c r="AM55" t="s">
        <v>15</v>
      </c>
      <c r="AN55" t="s">
        <v>2006</v>
      </c>
      <c r="AO55" t="s">
        <v>2007</v>
      </c>
      <c r="AP55" t="s">
        <v>15</v>
      </c>
      <c r="AQ55" t="s">
        <v>2008</v>
      </c>
      <c r="AR55" t="s">
        <v>15</v>
      </c>
      <c r="AS55" t="s">
        <v>672</v>
      </c>
      <c r="AT55" t="s">
        <v>15</v>
      </c>
      <c r="AU55" t="s">
        <v>2009</v>
      </c>
      <c r="AV55" t="s">
        <v>2010</v>
      </c>
      <c r="AW55" t="s">
        <v>2011</v>
      </c>
      <c r="AX55" t="s">
        <v>72</v>
      </c>
      <c r="AY55" t="s">
        <v>156</v>
      </c>
      <c r="AZ55" t="s">
        <v>672</v>
      </c>
      <c r="BA55" t="s">
        <v>115</v>
      </c>
      <c r="BB55" t="s">
        <v>885</v>
      </c>
      <c r="BC55" t="s">
        <v>93</v>
      </c>
      <c r="BD55" t="s">
        <v>805</v>
      </c>
      <c r="BE55" t="s">
        <v>806</v>
      </c>
      <c r="BF55" t="s">
        <v>886</v>
      </c>
      <c r="BG55" t="s">
        <v>887</v>
      </c>
      <c r="BH55" t="s">
        <v>105</v>
      </c>
      <c r="BI55" t="s">
        <v>2247</v>
      </c>
      <c r="BJ55" t="s">
        <v>72</v>
      </c>
      <c r="BK55" t="s">
        <v>1409</v>
      </c>
      <c r="BL55" t="s">
        <v>2248</v>
      </c>
      <c r="BM55" t="s">
        <v>93</v>
      </c>
      <c r="BN55">
        <v>0.33</v>
      </c>
      <c r="BO55">
        <v>19.64</v>
      </c>
      <c r="BP55">
        <v>24.21</v>
      </c>
      <c r="BQ55">
        <v>1.81</v>
      </c>
      <c r="BR55">
        <v>21.52</v>
      </c>
      <c r="BS55" t="s">
        <v>15</v>
      </c>
      <c r="BT55" t="s">
        <v>1413</v>
      </c>
      <c r="BU55" t="s">
        <v>667</v>
      </c>
      <c r="BV55">
        <v>76.3</v>
      </c>
      <c r="BW55">
        <v>80.819999999999993</v>
      </c>
      <c r="BX55">
        <v>80.28</v>
      </c>
      <c r="BY55">
        <v>29.79</v>
      </c>
      <c r="BZ55">
        <v>50.45</v>
      </c>
      <c r="CA55">
        <v>52.79</v>
      </c>
      <c r="CB55">
        <v>9.5299999999999994</v>
      </c>
      <c r="CC55" s="1">
        <v>6.1</v>
      </c>
      <c r="CD55" s="1" t="s">
        <v>2249</v>
      </c>
      <c r="CE55" s="1" t="s">
        <v>2250</v>
      </c>
      <c r="CF55" s="9">
        <v>-0.10343531555644128</v>
      </c>
      <c r="CG55" s="10">
        <v>-0.50108569272313475</v>
      </c>
      <c r="CH55" s="9">
        <v>9.5238098874688148E-3</v>
      </c>
      <c r="CI55" s="9">
        <v>0.14754098653793335</v>
      </c>
      <c r="CJ55" s="9">
        <v>0.39694657921791077</v>
      </c>
      <c r="CK55" s="9">
        <v>0.24761904776096344</v>
      </c>
      <c r="CL55" s="9">
        <v>108.56902313232422</v>
      </c>
      <c r="CM55" s="10">
        <v>-0.40281131863594055</v>
      </c>
      <c r="CN55" s="10">
        <v>9.7124502062797546E-2</v>
      </c>
      <c r="CO55" s="10">
        <v>0.45088103413581848</v>
      </c>
      <c r="CP55" s="10">
        <v>-6.1737526208162308E-2</v>
      </c>
      <c r="CQ55" s="10">
        <v>24.172229766845703</v>
      </c>
      <c r="CR55" s="1">
        <v>159.56136983752489</v>
      </c>
      <c r="CS55" s="1">
        <v>7.2945239262112632E-2</v>
      </c>
      <c r="CT55">
        <v>0.30060120240480964</v>
      </c>
      <c r="CU55" s="9">
        <v>21.8741307111457</v>
      </c>
      <c r="CV55" s="10">
        <v>4.8511372916400433</v>
      </c>
      <c r="CW55">
        <v>0.06</v>
      </c>
      <c r="CX55">
        <v>6.4201407265516002</v>
      </c>
      <c r="CY55">
        <v>1366017190.8273065</v>
      </c>
      <c r="CZ55">
        <v>21.8741307111457</v>
      </c>
      <c r="DA55">
        <v>1.5194424275485299E-2</v>
      </c>
      <c r="DB55">
        <v>577186897048.12073</v>
      </c>
      <c r="DC55">
        <v>20.780424175588415</v>
      </c>
      <c r="DD55">
        <v>2.7015673297634872E-6</v>
      </c>
      <c r="DE55">
        <v>3246272081905797</v>
      </c>
      <c r="DF55">
        <v>19.249235025808215</v>
      </c>
      <c r="DG55">
        <v>4.9826647522275997E-11</v>
      </c>
      <c r="DH55">
        <v>1.7601068978359796E+20</v>
      </c>
      <c r="DI55">
        <v>17.49930456891656</v>
      </c>
      <c r="DJ55">
        <v>2.3357883598373864E-22</v>
      </c>
      <c r="DK55">
        <v>3.7546306638031856E+31</v>
      </c>
      <c r="DL55">
        <v>15.311891497801989</v>
      </c>
      <c r="DM55">
        <v>63302000</v>
      </c>
      <c r="DN55">
        <v>21.8741307111457</v>
      </c>
      <c r="DO55">
        <v>8770022600</v>
      </c>
      <c r="DP55">
        <v>2001919700</v>
      </c>
      <c r="DQ55" s="11">
        <v>4944</v>
      </c>
      <c r="DR55">
        <v>-21.977566026702142</v>
      </c>
      <c r="DS55">
        <v>-5.3522229843631779</v>
      </c>
      <c r="DT55">
        <v>0.33500000000000002</v>
      </c>
      <c r="DU55">
        <v>0.24333333333333337</v>
      </c>
      <c r="DV55">
        <v>0.57833333333333337</v>
      </c>
      <c r="DW55">
        <v>5.6400839454354665</v>
      </c>
      <c r="DX55">
        <v>0.42446385011890087</v>
      </c>
      <c r="DY55">
        <v>5.1116715095199678</v>
      </c>
      <c r="DZ55">
        <v>663</v>
      </c>
      <c r="EA55">
        <v>5.097176949846566</v>
      </c>
      <c r="EB55" s="12">
        <v>5</v>
      </c>
      <c r="EC55" s="12">
        <v>7.3590915623594905E-2</v>
      </c>
      <c r="ED55">
        <v>0.42181182848734</v>
      </c>
      <c r="EE55">
        <v>3.0011000000000001</v>
      </c>
      <c r="EF55">
        <v>3.0024999999999999</v>
      </c>
      <c r="EG55">
        <v>25.174463850118901</v>
      </c>
      <c r="EH55" s="14" t="s">
        <v>799</v>
      </c>
      <c r="EI55" s="15">
        <v>1</v>
      </c>
      <c r="EJ55" s="15">
        <v>1</v>
      </c>
      <c r="EK55" s="15">
        <v>45505</v>
      </c>
      <c r="EL55" s="15">
        <v>0.42</v>
      </c>
      <c r="EM55" s="15">
        <v>2</v>
      </c>
      <c r="EN55">
        <v>0.9</v>
      </c>
      <c r="EO55">
        <v>8.33</v>
      </c>
      <c r="EP55">
        <v>0.14000000000000001</v>
      </c>
    </row>
    <row r="56" spans="1:146" ht="96" x14ac:dyDescent="0.25">
      <c r="C56" s="8" t="str">
        <f>""&amp;CHAR(10)&amp;Basic_Fundamental_Information_Constructure(F56)&amp;CHAR(10)&amp;Basic_Fundamental_Information_Concatenate("")</f>
        <v xml:space="preserve">
市值58.377629亿, 利润1.02亿; PE56.47; 平均PE41.3; 平均PEG11.21, PB2.2; ROIC10.86%; ROE10.015%; 股利率.5315%; 毛利37.8567%; 净利15.6467%; 上一年度营收增-23.82%, 利润增-35.03%; 当季营收增-45.94%, 利润增5.42%; 过往5年营收增3.68%, 利润增26.72%
Income profile:
</v>
      </c>
      <c r="D56" t="s">
        <v>888</v>
      </c>
      <c r="E56" t="s">
        <v>889</v>
      </c>
      <c r="F56">
        <v>17.309999999999999</v>
      </c>
      <c r="G56">
        <v>5.04</v>
      </c>
      <c r="H56" t="s">
        <v>2251</v>
      </c>
      <c r="I56">
        <v>5837762900</v>
      </c>
      <c r="J56">
        <v>56.47</v>
      </c>
      <c r="K56">
        <v>2.2000000000000002</v>
      </c>
      <c r="L56" t="s">
        <v>667</v>
      </c>
      <c r="M56" t="s">
        <v>926</v>
      </c>
      <c r="N56" t="s">
        <v>2012</v>
      </c>
      <c r="O56" t="s">
        <v>1414</v>
      </c>
      <c r="P56">
        <v>-45.94</v>
      </c>
      <c r="Q56" t="s">
        <v>702</v>
      </c>
      <c r="R56">
        <v>-16149160</v>
      </c>
      <c r="S56">
        <v>5.4199999999999998E-2</v>
      </c>
      <c r="T56" t="s">
        <v>47</v>
      </c>
      <c r="U56">
        <v>83993352</v>
      </c>
      <c r="V56">
        <v>337248000</v>
      </c>
      <c r="W56">
        <v>1.17</v>
      </c>
      <c r="X56">
        <v>0.01</v>
      </c>
      <c r="Y56">
        <v>-58.71</v>
      </c>
      <c r="Z56" t="s">
        <v>2013</v>
      </c>
      <c r="AA56" t="s">
        <v>2014</v>
      </c>
      <c r="AB56" t="s">
        <v>2015</v>
      </c>
      <c r="AC56" t="s">
        <v>2016</v>
      </c>
      <c r="AD56" t="s">
        <v>15</v>
      </c>
      <c r="AE56">
        <v>-9535021</v>
      </c>
      <c r="AF56" t="s">
        <v>66</v>
      </c>
      <c r="AG56">
        <v>30</v>
      </c>
      <c r="AH56" t="s">
        <v>1415</v>
      </c>
      <c r="AI56" t="s">
        <v>2017</v>
      </c>
      <c r="AJ56" t="s">
        <v>1416</v>
      </c>
      <c r="AK56" t="s">
        <v>2018</v>
      </c>
      <c r="AL56" t="s">
        <v>1417</v>
      </c>
      <c r="AM56" t="s">
        <v>15</v>
      </c>
      <c r="AN56" t="s">
        <v>442</v>
      </c>
      <c r="AO56" t="s">
        <v>15</v>
      </c>
      <c r="AP56" t="s">
        <v>2019</v>
      </c>
      <c r="AQ56" t="s">
        <v>616</v>
      </c>
      <c r="AR56" t="s">
        <v>15</v>
      </c>
      <c r="AS56" t="s">
        <v>170</v>
      </c>
      <c r="AT56" t="s">
        <v>15</v>
      </c>
      <c r="AU56" t="s">
        <v>1798</v>
      </c>
      <c r="AV56" t="s">
        <v>2020</v>
      </c>
      <c r="AW56" t="s">
        <v>2021</v>
      </c>
      <c r="AX56" t="s">
        <v>713</v>
      </c>
      <c r="AY56" t="s">
        <v>278</v>
      </c>
      <c r="AZ56" t="s">
        <v>890</v>
      </c>
      <c r="BA56" t="s">
        <v>771</v>
      </c>
      <c r="BB56" t="s">
        <v>15</v>
      </c>
      <c r="BC56" t="s">
        <v>370</v>
      </c>
      <c r="BD56" t="s">
        <v>672</v>
      </c>
      <c r="BE56" t="s">
        <v>178</v>
      </c>
      <c r="BF56" t="s">
        <v>891</v>
      </c>
      <c r="BG56" t="s">
        <v>15</v>
      </c>
      <c r="BH56" t="s">
        <v>702</v>
      </c>
      <c r="BI56" t="s">
        <v>2252</v>
      </c>
      <c r="BJ56" t="s">
        <v>713</v>
      </c>
      <c r="BK56" t="s">
        <v>47</v>
      </c>
      <c r="BL56" t="s">
        <v>2253</v>
      </c>
      <c r="BM56" t="s">
        <v>370</v>
      </c>
      <c r="BN56">
        <v>0.78</v>
      </c>
      <c r="BO56">
        <v>16.649999999999999</v>
      </c>
      <c r="BP56">
        <v>15.15</v>
      </c>
      <c r="BQ56">
        <v>2.41</v>
      </c>
      <c r="BR56">
        <v>17.62</v>
      </c>
      <c r="BS56" t="s">
        <v>15</v>
      </c>
      <c r="BT56" t="s">
        <v>1418</v>
      </c>
      <c r="BU56" t="s">
        <v>667</v>
      </c>
      <c r="BV56">
        <v>33.380000000000003</v>
      </c>
      <c r="BW56">
        <v>41.8</v>
      </c>
      <c r="BX56">
        <v>38.39</v>
      </c>
      <c r="BY56">
        <v>14.12</v>
      </c>
      <c r="BZ56">
        <v>16.45</v>
      </c>
      <c r="CA56">
        <v>16.37</v>
      </c>
      <c r="CB56">
        <v>16.8</v>
      </c>
      <c r="CC56" s="1">
        <v>1.1100000000000001</v>
      </c>
      <c r="CD56" s="1" t="s">
        <v>2254</v>
      </c>
      <c r="CE56" s="1" t="s">
        <v>2255</v>
      </c>
      <c r="CF56" s="9">
        <v>-0.45942323753377551</v>
      </c>
      <c r="CG56" s="10">
        <v>5.4199805559134624E-2</v>
      </c>
      <c r="CH56" s="9">
        <v>-0.23819516599178314</v>
      </c>
      <c r="CI56" s="9">
        <v>0.19573400914669037</v>
      </c>
      <c r="CJ56" s="9">
        <v>3.2383419573307037E-2</v>
      </c>
      <c r="CK56" s="9">
        <v>0.1574212908744812</v>
      </c>
      <c r="CL56" s="9" t="s">
        <v>15</v>
      </c>
      <c r="CM56" s="10">
        <v>-0.35031846165657043</v>
      </c>
      <c r="CN56" s="10">
        <v>0.19847328960895538</v>
      </c>
      <c r="CO56" s="10">
        <v>-0.43043479323387146</v>
      </c>
      <c r="CP56" s="10">
        <v>1.6510616540908813</v>
      </c>
      <c r="CQ56" s="10" t="s">
        <v>15</v>
      </c>
      <c r="CR56" s="1">
        <v>41.299605932839498</v>
      </c>
      <c r="CS56" s="1">
        <v>11.211784953742008</v>
      </c>
      <c r="CT56">
        <v>0.53148469093009831</v>
      </c>
      <c r="CU56" s="9">
        <v>3.6835888400673866E-2</v>
      </c>
      <c r="CV56" s="10">
        <v>0.26719542220234871</v>
      </c>
      <c r="CW56">
        <v>0.06</v>
      </c>
      <c r="CX56">
        <v>37.964567638957789</v>
      </c>
      <c r="CY56">
        <v>99771000.581951633</v>
      </c>
      <c r="CZ56">
        <v>3.6835888400673866E-2</v>
      </c>
      <c r="DA56">
        <v>12.981200119083619</v>
      </c>
      <c r="DB56">
        <v>291788345.08772594</v>
      </c>
      <c r="DC56">
        <v>3.499409398064017E-2</v>
      </c>
      <c r="DD56">
        <v>6.7806405845664974</v>
      </c>
      <c r="DE56">
        <v>558614315.67710221</v>
      </c>
      <c r="DF56">
        <v>3.2415581792593004E-2</v>
      </c>
      <c r="DG56">
        <v>4.3457369801207255</v>
      </c>
      <c r="DH56">
        <v>871604268.11996686</v>
      </c>
      <c r="DI56">
        <v>2.9468710720539096E-2</v>
      </c>
      <c r="DJ56">
        <v>2.5741098142943613</v>
      </c>
      <c r="DK56">
        <v>1471484580.4037061</v>
      </c>
      <c r="DL56">
        <v>2.5785121880471704E-2</v>
      </c>
      <c r="DM56">
        <v>102000000</v>
      </c>
      <c r="DN56">
        <v>3.6835888400673866E-2</v>
      </c>
      <c r="DO56">
        <v>3787762900</v>
      </c>
      <c r="DP56">
        <v>2213639800</v>
      </c>
      <c r="DQ56" s="11">
        <v>4962</v>
      </c>
      <c r="DR56">
        <v>-0.49625912593444937</v>
      </c>
      <c r="DS56">
        <v>-0.21299561664321409</v>
      </c>
      <c r="DT56">
        <v>-0.40800000000000003</v>
      </c>
      <c r="DU56">
        <v>-0.45</v>
      </c>
      <c r="DV56">
        <v>-0.8580000000000001</v>
      </c>
      <c r="DW56">
        <v>5.066071428571429</v>
      </c>
      <c r="DX56">
        <v>1.1614076266639035</v>
      </c>
      <c r="DY56">
        <v>5.0218965753331499</v>
      </c>
      <c r="DZ56">
        <v>3474</v>
      </c>
      <c r="EA56">
        <v>5.0070045035423583</v>
      </c>
      <c r="EB56" s="12">
        <v>5</v>
      </c>
      <c r="EC56" s="12">
        <v>4.5416429452509725E-2</v>
      </c>
      <c r="ED56">
        <v>0.13704099060631939</v>
      </c>
      <c r="EE56">
        <v>1.0057</v>
      </c>
      <c r="EF56">
        <v>1.0561</v>
      </c>
      <c r="EG56">
        <v>83.331407626663903</v>
      </c>
      <c r="EH56" s="14" t="s">
        <v>567</v>
      </c>
      <c r="EI56" s="15">
        <v>1</v>
      </c>
      <c r="EJ56" s="15">
        <v>0</v>
      </c>
      <c r="EK56" s="15">
        <v>45505</v>
      </c>
      <c r="EL56" s="15">
        <v>1.0900000000000001</v>
      </c>
      <c r="EM56" s="15">
        <v>4.12</v>
      </c>
      <c r="EN56">
        <v>0.39</v>
      </c>
      <c r="EO56">
        <v>5.71</v>
      </c>
      <c r="EP56">
        <v>5.04</v>
      </c>
    </row>
    <row r="57" spans="1:146" ht="96" x14ac:dyDescent="0.25">
      <c r="C57" s="8" t="str">
        <f>""&amp;CHAR(10)&amp;Basic_Fundamental_Information_Constructure(F57)&amp;CHAR(10)&amp;Basic_Fundamental_Information_Concatenate("")</f>
        <v xml:space="preserve">
市值138.29785亿, 利润7236.92万; PE194.6; 平均PE495.73; 平均PEG32.04, PB9.14; ROIC7.3433%; ROE7.99%; 股利率.1667%; 毛利29.5267%; 净利8.6867%; 上一年度营收增-8.13%, 利润增-26.74%; 当季营收增26.97%, 利润增-11.2%; 过往5年营收增15.47%, 利润增225.77%
Income profile:
</v>
      </c>
      <c r="D57" t="s">
        <v>909</v>
      </c>
      <c r="E57" t="s">
        <v>910</v>
      </c>
      <c r="F57">
        <v>30</v>
      </c>
      <c r="G57">
        <v>-0.99</v>
      </c>
      <c r="H57" t="s">
        <v>2256</v>
      </c>
      <c r="I57">
        <v>13829785000</v>
      </c>
      <c r="J57">
        <v>194.6</v>
      </c>
      <c r="K57">
        <v>9.14</v>
      </c>
      <c r="L57" t="s">
        <v>667</v>
      </c>
      <c r="M57" t="s">
        <v>292</v>
      </c>
      <c r="N57" t="s">
        <v>2022</v>
      </c>
      <c r="O57" t="s">
        <v>431</v>
      </c>
      <c r="P57" s="6">
        <v>26.48</v>
      </c>
      <c r="Q57" t="s">
        <v>795</v>
      </c>
      <c r="R57">
        <v>10356053</v>
      </c>
      <c r="S57">
        <v>-0.112</v>
      </c>
      <c r="T57" t="s">
        <v>1420</v>
      </c>
      <c r="U57">
        <v>164740800</v>
      </c>
      <c r="V57">
        <v>460992830</v>
      </c>
      <c r="W57">
        <v>1.68</v>
      </c>
      <c r="X57">
        <v>0.09</v>
      </c>
      <c r="Y57">
        <v>3.89</v>
      </c>
      <c r="Z57" t="s">
        <v>56</v>
      </c>
      <c r="AA57" t="s">
        <v>144</v>
      </c>
      <c r="AB57" t="s">
        <v>2023</v>
      </c>
      <c r="AC57" t="s">
        <v>2024</v>
      </c>
      <c r="AD57" t="s">
        <v>15</v>
      </c>
      <c r="AE57">
        <v>-3093446</v>
      </c>
      <c r="AF57" t="s">
        <v>1421</v>
      </c>
      <c r="AG57" t="s">
        <v>2025</v>
      </c>
      <c r="AH57" t="s">
        <v>1422</v>
      </c>
      <c r="AI57" t="s">
        <v>2026</v>
      </c>
      <c r="AJ57" t="s">
        <v>1423</v>
      </c>
      <c r="AK57" t="s">
        <v>2027</v>
      </c>
      <c r="AL57" t="s">
        <v>1424</v>
      </c>
      <c r="AM57" t="s">
        <v>15</v>
      </c>
      <c r="AN57" t="s">
        <v>2028</v>
      </c>
      <c r="AO57" t="s">
        <v>2029</v>
      </c>
      <c r="AP57" t="s">
        <v>233</v>
      </c>
      <c r="AQ57" t="s">
        <v>767</v>
      </c>
      <c r="AR57" t="s">
        <v>15</v>
      </c>
      <c r="AS57" t="s">
        <v>2030</v>
      </c>
      <c r="AT57" t="s">
        <v>139</v>
      </c>
      <c r="AU57" t="s">
        <v>2031</v>
      </c>
      <c r="AV57" t="s">
        <v>2032</v>
      </c>
      <c r="AW57" t="s">
        <v>2033</v>
      </c>
      <c r="AX57" t="s">
        <v>908</v>
      </c>
      <c r="AY57" t="s">
        <v>351</v>
      </c>
      <c r="AZ57" t="s">
        <v>921</v>
      </c>
      <c r="BA57" t="s">
        <v>1425</v>
      </c>
      <c r="BB57" t="s">
        <v>15</v>
      </c>
      <c r="BC57" t="s">
        <v>1426</v>
      </c>
      <c r="BD57" t="s">
        <v>1427</v>
      </c>
      <c r="BE57" t="s">
        <v>1428</v>
      </c>
      <c r="BF57" t="s">
        <v>1429</v>
      </c>
      <c r="BG57" t="s">
        <v>15</v>
      </c>
      <c r="BH57" t="s">
        <v>795</v>
      </c>
      <c r="BI57" t="s">
        <v>259</v>
      </c>
      <c r="BJ57" t="s">
        <v>908</v>
      </c>
      <c r="BK57" t="s">
        <v>1420</v>
      </c>
      <c r="BL57" t="s">
        <v>2257</v>
      </c>
      <c r="BM57" t="s">
        <v>1426</v>
      </c>
      <c r="BN57">
        <v>2.4</v>
      </c>
      <c r="BO57">
        <v>9.5399999999999991</v>
      </c>
      <c r="BP57">
        <v>10.09</v>
      </c>
      <c r="BQ57">
        <v>3.72</v>
      </c>
      <c r="BR57">
        <v>12.26</v>
      </c>
      <c r="BS57" t="s">
        <v>15</v>
      </c>
      <c r="BT57" t="s">
        <v>780</v>
      </c>
      <c r="BU57" t="s">
        <v>667</v>
      </c>
      <c r="BV57">
        <v>27.44</v>
      </c>
      <c r="BW57">
        <v>29.89</v>
      </c>
      <c r="BX57">
        <v>31.25</v>
      </c>
      <c r="BY57">
        <v>7.44</v>
      </c>
      <c r="BZ57">
        <v>9.81</v>
      </c>
      <c r="CA57">
        <v>8.81</v>
      </c>
      <c r="CB57">
        <v>8.3800000000000008</v>
      </c>
      <c r="CC57" s="1">
        <v>14.07</v>
      </c>
      <c r="CD57" s="1" t="s">
        <v>2258</v>
      </c>
      <c r="CE57" s="1" t="s">
        <v>131</v>
      </c>
      <c r="CF57" s="9">
        <v>0.26966292134831443</v>
      </c>
      <c r="CG57" s="10">
        <v>-0.11199072208264378</v>
      </c>
      <c r="CH57" s="9">
        <v>-8.1300809979438782E-2</v>
      </c>
      <c r="CI57" s="9">
        <v>0.18411552906036377</v>
      </c>
      <c r="CJ57" s="9">
        <v>0.14937759935855865</v>
      </c>
      <c r="CK57" s="9">
        <v>0.36672967672348022</v>
      </c>
      <c r="CL57" s="9" t="s">
        <v>15</v>
      </c>
      <c r="CM57" s="10">
        <v>-0.26739808917045593</v>
      </c>
      <c r="CN57" s="10">
        <v>0.30775561928749084</v>
      </c>
      <c r="CO57" s="10">
        <v>8.1006669998168945</v>
      </c>
      <c r="CP57" s="10">
        <v>0.88983482122421265</v>
      </c>
      <c r="CQ57" s="10" t="s">
        <v>15</v>
      </c>
      <c r="CR57" s="1">
        <v>495.73457320281773</v>
      </c>
      <c r="CS57" s="1">
        <v>32.038581732568055</v>
      </c>
      <c r="CT57">
        <v>0.16666666666666666</v>
      </c>
      <c r="CU57" s="9">
        <v>0.15473049879074097</v>
      </c>
      <c r="CV57" s="10">
        <v>2.2577148377895355</v>
      </c>
      <c r="CW57">
        <v>0.06</v>
      </c>
      <c r="CX57">
        <v>169.25850194747548</v>
      </c>
      <c r="CY57">
        <v>78836719.257629141</v>
      </c>
      <c r="CZ57">
        <v>0.15473049879074097</v>
      </c>
      <c r="DA57">
        <v>52.383353536343598</v>
      </c>
      <c r="DB57">
        <v>254733309.32778242</v>
      </c>
      <c r="DC57">
        <v>0.14699397385120391</v>
      </c>
      <c r="DD57">
        <v>23.936336358803853</v>
      </c>
      <c r="DE57">
        <v>557469814.92813611</v>
      </c>
      <c r="DF57">
        <v>0.13616283893585204</v>
      </c>
      <c r="DG57">
        <v>13.184136996550192</v>
      </c>
      <c r="DH57">
        <v>1012109097.7355273</v>
      </c>
      <c r="DI57">
        <v>0.12378439903259278</v>
      </c>
      <c r="DJ57">
        <v>5.5874073825648152</v>
      </c>
      <c r="DK57">
        <v>2388189026.9248161</v>
      </c>
      <c r="DL57">
        <v>0.10831134915351867</v>
      </c>
      <c r="DM57">
        <v>72369200</v>
      </c>
      <c r="DN57">
        <v>0.15473049879074097</v>
      </c>
      <c r="DO57">
        <v>13343785000</v>
      </c>
      <c r="DP57">
        <v>1352165900</v>
      </c>
      <c r="DQ57" s="11">
        <v>5026</v>
      </c>
      <c r="DR57">
        <v>0.11493242255757347</v>
      </c>
      <c r="DS57">
        <v>-2.3697055598721795</v>
      </c>
      <c r="DT57">
        <v>-0.20800000000000002</v>
      </c>
      <c r="DU57">
        <v>0.23799999999999999</v>
      </c>
      <c r="DV57">
        <v>2.9999999999999971E-2</v>
      </c>
      <c r="DW57">
        <v>9.5955934612651035</v>
      </c>
      <c r="DX57">
        <v>0.32952151394422391</v>
      </c>
      <c r="DY57">
        <v>9.0950099706362888</v>
      </c>
      <c r="DZ57">
        <v>1724</v>
      </c>
      <c r="EA57">
        <v>9.0629431755350822</v>
      </c>
      <c r="EB57" s="12">
        <v>9</v>
      </c>
      <c r="EC57" s="12">
        <v>8.6855797735509249E-2</v>
      </c>
      <c r="ED57">
        <v>0.54447701496789003</v>
      </c>
      <c r="EE57">
        <v>1.0171000000000001</v>
      </c>
      <c r="EF57">
        <v>1.0072000000000001</v>
      </c>
      <c r="EG57">
        <v>17.159521513944224</v>
      </c>
      <c r="EH57" s="14" t="s">
        <v>567</v>
      </c>
      <c r="EI57">
        <v>1</v>
      </c>
      <c r="EJ57">
        <v>0</v>
      </c>
      <c r="EK57">
        <v>45505</v>
      </c>
      <c r="EL57">
        <v>-5.08</v>
      </c>
      <c r="EM57">
        <v>1.88</v>
      </c>
      <c r="EN57">
        <v>4.04</v>
      </c>
      <c r="EO57">
        <v>3.91</v>
      </c>
      <c r="EP57">
        <v>-0.99</v>
      </c>
    </row>
    <row r="58" spans="1:146" ht="168" x14ac:dyDescent="0.25">
      <c r="A58" s="8" t="s">
        <v>797</v>
      </c>
      <c r="B58" s="8"/>
      <c r="C58" s="8" t="str">
        <f>"公司的主营业务为提供定制化嵌入式计算机产品和解决方案。公司的主要产品为机载嵌入式计算机、弹载嵌入式计算机、舰载嵌入式计算机、车载嵌入式计算机。"&amp;CHAR(10)&amp;Basic_Fundamental_Information_Constructure(F58)&amp;CHAR(10)&amp;Basic_Fundamental_Information_Concatenate("机载 2.99亿 66.62% 66.81% 61.25%
弹载 6425.92万 14.30% 12.85% 54.87%
车载 4244.54万 9.44% 9.55% 61.79%
其他 3767.87万 8.38% 9.01% 65.63%
舰载 565.08万 1.26% 1.78% 86.69%")</f>
        <v>公司的主营业务为提供定制化嵌入式计算机产品和解决方案。公司的主要产品为机载嵌入式计算机、弹载嵌入式计算机、舰载嵌入式计算机、车载嵌入式计算机。
市值26.032249亿, 利润9625.60万; PE30.11; 平均PE31.8; 平均PEG1.36, PB2.41; ROIC10.14%; ROE10.1833%; 股利率.9044%; 毛利52.1967%; 净利17.7567%; 上一年度营收增22.55%, 利润增27.73%; 当季营收增-28.38%, 利润增-751.13%; 过往5年营收增23.36%, 利润增13%
Income profile:
机载 2.99亿 66.62% 66.81% 61.25%
弹载 6425.92万 14.30% 12.85% 54.87%
车载 4244.54万 9.44% 9.55% 61.79%
其他 3767.87万 8.38% 9.01% 65.63%
舰载 565.08万 1.26% 1.78% 86.69%</v>
      </c>
      <c r="D58" t="s">
        <v>354</v>
      </c>
      <c r="E58" t="s">
        <v>1454</v>
      </c>
      <c r="F58">
        <v>23.22</v>
      </c>
      <c r="G58">
        <v>3.43</v>
      </c>
      <c r="H58" t="s">
        <v>2259</v>
      </c>
      <c r="I58">
        <v>2603224900</v>
      </c>
      <c r="J58">
        <v>30.11</v>
      </c>
      <c r="K58">
        <v>2.41</v>
      </c>
      <c r="L58" t="s">
        <v>667</v>
      </c>
      <c r="M58" t="s">
        <v>997</v>
      </c>
      <c r="N58" t="s">
        <v>2034</v>
      </c>
      <c r="O58" t="s">
        <v>1430</v>
      </c>
      <c r="P58">
        <v>-28.38</v>
      </c>
      <c r="Q58" t="s">
        <v>914</v>
      </c>
      <c r="R58">
        <v>-11118350</v>
      </c>
      <c r="S58" s="6">
        <v>-7.5110000000000001</v>
      </c>
      <c r="T58" t="s">
        <v>1431</v>
      </c>
      <c r="U58">
        <v>111825992</v>
      </c>
      <c r="V58">
        <v>112111321</v>
      </c>
      <c r="W58">
        <v>1.37</v>
      </c>
      <c r="X58">
        <v>0.03</v>
      </c>
      <c r="Y58">
        <v>-22.69</v>
      </c>
      <c r="Z58" t="s">
        <v>2035</v>
      </c>
      <c r="AA58" t="s">
        <v>2036</v>
      </c>
      <c r="AB58" t="s">
        <v>2037</v>
      </c>
      <c r="AC58" t="s">
        <v>2038</v>
      </c>
      <c r="AD58" t="s">
        <v>15</v>
      </c>
      <c r="AE58">
        <v>838844</v>
      </c>
      <c r="AF58" t="s">
        <v>1432</v>
      </c>
      <c r="AG58">
        <v>89.65</v>
      </c>
      <c r="AH58" t="s">
        <v>1433</v>
      </c>
      <c r="AI58" t="s">
        <v>2039</v>
      </c>
      <c r="AJ58" t="s">
        <v>1434</v>
      </c>
      <c r="AK58" t="s">
        <v>696</v>
      </c>
      <c r="AL58" t="s">
        <v>1435</v>
      </c>
      <c r="AM58" t="s">
        <v>15</v>
      </c>
      <c r="AN58" t="s">
        <v>2040</v>
      </c>
      <c r="AO58" t="s">
        <v>505</v>
      </c>
      <c r="AP58" t="s">
        <v>2041</v>
      </c>
      <c r="AQ58" t="s">
        <v>679</v>
      </c>
      <c r="AR58" t="s">
        <v>15</v>
      </c>
      <c r="AS58" t="s">
        <v>902</v>
      </c>
      <c r="AT58" t="s">
        <v>2042</v>
      </c>
      <c r="AU58" t="s">
        <v>2043</v>
      </c>
      <c r="AV58" t="s">
        <v>2044</v>
      </c>
      <c r="AW58" t="s">
        <v>2045</v>
      </c>
      <c r="AX58" t="s">
        <v>763</v>
      </c>
      <c r="AY58" t="s">
        <v>170</v>
      </c>
      <c r="AZ58" t="s">
        <v>128</v>
      </c>
      <c r="BA58" t="s">
        <v>54</v>
      </c>
      <c r="BB58" t="s">
        <v>356</v>
      </c>
      <c r="BC58" t="s">
        <v>1436</v>
      </c>
      <c r="BD58" t="s">
        <v>169</v>
      </c>
      <c r="BE58" t="s">
        <v>355</v>
      </c>
      <c r="BF58" t="s">
        <v>357</v>
      </c>
      <c r="BG58" t="s">
        <v>358</v>
      </c>
      <c r="BH58" t="s">
        <v>914</v>
      </c>
      <c r="BI58" t="s">
        <v>2260</v>
      </c>
      <c r="BJ58" t="s">
        <v>763</v>
      </c>
      <c r="BK58" t="s">
        <v>1431</v>
      </c>
      <c r="BL58" t="s">
        <v>2261</v>
      </c>
      <c r="BM58" t="s">
        <v>1436</v>
      </c>
      <c r="BN58">
        <v>5.65</v>
      </c>
      <c r="BO58">
        <v>7.82</v>
      </c>
      <c r="BP58">
        <v>16.95</v>
      </c>
      <c r="BQ58">
        <v>6.14</v>
      </c>
      <c r="BR58">
        <v>8.1199999999999992</v>
      </c>
      <c r="BS58">
        <v>16.29</v>
      </c>
      <c r="BT58" t="s">
        <v>1437</v>
      </c>
      <c r="BU58" t="s">
        <v>667</v>
      </c>
      <c r="BV58">
        <v>43.56</v>
      </c>
      <c r="BW58">
        <v>51.95</v>
      </c>
      <c r="BX58">
        <v>61.08</v>
      </c>
      <c r="BY58">
        <v>14.52</v>
      </c>
      <c r="BZ58">
        <v>13.94</v>
      </c>
      <c r="CA58">
        <v>24.81</v>
      </c>
      <c r="CB58">
        <v>16.329999999999998</v>
      </c>
      <c r="CC58">
        <v>-2.23</v>
      </c>
      <c r="CD58" t="s">
        <v>2262</v>
      </c>
      <c r="CE58" t="s">
        <v>2263</v>
      </c>
      <c r="CF58" s="9">
        <v>-0.28381371157424801</v>
      </c>
      <c r="CG58" s="10">
        <v>-7.5113297098675647</v>
      </c>
      <c r="CH58" s="9">
        <v>0.22550831735134125</v>
      </c>
      <c r="CI58" s="9">
        <v>0.20489977300167084</v>
      </c>
      <c r="CJ58" s="9">
        <v>0.38153845071792603</v>
      </c>
      <c r="CK58" s="9">
        <v>0.24521072208881378</v>
      </c>
      <c r="CL58" s="9">
        <v>0.11063829809427261</v>
      </c>
      <c r="CM58" s="10">
        <v>0.27732822299003601</v>
      </c>
      <c r="CN58" s="10">
        <v>-0.32716700434684753</v>
      </c>
      <c r="CO58" s="10">
        <v>0.30865582823753357</v>
      </c>
      <c r="CP58" s="10">
        <v>0.43935176730155945</v>
      </c>
      <c r="CQ58" s="10">
        <v>-4.8149529844522476E-2</v>
      </c>
      <c r="CR58">
        <v>31.803186274459897</v>
      </c>
      <c r="CS58">
        <v>1.3616761070879733</v>
      </c>
      <c r="CT58">
        <v>0.90439276485788123</v>
      </c>
      <c r="CU58" s="9">
        <v>0.23355911225080489</v>
      </c>
      <c r="CV58" s="10">
        <v>0.13000385686755181</v>
      </c>
      <c r="CW58">
        <v>0.06</v>
      </c>
      <c r="CX58">
        <v>17.60656064199215</v>
      </c>
      <c r="CY58">
        <v>112016477.27246554</v>
      </c>
      <c r="CZ58">
        <v>0.23355911225080489</v>
      </c>
      <c r="DA58">
        <v>5.1055436268447023</v>
      </c>
      <c r="DB58">
        <v>386290872.06896764</v>
      </c>
      <c r="DC58">
        <v>0.22188115663826463</v>
      </c>
      <c r="DD58">
        <v>2.1251644435679875</v>
      </c>
      <c r="DE58">
        <v>928034019.18808043</v>
      </c>
      <c r="DF58">
        <v>0.20553201878070831</v>
      </c>
      <c r="DG58">
        <v>1.0444616792643202</v>
      </c>
      <c r="DH58">
        <v>1888269277.0395958</v>
      </c>
      <c r="DI58">
        <v>0.18684728980064391</v>
      </c>
      <c r="DJ58">
        <v>0.33478245907687121</v>
      </c>
      <c r="DK58">
        <v>5891064022.4049101</v>
      </c>
      <c r="DL58">
        <v>0.16349137857556342</v>
      </c>
      <c r="DM58">
        <v>96256000</v>
      </c>
      <c r="DN58">
        <v>0.23355911225080489</v>
      </c>
      <c r="DO58">
        <v>1972224900</v>
      </c>
      <c r="DP58">
        <v>742650700</v>
      </c>
      <c r="DQ58">
        <v>5030</v>
      </c>
      <c r="DR58">
        <v>-0.5173728238250529</v>
      </c>
      <c r="DS58">
        <v>-7.6413335667351161</v>
      </c>
      <c r="DT58" s="11">
        <v>0.12666666666666662</v>
      </c>
      <c r="DU58">
        <v>-0.63166666666666671</v>
      </c>
      <c r="DV58">
        <v>-0.50500000000000012</v>
      </c>
      <c r="DW58">
        <v>5.1365584813227185</v>
      </c>
      <c r="DX58">
        <v>0.59501449838433107</v>
      </c>
      <c r="DY58">
        <v>5.041652316680775</v>
      </c>
      <c r="DZ58">
        <v>2945</v>
      </c>
      <c r="EA58">
        <v>5.0176378153838126</v>
      </c>
      <c r="EB58">
        <v>5</v>
      </c>
      <c r="EC58">
        <v>0.22968510022284014</v>
      </c>
      <c r="ED58">
        <v>0.75303010656702551</v>
      </c>
      <c r="EE58" s="12">
        <v>12.030099999999999</v>
      </c>
      <c r="EF58">
        <v>12.064399999999999</v>
      </c>
      <c r="EG58">
        <v>29.305014498384331</v>
      </c>
      <c r="EH58" t="s">
        <v>2264</v>
      </c>
      <c r="EI58">
        <v>1</v>
      </c>
      <c r="EJ58">
        <v>0</v>
      </c>
      <c r="EK58" s="14">
        <v>45505</v>
      </c>
      <c r="EL58" s="15">
        <v>-0.35</v>
      </c>
      <c r="EM58" s="15">
        <v>11.72</v>
      </c>
      <c r="EN58">
        <v>-0.45</v>
      </c>
      <c r="EO58">
        <v>2.37</v>
      </c>
      <c r="EP58">
        <v>3.43</v>
      </c>
    </row>
    <row r="59" spans="1:146" ht="180" x14ac:dyDescent="0.25">
      <c r="A59" s="8"/>
      <c r="B59" s="8"/>
      <c r="C59" s="8" t="str">
        <f>"公司的主营业务是电磁场仿真及测试技术的研发和应用。公司的主要服务是为雷达和无线通信领域提供用于仿真及测量的系统、软件和服务，并提供相控阵相关产品。主要产品是相控阵校准测量系统、雷达散射截面（RCS）测量系统、5G基站OTA测量系统等，电磁场仿真软件、相控阵原理样机、通用测试仪器设备或测试仪器设备集成配套控制软件。"&amp;CHAR(10)&amp;Basic_Fundamental_Information_Constructure(F59)&amp;CHAR(10)&amp;Basic_Fundamental_Information_Concatenate("电磁测量系统业务 2.62亿 79.56% 77.63% 41.53%
电磁场仿真分析验证业务 3245.45万 9.85% 16.51% 71.36%
通用测试业务 3141.81万 9.53% 3.53% 15.74%
其他业务 346.96万 1.05% 2.33% 94.31%")</f>
        <v>公司的主营业务是电磁场仿真及测试技术的研发和应用。公司的主要服务是为雷达和无线通信领域提供用于仿真及测量的系统、软件和服务，并提供相控阵相关产品。主要产品是相控阵校准测量系统、雷达散射截面（RCS）测量系统、5G基站OTA测量系统等，电磁场仿真软件、相控阵原理样机、通用测试仪器设备或测试仪器设备集成配套控制软件。
市值25.241498亿, 利润2711.25万; PE102.4; 平均PE61.15; 平均PEG2.84, PB3.84; ROIC9.5867%; ROE8.0467%; 股利率.3458%; 毛利39.4133%; 净利16.36%; 上一年度营收增17.26%, 利润增-46.22%; 当季营收增-22.16%, 利润增-58.98%; 过往5年营收增21.54%, 利润增3.61%
Income profile:
电磁测量系统业务 2.62亿 79.56% 77.63% 41.53%
电磁场仿真分析验证业务 3245.45万 9.85% 16.51% 71.36%
通用测试业务 3141.81万 9.53% 3.53% 15.74%
其他业务 346.96万 1.05% 2.33% 94.31%</v>
      </c>
      <c r="D59" t="s">
        <v>359</v>
      </c>
      <c r="E59" t="s">
        <v>360</v>
      </c>
      <c r="F59">
        <v>34.700000000000003</v>
      </c>
      <c r="G59">
        <v>1.17</v>
      </c>
      <c r="H59" t="s">
        <v>2265</v>
      </c>
      <c r="I59">
        <v>2524149800</v>
      </c>
      <c r="J59">
        <v>102.4</v>
      </c>
      <c r="K59">
        <v>3.84</v>
      </c>
      <c r="L59" t="s">
        <v>667</v>
      </c>
      <c r="M59" t="s">
        <v>134</v>
      </c>
      <c r="N59" t="s">
        <v>275</v>
      </c>
      <c r="O59" t="s">
        <v>1438</v>
      </c>
      <c r="P59">
        <v>-22.16</v>
      </c>
      <c r="Q59" t="s">
        <v>681</v>
      </c>
      <c r="R59">
        <v>1718669</v>
      </c>
      <c r="S59" s="6">
        <v>-0.58979999999999999</v>
      </c>
      <c r="T59" t="s">
        <v>1439</v>
      </c>
      <c r="U59">
        <v>72742068</v>
      </c>
      <c r="V59">
        <v>72742068</v>
      </c>
      <c r="W59">
        <v>1.31</v>
      </c>
      <c r="X59">
        <v>7.0000000000000007E-2</v>
      </c>
      <c r="Y59">
        <v>3.94</v>
      </c>
      <c r="Z59" t="s">
        <v>2046</v>
      </c>
      <c r="AA59" t="s">
        <v>2047</v>
      </c>
      <c r="AB59" t="s">
        <v>2048</v>
      </c>
      <c r="AC59" t="s">
        <v>2049</v>
      </c>
      <c r="AD59" t="s">
        <v>15</v>
      </c>
      <c r="AE59">
        <v>-71006</v>
      </c>
      <c r="AF59" t="s">
        <v>1440</v>
      </c>
      <c r="AG59">
        <v>1558.68</v>
      </c>
      <c r="AH59" t="s">
        <v>1441</v>
      </c>
      <c r="AI59" t="s">
        <v>2050</v>
      </c>
      <c r="AJ59" t="s">
        <v>1442</v>
      </c>
      <c r="AK59" t="s">
        <v>2051</v>
      </c>
      <c r="AL59" t="s">
        <v>1443</v>
      </c>
      <c r="AM59" t="s">
        <v>15</v>
      </c>
      <c r="AN59">
        <v>0</v>
      </c>
      <c r="AO59" t="s">
        <v>2052</v>
      </c>
      <c r="AP59" t="s">
        <v>2053</v>
      </c>
      <c r="AQ59" t="s">
        <v>367</v>
      </c>
      <c r="AR59" t="s">
        <v>2054</v>
      </c>
      <c r="AS59" t="s">
        <v>145</v>
      </c>
      <c r="AT59" t="s">
        <v>15</v>
      </c>
      <c r="AU59" t="s">
        <v>2055</v>
      </c>
      <c r="AV59" t="s">
        <v>2056</v>
      </c>
      <c r="AW59" t="s">
        <v>2057</v>
      </c>
      <c r="AX59" t="s">
        <v>159</v>
      </c>
      <c r="AY59" t="s">
        <v>466</v>
      </c>
      <c r="AZ59" t="s">
        <v>154</v>
      </c>
      <c r="BA59" t="s">
        <v>157</v>
      </c>
      <c r="BB59" t="s">
        <v>65</v>
      </c>
      <c r="BC59" t="s">
        <v>893</v>
      </c>
      <c r="BD59" t="s">
        <v>562</v>
      </c>
      <c r="BE59" t="s">
        <v>361</v>
      </c>
      <c r="BF59" t="s">
        <v>362</v>
      </c>
      <c r="BG59" t="s">
        <v>363</v>
      </c>
      <c r="BH59" t="s">
        <v>681</v>
      </c>
      <c r="BI59" t="s">
        <v>2266</v>
      </c>
      <c r="BJ59" t="s">
        <v>159</v>
      </c>
      <c r="BK59" t="s">
        <v>1439</v>
      </c>
      <c r="BL59" t="s">
        <v>2267</v>
      </c>
      <c r="BM59" t="s">
        <v>893</v>
      </c>
      <c r="BN59">
        <v>3.43</v>
      </c>
      <c r="BO59">
        <v>9.36</v>
      </c>
      <c r="BP59">
        <v>15.97</v>
      </c>
      <c r="BQ59">
        <v>2.85</v>
      </c>
      <c r="BR59">
        <v>8.1</v>
      </c>
      <c r="BS59">
        <v>13.19</v>
      </c>
      <c r="BT59" t="s">
        <v>853</v>
      </c>
      <c r="BU59" t="s">
        <v>667</v>
      </c>
      <c r="BV59">
        <v>33.840000000000003</v>
      </c>
      <c r="BW59">
        <v>41.83</v>
      </c>
      <c r="BX59">
        <v>42.57</v>
      </c>
      <c r="BY59">
        <v>10.47</v>
      </c>
      <c r="BZ59">
        <v>18.39</v>
      </c>
      <c r="CA59">
        <v>20.22</v>
      </c>
      <c r="CB59">
        <v>32.9</v>
      </c>
      <c r="CC59">
        <v>4.49</v>
      </c>
      <c r="CD59" t="s">
        <v>2268</v>
      </c>
      <c r="CE59" t="s">
        <v>2269</v>
      </c>
      <c r="CF59" s="9">
        <v>-0.22156255332554506</v>
      </c>
      <c r="CG59" s="10">
        <v>-0.58982625712990144</v>
      </c>
      <c r="CH59" s="9">
        <v>0.1726190447807312</v>
      </c>
      <c r="CI59" s="9">
        <v>1.8181817606091499E-2</v>
      </c>
      <c r="CJ59" s="9">
        <v>0.4410480260848999</v>
      </c>
      <c r="CK59" s="9">
        <v>0.35502958297729492</v>
      </c>
      <c r="CL59" s="9">
        <v>9.0322583913803101E-2</v>
      </c>
      <c r="CM59" s="10">
        <v>-0.46218162775039673</v>
      </c>
      <c r="CN59" s="10">
        <v>-0.17246134579181671</v>
      </c>
      <c r="CO59" s="10">
        <v>0.35894867777824402</v>
      </c>
      <c r="CP59" s="10">
        <v>0.2967035174369812</v>
      </c>
      <c r="CQ59" s="10">
        <v>0.15926466882228851</v>
      </c>
      <c r="CR59">
        <v>61.151780176757889</v>
      </c>
      <c r="CS59">
        <v>2.8384571233157989</v>
      </c>
      <c r="CT59">
        <v>0.34582132564841495</v>
      </c>
      <c r="CU59" s="9">
        <v>0.21544021107256411</v>
      </c>
      <c r="CV59" s="10">
        <v>3.6054778099060061E-2</v>
      </c>
      <c r="CW59">
        <v>0.06</v>
      </c>
      <c r="CX59">
        <v>66.106807325285416</v>
      </c>
      <c r="CY59">
        <v>31088323.323306505</v>
      </c>
      <c r="CZ59">
        <v>0.21544021107256411</v>
      </c>
      <c r="DA59">
        <v>19.456436300072447</v>
      </c>
      <c r="DB59">
        <v>105628274.79317719</v>
      </c>
      <c r="DC59">
        <v>0.20466820051893589</v>
      </c>
      <c r="DD59">
        <v>8.2758957994595228</v>
      </c>
      <c r="DE59">
        <v>248329588.69953591</v>
      </c>
      <c r="DF59">
        <v>0.18958738574385642</v>
      </c>
      <c r="DG59">
        <v>4.1783768386739544</v>
      </c>
      <c r="DH59">
        <v>491853626.26416922</v>
      </c>
      <c r="DI59">
        <v>0.1723521688580513</v>
      </c>
      <c r="DJ59">
        <v>1.4325210910651349</v>
      </c>
      <c r="DK59">
        <v>1434638423.6981227</v>
      </c>
      <c r="DL59">
        <v>0.15080814775079487</v>
      </c>
      <c r="DM59">
        <v>27112500</v>
      </c>
      <c r="DN59">
        <v>0.21544021107256411</v>
      </c>
      <c r="DO59">
        <v>2055149800</v>
      </c>
      <c r="DP59">
        <v>544316080</v>
      </c>
      <c r="DQ59">
        <v>5059</v>
      </c>
      <c r="DR59">
        <v>-0.43700276439810914</v>
      </c>
      <c r="DS59">
        <v>-0.62588103522896155</v>
      </c>
      <c r="DT59" s="11">
        <v>-2.3333333333333355E-2</v>
      </c>
      <c r="DU59">
        <v>-0.18666666666666673</v>
      </c>
      <c r="DV59">
        <v>-0.21000000000000008</v>
      </c>
      <c r="DW59">
        <v>5.1364741641337384</v>
      </c>
      <c r="DX59">
        <v>0.73806525348992791</v>
      </c>
      <c r="DY59">
        <v>5.0693377807954345</v>
      </c>
      <c r="DZ59">
        <v>2319</v>
      </c>
      <c r="EA59">
        <v>5.0378588626935139</v>
      </c>
      <c r="EB59">
        <v>5</v>
      </c>
      <c r="EC59">
        <v>0.23680657525436313</v>
      </c>
      <c r="ED59">
        <v>0.46609480500334416</v>
      </c>
      <c r="EE59" s="12">
        <v>-2.01281</v>
      </c>
      <c r="EF59">
        <v>-2.0011100000000002</v>
      </c>
      <c r="EG59">
        <v>23.508065253489928</v>
      </c>
      <c r="EH59" t="s">
        <v>923</v>
      </c>
      <c r="EI59">
        <v>1</v>
      </c>
      <c r="EJ59">
        <v>0</v>
      </c>
      <c r="EK59" s="14">
        <v>45505</v>
      </c>
      <c r="EL59" s="15">
        <v>1.79</v>
      </c>
      <c r="EM59" s="15">
        <v>19.989999999999998</v>
      </c>
      <c r="EN59">
        <v>5.01</v>
      </c>
      <c r="EO59">
        <v>-4.24</v>
      </c>
      <c r="EP59">
        <v>1.17</v>
      </c>
    </row>
    <row r="60" spans="1:146" ht="168" x14ac:dyDescent="0.25">
      <c r="A60" s="8" t="s">
        <v>796</v>
      </c>
      <c r="B60" s="8"/>
      <c r="C60" s="8" t="str">
        <f>"公司主营业务是真空及微波应用产品研发、生产和销售。公司的主要产品是微波器件、核工业设备及部件和其他民用产品。公司系国家高新技术企业、四川省企业技术中心、四川省博士后创新实践基地和国家定点军用微波电真空器件“两厂两所”之一,拥有一系列自主研发、生产真空产品及微波电子器件的核心技术。"&amp;CHAR(10)&amp;Basic_Fundamental_Information_Constructure(F60)&amp;CHAR(10)&amp;Basic_Fundamental_Information_Concatenate("微波器件 3.97亿 67.18% 81.32% 60.27%
核工业设备及部件 1.31亿 22.23% 16.29% 36.49%
其他民用产品 5730.87万 9.71% 2.24% 11.47%")</f>
        <v>公司主营业务是真空及微波应用产品研发、生产和销售。公司的主要产品是微波器件、核工业设备及部件和其他民用产品。公司系国家高新技术企业、四川省企业技术中心、四川省博士后创新实践基地和国家定点军用微波电真空器件“两厂两所”之一,拥有一系列自主研发、生产真空产品及微波电子器件的核心技术。
市值53.801529亿, 利润9035.50万; PE54.51; 平均PE55.84; 平均PEG3.08, PB2.88; ROIC8.0567%; ROE10.1767%; 股利率.4029%; 毛利38.2767%; 净利19.4233%; 上一年度营收增-18.22%, 利润增-45.57%; 当季营收增-4.22%, 利润增40.85%; 过往5年营收增18.11%, 利润增54.58%
Income profile:
微波器件 3.97亿 67.18% 81.32% 60.27%
核工业设备及部件 1.31亿 22.23% 16.29% 36.49%
其他民用产品 5730.87万 9.71% 2.24% 11.47%</v>
      </c>
      <c r="D60" t="s">
        <v>502</v>
      </c>
      <c r="E60" t="s">
        <v>503</v>
      </c>
      <c r="F60">
        <v>49.64</v>
      </c>
      <c r="G60">
        <v>-1.06</v>
      </c>
      <c r="H60" t="s">
        <v>2270</v>
      </c>
      <c r="I60">
        <v>5380152900</v>
      </c>
      <c r="J60">
        <v>54.51</v>
      </c>
      <c r="K60">
        <v>2.88</v>
      </c>
      <c r="L60" t="s">
        <v>667</v>
      </c>
      <c r="M60" t="s">
        <v>904</v>
      </c>
      <c r="N60" t="s">
        <v>1306</v>
      </c>
      <c r="O60" t="s">
        <v>175</v>
      </c>
      <c r="P60">
        <v>-3.85</v>
      </c>
      <c r="Q60" t="s">
        <v>900</v>
      </c>
      <c r="R60">
        <v>28796525</v>
      </c>
      <c r="S60" s="6">
        <v>0.40849999999999997</v>
      </c>
      <c r="T60" t="s">
        <v>1444</v>
      </c>
      <c r="U60">
        <v>34474541</v>
      </c>
      <c r="V60">
        <v>108383419</v>
      </c>
      <c r="W60">
        <v>1.28</v>
      </c>
      <c r="X60">
        <v>7.0000000000000007E-2</v>
      </c>
      <c r="Y60">
        <v>18.09</v>
      </c>
      <c r="Z60" t="s">
        <v>38</v>
      </c>
      <c r="AA60" t="s">
        <v>2058</v>
      </c>
      <c r="AB60" t="s">
        <v>2059</v>
      </c>
      <c r="AC60" t="s">
        <v>2060</v>
      </c>
      <c r="AD60" t="s">
        <v>15</v>
      </c>
      <c r="AE60">
        <v>-1270610</v>
      </c>
      <c r="AF60" t="s">
        <v>66</v>
      </c>
      <c r="AG60">
        <v>500</v>
      </c>
      <c r="AH60" t="s">
        <v>1445</v>
      </c>
      <c r="AI60" t="s">
        <v>2061</v>
      </c>
      <c r="AJ60" t="s">
        <v>1446</v>
      </c>
      <c r="AK60" t="s">
        <v>2062</v>
      </c>
      <c r="AL60" t="s">
        <v>1447</v>
      </c>
      <c r="AM60" t="s">
        <v>15</v>
      </c>
      <c r="AN60" t="s">
        <v>2063</v>
      </c>
      <c r="AO60" t="s">
        <v>15</v>
      </c>
      <c r="AP60" t="s">
        <v>2064</v>
      </c>
      <c r="AQ60" t="s">
        <v>697</v>
      </c>
      <c r="AR60" t="s">
        <v>15</v>
      </c>
      <c r="AS60" t="s">
        <v>266</v>
      </c>
      <c r="AT60" t="s">
        <v>15</v>
      </c>
      <c r="AU60" t="s">
        <v>2065</v>
      </c>
      <c r="AV60" t="s">
        <v>2066</v>
      </c>
      <c r="AW60" t="s">
        <v>15</v>
      </c>
      <c r="AX60" t="s">
        <v>894</v>
      </c>
      <c r="AY60" t="s">
        <v>665</v>
      </c>
      <c r="AZ60" t="s">
        <v>190</v>
      </c>
      <c r="BA60" t="s">
        <v>439</v>
      </c>
      <c r="BB60" t="s">
        <v>224</v>
      </c>
      <c r="BC60" t="s">
        <v>109</v>
      </c>
      <c r="BD60" t="s">
        <v>45</v>
      </c>
      <c r="BE60" t="s">
        <v>504</v>
      </c>
      <c r="BF60" t="s">
        <v>506</v>
      </c>
      <c r="BG60" t="s">
        <v>507</v>
      </c>
      <c r="BH60" t="s">
        <v>900</v>
      </c>
      <c r="BI60" t="s">
        <v>109</v>
      </c>
      <c r="BJ60" t="s">
        <v>894</v>
      </c>
      <c r="BK60" t="s">
        <v>1444</v>
      </c>
      <c r="BL60" t="s">
        <v>2271</v>
      </c>
      <c r="BM60" t="s">
        <v>109</v>
      </c>
      <c r="BN60">
        <v>2.59</v>
      </c>
      <c r="BO60">
        <v>8.25</v>
      </c>
      <c r="BP60">
        <v>13.33</v>
      </c>
      <c r="BQ60">
        <v>3.07</v>
      </c>
      <c r="BR60">
        <v>9.86</v>
      </c>
      <c r="BS60">
        <v>17.600000000000001</v>
      </c>
      <c r="BT60" t="s">
        <v>794</v>
      </c>
      <c r="BU60" t="s">
        <v>667</v>
      </c>
      <c r="BV60">
        <v>30.01</v>
      </c>
      <c r="BW60">
        <v>35.03</v>
      </c>
      <c r="BX60">
        <v>49.79</v>
      </c>
      <c r="BY60">
        <v>12.12</v>
      </c>
      <c r="BZ60">
        <v>18.22</v>
      </c>
      <c r="CA60">
        <v>27.93</v>
      </c>
      <c r="CB60">
        <v>7.52</v>
      </c>
      <c r="CC60">
        <v>-16.46</v>
      </c>
      <c r="CD60" t="s">
        <v>2272</v>
      </c>
      <c r="CE60" t="s">
        <v>2273</v>
      </c>
      <c r="CF60" s="9">
        <v>-4.2168674698795178E-2</v>
      </c>
      <c r="CG60" s="10">
        <v>0.40848051611388547</v>
      </c>
      <c r="CH60" s="9">
        <v>-0.18221734464168549</v>
      </c>
      <c r="CI60" s="9">
        <v>0.54406780004501343</v>
      </c>
      <c r="CJ60" s="9">
        <v>0.32286995649337769</v>
      </c>
      <c r="CK60" s="9">
        <v>0.25633803009986877</v>
      </c>
      <c r="CL60" s="9">
        <v>-3.5326085984706879E-2</v>
      </c>
      <c r="CM60" s="10">
        <v>-0.45569276809692383</v>
      </c>
      <c r="CN60" s="10">
        <v>6.0606058686971664E-3</v>
      </c>
      <c r="CO60" s="10">
        <v>0.72942924499511719</v>
      </c>
      <c r="CP60" s="10">
        <v>1.2676748037338257</v>
      </c>
      <c r="CQ60" s="10">
        <v>1.181639552116394</v>
      </c>
      <c r="CR60">
        <v>55.837764767786886</v>
      </c>
      <c r="CS60">
        <v>3.0824649465793876</v>
      </c>
      <c r="CT60">
        <v>0.40290088638195004</v>
      </c>
      <c r="CU60" s="9">
        <v>0.18114647120237351</v>
      </c>
      <c r="CV60" s="10">
        <v>0.54582228772342201</v>
      </c>
      <c r="CW60">
        <v>0.06</v>
      </c>
      <c r="CX60">
        <v>40.137951221550345</v>
      </c>
      <c r="CY60">
        <v>100681593.77876459</v>
      </c>
      <c r="CZ60">
        <v>0.18114647120237351</v>
      </c>
      <c r="DA60">
        <v>12.152364825470132</v>
      </c>
      <c r="DB60">
        <v>332540452.66400748</v>
      </c>
      <c r="DC60">
        <v>0.17208914764225483</v>
      </c>
      <c r="DD60">
        <v>5.3835335233844379</v>
      </c>
      <c r="DE60">
        <v>750650642.82528508</v>
      </c>
      <c r="DF60">
        <v>0.15940889465808869</v>
      </c>
      <c r="DG60">
        <v>2.8568770699261079</v>
      </c>
      <c r="DH60">
        <v>1414535102.8717952</v>
      </c>
      <c r="DI60">
        <v>0.14491717696189882</v>
      </c>
      <c r="DJ60">
        <v>1.1071177873496154</v>
      </c>
      <c r="DK60">
        <v>3650156240.0820222</v>
      </c>
      <c r="DL60">
        <v>0.12680252984166146</v>
      </c>
      <c r="DM60">
        <v>90355000</v>
      </c>
      <c r="DN60">
        <v>0.18114647120237351</v>
      </c>
      <c r="DO60">
        <v>4041152900</v>
      </c>
      <c r="DP60">
        <v>1695086700</v>
      </c>
      <c r="DQ60">
        <v>5094</v>
      </c>
      <c r="DR60">
        <v>-0.22331514590116869</v>
      </c>
      <c r="DS60">
        <v>-0.13734177160953653</v>
      </c>
      <c r="DT60" s="11">
        <v>-0.20666666666666669</v>
      </c>
      <c r="DU60">
        <v>0.7533333333333333</v>
      </c>
      <c r="DV60">
        <v>0.54666666666666663</v>
      </c>
      <c r="DW60">
        <v>7.3135946622185157</v>
      </c>
      <c r="DX60">
        <v>0.43789234429433432</v>
      </c>
      <c r="DY60">
        <v>7.0683298761089821</v>
      </c>
      <c r="DZ60">
        <v>700</v>
      </c>
      <c r="EA60">
        <v>7.0589659541676575</v>
      </c>
      <c r="EB60">
        <v>7</v>
      </c>
      <c r="EC60">
        <v>5.6784516089126144E-2</v>
      </c>
      <c r="ED60">
        <v>0.26060812862897414</v>
      </c>
      <c r="EE60" s="12">
        <v>1.1107</v>
      </c>
      <c r="EF60">
        <v>1.1001000000000001</v>
      </c>
      <c r="EG60">
        <v>22.217892344294334</v>
      </c>
      <c r="EH60" t="s">
        <v>567</v>
      </c>
      <c r="EI60">
        <v>1</v>
      </c>
      <c r="EJ60">
        <v>1</v>
      </c>
      <c r="EK60" s="14">
        <v>45505</v>
      </c>
      <c r="EL60" s="15">
        <v>5.17</v>
      </c>
      <c r="EM60" s="15">
        <v>4.4000000000000004</v>
      </c>
      <c r="EN60">
        <v>-2.59</v>
      </c>
      <c r="EO60">
        <v>4.04</v>
      </c>
      <c r="EP60">
        <v>-1.06</v>
      </c>
    </row>
    <row r="61" spans="1:146" ht="84" x14ac:dyDescent="0.25">
      <c r="A61" s="8" t="s">
        <v>508</v>
      </c>
      <c r="B61" s="8" t="s">
        <v>509</v>
      </c>
      <c r="C61" s="8" t="s">
        <v>510</v>
      </c>
      <c r="D61" t="s">
        <v>364</v>
      </c>
      <c r="E61" t="s">
        <v>365</v>
      </c>
      <c r="F61">
        <v>24.84</v>
      </c>
      <c r="G61">
        <v>2.48</v>
      </c>
      <c r="H61" t="s">
        <v>2274</v>
      </c>
      <c r="I61">
        <v>2626778500</v>
      </c>
      <c r="K61">
        <v>1.0900000000000001</v>
      </c>
      <c r="L61" t="s">
        <v>667</v>
      </c>
      <c r="M61" t="s">
        <v>223</v>
      </c>
      <c r="N61" t="s">
        <v>2067</v>
      </c>
      <c r="O61" t="s">
        <v>1448</v>
      </c>
      <c r="P61">
        <v>25.32</v>
      </c>
      <c r="Q61" t="s">
        <v>762</v>
      </c>
      <c r="R61">
        <v>-53533822</v>
      </c>
      <c r="S61" s="6">
        <v>6.5900000000000004E-3</v>
      </c>
      <c r="T61" t="s">
        <v>1129</v>
      </c>
      <c r="U61">
        <v>105747925</v>
      </c>
      <c r="V61">
        <v>105747925</v>
      </c>
      <c r="W61">
        <v>1.06</v>
      </c>
      <c r="X61">
        <v>0.01</v>
      </c>
      <c r="Y61">
        <v>-414.31</v>
      </c>
      <c r="Z61" t="s">
        <v>2068</v>
      </c>
      <c r="AA61" t="s">
        <v>2069</v>
      </c>
      <c r="AB61" t="s">
        <v>2070</v>
      </c>
      <c r="AC61" t="s">
        <v>2071</v>
      </c>
      <c r="AD61" t="s">
        <v>15</v>
      </c>
      <c r="AE61">
        <v>-460737</v>
      </c>
      <c r="AF61" t="s">
        <v>66</v>
      </c>
      <c r="AG61" t="s">
        <v>1158</v>
      </c>
      <c r="AH61" t="s">
        <v>1449</v>
      </c>
      <c r="AI61" t="s">
        <v>831</v>
      </c>
      <c r="AJ61" t="s">
        <v>1450</v>
      </c>
      <c r="AK61" t="s">
        <v>2072</v>
      </c>
      <c r="AL61" t="s">
        <v>1451</v>
      </c>
      <c r="AM61" t="s">
        <v>15</v>
      </c>
      <c r="AN61">
        <v>0</v>
      </c>
      <c r="AO61" t="s">
        <v>2073</v>
      </c>
      <c r="AP61" t="s">
        <v>2074</v>
      </c>
      <c r="AQ61" t="s">
        <v>2075</v>
      </c>
      <c r="AR61" t="s">
        <v>15</v>
      </c>
      <c r="AS61" t="s">
        <v>672</v>
      </c>
      <c r="AT61" t="s">
        <v>15</v>
      </c>
      <c r="AU61" t="s">
        <v>2076</v>
      </c>
      <c r="AV61" t="s">
        <v>2077</v>
      </c>
      <c r="AW61" t="s">
        <v>2078</v>
      </c>
      <c r="AX61" t="s">
        <v>41</v>
      </c>
      <c r="AY61" t="s">
        <v>682</v>
      </c>
      <c r="AZ61" t="s">
        <v>366</v>
      </c>
      <c r="BA61" t="s">
        <v>197</v>
      </c>
      <c r="BB61" t="s">
        <v>138</v>
      </c>
      <c r="BC61" t="s">
        <v>711</v>
      </c>
      <c r="BD61" t="s">
        <v>259</v>
      </c>
      <c r="BE61" t="s">
        <v>216</v>
      </c>
      <c r="BF61" t="s">
        <v>134</v>
      </c>
      <c r="BG61" t="s">
        <v>171</v>
      </c>
      <c r="BH61" t="s">
        <v>762</v>
      </c>
      <c r="BI61" t="s">
        <v>2275</v>
      </c>
      <c r="BJ61" t="s">
        <v>41</v>
      </c>
      <c r="BK61" t="s">
        <v>1129</v>
      </c>
      <c r="BL61" t="s">
        <v>2276</v>
      </c>
      <c r="BM61" t="s">
        <v>711</v>
      </c>
      <c r="BN61" t="s">
        <v>15</v>
      </c>
      <c r="BO61" t="s">
        <v>15</v>
      </c>
      <c r="BP61">
        <v>4.76</v>
      </c>
      <c r="BQ61">
        <v>-6.92</v>
      </c>
      <c r="BR61">
        <v>-6.78</v>
      </c>
      <c r="BS61">
        <v>6.07</v>
      </c>
      <c r="BT61" t="s">
        <v>781</v>
      </c>
      <c r="BU61" t="s">
        <v>667</v>
      </c>
      <c r="BV61">
        <v>46.84</v>
      </c>
      <c r="BW61">
        <v>56.64</v>
      </c>
      <c r="BX61">
        <v>69.78</v>
      </c>
      <c r="BY61">
        <v>-93.75</v>
      </c>
      <c r="BZ61">
        <v>-83.99</v>
      </c>
      <c r="CA61">
        <v>28.9</v>
      </c>
      <c r="CB61">
        <v>4.59</v>
      </c>
      <c r="CC61">
        <v>-1.78</v>
      </c>
      <c r="CD61" t="s">
        <v>2277</v>
      </c>
      <c r="CE61" t="s">
        <v>2278</v>
      </c>
      <c r="CF61" s="9">
        <v>0.25323103901797456</v>
      </c>
      <c r="CG61" s="10">
        <v>6.5909183692404762E-3</v>
      </c>
      <c r="CH61" s="9">
        <v>1.287553645670414E-2</v>
      </c>
      <c r="CI61" s="9">
        <v>-0.62236630916595459</v>
      </c>
      <c r="CJ61" s="9">
        <v>-5.8015268296003342E-2</v>
      </c>
      <c r="CK61" s="9">
        <v>-2.818991057574749E-2</v>
      </c>
      <c r="CL61" s="9">
        <v>0.22323049604892731</v>
      </c>
      <c r="CM61" s="10">
        <v>-3.0456852167844772E-2</v>
      </c>
      <c r="CN61" s="10">
        <v>-2.1067416667938232</v>
      </c>
      <c r="CO61" s="10">
        <v>5.6497175246477127E-3</v>
      </c>
      <c r="CP61" s="10">
        <v>-0.18807339668273926</v>
      </c>
      <c r="CQ61" s="10">
        <v>5.3140096366405487E-2</v>
      </c>
      <c r="CR61">
        <v>41.475449999999995</v>
      </c>
      <c r="CS61">
        <v>4.389257406479782</v>
      </c>
      <c r="CT61">
        <v>0</v>
      </c>
      <c r="CU61" s="9">
        <v>-9.4493091106414795E-2</v>
      </c>
      <c r="CV61" s="10">
        <v>-0.4532964203506708</v>
      </c>
      <c r="CW61">
        <v>0.06</v>
      </c>
      <c r="CX61" t="e">
        <v>#VALUE!</v>
      </c>
      <c r="CY61" t="s">
        <v>568</v>
      </c>
      <c r="CZ61">
        <v>-9.4493091106414795E-2</v>
      </c>
      <c r="DA61" t="e">
        <v>#VALUE!</v>
      </c>
      <c r="DB61" t="s">
        <v>569</v>
      </c>
      <c r="DC61">
        <v>-8.9768436551094052E-2</v>
      </c>
      <c r="DD61" t="e">
        <v>#VALUE!</v>
      </c>
      <c r="DE61" t="s">
        <v>569</v>
      </c>
      <c r="DF61">
        <v>-8.3153920173645021E-2</v>
      </c>
      <c r="DG61" t="e">
        <v>#VALUE!</v>
      </c>
      <c r="DH61" t="s">
        <v>569</v>
      </c>
      <c r="DI61">
        <v>-7.5594472885131839E-2</v>
      </c>
      <c r="DJ61" t="e">
        <v>#VALUE!</v>
      </c>
      <c r="DK61" t="s">
        <v>569</v>
      </c>
      <c r="DL61">
        <v>-6.6145163774490354E-2</v>
      </c>
      <c r="DM61">
        <v>-202999999.99999997</v>
      </c>
      <c r="DN61">
        <v>-9.4493091106414795E-2</v>
      </c>
      <c r="DO61">
        <v>388778500</v>
      </c>
      <c r="DP61">
        <v>2269204500</v>
      </c>
      <c r="DQ61">
        <v>5100</v>
      </c>
      <c r="DR61">
        <v>0.34772413012438935</v>
      </c>
      <c r="DS61">
        <v>0.45988733871991128</v>
      </c>
      <c r="DT61" s="11">
        <v>-0.64</v>
      </c>
      <c r="DU61">
        <v>-1.9283333333333335</v>
      </c>
      <c r="DV61">
        <v>-2.5683333333333334</v>
      </c>
      <c r="DW61">
        <v>4.3877995642701526</v>
      </c>
      <c r="DX61">
        <v>0.505677843592232</v>
      </c>
      <c r="DY61">
        <v>4.0836397737677945</v>
      </c>
      <c r="DZ61">
        <v>4690</v>
      </c>
      <c r="EA61">
        <v>4.0068444450734022</v>
      </c>
      <c r="EB61">
        <v>4</v>
      </c>
      <c r="EC61">
        <v>2.7511650937831641E-2</v>
      </c>
      <c r="ED61">
        <v>0.12755900411284665</v>
      </c>
      <c r="EE61" s="12">
        <v>-2.0632000000000001</v>
      </c>
      <c r="EF61">
        <v>-2.0880000000000001</v>
      </c>
      <c r="EG61">
        <v>29.215677843592232</v>
      </c>
      <c r="EH61" t="s">
        <v>883</v>
      </c>
      <c r="EI61">
        <v>0</v>
      </c>
      <c r="EJ61">
        <v>0</v>
      </c>
      <c r="EK61" s="14">
        <v>45505</v>
      </c>
      <c r="EL61" s="15">
        <v>1.24</v>
      </c>
      <c r="EM61" s="15">
        <v>1.22</v>
      </c>
      <c r="EN61">
        <v>-4.62</v>
      </c>
      <c r="EO61">
        <v>2.76</v>
      </c>
      <c r="EP61">
        <v>2.48</v>
      </c>
    </row>
    <row r="62" spans="1:146" x14ac:dyDescent="0.25">
      <c r="D62"/>
      <c r="S62" s="6"/>
    </row>
  </sheetData>
  <autoFilter ref="BU1:BU62"/>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军工电子&quot;,&quot;&quot;'" altText="更新基本面按钮_x000a_">
                <anchor moveWithCells="1" sizeWithCells="1">
                  <from>
                    <xdr:col>147</xdr:col>
                    <xdr:colOff>279400</xdr:colOff>
                    <xdr:row>0</xdr:row>
                    <xdr:rowOff>50800</xdr:rowOff>
                  </from>
                  <to>
                    <xdr:col>147</xdr:col>
                    <xdr:colOff>1365250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6"/>
  <sheetViews>
    <sheetView workbookViewId="0">
      <selection activeCell="A4" sqref="A4"/>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国防军工</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2024-08-01T23:03:05Z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