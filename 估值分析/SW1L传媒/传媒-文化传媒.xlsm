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传媒\"/>
    </mc:Choice>
  </mc:AlternateContent>
  <bookViews>
    <workbookView xWindow="0" yWindow="0" windowWidth="3800" windowHeight="2950"/>
  </bookViews>
  <sheets>
    <sheet name="传媒" sheetId="18" r:id="rId1"/>
    <sheet name="估值-增速与年化收益" sheetId="14" r:id="rId2"/>
  </sheets>
  <functionGroups builtInGroupCount="18"/>
  <definedNames>
    <definedName name="_xlnm._FilterDatabase" localSheetId="0" hidden="1">传媒!$BU$1:$BU$160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4" i="18"/>
  <c r="C83" i="18"/>
  <c r="C80" i="18"/>
  <c r="C75" i="18"/>
  <c r="C71" i="18"/>
  <c r="C67" i="18"/>
  <c r="C64" i="18"/>
  <c r="C61" i="18"/>
  <c r="C58" i="18"/>
  <c r="C55" i="18"/>
  <c r="C52" i="18"/>
  <c r="C48" i="18"/>
  <c r="C45" i="18"/>
  <c r="C41" i="18"/>
  <c r="C37" i="18"/>
  <c r="C33" i="18"/>
  <c r="C28" i="18"/>
  <c r="C23" i="18"/>
  <c r="C19" i="18"/>
  <c r="C12" i="18"/>
  <c r="C8" i="18"/>
  <c r="C4" i="18"/>
  <c r="C86" i="18"/>
  <c r="C82" i="18"/>
  <c r="C79" i="18"/>
  <c r="C77" i="18"/>
  <c r="C74" i="18"/>
  <c r="C70" i="18"/>
  <c r="C66" i="18"/>
  <c r="C63" i="18"/>
  <c r="C60" i="18"/>
  <c r="C57" i="18"/>
  <c r="C51" i="18"/>
  <c r="C44" i="18"/>
  <c r="C40" i="18"/>
  <c r="C36" i="18"/>
  <c r="C32" i="18"/>
  <c r="C26" i="18"/>
  <c r="C3" i="18"/>
  <c r="C85" i="18"/>
  <c r="C81" i="18"/>
  <c r="C78" i="18"/>
  <c r="C73" i="18"/>
  <c r="C69" i="18"/>
  <c r="C62" i="18"/>
  <c r="C54" i="18"/>
  <c r="C50" i="18"/>
  <c r="C47" i="18"/>
  <c r="C43" i="18"/>
  <c r="C39" i="18"/>
  <c r="C35" i="18"/>
  <c r="C31" i="18"/>
  <c r="C21" i="18"/>
  <c r="C18" i="18"/>
  <c r="C16" i="18"/>
  <c r="C15" i="18"/>
  <c r="C11" i="18"/>
  <c r="C6" i="18"/>
  <c r="C2" i="18"/>
  <c r="C20" i="18"/>
  <c r="C17" i="18"/>
  <c r="C7" i="18"/>
  <c r="C84" i="18"/>
  <c r="C76" i="18"/>
  <c r="C72" i="18"/>
  <c r="C68" i="18"/>
  <c r="C65" i="18"/>
  <c r="C59" i="18"/>
  <c r="C56" i="18"/>
  <c r="C53" i="18"/>
  <c r="C49" i="18"/>
  <c r="C46" i="18"/>
  <c r="C42" i="18"/>
  <c r="C38" i="18"/>
  <c r="C34" i="18"/>
  <c r="C30" i="18"/>
  <c r="C29" i="18"/>
  <c r="C27" i="18"/>
  <c r="C25" i="18"/>
  <c r="C24" i="18"/>
  <c r="C13" i="18"/>
  <c r="C10" i="18"/>
  <c r="C5" i="18"/>
  <c r="C22" i="18"/>
  <c r="C9" i="18"/>
</calcChain>
</file>

<file path=xl/sharedStrings.xml><?xml version="1.0" encoding="utf-8"?>
<sst xmlns="http://schemas.openxmlformats.org/spreadsheetml/2006/main" count="4889" uniqueCount="3245">
  <si>
    <t>&lt;-增速</t>
    <phoneticPr fontId="1" type="noConversion"/>
  </si>
  <si>
    <t>&lt;-估值</t>
    <phoneticPr fontId="1" type="noConversion"/>
  </si>
  <si>
    <t>&lt;-折合年化收益</t>
    <phoneticPr fontId="1" type="noConversion"/>
  </si>
  <si>
    <t>现价</t>
  </si>
  <si>
    <t>市净率</t>
  </si>
  <si>
    <t>--</t>
  </si>
  <si>
    <t>总市值</t>
  </si>
  <si>
    <t>TTM市盈率</t>
  </si>
  <si>
    <t>所属行业</t>
  </si>
  <si>
    <t>负债合计</t>
  </si>
  <si>
    <t>所有者权益合计</t>
  </si>
  <si>
    <t>主营业务收入</t>
  </si>
  <si>
    <t>净利润增长率</t>
  </si>
  <si>
    <t>总股本</t>
  </si>
  <si>
    <t>财务费用</t>
  </si>
  <si>
    <t>投资收益</t>
  </si>
  <si>
    <t>应收账款</t>
  </si>
  <si>
    <t>1.55亿</t>
  </si>
  <si>
    <t>1.86亿</t>
  </si>
  <si>
    <t>1.69亿</t>
  </si>
  <si>
    <t>3.79亿</t>
  </si>
  <si>
    <t>1.37亿</t>
  </si>
  <si>
    <t>3.31亿</t>
  </si>
  <si>
    <t>1.06亿</t>
  </si>
  <si>
    <t>2.46亿</t>
  </si>
  <si>
    <t>1.31亿</t>
  </si>
  <si>
    <t>1.67亿</t>
  </si>
  <si>
    <t>1.76亿</t>
  </si>
  <si>
    <t>6.44亿</t>
  </si>
  <si>
    <t>3.15亿</t>
  </si>
  <si>
    <t>流动资产</t>
  </si>
  <si>
    <t>营业收入[20191231]</t>
  </si>
  <si>
    <t>营业收入[20181231]</t>
  </si>
  <si>
    <t>营业收入[20171231]</t>
  </si>
  <si>
    <t>净利润[20191231]</t>
  </si>
  <si>
    <t>净利润[20181231]</t>
  </si>
  <si>
    <t>净利润[20171231]</t>
  </si>
  <si>
    <t>2.84亿</t>
  </si>
  <si>
    <t>6.02亿</t>
  </si>
  <si>
    <t>8.44亿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</si>
  <si>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</si>
  <si>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</si>
  <si>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</si>
  <si>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</si>
  <si>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</si>
  <si>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</si>
  <si>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</si>
  <si>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</si>
  <si>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</si>
  <si>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</si>
  <si>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</si>
  <si>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</si>
  <si>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</si>
  <si>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</si>
  <si>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</si>
  <si>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传媒</t>
  </si>
  <si>
    <t>23.06亿</t>
  </si>
  <si>
    <t>21.03亿</t>
  </si>
  <si>
    <t>9.07亿</t>
  </si>
  <si>
    <t>28.20亿</t>
  </si>
  <si>
    <t>34.36亿</t>
  </si>
  <si>
    <t>华数传媒</t>
  </si>
  <si>
    <t>75.78亿</t>
  </si>
  <si>
    <t>69.88亿</t>
  </si>
  <si>
    <t>7.81亿</t>
  </si>
  <si>
    <t>代码</t>
  </si>
  <si>
    <t>涨幅%</t>
  </si>
  <si>
    <t>流通股本</t>
  </si>
  <si>
    <t>净利润[20201231]</t>
  </si>
  <si>
    <t>投入资本回报率roic%[20201231]</t>
  </si>
  <si>
    <t>净资产收益率%[20201231]</t>
  </si>
  <si>
    <t>84.84亿</t>
  </si>
  <si>
    <t>36.01亿</t>
  </si>
  <si>
    <t>1.54亿</t>
  </si>
  <si>
    <t xml:space="preserve">    名称</t>
  </si>
  <si>
    <t>净利润?</t>
  </si>
  <si>
    <t>投入资本回报率roic%[20211231]</t>
  </si>
  <si>
    <t>净资产收益率%[20211231]</t>
  </si>
  <si>
    <t>细分行业</t>
  </si>
  <si>
    <t>单季营收增速</t>
  </si>
  <si>
    <t>单季利润增速</t>
  </si>
  <si>
    <t/>
  </si>
  <si>
    <t>出版</t>
  </si>
  <si>
    <t>1-0</t>
  </si>
  <si>
    <t>SZ000156</t>
  </si>
  <si>
    <t>SZ000607</t>
  </si>
  <si>
    <t>华媒控股</t>
  </si>
  <si>
    <t>18.88亿</t>
  </si>
  <si>
    <t>19.65亿</t>
  </si>
  <si>
    <t>1.17亿</t>
  </si>
  <si>
    <t>6.19亿</t>
  </si>
  <si>
    <t>1.02亿</t>
  </si>
  <si>
    <t>1.34亿</t>
  </si>
  <si>
    <t>1.53亿</t>
  </si>
  <si>
    <t>2.00亿</t>
  </si>
  <si>
    <t>2.19亿</t>
  </si>
  <si>
    <t>1.08亿</t>
  </si>
  <si>
    <t>16.66亿</t>
  </si>
  <si>
    <t>18.22亿</t>
  </si>
  <si>
    <t>17.49亿</t>
  </si>
  <si>
    <t>-3.40亿</t>
  </si>
  <si>
    <t>1890.45万</t>
  </si>
  <si>
    <t>1.04亿</t>
  </si>
  <si>
    <t>1.47亿</t>
  </si>
  <si>
    <t>2.25亿</t>
  </si>
  <si>
    <t>3.77亿</t>
  </si>
  <si>
    <t>3.94亿</t>
  </si>
  <si>
    <t>广告营销</t>
  </si>
  <si>
    <t>1.41亿</t>
  </si>
  <si>
    <t>5.57亿</t>
  </si>
  <si>
    <t>SZ000665</t>
  </si>
  <si>
    <t>湖北广电</t>
  </si>
  <si>
    <t>21.72亿</t>
  </si>
  <si>
    <t>-4.46亿</t>
  </si>
  <si>
    <t>1.20亿</t>
  </si>
  <si>
    <t>1.15亿</t>
  </si>
  <si>
    <t>5.28亿</t>
  </si>
  <si>
    <t>17.25亿</t>
  </si>
  <si>
    <t>1.68亿</t>
  </si>
  <si>
    <t>3.08亿</t>
  </si>
  <si>
    <t>1.79亿</t>
  </si>
  <si>
    <t>23.84亿</t>
  </si>
  <si>
    <t>26.25亿</t>
  </si>
  <si>
    <t>27.48亿</t>
  </si>
  <si>
    <t>-6.90亿</t>
  </si>
  <si>
    <t>1.03亿</t>
  </si>
  <si>
    <t>1.83亿</t>
  </si>
  <si>
    <t>3.35亿</t>
  </si>
  <si>
    <t>1.10亿</t>
  </si>
  <si>
    <t>亏损</t>
  </si>
  <si>
    <t>扭亏</t>
  </si>
  <si>
    <t>SZ000676</t>
  </si>
  <si>
    <t>智度股份</t>
  </si>
  <si>
    <t>1.33亿</t>
  </si>
  <si>
    <t>2.35亿</t>
  </si>
  <si>
    <t>2.87亿</t>
  </si>
  <si>
    <t>2.94亿</t>
  </si>
  <si>
    <t>108.53亿</t>
  </si>
  <si>
    <t>76.60亿</t>
  </si>
  <si>
    <t>-29.02亿</t>
  </si>
  <si>
    <t>6.20亿</t>
  </si>
  <si>
    <t>7.13亿</t>
  </si>
  <si>
    <t>14.09亿</t>
  </si>
  <si>
    <t>SZ000681</t>
  </si>
  <si>
    <t>视觉中国</t>
  </si>
  <si>
    <t>6.57亿</t>
  </si>
  <si>
    <t>3.12亿</t>
  </si>
  <si>
    <t>1.57亿</t>
  </si>
  <si>
    <t>2.78亿</t>
  </si>
  <si>
    <t>1.58亿</t>
  </si>
  <si>
    <t>4.62亿</t>
  </si>
  <si>
    <t>5.70亿</t>
  </si>
  <si>
    <t>7.22亿</t>
  </si>
  <si>
    <t>9.88亿</t>
  </si>
  <si>
    <t>1.42亿</t>
  </si>
  <si>
    <t>3.21亿</t>
  </si>
  <si>
    <t>2.91亿</t>
  </si>
  <si>
    <t>2.15亿</t>
  </si>
  <si>
    <t>1.39亿</t>
  </si>
  <si>
    <t>数字媒体</t>
  </si>
  <si>
    <t>SZ000719</t>
  </si>
  <si>
    <t>中原传媒</t>
  </si>
  <si>
    <t>92.61亿</t>
  </si>
  <si>
    <t>9.75亿</t>
  </si>
  <si>
    <t>4.46亿</t>
  </si>
  <si>
    <t>17.44亿</t>
  </si>
  <si>
    <t>95.90亿</t>
  </si>
  <si>
    <t>95.04亿</t>
  </si>
  <si>
    <t>90.03亿</t>
  </si>
  <si>
    <t>9.28亿</t>
  </si>
  <si>
    <t>8.32亿</t>
  </si>
  <si>
    <t>7.38亿</t>
  </si>
  <si>
    <t>4.41亿</t>
  </si>
  <si>
    <t>SZ000793</t>
  </si>
  <si>
    <t>华闻集团</t>
  </si>
  <si>
    <t>1342.88万</t>
  </si>
  <si>
    <t>2.88亿</t>
  </si>
  <si>
    <t>2.82亿</t>
  </si>
  <si>
    <t>29.70亿</t>
  </si>
  <si>
    <t>39.20亿</t>
  </si>
  <si>
    <t>37.85亿</t>
  </si>
  <si>
    <t>-20.91亿</t>
  </si>
  <si>
    <t>1.05亿</t>
  </si>
  <si>
    <t>-49.87亿</t>
  </si>
  <si>
    <t>2.77亿</t>
  </si>
  <si>
    <t>2.14亿</t>
  </si>
  <si>
    <t>1.25亿</t>
  </si>
  <si>
    <t>开始亏损</t>
  </si>
  <si>
    <t>15.60亿</t>
  </si>
  <si>
    <t>2.98亿</t>
  </si>
  <si>
    <t>7.41亿</t>
  </si>
  <si>
    <t>3.10亿</t>
  </si>
  <si>
    <t>5.22亿</t>
  </si>
  <si>
    <t>1.50亿</t>
  </si>
  <si>
    <t>3.88亿</t>
  </si>
  <si>
    <t>2.28亿</t>
  </si>
  <si>
    <t>5.40亿</t>
  </si>
  <si>
    <t>3.25亿</t>
  </si>
  <si>
    <t>4.08亿</t>
  </si>
  <si>
    <t>1.82亿</t>
  </si>
  <si>
    <t>SZ000917</t>
  </si>
  <si>
    <t>电广传媒</t>
  </si>
  <si>
    <t>43.40亿</t>
  </si>
  <si>
    <t>3.30亿</t>
  </si>
  <si>
    <t>1.30亿</t>
  </si>
  <si>
    <t>2.33亿</t>
  </si>
  <si>
    <t>1.00亿</t>
  </si>
  <si>
    <t>1.80亿</t>
  </si>
  <si>
    <t>10.32亿</t>
  </si>
  <si>
    <t>59.40亿</t>
  </si>
  <si>
    <t>70.77亿</t>
  </si>
  <si>
    <t>105.11亿</t>
  </si>
  <si>
    <t>1.11亿</t>
  </si>
  <si>
    <t>9.26亿</t>
  </si>
  <si>
    <t>21.83亿</t>
  </si>
  <si>
    <t>3.63亿</t>
  </si>
  <si>
    <t>27.84亿</t>
  </si>
  <si>
    <t>2.64亿</t>
  </si>
  <si>
    <t>1.99亿</t>
  </si>
  <si>
    <t>3.27亿</t>
  </si>
  <si>
    <t>SZ002027</t>
  </si>
  <si>
    <t>分众传媒</t>
  </si>
  <si>
    <t>148.36亿</t>
  </si>
  <si>
    <t>8.96亿</t>
  </si>
  <si>
    <t>2.41亿</t>
  </si>
  <si>
    <t>120.97亿</t>
  </si>
  <si>
    <t>121.36亿</t>
  </si>
  <si>
    <t>145.51亿</t>
  </si>
  <si>
    <t>44.51亿</t>
  </si>
  <si>
    <t>4.25亿</t>
  </si>
  <si>
    <t>23.44亿</t>
  </si>
  <si>
    <t>SZ002095</t>
  </si>
  <si>
    <t>生 意 宝</t>
  </si>
  <si>
    <t>3.61亿</t>
  </si>
  <si>
    <t>2274.48万</t>
  </si>
  <si>
    <t>2.02亿</t>
  </si>
  <si>
    <t>6.56亿</t>
  </si>
  <si>
    <t>3.86亿</t>
  </si>
  <si>
    <t>3.57亿</t>
  </si>
  <si>
    <t>4.20亿</t>
  </si>
  <si>
    <t>3698.89万</t>
  </si>
  <si>
    <t>3499.83万</t>
  </si>
  <si>
    <t>3484.65万</t>
  </si>
  <si>
    <t>1.27亿</t>
  </si>
  <si>
    <t>2.85亿</t>
  </si>
  <si>
    <t>1.19亿</t>
  </si>
  <si>
    <t>2.06亿</t>
  </si>
  <si>
    <t>1.22亿</t>
  </si>
  <si>
    <t>2.60亿</t>
  </si>
  <si>
    <t>3.81亿</t>
  </si>
  <si>
    <t>2.31亿</t>
  </si>
  <si>
    <t>2.89亿</t>
  </si>
  <si>
    <t>15.40亿</t>
  </si>
  <si>
    <t>1.24亿</t>
  </si>
  <si>
    <t>6.47亿</t>
  </si>
  <si>
    <t>1.18亿</t>
  </si>
  <si>
    <t>3.26亿</t>
  </si>
  <si>
    <t>7.97亿</t>
  </si>
  <si>
    <t>32.36亿</t>
  </si>
  <si>
    <t>-1.88亿</t>
  </si>
  <si>
    <t>2.57亿</t>
  </si>
  <si>
    <t>9.44亿</t>
  </si>
  <si>
    <t>2.63亿</t>
  </si>
  <si>
    <t>SZ002181</t>
  </si>
  <si>
    <t>粤 传 媒</t>
  </si>
  <si>
    <t>5.46亿</t>
  </si>
  <si>
    <t>8967.04万</t>
  </si>
  <si>
    <t>1.63亿</t>
  </si>
  <si>
    <t>5.07亿</t>
  </si>
  <si>
    <t>6.79亿</t>
  </si>
  <si>
    <t>8.94亿</t>
  </si>
  <si>
    <t>3.13亿</t>
  </si>
  <si>
    <t>8394.90万</t>
  </si>
  <si>
    <t>5454.07万</t>
  </si>
  <si>
    <t>7255.12万</t>
  </si>
  <si>
    <t>1.90亿</t>
  </si>
  <si>
    <t>1.16亿</t>
  </si>
  <si>
    <t>8.04亿</t>
  </si>
  <si>
    <t>SZ002238</t>
  </si>
  <si>
    <t>天威视讯</t>
  </si>
  <si>
    <t>17.79亿</t>
  </si>
  <si>
    <t>6.10亿</t>
  </si>
  <si>
    <t>1.43亿</t>
  </si>
  <si>
    <t>16.99亿</t>
  </si>
  <si>
    <t>1.88亿</t>
  </si>
  <si>
    <t>1.97亿</t>
  </si>
  <si>
    <t>2.36亿</t>
  </si>
  <si>
    <t>3.05亿</t>
  </si>
  <si>
    <t>3.39亿</t>
  </si>
  <si>
    <t>2.73亿</t>
  </si>
  <si>
    <t>-1-1</t>
  </si>
  <si>
    <t>SZ002291</t>
  </si>
  <si>
    <t>16.50亿</t>
  </si>
  <si>
    <t>28.11亿</t>
  </si>
  <si>
    <t>-7.00亿</t>
  </si>
  <si>
    <t>21.51亿</t>
  </si>
  <si>
    <t>20.70亿</t>
  </si>
  <si>
    <t>15.12亿</t>
  </si>
  <si>
    <t>2429.78万</t>
  </si>
  <si>
    <t>447.68万</t>
  </si>
  <si>
    <t>1.66亿</t>
  </si>
  <si>
    <t>7.69亿</t>
  </si>
  <si>
    <t>2.52亿</t>
  </si>
  <si>
    <t>4.10亿</t>
  </si>
  <si>
    <t>-1.90亿</t>
  </si>
  <si>
    <t>-2.57亿</t>
  </si>
  <si>
    <t>4.85亿</t>
  </si>
  <si>
    <t>9.70亿</t>
  </si>
  <si>
    <t>0亿</t>
  </si>
  <si>
    <t>1.84亿</t>
  </si>
  <si>
    <t>1.65亿</t>
  </si>
  <si>
    <t>3.75亿</t>
  </si>
  <si>
    <t>SZ002354</t>
  </si>
  <si>
    <t>天娱数科</t>
  </si>
  <si>
    <t>17.64亿</t>
  </si>
  <si>
    <t>2.48亿</t>
  </si>
  <si>
    <t>9.96亿</t>
  </si>
  <si>
    <t>13.35亿</t>
  </si>
  <si>
    <t>25.99亿</t>
  </si>
  <si>
    <t>4.97亿</t>
  </si>
  <si>
    <t>SZ002400</t>
  </si>
  <si>
    <t>省广集团</t>
  </si>
  <si>
    <t>130.03亿</t>
  </si>
  <si>
    <t>1.07亿</t>
  </si>
  <si>
    <t>2.34亿</t>
  </si>
  <si>
    <t>132.91亿</t>
  </si>
  <si>
    <t>115.36亿</t>
  </si>
  <si>
    <t>121.15亿</t>
  </si>
  <si>
    <t>1.49亿</t>
  </si>
  <si>
    <t>7.23亿</t>
  </si>
  <si>
    <t>4.11亿</t>
  </si>
  <si>
    <t>5.80亿</t>
  </si>
  <si>
    <t>7.04亿</t>
  </si>
  <si>
    <t>1.23亿</t>
  </si>
  <si>
    <t>2.10亿</t>
  </si>
  <si>
    <t>2.55亿</t>
  </si>
  <si>
    <t>6.54亿</t>
  </si>
  <si>
    <t>1.14亿</t>
  </si>
  <si>
    <t>1.51亿</t>
  </si>
  <si>
    <t>23.75亿</t>
  </si>
  <si>
    <t>5.77亿</t>
  </si>
  <si>
    <t>5.19亿</t>
  </si>
  <si>
    <t>20.37亿</t>
  </si>
  <si>
    <t>1.78亿</t>
  </si>
  <si>
    <t>2.18亿</t>
  </si>
  <si>
    <t>2.09亿</t>
  </si>
  <si>
    <t>21.15亿</t>
  </si>
  <si>
    <t>16.21亿</t>
  </si>
  <si>
    <t>7.60亿</t>
  </si>
  <si>
    <t>-1-0</t>
  </si>
  <si>
    <t>21.24亿</t>
  </si>
  <si>
    <t>1.01亿</t>
  </si>
  <si>
    <t>2.11亿</t>
  </si>
  <si>
    <t>2.71亿</t>
  </si>
  <si>
    <t>5.74亿</t>
  </si>
  <si>
    <t>3.20亿</t>
  </si>
  <si>
    <t>3.97亿</t>
  </si>
  <si>
    <t>125.24亿</t>
  </si>
  <si>
    <t>34.91亿</t>
  </si>
  <si>
    <t>13.46亿</t>
  </si>
  <si>
    <t>5.03亿</t>
  </si>
  <si>
    <t>4.58亿</t>
  </si>
  <si>
    <t>1.72亿</t>
  </si>
  <si>
    <t>1.77亿</t>
  </si>
  <si>
    <t>6.63亿</t>
  </si>
  <si>
    <t>10.93亿</t>
  </si>
  <si>
    <t>3.45亿</t>
  </si>
  <si>
    <t>3.69亿</t>
  </si>
  <si>
    <t>3.51亿</t>
  </si>
  <si>
    <t>10.52亿</t>
  </si>
  <si>
    <t>15.05亿</t>
  </si>
  <si>
    <t>9.90亿</t>
  </si>
  <si>
    <t>13.80亿</t>
  </si>
  <si>
    <t>1.59亿</t>
  </si>
  <si>
    <t>SZ002712</t>
  </si>
  <si>
    <t>思美传媒</t>
  </si>
  <si>
    <t>5933.95万</t>
  </si>
  <si>
    <t>4.61亿</t>
  </si>
  <si>
    <t>-2.07亿</t>
  </si>
  <si>
    <t>39.61亿</t>
  </si>
  <si>
    <t>29.97亿</t>
  </si>
  <si>
    <t>52.83亿</t>
  </si>
  <si>
    <t>-11.54亿</t>
  </si>
  <si>
    <t>4643.05万</t>
  </si>
  <si>
    <t>3152.18万</t>
  </si>
  <si>
    <t>1.36亿</t>
  </si>
  <si>
    <t>2.17亿</t>
  </si>
  <si>
    <t>62.95亿</t>
  </si>
  <si>
    <t>SZ002878</t>
  </si>
  <si>
    <t>元隆雅图</t>
  </si>
  <si>
    <t>10.46亿</t>
  </si>
  <si>
    <t>22.86亿</t>
  </si>
  <si>
    <t>1.74亿</t>
  </si>
  <si>
    <t>3.43亿</t>
  </si>
  <si>
    <t>19.90亿</t>
  </si>
  <si>
    <t>15.72亿</t>
  </si>
  <si>
    <t>9354.47万</t>
  </si>
  <si>
    <t>9.32亿</t>
  </si>
  <si>
    <t>5.55亿</t>
  </si>
  <si>
    <t>3.66亿</t>
  </si>
  <si>
    <t>SZ002995</t>
  </si>
  <si>
    <t>天地在线</t>
  </si>
  <si>
    <t>40.61亿</t>
  </si>
  <si>
    <t>5409.80万</t>
  </si>
  <si>
    <t>32.70亿</t>
  </si>
  <si>
    <t>23.93亿</t>
  </si>
  <si>
    <t>23.45亿</t>
  </si>
  <si>
    <t>9904.65万</t>
  </si>
  <si>
    <t>8587.27万</t>
  </si>
  <si>
    <t>3.85亿</t>
  </si>
  <si>
    <t>18.49亿</t>
  </si>
  <si>
    <t>2.49亿</t>
  </si>
  <si>
    <t>20.19亿</t>
  </si>
  <si>
    <t>13.99亿</t>
  </si>
  <si>
    <t>3.84亿</t>
  </si>
  <si>
    <t>1.75亿</t>
  </si>
  <si>
    <t>1.32亿</t>
  </si>
  <si>
    <t>1.28亿</t>
  </si>
  <si>
    <t>9.25亿</t>
  </si>
  <si>
    <t>27.60亿</t>
  </si>
  <si>
    <t>15.15亿</t>
  </si>
  <si>
    <t>4.33亿</t>
  </si>
  <si>
    <t>2.22亿</t>
  </si>
  <si>
    <t>21.66亿</t>
  </si>
  <si>
    <t>14.65亿</t>
  </si>
  <si>
    <t>4.37亿</t>
  </si>
  <si>
    <t>2.21亿</t>
  </si>
  <si>
    <t>6.62亿</t>
  </si>
  <si>
    <t>7.33亿</t>
  </si>
  <si>
    <t>1.40亿</t>
  </si>
  <si>
    <t>17.43亿</t>
  </si>
  <si>
    <t>2.59亿</t>
  </si>
  <si>
    <t>2.38亿</t>
  </si>
  <si>
    <t>2.30亿</t>
  </si>
  <si>
    <t>5.30亿</t>
  </si>
  <si>
    <t>2.01亿</t>
  </si>
  <si>
    <t>2.54亿</t>
  </si>
  <si>
    <t>3.55亿</t>
  </si>
  <si>
    <t>1.73亿</t>
  </si>
  <si>
    <t>3.18亿</t>
  </si>
  <si>
    <t>4.69亿</t>
  </si>
  <si>
    <t>1.64亿</t>
  </si>
  <si>
    <t>SZ300058</t>
  </si>
  <si>
    <t>蓝色光标</t>
  </si>
  <si>
    <t>400.78亿</t>
  </si>
  <si>
    <t>2.51亿</t>
  </si>
  <si>
    <t>405.27亿</t>
  </si>
  <si>
    <t>281.06亿</t>
  </si>
  <si>
    <t>231.04亿</t>
  </si>
  <si>
    <t>7.24亿</t>
  </si>
  <si>
    <t>7.10亿</t>
  </si>
  <si>
    <t>3.89亿</t>
  </si>
  <si>
    <t>6.40亿</t>
  </si>
  <si>
    <t>1.92亿</t>
  </si>
  <si>
    <t>SZ300061</t>
  </si>
  <si>
    <t>旗天科技</t>
  </si>
  <si>
    <t>10.54亿</t>
  </si>
  <si>
    <t>-3.66亿</t>
  </si>
  <si>
    <t>1.48亿</t>
  </si>
  <si>
    <t>7.14亿</t>
  </si>
  <si>
    <t>12.33亿</t>
  </si>
  <si>
    <t>23.05亿</t>
  </si>
  <si>
    <t>-7.50亿</t>
  </si>
  <si>
    <t>5223.74万</t>
  </si>
  <si>
    <t>-7.93亿</t>
  </si>
  <si>
    <t>1.09亿</t>
  </si>
  <si>
    <t>SZ300063</t>
  </si>
  <si>
    <t>天龙集团</t>
  </si>
  <si>
    <t>106.42亿</t>
  </si>
  <si>
    <t>106.75亿</t>
  </si>
  <si>
    <t>86.74亿</t>
  </si>
  <si>
    <t>79.68亿</t>
  </si>
  <si>
    <t>7618.62万</t>
  </si>
  <si>
    <t>-9.06亿</t>
  </si>
  <si>
    <t>SZ300071</t>
  </si>
  <si>
    <t>福石控股</t>
  </si>
  <si>
    <t>10.35亿</t>
  </si>
  <si>
    <t>5.21亿</t>
  </si>
  <si>
    <t>22.50亿</t>
  </si>
  <si>
    <t>34.16亿</t>
  </si>
  <si>
    <t>-5.79亿</t>
  </si>
  <si>
    <t>1165.08万</t>
  </si>
  <si>
    <t>-7.69亿</t>
  </si>
  <si>
    <t>-2.77亿</t>
  </si>
  <si>
    <t>3.82亿</t>
  </si>
  <si>
    <t>26.33亿</t>
  </si>
  <si>
    <t>3.99亿</t>
  </si>
  <si>
    <t>4.78亿</t>
  </si>
  <si>
    <t>1.26亿</t>
  </si>
  <si>
    <t>7.55亿</t>
  </si>
  <si>
    <t>5.05亿</t>
  </si>
  <si>
    <t>9.36亿</t>
  </si>
  <si>
    <t>2.44亿</t>
  </si>
  <si>
    <t>4.31亿</t>
  </si>
  <si>
    <t>7.40亿</t>
  </si>
  <si>
    <t>SZ300242</t>
  </si>
  <si>
    <t>佳云科技</t>
  </si>
  <si>
    <t>65.29亿</t>
  </si>
  <si>
    <t>-1.94亿</t>
  </si>
  <si>
    <t>69.97亿</t>
  </si>
  <si>
    <t>55.29亿</t>
  </si>
  <si>
    <t>56.10亿</t>
  </si>
  <si>
    <t>-3.68亿</t>
  </si>
  <si>
    <t>849.29万</t>
  </si>
  <si>
    <t>-12.51亿</t>
  </si>
  <si>
    <t>1.93亿</t>
  </si>
  <si>
    <t>4.34亿</t>
  </si>
  <si>
    <t>4.02亿</t>
  </si>
  <si>
    <t>6.55亿</t>
  </si>
  <si>
    <t>28.29亿</t>
  </si>
  <si>
    <t>2.40亿</t>
  </si>
  <si>
    <t>SZ300280</t>
  </si>
  <si>
    <t>紫天科技</t>
  </si>
  <si>
    <t>14.16亿</t>
  </si>
  <si>
    <t>8.61亿</t>
  </si>
  <si>
    <t>6.69亿</t>
  </si>
  <si>
    <t>3.62亿</t>
  </si>
  <si>
    <t>3.01亿</t>
  </si>
  <si>
    <t>7847.99万</t>
  </si>
  <si>
    <t>25.75亿</t>
  </si>
  <si>
    <t>1.12亿</t>
  </si>
  <si>
    <t>2.16亿</t>
  </si>
  <si>
    <t>SZ300295</t>
  </si>
  <si>
    <t>三六五网</t>
  </si>
  <si>
    <t>2702.51万</t>
  </si>
  <si>
    <t>4.72亿</t>
  </si>
  <si>
    <t>5178.55万</t>
  </si>
  <si>
    <t>9731.82万</t>
  </si>
  <si>
    <t>4.01亿</t>
  </si>
  <si>
    <t>5.66亿</t>
  </si>
  <si>
    <t>1.29亿</t>
  </si>
  <si>
    <t>4.86亿</t>
  </si>
  <si>
    <t>4.68亿</t>
  </si>
  <si>
    <t>5.59亿</t>
  </si>
  <si>
    <t>3.64亿</t>
  </si>
  <si>
    <t>3.29亿</t>
  </si>
  <si>
    <t>SZ300364</t>
  </si>
  <si>
    <t>中文在线</t>
  </si>
  <si>
    <t>11.89亿</t>
  </si>
  <si>
    <t>9879.15万</t>
  </si>
  <si>
    <t>5.17亿</t>
  </si>
  <si>
    <t>9.76亿</t>
  </si>
  <si>
    <t>7.05亿</t>
  </si>
  <si>
    <t>8.85亿</t>
  </si>
  <si>
    <t>4892.31万</t>
  </si>
  <si>
    <t>-6.03亿</t>
  </si>
  <si>
    <t>-15.08亿</t>
  </si>
  <si>
    <t>5.29亿</t>
  </si>
  <si>
    <t>3.44亿</t>
  </si>
  <si>
    <t>-1.00亿</t>
  </si>
  <si>
    <t>SZ300413</t>
  </si>
  <si>
    <t>芒果超媒</t>
  </si>
  <si>
    <t>153.56亿</t>
  </si>
  <si>
    <t>21.14亿</t>
  </si>
  <si>
    <t>1.71亿</t>
  </si>
  <si>
    <t>140.06亿</t>
  </si>
  <si>
    <t>125.01亿</t>
  </si>
  <si>
    <t>96.61亿</t>
  </si>
  <si>
    <t>19.82亿</t>
  </si>
  <si>
    <t>11.56亿</t>
  </si>
  <si>
    <t>8.66亿</t>
  </si>
  <si>
    <t>4.76亿</t>
  </si>
  <si>
    <t>3.70亿</t>
  </si>
  <si>
    <t>11.80亿</t>
  </si>
  <si>
    <t>19.41亿</t>
  </si>
  <si>
    <t>7.08亿</t>
  </si>
  <si>
    <t>1.45亿</t>
  </si>
  <si>
    <t>18.07亿</t>
  </si>
  <si>
    <t>27.25亿</t>
  </si>
  <si>
    <t>13.96亿</t>
  </si>
  <si>
    <t>2.05亿</t>
  </si>
  <si>
    <t>9.17亿</t>
  </si>
  <si>
    <t>4.95亿</t>
  </si>
  <si>
    <t>4.73亿</t>
  </si>
  <si>
    <t>1.56亿</t>
  </si>
  <si>
    <t>12.21亿</t>
  </si>
  <si>
    <t>2.69亿</t>
  </si>
  <si>
    <t>15.17亿</t>
  </si>
  <si>
    <t>5.14亿</t>
  </si>
  <si>
    <t>2.62亿</t>
  </si>
  <si>
    <t>2.96亿</t>
  </si>
  <si>
    <t>1.61亿</t>
  </si>
  <si>
    <t>SZ300571</t>
  </si>
  <si>
    <t>平治信息</t>
  </si>
  <si>
    <t>25.52亿</t>
  </si>
  <si>
    <t>3.80亿</t>
  </si>
  <si>
    <t>24.08亿</t>
  </si>
  <si>
    <t>17.18亿</t>
  </si>
  <si>
    <t>11.90亿</t>
  </si>
  <si>
    <t>9.10亿</t>
  </si>
  <si>
    <t>2.13亿</t>
  </si>
  <si>
    <t>SZ300612</t>
  </si>
  <si>
    <t>宣亚国际</t>
  </si>
  <si>
    <t>978.54万</t>
  </si>
  <si>
    <t>3.54亿</t>
  </si>
  <si>
    <t>4.67亿</t>
  </si>
  <si>
    <t>-2877.20万</t>
  </si>
  <si>
    <t>1034.99万</t>
  </si>
  <si>
    <t>2106.21万</t>
  </si>
  <si>
    <t>SZ300654</t>
  </si>
  <si>
    <t>世纪天鸿</t>
  </si>
  <si>
    <t>3464.33万</t>
  </si>
  <si>
    <t>2.75亿</t>
  </si>
  <si>
    <t>3326.86万</t>
  </si>
  <si>
    <t>3361.03万</t>
  </si>
  <si>
    <t>3180.69万</t>
  </si>
  <si>
    <t>SZ300770</t>
  </si>
  <si>
    <t>新媒股份</t>
  </si>
  <si>
    <t>9.65亿</t>
  </si>
  <si>
    <t>6.80亿</t>
  </si>
  <si>
    <t>6.43亿</t>
  </si>
  <si>
    <t>5.75亿</t>
  </si>
  <si>
    <t>3.96亿</t>
  </si>
  <si>
    <t>SZ300781</t>
  </si>
  <si>
    <t>因赛集团</t>
  </si>
  <si>
    <t>6.24亿</t>
  </si>
  <si>
    <t>5868.57万</t>
  </si>
  <si>
    <t>3.93亿</t>
  </si>
  <si>
    <t>4.23亿</t>
  </si>
  <si>
    <t>1594.42万</t>
  </si>
  <si>
    <t>5263.35万</t>
  </si>
  <si>
    <t>6567.00万</t>
  </si>
  <si>
    <t>SZ300785</t>
  </si>
  <si>
    <t>值得买</t>
  </si>
  <si>
    <t>14.03亿</t>
  </si>
  <si>
    <t>5.08亿</t>
  </si>
  <si>
    <t>9571.92万</t>
  </si>
  <si>
    <t>SZ300788</t>
  </si>
  <si>
    <t>中信出版</t>
  </si>
  <si>
    <t>19.22亿</t>
  </si>
  <si>
    <t>2.42亿</t>
  </si>
  <si>
    <t>18.92亿</t>
  </si>
  <si>
    <t>16.34亿</t>
  </si>
  <si>
    <t>9.77亿</t>
  </si>
  <si>
    <t>2.07亿</t>
  </si>
  <si>
    <t>1.81亿</t>
  </si>
  <si>
    <t>SZ300805</t>
  </si>
  <si>
    <t>电声股份</t>
  </si>
  <si>
    <t>28.47亿</t>
  </si>
  <si>
    <t>-3430.49万</t>
  </si>
  <si>
    <t>32.91亿</t>
  </si>
  <si>
    <t>26.05亿</t>
  </si>
  <si>
    <t>2.20亿</t>
  </si>
  <si>
    <t>SZ301025</t>
  </si>
  <si>
    <t>读客文化</t>
  </si>
  <si>
    <t>5155.13万</t>
  </si>
  <si>
    <t>5716.67万</t>
  </si>
  <si>
    <t>5181.08万</t>
  </si>
  <si>
    <t>SZ301052</t>
  </si>
  <si>
    <t>果麦文化</t>
  </si>
  <si>
    <t>5672.74万</t>
  </si>
  <si>
    <t>2.43亿</t>
  </si>
  <si>
    <t>4089.15万</t>
  </si>
  <si>
    <t>5190.03万</t>
  </si>
  <si>
    <t>4631.72万</t>
  </si>
  <si>
    <t>2.04亿</t>
  </si>
  <si>
    <t>SZ301102</t>
  </si>
  <si>
    <t>兆讯传媒</t>
  </si>
  <si>
    <t>4.88亿</t>
  </si>
  <si>
    <t>4.36亿</t>
  </si>
  <si>
    <t>2.08亿</t>
  </si>
  <si>
    <t>SZ301171</t>
  </si>
  <si>
    <t>易点天下</t>
  </si>
  <si>
    <t>34.25亿</t>
  </si>
  <si>
    <t>24.78亿</t>
  </si>
  <si>
    <t>24.93亿</t>
  </si>
  <si>
    <t>19.79亿</t>
  </si>
  <si>
    <t>16.19亿</t>
  </si>
  <si>
    <t>SZ301231</t>
  </si>
  <si>
    <t>4.43亿</t>
  </si>
  <si>
    <t>4063.58万</t>
  </si>
  <si>
    <t>4708.87万</t>
  </si>
  <si>
    <t>4605.46万</t>
  </si>
  <si>
    <t>4136.42万</t>
  </si>
  <si>
    <t>5.50亿</t>
  </si>
  <si>
    <t>SH600037</t>
  </si>
  <si>
    <t>歌华有线</t>
  </si>
  <si>
    <t>27.59亿</t>
  </si>
  <si>
    <t>7.61亿</t>
  </si>
  <si>
    <t>2.68亿</t>
  </si>
  <si>
    <t>7.78亿</t>
  </si>
  <si>
    <t>SH600228</t>
  </si>
  <si>
    <t>返利科技</t>
  </si>
  <si>
    <t>SH600229</t>
  </si>
  <si>
    <t>城市传媒</t>
  </si>
  <si>
    <t>21.55亿</t>
  </si>
  <si>
    <t>23.14亿</t>
  </si>
  <si>
    <t>21.70亿</t>
  </si>
  <si>
    <t>3.48亿</t>
  </si>
  <si>
    <t>SH600373</t>
  </si>
  <si>
    <t>中文传媒</t>
  </si>
  <si>
    <t>107.15亿</t>
  </si>
  <si>
    <t>20.43亿</t>
  </si>
  <si>
    <t>22.25亿</t>
  </si>
  <si>
    <t>103.40亿</t>
  </si>
  <si>
    <t>112.58亿</t>
  </si>
  <si>
    <t>115.13亿</t>
  </si>
  <si>
    <t>18.06亿</t>
  </si>
  <si>
    <t>14.52亿</t>
  </si>
  <si>
    <t>12.95亿</t>
  </si>
  <si>
    <t>SH600462</t>
  </si>
  <si>
    <t>-8119.77万</t>
  </si>
  <si>
    <t>24.73亿</t>
  </si>
  <si>
    <t>15.70亿</t>
  </si>
  <si>
    <t>2039.31万</t>
  </si>
  <si>
    <t>-3359.53万</t>
  </si>
  <si>
    <t>-2.71亿</t>
  </si>
  <si>
    <t>SH600551</t>
  </si>
  <si>
    <t>时代出版</t>
  </si>
  <si>
    <t>78.94亿</t>
  </si>
  <si>
    <t>3.59亿</t>
  </si>
  <si>
    <t>64.52亿</t>
  </si>
  <si>
    <t>64.91亿</t>
  </si>
  <si>
    <t>64.37亿</t>
  </si>
  <si>
    <t>SH600556</t>
  </si>
  <si>
    <t>45.12亿</t>
  </si>
  <si>
    <t>30.60亿</t>
  </si>
  <si>
    <t>19.77亿</t>
  </si>
  <si>
    <t>12.10亿</t>
  </si>
  <si>
    <t>2.95亿</t>
  </si>
  <si>
    <t>1.94亿</t>
  </si>
  <si>
    <t>SH600637</t>
  </si>
  <si>
    <t>东方明珠</t>
  </si>
  <si>
    <t>90.69亿</t>
  </si>
  <si>
    <t>18.60亿</t>
  </si>
  <si>
    <t>100.33亿</t>
  </si>
  <si>
    <t>123.65亿</t>
  </si>
  <si>
    <t>136.34亿</t>
  </si>
  <si>
    <t>20.20亿</t>
  </si>
  <si>
    <t>20.15亿</t>
  </si>
  <si>
    <t>3.09亿</t>
  </si>
  <si>
    <t>SH600640</t>
  </si>
  <si>
    <t>46.11亿</t>
  </si>
  <si>
    <t>-3.58亿</t>
  </si>
  <si>
    <t>44.49亿</t>
  </si>
  <si>
    <t>41.78亿</t>
  </si>
  <si>
    <t>45.47亿</t>
  </si>
  <si>
    <t>1031.27万</t>
  </si>
  <si>
    <t>8.62亿</t>
  </si>
  <si>
    <t>19.78亿</t>
  </si>
  <si>
    <t>19.03亿</t>
  </si>
  <si>
    <t>3.56亿</t>
  </si>
  <si>
    <t>SH600757</t>
  </si>
  <si>
    <t>长江传媒</t>
  </si>
  <si>
    <t>60.23亿</t>
  </si>
  <si>
    <t>6.97亿</t>
  </si>
  <si>
    <t>66.75亿</t>
  </si>
  <si>
    <t>76.72亿</t>
  </si>
  <si>
    <t>103.63亿</t>
  </si>
  <si>
    <t>8.17亿</t>
  </si>
  <si>
    <t>7.82亿</t>
  </si>
  <si>
    <t>16.67亿</t>
  </si>
  <si>
    <t>SH600825</t>
  </si>
  <si>
    <t>新华传媒</t>
  </si>
  <si>
    <t>12.84亿</t>
  </si>
  <si>
    <t>3340.91万</t>
  </si>
  <si>
    <t>12.93亿</t>
  </si>
  <si>
    <t>13.47亿</t>
  </si>
  <si>
    <t>13.91亿</t>
  </si>
  <si>
    <t>-2.91亿</t>
  </si>
  <si>
    <t>2057.71万</t>
  </si>
  <si>
    <t>3165.58万</t>
  </si>
  <si>
    <t>SH600831</t>
  </si>
  <si>
    <t>广电网络</t>
  </si>
  <si>
    <t>30.05亿</t>
  </si>
  <si>
    <t>6387.12万</t>
  </si>
  <si>
    <t>14.14亿</t>
  </si>
  <si>
    <t>26.30亿</t>
  </si>
  <si>
    <t>27.14亿</t>
  </si>
  <si>
    <t>6100.29万</t>
  </si>
  <si>
    <t>-9998.03万</t>
  </si>
  <si>
    <t>SH600936</t>
  </si>
  <si>
    <t>广西广电</t>
  </si>
  <si>
    <t>-3.50亿</t>
  </si>
  <si>
    <t>22.30亿</t>
  </si>
  <si>
    <t>24.31亿</t>
  </si>
  <si>
    <t>27.09亿</t>
  </si>
  <si>
    <t>-1.43亿</t>
  </si>
  <si>
    <t>SH600959</t>
  </si>
  <si>
    <t>74.59亿</t>
  </si>
  <si>
    <t>73.45亿</t>
  </si>
  <si>
    <t>76.50亿</t>
  </si>
  <si>
    <t>78.85亿</t>
  </si>
  <si>
    <t>SH600986</t>
  </si>
  <si>
    <t>浙文互联</t>
  </si>
  <si>
    <t>142.94亿</t>
  </si>
  <si>
    <t>1.70亿</t>
  </si>
  <si>
    <t>188.83亿</t>
  </si>
  <si>
    <t>142.09亿</t>
  </si>
  <si>
    <t>9435.96万</t>
  </si>
  <si>
    <t>-25.09亿</t>
  </si>
  <si>
    <t>SH600996</t>
  </si>
  <si>
    <t>贵广网络</t>
  </si>
  <si>
    <t>-4.45亿</t>
  </si>
  <si>
    <t>34.73亿</t>
  </si>
  <si>
    <t>34.18亿</t>
  </si>
  <si>
    <t>32.31亿</t>
  </si>
  <si>
    <t>-5542.09万</t>
  </si>
  <si>
    <t>4.42亿</t>
  </si>
  <si>
    <t>-3.62亿</t>
  </si>
  <si>
    <t>SH601019</t>
  </si>
  <si>
    <t>山东出版</t>
  </si>
  <si>
    <t>108.91亿</t>
  </si>
  <si>
    <t>15.33亿</t>
  </si>
  <si>
    <t>97.50亿</t>
  </si>
  <si>
    <t>97.67亿</t>
  </si>
  <si>
    <t>93.51亿</t>
  </si>
  <si>
    <t>14.02亿</t>
  </si>
  <si>
    <t>15.44亿</t>
  </si>
  <si>
    <t>14.85亿</t>
  </si>
  <si>
    <t>SH601098</t>
  </si>
  <si>
    <t>中南传媒</t>
  </si>
  <si>
    <t>113.31亿</t>
  </si>
  <si>
    <t>104.73亿</t>
  </si>
  <si>
    <t>102.61亿</t>
  </si>
  <si>
    <t>95.76亿</t>
  </si>
  <si>
    <t>14.37亿</t>
  </si>
  <si>
    <t>12.76亿</t>
  </si>
  <si>
    <t>12.38亿</t>
  </si>
  <si>
    <t>15.13亿</t>
  </si>
  <si>
    <t>6.14亿</t>
  </si>
  <si>
    <t>SH601801</t>
  </si>
  <si>
    <t>皖新传媒</t>
  </si>
  <si>
    <t>88.33亿</t>
  </si>
  <si>
    <t>98.32亿</t>
  </si>
  <si>
    <t>10.87亿</t>
  </si>
  <si>
    <t>SH601811</t>
  </si>
  <si>
    <t>新华文轩</t>
  </si>
  <si>
    <t>104.60亿</t>
  </si>
  <si>
    <t>13.06亿</t>
  </si>
  <si>
    <t>90.08亿</t>
  </si>
  <si>
    <t>88.42亿</t>
  </si>
  <si>
    <t>81.87亿</t>
  </si>
  <si>
    <t>12.63亿</t>
  </si>
  <si>
    <t>11.39亿</t>
  </si>
  <si>
    <t>SH601858</t>
  </si>
  <si>
    <t>中国科传</t>
  </si>
  <si>
    <t>25.24亿</t>
  </si>
  <si>
    <t>25.08亿</t>
  </si>
  <si>
    <t>4.65亿</t>
  </si>
  <si>
    <t>3.71亿</t>
  </si>
  <si>
    <t>SH601900</t>
  </si>
  <si>
    <t>南方传媒</t>
  </si>
  <si>
    <t>3.36亿</t>
  </si>
  <si>
    <t>68.97亿</t>
  </si>
  <si>
    <t>65.25亿</t>
  </si>
  <si>
    <t>55.97亿</t>
  </si>
  <si>
    <t>2.74亿</t>
  </si>
  <si>
    <t>SH601921</t>
  </si>
  <si>
    <t>浙版传媒</t>
  </si>
  <si>
    <t>113.95亿</t>
  </si>
  <si>
    <t>13.17亿</t>
  </si>
  <si>
    <t>98.08亿</t>
  </si>
  <si>
    <t>101.83亿</t>
  </si>
  <si>
    <t>98.61亿</t>
  </si>
  <si>
    <t>11.49亿</t>
  </si>
  <si>
    <t>11.03亿</t>
  </si>
  <si>
    <t>10.48亿</t>
  </si>
  <si>
    <t>SH601928</t>
  </si>
  <si>
    <t>凤凰传媒</t>
  </si>
  <si>
    <t>125.17亿</t>
  </si>
  <si>
    <t>24.57亿</t>
  </si>
  <si>
    <t>121.35亿</t>
  </si>
  <si>
    <t>125.85亿</t>
  </si>
  <si>
    <t>117.89亿</t>
  </si>
  <si>
    <t>15.96亿</t>
  </si>
  <si>
    <t>13.44亿</t>
  </si>
  <si>
    <t>13.25亿</t>
  </si>
  <si>
    <t>4.75亿</t>
  </si>
  <si>
    <t>SH601929</t>
  </si>
  <si>
    <t>吉视传媒</t>
  </si>
  <si>
    <t>20.80亿</t>
  </si>
  <si>
    <t>2655.01万</t>
  </si>
  <si>
    <t>19.71亿</t>
  </si>
  <si>
    <t>19.28亿</t>
  </si>
  <si>
    <t>20.12亿</t>
  </si>
  <si>
    <t>20.47亿</t>
  </si>
  <si>
    <t>6482.08万</t>
  </si>
  <si>
    <t>3.04亿</t>
  </si>
  <si>
    <t>SH601949</t>
  </si>
  <si>
    <t>中国出版</t>
  </si>
  <si>
    <t>59.59亿</t>
  </si>
  <si>
    <t>63.97亿</t>
  </si>
  <si>
    <t>53.35亿</t>
  </si>
  <si>
    <t>7.03亿</t>
  </si>
  <si>
    <t>SH601999</t>
  </si>
  <si>
    <t>28.69亿</t>
  </si>
  <si>
    <t>25.42亿</t>
  </si>
  <si>
    <t>27.11亿</t>
  </si>
  <si>
    <t>SH603000</t>
  </si>
  <si>
    <t>人民网</t>
  </si>
  <si>
    <t>12.05亿</t>
  </si>
  <si>
    <t>1.46亿</t>
  </si>
  <si>
    <t>21.00亿</t>
  </si>
  <si>
    <t>21.50亿</t>
  </si>
  <si>
    <t>16.94亿</t>
  </si>
  <si>
    <t>3.37亿</t>
  </si>
  <si>
    <t>SH603096</t>
  </si>
  <si>
    <t>新经典</t>
  </si>
  <si>
    <t>9.22亿</t>
  </si>
  <si>
    <t>8.76亿</t>
  </si>
  <si>
    <t>SH603230</t>
  </si>
  <si>
    <t>内蒙新华</t>
  </si>
  <si>
    <t>15.92亿</t>
  </si>
  <si>
    <t>2.29亿</t>
  </si>
  <si>
    <t>12.70亿</t>
  </si>
  <si>
    <t>SH603466</t>
  </si>
  <si>
    <t>风语筑</t>
  </si>
  <si>
    <t>29.40亿</t>
  </si>
  <si>
    <t>4.39亿</t>
  </si>
  <si>
    <t>22.56亿</t>
  </si>
  <si>
    <t>20.30亿</t>
  </si>
  <si>
    <t>17.08亿</t>
  </si>
  <si>
    <t>14.99亿</t>
  </si>
  <si>
    <t>SH603533</t>
  </si>
  <si>
    <t>掌阅科技</t>
  </si>
  <si>
    <t>20.71亿</t>
  </si>
  <si>
    <t>20.61亿</t>
  </si>
  <si>
    <t>18.82亿</t>
  </si>
  <si>
    <t>SH603598</t>
  </si>
  <si>
    <t>引力传媒</t>
  </si>
  <si>
    <t>54.97亿</t>
  </si>
  <si>
    <t>55.96亿</t>
  </si>
  <si>
    <t>30.00亿</t>
  </si>
  <si>
    <t>31.47亿</t>
  </si>
  <si>
    <t>25.82亿</t>
  </si>
  <si>
    <t>-2.11亿</t>
  </si>
  <si>
    <t>5662.85万</t>
  </si>
  <si>
    <t>SH603729</t>
  </si>
  <si>
    <t>龙韵股份</t>
  </si>
  <si>
    <t>-6302.00万</t>
  </si>
  <si>
    <t>6.21亿</t>
  </si>
  <si>
    <t>11.95亿</t>
  </si>
  <si>
    <t>-2163.10万</t>
  </si>
  <si>
    <t>-5873.88万</t>
  </si>
  <si>
    <t>2287.92万</t>
  </si>
  <si>
    <t>SH603825</t>
  </si>
  <si>
    <t>华扬联众</t>
  </si>
  <si>
    <t>132.14亿</t>
  </si>
  <si>
    <t>91.44亿</t>
  </si>
  <si>
    <t>105.07亿</t>
  </si>
  <si>
    <t>107.48亿</t>
  </si>
  <si>
    <t>SH603888</t>
  </si>
  <si>
    <t>新华网</t>
  </si>
  <si>
    <t>17.24亿</t>
  </si>
  <si>
    <t>14.33亿</t>
  </si>
  <si>
    <t>15.69亿</t>
  </si>
  <si>
    <t>SH603999</t>
  </si>
  <si>
    <t>读者传媒</t>
  </si>
  <si>
    <t>12.22亿</t>
  </si>
  <si>
    <t>8505.60万</t>
  </si>
  <si>
    <t>4.51亿</t>
  </si>
  <si>
    <t>10.84亿</t>
  </si>
  <si>
    <t>9.72亿</t>
  </si>
  <si>
    <t>7443.52万</t>
  </si>
  <si>
    <t>6464.92万</t>
  </si>
  <si>
    <t>4247.25万</t>
  </si>
  <si>
    <t>SH605168</t>
  </si>
  <si>
    <t>三人行</t>
  </si>
  <si>
    <t>35.71亿</t>
  </si>
  <si>
    <t>28.08亿</t>
  </si>
  <si>
    <t>16.31亿</t>
  </si>
  <si>
    <t>11.00亿</t>
  </si>
  <si>
    <t>SH605577</t>
  </si>
  <si>
    <t>17.91亿</t>
  </si>
  <si>
    <t>14.04亿</t>
  </si>
  <si>
    <t>3.06亿</t>
  </si>
  <si>
    <t>SZ300987</t>
  </si>
  <si>
    <t>川网传媒</t>
  </si>
  <si>
    <t>8261.04万</t>
  </si>
  <si>
    <t>6010.02万</t>
  </si>
  <si>
    <t>7634.96万</t>
  </si>
  <si>
    <t>6570.75万</t>
  </si>
  <si>
    <t>SH600358</t>
  </si>
  <si>
    <t>国旅联合</t>
  </si>
  <si>
    <t>8.24亿</t>
  </si>
  <si>
    <t>2526.60万</t>
  </si>
  <si>
    <t>1449.45万</t>
  </si>
  <si>
    <t>-8359.06万</t>
  </si>
  <si>
    <t>国脉文化</t>
  </si>
  <si>
    <t>预期多</t>
    <phoneticPr fontId="1" type="noConversion"/>
  </si>
  <si>
    <t>预期空</t>
    <phoneticPr fontId="1" type="noConversion"/>
  </si>
  <si>
    <t>已知和基本信息</t>
    <phoneticPr fontId="1" type="noConversion"/>
  </si>
  <si>
    <t>1.现代广告服务业行业具有高度离散性特点，市场进入门槛不高，尤其是互联网广告领域不断涌现新技
术、新产品。如果未来市场竞争进一步加剧，将影响公司提升收入和利润水平、提高市场占有率的能力，给公司带来发展压力</t>
    <phoneticPr fontId="1" type="noConversion"/>
  </si>
  <si>
    <t>（GMV到利润的货币转化率小于1%）比南极人差</t>
    <phoneticPr fontId="1" type="noConversion"/>
  </si>
  <si>
    <t>1.财务数据没有明显变化，但交易量开始明显增加，有估值回归的迹象；2. 期待儿童类图书有营收增加；3.预计今年能和去年持平，因为三季度减少是因为去年的同样的政府补贴的3000万还没到账；</t>
    <phoneticPr fontId="1" type="noConversion"/>
  </si>
  <si>
    <t>1.大股东减持，时间截止2021/1/6，但是目前减持比例还很小。计划最多3%，目前只完成了0.16%;</t>
    <phoneticPr fontId="1" type="noConversion"/>
  </si>
  <si>
    <t>1.次新股，持续稳定性有待观察；2.大客户过于集中，伊利集团，中移动，电信;</t>
    <phoneticPr fontId="1" type="noConversion"/>
  </si>
  <si>
    <t>SZ301313</t>
  </si>
  <si>
    <t>凡拓数创</t>
  </si>
  <si>
    <t>7049.21万</t>
  </si>
  <si>
    <t>6543.07万</t>
  </si>
  <si>
    <t>5297.59万</t>
  </si>
  <si>
    <t>3593.15万</t>
  </si>
  <si>
    <t>荣信文化</t>
  </si>
  <si>
    <t>3.02亿</t>
  </si>
  <si>
    <t>13.77亿</t>
  </si>
  <si>
    <t>7.93亿</t>
  </si>
  <si>
    <t>3-0</t>
  </si>
  <si>
    <t>遥望科技</t>
  </si>
  <si>
    <t>8.52亿</t>
  </si>
  <si>
    <t>5.42亿</t>
  </si>
  <si>
    <t>8.00亿</t>
  </si>
  <si>
    <t>-2.00亿</t>
  </si>
  <si>
    <t>2.03亿</t>
  </si>
  <si>
    <t>6.09亿</t>
  </si>
  <si>
    <t>2000.00万</t>
  </si>
  <si>
    <t>SZ301299</t>
  </si>
  <si>
    <t>卓创资讯</t>
  </si>
  <si>
    <t>5000.98万</t>
  </si>
  <si>
    <t>5185.87万</t>
  </si>
  <si>
    <t>5875.75万</t>
  </si>
  <si>
    <t>4506.36万</t>
  </si>
  <si>
    <t>22.74亿</t>
  </si>
  <si>
    <t>67.05亿</t>
  </si>
  <si>
    <t>56.53亿</t>
  </si>
  <si>
    <t>10.25亿</t>
  </si>
  <si>
    <t>不分配不转增</t>
  </si>
  <si>
    <t>10派0.2元(含税)</t>
  </si>
  <si>
    <t>10派1元(含税)</t>
  </si>
  <si>
    <t>10派2元(含税)</t>
  </si>
  <si>
    <t>10派0.1元(含税)</t>
  </si>
  <si>
    <t>10派1.1元(含税)</t>
  </si>
  <si>
    <t>10派0.8元(含税)</t>
  </si>
  <si>
    <t>10派0.4元(含税)</t>
  </si>
  <si>
    <t>10派5元(含税)</t>
  </si>
  <si>
    <t>1.河马游戏与穿山甲联盟合作，作为站外流量入口获得广告收入分成</t>
    <phoneticPr fontId="1" type="noConversion"/>
  </si>
  <si>
    <t>1.围绕VR/AR内容及数字虚拟人等相关技术研发与应用,公司早在2019年就与国内高校方面合作建了国内第一批联合实验室及虚拟演播厅,并以此为基础进行了多个方向的创新尝试,包括智能影像视觉、光场技术、AR/VR、5G全息等。我们相信,未来VR内容和现有内容之间,快速融合转化的可能性正持续增加,公司内部已安排专门团队专注研发。</t>
    <phoneticPr fontId="1" type="noConversion"/>
  </si>
  <si>
    <t>2-0</t>
  </si>
  <si>
    <t>2-1</t>
  </si>
  <si>
    <t>3-1</t>
  </si>
  <si>
    <t>12.28亿</t>
  </si>
  <si>
    <t>14.29亿</t>
  </si>
  <si>
    <r>
      <t xml:space="preserve">1. 三季度继续营收66.4%，利润122%的稳定增长说明市场对它的认可；2. </t>
    </r>
    <r>
      <rPr>
        <sz val="9"/>
        <color rgb="FFFF0000"/>
        <rFont val="宋体"/>
        <family val="3"/>
        <charset val="134"/>
        <scheme val="minor"/>
      </rPr>
      <t>股权激励：2020 年公司净利润不低于 3.50 亿元，2021 年公司净利润不低于 5.00 亿元，2022 年公司净利润不低于 7.00 亿</t>
    </r>
    <r>
      <rPr>
        <sz val="9"/>
        <color theme="1"/>
        <rFont val="宋体"/>
        <family val="3"/>
        <charset val="134"/>
        <scheme val="minor"/>
      </rPr>
      <t xml:space="preserve">元
</t>
    </r>
    <phoneticPr fontId="1" type="noConversion"/>
  </si>
  <si>
    <t>93.86亿</t>
  </si>
  <si>
    <t>10派2.2元(含税)</t>
  </si>
  <si>
    <t>21.76亿</t>
  </si>
  <si>
    <t>-5.95亿</t>
  </si>
  <si>
    <t>56.82亿</t>
  </si>
  <si>
    <t>107.16亿</t>
  </si>
  <si>
    <t>6.98亿</t>
  </si>
  <si>
    <t>96.29亿</t>
  </si>
  <si>
    <t>24.42亿</t>
  </si>
  <si>
    <t>-6.83亿</t>
  </si>
  <si>
    <t>19.30亿</t>
  </si>
  <si>
    <t>63.21亿</t>
  </si>
  <si>
    <t>37.26亿</t>
  </si>
  <si>
    <t>12.91亿</t>
  </si>
  <si>
    <t>94.25亿</t>
  </si>
  <si>
    <t>27.90亿</t>
  </si>
  <si>
    <t>4.40亿</t>
  </si>
  <si>
    <t>2270.64万</t>
  </si>
  <si>
    <t>10派0.5元(含税)</t>
  </si>
  <si>
    <t>4-0</t>
  </si>
  <si>
    <t>4434.69万</t>
  </si>
  <si>
    <t>10派0.27元(含税)</t>
  </si>
  <si>
    <t>0133040700</t>
  </si>
  <si>
    <t>0266081400</t>
  </si>
  <si>
    <t>0443469000</t>
  </si>
  <si>
    <t>0886938000</t>
  </si>
  <si>
    <t>-1.72亿</t>
  </si>
  <si>
    <t>4.66亿</t>
  </si>
  <si>
    <t>146.00亿</t>
  </si>
  <si>
    <t>3.58亿</t>
  </si>
  <si>
    <t>9.31亿</t>
  </si>
  <si>
    <t>5.11亿</t>
  </si>
  <si>
    <t>9.05亿</t>
  </si>
  <si>
    <t>10派4.5元(含税)</t>
  </si>
  <si>
    <t>6.91亿</t>
  </si>
  <si>
    <t>3.53亿</t>
  </si>
  <si>
    <t>41.86亿</t>
  </si>
  <si>
    <t>-4.09亿</t>
  </si>
  <si>
    <t>32.90亿</t>
  </si>
  <si>
    <t>30.45亿</t>
  </si>
  <si>
    <t>9.69亿</t>
  </si>
  <si>
    <t>12.56亿</t>
  </si>
  <si>
    <t>10派0.3元(含税)</t>
  </si>
  <si>
    <t>2.27亿</t>
  </si>
  <si>
    <t>366.83亿</t>
  </si>
  <si>
    <t>-21.75亿</t>
  </si>
  <si>
    <t>96.33亿</t>
  </si>
  <si>
    <t>5.65亿</t>
  </si>
  <si>
    <t>12.14亿</t>
  </si>
  <si>
    <t>17.46亿</t>
  </si>
  <si>
    <t>16.33亿</t>
  </si>
  <si>
    <t>16.58亿</t>
  </si>
  <si>
    <t>35.56亿</t>
  </si>
  <si>
    <t>11.08亿</t>
  </si>
  <si>
    <t>5347.76万</t>
  </si>
  <si>
    <t>8489.45万</t>
  </si>
  <si>
    <t>18.01亿</t>
  </si>
  <si>
    <t>21.75亿</t>
  </si>
  <si>
    <t>-1.48亿</t>
  </si>
  <si>
    <t>6232.08万</t>
  </si>
  <si>
    <t>6736.13万</t>
  </si>
  <si>
    <t>4080.34万</t>
  </si>
  <si>
    <t>2341.33万</t>
  </si>
  <si>
    <t>6803.46万</t>
  </si>
  <si>
    <t>25.54亿</t>
  </si>
  <si>
    <t>102.36亿</t>
  </si>
  <si>
    <t>76.46亿</t>
  </si>
  <si>
    <t>41.29亿</t>
  </si>
  <si>
    <t>35.11亿</t>
  </si>
  <si>
    <t>7.29亿</t>
  </si>
  <si>
    <t>12.59亿</t>
  </si>
  <si>
    <t>878.02万</t>
  </si>
  <si>
    <t>29.99亿</t>
  </si>
  <si>
    <t>16.81亿</t>
  </si>
  <si>
    <t>-10.37亿</t>
  </si>
  <si>
    <t>75.06亿</t>
  </si>
  <si>
    <t>147.37亿</t>
  </si>
  <si>
    <t>37.24亿</t>
  </si>
  <si>
    <t>10派3.9元(含税)</t>
  </si>
  <si>
    <t>124.65亿</t>
  </si>
  <si>
    <t>116.87亿</t>
  </si>
  <si>
    <t>109.30亿</t>
  </si>
  <si>
    <t>13.97亿</t>
  </si>
  <si>
    <t>84.96亿</t>
  </si>
  <si>
    <t>117.85亿</t>
  </si>
  <si>
    <t>135.96亿</t>
  </si>
  <si>
    <t>20.82亿</t>
  </si>
  <si>
    <t>18.13亿</t>
  </si>
  <si>
    <t>26.11亿</t>
  </si>
  <si>
    <t>9.38亿</t>
  </si>
  <si>
    <t>16.82亿</t>
  </si>
  <si>
    <t>6604.40万</t>
  </si>
  <si>
    <t>2.86亿</t>
  </si>
  <si>
    <t>5757.72万</t>
  </si>
  <si>
    <t>43.33亿</t>
  </si>
  <si>
    <t>4.14亿</t>
  </si>
  <si>
    <t>85.04亿</t>
  </si>
  <si>
    <t>-6.47亿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</si>
  <si>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</si>
  <si>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</si>
  <si>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</si>
  <si>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</si>
  <si>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</si>
  <si>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</si>
  <si>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</si>
  <si>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</si>
  <si>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</si>
  <si>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</si>
  <si>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</si>
  <si>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</si>
  <si>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</si>
  <si>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</si>
  <si>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</si>
  <si>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</si>
  <si>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</si>
  <si>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</si>
  <si>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</si>
  <si>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</si>
  <si>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</si>
  <si>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</si>
  <si>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</si>
  <si>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</si>
  <si>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</si>
  <si>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</si>
  <si>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</si>
  <si>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</si>
  <si>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</si>
  <si>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</si>
  <si>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</si>
  <si>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</si>
  <si>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</si>
  <si>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</si>
  <si>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</si>
  <si>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</si>
  <si>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</si>
  <si>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</si>
  <si>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</si>
  <si>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</si>
  <si>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</si>
  <si>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</si>
  <si>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</si>
  <si>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</si>
  <si>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</si>
  <si>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</si>
  <si>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</si>
  <si>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</si>
  <si>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</si>
  <si>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</si>
  <si>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</si>
  <si>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</si>
  <si>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</si>
  <si>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</si>
  <si>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</si>
  <si>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</si>
  <si>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</si>
  <si>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</si>
  <si>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</si>
  <si>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</si>
  <si>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</si>
  <si>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</si>
  <si>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</si>
  <si>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</si>
  <si>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</si>
  <si>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</si>
  <si>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</si>
  <si>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</si>
  <si>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</si>
  <si>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</si>
  <si>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</si>
  <si>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</si>
  <si>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</si>
  <si>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</si>
  <si>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</si>
  <si>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</si>
  <si>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</si>
  <si>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</si>
  <si>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</si>
  <si>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</si>
  <si>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</si>
  <si>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</si>
  <si>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</si>
  <si>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</si>
  <si>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</si>
  <si>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</si>
  <si>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</si>
  <si>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</si>
  <si>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</si>
  <si>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13.72亿</t>
  </si>
  <si>
    <t>5.97亿</t>
  </si>
  <si>
    <t>9.73亿</t>
  </si>
  <si>
    <t>1.62亿</t>
  </si>
  <si>
    <t>19.81亿</t>
  </si>
  <si>
    <t>8.73亿</t>
  </si>
  <si>
    <t>39.01亿</t>
  </si>
  <si>
    <t>9.00亿</t>
  </si>
  <si>
    <t>5-1</t>
  </si>
  <si>
    <t>4-1</t>
  </si>
  <si>
    <t>1.60亿</t>
  </si>
  <si>
    <t>2.23亿</t>
  </si>
  <si>
    <t>10.51亿</t>
  </si>
  <si>
    <t>7.62亿</t>
  </si>
  <si>
    <t>-1.28亿</t>
  </si>
  <si>
    <t>61.41亿</t>
  </si>
  <si>
    <t>2.24亿</t>
  </si>
  <si>
    <t>3.32亿</t>
  </si>
  <si>
    <t>4.55亿</t>
  </si>
  <si>
    <t>-2-1</t>
  </si>
  <si>
    <t>3.47亿</t>
  </si>
  <si>
    <t>23.77亿</t>
  </si>
  <si>
    <t>3.40亿</t>
  </si>
  <si>
    <t>4.91亿</t>
  </si>
  <si>
    <t>9.63亿</t>
  </si>
  <si>
    <t>6.49亿</t>
  </si>
  <si>
    <t>15.36亿</t>
  </si>
  <si>
    <t>-1.85亿</t>
  </si>
  <si>
    <t>9.55亿</t>
  </si>
  <si>
    <t>132.50万</t>
  </si>
  <si>
    <t>2222.38万</t>
  </si>
  <si>
    <t>044346900</t>
  </si>
  <si>
    <t>6.22亿</t>
  </si>
  <si>
    <t>10.28亿</t>
  </si>
  <si>
    <t>4.04亿</t>
  </si>
  <si>
    <t>4.13亿</t>
  </si>
  <si>
    <t>8.29亿</t>
  </si>
  <si>
    <t>5.23亿</t>
  </si>
  <si>
    <t>7.72亿</t>
  </si>
  <si>
    <t>12.17亿</t>
  </si>
  <si>
    <t>-1.82亿</t>
  </si>
  <si>
    <t>11.21亿</t>
  </si>
  <si>
    <t>12.01亿</t>
  </si>
  <si>
    <t>SZ301262</t>
  </si>
  <si>
    <t>海看股份</t>
  </si>
  <si>
    <t>10.21亿</t>
  </si>
  <si>
    <t>9.35亿</t>
  </si>
  <si>
    <t>6.95亿</t>
  </si>
  <si>
    <t>20.88亿</t>
  </si>
  <si>
    <t>34.33亿</t>
  </si>
  <si>
    <t>-1.73亿</t>
  </si>
  <si>
    <t>12.68亿</t>
  </si>
  <si>
    <t>8.02亿</t>
  </si>
  <si>
    <t>17.94亿</t>
  </si>
  <si>
    <t>10.00亿</t>
  </si>
  <si>
    <t>8.64亿</t>
  </si>
  <si>
    <t>10.91亿</t>
  </si>
  <si>
    <t>5.10亿</t>
  </si>
  <si>
    <t>11.85亿</t>
  </si>
  <si>
    <t>5.18亿</t>
  </si>
  <si>
    <t>11.44亿</t>
  </si>
  <si>
    <t>6.88亿</t>
  </si>
  <si>
    <t>10.76亿</t>
  </si>
  <si>
    <t>202.78万</t>
  </si>
  <si>
    <t>8.16亿</t>
  </si>
  <si>
    <t>8.71亿</t>
  </si>
  <si>
    <t>1.新华通讯社是实控人；</t>
    <phoneticPr fontId="1" type="noConversion"/>
  </si>
  <si>
    <t>1.推动“党管媒体”拓展到“党管数据”2017年以来，我国陆续颁布《网络安全法》《数据安全法》《个人信息保护法》，数据行业治理的法制体系基本形成。2.人民日报社是实控人；</t>
    <phoneticPr fontId="1" type="noConversion"/>
  </si>
  <si>
    <t>150.49亿</t>
  </si>
  <si>
    <t>-1.12亿</t>
  </si>
  <si>
    <t>14.70亿</t>
  </si>
  <si>
    <t>35.38亿</t>
  </si>
  <si>
    <t>5.06亿</t>
  </si>
  <si>
    <t>58.23亿</t>
  </si>
  <si>
    <t>42.02亿</t>
  </si>
  <si>
    <t>7.30亿</t>
  </si>
  <si>
    <t>6.60亿</t>
  </si>
  <si>
    <t>23.08亿</t>
  </si>
  <si>
    <t>5.86亿</t>
  </si>
  <si>
    <t>14.50亿</t>
  </si>
  <si>
    <t>3.42亿</t>
  </si>
  <si>
    <t>30.86亿</t>
  </si>
  <si>
    <t>-14.68亿</t>
  </si>
  <si>
    <t>8757.93万</t>
  </si>
  <si>
    <t>28.44亿</t>
  </si>
  <si>
    <t>-2.82亿</t>
  </si>
  <si>
    <t>8.50亿</t>
  </si>
  <si>
    <t>17.76亿</t>
  </si>
  <si>
    <t>29.92亿</t>
  </si>
  <si>
    <t>60.63亿</t>
  </si>
  <si>
    <t>40.04亿</t>
  </si>
  <si>
    <t>18.75亿</t>
  </si>
  <si>
    <t>5.13亿</t>
  </si>
  <si>
    <t>7.37亿</t>
  </si>
  <si>
    <t>4.82亿</t>
  </si>
  <si>
    <t>3.28亿</t>
  </si>
  <si>
    <t>19.19亿</t>
  </si>
  <si>
    <t>6.28亿</t>
  </si>
  <si>
    <t>44.64亿</t>
  </si>
  <si>
    <t>5489.39万</t>
  </si>
  <si>
    <t>8118.74万</t>
  </si>
  <si>
    <t>70733879亿</t>
  </si>
  <si>
    <t>325.04万</t>
  </si>
  <si>
    <t>8671236亿</t>
  </si>
  <si>
    <t>118624285亿</t>
  </si>
  <si>
    <t>50.02万</t>
  </si>
  <si>
    <t>1044356140亿</t>
  </si>
  <si>
    <t>1113.74万</t>
  </si>
  <si>
    <t>8081.99万</t>
  </si>
  <si>
    <t>367.39万</t>
  </si>
  <si>
    <t>5.44亿</t>
  </si>
  <si>
    <t>-5981.94万</t>
  </si>
  <si>
    <t>-6931.17万</t>
  </si>
  <si>
    <t>-3597.41万</t>
  </si>
  <si>
    <t>669.28万</t>
  </si>
  <si>
    <t>2718.76万</t>
  </si>
  <si>
    <t>-4.50亿</t>
  </si>
  <si>
    <t>-16.30亿</t>
  </si>
  <si>
    <t>13.00亿</t>
  </si>
  <si>
    <t>13.31亿</t>
  </si>
  <si>
    <t>-2.84亿</t>
  </si>
  <si>
    <t>-1.93亿</t>
  </si>
  <si>
    <t>31.01亿</t>
  </si>
  <si>
    <t>4272.07万</t>
  </si>
  <si>
    <t>-11.98亿</t>
  </si>
  <si>
    <t>-71.51亿</t>
  </si>
  <si>
    <t>10.16亿</t>
  </si>
  <si>
    <t>19.69亿</t>
  </si>
  <si>
    <t>3.98亿</t>
  </si>
  <si>
    <t>-9.32亿</t>
  </si>
  <si>
    <t>5.16亿</t>
  </si>
  <si>
    <t>4.87亿</t>
  </si>
  <si>
    <t>12.26亿</t>
  </si>
  <si>
    <t>22.57亿</t>
  </si>
  <si>
    <t>-6.45亿</t>
  </si>
  <si>
    <t>15.73亿</t>
  </si>
  <si>
    <t>6.64亿</t>
  </si>
  <si>
    <t>7.50亿</t>
  </si>
  <si>
    <t>7.56亿</t>
  </si>
  <si>
    <t>12.41亿</t>
  </si>
  <si>
    <t>-2.20亿</t>
  </si>
  <si>
    <t>16.01亿</t>
  </si>
  <si>
    <t>4.53亿</t>
  </si>
  <si>
    <t>13.03亿</t>
  </si>
  <si>
    <t>9.45亿</t>
  </si>
  <si>
    <t>17.75亿</t>
  </si>
  <si>
    <t>3.83亿</t>
  </si>
  <si>
    <t>18.41亿</t>
  </si>
  <si>
    <t>-1.57亿</t>
  </si>
  <si>
    <t>19.47亿</t>
  </si>
  <si>
    <t>14.66亿</t>
  </si>
  <si>
    <t>18.72亿</t>
  </si>
  <si>
    <t>4.49亿</t>
  </si>
  <si>
    <t>1.96亿</t>
  </si>
  <si>
    <t>2.50亿</t>
  </si>
  <si>
    <t>13.59亿</t>
  </si>
  <si>
    <t>6.89亿</t>
  </si>
  <si>
    <t>3.90亿</t>
  </si>
  <si>
    <t>9.40亿</t>
  </si>
  <si>
    <t>21.43亿</t>
  </si>
  <si>
    <t>6.05亿</t>
  </si>
  <si>
    <t>6.85亿</t>
  </si>
  <si>
    <t>3.11亿</t>
  </si>
  <si>
    <t>13.90亿</t>
  </si>
  <si>
    <t>19.06亿</t>
  </si>
  <si>
    <t>-1.60亿</t>
  </si>
  <si>
    <t>10.83亿</t>
  </si>
  <si>
    <t>-4.34亿</t>
  </si>
  <si>
    <t>12.88亿</t>
  </si>
  <si>
    <t>4.59亿</t>
  </si>
  <si>
    <t>19.67亿</t>
  </si>
  <si>
    <t>16.86亿</t>
  </si>
  <si>
    <t>15.23亿</t>
  </si>
  <si>
    <t>5.76亿</t>
  </si>
  <si>
    <t>3.24亿</t>
  </si>
  <si>
    <t>5.01亿</t>
  </si>
  <si>
    <t>7.44万</t>
  </si>
  <si>
    <t>6.77亿</t>
  </si>
  <si>
    <t>21.11亿</t>
  </si>
  <si>
    <t>3.46亿</t>
  </si>
  <si>
    <t>14.81亿</t>
  </si>
  <si>
    <t>5.43亿</t>
  </si>
  <si>
    <t>5.04亿</t>
  </si>
  <si>
    <t>10.37亿</t>
  </si>
  <si>
    <t>2.56亿</t>
  </si>
  <si>
    <t>12.09亿</t>
  </si>
  <si>
    <t>7.11亿</t>
  </si>
  <si>
    <t>4.32亿</t>
  </si>
  <si>
    <t>4.93亿</t>
  </si>
  <si>
    <t>13.01亿</t>
  </si>
  <si>
    <t>5.62亿</t>
  </si>
  <si>
    <t>-1.41亿</t>
  </si>
  <si>
    <t>6.50亿</t>
  </si>
  <si>
    <t>25.27亿</t>
  </si>
  <si>
    <t>14.15万</t>
  </si>
  <si>
    <t>48.67亿</t>
  </si>
  <si>
    <t>江苏有线</t>
  </si>
  <si>
    <t>22.32亿</t>
  </si>
  <si>
    <t>12.32亿</t>
  </si>
  <si>
    <t>8.98亿</t>
  </si>
  <si>
    <t>13.71亿</t>
  </si>
  <si>
    <t>10.71亿</t>
  </si>
  <si>
    <t>17.74亿</t>
  </si>
  <si>
    <t>6.29亿</t>
  </si>
  <si>
    <t>5.58亿</t>
  </si>
  <si>
    <t>7.92亿</t>
  </si>
  <si>
    <t>97.43亿</t>
  </si>
  <si>
    <t>500.00万</t>
  </si>
  <si>
    <t>-2.44亿</t>
  </si>
  <si>
    <t>出版传媒</t>
  </si>
  <si>
    <t>18.64亿</t>
  </si>
  <si>
    <t>3.33亿</t>
  </si>
  <si>
    <t>18.79亿</t>
  </si>
  <si>
    <t>20.03亿</t>
  </si>
  <si>
    <t>132.31万</t>
  </si>
  <si>
    <t>7.95亿</t>
  </si>
  <si>
    <t>34.51亿</t>
  </si>
  <si>
    <t>2.61亿</t>
  </si>
  <si>
    <t>23.76亿</t>
  </si>
  <si>
    <t>16.42亿</t>
  </si>
  <si>
    <t>2.97亿</t>
  </si>
  <si>
    <t>14.32亿</t>
  </si>
  <si>
    <t>-2-0</t>
  </si>
  <si>
    <t>-4-0</t>
  </si>
  <si>
    <t>-3-1</t>
  </si>
  <si>
    <t>14.78亿</t>
  </si>
  <si>
    <t>5.94亿</t>
  </si>
  <si>
    <t>4.27亿</t>
  </si>
  <si>
    <t>6.73亿</t>
  </si>
  <si>
    <t>2315.72万</t>
  </si>
  <si>
    <t>9487.83万</t>
  </si>
  <si>
    <t>8.26亿</t>
  </si>
  <si>
    <t>账面净赚</t>
  </si>
  <si>
    <t>43.72亿</t>
  </si>
  <si>
    <t>-5-1</t>
  </si>
  <si>
    <t>5.56亿</t>
  </si>
  <si>
    <t>4.29亿</t>
  </si>
  <si>
    <t>2.76亿</t>
  </si>
  <si>
    <t>-6-1</t>
  </si>
  <si>
    <t>-3-0</t>
  </si>
  <si>
    <t>8.30亿</t>
  </si>
  <si>
    <t>7.39亿</t>
  </si>
  <si>
    <t>2.90亿</t>
  </si>
  <si>
    <t>4.81亿</t>
  </si>
  <si>
    <t>-5-0</t>
  </si>
  <si>
    <t>718.66万</t>
  </si>
  <si>
    <t>文化传媒</t>
  </si>
  <si>
    <t>140.72亿</t>
  </si>
  <si>
    <t>153.06亿</t>
  </si>
  <si>
    <t>20.45亿</t>
  </si>
  <si>
    <t>97.07亿</t>
  </si>
  <si>
    <t>19.57亿</t>
  </si>
  <si>
    <t>14.19亿</t>
  </si>
  <si>
    <t>42130445亿</t>
  </si>
  <si>
    <t>587.55万</t>
  </si>
  <si>
    <t>76019843亿</t>
  </si>
  <si>
    <t>72.11亿</t>
  </si>
  <si>
    <t>1970504100亿</t>
  </si>
  <si>
    <t>2491.24万</t>
  </si>
  <si>
    <t>12245277000亿</t>
  </si>
  <si>
    <t>12.83亿</t>
  </si>
  <si>
    <t>32.48亿</t>
  </si>
  <si>
    <t>101.68亿</t>
  </si>
  <si>
    <t>13.45亿</t>
  </si>
  <si>
    <t>21.28亿</t>
  </si>
  <si>
    <t>电视广播</t>
  </si>
  <si>
    <t>3239.74万</t>
  </si>
  <si>
    <t>684.99万</t>
  </si>
  <si>
    <t>20.32亿</t>
  </si>
  <si>
    <t>18.97亿</t>
  </si>
  <si>
    <t>8842.87万</t>
  </si>
  <si>
    <t>1662.28万</t>
  </si>
  <si>
    <t>3999.62万</t>
  </si>
  <si>
    <t>3502575亿</t>
  </si>
  <si>
    <t>3.68万</t>
  </si>
  <si>
    <t>-13443229亿</t>
  </si>
  <si>
    <t>349294920亿</t>
  </si>
  <si>
    <t>1314662570亿</t>
  </si>
  <si>
    <t>1033.83万</t>
  </si>
  <si>
    <t>4050.77万</t>
  </si>
  <si>
    <t>456.54万</t>
  </si>
  <si>
    <t>-1.16亿</t>
  </si>
  <si>
    <t>-7210.39万</t>
  </si>
  <si>
    <t>-5056.42万</t>
  </si>
  <si>
    <t>8477.42万</t>
  </si>
  <si>
    <t>364.05万</t>
  </si>
  <si>
    <t>10派0.29元(含税)</t>
  </si>
  <si>
    <t>2904.26万</t>
  </si>
  <si>
    <t>1046.81万</t>
  </si>
  <si>
    <t>57.34亿</t>
  </si>
  <si>
    <t>51.70亿</t>
  </si>
  <si>
    <t>20.64亿</t>
  </si>
  <si>
    <t>4058.59万</t>
  </si>
  <si>
    <t>5517.63万</t>
  </si>
  <si>
    <t>1172823亿</t>
  </si>
  <si>
    <t>166.83万</t>
  </si>
  <si>
    <t>-103193754亿</t>
  </si>
  <si>
    <t>1163024340亿</t>
  </si>
  <si>
    <t>118.75万</t>
  </si>
  <si>
    <t>2251599900亿</t>
  </si>
  <si>
    <t>5706.13万</t>
  </si>
  <si>
    <t>48.84亿</t>
  </si>
  <si>
    <t>-5283.33万</t>
  </si>
  <si>
    <t>4553.26万</t>
  </si>
  <si>
    <t>-9616.92万</t>
  </si>
  <si>
    <t>8815.90万</t>
  </si>
  <si>
    <t>3581.02万</t>
  </si>
  <si>
    <t>6.70亿</t>
  </si>
  <si>
    <t>40.26亿</t>
  </si>
  <si>
    <t>28.86亿</t>
  </si>
  <si>
    <t>6.87亿</t>
  </si>
  <si>
    <t>2332.96万</t>
  </si>
  <si>
    <t>3927.63万</t>
  </si>
  <si>
    <t>3151354亿</t>
  </si>
  <si>
    <t>27655711亿</t>
  </si>
  <si>
    <t>581210710亿</t>
  </si>
  <si>
    <t>903.21万</t>
  </si>
  <si>
    <t>2893634000亿</t>
  </si>
  <si>
    <t>4.74亿</t>
  </si>
  <si>
    <t>-1.21亿</t>
  </si>
  <si>
    <t>5679.03万</t>
  </si>
  <si>
    <t>26.58亿</t>
  </si>
  <si>
    <t>-4.03亿</t>
  </si>
  <si>
    <t>4850.73万</t>
  </si>
  <si>
    <t>0298000000</t>
  </si>
  <si>
    <t>0894000000</t>
  </si>
  <si>
    <t>01788000000</t>
  </si>
  <si>
    <t>02980000000</t>
  </si>
  <si>
    <t>05960000000</t>
  </si>
  <si>
    <t>544.36万</t>
  </si>
  <si>
    <t>6.82亿</t>
  </si>
  <si>
    <t>35.05亿</t>
  </si>
  <si>
    <t>8433.80万</t>
  </si>
  <si>
    <t>2114.20万</t>
  </si>
  <si>
    <t>3334.09万</t>
  </si>
  <si>
    <t>4651983亿</t>
  </si>
  <si>
    <t>10.59万</t>
  </si>
  <si>
    <t>16220893亿</t>
  </si>
  <si>
    <t>173949930亿</t>
  </si>
  <si>
    <t>87.46万</t>
  </si>
  <si>
    <t>667088500亿</t>
  </si>
  <si>
    <t>9462.67万</t>
  </si>
  <si>
    <t>1856.08万</t>
  </si>
  <si>
    <t>-2822.67万</t>
  </si>
  <si>
    <t>-848.54万</t>
  </si>
  <si>
    <t>9828.34万</t>
  </si>
  <si>
    <t>5664.97万</t>
  </si>
  <si>
    <t>10派0.21元(含税)</t>
  </si>
  <si>
    <t>3160.26万</t>
  </si>
  <si>
    <t>0146000000</t>
  </si>
  <si>
    <t>0438000000</t>
  </si>
  <si>
    <t>0876000000</t>
  </si>
  <si>
    <t>01460000000</t>
  </si>
  <si>
    <t>02920000000</t>
  </si>
  <si>
    <t>886.28万</t>
  </si>
  <si>
    <t>65.01亿</t>
  </si>
  <si>
    <t>110.21亿</t>
  </si>
  <si>
    <t>18.96亿</t>
  </si>
  <si>
    <t>98.33亿</t>
  </si>
  <si>
    <t>13.89亿</t>
  </si>
  <si>
    <t>17.97亿</t>
  </si>
  <si>
    <t>12.65亿</t>
  </si>
  <si>
    <t>-607618亿</t>
  </si>
  <si>
    <t>282.96万</t>
  </si>
  <si>
    <t>30326556亿</t>
  </si>
  <si>
    <t>46.52亿</t>
  </si>
  <si>
    <t>1468299500亿</t>
  </si>
  <si>
    <t>917.22万</t>
  </si>
  <si>
    <t>8079302600亿</t>
  </si>
  <si>
    <t>18.17亿</t>
  </si>
  <si>
    <t>2850.88万</t>
  </si>
  <si>
    <t>58.38亿</t>
  </si>
  <si>
    <t>-4.67亿</t>
  </si>
  <si>
    <t>634.94万</t>
  </si>
  <si>
    <t>18.69亿</t>
  </si>
  <si>
    <t>10派4.2元(含税)</t>
  </si>
  <si>
    <t>4536.04万</t>
  </si>
  <si>
    <t>20.36亿</t>
  </si>
  <si>
    <t>8771.90万</t>
  </si>
  <si>
    <t>5.67亿</t>
  </si>
  <si>
    <t>-11.00亿</t>
  </si>
  <si>
    <t>7139.03万</t>
  </si>
  <si>
    <t>482.90万</t>
  </si>
  <si>
    <t>1849.83万</t>
  </si>
  <si>
    <t>-4553250亿</t>
  </si>
  <si>
    <t>13.55万</t>
  </si>
  <si>
    <t>-33064233亿</t>
  </si>
  <si>
    <t>269947150亿</t>
  </si>
  <si>
    <t>870.82万</t>
  </si>
  <si>
    <t>1005041220亿</t>
  </si>
  <si>
    <t>324.95万</t>
  </si>
  <si>
    <t>829.81万</t>
  </si>
  <si>
    <t>-1321.84万</t>
  </si>
  <si>
    <t>902.70万</t>
  </si>
  <si>
    <t>-1067.46万</t>
  </si>
  <si>
    <t>-2195.48万</t>
  </si>
  <si>
    <t>9.67亿</t>
  </si>
  <si>
    <t>53.11亿</t>
  </si>
  <si>
    <t>1412.04万</t>
  </si>
  <si>
    <t>57.95亿</t>
  </si>
  <si>
    <t>114.48亿</t>
  </si>
  <si>
    <t>6.33亿</t>
  </si>
  <si>
    <t>8687.94万</t>
  </si>
  <si>
    <t>93866584亿</t>
  </si>
  <si>
    <t>38.48万</t>
  </si>
  <si>
    <t>24965713亿</t>
  </si>
  <si>
    <t>11.43亿</t>
  </si>
  <si>
    <t>647729310亿</t>
  </si>
  <si>
    <t>375.13万</t>
  </si>
  <si>
    <t>5519607900亿</t>
  </si>
  <si>
    <t>2500.00万</t>
  </si>
  <si>
    <t>4324.98万</t>
  </si>
  <si>
    <t>8.05亿</t>
  </si>
  <si>
    <t>2612.31万</t>
  </si>
  <si>
    <t>8053.75万</t>
  </si>
  <si>
    <t>0176000000</t>
  </si>
  <si>
    <t>0528000000</t>
  </si>
  <si>
    <t>01056000000</t>
  </si>
  <si>
    <t>01760000000</t>
  </si>
  <si>
    <t>03520000000</t>
  </si>
  <si>
    <t>5824.19万</t>
  </si>
  <si>
    <t>63.20亿</t>
  </si>
  <si>
    <t>190.56亿</t>
  </si>
  <si>
    <t>27.30亿</t>
  </si>
  <si>
    <t>119.04亿</t>
  </si>
  <si>
    <t>48.27亿</t>
  </si>
  <si>
    <t>16.98亿</t>
  </si>
  <si>
    <t>70726517亿</t>
  </si>
  <si>
    <t>15.72万</t>
  </si>
  <si>
    <t>945163130亿</t>
  </si>
  <si>
    <t>52.43亿</t>
  </si>
  <si>
    <t>1920812900亿</t>
  </si>
  <si>
    <t>11692937300亿</t>
  </si>
  <si>
    <t>569.44万</t>
  </si>
  <si>
    <t>7861.08万</t>
  </si>
  <si>
    <t>49.45亿</t>
  </si>
  <si>
    <t>12.43亿</t>
  </si>
  <si>
    <t>-7.01亿</t>
  </si>
  <si>
    <t>9.41亿</t>
  </si>
  <si>
    <t>10派3.3元(含税)</t>
  </si>
  <si>
    <t>25.40亿</t>
  </si>
  <si>
    <t>04827000000</t>
  </si>
  <si>
    <t>014481000000</t>
  </si>
  <si>
    <t>028962000000</t>
  </si>
  <si>
    <t>048270000000</t>
  </si>
  <si>
    <t>096540000000</t>
  </si>
  <si>
    <t>225.42万</t>
  </si>
  <si>
    <t>4.44亿</t>
  </si>
  <si>
    <t>12.07亿</t>
  </si>
  <si>
    <t>8195.08万</t>
  </si>
  <si>
    <t>1910.04万</t>
  </si>
  <si>
    <t>7768.75万</t>
  </si>
  <si>
    <t>6635.19万</t>
  </si>
  <si>
    <t>1211.77万</t>
  </si>
  <si>
    <t>297.61万</t>
  </si>
  <si>
    <t>-2506257亿</t>
  </si>
  <si>
    <t>-1435749亿</t>
  </si>
  <si>
    <t>22852266亿</t>
  </si>
  <si>
    <t>3825.26万</t>
  </si>
  <si>
    <t>1352908800亿</t>
  </si>
  <si>
    <t>5359.08万</t>
  </si>
  <si>
    <t>459.98万</t>
  </si>
  <si>
    <t>208.37万</t>
  </si>
  <si>
    <t>70.67万</t>
  </si>
  <si>
    <t>45.86万</t>
  </si>
  <si>
    <t>-332.50万</t>
  </si>
  <si>
    <t>423.37万</t>
  </si>
  <si>
    <t>1028.09万</t>
  </si>
  <si>
    <t>6897.11万</t>
  </si>
  <si>
    <t>482.09万</t>
  </si>
  <si>
    <t>1.89亿</t>
  </si>
  <si>
    <t>2162.49万</t>
  </si>
  <si>
    <t>5716.91万</t>
  </si>
  <si>
    <t>-1230743亿</t>
  </si>
  <si>
    <t>15.91万</t>
  </si>
  <si>
    <t>-9422680亿</t>
  </si>
  <si>
    <t>193683680亿</t>
  </si>
  <si>
    <t>497.88万</t>
  </si>
  <si>
    <t>1513204800亿</t>
  </si>
  <si>
    <t>1286.14万</t>
  </si>
  <si>
    <t>1655.03万</t>
  </si>
  <si>
    <t>-2.42亿</t>
  </si>
  <si>
    <t>3082.20万</t>
  </si>
  <si>
    <t>1874.08万</t>
  </si>
  <si>
    <t>3023.17万</t>
  </si>
  <si>
    <t>0125000000</t>
  </si>
  <si>
    <t>0375000000</t>
  </si>
  <si>
    <t>0750000000</t>
  </si>
  <si>
    <t>01250000000</t>
  </si>
  <si>
    <t>02500000000</t>
  </si>
  <si>
    <t>SZ002264</t>
  </si>
  <si>
    <t>新 华 都</t>
  </si>
  <si>
    <t>848.40万</t>
  </si>
  <si>
    <t>13.20亿</t>
  </si>
  <si>
    <t>16.84亿</t>
  </si>
  <si>
    <t>28.24亿</t>
  </si>
  <si>
    <t>10.86亿</t>
  </si>
  <si>
    <t>2563.80万</t>
  </si>
  <si>
    <t>-2779亿</t>
  </si>
  <si>
    <t>93340248亿</t>
  </si>
  <si>
    <t>12.20亿</t>
  </si>
  <si>
    <t>548172750亿</t>
  </si>
  <si>
    <t>2927981600亿</t>
  </si>
  <si>
    <t>5103.81万</t>
  </si>
  <si>
    <t>15.09亿</t>
  </si>
  <si>
    <t>-70.25万</t>
  </si>
  <si>
    <t>-5624.11万</t>
  </si>
  <si>
    <t>30.22亿</t>
  </si>
  <si>
    <t>50.32亿</t>
  </si>
  <si>
    <t>51.91亿</t>
  </si>
  <si>
    <t>60.06亿</t>
  </si>
  <si>
    <t>68.50亿</t>
  </si>
  <si>
    <t>1908.44万</t>
  </si>
  <si>
    <t>-7.56亿</t>
  </si>
  <si>
    <t>1711.49万</t>
  </si>
  <si>
    <t>6371.03万</t>
  </si>
  <si>
    <t>8435.42万</t>
  </si>
  <si>
    <t>0201000000</t>
  </si>
  <si>
    <t>0603000000</t>
  </si>
  <si>
    <t>01206000000</t>
  </si>
  <si>
    <t>02010000000</t>
  </si>
  <si>
    <t>04020000000</t>
  </si>
  <si>
    <t>1850.17万</t>
  </si>
  <si>
    <t>23.57亿</t>
  </si>
  <si>
    <t>15.81亿</t>
  </si>
  <si>
    <t>47.77亿</t>
  </si>
  <si>
    <t>-10.50亿</t>
  </si>
  <si>
    <t>16.61亿</t>
  </si>
  <si>
    <t>3792.61万</t>
  </si>
  <si>
    <t>1639140亿</t>
  </si>
  <si>
    <t>63.22万</t>
  </si>
  <si>
    <t>-96680770亿</t>
  </si>
  <si>
    <t>8.18亿</t>
  </si>
  <si>
    <t>980315060亿</t>
  </si>
  <si>
    <t>3036196300亿</t>
  </si>
  <si>
    <t>8.59亿</t>
  </si>
  <si>
    <t>9424.20万</t>
  </si>
  <si>
    <t>-4886.64万</t>
  </si>
  <si>
    <t>-2.63亿</t>
  </si>
  <si>
    <t>11.02亿</t>
  </si>
  <si>
    <t>-3803.52万</t>
  </si>
  <si>
    <t>7674.07万</t>
  </si>
  <si>
    <t>-6-0</t>
  </si>
  <si>
    <t>4540.48万</t>
  </si>
  <si>
    <t>15.66亿</t>
  </si>
  <si>
    <t>17.61亿</t>
  </si>
  <si>
    <t>-10.87亿</t>
  </si>
  <si>
    <t>2598.21万</t>
  </si>
  <si>
    <t>3803.67万</t>
  </si>
  <si>
    <t>-2315345亿</t>
  </si>
  <si>
    <t>70.12万</t>
  </si>
  <si>
    <t>14668550亿</t>
  </si>
  <si>
    <t>487347520亿</t>
  </si>
  <si>
    <t>934979530亿</t>
  </si>
  <si>
    <t>923.07万</t>
  </si>
  <si>
    <t>-3534.73万</t>
  </si>
  <si>
    <t>1589.25万</t>
  </si>
  <si>
    <t>571.74万</t>
  </si>
  <si>
    <t>1022.87万</t>
  </si>
  <si>
    <t>15.51亿</t>
  </si>
  <si>
    <t>1586.95万</t>
  </si>
  <si>
    <t>56.51亿</t>
  </si>
  <si>
    <t>49.90亿</t>
  </si>
  <si>
    <t>31.53亿</t>
  </si>
  <si>
    <t>166.73亿</t>
  </si>
  <si>
    <t>31.27亿</t>
  </si>
  <si>
    <t>6998.65万</t>
  </si>
  <si>
    <t>-4473849亿</t>
  </si>
  <si>
    <t>2.37万</t>
  </si>
  <si>
    <t>19167037亿</t>
  </si>
  <si>
    <t>3348438700亿</t>
  </si>
  <si>
    <t>6019101700亿</t>
  </si>
  <si>
    <t>35.87亿</t>
  </si>
  <si>
    <t>-19.99亿</t>
  </si>
  <si>
    <t>4361.14万</t>
  </si>
  <si>
    <t>27.99亿</t>
  </si>
  <si>
    <t>4596.53万</t>
  </si>
  <si>
    <t>8680.50万</t>
  </si>
  <si>
    <t>7.32亿</t>
  </si>
  <si>
    <t>2224.96万</t>
  </si>
  <si>
    <t>10.33亿</t>
  </si>
  <si>
    <t>13.30亿</t>
  </si>
  <si>
    <t>55.59亿</t>
  </si>
  <si>
    <t>-1.34亿</t>
  </si>
  <si>
    <t>3064.86万</t>
  </si>
  <si>
    <t>1558.48万</t>
  </si>
  <si>
    <t>-308007亿</t>
  </si>
  <si>
    <t>9.21万</t>
  </si>
  <si>
    <t>2541213亿</t>
  </si>
  <si>
    <t>1459502000亿</t>
  </si>
  <si>
    <t>2259165500亿</t>
  </si>
  <si>
    <t>9832.75万</t>
  </si>
  <si>
    <t>-1.19亿</t>
  </si>
  <si>
    <t>-30.29万</t>
  </si>
  <si>
    <t>-1160.73万</t>
  </si>
  <si>
    <t>181.75万</t>
  </si>
  <si>
    <t>663.65万</t>
  </si>
  <si>
    <t>26.92亿</t>
  </si>
  <si>
    <t>2365.56万</t>
  </si>
  <si>
    <t>3596.12万</t>
  </si>
  <si>
    <t>2377.66万</t>
  </si>
  <si>
    <t>138701亿</t>
  </si>
  <si>
    <t>26082578亿</t>
  </si>
  <si>
    <t>784389580亿</t>
  </si>
  <si>
    <t>531.24万</t>
  </si>
  <si>
    <t>2012385700亿</t>
  </si>
  <si>
    <t>8.99亿</t>
  </si>
  <si>
    <t>-5050.81万</t>
  </si>
  <si>
    <t>-845.18万</t>
  </si>
  <si>
    <t>2054.81万</t>
  </si>
  <si>
    <t>670.71万</t>
  </si>
  <si>
    <t>9.92亿</t>
  </si>
  <si>
    <t>18.45亿</t>
  </si>
  <si>
    <t>-2610.33万</t>
  </si>
  <si>
    <t>4.22亿</t>
  </si>
  <si>
    <t>1361.21万</t>
  </si>
  <si>
    <t>902.92万</t>
  </si>
  <si>
    <t>670014亿</t>
  </si>
  <si>
    <t>24.61万</t>
  </si>
  <si>
    <t>-10189171亿</t>
  </si>
  <si>
    <t>105515400亿</t>
  </si>
  <si>
    <t>971058500亿</t>
  </si>
  <si>
    <t>6814.65万</t>
  </si>
  <si>
    <t>832.49万</t>
  </si>
  <si>
    <t>-88.95万</t>
  </si>
  <si>
    <t>-55.24万</t>
  </si>
  <si>
    <t>314.80万</t>
  </si>
  <si>
    <t>4.98亿</t>
  </si>
  <si>
    <t>-1308.46万</t>
  </si>
  <si>
    <t>3464.54万</t>
  </si>
  <si>
    <t>3018.80万</t>
  </si>
  <si>
    <t>141.42亿</t>
  </si>
  <si>
    <t>77.20亿</t>
  </si>
  <si>
    <t>157.82亿</t>
  </si>
  <si>
    <t>526.16亿</t>
  </si>
  <si>
    <t>157.00亿</t>
  </si>
  <si>
    <t>153.18亿</t>
  </si>
  <si>
    <t>-7485751亿</t>
  </si>
  <si>
    <t>99.26万</t>
  </si>
  <si>
    <t>79890611亿</t>
  </si>
  <si>
    <t>29.47亿</t>
  </si>
  <si>
    <t>10814214500亿</t>
  </si>
  <si>
    <t>15799323000亿</t>
  </si>
  <si>
    <t>16.43亿</t>
  </si>
  <si>
    <t>95.47亿</t>
  </si>
  <si>
    <t>-13.62亿</t>
  </si>
  <si>
    <t>3330.92万</t>
  </si>
  <si>
    <t>97.74亿</t>
  </si>
  <si>
    <t>5580.14万</t>
  </si>
  <si>
    <t>-4.95亿</t>
  </si>
  <si>
    <t>2894.04万</t>
  </si>
  <si>
    <t>2446.16万</t>
  </si>
  <si>
    <t>6.50万</t>
  </si>
  <si>
    <t>-7653265亿</t>
  </si>
  <si>
    <t>844267280亿</t>
  </si>
  <si>
    <t>1349965200亿</t>
  </si>
  <si>
    <t>6.66亿</t>
  </si>
  <si>
    <t>5703.83万</t>
  </si>
  <si>
    <t>-360.70万</t>
  </si>
  <si>
    <t>5200.04万</t>
  </si>
  <si>
    <t>5176.66万</t>
  </si>
  <si>
    <t>159.65万</t>
  </si>
  <si>
    <t>1976.26万</t>
  </si>
  <si>
    <t>12.61亿</t>
  </si>
  <si>
    <t>87.03亿</t>
  </si>
  <si>
    <t>1361.67万</t>
  </si>
  <si>
    <t>18.51亿</t>
  </si>
  <si>
    <t>17.66亿</t>
  </si>
  <si>
    <t>4061.86万</t>
  </si>
  <si>
    <t>2761.50万</t>
  </si>
  <si>
    <t>106205亿</t>
  </si>
  <si>
    <t>1.84万</t>
  </si>
  <si>
    <t>11609953亿</t>
  </si>
  <si>
    <t>1643208900亿</t>
  </si>
  <si>
    <t>8960.80万</t>
  </si>
  <si>
    <t>2578272500亿</t>
  </si>
  <si>
    <t>2.93亿</t>
  </si>
  <si>
    <t>93.46万</t>
  </si>
  <si>
    <t>-3212.32万</t>
  </si>
  <si>
    <t>-3901.92万</t>
  </si>
  <si>
    <t>4551.11万</t>
  </si>
  <si>
    <t>2098.51万</t>
  </si>
  <si>
    <t>8726.56万</t>
  </si>
  <si>
    <t>9394.44万</t>
  </si>
  <si>
    <t>-2145.29万</t>
  </si>
  <si>
    <t>5313.74万</t>
  </si>
  <si>
    <t>4932.33万</t>
  </si>
  <si>
    <t>2.12万</t>
  </si>
  <si>
    <t>-935162亿</t>
  </si>
  <si>
    <t>1525.04万</t>
  </si>
  <si>
    <t>959505980亿</t>
  </si>
  <si>
    <t>1113619570亿</t>
  </si>
  <si>
    <t>3600.00万</t>
  </si>
  <si>
    <t>7.43亿</t>
  </si>
  <si>
    <t>8.49亿</t>
  </si>
  <si>
    <t>874.55万</t>
  </si>
  <si>
    <t>-5546.59万</t>
  </si>
  <si>
    <t>-7.33万</t>
  </si>
  <si>
    <t>2825.52万</t>
  </si>
  <si>
    <t>2922.47万</t>
  </si>
  <si>
    <t>-2602.93万</t>
  </si>
  <si>
    <t>5.79亿</t>
  </si>
  <si>
    <t>5963.26万</t>
  </si>
  <si>
    <t>-9554.37万</t>
  </si>
  <si>
    <t>2740.93万</t>
  </si>
  <si>
    <t>1343.27万</t>
  </si>
  <si>
    <t>1568972亿</t>
  </si>
  <si>
    <t>24.62万</t>
  </si>
  <si>
    <t>-14979878亿</t>
  </si>
  <si>
    <t>79995301亿</t>
  </si>
  <si>
    <t>423954520亿</t>
  </si>
  <si>
    <t>3411.57万</t>
  </si>
  <si>
    <t>9206.51万</t>
  </si>
  <si>
    <t>-5014.54万</t>
  </si>
  <si>
    <t>211.56万</t>
  </si>
  <si>
    <t>-714.35万</t>
  </si>
  <si>
    <t>1648.99万</t>
  </si>
  <si>
    <t>-2447.60万</t>
  </si>
  <si>
    <t>1926.37万</t>
  </si>
  <si>
    <t>21.89亿</t>
  </si>
  <si>
    <t>21.88亿</t>
  </si>
  <si>
    <t>-12.10亿</t>
  </si>
  <si>
    <t>1531.76万</t>
  </si>
  <si>
    <t>331.08万</t>
  </si>
  <si>
    <t>3368686亿</t>
  </si>
  <si>
    <t>17.42万</t>
  </si>
  <si>
    <t>42471785亿</t>
  </si>
  <si>
    <t>347908850亿</t>
  </si>
  <si>
    <t>2150.00万</t>
  </si>
  <si>
    <t>2136433200亿</t>
  </si>
  <si>
    <t>3150.00万</t>
  </si>
  <si>
    <t>1851.65万</t>
  </si>
  <si>
    <t>-8319.69万</t>
  </si>
  <si>
    <t>6.92亿</t>
  </si>
  <si>
    <t>6335.34万</t>
  </si>
  <si>
    <t>848.92万</t>
  </si>
  <si>
    <t>3924.22万</t>
  </si>
  <si>
    <t>-9101.59万</t>
  </si>
  <si>
    <t>3491.85万</t>
  </si>
  <si>
    <t>1020.74万</t>
  </si>
  <si>
    <t>1016.16万</t>
  </si>
  <si>
    <t>1042.23万</t>
  </si>
  <si>
    <t>-149321亿</t>
  </si>
  <si>
    <t>1.19万</t>
  </si>
  <si>
    <t>4865083亿</t>
  </si>
  <si>
    <t>21780208亿</t>
  </si>
  <si>
    <t>1111598610亿</t>
  </si>
  <si>
    <t>103.91万</t>
  </si>
  <si>
    <t>53.79万</t>
  </si>
  <si>
    <t>8093.13万</t>
  </si>
  <si>
    <t>-34.16万</t>
  </si>
  <si>
    <t>-619.61万</t>
  </si>
  <si>
    <t>599.68万</t>
  </si>
  <si>
    <t>5165.99万</t>
  </si>
  <si>
    <t>768.37万</t>
  </si>
  <si>
    <t>8813.37万</t>
  </si>
  <si>
    <t>6.00亿</t>
  </si>
  <si>
    <t>7653.60万</t>
  </si>
  <si>
    <t>8943.69万</t>
  </si>
  <si>
    <t>8503.21万</t>
  </si>
  <si>
    <t>2320.13万</t>
  </si>
  <si>
    <t>-5185768亿</t>
  </si>
  <si>
    <t>7.36万</t>
  </si>
  <si>
    <t>-68613901亿</t>
  </si>
  <si>
    <t>137164650亿</t>
  </si>
  <si>
    <t>694995250亿</t>
  </si>
  <si>
    <t>101.58万</t>
  </si>
  <si>
    <t>-5659.30万</t>
  </si>
  <si>
    <t>-1691.67万</t>
  </si>
  <si>
    <t>-3721.94万</t>
  </si>
  <si>
    <t>14.22亿</t>
  </si>
  <si>
    <t>12-0</t>
  </si>
  <si>
    <t>1379.12万</t>
  </si>
  <si>
    <t>100.59亿</t>
  </si>
  <si>
    <t>218.24亿</t>
  </si>
  <si>
    <t>33.24亿</t>
  </si>
  <si>
    <t>146.28亿</t>
  </si>
  <si>
    <t>27.98亿</t>
  </si>
  <si>
    <t>23.73亿</t>
  </si>
  <si>
    <t>-5147101亿</t>
  </si>
  <si>
    <t>342.41万</t>
  </si>
  <si>
    <t>467007960亿</t>
  </si>
  <si>
    <t>115.51亿</t>
  </si>
  <si>
    <t>3800339100亿</t>
  </si>
  <si>
    <t>4521.34万</t>
  </si>
  <si>
    <t>21188420000亿</t>
  </si>
  <si>
    <t>3378.13万</t>
  </si>
  <si>
    <t>18.86亿</t>
  </si>
  <si>
    <t>53.31亿</t>
  </si>
  <si>
    <t>-4.70亿</t>
  </si>
  <si>
    <t>-3405.78万</t>
  </si>
  <si>
    <t>139.77亿</t>
  </si>
  <si>
    <t>5.48亿</t>
  </si>
  <si>
    <t>10派1.8元(含税)</t>
  </si>
  <si>
    <t>6203.36万</t>
  </si>
  <si>
    <t>227.19万</t>
  </si>
  <si>
    <t>19.05亿</t>
  </si>
  <si>
    <t>19.11亿</t>
  </si>
  <si>
    <t>-3878.54万</t>
  </si>
  <si>
    <t>520.78万</t>
  </si>
  <si>
    <t>1197.65万</t>
  </si>
  <si>
    <t>2481255亿</t>
  </si>
  <si>
    <t>174.19万</t>
  </si>
  <si>
    <t>3847579亿</t>
  </si>
  <si>
    <t>3.74亿</t>
  </si>
  <si>
    <t>1932631500亿</t>
  </si>
  <si>
    <t>2953.58万</t>
  </si>
  <si>
    <t>3022270900亿</t>
  </si>
  <si>
    <t>5.25亿</t>
  </si>
  <si>
    <t>490.00万</t>
  </si>
  <si>
    <t>-1.27亿</t>
  </si>
  <si>
    <t>1969.86万</t>
  </si>
  <si>
    <t>1733.12万</t>
  </si>
  <si>
    <t>802.51万</t>
  </si>
  <si>
    <t>5417.16万</t>
  </si>
  <si>
    <t>395.00万</t>
  </si>
  <si>
    <t>4.94亿</t>
  </si>
  <si>
    <t>10.49亿</t>
  </si>
  <si>
    <t>-7853.06万</t>
  </si>
  <si>
    <t>1951.55万</t>
  </si>
  <si>
    <t>1031.74万</t>
  </si>
  <si>
    <t>-1204980亿</t>
  </si>
  <si>
    <t>1.10万</t>
  </si>
  <si>
    <t>-20405723亿</t>
  </si>
  <si>
    <t>281678470亿</t>
  </si>
  <si>
    <t>755278410亿</t>
  </si>
  <si>
    <t>8980.29万</t>
  </si>
  <si>
    <t>9645.40万</t>
  </si>
  <si>
    <t>1001.13万</t>
  </si>
  <si>
    <t>1.83万</t>
  </si>
  <si>
    <t>130.02万</t>
  </si>
  <si>
    <t>1720.48万</t>
  </si>
  <si>
    <t>815.71万</t>
  </si>
  <si>
    <t>9902.66万</t>
  </si>
  <si>
    <t>4233.55万</t>
  </si>
  <si>
    <t>9185.04万</t>
  </si>
  <si>
    <t>6079.05万</t>
  </si>
  <si>
    <t>1664.82万</t>
  </si>
  <si>
    <t>1391.23万</t>
  </si>
  <si>
    <t>626149亿</t>
  </si>
  <si>
    <t>11.75万</t>
  </si>
  <si>
    <t>5067749亿</t>
  </si>
  <si>
    <t>250474980亿</t>
  </si>
  <si>
    <t>922425860亿</t>
  </si>
  <si>
    <t>50.50万</t>
  </si>
  <si>
    <t>-2219.52万</t>
  </si>
  <si>
    <t>-1063.30万</t>
  </si>
  <si>
    <t>-33.41万</t>
  </si>
  <si>
    <t>3561.78万</t>
  </si>
  <si>
    <t>8478.87万</t>
  </si>
  <si>
    <t>783.04万</t>
  </si>
  <si>
    <t>4673.16万</t>
  </si>
  <si>
    <t>3.19亿</t>
  </si>
  <si>
    <t>114.54万</t>
  </si>
  <si>
    <t>38.37亿</t>
  </si>
  <si>
    <t>993.35万</t>
  </si>
  <si>
    <t>1177.25万</t>
  </si>
  <si>
    <t>-676112亿</t>
  </si>
  <si>
    <t>147874980亿</t>
  </si>
  <si>
    <t>36.07亿</t>
  </si>
  <si>
    <t>246028130亿</t>
  </si>
  <si>
    <t>1076.96万</t>
  </si>
  <si>
    <t>4518596500亿</t>
  </si>
  <si>
    <t>302.94万</t>
  </si>
  <si>
    <t>10.82亿</t>
  </si>
  <si>
    <t>-1.89亿</t>
  </si>
  <si>
    <t>-242.21万</t>
  </si>
  <si>
    <t>10派10.6元(含税)</t>
  </si>
  <si>
    <t>694.11万</t>
  </si>
  <si>
    <t>5778.19万</t>
  </si>
  <si>
    <t>2280.56万</t>
  </si>
  <si>
    <t>5.36亿</t>
  </si>
  <si>
    <t>4158.29万</t>
  </si>
  <si>
    <t>2417.02万</t>
  </si>
  <si>
    <t>1028.62万</t>
  </si>
  <si>
    <t>1191882亿</t>
  </si>
  <si>
    <t>5.55万</t>
  </si>
  <si>
    <t>10870647亿</t>
  </si>
  <si>
    <t>248840210亿</t>
  </si>
  <si>
    <t>191.24万</t>
  </si>
  <si>
    <t>637762030亿</t>
  </si>
  <si>
    <t>3036.00万</t>
  </si>
  <si>
    <t>8331.15万</t>
  </si>
  <si>
    <t>5685.64万</t>
  </si>
  <si>
    <t>-6748.87万</t>
  </si>
  <si>
    <t>446.59万</t>
  </si>
  <si>
    <t>3294.71万</t>
  </si>
  <si>
    <t>7703.50万</t>
  </si>
  <si>
    <t>1164.49万</t>
  </si>
  <si>
    <t>8866.14万</t>
  </si>
  <si>
    <t>268.75万</t>
  </si>
  <si>
    <t>7477.53万</t>
  </si>
  <si>
    <t>5159.96万</t>
  </si>
  <si>
    <t>4270.76万</t>
  </si>
  <si>
    <t>838919亿</t>
  </si>
  <si>
    <t>7.23万</t>
  </si>
  <si>
    <t>-15752263亿</t>
  </si>
  <si>
    <t>455716640亿</t>
  </si>
  <si>
    <t>1383211300亿</t>
  </si>
  <si>
    <t>2408.63万</t>
  </si>
  <si>
    <t>1500.13万</t>
  </si>
  <si>
    <t>549.88万</t>
  </si>
  <si>
    <t>6829.17万</t>
  </si>
  <si>
    <t>6693.88万</t>
  </si>
  <si>
    <t>-3535.87万</t>
  </si>
  <si>
    <t>-427.98万</t>
  </si>
  <si>
    <t>253.67万</t>
  </si>
  <si>
    <t>-68.76万</t>
  </si>
  <si>
    <t>10派1.4元(含税)</t>
  </si>
  <si>
    <t>1685.51万</t>
  </si>
  <si>
    <t>n/a</t>
  </si>
  <si>
    <t>212.41万</t>
  </si>
  <si>
    <t>21.33亿</t>
  </si>
  <si>
    <t>17.17亿</t>
  </si>
  <si>
    <t>6842.24万</t>
  </si>
  <si>
    <t>3083.94万</t>
  </si>
  <si>
    <t>594512亿</t>
  </si>
  <si>
    <t>121.46万</t>
  </si>
  <si>
    <t>35787533亿</t>
  </si>
  <si>
    <t>15.48亿</t>
  </si>
  <si>
    <t>83283675亿</t>
  </si>
  <si>
    <t>2649250500亿</t>
  </si>
  <si>
    <t>8284.82万</t>
  </si>
  <si>
    <t>-6122.95万</t>
  </si>
  <si>
    <t>-3748.71万</t>
  </si>
  <si>
    <t>-1707.29万</t>
  </si>
  <si>
    <t>4203.32万</t>
  </si>
  <si>
    <t>10派3.1元(含税)</t>
  </si>
  <si>
    <t>1143.25万</t>
  </si>
  <si>
    <t>7940.74万</t>
  </si>
  <si>
    <t>384.86万</t>
  </si>
  <si>
    <t>5606.77万</t>
  </si>
  <si>
    <t>3475.01万</t>
  </si>
  <si>
    <t>2048.37万</t>
  </si>
  <si>
    <t>257546亿</t>
  </si>
  <si>
    <t>63.60万</t>
  </si>
  <si>
    <t>2423543亿</t>
  </si>
  <si>
    <t>507551510亿</t>
  </si>
  <si>
    <t>93.68万</t>
  </si>
  <si>
    <t>1598082100亿</t>
  </si>
  <si>
    <t>290.60万</t>
  </si>
  <si>
    <t>8045.82万</t>
  </si>
  <si>
    <t>37.52万</t>
  </si>
  <si>
    <t>-5611.46万</t>
  </si>
  <si>
    <t>-163.54万</t>
  </si>
  <si>
    <t>22.51亿</t>
  </si>
  <si>
    <t>4.83亿</t>
  </si>
  <si>
    <t>3290.43万</t>
  </si>
  <si>
    <t>2020.21万</t>
  </si>
  <si>
    <t>2247.55万</t>
  </si>
  <si>
    <t>056067700</t>
  </si>
  <si>
    <t>0168203100</t>
  </si>
  <si>
    <t>0336406200</t>
  </si>
  <si>
    <t>0560677000</t>
  </si>
  <si>
    <t>01121354000</t>
  </si>
  <si>
    <t>187.16万</t>
  </si>
  <si>
    <t>8.14亿</t>
  </si>
  <si>
    <t>4735.95万</t>
  </si>
  <si>
    <t>15.27亿</t>
  </si>
  <si>
    <t>9210.57万</t>
  </si>
  <si>
    <t>4613.29万</t>
  </si>
  <si>
    <t>3339.82万</t>
  </si>
  <si>
    <t>505.96万</t>
  </si>
  <si>
    <t>1081.27万</t>
  </si>
  <si>
    <t>-7367亿</t>
  </si>
  <si>
    <t>1870851亿</t>
  </si>
  <si>
    <t>49194906亿</t>
  </si>
  <si>
    <t>651002090亿</t>
  </si>
  <si>
    <t>2343.81万</t>
  </si>
  <si>
    <t>3571.07万</t>
  </si>
  <si>
    <t>-2188.47万</t>
  </si>
  <si>
    <t>-1325.53万</t>
  </si>
  <si>
    <t>2815.28万</t>
  </si>
  <si>
    <t>3132.40万</t>
  </si>
  <si>
    <t>1693.37万</t>
  </si>
  <si>
    <t>10派1.7元(含税)</t>
  </si>
  <si>
    <t>1003.57万</t>
  </si>
  <si>
    <t>6341.14万</t>
  </si>
  <si>
    <t>1295.63万</t>
  </si>
  <si>
    <t>9431.07万</t>
  </si>
  <si>
    <t>8273.61万</t>
  </si>
  <si>
    <t>5596.56万</t>
  </si>
  <si>
    <t>1075.54万</t>
  </si>
  <si>
    <t>1599.16万</t>
  </si>
  <si>
    <t>165.33万</t>
  </si>
  <si>
    <t>1377193亿</t>
  </si>
  <si>
    <t>7183.91万</t>
  </si>
  <si>
    <t>66540664亿</t>
  </si>
  <si>
    <t>697894040亿</t>
  </si>
  <si>
    <t>29.43万</t>
  </si>
  <si>
    <t>3035.61万</t>
  </si>
  <si>
    <t>-2.30亿</t>
  </si>
  <si>
    <t>-287.10万</t>
  </si>
  <si>
    <t>-328.25万</t>
  </si>
  <si>
    <t>4883.61万</t>
  </si>
  <si>
    <t>6888.46万</t>
  </si>
  <si>
    <t>1-1</t>
  </si>
  <si>
    <t>451.61万</t>
  </si>
  <si>
    <t>9292.04万</t>
  </si>
  <si>
    <t>1831.05万</t>
  </si>
  <si>
    <t>9489.76万</t>
  </si>
  <si>
    <t>5034.87万</t>
  </si>
  <si>
    <t>1594.46万</t>
  </si>
  <si>
    <t>2755.46万</t>
  </si>
  <si>
    <t>933157亿</t>
  </si>
  <si>
    <t>17.74万</t>
  </si>
  <si>
    <t>-9579694亿</t>
  </si>
  <si>
    <t>91326203亿</t>
  </si>
  <si>
    <t>660009520亿</t>
  </si>
  <si>
    <t>7927.98万</t>
  </si>
  <si>
    <t>-3338.29万</t>
  </si>
  <si>
    <t>-1248.20万</t>
  </si>
  <si>
    <t>-583.72万</t>
  </si>
  <si>
    <t>5363.76万</t>
  </si>
  <si>
    <t>916.30万</t>
  </si>
  <si>
    <t>10转3.467532股派0.980816元(含税)</t>
  </si>
  <si>
    <t>2295.23万</t>
  </si>
  <si>
    <t>182.29万</t>
  </si>
  <si>
    <t>6355.16万</t>
  </si>
  <si>
    <t>2245.02万</t>
  </si>
  <si>
    <t>407.53万</t>
  </si>
  <si>
    <t>352.62万</t>
  </si>
  <si>
    <t>32070634亿</t>
  </si>
  <si>
    <t>24.98亿</t>
  </si>
  <si>
    <t>345267920亿</t>
  </si>
  <si>
    <t>2959769800亿</t>
  </si>
  <si>
    <t>1641.43万</t>
  </si>
  <si>
    <t>4366.69万</t>
  </si>
  <si>
    <t>-1213.80万</t>
  </si>
  <si>
    <t>3.07亿</t>
  </si>
  <si>
    <t>5682.63万</t>
  </si>
  <si>
    <t>10转4股派1.4元(含税)</t>
  </si>
  <si>
    <t>1027.98万</t>
  </si>
  <si>
    <t>7194.27万</t>
  </si>
  <si>
    <t>1264.05万</t>
  </si>
  <si>
    <t>34.62亿</t>
  </si>
  <si>
    <t>4.15亿</t>
  </si>
  <si>
    <t>6340.15万</t>
  </si>
  <si>
    <t>818.82万</t>
  </si>
  <si>
    <t>2644.50万</t>
  </si>
  <si>
    <t>1819213亿</t>
  </si>
  <si>
    <t>46829058亿</t>
  </si>
  <si>
    <t>792771830亿</t>
  </si>
  <si>
    <t>4950153400亿</t>
  </si>
  <si>
    <t>18.18亿</t>
  </si>
  <si>
    <t>1757.32万</t>
  </si>
  <si>
    <t>3097.10万</t>
  </si>
  <si>
    <t>6.35亿</t>
  </si>
  <si>
    <t>1703.81万</t>
  </si>
  <si>
    <t>-429.91万</t>
  </si>
  <si>
    <t>4343.11万</t>
  </si>
  <si>
    <t>063401500</t>
  </si>
  <si>
    <t>0190204500</t>
  </si>
  <si>
    <t>0380409000</t>
  </si>
  <si>
    <t>0634015000</t>
  </si>
  <si>
    <t>01268030000</t>
  </si>
  <si>
    <t>937.53万</t>
  </si>
  <si>
    <t>4878.48万</t>
  </si>
  <si>
    <t>5381.29万</t>
  </si>
  <si>
    <t>16.44亿</t>
  </si>
  <si>
    <t>5625.41万</t>
  </si>
  <si>
    <t>5423.80万</t>
  </si>
  <si>
    <t>3372.48万</t>
  </si>
  <si>
    <t>1373.78万</t>
  </si>
  <si>
    <t>723.70万</t>
  </si>
  <si>
    <t>820147亿</t>
  </si>
  <si>
    <t>2.00万</t>
  </si>
  <si>
    <t>-5792276亿</t>
  </si>
  <si>
    <t>78527774亿</t>
  </si>
  <si>
    <t>792847870亿</t>
  </si>
  <si>
    <t>1210.42万</t>
  </si>
  <si>
    <t>3098.70万</t>
  </si>
  <si>
    <t>4209.90万</t>
  </si>
  <si>
    <t>-3306.36万</t>
  </si>
  <si>
    <t>-251.23万</t>
  </si>
  <si>
    <t>996.05万</t>
  </si>
  <si>
    <t>2073.70万</t>
  </si>
  <si>
    <t>5453.63万</t>
  </si>
  <si>
    <t>138.56万</t>
  </si>
  <si>
    <t>280.72万</t>
  </si>
  <si>
    <t>1299.32万</t>
  </si>
  <si>
    <t>8999248亿</t>
  </si>
  <si>
    <t>97154679亿</t>
  </si>
  <si>
    <t>705930150亿</t>
  </si>
  <si>
    <t>3782643900亿</t>
  </si>
  <si>
    <t>3272.00万</t>
  </si>
  <si>
    <t>4216.81万</t>
  </si>
  <si>
    <t>5198.59万</t>
  </si>
  <si>
    <t>10派1.92元(含税)</t>
  </si>
  <si>
    <t>782.34万</t>
  </si>
  <si>
    <t>6297.45万</t>
  </si>
  <si>
    <t>130.07万</t>
  </si>
  <si>
    <t>6.99亿</t>
  </si>
  <si>
    <t>7549.25万</t>
  </si>
  <si>
    <t>3440.67万</t>
  </si>
  <si>
    <t>5262.43万</t>
  </si>
  <si>
    <t>2086.24万</t>
  </si>
  <si>
    <t>1558.79万</t>
  </si>
  <si>
    <t>986.98万</t>
  </si>
  <si>
    <t>3644227亿</t>
  </si>
  <si>
    <t>3.59万</t>
  </si>
  <si>
    <t>22084424亿</t>
  </si>
  <si>
    <t>5265894亿</t>
  </si>
  <si>
    <t>25.33万</t>
  </si>
  <si>
    <t>540593950亿</t>
  </si>
  <si>
    <t>29.67万</t>
  </si>
  <si>
    <t>483.95万</t>
  </si>
  <si>
    <t>-288.42万</t>
  </si>
  <si>
    <t>3708.58万</t>
  </si>
  <si>
    <t>-52.65万</t>
  </si>
  <si>
    <t>5839.93万</t>
  </si>
  <si>
    <t>8171.13万</t>
  </si>
  <si>
    <t>5206.47万</t>
  </si>
  <si>
    <t>825.77万</t>
  </si>
  <si>
    <t>10派16.5元(含税)</t>
  </si>
  <si>
    <t>662.86万</t>
  </si>
  <si>
    <t>4056.68万</t>
  </si>
  <si>
    <t>240.60万</t>
  </si>
  <si>
    <t>7602.98万</t>
  </si>
  <si>
    <t>3516.83万</t>
  </si>
  <si>
    <t>5268.10万</t>
  </si>
  <si>
    <t>2495.26万</t>
  </si>
  <si>
    <t>2065.88万</t>
  </si>
  <si>
    <t>659351亿</t>
  </si>
  <si>
    <t>3.00万</t>
  </si>
  <si>
    <t>-38637522亿</t>
  </si>
  <si>
    <t>391150700亿</t>
  </si>
  <si>
    <t>20.44万</t>
  </si>
  <si>
    <t>1032784480亿</t>
  </si>
  <si>
    <t>6873.22万</t>
  </si>
  <si>
    <t>949.74万</t>
  </si>
  <si>
    <t>3183.76万</t>
  </si>
  <si>
    <t>2.70亿</t>
  </si>
  <si>
    <t>-6950.56万</t>
  </si>
  <si>
    <t>3172.06万</t>
  </si>
  <si>
    <t>1827.03万</t>
  </si>
  <si>
    <t>7076.26万</t>
  </si>
  <si>
    <t>1050.22万</t>
  </si>
  <si>
    <t>1731.23万</t>
  </si>
  <si>
    <t>10派1.500626元(含税)</t>
  </si>
  <si>
    <t>1290.16万</t>
  </si>
  <si>
    <t>0105504900</t>
  </si>
  <si>
    <t>0211009800</t>
  </si>
  <si>
    <t>0351683000</t>
  </si>
  <si>
    <t>0703366000</t>
  </si>
  <si>
    <t>728.16万</t>
  </si>
  <si>
    <t>30.77亿</t>
  </si>
  <si>
    <t>128.18亿</t>
  </si>
  <si>
    <t>233.30亿</t>
  </si>
  <si>
    <t>-1732023亿</t>
  </si>
  <si>
    <t>532.53万</t>
  </si>
  <si>
    <t>16595892亿</t>
  </si>
  <si>
    <t>75.51亿</t>
  </si>
  <si>
    <t>548098450亿</t>
  </si>
  <si>
    <t>9082086300亿</t>
  </si>
  <si>
    <t>7.28亿</t>
  </si>
  <si>
    <t>7965.95万</t>
  </si>
  <si>
    <t>9451.14万</t>
  </si>
  <si>
    <t>-5.39亿</t>
  </si>
  <si>
    <t>-3863.82万</t>
  </si>
  <si>
    <t>24.34亿</t>
  </si>
  <si>
    <t>32.82亿</t>
  </si>
  <si>
    <t>-1545.95万</t>
  </si>
  <si>
    <t>4619.16万</t>
  </si>
  <si>
    <t>477.55万</t>
  </si>
  <si>
    <t>6861.85万</t>
  </si>
  <si>
    <t>1655628亿</t>
  </si>
  <si>
    <t>62223713亿</t>
  </si>
  <si>
    <t>1457216100亿</t>
  </si>
  <si>
    <t>4020.31万</t>
  </si>
  <si>
    <t>490.44万</t>
  </si>
  <si>
    <t>-6.19万</t>
  </si>
  <si>
    <t>-205.20万</t>
  </si>
  <si>
    <t>6.37亿</t>
  </si>
  <si>
    <t>2543.52万</t>
  </si>
  <si>
    <t>9679.75万</t>
  </si>
  <si>
    <t>2990.61万</t>
  </si>
  <si>
    <t>-4-1</t>
  </si>
  <si>
    <t>434.81万</t>
  </si>
  <si>
    <t>11.36亿</t>
  </si>
  <si>
    <t>33.73亿</t>
  </si>
  <si>
    <t>6.65亿</t>
  </si>
  <si>
    <t>-584319亿</t>
  </si>
  <si>
    <t>22.00万</t>
  </si>
  <si>
    <t>51534173亿</t>
  </si>
  <si>
    <t>698682780亿</t>
  </si>
  <si>
    <t>2591376900亿</t>
  </si>
  <si>
    <t>695.30万</t>
  </si>
  <si>
    <t>-325.92万</t>
  </si>
  <si>
    <t>-521.21万</t>
  </si>
  <si>
    <t>7170.87万</t>
  </si>
  <si>
    <t>10派2.7元(含税)</t>
  </si>
  <si>
    <t>2040.99万</t>
  </si>
  <si>
    <t>1607.19万</t>
  </si>
  <si>
    <t>6891.05万</t>
  </si>
  <si>
    <t>221.17万</t>
  </si>
  <si>
    <t>802.54万</t>
  </si>
  <si>
    <t>7.35万</t>
  </si>
  <si>
    <t>-3713888亿</t>
  </si>
  <si>
    <t>9756.62万</t>
  </si>
  <si>
    <t>178114260亿</t>
  </si>
  <si>
    <t>415216720亿</t>
  </si>
  <si>
    <t>1402.73万</t>
  </si>
  <si>
    <t>1500.00万</t>
  </si>
  <si>
    <t>-832.49万</t>
  </si>
  <si>
    <t>-2635.66万</t>
  </si>
  <si>
    <t>3491.68万</t>
  </si>
  <si>
    <t>759.34万</t>
  </si>
  <si>
    <t>-1253.32万</t>
  </si>
  <si>
    <t>4806.62万</t>
  </si>
  <si>
    <t>9759.68万</t>
  </si>
  <si>
    <t>5.38亿</t>
  </si>
  <si>
    <t>586.65万</t>
  </si>
  <si>
    <t>106.70亿</t>
  </si>
  <si>
    <t>189.02亿</t>
  </si>
  <si>
    <t>21.61亿</t>
  </si>
  <si>
    <t>38.77亿</t>
  </si>
  <si>
    <t>-9.63亿</t>
  </si>
  <si>
    <t>17.15亿</t>
  </si>
  <si>
    <t>4913252亿</t>
  </si>
  <si>
    <t>922.47万</t>
  </si>
  <si>
    <t>319567290亿</t>
  </si>
  <si>
    <t>148.58亿</t>
  </si>
  <si>
    <t>1456045500亿</t>
  </si>
  <si>
    <t>1557.71万</t>
  </si>
  <si>
    <t>22792469000亿</t>
  </si>
  <si>
    <t>9073.46万</t>
  </si>
  <si>
    <t>26.50亿</t>
  </si>
  <si>
    <t>27.97亿</t>
  </si>
  <si>
    <t>128.03亿</t>
  </si>
  <si>
    <t>-5.20亿</t>
  </si>
  <si>
    <t>4503.77万</t>
  </si>
  <si>
    <t>30.14亿</t>
  </si>
  <si>
    <t>100.84亿</t>
  </si>
  <si>
    <t>-4530.67万</t>
  </si>
  <si>
    <t>10派7.8元(含税)</t>
  </si>
  <si>
    <t>4398.22万</t>
  </si>
  <si>
    <t>*ST九有</t>
  </si>
  <si>
    <t>682.38万</t>
  </si>
  <si>
    <t>-2145.37万</t>
  </si>
  <si>
    <t>-9997.97万</t>
  </si>
  <si>
    <t>7722.11万</t>
  </si>
  <si>
    <t>5344.55万</t>
  </si>
  <si>
    <t>708.46万</t>
  </si>
  <si>
    <t>-699861亿</t>
  </si>
  <si>
    <t>2.78万</t>
  </si>
  <si>
    <t>-4747253亿</t>
  </si>
  <si>
    <t>3722.19万</t>
  </si>
  <si>
    <t>59.00万</t>
  </si>
  <si>
    <t>228623020亿</t>
  </si>
  <si>
    <t>267.00万</t>
  </si>
  <si>
    <t>4983.52万</t>
  </si>
  <si>
    <t>3000.00万</t>
  </si>
  <si>
    <t>-1846.97万</t>
  </si>
  <si>
    <t>871.99万</t>
  </si>
  <si>
    <t>-2455.25万</t>
  </si>
  <si>
    <t>-8025.62万</t>
  </si>
  <si>
    <t>-6787.48万</t>
  </si>
  <si>
    <t>-4034.54万</t>
  </si>
  <si>
    <t>3799.59万</t>
  </si>
  <si>
    <t>382.64万</t>
  </si>
  <si>
    <t>34.79亿</t>
  </si>
  <si>
    <t>58.10亿</t>
  </si>
  <si>
    <t>50.10亿</t>
  </si>
  <si>
    <t>15.87亿</t>
  </si>
  <si>
    <t>14.80亿</t>
  </si>
  <si>
    <t>3965.68万</t>
  </si>
  <si>
    <t>6594.34万</t>
  </si>
  <si>
    <t>1850503亿</t>
  </si>
  <si>
    <t>59.83万</t>
  </si>
  <si>
    <t>51356362亿</t>
  </si>
  <si>
    <t>25.72亿</t>
  </si>
  <si>
    <t>517726470亿</t>
  </si>
  <si>
    <t>7001436500亿</t>
  </si>
  <si>
    <t>173.32万</t>
  </si>
  <si>
    <t>10.69亿</t>
  </si>
  <si>
    <t>746.84万</t>
  </si>
  <si>
    <t>31.39亿</t>
  </si>
  <si>
    <t>-8797.04万</t>
  </si>
  <si>
    <t>-3.74亿</t>
  </si>
  <si>
    <t>86.43亿</t>
  </si>
  <si>
    <t>12.69亿</t>
  </si>
  <si>
    <t>3051.54万</t>
  </si>
  <si>
    <t>10转4股派5元(含税)</t>
  </si>
  <si>
    <t>1944.34万</t>
  </si>
  <si>
    <t>0107000000</t>
  </si>
  <si>
    <t>0321000000</t>
  </si>
  <si>
    <t>0642000000</t>
  </si>
  <si>
    <t>01070000000</t>
  </si>
  <si>
    <t>02140000000</t>
  </si>
  <si>
    <t>XD天下秀</t>
  </si>
  <si>
    <t>1441.65万</t>
  </si>
  <si>
    <t>20.96亿</t>
  </si>
  <si>
    <t>38.03亿</t>
  </si>
  <si>
    <t>48.68亿</t>
  </si>
  <si>
    <t>5.37亿</t>
  </si>
  <si>
    <t>9.50亿</t>
  </si>
  <si>
    <t>6233.35万</t>
  </si>
  <si>
    <t>5547.76万</t>
  </si>
  <si>
    <t>2799607亿</t>
  </si>
  <si>
    <t>95.56万</t>
  </si>
  <si>
    <t>8936441亿</t>
  </si>
  <si>
    <t>20.76亿</t>
  </si>
  <si>
    <t>2456428500亿</t>
  </si>
  <si>
    <t>413.06万</t>
  </si>
  <si>
    <t>4993525600亿</t>
  </si>
  <si>
    <t>464.94万</t>
  </si>
  <si>
    <t>-3166.71万</t>
  </si>
  <si>
    <t>-3814.57万</t>
  </si>
  <si>
    <t>-1.50亿</t>
  </si>
  <si>
    <t>13.52亿</t>
  </si>
  <si>
    <t>9277.90万</t>
  </si>
  <si>
    <t>10派0.155元(含税)</t>
  </si>
  <si>
    <t>6965.76万</t>
  </si>
  <si>
    <t>1222.28万</t>
  </si>
  <si>
    <t>96.08亿</t>
  </si>
  <si>
    <t>346.28亿</t>
  </si>
  <si>
    <t>15.95亿</t>
  </si>
  <si>
    <t>30.56亿</t>
  </si>
  <si>
    <t>6208.98万</t>
  </si>
  <si>
    <t>14.39亿</t>
  </si>
  <si>
    <t>21454469亿</t>
  </si>
  <si>
    <t>387.58万</t>
  </si>
  <si>
    <t>93059534亿</t>
  </si>
  <si>
    <t>73.95亿</t>
  </si>
  <si>
    <t>1924568900亿</t>
  </si>
  <si>
    <t>2302.25万</t>
  </si>
  <si>
    <t>25368654000亿</t>
  </si>
  <si>
    <t>1300.92万</t>
  </si>
  <si>
    <t>27.65亿</t>
  </si>
  <si>
    <t>77.54亿</t>
  </si>
  <si>
    <t>13.68亿</t>
  </si>
  <si>
    <t>-5.92亿</t>
  </si>
  <si>
    <t>-7.23亿</t>
  </si>
  <si>
    <t>79.73亿</t>
  </si>
  <si>
    <t>4.89亿</t>
  </si>
  <si>
    <t>406.05万</t>
  </si>
  <si>
    <t>5597.06万</t>
  </si>
  <si>
    <t>062089800</t>
  </si>
  <si>
    <t>0186269400</t>
  </si>
  <si>
    <t>0372538800</t>
  </si>
  <si>
    <t>0620898000</t>
  </si>
  <si>
    <t>01241796000</t>
  </si>
  <si>
    <t>503.53万</t>
  </si>
  <si>
    <t>9.85亿</t>
  </si>
  <si>
    <t>729.93万</t>
  </si>
  <si>
    <t>6743.85万</t>
  </si>
  <si>
    <t>78091亿</t>
  </si>
  <si>
    <t>136.30万</t>
  </si>
  <si>
    <t>2876897亿</t>
  </si>
  <si>
    <t>17.52亿</t>
  </si>
  <si>
    <t>284353350亿</t>
  </si>
  <si>
    <t>2547251800亿</t>
  </si>
  <si>
    <t>1257.61万</t>
  </si>
  <si>
    <t>408.93万</t>
  </si>
  <si>
    <t>-96.79万</t>
  </si>
  <si>
    <t>23.85亿</t>
  </si>
  <si>
    <t>520.06万</t>
  </si>
  <si>
    <t>8032.22万</t>
  </si>
  <si>
    <t>10派0.02元(含税)</t>
  </si>
  <si>
    <t>2566.78万</t>
  </si>
  <si>
    <t>0151000000</t>
  </si>
  <si>
    <t>0453000000</t>
  </si>
  <si>
    <t>0906000000</t>
  </si>
  <si>
    <t>01510000000</t>
  </si>
  <si>
    <t>03020000000</t>
  </si>
  <si>
    <t>1705.20万</t>
  </si>
  <si>
    <t>41.24亿</t>
  </si>
  <si>
    <t>93.70亿</t>
  </si>
  <si>
    <t>2387.73万</t>
  </si>
  <si>
    <t>24972459亿</t>
  </si>
  <si>
    <t>119.55万</t>
  </si>
  <si>
    <t>254190250亿</t>
  </si>
  <si>
    <t>1316698010亿</t>
  </si>
  <si>
    <t>9502.46万</t>
  </si>
  <si>
    <t>6706366600亿</t>
  </si>
  <si>
    <t>7750.31万</t>
  </si>
  <si>
    <t>17.59亿</t>
  </si>
  <si>
    <t>1677.66万</t>
  </si>
  <si>
    <t>40.30亿</t>
  </si>
  <si>
    <t>-235.84万</t>
  </si>
  <si>
    <t>-1245.13万</t>
  </si>
  <si>
    <t>67.59亿</t>
  </si>
  <si>
    <t>19.75亿</t>
  </si>
  <si>
    <t>10派4元(含税)</t>
  </si>
  <si>
    <t>5907.42万</t>
  </si>
  <si>
    <t>5.78亿</t>
  </si>
  <si>
    <t>023877300</t>
  </si>
  <si>
    <t>071631900</t>
  </si>
  <si>
    <t>0143263800</t>
  </si>
  <si>
    <t>0238773000</t>
  </si>
  <si>
    <t>0477546000</t>
  </si>
  <si>
    <t>756.60万</t>
  </si>
  <si>
    <t>15.94亿</t>
  </si>
  <si>
    <t>24.77亿</t>
  </si>
  <si>
    <t>6235.04万</t>
  </si>
  <si>
    <t>1964.54万</t>
  </si>
  <si>
    <t>-13234325亿</t>
  </si>
  <si>
    <t>3030.88万</t>
  </si>
  <si>
    <t>-12485197亿</t>
  </si>
  <si>
    <t>11.58亿</t>
  </si>
  <si>
    <t>37170188亿</t>
  </si>
  <si>
    <t>2610570900亿</t>
  </si>
  <si>
    <t>383.75万</t>
  </si>
  <si>
    <t>554.91万</t>
  </si>
  <si>
    <t>-5592.14万</t>
  </si>
  <si>
    <t>755.50万</t>
  </si>
  <si>
    <t>-1722.68万</t>
  </si>
  <si>
    <t>13.05亿</t>
  </si>
  <si>
    <t>5380.09万</t>
  </si>
  <si>
    <t>3618.37万</t>
  </si>
  <si>
    <t>-891.41万</t>
  </si>
  <si>
    <t>10派0.13元(含税)</t>
  </si>
  <si>
    <t>4859.92万</t>
  </si>
  <si>
    <t>1571.00万</t>
  </si>
  <si>
    <t>85.00亿</t>
  </si>
  <si>
    <t>30.53亿</t>
  </si>
  <si>
    <t>18.20亿</t>
  </si>
  <si>
    <t>8927.52万</t>
  </si>
  <si>
    <t>2291.49万</t>
  </si>
  <si>
    <t>6.57万</t>
  </si>
  <si>
    <t>-97645815亿</t>
  </si>
  <si>
    <t>2808052300亿</t>
  </si>
  <si>
    <t>1536.61万</t>
  </si>
  <si>
    <t>4283284000亿</t>
  </si>
  <si>
    <t>8.22亿</t>
  </si>
  <si>
    <t>136.74万</t>
  </si>
  <si>
    <t>22.05亿</t>
  </si>
  <si>
    <t>52.68亿</t>
  </si>
  <si>
    <t>210.70万</t>
  </si>
  <si>
    <t>-1.69亿</t>
  </si>
  <si>
    <t>9751.18万</t>
  </si>
  <si>
    <t>994.55万</t>
  </si>
  <si>
    <t>-6.26亿</t>
  </si>
  <si>
    <t>2961.29万</t>
  </si>
  <si>
    <t>5941.63万</t>
  </si>
  <si>
    <t>0267825600</t>
  </si>
  <si>
    <t>0535651200</t>
  </si>
  <si>
    <t>0892752000</t>
  </si>
  <si>
    <t>01785504000</t>
  </si>
  <si>
    <t>1507.28万</t>
  </si>
  <si>
    <t>65.71亿</t>
  </si>
  <si>
    <t>13.61亿</t>
  </si>
  <si>
    <t>4166.09亿</t>
  </si>
  <si>
    <t>1238.43亿</t>
  </si>
  <si>
    <t>4840.38万</t>
  </si>
  <si>
    <t>5592.69万</t>
  </si>
  <si>
    <t>-3962503亿</t>
  </si>
  <si>
    <t>20.38万</t>
  </si>
  <si>
    <t>-182089700亿</t>
  </si>
  <si>
    <t>710909550亿</t>
  </si>
  <si>
    <t>110.19万</t>
  </si>
  <si>
    <t>1685384500亿</t>
  </si>
  <si>
    <t>4518.62万</t>
  </si>
  <si>
    <t>7549.91万</t>
  </si>
  <si>
    <t>9.08亿</t>
  </si>
  <si>
    <t>269.89万</t>
  </si>
  <si>
    <t>31.50亿</t>
  </si>
  <si>
    <t>-9941.48万</t>
  </si>
  <si>
    <t>-6642.70万</t>
  </si>
  <si>
    <t>9113.87万</t>
  </si>
  <si>
    <t>977.11亿</t>
  </si>
  <si>
    <t>-6.98亿</t>
  </si>
  <si>
    <t>321.13亿</t>
  </si>
  <si>
    <t>4524.15万</t>
  </si>
  <si>
    <t>2118.19万</t>
  </si>
  <si>
    <t>141.12亿</t>
  </si>
  <si>
    <t>232.11亿</t>
  </si>
  <si>
    <t>18.62亿</t>
  </si>
  <si>
    <t>46.70亿</t>
  </si>
  <si>
    <t>-1.99亿</t>
  </si>
  <si>
    <t>14.18亿</t>
  </si>
  <si>
    <t>64622421亿</t>
  </si>
  <si>
    <t>-56237199亿</t>
  </si>
  <si>
    <t>54.73亿</t>
  </si>
  <si>
    <t>1296889060亿</t>
  </si>
  <si>
    <t>2532.88万</t>
  </si>
  <si>
    <t>12282936100亿</t>
  </si>
  <si>
    <t>135.01亿</t>
  </si>
  <si>
    <t>3340.22万</t>
  </si>
  <si>
    <t>-439.72万</t>
  </si>
  <si>
    <t>-5.89亿</t>
  </si>
  <si>
    <t>75.97亿</t>
  </si>
  <si>
    <t>12.16亿</t>
  </si>
  <si>
    <t>-127.73万</t>
  </si>
  <si>
    <t>1502.63万</t>
  </si>
  <si>
    <t>33.28亿</t>
  </si>
  <si>
    <t>50.85亿</t>
  </si>
  <si>
    <t>96.66亿</t>
  </si>
  <si>
    <t>18.95亿</t>
  </si>
  <si>
    <t>5090.73万</t>
  </si>
  <si>
    <t>5359.72万</t>
  </si>
  <si>
    <t>-166007亿</t>
  </si>
  <si>
    <t>7.10万</t>
  </si>
  <si>
    <t>24667219亿</t>
  </si>
  <si>
    <t>3748743200亿</t>
  </si>
  <si>
    <t>6900.12万</t>
  </si>
  <si>
    <t>6415801700亿</t>
  </si>
  <si>
    <t>71.92万</t>
  </si>
  <si>
    <t>29.80亿</t>
  </si>
  <si>
    <t>4679.19万</t>
  </si>
  <si>
    <t>1048.70万</t>
  </si>
  <si>
    <t>8140.86万</t>
  </si>
  <si>
    <t>108.18亿</t>
  </si>
  <si>
    <t>23.72亿</t>
  </si>
  <si>
    <t>7286.31万</t>
  </si>
  <si>
    <t>5.60亿</t>
  </si>
  <si>
    <t>1119.65万</t>
  </si>
  <si>
    <t>126.77亿</t>
  </si>
  <si>
    <t>44.32亿</t>
  </si>
  <si>
    <t>228.41亿</t>
  </si>
  <si>
    <t>10.90亿</t>
  </si>
  <si>
    <t>2228.51万</t>
  </si>
  <si>
    <t>6913.92万</t>
  </si>
  <si>
    <t>57759715亿</t>
  </si>
  <si>
    <t>92.57万</t>
  </si>
  <si>
    <t>-263080760亿</t>
  </si>
  <si>
    <t>2948204000亿</t>
  </si>
  <si>
    <t>87.50万</t>
  </si>
  <si>
    <t>5121638600亿</t>
  </si>
  <si>
    <t>37.82亿</t>
  </si>
  <si>
    <t>29.31亿</t>
  </si>
  <si>
    <t>102.46亿</t>
  </si>
  <si>
    <t>16.69亿</t>
  </si>
  <si>
    <t>8932.91万</t>
  </si>
  <si>
    <t>-7479.72万</t>
  </si>
  <si>
    <t>1137.87万</t>
  </si>
  <si>
    <t>18.52亿</t>
  </si>
  <si>
    <t>62.62亿</t>
  </si>
  <si>
    <t>-13.85亿</t>
  </si>
  <si>
    <t>8226.62万</t>
  </si>
  <si>
    <t>570.60万</t>
  </si>
  <si>
    <t>79.91亿</t>
  </si>
  <si>
    <t>24.70亿</t>
  </si>
  <si>
    <t>7388.72万</t>
  </si>
  <si>
    <t>20.06亿</t>
  </si>
  <si>
    <t>-223452亿</t>
  </si>
  <si>
    <t>99.48万</t>
  </si>
  <si>
    <t>200424500亿</t>
  </si>
  <si>
    <t>61.83亿</t>
  </si>
  <si>
    <t>2001459600亿</t>
  </si>
  <si>
    <t>13500127000亿</t>
  </si>
  <si>
    <t>4628.23万</t>
  </si>
  <si>
    <t>36.76亿</t>
  </si>
  <si>
    <t>1924.82万</t>
  </si>
  <si>
    <t>70.90亿</t>
  </si>
  <si>
    <t>-5.42亿</t>
  </si>
  <si>
    <t>-1.03亿</t>
  </si>
  <si>
    <t>-4161.98万</t>
  </si>
  <si>
    <t>112.31亿</t>
  </si>
  <si>
    <t>121.54亿</t>
  </si>
  <si>
    <t>1546.87万</t>
  </si>
  <si>
    <t>10派5.6元(含税)</t>
  </si>
  <si>
    <t>4753.04万</t>
  </si>
  <si>
    <t>073887200</t>
  </si>
  <si>
    <t>0221661600</t>
  </si>
  <si>
    <t>0443323200</t>
  </si>
  <si>
    <t>0738872000</t>
  </si>
  <si>
    <t>01477744000</t>
  </si>
  <si>
    <t>1437.44万</t>
  </si>
  <si>
    <t>91.65亿</t>
  </si>
  <si>
    <t>164.58亿</t>
  </si>
  <si>
    <t>8141843亿</t>
  </si>
  <si>
    <t>232.01万</t>
  </si>
  <si>
    <t>249641500亿</t>
  </si>
  <si>
    <t>113.27亿</t>
  </si>
  <si>
    <t>1891999100亿</t>
  </si>
  <si>
    <t>1017.07万</t>
  </si>
  <si>
    <t>21159223000亿</t>
  </si>
  <si>
    <t>9940.00万</t>
  </si>
  <si>
    <t>41.70亿</t>
  </si>
  <si>
    <t>959.84万</t>
  </si>
  <si>
    <t>85.33亿</t>
  </si>
  <si>
    <t>34.98万</t>
  </si>
  <si>
    <t>-8686.15万</t>
  </si>
  <si>
    <t>-6407.24万</t>
  </si>
  <si>
    <t>136.13亿</t>
  </si>
  <si>
    <t>18.55亿</t>
  </si>
  <si>
    <t>10派5.5元(含税)</t>
  </si>
  <si>
    <t>4998.27万</t>
  </si>
  <si>
    <t>0251000000</t>
  </si>
  <si>
    <t>0753000000</t>
  </si>
  <si>
    <t>01506000000</t>
  </si>
  <si>
    <t>02510000000</t>
  </si>
  <si>
    <t>05020000000</t>
  </si>
  <si>
    <t>594.69万</t>
  </si>
  <si>
    <t>69.65亿</t>
  </si>
  <si>
    <t>120.27亿</t>
  </si>
  <si>
    <t>29.29亿</t>
  </si>
  <si>
    <t>441.09亿</t>
  </si>
  <si>
    <t>30.13亿</t>
  </si>
  <si>
    <t>23.98亿</t>
  </si>
  <si>
    <t>3196253亿</t>
  </si>
  <si>
    <t>163.60万</t>
  </si>
  <si>
    <t>314622600亿</t>
  </si>
  <si>
    <t>109.48亿</t>
  </si>
  <si>
    <t>2196528200亿</t>
  </si>
  <si>
    <t>355.57万</t>
  </si>
  <si>
    <t>14756947000亿</t>
  </si>
  <si>
    <t>20.74万</t>
  </si>
  <si>
    <t>36.29亿</t>
  </si>
  <si>
    <t>2556.19万</t>
  </si>
  <si>
    <t>67.30亿</t>
  </si>
  <si>
    <t>6.15亿</t>
  </si>
  <si>
    <t>-12.09亿</t>
  </si>
  <si>
    <t>-3.04亿</t>
  </si>
  <si>
    <t>100.94亿</t>
  </si>
  <si>
    <t>86.59亿</t>
  </si>
  <si>
    <t>112.44亿</t>
  </si>
  <si>
    <t>84.56亿</t>
  </si>
  <si>
    <t>10派3.05元(含税)</t>
  </si>
  <si>
    <t>4257.83万</t>
  </si>
  <si>
    <t>443.37万</t>
  </si>
  <si>
    <t>83.73亿</t>
  </si>
  <si>
    <t>138.56亿</t>
  </si>
  <si>
    <t>24.74亿</t>
  </si>
  <si>
    <t>406.83亿</t>
  </si>
  <si>
    <t>115.46亿</t>
  </si>
  <si>
    <t>21.87亿</t>
  </si>
  <si>
    <t>16.28亿</t>
  </si>
  <si>
    <t>3765423亿</t>
  </si>
  <si>
    <t>59.15万</t>
  </si>
  <si>
    <t>223298870亿</t>
  </si>
  <si>
    <t>89.83亿</t>
  </si>
  <si>
    <t>2051692000亿</t>
  </si>
  <si>
    <t>319.67万</t>
  </si>
  <si>
    <t>14735118000亿</t>
  </si>
  <si>
    <t>2524.75万</t>
  </si>
  <si>
    <t>1000.00万</t>
  </si>
  <si>
    <t>2734.94万</t>
  </si>
  <si>
    <t>59.95亿</t>
  </si>
  <si>
    <t>37.37万</t>
  </si>
  <si>
    <t>83.66亿</t>
  </si>
  <si>
    <t>-1890.54万</t>
  </si>
  <si>
    <t>118.68亿</t>
  </si>
  <si>
    <t>89.39亿</t>
  </si>
  <si>
    <t>15.79亿</t>
  </si>
  <si>
    <t>22.26亿</t>
  </si>
  <si>
    <t>1842.50万</t>
  </si>
  <si>
    <t>351.07万</t>
  </si>
  <si>
    <t>18.76亿</t>
  </si>
  <si>
    <t>52.41亿</t>
  </si>
  <si>
    <t>44.20亿</t>
  </si>
  <si>
    <t>3421.86万</t>
  </si>
  <si>
    <t>5672.02万</t>
  </si>
  <si>
    <t>368647亿</t>
  </si>
  <si>
    <t>9.06万</t>
  </si>
  <si>
    <t>31051291亿</t>
  </si>
  <si>
    <t>186741840亿</t>
  </si>
  <si>
    <t>3102906200亿</t>
  </si>
  <si>
    <t>15.24亿</t>
  </si>
  <si>
    <t>31.41万</t>
  </si>
  <si>
    <t>-2.89亿</t>
  </si>
  <si>
    <t>-5.41亿</t>
  </si>
  <si>
    <t>-411.98万</t>
  </si>
  <si>
    <t>28.79亿</t>
  </si>
  <si>
    <t>10派2.6元(含税)</t>
  </si>
  <si>
    <t>2062.85万</t>
  </si>
  <si>
    <t>660.76万</t>
  </si>
  <si>
    <t>74.81亿</t>
  </si>
  <si>
    <t>89.28亿</t>
  </si>
  <si>
    <t>71.19亿</t>
  </si>
  <si>
    <t>21.52亿</t>
  </si>
  <si>
    <t>-4665401亿</t>
  </si>
  <si>
    <t>37.19万</t>
  </si>
  <si>
    <t>168901130亿</t>
  </si>
  <si>
    <t>1917618200亿</t>
  </si>
  <si>
    <t>61.02万</t>
  </si>
  <si>
    <t>8066784700亿</t>
  </si>
  <si>
    <t>8676.00万</t>
  </si>
  <si>
    <t>41.90亿</t>
  </si>
  <si>
    <t>181.12万</t>
  </si>
  <si>
    <t>11.63亿</t>
  </si>
  <si>
    <t>-5.78亿</t>
  </si>
  <si>
    <t>90.61亿</t>
  </si>
  <si>
    <t>93.65亿</t>
  </si>
  <si>
    <t>17.73亿</t>
  </si>
  <si>
    <t>10派5.4元(含税)</t>
  </si>
  <si>
    <t>4104.34万</t>
  </si>
  <si>
    <t>711.40万</t>
  </si>
  <si>
    <t>88.60亿</t>
  </si>
  <si>
    <t>135.20亿</t>
  </si>
  <si>
    <t>27.03亿</t>
  </si>
  <si>
    <t>136.45亿</t>
  </si>
  <si>
    <t>29.52亿</t>
  </si>
  <si>
    <t>25.43亿</t>
  </si>
  <si>
    <t>1194613亿</t>
  </si>
  <si>
    <t>150.37万</t>
  </si>
  <si>
    <t>108340357亿</t>
  </si>
  <si>
    <t>88.55亿</t>
  </si>
  <si>
    <t>1266321920亿</t>
  </si>
  <si>
    <t>330.00万</t>
  </si>
  <si>
    <t>17390207000亿</t>
  </si>
  <si>
    <t>5589.27万</t>
  </si>
  <si>
    <t>64.98亿</t>
  </si>
  <si>
    <t>4365.95万</t>
  </si>
  <si>
    <t>88.46亿</t>
  </si>
  <si>
    <t>-10.64亿</t>
  </si>
  <si>
    <t>-932.90万</t>
  </si>
  <si>
    <t>116.74亿</t>
  </si>
  <si>
    <t>4778.52万</t>
  </si>
  <si>
    <t>1841.86万</t>
  </si>
  <si>
    <t>119.21亿</t>
  </si>
  <si>
    <t>197.71亿</t>
  </si>
  <si>
    <t>33.44亿</t>
  </si>
  <si>
    <t>16.00亿</t>
  </si>
  <si>
    <t>-6.93亿</t>
  </si>
  <si>
    <t>21.44亿</t>
  </si>
  <si>
    <t>7475551亿</t>
  </si>
  <si>
    <t>557.90万</t>
  </si>
  <si>
    <t>346322130亿</t>
  </si>
  <si>
    <t>1052861420亿</t>
  </si>
  <si>
    <t>2890.09万</t>
  </si>
  <si>
    <t>11701821700亿</t>
  </si>
  <si>
    <t>672.16万</t>
  </si>
  <si>
    <t>623.06万</t>
  </si>
  <si>
    <t>53.24亿</t>
  </si>
  <si>
    <t>9546.33万</t>
  </si>
  <si>
    <t>102.27亿</t>
  </si>
  <si>
    <t>1330.75万</t>
  </si>
  <si>
    <t>-3148.43万</t>
  </si>
  <si>
    <t>208.54万</t>
  </si>
  <si>
    <t>6575.99万</t>
  </si>
  <si>
    <t>78.30亿</t>
  </si>
  <si>
    <t>64.53亿</t>
  </si>
  <si>
    <t>786.42亿</t>
  </si>
  <si>
    <t>-13.29亿</t>
  </si>
  <si>
    <t>4352.35万</t>
  </si>
  <si>
    <t>6753.87万</t>
  </si>
  <si>
    <t>111.08万</t>
  </si>
  <si>
    <t>-133492416亿</t>
  </si>
  <si>
    <t>363221950亿</t>
  </si>
  <si>
    <t>286.18万</t>
  </si>
  <si>
    <t>2049355100亿</t>
  </si>
  <si>
    <t>10.70亿</t>
  </si>
  <si>
    <t>7100.00万</t>
  </si>
  <si>
    <t>110.87万</t>
  </si>
  <si>
    <t>26.97亿</t>
  </si>
  <si>
    <t>-4.24亿</t>
  </si>
  <si>
    <t>238.02亿</t>
  </si>
  <si>
    <t>49.06亿</t>
  </si>
  <si>
    <t>777.05万</t>
  </si>
  <si>
    <t>53.02亿</t>
  </si>
  <si>
    <t>103.20亿</t>
  </si>
  <si>
    <t>121.68亿</t>
  </si>
  <si>
    <t>8605.43万</t>
  </si>
  <si>
    <t>78138亿</t>
  </si>
  <si>
    <t>571.40万</t>
  </si>
  <si>
    <t>-26887446亿</t>
  </si>
  <si>
    <t>713730060亿</t>
  </si>
  <si>
    <t>9041.99万</t>
  </si>
  <si>
    <t>9881882500亿</t>
  </si>
  <si>
    <t>2058.81万</t>
  </si>
  <si>
    <t>40.57亿</t>
  </si>
  <si>
    <t>5200.00万</t>
  </si>
  <si>
    <t>-4.58亿</t>
  </si>
  <si>
    <t>-716.71万</t>
  </si>
  <si>
    <t>62.98亿</t>
  </si>
  <si>
    <t>24.54亿</t>
  </si>
  <si>
    <t>10派1.53元(含税)</t>
  </si>
  <si>
    <t>4275.46万</t>
  </si>
  <si>
    <t>436.16万</t>
  </si>
  <si>
    <t>5.39亿</t>
  </si>
  <si>
    <t>4435.80万</t>
  </si>
  <si>
    <t>6015.47万</t>
  </si>
  <si>
    <t>-2499097亿</t>
  </si>
  <si>
    <t>53.40万</t>
  </si>
  <si>
    <t>-12245655亿</t>
  </si>
  <si>
    <t>669852650亿</t>
  </si>
  <si>
    <t>732.59万</t>
  </si>
  <si>
    <t>2675101800亿</t>
  </si>
  <si>
    <t>198.18万</t>
  </si>
  <si>
    <t>14.20亿</t>
  </si>
  <si>
    <t>-2.66亿</t>
  </si>
  <si>
    <t>-329.37万</t>
  </si>
  <si>
    <t>123.88万</t>
  </si>
  <si>
    <t>7536.42万</t>
  </si>
  <si>
    <t>24.12亿</t>
  </si>
  <si>
    <t>2749.94万</t>
  </si>
  <si>
    <t>10派0.62元(含税)</t>
  </si>
  <si>
    <t>2130.03万</t>
  </si>
  <si>
    <t>0993000000</t>
  </si>
  <si>
    <t>01986000000</t>
  </si>
  <si>
    <t>03310000000</t>
  </si>
  <si>
    <t>06620000000</t>
  </si>
  <si>
    <t>1116.46万</t>
  </si>
  <si>
    <t>14.45亿</t>
  </si>
  <si>
    <t>39.97亿</t>
  </si>
  <si>
    <t>3.23亿</t>
  </si>
  <si>
    <t>-9327.89万</t>
  </si>
  <si>
    <t>7084.63万</t>
  </si>
  <si>
    <t>5530.56万</t>
  </si>
  <si>
    <t>7478387亿</t>
  </si>
  <si>
    <t>4.05万</t>
  </si>
  <si>
    <t>-18914970亿</t>
  </si>
  <si>
    <t>13.38亿</t>
  </si>
  <si>
    <t>408289310亿</t>
  </si>
  <si>
    <t>87.63万</t>
  </si>
  <si>
    <t>3585339200亿</t>
  </si>
  <si>
    <t>-2.14亿</t>
  </si>
  <si>
    <t>-3.93亿</t>
  </si>
  <si>
    <t>-3230.40万</t>
  </si>
  <si>
    <t>4083.96万</t>
  </si>
  <si>
    <t>10派1.69元(含税)</t>
  </si>
  <si>
    <t>5940.29万</t>
  </si>
  <si>
    <t>104.33万</t>
  </si>
  <si>
    <t>20.24亿</t>
  </si>
  <si>
    <t>15.10亿</t>
  </si>
  <si>
    <t>1.21亿</t>
  </si>
  <si>
    <t>4035.81万</t>
  </si>
  <si>
    <t>1414.50万</t>
  </si>
  <si>
    <t>2334721亿</t>
  </si>
  <si>
    <t>13.25万</t>
  </si>
  <si>
    <t>41443713亿</t>
  </si>
  <si>
    <t>165722170亿</t>
  </si>
  <si>
    <t>1757554500亿</t>
  </si>
  <si>
    <t>590.90万</t>
  </si>
  <si>
    <t>4648.36万</t>
  </si>
  <si>
    <t>-5323.83万</t>
  </si>
  <si>
    <t>9.01亿</t>
  </si>
  <si>
    <t>1253.63万</t>
  </si>
  <si>
    <t>10派9.0元(含税)</t>
  </si>
  <si>
    <t>678.88万</t>
  </si>
  <si>
    <t>4972.31万</t>
  </si>
  <si>
    <t>212.93万</t>
  </si>
  <si>
    <t>18.28亿</t>
  </si>
  <si>
    <t>27.04亿</t>
  </si>
  <si>
    <t>17.48亿</t>
  </si>
  <si>
    <t>5077.63万</t>
  </si>
  <si>
    <t>6728.32万</t>
  </si>
  <si>
    <t>13210356亿</t>
  </si>
  <si>
    <t>42.86万</t>
  </si>
  <si>
    <t>112167480亿</t>
  </si>
  <si>
    <t>710513910亿</t>
  </si>
  <si>
    <t>3462137900亿</t>
  </si>
  <si>
    <t>7783.79万</t>
  </si>
  <si>
    <t>10.63亿</t>
  </si>
  <si>
    <t>14.93亿</t>
  </si>
  <si>
    <t>-2.17亿</t>
  </si>
  <si>
    <t>-3.85亿</t>
  </si>
  <si>
    <t>-6.55万</t>
  </si>
  <si>
    <t>18.40亿</t>
  </si>
  <si>
    <t>2521.88万</t>
  </si>
  <si>
    <t>1195.14万</t>
  </si>
  <si>
    <t>9364.11万</t>
  </si>
  <si>
    <t>503.83万</t>
  </si>
  <si>
    <t>24.51亿</t>
  </si>
  <si>
    <t>24.48亿</t>
  </si>
  <si>
    <t>40.41亿</t>
  </si>
  <si>
    <t>2455.67万</t>
  </si>
  <si>
    <t>2796.75万</t>
  </si>
  <si>
    <t>625722亿</t>
  </si>
  <si>
    <t>-15112050亿</t>
  </si>
  <si>
    <t>16.37亿</t>
  </si>
  <si>
    <t>1507206800亿</t>
  </si>
  <si>
    <t>3363.00万</t>
  </si>
  <si>
    <t>3963430500亿</t>
  </si>
  <si>
    <t>635.00万</t>
  </si>
  <si>
    <t>15.75万</t>
  </si>
  <si>
    <t>-294.95万</t>
  </si>
  <si>
    <t>23.50亿</t>
  </si>
  <si>
    <t>-2.06亿</t>
  </si>
  <si>
    <t>2859.86万</t>
  </si>
  <si>
    <t>1401.26万</t>
  </si>
  <si>
    <t>6.78亿</t>
  </si>
  <si>
    <t>12.25亿</t>
  </si>
  <si>
    <t>1.98亿</t>
  </si>
  <si>
    <t>2776.15万</t>
  </si>
  <si>
    <t>6576518亿</t>
  </si>
  <si>
    <t>3.98万</t>
  </si>
  <si>
    <t>-75269107亿</t>
  </si>
  <si>
    <t>311174840亿</t>
  </si>
  <si>
    <t>2468843100亿</t>
  </si>
  <si>
    <t>-1.49亿</t>
  </si>
  <si>
    <t>3588.73万</t>
  </si>
  <si>
    <t>-109.34万</t>
  </si>
  <si>
    <t>27.78亿</t>
  </si>
  <si>
    <t>3484.43万</t>
  </si>
  <si>
    <t>4300.35万</t>
  </si>
  <si>
    <t>8380.28万</t>
  </si>
  <si>
    <t>0492000000</t>
  </si>
  <si>
    <t>0984000000</t>
  </si>
  <si>
    <t>01640000000</t>
  </si>
  <si>
    <t>03280000000</t>
  </si>
  <si>
    <t>1189.09万</t>
  </si>
  <si>
    <t>58.68亿</t>
  </si>
  <si>
    <t>2332.88万</t>
  </si>
  <si>
    <t>1794.82万</t>
  </si>
  <si>
    <t>-451352亿</t>
  </si>
  <si>
    <t>17.35万</t>
  </si>
  <si>
    <t>7914005亿</t>
  </si>
  <si>
    <t>5108.03万</t>
  </si>
  <si>
    <t>540908750亿</t>
  </si>
  <si>
    <t>1200.78万</t>
  </si>
  <si>
    <t>1278225390亿</t>
  </si>
  <si>
    <t>3005.28万</t>
  </si>
  <si>
    <t>-2.50亿</t>
  </si>
  <si>
    <t>-9.49万</t>
  </si>
  <si>
    <t>-2163.58万</t>
  </si>
  <si>
    <t>-9990.96万</t>
  </si>
  <si>
    <t>47.38亿</t>
  </si>
  <si>
    <t>19.26亿</t>
  </si>
  <si>
    <t>4804.06万</t>
  </si>
  <si>
    <t>5117.47万</t>
  </si>
  <si>
    <t>254.03万</t>
  </si>
  <si>
    <t>8545.88万</t>
  </si>
  <si>
    <t>58.61亿</t>
  </si>
  <si>
    <t>9799.90万</t>
  </si>
  <si>
    <t>8028.45万</t>
  </si>
  <si>
    <t>303.35万</t>
  </si>
  <si>
    <t>1167.28万</t>
  </si>
  <si>
    <t>-1050296亿</t>
  </si>
  <si>
    <t>-14549019亿</t>
  </si>
  <si>
    <t>2300.28万</t>
  </si>
  <si>
    <t>132427333亿</t>
  </si>
  <si>
    <t>200.00万</t>
  </si>
  <si>
    <t>241723480亿</t>
  </si>
  <si>
    <t>5508.10万</t>
  </si>
  <si>
    <t>6833.46万</t>
  </si>
  <si>
    <t>5936.60万</t>
  </si>
  <si>
    <t>-155.29万</t>
  </si>
  <si>
    <t>-321.16万</t>
  </si>
  <si>
    <t>-5242.02万</t>
  </si>
  <si>
    <t>1467.39万</t>
  </si>
  <si>
    <t>1748.12万</t>
  </si>
  <si>
    <t>23.26亿</t>
  </si>
  <si>
    <t>8394.16万</t>
  </si>
  <si>
    <t>9352.85万</t>
  </si>
  <si>
    <t>2227.41万</t>
  </si>
  <si>
    <t>21533亿</t>
  </si>
  <si>
    <t>6.42万</t>
  </si>
  <si>
    <t>-46632003亿</t>
  </si>
  <si>
    <t>1694070600亿</t>
  </si>
  <si>
    <t>2336595000亿</t>
  </si>
  <si>
    <t>8128.57万</t>
  </si>
  <si>
    <t>-1915.56万</t>
  </si>
  <si>
    <t>-1950.09万</t>
  </si>
  <si>
    <t>-6.46亿</t>
  </si>
  <si>
    <t>55.00亿</t>
  </si>
  <si>
    <t>-6.89亿</t>
  </si>
  <si>
    <t>1348.41万</t>
  </si>
  <si>
    <t>0251824800</t>
  </si>
  <si>
    <t>0503649600</t>
  </si>
  <si>
    <t>0839416000</t>
  </si>
  <si>
    <t>01678832000</t>
  </si>
  <si>
    <t>680.87万</t>
  </si>
  <si>
    <t>34.59亿</t>
  </si>
  <si>
    <t>44.38亿</t>
  </si>
  <si>
    <t>5227.39万</t>
  </si>
  <si>
    <t>2227.42万</t>
  </si>
  <si>
    <t>-9492649亿</t>
  </si>
  <si>
    <t>63.11万</t>
  </si>
  <si>
    <t>18085340亿</t>
  </si>
  <si>
    <t>28.23亿</t>
  </si>
  <si>
    <t>367597580亿</t>
  </si>
  <si>
    <t>181.48万</t>
  </si>
  <si>
    <t>3815265700亿</t>
  </si>
  <si>
    <t>-3.63亿</t>
  </si>
  <si>
    <t>-2103.26万</t>
  </si>
  <si>
    <t>9.78亿</t>
  </si>
  <si>
    <t>9011.48万</t>
  </si>
  <si>
    <t>10派2.11元(含税)</t>
  </si>
  <si>
    <t>3876.10万</t>
  </si>
  <si>
    <t>456.76万</t>
  </si>
  <si>
    <t>5.33亿</t>
  </si>
  <si>
    <t>19.86亿</t>
  </si>
  <si>
    <t>1062.48万</t>
  </si>
  <si>
    <t>2347.61万</t>
  </si>
  <si>
    <t>-193517亿</t>
  </si>
  <si>
    <t>2.94万</t>
  </si>
  <si>
    <t>6788898亿</t>
  </si>
  <si>
    <t>244827410亿</t>
  </si>
  <si>
    <t>10.00万</t>
  </si>
  <si>
    <t>1746300800亿</t>
  </si>
  <si>
    <t>33.13万</t>
  </si>
  <si>
    <t>160.34万</t>
  </si>
  <si>
    <t>-5772.34万</t>
  </si>
  <si>
    <t>-1097.10万</t>
  </si>
  <si>
    <t>8590.43万</t>
  </si>
  <si>
    <t>9816.84万</t>
  </si>
  <si>
    <t>-4027.51万</t>
  </si>
  <si>
    <t>10派0.52元(含税)</t>
  </si>
  <si>
    <t>2504.97万</t>
  </si>
  <si>
    <t>230.71万</t>
  </si>
  <si>
    <t>18.83亿</t>
  </si>
  <si>
    <t>7859.84万</t>
  </si>
  <si>
    <t>1336.70万</t>
  </si>
  <si>
    <t>82057亿</t>
  </si>
  <si>
    <t>48370739亿</t>
  </si>
  <si>
    <t>2187683900亿</t>
  </si>
  <si>
    <t>628.48万</t>
  </si>
  <si>
    <t>3398703800亿</t>
  </si>
  <si>
    <t>7.00亿</t>
  </si>
  <si>
    <t>-2279.89万</t>
  </si>
  <si>
    <t>1448.72万</t>
  </si>
  <si>
    <t>52.84亿</t>
  </si>
  <si>
    <t>1376.78万</t>
  </si>
  <si>
    <t>10转4.5股派17元(含税)</t>
  </si>
  <si>
    <t>1262.25万</t>
  </si>
  <si>
    <t>7321.80万</t>
  </si>
  <si>
    <t>XD龙版传</t>
  </si>
  <si>
    <t>476.69万</t>
  </si>
  <si>
    <t>16.76亿</t>
  </si>
  <si>
    <t>6.45亿</t>
  </si>
  <si>
    <t>7.89亿</t>
  </si>
  <si>
    <t>5368.38万</t>
  </si>
  <si>
    <t>6422.94万</t>
  </si>
  <si>
    <t>1197569亿</t>
  </si>
  <si>
    <t>18.48万</t>
  </si>
  <si>
    <t>134017203亿</t>
  </si>
  <si>
    <t>461526600亿</t>
  </si>
  <si>
    <t>3192741300亿</t>
  </si>
  <si>
    <t>2159.34万</t>
  </si>
  <si>
    <t>9.57亿</t>
  </si>
  <si>
    <t>-413.86万</t>
  </si>
  <si>
    <t>-1142.39万</t>
  </si>
  <si>
    <t>18.44亿</t>
  </si>
  <si>
    <t>2688.43万</t>
  </si>
  <si>
    <t>2906.25万</t>
  </si>
  <si>
    <t>0136000000</t>
  </si>
  <si>
    <t>0408000000</t>
  </si>
  <si>
    <t>0816000000</t>
  </si>
  <si>
    <t>01360000000</t>
  </si>
  <si>
    <t>02720000000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</si>
</sst>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3"/>
      <charset val="134"/>
      <scheme val="minor"/>
    </font>
    <font>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3" fillId="0" borderId="0" xfId="0" applyFont="1">
      <alignment vertical="center"/>
    </xf>
    <xf numFmtId="0" fontId="5"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0" fillId="0" borderId="0" xfId="0" applyNumberFormat="1">
      <alignment vertical="center"/>
    </xf>
    <xf numFmtId="0" fontId="7"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152400</xdr:colOff>
          <xdr:row>0</xdr:row>
          <xdr:rowOff>50800</xdr:rowOff>
        </xdr:from>
        <xdr:to>
          <xdr:col>147</xdr:col>
          <xdr:colOff>1593850</xdr:colOff>
          <xdr:row>0</xdr:row>
          <xdr:rowOff>533400</xdr:rowOff>
        </xdr:to>
        <xdr:sp macro="" textlink="">
          <xdr:nvSpPr>
            <xdr:cNvPr id="1025" name="Button 1" descr="更新基本面按钮&#10;"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60"/>
  <sheetViews>
    <sheetView tabSelected="1" zoomScale="85" zoomScaleNormal="85" workbookViewId="0">
      <pane xSplit="5" ySplit="1" topLeftCell="F2" activePane="bottomRight" state="frozen"/>
      <selection pane="topRight" activeCell="F1" sqref="F1"/>
      <selection pane="bottomLeft" activeCell="A2" sqref="A2"/>
      <selection pane="bottomRight" activeCell="C13" sqref="C13:C14"/>
    </sheetView>
  </sheetViews>
  <sheetFormatPr defaultRowHeight="14" x14ac:dyDescent="0.25"/>
  <cols>
    <col min="1" max="1" width="36.08984375" customWidth="1"/>
    <col min="2" max="2" width="39" customWidth="1"/>
    <col min="3" max="3" width="39.1796875" customWidth="1"/>
    <col min="9" max="9" width="13.1796875" customWidth="1"/>
    <col min="16" max="16" width="12.453125" customWidth="1"/>
    <col min="148" max="148" width="27.36328125" customWidth="1"/>
  </cols>
  <sheetData>
    <row r="1" spans="1:146" ht="28.5" customHeight="1" x14ac:dyDescent="0.25">
      <c r="A1" s="3" t="s">
        <v>980</v>
      </c>
      <c r="B1" s="4" t="s">
        <v>981</v>
      </c>
      <c r="C1" s="3" t="s">
        <v>982</v>
      </c>
      <c r="D1" t="s">
        <v>65</v>
      </c>
      <c r="E1" t="s">
        <v>74</v>
      </c>
      <c r="F1" t="s">
        <v>3</v>
      </c>
      <c r="G1" t="s">
        <v>66</v>
      </c>
      <c r="H1" t="s">
        <v>1132</v>
      </c>
      <c r="I1" t="s">
        <v>6</v>
      </c>
      <c r="J1" t="s">
        <v>7</v>
      </c>
      <c r="K1" t="s">
        <v>4</v>
      </c>
      <c r="L1" t="s">
        <v>8</v>
      </c>
      <c r="M1" t="s">
        <v>9</v>
      </c>
      <c r="N1" t="s">
        <v>10</v>
      </c>
      <c r="O1" t="s">
        <v>11</v>
      </c>
      <c r="P1" t="s">
        <v>1133</v>
      </c>
      <c r="Q1" t="s">
        <v>1134</v>
      </c>
      <c r="R1" t="s">
        <v>75</v>
      </c>
      <c r="S1" t="s">
        <v>12</v>
      </c>
      <c r="T1" t="s">
        <v>1135</v>
      </c>
      <c r="U1" t="s">
        <v>67</v>
      </c>
      <c r="V1" t="s">
        <v>13</v>
      </c>
      <c r="W1" t="s">
        <v>1136</v>
      </c>
      <c r="X1" t="s">
        <v>1137</v>
      </c>
      <c r="Y1" t="s">
        <v>1138</v>
      </c>
      <c r="Z1" t="s">
        <v>1139</v>
      </c>
      <c r="AA1" t="s">
        <v>1140</v>
      </c>
      <c r="AB1" t="s">
        <v>1141</v>
      </c>
      <c r="AC1" t="s">
        <v>1142</v>
      </c>
      <c r="AD1" t="s">
        <v>1143</v>
      </c>
      <c r="AE1" t="s">
        <v>14</v>
      </c>
      <c r="AF1" t="s">
        <v>15</v>
      </c>
      <c r="AG1" t="s">
        <v>1144</v>
      </c>
      <c r="AH1" t="s">
        <v>1145</v>
      </c>
      <c r="AI1" t="s">
        <v>1146</v>
      </c>
      <c r="AJ1" t="s">
        <v>16</v>
      </c>
      <c r="AK1" t="s">
        <v>1147</v>
      </c>
      <c r="AL1" t="s">
        <v>30</v>
      </c>
      <c r="AM1" t="s">
        <v>1148</v>
      </c>
      <c r="AN1" t="s">
        <v>1149</v>
      </c>
      <c r="AO1" t="s">
        <v>1150</v>
      </c>
      <c r="AP1" t="s">
        <v>1151</v>
      </c>
      <c r="AQ1" t="s">
        <v>1152</v>
      </c>
      <c r="AR1" t="s">
        <v>1153</v>
      </c>
      <c r="AS1" t="s">
        <v>1154</v>
      </c>
      <c r="AT1" t="s">
        <v>1155</v>
      </c>
      <c r="AU1" t="s">
        <v>1156</v>
      </c>
      <c r="AV1" t="s">
        <v>1157</v>
      </c>
      <c r="AW1" t="s">
        <v>1158</v>
      </c>
      <c r="AX1" t="s">
        <v>1159</v>
      </c>
      <c r="AY1" t="s">
        <v>1160</v>
      </c>
      <c r="AZ1" t="s">
        <v>31</v>
      </c>
      <c r="BA1" t="s">
        <v>32</v>
      </c>
      <c r="BB1" t="s">
        <v>33</v>
      </c>
      <c r="BC1" t="s">
        <v>1161</v>
      </c>
      <c r="BD1" t="s">
        <v>68</v>
      </c>
      <c r="BE1" t="s">
        <v>34</v>
      </c>
      <c r="BF1" t="s">
        <v>35</v>
      </c>
      <c r="BG1" t="s">
        <v>36</v>
      </c>
      <c r="BH1" t="s">
        <v>1162</v>
      </c>
      <c r="BI1" t="s">
        <v>1163</v>
      </c>
      <c r="BJ1" t="s">
        <v>1164</v>
      </c>
      <c r="BK1" t="s">
        <v>1165</v>
      </c>
      <c r="BL1" t="s">
        <v>1166</v>
      </c>
      <c r="BM1" t="s">
        <v>1167</v>
      </c>
      <c r="BN1" t="s">
        <v>1168</v>
      </c>
      <c r="BO1" t="s">
        <v>76</v>
      </c>
      <c r="BP1" t="s">
        <v>69</v>
      </c>
      <c r="BQ1" t="s">
        <v>1169</v>
      </c>
      <c r="BR1" t="s">
        <v>77</v>
      </c>
      <c r="BS1" t="s">
        <v>70</v>
      </c>
      <c r="BT1" t="s">
        <v>1170</v>
      </c>
      <c r="BU1" t="s">
        <v>78</v>
      </c>
      <c r="BV1" t="s">
        <v>1171</v>
      </c>
      <c r="BW1" t="s">
        <v>1172</v>
      </c>
      <c r="BX1" t="s">
        <v>53</v>
      </c>
      <c r="BY1" t="s">
        <v>1173</v>
      </c>
      <c r="BZ1" t="s">
        <v>1174</v>
      </c>
      <c r="CA1" t="s">
        <v>54</v>
      </c>
      <c r="CB1" t="s">
        <v>1175</v>
      </c>
      <c r="CC1" t="s">
        <v>1176</v>
      </c>
      <c r="CD1" t="s">
        <v>1177</v>
      </c>
      <c r="CE1" t="s">
        <v>1178</v>
      </c>
      <c r="CF1" s="1" t="s">
        <v>79</v>
      </c>
      <c r="CG1" s="1" t="s">
        <v>80</v>
      </c>
      <c r="CH1" s="1" t="s">
        <v>40</v>
      </c>
      <c r="CI1" s="1" t="s">
        <v>41</v>
      </c>
      <c r="CJ1" s="1" t="s">
        <v>42</v>
      </c>
      <c r="CK1" s="1" t="s">
        <v>43</v>
      </c>
      <c r="CL1" s="1" t="s">
        <v>44</v>
      </c>
      <c r="CM1" s="1" t="s">
        <v>45</v>
      </c>
      <c r="CN1" s="1" t="s">
        <v>46</v>
      </c>
      <c r="CO1" s="1" t="s">
        <v>47</v>
      </c>
      <c r="CP1" s="1" t="s">
        <v>48</v>
      </c>
      <c r="CQ1" s="1" t="s">
        <v>49</v>
      </c>
      <c r="CR1" s="1" t="s">
        <v>1179</v>
      </c>
      <c r="CS1" s="1" t="s">
        <v>1180</v>
      </c>
      <c r="CT1" s="1" t="s">
        <v>1181</v>
      </c>
      <c r="CU1" s="1" t="s">
        <v>1182</v>
      </c>
      <c r="CV1" s="1" t="s">
        <v>1183</v>
      </c>
      <c r="CW1" s="1" t="s">
        <v>1184</v>
      </c>
      <c r="CX1">
        <v>1</v>
      </c>
      <c r="CY1" t="s">
        <v>1185</v>
      </c>
      <c r="CZ1" t="s">
        <v>1186</v>
      </c>
      <c r="DA1">
        <v>3</v>
      </c>
      <c r="DB1" t="s">
        <v>1187</v>
      </c>
      <c r="DC1" t="s">
        <v>1188</v>
      </c>
      <c r="DD1">
        <v>6</v>
      </c>
      <c r="DE1" t="s">
        <v>1189</v>
      </c>
      <c r="DF1" t="s">
        <v>1190</v>
      </c>
      <c r="DG1">
        <v>10</v>
      </c>
      <c r="DH1" t="s">
        <v>1191</v>
      </c>
      <c r="DI1" t="s">
        <v>1192</v>
      </c>
      <c r="DJ1">
        <v>20</v>
      </c>
      <c r="DK1" t="s">
        <v>1193</v>
      </c>
      <c r="DL1" t="s">
        <v>50</v>
      </c>
      <c r="DM1" t="s">
        <v>51</v>
      </c>
      <c r="DN1" s="2" t="s">
        <v>52</v>
      </c>
      <c r="DO1" t="s">
        <v>1194</v>
      </c>
      <c r="DP1" t="s">
        <v>1195</v>
      </c>
      <c r="DQ1" s="9" t="s">
        <v>1196</v>
      </c>
      <c r="DR1" s="1" t="s">
        <v>1197</v>
      </c>
      <c r="DS1" s="1" t="s">
        <v>1198</v>
      </c>
      <c r="DT1" t="s">
        <v>1199</v>
      </c>
      <c r="DU1" t="s">
        <v>1200</v>
      </c>
      <c r="DV1" t="s">
        <v>1201</v>
      </c>
      <c r="DW1" t="s">
        <v>1202</v>
      </c>
      <c r="DX1" t="s">
        <v>1203</v>
      </c>
      <c r="DY1" t="s">
        <v>1204</v>
      </c>
      <c r="DZ1" t="s">
        <v>1205</v>
      </c>
      <c r="EA1" t="s">
        <v>1206</v>
      </c>
      <c r="EB1" t="s">
        <v>1207</v>
      </c>
      <c r="EC1" t="s">
        <v>1208</v>
      </c>
      <c r="ED1" t="s">
        <v>1209</v>
      </c>
      <c r="EE1" t="s">
        <v>1210</v>
      </c>
      <c r="EF1" t="s">
        <v>1211</v>
      </c>
      <c r="EG1" t="s">
        <v>1212</v>
      </c>
      <c r="EH1" t="s">
        <v>1213</v>
      </c>
      <c r="EI1" t="s">
        <v>1214</v>
      </c>
      <c r="EK1" s="10" t="s">
        <v>1215</v>
      </c>
      <c r="EL1" t="s">
        <v>1216</v>
      </c>
      <c r="EM1" t="s">
        <v>1217</v>
      </c>
      <c r="EN1" t="s">
        <v>1218</v>
      </c>
      <c r="EO1" t="s">
        <v>1219</v>
      </c>
      <c r="EP1" t="s">
        <v>1220</v>
      </c>
    </row>
    <row r="2" spans="1:146" ht="108" x14ac:dyDescent="0.25">
      <c r="A2" s="7"/>
      <c r="B2" s="7"/>
      <c r="C2" s="7" t="str">
        <f>""&amp;CHAR(10)&amp;Basic_Fundamental_Information_Constructure(F2)&amp;CHAR(10)&amp;Basic_Fundamental_Information_Concatenate("")</f>
        <v xml:space="preserve">
市值115.252398亿, 利润6.89亿; PE17.84; 平均PE14.85; 平均PEG.54, PB.772; ROIC4.1067%; ROE5.2133%; 股利率3.537%; 毛利31.1667%; 净利8.9233%; 上一年度营收增3.42%, 利润增-13.11%; 当季营收增-3.9%, 利润增-27.63%; 过往5年营收增27.57%, 利润增2.22%
Income profile:
</v>
      </c>
      <c r="D2" t="s">
        <v>84</v>
      </c>
      <c r="E2" t="s">
        <v>61</v>
      </c>
      <c r="F2">
        <v>6.22</v>
      </c>
      <c r="G2">
        <v>0.65</v>
      </c>
      <c r="H2" t="s">
        <v>1466</v>
      </c>
      <c r="I2">
        <v>11525239800</v>
      </c>
      <c r="J2">
        <v>17.84</v>
      </c>
      <c r="K2">
        <v>0.77200000000000002</v>
      </c>
      <c r="L2" t="s">
        <v>1467</v>
      </c>
      <c r="M2" t="s">
        <v>1468</v>
      </c>
      <c r="N2" t="s">
        <v>1469</v>
      </c>
      <c r="O2" t="s">
        <v>1470</v>
      </c>
      <c r="P2">
        <v>-3.9</v>
      </c>
      <c r="Q2" t="s">
        <v>1471</v>
      </c>
      <c r="R2">
        <v>111452191</v>
      </c>
      <c r="S2" s="5">
        <v>-0.2782</v>
      </c>
      <c r="T2" t="s">
        <v>1377</v>
      </c>
      <c r="U2">
        <v>1624600300</v>
      </c>
      <c r="V2">
        <v>1852932400</v>
      </c>
      <c r="W2">
        <v>1.89</v>
      </c>
      <c r="X2">
        <v>7.0000000000000007E-2</v>
      </c>
      <c r="Y2">
        <v>5.39</v>
      </c>
      <c r="Z2" t="s">
        <v>1472</v>
      </c>
      <c r="AA2" t="s">
        <v>1473</v>
      </c>
      <c r="AB2" t="s">
        <v>1232</v>
      </c>
      <c r="AC2" t="s">
        <v>570</v>
      </c>
      <c r="AD2" t="s">
        <v>5</v>
      </c>
      <c r="AE2">
        <v>-32759018</v>
      </c>
      <c r="AF2" t="s">
        <v>1474</v>
      </c>
      <c r="AG2" t="s">
        <v>1475</v>
      </c>
      <c r="AH2" t="s">
        <v>1476</v>
      </c>
      <c r="AI2" t="s">
        <v>1477</v>
      </c>
      <c r="AJ2" t="s">
        <v>1478</v>
      </c>
      <c r="AK2" t="s">
        <v>1479</v>
      </c>
      <c r="AL2" t="s">
        <v>1480</v>
      </c>
      <c r="AM2" t="s">
        <v>5</v>
      </c>
      <c r="AN2" t="s">
        <v>1481</v>
      </c>
      <c r="AO2" t="s">
        <v>913</v>
      </c>
      <c r="AP2" t="s">
        <v>198</v>
      </c>
      <c r="AQ2" t="s">
        <v>1482</v>
      </c>
      <c r="AR2" t="s">
        <v>5</v>
      </c>
      <c r="AS2" t="s">
        <v>1483</v>
      </c>
      <c r="AT2" t="s">
        <v>5</v>
      </c>
      <c r="AU2" t="s">
        <v>1337</v>
      </c>
      <c r="AV2" t="s">
        <v>1484</v>
      </c>
      <c r="AW2" t="s">
        <v>517</v>
      </c>
      <c r="AX2" t="s">
        <v>1034</v>
      </c>
      <c r="AY2" t="s">
        <v>71</v>
      </c>
      <c r="AZ2" t="s">
        <v>62</v>
      </c>
      <c r="BA2" t="s">
        <v>63</v>
      </c>
      <c r="BB2" t="s">
        <v>60</v>
      </c>
      <c r="BC2" t="s">
        <v>997</v>
      </c>
      <c r="BD2" t="s">
        <v>58</v>
      </c>
      <c r="BE2" t="s">
        <v>39</v>
      </c>
      <c r="BF2" t="s">
        <v>64</v>
      </c>
      <c r="BG2" t="s">
        <v>28</v>
      </c>
      <c r="BH2" t="s">
        <v>1471</v>
      </c>
      <c r="BI2" t="s">
        <v>1485</v>
      </c>
      <c r="BJ2" t="s">
        <v>1034</v>
      </c>
      <c r="BK2" t="s">
        <v>1377</v>
      </c>
      <c r="BL2" t="s">
        <v>73</v>
      </c>
      <c r="BM2" t="s">
        <v>997</v>
      </c>
      <c r="BN2">
        <v>2.4300000000000002</v>
      </c>
      <c r="BO2">
        <v>4.46</v>
      </c>
      <c r="BP2">
        <v>5.43</v>
      </c>
      <c r="BQ2">
        <v>3.6</v>
      </c>
      <c r="BR2">
        <v>5.5</v>
      </c>
      <c r="BS2">
        <v>6.54</v>
      </c>
      <c r="BT2" t="s">
        <v>1035</v>
      </c>
      <c r="BU2" t="s">
        <v>1486</v>
      </c>
      <c r="BV2">
        <v>30.15</v>
      </c>
      <c r="BW2">
        <v>31.22</v>
      </c>
      <c r="BX2">
        <v>32.130000000000003</v>
      </c>
      <c r="BY2">
        <v>7.25</v>
      </c>
      <c r="BZ2">
        <v>8.6</v>
      </c>
      <c r="CA2">
        <v>10.92</v>
      </c>
      <c r="CB2">
        <v>-0.96</v>
      </c>
      <c r="CC2">
        <v>-12.64</v>
      </c>
      <c r="CD2" t="s">
        <v>1487</v>
      </c>
      <c r="CE2" t="s">
        <v>1438</v>
      </c>
      <c r="CF2" s="11">
        <v>-3.9003759398496242E-2</v>
      </c>
      <c r="CG2" s="12">
        <v>-0.276284474025974</v>
      </c>
      <c r="CH2" s="11">
        <v>3.4199807792901993E-2</v>
      </c>
      <c r="CI2" s="11">
        <v>0.10631785541772842</v>
      </c>
      <c r="CJ2" s="11">
        <v>0.11955659836530685</v>
      </c>
      <c r="CK2" s="11">
        <v>8.4430396556854248E-2</v>
      </c>
      <c r="CL2" s="11">
        <v>1.0337603092193604</v>
      </c>
      <c r="CM2" s="12">
        <v>-0.13114753365516663</v>
      </c>
      <c r="CN2" s="12">
        <v>-0.12568908929824829</v>
      </c>
      <c r="CO2" s="12">
        <v>7.4644550681114197E-2</v>
      </c>
      <c r="CP2" s="12">
        <v>8.0665811896324158E-2</v>
      </c>
      <c r="CQ2" s="12">
        <v>0.21273292601108551</v>
      </c>
      <c r="CR2">
        <v>14.84573610991842</v>
      </c>
      <c r="CS2">
        <v>0.53856611252476527</v>
      </c>
      <c r="CT2">
        <v>3.5369774919614154</v>
      </c>
      <c r="CU2" s="11">
        <v>0.27565299347043037</v>
      </c>
      <c r="CV2" s="12">
        <v>2.2241333127021791E-2</v>
      </c>
      <c r="CW2">
        <v>0.06</v>
      </c>
      <c r="CX2">
        <v>12.411429045693387</v>
      </c>
      <c r="CY2">
        <v>829174445.75577974</v>
      </c>
      <c r="CZ2">
        <v>0.27565299347043037</v>
      </c>
      <c r="DA2">
        <v>3.4779331702836913</v>
      </c>
      <c r="DB2">
        <v>2959010221.3380237</v>
      </c>
      <c r="DC2">
        <v>0.26187034379690882</v>
      </c>
      <c r="DD2">
        <v>1.3761538931330253</v>
      </c>
      <c r="DE2">
        <v>7478262315.9757338</v>
      </c>
      <c r="DF2">
        <v>0.24257463425397874</v>
      </c>
      <c r="DG2">
        <v>0.63443320617029919</v>
      </c>
      <c r="DH2">
        <v>16221155670.779234</v>
      </c>
      <c r="DI2">
        <v>0.2205223947763443</v>
      </c>
      <c r="DJ2">
        <v>0.17293343344053597</v>
      </c>
      <c r="DK2">
        <v>59509833322.881981</v>
      </c>
      <c r="DL2">
        <v>0.19295709542930126</v>
      </c>
      <c r="DM2">
        <v>689000000</v>
      </c>
      <c r="DN2">
        <v>0.27565299347043037</v>
      </c>
      <c r="DO2">
        <v>10291239800</v>
      </c>
      <c r="DP2">
        <v>2077277000</v>
      </c>
      <c r="DQ2">
        <v>60</v>
      </c>
      <c r="DR2">
        <v>-0.31465675286892664</v>
      </c>
      <c r="DS2">
        <v>-0.29852580715299581</v>
      </c>
      <c r="DT2" s="13">
        <v>-0.24000000000000002</v>
      </c>
      <c r="DU2">
        <v>-0.12000000000000001</v>
      </c>
      <c r="DV2">
        <v>-0.36000000000000004</v>
      </c>
      <c r="DW2">
        <v>-2.1263999999999998</v>
      </c>
      <c r="DX2">
        <v>0.40412796934865969</v>
      </c>
      <c r="DY2">
        <v>-2.0156897753256704</v>
      </c>
      <c r="DZ2">
        <v>2595</v>
      </c>
      <c r="EA2">
        <v>-2.0077220714176245</v>
      </c>
      <c r="EB2">
        <v>2</v>
      </c>
      <c r="EC2">
        <v>1.7484393926081705E-2</v>
      </c>
      <c r="ED2">
        <v>0.14085781003127798</v>
      </c>
      <c r="EE2" s="14">
        <v>-2.0257000000000001</v>
      </c>
      <c r="EF2">
        <v>-2.0194000000000001</v>
      </c>
      <c r="EG2">
        <v>28.12412796934866</v>
      </c>
      <c r="EH2" t="s">
        <v>1443</v>
      </c>
      <c r="EI2">
        <v>0</v>
      </c>
      <c r="EJ2">
        <v>0</v>
      </c>
      <c r="EK2" s="10">
        <v>45470</v>
      </c>
      <c r="EL2" s="15">
        <v>0.97</v>
      </c>
      <c r="EM2" s="15">
        <v>-2.2400000000000002</v>
      </c>
      <c r="EN2" s="15">
        <v>-0.49</v>
      </c>
      <c r="EO2" s="15">
        <v>4.93</v>
      </c>
      <c r="EP2" s="15">
        <v>-0.63</v>
      </c>
    </row>
    <row r="3" spans="1:146" ht="108" x14ac:dyDescent="0.25">
      <c r="A3" s="7"/>
      <c r="B3" s="7"/>
      <c r="C3" s="7" t="str">
        <f>""&amp;CHAR(10)&amp;Basic_Fundamental_Information_Constructure(F3)&amp;CHAR(10)&amp;Basic_Fundamental_Information_Concatenate("")</f>
        <v xml:space="preserve">
市值31.446881亿, 利润8842.87万; PE42.29; 平均PE258.09; 平均PEG339.35, PB1.92; ROIC5.6333%; ROE5.6167%; 股利率.9385%; 毛利21.4933%; 净利5.75%; 上一年度营收增-1.72%, 利润增4.31%; 当季营收增-11.31%, 利润增-386.25%; 过往5年营收增.76%, 利润增-373.83%
Income profile:
</v>
      </c>
      <c r="D3" t="s">
        <v>85</v>
      </c>
      <c r="E3" t="s">
        <v>86</v>
      </c>
      <c r="F3">
        <v>3.09</v>
      </c>
      <c r="G3">
        <v>1.31</v>
      </c>
      <c r="H3" t="s">
        <v>1488</v>
      </c>
      <c r="I3">
        <v>3144688100</v>
      </c>
      <c r="J3">
        <v>42.29</v>
      </c>
      <c r="K3">
        <v>1.92</v>
      </c>
      <c r="L3" t="s">
        <v>1467</v>
      </c>
      <c r="M3" t="s">
        <v>1489</v>
      </c>
      <c r="N3" t="s">
        <v>1490</v>
      </c>
      <c r="O3" t="s">
        <v>189</v>
      </c>
      <c r="P3">
        <v>-11.43</v>
      </c>
      <c r="Q3" t="s">
        <v>1308</v>
      </c>
      <c r="R3">
        <v>-10420843</v>
      </c>
      <c r="S3" s="5">
        <v>-3.8620000000000001</v>
      </c>
      <c r="T3" t="s">
        <v>1491</v>
      </c>
      <c r="U3">
        <v>884898580</v>
      </c>
      <c r="V3">
        <v>1017698410</v>
      </c>
      <c r="W3">
        <v>1.91</v>
      </c>
      <c r="X3">
        <v>0.08</v>
      </c>
      <c r="Y3">
        <v>-2.99</v>
      </c>
      <c r="Z3" t="s">
        <v>191</v>
      </c>
      <c r="AA3" t="s">
        <v>630</v>
      </c>
      <c r="AB3" t="s">
        <v>1492</v>
      </c>
      <c r="AC3" t="s">
        <v>1493</v>
      </c>
      <c r="AD3" t="s">
        <v>5</v>
      </c>
      <c r="AE3">
        <v>4923372</v>
      </c>
      <c r="AF3" t="s">
        <v>1494</v>
      </c>
      <c r="AG3" t="s">
        <v>1495</v>
      </c>
      <c r="AH3" t="s">
        <v>1496</v>
      </c>
      <c r="AI3" t="s">
        <v>1005</v>
      </c>
      <c r="AJ3" t="s">
        <v>1497</v>
      </c>
      <c r="AK3" t="s">
        <v>5</v>
      </c>
      <c r="AL3" t="s">
        <v>1498</v>
      </c>
      <c r="AM3" t="s">
        <v>5</v>
      </c>
      <c r="AN3" t="s">
        <v>1499</v>
      </c>
      <c r="AO3" t="s">
        <v>1004</v>
      </c>
      <c r="AP3" t="s">
        <v>1500</v>
      </c>
      <c r="AQ3" t="s">
        <v>352</v>
      </c>
      <c r="AR3" t="s">
        <v>1501</v>
      </c>
      <c r="AS3" t="s">
        <v>142</v>
      </c>
      <c r="AT3" t="s">
        <v>343</v>
      </c>
      <c r="AU3" t="s">
        <v>1502</v>
      </c>
      <c r="AV3" t="s">
        <v>1503</v>
      </c>
      <c r="AW3" t="s">
        <v>1504</v>
      </c>
      <c r="AX3" t="s">
        <v>567</v>
      </c>
      <c r="AY3" t="s">
        <v>88</v>
      </c>
      <c r="AZ3" t="s">
        <v>97</v>
      </c>
      <c r="BA3" t="s">
        <v>98</v>
      </c>
      <c r="BB3" t="s">
        <v>99</v>
      </c>
      <c r="BC3" t="s">
        <v>1505</v>
      </c>
      <c r="BD3" t="s">
        <v>89</v>
      </c>
      <c r="BE3" t="s">
        <v>100</v>
      </c>
      <c r="BF3" t="s">
        <v>101</v>
      </c>
      <c r="BG3" t="s">
        <v>102</v>
      </c>
      <c r="BH3" t="s">
        <v>1308</v>
      </c>
      <c r="BI3" t="s">
        <v>843</v>
      </c>
      <c r="BJ3" t="s">
        <v>567</v>
      </c>
      <c r="BK3" t="s">
        <v>1491</v>
      </c>
      <c r="BL3" t="s">
        <v>1506</v>
      </c>
      <c r="BM3" t="s">
        <v>1505</v>
      </c>
      <c r="BN3">
        <v>3.2</v>
      </c>
      <c r="BO3">
        <v>5.46</v>
      </c>
      <c r="BP3">
        <v>8.24</v>
      </c>
      <c r="BQ3">
        <v>3.04</v>
      </c>
      <c r="BR3">
        <v>5.55</v>
      </c>
      <c r="BS3">
        <v>8.26</v>
      </c>
      <c r="BT3" t="s">
        <v>1507</v>
      </c>
      <c r="BU3" t="s">
        <v>107</v>
      </c>
      <c r="BV3">
        <v>20.79</v>
      </c>
      <c r="BW3">
        <v>21.67</v>
      </c>
      <c r="BX3">
        <v>22.02</v>
      </c>
      <c r="BY3">
        <v>5.39</v>
      </c>
      <c r="BZ3">
        <v>5.3</v>
      </c>
      <c r="CA3">
        <v>6.56</v>
      </c>
      <c r="CB3">
        <v>0</v>
      </c>
      <c r="CC3">
        <v>-15.83</v>
      </c>
      <c r="CD3" t="s">
        <v>1508</v>
      </c>
      <c r="CE3" t="s">
        <v>453</v>
      </c>
      <c r="CF3" s="11">
        <v>-0.1130952380952381</v>
      </c>
      <c r="CG3" s="12">
        <v>-3.8624757588243375</v>
      </c>
      <c r="CH3" s="11">
        <v>-1.7155541107058525E-2</v>
      </c>
      <c r="CI3" s="11">
        <v>-8.040706068277359E-2</v>
      </c>
      <c r="CJ3" s="11">
        <v>0.17947174608707428</v>
      </c>
      <c r="CK3" s="11">
        <v>-8.5620194673538208E-2</v>
      </c>
      <c r="CL3" s="11">
        <v>4.1738174855709076E-2</v>
      </c>
      <c r="CM3" s="12">
        <v>4.3108683079481125E-2</v>
      </c>
      <c r="CN3" s="12">
        <v>-0.27543419599533081</v>
      </c>
      <c r="CO3" s="12">
        <v>1.3441176414489746</v>
      </c>
      <c r="CP3" s="12">
        <v>-18.985136032104492</v>
      </c>
      <c r="CQ3" s="12">
        <v>-0.81822597980499268</v>
      </c>
      <c r="CR3">
        <v>258.08780780057828</v>
      </c>
      <c r="CS3">
        <v>339.34699419660404</v>
      </c>
      <c r="CT3">
        <v>0.93851132686084138</v>
      </c>
      <c r="CU3" s="11">
        <v>7.6054248958826063E-3</v>
      </c>
      <c r="CV3" s="12">
        <v>-3.738313976675272</v>
      </c>
      <c r="CW3">
        <v>0.06</v>
      </c>
      <c r="CX3">
        <v>39.017071708696797</v>
      </c>
      <c r="CY3">
        <v>84057771.543859005</v>
      </c>
      <c r="CZ3">
        <v>7.6054248958826063E-3</v>
      </c>
      <c r="DA3">
        <v>13.680411843319245</v>
      </c>
      <c r="DB3">
        <v>239736064.78825548</v>
      </c>
      <c r="DC3">
        <v>7.2251536510884755E-3</v>
      </c>
      <c r="DD3">
        <v>7.3762294026174491</v>
      </c>
      <c r="DE3">
        <v>444629352.06925714</v>
      </c>
      <c r="DF3">
        <v>6.6927739083766933E-3</v>
      </c>
      <c r="DG3">
        <v>4.887216244016841</v>
      </c>
      <c r="DH3">
        <v>671074889.31252992</v>
      </c>
      <c r="DI3">
        <v>6.0843399167060854E-3</v>
      </c>
      <c r="DJ3">
        <v>3.0877672879419409</v>
      </c>
      <c r="DK3">
        <v>1062155206.0634654</v>
      </c>
      <c r="DL3">
        <v>5.3237974271178245E-3</v>
      </c>
      <c r="DM3">
        <v>88428700.000000015</v>
      </c>
      <c r="DN3">
        <v>7.6054248958826063E-3</v>
      </c>
      <c r="DO3">
        <v>3279688100</v>
      </c>
      <c r="DP3">
        <v>-94337430</v>
      </c>
      <c r="DQ3">
        <v>171</v>
      </c>
      <c r="DR3">
        <v>-0.1207006629911207</v>
      </c>
      <c r="DS3">
        <v>-0.12416178214906548</v>
      </c>
      <c r="DT3" s="13">
        <v>-0.3066666666666667</v>
      </c>
      <c r="DU3">
        <v>-1.6316666666666666</v>
      </c>
      <c r="DV3">
        <v>-1.9383333333333332</v>
      </c>
      <c r="DW3">
        <v>-2.1583000000000001</v>
      </c>
      <c r="DX3">
        <v>0.45126354166666544</v>
      </c>
      <c r="DY3">
        <v>-2.0239450186458332</v>
      </c>
      <c r="DZ3">
        <v>4343</v>
      </c>
      <c r="EA3">
        <v>-2.0035940957536895</v>
      </c>
      <c r="EB3">
        <v>2</v>
      </c>
      <c r="EC3">
        <v>2.8537531074653052E-2</v>
      </c>
      <c r="ED3">
        <v>0.1886610002662773</v>
      </c>
      <c r="EE3" s="14">
        <v>-2.1221000000000001</v>
      </c>
      <c r="EF3">
        <v>-2.1095999999999999</v>
      </c>
      <c r="EG3">
        <v>30.151263541666665</v>
      </c>
      <c r="EH3" t="s">
        <v>1443</v>
      </c>
      <c r="EI3">
        <v>0</v>
      </c>
      <c r="EJ3">
        <v>0</v>
      </c>
      <c r="EK3" s="10">
        <v>45470</v>
      </c>
      <c r="EL3" s="15">
        <v>0</v>
      </c>
      <c r="EM3" s="15">
        <v>-4.13</v>
      </c>
      <c r="EN3" s="15">
        <v>0.99</v>
      </c>
      <c r="EO3" s="15">
        <v>4.59</v>
      </c>
      <c r="EP3" s="15">
        <v>-1.25</v>
      </c>
    </row>
    <row r="4" spans="1:146" ht="96" x14ac:dyDescent="0.25">
      <c r="A4" s="7"/>
      <c r="B4" s="7"/>
      <c r="C4" s="7" t="str">
        <f>""&amp;CHAR(10)&amp;Basic_Fundamental_Information_Constructure(F4)&amp;CHAR(10)&amp;Basic_Fundamental_Information_Concatenate("")</f>
        <v xml:space="preserve">
市值40.141377亿, 利润-6.47亿; PE; 平均PE-11.51; 平均PEG-2.09, PB.788; ROIC0%; ROE-7.91%; 股利率0%; 毛利7.5767%; 净利-26.1567%; 上一年度营收增-5.15%, 利润增-8.74%; 当季营收增-8.15%, 利润增-4.58%; 过往5年营收增-5.5%, 利润增-164.08%
Income profile:
</v>
      </c>
      <c r="D4" t="s">
        <v>110</v>
      </c>
      <c r="E4" t="s">
        <v>111</v>
      </c>
      <c r="F4">
        <v>3.53</v>
      </c>
      <c r="G4">
        <v>1.1499999999999999</v>
      </c>
      <c r="H4" t="s">
        <v>1509</v>
      </c>
      <c r="I4">
        <v>4014137700</v>
      </c>
      <c r="K4">
        <v>0.78800000000000003</v>
      </c>
      <c r="L4" t="s">
        <v>1467</v>
      </c>
      <c r="M4" t="s">
        <v>1510</v>
      </c>
      <c r="N4" t="s">
        <v>1511</v>
      </c>
      <c r="O4" t="s">
        <v>951</v>
      </c>
      <c r="P4">
        <v>-8.09</v>
      </c>
      <c r="Q4" t="s">
        <v>1512</v>
      </c>
      <c r="R4">
        <v>-100574101</v>
      </c>
      <c r="S4" s="5">
        <v>-4.58E-2</v>
      </c>
      <c r="T4" t="s">
        <v>1131</v>
      </c>
      <c r="U4">
        <v>1137110330</v>
      </c>
      <c r="V4">
        <v>1137149500</v>
      </c>
      <c r="W4">
        <v>2.09</v>
      </c>
      <c r="X4">
        <v>0.04</v>
      </c>
      <c r="Y4">
        <v>-22.32</v>
      </c>
      <c r="Z4" t="s">
        <v>1411</v>
      </c>
      <c r="AA4" t="s">
        <v>493</v>
      </c>
      <c r="AB4" t="s">
        <v>1513</v>
      </c>
      <c r="AC4" t="s">
        <v>1514</v>
      </c>
      <c r="AD4" t="s">
        <v>5</v>
      </c>
      <c r="AE4">
        <v>18249881</v>
      </c>
      <c r="AF4" t="s">
        <v>1515</v>
      </c>
      <c r="AG4" t="s">
        <v>1516</v>
      </c>
      <c r="AH4" t="s">
        <v>1517</v>
      </c>
      <c r="AI4" t="s">
        <v>786</v>
      </c>
      <c r="AJ4" t="s">
        <v>1518</v>
      </c>
      <c r="AK4" t="s">
        <v>1519</v>
      </c>
      <c r="AL4" t="s">
        <v>1520</v>
      </c>
      <c r="AM4" t="s">
        <v>5</v>
      </c>
      <c r="AN4" t="s">
        <v>1275</v>
      </c>
      <c r="AO4" t="s">
        <v>1376</v>
      </c>
      <c r="AP4" t="s">
        <v>1521</v>
      </c>
      <c r="AQ4" t="s">
        <v>359</v>
      </c>
      <c r="AR4" t="s">
        <v>5</v>
      </c>
      <c r="AS4" t="s">
        <v>1522</v>
      </c>
      <c r="AT4" t="s">
        <v>1407</v>
      </c>
      <c r="AU4" t="s">
        <v>1092</v>
      </c>
      <c r="AV4" t="s">
        <v>1523</v>
      </c>
      <c r="AW4" t="s">
        <v>1524</v>
      </c>
      <c r="AX4" t="s">
        <v>1036</v>
      </c>
      <c r="AY4" t="s">
        <v>112</v>
      </c>
      <c r="AZ4" t="s">
        <v>121</v>
      </c>
      <c r="BA4" t="s">
        <v>122</v>
      </c>
      <c r="BB4" t="s">
        <v>123</v>
      </c>
      <c r="BC4" t="s">
        <v>1037</v>
      </c>
      <c r="BD4" t="s">
        <v>113</v>
      </c>
      <c r="BE4" t="s">
        <v>124</v>
      </c>
      <c r="BF4" t="s">
        <v>125</v>
      </c>
      <c r="BG4" t="s">
        <v>126</v>
      </c>
      <c r="BH4" t="s">
        <v>1512</v>
      </c>
      <c r="BI4" t="s">
        <v>1244</v>
      </c>
      <c r="BJ4" t="s">
        <v>1036</v>
      </c>
      <c r="BK4" t="s">
        <v>1131</v>
      </c>
      <c r="BL4" t="s">
        <v>1525</v>
      </c>
      <c r="BM4" t="s">
        <v>1037</v>
      </c>
      <c r="BN4" t="s">
        <v>5</v>
      </c>
      <c r="BO4" t="s">
        <v>5</v>
      </c>
      <c r="BP4" t="s">
        <v>5</v>
      </c>
      <c r="BQ4">
        <v>-6.22</v>
      </c>
      <c r="BR4">
        <v>-10.09</v>
      </c>
      <c r="BS4">
        <v>-7.42</v>
      </c>
      <c r="BT4" t="s">
        <v>1017</v>
      </c>
      <c r="BU4" t="s">
        <v>1486</v>
      </c>
      <c r="BV4">
        <v>3.78</v>
      </c>
      <c r="BW4">
        <v>7.91</v>
      </c>
      <c r="BX4">
        <v>11.04</v>
      </c>
      <c r="BY4">
        <v>-31.12</v>
      </c>
      <c r="BZ4">
        <v>-27.06</v>
      </c>
      <c r="CA4">
        <v>-20.29</v>
      </c>
      <c r="CB4">
        <v>-0.84</v>
      </c>
      <c r="CC4">
        <v>-10.41</v>
      </c>
      <c r="CD4" t="s">
        <v>1526</v>
      </c>
      <c r="CE4" t="s">
        <v>1425</v>
      </c>
      <c r="CF4" s="11">
        <v>-8.1466395112016296E-2</v>
      </c>
      <c r="CG4" s="12">
        <v>-4.5803656472134531E-2</v>
      </c>
      <c r="CH4" s="11">
        <v>-5.1470588892698288E-2</v>
      </c>
      <c r="CI4" s="11">
        <v>1.8416206585243344E-3</v>
      </c>
      <c r="CJ4" s="11">
        <v>-8.8926173746585846E-2</v>
      </c>
      <c r="CK4" s="11">
        <v>-9.1809503734111786E-2</v>
      </c>
      <c r="CL4" s="11">
        <v>-4.4759847223758698E-2</v>
      </c>
      <c r="CM4" s="12">
        <v>-8.7394960224628448E-2</v>
      </c>
      <c r="CN4" s="12">
        <v>-0.33408072590827942</v>
      </c>
      <c r="CO4" s="12">
        <v>0.35362318158149719</v>
      </c>
      <c r="CP4" s="12">
        <v>-7.6990289688110352</v>
      </c>
      <c r="CQ4" s="12">
        <v>-0.43715846538543701</v>
      </c>
      <c r="CR4">
        <v>-11.512823231357553</v>
      </c>
      <c r="CS4">
        <v>-2.0922934029587874</v>
      </c>
      <c r="CT4">
        <v>0</v>
      </c>
      <c r="CU4" s="11">
        <v>-5.5024898587726058E-2</v>
      </c>
      <c r="CV4" s="12">
        <v>-1.6408079877495765</v>
      </c>
      <c r="CW4">
        <v>0.06</v>
      </c>
      <c r="CX4" t="e">
        <v>#VALUE!</v>
      </c>
      <c r="CY4" t="s">
        <v>129</v>
      </c>
      <c r="CZ4">
        <v>-5.5024898587726058E-2</v>
      </c>
      <c r="DA4" t="e">
        <v>#VALUE!</v>
      </c>
      <c r="DB4" t="s">
        <v>130</v>
      </c>
      <c r="DC4">
        <v>-5.2273653658339754E-2</v>
      </c>
      <c r="DD4" t="e">
        <v>#VALUE!</v>
      </c>
      <c r="DE4" t="s">
        <v>130</v>
      </c>
      <c r="DF4">
        <v>-4.8421910757198934E-2</v>
      </c>
      <c r="DG4" t="e">
        <v>#VALUE!</v>
      </c>
      <c r="DH4" t="s">
        <v>130</v>
      </c>
      <c r="DI4">
        <v>-4.4019918870180849E-2</v>
      </c>
      <c r="DJ4" t="e">
        <v>#VALUE!</v>
      </c>
      <c r="DK4" t="s">
        <v>130</v>
      </c>
      <c r="DL4">
        <v>-3.8517429011408241E-2</v>
      </c>
      <c r="DM4">
        <v>-647000000</v>
      </c>
      <c r="DN4">
        <v>-5.5024898587726058E-2</v>
      </c>
      <c r="DO4">
        <v>4578137700</v>
      </c>
      <c r="DP4">
        <v>-2632400100</v>
      </c>
      <c r="DQ4">
        <v>205</v>
      </c>
      <c r="DR4">
        <v>-2.6441496524290238E-2</v>
      </c>
      <c r="DS4">
        <v>1.595004331277442</v>
      </c>
      <c r="DT4" s="13">
        <v>-0.44</v>
      </c>
      <c r="DU4">
        <v>-2.9149999999999996</v>
      </c>
      <c r="DV4">
        <v>-3.3549999999999995</v>
      </c>
      <c r="DW4">
        <v>-2.1040999999999999</v>
      </c>
      <c r="DX4">
        <v>0.28799103942652338</v>
      </c>
      <c r="DY4">
        <v>-2.016446867204301</v>
      </c>
      <c r="DZ4">
        <v>4996</v>
      </c>
      <c r="EA4">
        <v>-2.0003669164112114</v>
      </c>
      <c r="EB4">
        <v>2</v>
      </c>
      <c r="EC4">
        <v>7.7526305907886339E-2</v>
      </c>
      <c r="ED4">
        <v>0.49070065105775451</v>
      </c>
      <c r="EE4" s="14">
        <v>-2.0739100000000001</v>
      </c>
      <c r="EF4">
        <v>-2.00861</v>
      </c>
      <c r="EG4">
        <v>13.157991039426523</v>
      </c>
      <c r="EH4" t="s">
        <v>1240</v>
      </c>
      <c r="EI4">
        <v>0</v>
      </c>
      <c r="EJ4">
        <v>0</v>
      </c>
      <c r="EK4" s="10">
        <v>45470</v>
      </c>
      <c r="EL4" s="15">
        <v>-0.56000000000000005</v>
      </c>
      <c r="EM4" s="15">
        <v>-1.1299999999999999</v>
      </c>
      <c r="EN4" s="15">
        <v>-1.1499999999999999</v>
      </c>
      <c r="EO4" s="15">
        <v>2.0299999999999998</v>
      </c>
      <c r="EP4" s="15">
        <v>6.53</v>
      </c>
    </row>
    <row r="5" spans="1:146" ht="108" x14ac:dyDescent="0.25">
      <c r="A5" s="7"/>
      <c r="B5" s="7"/>
      <c r="C5" s="7" t="str">
        <f>""&amp;CHAR(10)&amp;Basic_Fundamental_Information_Constructure(F5)&amp;CHAR(10)&amp;Basic_Fundamental_Information_Concatenate("")</f>
        <v xml:space="preserve">
市值74.037404亿, 利润2.98亿; PE24.27; 平均PE-28.83; 平均PEG-2.82, PB1.87; ROIC4.475%; ROE-.96%; 股利率0%; 毛利17.8367%; 净利.26%; 上一年度营收增8.58%, 利润增173.95%; 当季营收增12.48%, 利润增13.87%; 过往5年营收增-10.24%, 利润增-141.12%
Income profile:
</v>
      </c>
      <c r="D5" t="s">
        <v>131</v>
      </c>
      <c r="E5" t="s">
        <v>132</v>
      </c>
      <c r="F5">
        <v>5.8</v>
      </c>
      <c r="G5">
        <v>1.22</v>
      </c>
      <c r="H5" t="s">
        <v>1527</v>
      </c>
      <c r="I5">
        <v>7403740400</v>
      </c>
      <c r="J5">
        <v>24.27</v>
      </c>
      <c r="K5">
        <v>1.87</v>
      </c>
      <c r="L5" t="s">
        <v>1467</v>
      </c>
      <c r="M5" t="s">
        <v>1528</v>
      </c>
      <c r="N5" t="s">
        <v>1529</v>
      </c>
      <c r="O5" t="s">
        <v>1296</v>
      </c>
      <c r="P5">
        <v>12.55</v>
      </c>
      <c r="Q5" t="s">
        <v>1530</v>
      </c>
      <c r="R5">
        <v>55234477</v>
      </c>
      <c r="S5" s="5">
        <v>0.13869999999999999</v>
      </c>
      <c r="T5" t="s">
        <v>189</v>
      </c>
      <c r="U5">
        <v>1275002750</v>
      </c>
      <c r="V5">
        <v>1276506970</v>
      </c>
      <c r="W5">
        <v>1.1200000000000001</v>
      </c>
      <c r="X5">
        <v>0.16</v>
      </c>
      <c r="Y5">
        <v>10.29</v>
      </c>
      <c r="Z5" t="s">
        <v>1531</v>
      </c>
      <c r="AA5" t="s">
        <v>1222</v>
      </c>
      <c r="AB5" t="s">
        <v>1532</v>
      </c>
      <c r="AC5" t="s">
        <v>1533</v>
      </c>
      <c r="AD5" t="s">
        <v>5</v>
      </c>
      <c r="AE5">
        <v>-7119813</v>
      </c>
      <c r="AF5" t="s">
        <v>1534</v>
      </c>
      <c r="AG5">
        <v>5300.36</v>
      </c>
      <c r="AH5" t="s">
        <v>1535</v>
      </c>
      <c r="AI5" t="s">
        <v>633</v>
      </c>
      <c r="AJ5" t="s">
        <v>1536</v>
      </c>
      <c r="AK5" t="s">
        <v>1537</v>
      </c>
      <c r="AL5" t="s">
        <v>1538</v>
      </c>
      <c r="AM5" t="s">
        <v>5</v>
      </c>
      <c r="AN5">
        <v>0</v>
      </c>
      <c r="AO5" t="s">
        <v>206</v>
      </c>
      <c r="AP5" t="s">
        <v>5</v>
      </c>
      <c r="AQ5" t="s">
        <v>27</v>
      </c>
      <c r="AR5" t="s">
        <v>5</v>
      </c>
      <c r="AS5" t="s">
        <v>1539</v>
      </c>
      <c r="AT5" t="s">
        <v>5</v>
      </c>
      <c r="AU5" t="s">
        <v>26</v>
      </c>
      <c r="AV5" t="s">
        <v>1540</v>
      </c>
      <c r="AW5" t="s">
        <v>1541</v>
      </c>
      <c r="AX5" t="s">
        <v>1542</v>
      </c>
      <c r="AY5" t="s">
        <v>1038</v>
      </c>
      <c r="AZ5" t="s">
        <v>1039</v>
      </c>
      <c r="BA5" t="s">
        <v>137</v>
      </c>
      <c r="BB5" t="s">
        <v>138</v>
      </c>
      <c r="BC5" t="s">
        <v>1543</v>
      </c>
      <c r="BD5" t="s">
        <v>133</v>
      </c>
      <c r="BE5" t="s">
        <v>139</v>
      </c>
      <c r="BF5" t="s">
        <v>140</v>
      </c>
      <c r="BG5" t="s">
        <v>141</v>
      </c>
      <c r="BH5" t="s">
        <v>1530</v>
      </c>
      <c r="BI5" t="s">
        <v>1246</v>
      </c>
      <c r="BJ5" t="s">
        <v>1542</v>
      </c>
      <c r="BK5" t="s">
        <v>189</v>
      </c>
      <c r="BL5" t="s">
        <v>1544</v>
      </c>
      <c r="BM5" t="s">
        <v>1543</v>
      </c>
      <c r="BN5">
        <v>5.49</v>
      </c>
      <c r="BO5" t="s">
        <v>5</v>
      </c>
      <c r="BP5">
        <v>3.46</v>
      </c>
      <c r="BQ5">
        <v>4.51</v>
      </c>
      <c r="BR5">
        <v>-10.92</v>
      </c>
      <c r="BS5">
        <v>3.53</v>
      </c>
      <c r="BT5" t="s">
        <v>1017</v>
      </c>
      <c r="BU5" t="s">
        <v>107</v>
      </c>
      <c r="BV5">
        <v>19.97</v>
      </c>
      <c r="BW5">
        <v>22.27</v>
      </c>
      <c r="BX5">
        <v>11.27</v>
      </c>
      <c r="BY5">
        <v>13.17</v>
      </c>
      <c r="BZ5">
        <v>-14.63</v>
      </c>
      <c r="CA5">
        <v>2.2400000000000002</v>
      </c>
      <c r="CB5">
        <v>-4.45</v>
      </c>
      <c r="CC5">
        <v>-6.3</v>
      </c>
      <c r="CD5" t="s">
        <v>642</v>
      </c>
      <c r="CE5" t="s">
        <v>754</v>
      </c>
      <c r="CF5" s="11">
        <v>0.12480739599383667</v>
      </c>
      <c r="CG5" s="12">
        <v>0.13868380635491995</v>
      </c>
      <c r="CH5" s="11">
        <v>8.5778884589672089E-2</v>
      </c>
      <c r="CI5" s="11">
        <v>-0.5322069525718689</v>
      </c>
      <c r="CJ5" s="11">
        <v>-0.46976485848426819</v>
      </c>
      <c r="CK5" s="11">
        <v>-1.262323185801506E-2</v>
      </c>
      <c r="CL5" s="11">
        <v>0.41684079170227051</v>
      </c>
      <c r="CM5" s="12">
        <v>1.7394541501998901</v>
      </c>
      <c r="CN5" s="12">
        <v>-4.0300750732421875</v>
      </c>
      <c r="CO5" s="12">
        <v>1.0458304882049561</v>
      </c>
      <c r="CP5" s="12">
        <v>-5.6806454658508301</v>
      </c>
      <c r="CQ5" s="12">
        <v>-0.1304347813129425</v>
      </c>
      <c r="CR5">
        <v>-28.827022972096039</v>
      </c>
      <c r="CS5">
        <v>-2.8152744107870054</v>
      </c>
      <c r="CT5">
        <v>0</v>
      </c>
      <c r="CU5" s="11">
        <v>-0.10239507332444191</v>
      </c>
      <c r="CV5" s="12">
        <v>-1.4111741364002228</v>
      </c>
      <c r="CW5">
        <v>0.06</v>
      </c>
      <c r="CX5">
        <v>13.583021476510067</v>
      </c>
      <c r="CY5" t="s">
        <v>1545</v>
      </c>
      <c r="CZ5">
        <v>-0.10239507332444191</v>
      </c>
      <c r="DA5">
        <v>4.5276738255033555</v>
      </c>
      <c r="DB5" t="s">
        <v>1546</v>
      </c>
      <c r="DC5">
        <v>-9.7275319658219811E-2</v>
      </c>
      <c r="DD5">
        <v>2.2638369127516778</v>
      </c>
      <c r="DE5" t="s">
        <v>1547</v>
      </c>
      <c r="DF5">
        <v>-9.0107664525508877E-2</v>
      </c>
      <c r="DG5">
        <v>1.3583021476510067</v>
      </c>
      <c r="DH5" t="s">
        <v>1548</v>
      </c>
      <c r="DI5">
        <v>-8.1916058659553537E-2</v>
      </c>
      <c r="DJ5">
        <v>0.67915107382550333</v>
      </c>
      <c r="DK5" t="s">
        <v>1549</v>
      </c>
      <c r="DL5">
        <v>-7.1676551327109331E-2</v>
      </c>
      <c r="DM5">
        <v>298000000</v>
      </c>
      <c r="DN5">
        <v>-0.10239507332444191</v>
      </c>
      <c r="DO5">
        <v>4047740400</v>
      </c>
      <c r="DP5">
        <v>2419634000</v>
      </c>
      <c r="DQ5">
        <v>210</v>
      </c>
      <c r="DR5">
        <v>0.22720246931827859</v>
      </c>
      <c r="DS5">
        <v>1.5498579427551427</v>
      </c>
      <c r="DT5" s="13">
        <v>-0.62333333333333341</v>
      </c>
      <c r="DU5">
        <v>-1.2066666666666666</v>
      </c>
      <c r="DV5">
        <v>-1.83</v>
      </c>
      <c r="DW5">
        <v>-8.7063492063492056</v>
      </c>
      <c r="DX5">
        <v>0.36133956386292937</v>
      </c>
      <c r="DY5">
        <v>-8.1210255649507985</v>
      </c>
      <c r="DZ5">
        <v>4278</v>
      </c>
      <c r="EA5">
        <v>-8.0197051409078401</v>
      </c>
      <c r="EB5">
        <v>8</v>
      </c>
      <c r="EC5">
        <v>0.17234531825548907</v>
      </c>
      <c r="ED5">
        <v>1.0058699483638542</v>
      </c>
      <c r="EE5" s="14">
        <v>2.0739000000000001</v>
      </c>
      <c r="EF5">
        <v>2.0356999999999998</v>
      </c>
      <c r="EG5">
        <v>19.171339563862929</v>
      </c>
      <c r="EH5" t="s">
        <v>1028</v>
      </c>
      <c r="EI5">
        <v>0</v>
      </c>
      <c r="EJ5">
        <v>0</v>
      </c>
      <c r="EK5" s="10">
        <v>45470</v>
      </c>
      <c r="EL5" s="15">
        <v>-1.56</v>
      </c>
      <c r="EM5" s="15">
        <v>-4.13</v>
      </c>
      <c r="EN5" s="15">
        <v>0</v>
      </c>
      <c r="EO5" s="15">
        <v>4.3099999999999996</v>
      </c>
      <c r="EP5" s="15">
        <v>-3.82</v>
      </c>
    </row>
    <row r="6" spans="1:146" ht="156" x14ac:dyDescent="0.25">
      <c r="A6" s="7"/>
      <c r="B6" s="7"/>
      <c r="C6" s="7" t="str">
        <f>"公司的主营业务为通过网站、API、AI lab等智能技术，为供稿方、使用方、平台方提供内容生产、管理、交易、分发以及保护的全流程服务。公司是是国内最早将互联网技术应用于版权视觉内容服务的平台型文化科技企业。"&amp;CHAR(10)&amp;Basic_Fundamental_Information_Constructure(F6)&amp;CHAR(10)&amp;Basic_Fundamental_Information_Concatenate("视觉内容与服务 3.70亿 99.83% 100.00% 51.38%")</f>
        <v>公司的主营业务为通过网站、API、AI lab等智能技术，为供稿方、使用方、平台方提供内容生产、管理、交易、分发以及保护的全流程服务。公司是是国内最早将互联网技术应用于版权视觉内容服务的平台型文化科技企业。
市值79.935885亿, 利润1.46亿; PE76.26; 平均PE44.44; 平均PEG15.24, PB2.3; ROIC3.8033%; ROE3.77%; 股利率.184%; 毛利53.6667%; 净利19.1867%; 上一年度营收增11.89%, 利润增48.55%; 当季营收增32.58%, 利润增-71.98%; 过往5年营收增-2.92%, 利润增-9.28%
Income profile:
视觉内容与服务 3.70亿 99.83% 100.00% 51.38%</v>
      </c>
      <c r="D6" t="s">
        <v>143</v>
      </c>
      <c r="E6" t="s">
        <v>144</v>
      </c>
      <c r="F6">
        <v>11.41</v>
      </c>
      <c r="G6">
        <v>1.78</v>
      </c>
      <c r="H6" t="s">
        <v>1550</v>
      </c>
      <c r="I6">
        <v>7993588500</v>
      </c>
      <c r="J6">
        <v>76.260000000000005</v>
      </c>
      <c r="K6">
        <v>2.2999999999999998</v>
      </c>
      <c r="L6" t="s">
        <v>1467</v>
      </c>
      <c r="M6" t="s">
        <v>1551</v>
      </c>
      <c r="N6" t="s">
        <v>1552</v>
      </c>
      <c r="O6" t="s">
        <v>415</v>
      </c>
      <c r="P6">
        <v>32.35</v>
      </c>
      <c r="Q6" t="s">
        <v>64</v>
      </c>
      <c r="R6">
        <v>15871343</v>
      </c>
      <c r="S6" s="5">
        <v>-0.7198</v>
      </c>
      <c r="T6" t="s">
        <v>892</v>
      </c>
      <c r="U6">
        <v>674501290</v>
      </c>
      <c r="V6">
        <v>700577440</v>
      </c>
      <c r="W6">
        <v>1.2</v>
      </c>
      <c r="X6">
        <v>0.04</v>
      </c>
      <c r="Y6">
        <v>10.46</v>
      </c>
      <c r="Z6" t="s">
        <v>373</v>
      </c>
      <c r="AA6" t="s">
        <v>1553</v>
      </c>
      <c r="AB6" t="s">
        <v>1554</v>
      </c>
      <c r="AC6" t="s">
        <v>1555</v>
      </c>
      <c r="AD6" t="s">
        <v>5</v>
      </c>
      <c r="AE6">
        <v>2183088</v>
      </c>
      <c r="AF6" t="s">
        <v>1556</v>
      </c>
      <c r="AG6" t="s">
        <v>1557</v>
      </c>
      <c r="AH6" t="s">
        <v>1558</v>
      </c>
      <c r="AI6" t="s">
        <v>451</v>
      </c>
      <c r="AJ6" t="s">
        <v>1559</v>
      </c>
      <c r="AK6" t="s">
        <v>1560</v>
      </c>
      <c r="AL6" t="s">
        <v>1561</v>
      </c>
      <c r="AM6" t="s">
        <v>5</v>
      </c>
      <c r="AN6">
        <v>0</v>
      </c>
      <c r="AO6" t="s">
        <v>1562</v>
      </c>
      <c r="AP6" t="s">
        <v>5</v>
      </c>
      <c r="AQ6" t="s">
        <v>93</v>
      </c>
      <c r="AR6" t="s">
        <v>5</v>
      </c>
      <c r="AS6" t="s">
        <v>1239</v>
      </c>
      <c r="AT6" t="s">
        <v>5</v>
      </c>
      <c r="AU6" t="s">
        <v>1563</v>
      </c>
      <c r="AV6" t="s">
        <v>1564</v>
      </c>
      <c r="AW6" t="s">
        <v>1565</v>
      </c>
      <c r="AX6" t="s">
        <v>1040</v>
      </c>
      <c r="AY6" t="s">
        <v>145</v>
      </c>
      <c r="AZ6" t="s">
        <v>151</v>
      </c>
      <c r="BA6" t="s">
        <v>152</v>
      </c>
      <c r="BB6" t="s">
        <v>153</v>
      </c>
      <c r="BC6" t="s">
        <v>1566</v>
      </c>
      <c r="BD6" t="s">
        <v>93</v>
      </c>
      <c r="BE6" t="s">
        <v>154</v>
      </c>
      <c r="BF6" t="s">
        <v>95</v>
      </c>
      <c r="BG6" t="s">
        <v>155</v>
      </c>
      <c r="BH6" t="s">
        <v>64</v>
      </c>
      <c r="BI6" t="s">
        <v>416</v>
      </c>
      <c r="BJ6" t="s">
        <v>1040</v>
      </c>
      <c r="BK6" t="s">
        <v>892</v>
      </c>
      <c r="BL6" t="s">
        <v>1567</v>
      </c>
      <c r="BM6" t="s">
        <v>1566</v>
      </c>
      <c r="BN6">
        <v>3.77</v>
      </c>
      <c r="BO6">
        <v>3.05</v>
      </c>
      <c r="BP6">
        <v>4.59</v>
      </c>
      <c r="BQ6">
        <v>3.55</v>
      </c>
      <c r="BR6">
        <v>3</v>
      </c>
      <c r="BS6">
        <v>4.76</v>
      </c>
      <c r="BT6" t="s">
        <v>1568</v>
      </c>
      <c r="BU6" t="s">
        <v>159</v>
      </c>
      <c r="BV6">
        <v>51.24</v>
      </c>
      <c r="BW6">
        <v>53.96</v>
      </c>
      <c r="BX6">
        <v>55.8</v>
      </c>
      <c r="BY6">
        <v>19.73</v>
      </c>
      <c r="BZ6">
        <v>14.29</v>
      </c>
      <c r="CA6">
        <v>23.54</v>
      </c>
      <c r="CB6">
        <v>-0.78</v>
      </c>
      <c r="CC6">
        <v>-10.86</v>
      </c>
      <c r="CD6" t="s">
        <v>1569</v>
      </c>
      <c r="CE6" t="s">
        <v>431</v>
      </c>
      <c r="CF6" s="11">
        <v>0.32575757575757575</v>
      </c>
      <c r="CG6" s="12">
        <v>-0.7198335913517635</v>
      </c>
      <c r="CH6" s="11">
        <v>0.11891117691993713</v>
      </c>
      <c r="CI6" s="11">
        <v>6.2404870986938477E-2</v>
      </c>
      <c r="CJ6" s="11">
        <v>0.15263158082962036</v>
      </c>
      <c r="CK6" s="11">
        <v>-0.21052631735801697</v>
      </c>
      <c r="CL6" s="11">
        <v>-0.26923078298568726</v>
      </c>
      <c r="CM6" s="12">
        <v>0.48550009727478027</v>
      </c>
      <c r="CN6" s="12">
        <v>-0.35762482881546021</v>
      </c>
      <c r="CO6" s="12">
        <v>7.7464789152145386E-2</v>
      </c>
      <c r="CP6" s="12">
        <v>-0.35159817337989807</v>
      </c>
      <c r="CQ6" s="12">
        <v>-0.3177570104598999</v>
      </c>
      <c r="CR6">
        <v>44.438310642042673</v>
      </c>
      <c r="CS6">
        <v>15.238485590892786</v>
      </c>
      <c r="CT6">
        <v>0.18404907975460122</v>
      </c>
      <c r="CU6" s="11">
        <v>-2.9161894321441652E-2</v>
      </c>
      <c r="CV6" s="12">
        <v>-9.2803025245666498E-2</v>
      </c>
      <c r="CW6">
        <v>0.06</v>
      </c>
      <c r="CX6">
        <v>35.4149897260274</v>
      </c>
      <c r="CY6" t="s">
        <v>1570</v>
      </c>
      <c r="CZ6">
        <v>-2.9161894321441652E-2</v>
      </c>
      <c r="DA6">
        <v>11.804996575342466</v>
      </c>
      <c r="DB6" t="s">
        <v>1571</v>
      </c>
      <c r="DC6">
        <v>-2.7703799605369568E-2</v>
      </c>
      <c r="DD6">
        <v>5.9024982876712331</v>
      </c>
      <c r="DE6" t="s">
        <v>1572</v>
      </c>
      <c r="DF6">
        <v>-2.5662467002868655E-2</v>
      </c>
      <c r="DG6">
        <v>3.5414989726027399</v>
      </c>
      <c r="DH6" t="s">
        <v>1573</v>
      </c>
      <c r="DI6">
        <v>-2.3329515457153324E-2</v>
      </c>
      <c r="DJ6">
        <v>1.77074948630137</v>
      </c>
      <c r="DK6" t="s">
        <v>1574</v>
      </c>
      <c r="DL6">
        <v>-2.0413326025009153E-2</v>
      </c>
      <c r="DM6">
        <v>146000000</v>
      </c>
      <c r="DN6">
        <v>-2.9161894321441652E-2</v>
      </c>
      <c r="DO6">
        <v>5170588500</v>
      </c>
      <c r="DP6">
        <v>212088500</v>
      </c>
      <c r="DQ6">
        <v>215</v>
      </c>
      <c r="DR6">
        <v>0.35491947007901742</v>
      </c>
      <c r="DS6">
        <v>-0.62703056610609698</v>
      </c>
      <c r="DT6" s="13">
        <v>-0.52333333333333332</v>
      </c>
      <c r="DU6">
        <v>-0.64</v>
      </c>
      <c r="DV6">
        <v>-1.1633333333333333</v>
      </c>
      <c r="DW6">
        <v>-2.1086</v>
      </c>
      <c r="DX6">
        <v>0.32201776061776216</v>
      </c>
      <c r="DY6">
        <v>-2.013251128803089</v>
      </c>
      <c r="DZ6">
        <v>3724</v>
      </c>
      <c r="EA6">
        <v>-2.0035941417849474</v>
      </c>
      <c r="EB6">
        <v>2</v>
      </c>
      <c r="EC6">
        <v>4.5109360073027766E-2</v>
      </c>
      <c r="ED6">
        <v>0.36969503328568504</v>
      </c>
      <c r="EE6" s="14">
        <v>2.0605099999999998</v>
      </c>
      <c r="EF6">
        <v>2.0740099999999999</v>
      </c>
      <c r="EG6">
        <v>20.122017760617762</v>
      </c>
      <c r="EH6" t="s">
        <v>1029</v>
      </c>
      <c r="EI6">
        <v>0</v>
      </c>
      <c r="EJ6">
        <v>0</v>
      </c>
      <c r="EK6" s="10">
        <v>45470</v>
      </c>
      <c r="EL6" s="15">
        <v>-0.51</v>
      </c>
      <c r="EM6" s="15">
        <v>-3.93</v>
      </c>
      <c r="EN6" s="15">
        <v>-1.34</v>
      </c>
      <c r="EO6" s="15">
        <v>6.59</v>
      </c>
      <c r="EP6" s="15">
        <v>-1.35</v>
      </c>
    </row>
    <row r="7" spans="1:146" ht="108" x14ac:dyDescent="0.25">
      <c r="A7" s="7"/>
      <c r="B7" s="7"/>
      <c r="C7" s="7" t="str">
        <f>""&amp;CHAR(10)&amp;Basic_Fundamental_Information_Constructure(F7)&amp;CHAR(10)&amp;Basic_Fundamental_Information_Concatenate("")</f>
        <v xml:space="preserve">
市值107.231753亿, 利润13.89亿; PE8.12; 平均PE10.92; 平均PEG5.98, PB.979; ROIC8.4633%; ROE9.3767%; 股利率4.0076%; 毛利36.8833%; 净利11.8667%; 上一年度营收增2.12%, 利润增34.59%; 当季营收增1.44%, 利润增-67.46%; 过往5年营收增1.83%, 利润增13.96%
Income profile:
</v>
      </c>
      <c r="D7" t="s">
        <v>160</v>
      </c>
      <c r="E7" t="s">
        <v>161</v>
      </c>
      <c r="F7">
        <v>10.48</v>
      </c>
      <c r="G7">
        <v>1.45</v>
      </c>
      <c r="H7" t="s">
        <v>1575</v>
      </c>
      <c r="I7">
        <v>10723175300</v>
      </c>
      <c r="J7">
        <v>8.1199999999999992</v>
      </c>
      <c r="K7">
        <v>0.97899999999999998</v>
      </c>
      <c r="L7" t="s">
        <v>1467</v>
      </c>
      <c r="M7" t="s">
        <v>1576</v>
      </c>
      <c r="N7" t="s">
        <v>1577</v>
      </c>
      <c r="O7" t="s">
        <v>1578</v>
      </c>
      <c r="P7">
        <v>1.46</v>
      </c>
      <c r="Q7" t="s">
        <v>1579</v>
      </c>
      <c r="R7">
        <v>32863747</v>
      </c>
      <c r="S7" s="5">
        <v>-0.67520000000000002</v>
      </c>
      <c r="T7" t="s">
        <v>1580</v>
      </c>
      <c r="U7">
        <v>667147540</v>
      </c>
      <c r="V7">
        <v>1023203750</v>
      </c>
      <c r="W7">
        <v>1.58</v>
      </c>
      <c r="X7">
        <v>0.11</v>
      </c>
      <c r="Y7">
        <v>1.86</v>
      </c>
      <c r="Z7" t="s">
        <v>1581</v>
      </c>
      <c r="AA7" t="s">
        <v>1582</v>
      </c>
      <c r="AB7" t="s">
        <v>1463</v>
      </c>
      <c r="AC7" t="s">
        <v>302</v>
      </c>
      <c r="AD7" t="s">
        <v>5</v>
      </c>
      <c r="AE7">
        <v>-37976090</v>
      </c>
      <c r="AF7" t="s">
        <v>1583</v>
      </c>
      <c r="AG7" t="s">
        <v>1584</v>
      </c>
      <c r="AH7" t="s">
        <v>1585</v>
      </c>
      <c r="AI7" t="s">
        <v>1586</v>
      </c>
      <c r="AJ7" t="s">
        <v>1587</v>
      </c>
      <c r="AK7" t="s">
        <v>1588</v>
      </c>
      <c r="AL7" t="s">
        <v>1589</v>
      </c>
      <c r="AM7" t="s">
        <v>5</v>
      </c>
      <c r="AN7" t="s">
        <v>1590</v>
      </c>
      <c r="AO7" t="s">
        <v>5</v>
      </c>
      <c r="AP7" t="s">
        <v>355</v>
      </c>
      <c r="AQ7" t="s">
        <v>1270</v>
      </c>
      <c r="AR7" t="s">
        <v>1591</v>
      </c>
      <c r="AS7" t="s">
        <v>1592</v>
      </c>
      <c r="AT7" t="s">
        <v>5</v>
      </c>
      <c r="AU7" t="s">
        <v>1388</v>
      </c>
      <c r="AV7" t="s">
        <v>1593</v>
      </c>
      <c r="AW7" t="s">
        <v>1594</v>
      </c>
      <c r="AX7" t="s">
        <v>1041</v>
      </c>
      <c r="AY7" t="s">
        <v>162</v>
      </c>
      <c r="AZ7" t="s">
        <v>166</v>
      </c>
      <c r="BA7" t="s">
        <v>167</v>
      </c>
      <c r="BB7" t="s">
        <v>168</v>
      </c>
      <c r="BC7" t="s">
        <v>208</v>
      </c>
      <c r="BD7" t="s">
        <v>163</v>
      </c>
      <c r="BE7" t="s">
        <v>169</v>
      </c>
      <c r="BF7" t="s">
        <v>170</v>
      </c>
      <c r="BG7" t="s">
        <v>171</v>
      </c>
      <c r="BH7" t="s">
        <v>1579</v>
      </c>
      <c r="BI7" t="s">
        <v>1595</v>
      </c>
      <c r="BJ7" t="s">
        <v>1041</v>
      </c>
      <c r="BK7" t="s">
        <v>1580</v>
      </c>
      <c r="BL7" t="s">
        <v>351</v>
      </c>
      <c r="BM7" t="s">
        <v>208</v>
      </c>
      <c r="BN7">
        <v>6.08</v>
      </c>
      <c r="BO7">
        <v>9.67</v>
      </c>
      <c r="BP7">
        <v>9.64</v>
      </c>
      <c r="BQ7">
        <v>6.86</v>
      </c>
      <c r="BR7">
        <v>10.68</v>
      </c>
      <c r="BS7">
        <v>10.59</v>
      </c>
      <c r="BT7" t="s">
        <v>1596</v>
      </c>
      <c r="BU7" t="s">
        <v>82</v>
      </c>
      <c r="BV7">
        <v>38.369999999999997</v>
      </c>
      <c r="BW7">
        <v>36.44</v>
      </c>
      <c r="BX7">
        <v>35.840000000000003</v>
      </c>
      <c r="BY7">
        <v>14.24</v>
      </c>
      <c r="BZ7">
        <v>10.79</v>
      </c>
      <c r="CA7">
        <v>10.57</v>
      </c>
      <c r="CB7">
        <v>3.66</v>
      </c>
      <c r="CC7">
        <v>3.76</v>
      </c>
      <c r="CD7" t="s">
        <v>1597</v>
      </c>
      <c r="CE7" t="s">
        <v>486</v>
      </c>
      <c r="CF7" s="11">
        <v>1.4446227929373867E-2</v>
      </c>
      <c r="CG7" s="12">
        <v>-0.67461636633663369</v>
      </c>
      <c r="CH7" s="11">
        <v>2.1186027675867081E-2</v>
      </c>
      <c r="CI7" s="11">
        <v>3.9736531674861908E-2</v>
      </c>
      <c r="CJ7" s="11">
        <v>-3.4306563436985016E-2</v>
      </c>
      <c r="CK7" s="11">
        <v>9.0487813577055931E-3</v>
      </c>
      <c r="CL7" s="11">
        <v>5.5648140609264374E-2</v>
      </c>
      <c r="CM7" s="12">
        <v>0.34593015909194946</v>
      </c>
      <c r="CN7" s="12">
        <v>5.8461539447307587E-2</v>
      </c>
      <c r="CO7" s="12">
        <v>5.0646550953388214E-2</v>
      </c>
      <c r="CP7" s="12">
        <v>0.11538461595773697</v>
      </c>
      <c r="CQ7" s="12">
        <v>0.12737126648426056</v>
      </c>
      <c r="CR7">
        <v>10.916025076348829</v>
      </c>
      <c r="CS7">
        <v>5.9772622153028285</v>
      </c>
      <c r="CT7">
        <v>4.0076335877862599</v>
      </c>
      <c r="CU7" s="11">
        <v>1.8262583576142789E-2</v>
      </c>
      <c r="CV7" s="12">
        <v>0.13955882638692857</v>
      </c>
      <c r="CW7">
        <v>0.06</v>
      </c>
      <c r="CX7">
        <v>4.648982251277781</v>
      </c>
      <c r="CY7">
        <v>1334308234.5162849</v>
      </c>
      <c r="CZ7">
        <v>1.8262583576142789E-2</v>
      </c>
      <c r="DA7">
        <v>1.6151685343102395</v>
      </c>
      <c r="DB7">
        <v>3840574632.4479237</v>
      </c>
      <c r="DC7">
        <v>1.7349454397335647E-2</v>
      </c>
      <c r="DD7">
        <v>0.86091999336030234</v>
      </c>
      <c r="DE7">
        <v>7205286609.4885988</v>
      </c>
      <c r="DF7">
        <v>1.6071073547005654E-2</v>
      </c>
      <c r="DG7">
        <v>0.56366738788578097</v>
      </c>
      <c r="DH7">
        <v>11005027846.771549</v>
      </c>
      <c r="DI7">
        <v>1.4610066860914232E-2</v>
      </c>
      <c r="DJ7">
        <v>0.34816026528605415</v>
      </c>
      <c r="DK7">
        <v>17817011067.886711</v>
      </c>
      <c r="DL7">
        <v>1.2783808503299951E-2</v>
      </c>
      <c r="DM7">
        <v>1389000000</v>
      </c>
      <c r="DN7">
        <v>1.8262583576142789E-2</v>
      </c>
      <c r="DO7">
        <v>6203175300</v>
      </c>
      <c r="DP7">
        <v>2241302600</v>
      </c>
      <c r="DQ7">
        <v>243</v>
      </c>
      <c r="DR7">
        <v>-3.8163556467689218E-3</v>
      </c>
      <c r="DS7">
        <v>-0.81417519272356231</v>
      </c>
      <c r="DT7" s="13">
        <v>-0.44</v>
      </c>
      <c r="DU7">
        <v>-0.27333333333333337</v>
      </c>
      <c r="DV7">
        <v>-0.71333333333333337</v>
      </c>
      <c r="DW7">
        <v>8.9734042553191493</v>
      </c>
      <c r="DX7">
        <v>0.35368521303258205</v>
      </c>
      <c r="DY7">
        <v>8.1106616701327781</v>
      </c>
      <c r="DZ7">
        <v>3223</v>
      </c>
      <c r="EA7">
        <v>8.0408646911038257</v>
      </c>
      <c r="EB7">
        <v>8</v>
      </c>
      <c r="EC7">
        <v>4.4331737447209314E-2</v>
      </c>
      <c r="ED7">
        <v>0.38995165918811381</v>
      </c>
      <c r="EE7" s="14">
        <v>2.0470000000000002</v>
      </c>
      <c r="EF7">
        <v>2.0215999999999998</v>
      </c>
      <c r="EG7">
        <v>24.113685213032582</v>
      </c>
      <c r="EH7" t="s">
        <v>1028</v>
      </c>
      <c r="EI7">
        <v>0</v>
      </c>
      <c r="EJ7">
        <v>0</v>
      </c>
      <c r="EK7" s="10">
        <v>45470</v>
      </c>
      <c r="EL7" s="15">
        <v>-1.29</v>
      </c>
      <c r="EM7" s="15">
        <v>-4.93</v>
      </c>
      <c r="EN7" s="15">
        <v>-0.28999999999999998</v>
      </c>
      <c r="EO7" s="15">
        <v>4.71</v>
      </c>
      <c r="EP7" s="15">
        <v>-2.54</v>
      </c>
    </row>
    <row r="8" spans="1:146" ht="108" x14ac:dyDescent="0.25">
      <c r="A8" s="7"/>
      <c r="B8" s="7"/>
      <c r="C8" s="7" t="str">
        <f>""&amp;CHAR(10)&amp;Basic_Fundamental_Information_Constructure(F8)&amp;CHAR(10)&amp;Basic_Fundamental_Information_Concatenate("")</f>
        <v xml:space="preserve">
市值26.36364亿, 利润-11.00亿; PE; 平均PE-1.81; 平均PEG-.07, PB2.86; ROIC2.19%; ROE-11.4533%; 股利率0%; 毛利25.19%; 净利-114.81%; 上一年度营收增-2.24%, 利润增-61.05%; 当季营收增-26.9%, 利润增-191.51%; 过往5年营收增-24.98%, 利润增-1427.16%
Income profile:
</v>
      </c>
      <c r="D8" t="s">
        <v>173</v>
      </c>
      <c r="E8" t="s">
        <v>174</v>
      </c>
      <c r="F8">
        <v>1.32</v>
      </c>
      <c r="G8">
        <v>1.54</v>
      </c>
      <c r="H8" t="s">
        <v>415</v>
      </c>
      <c r="I8">
        <v>2636364000</v>
      </c>
      <c r="K8">
        <v>2.86</v>
      </c>
      <c r="L8" t="s">
        <v>1467</v>
      </c>
      <c r="M8" t="s">
        <v>1598</v>
      </c>
      <c r="N8" t="s">
        <v>1353</v>
      </c>
      <c r="O8" t="s">
        <v>1599</v>
      </c>
      <c r="P8">
        <v>-26.97</v>
      </c>
      <c r="Q8" t="s">
        <v>1600</v>
      </c>
      <c r="R8">
        <v>-64000000</v>
      </c>
      <c r="S8" s="5">
        <v>-0.56979999999999997</v>
      </c>
      <c r="T8" t="s">
        <v>1601</v>
      </c>
      <c r="U8">
        <v>1961008600</v>
      </c>
      <c r="V8">
        <v>1997245500</v>
      </c>
      <c r="W8">
        <v>2.67</v>
      </c>
      <c r="X8">
        <v>0.03</v>
      </c>
      <c r="Y8">
        <v>-39.65</v>
      </c>
      <c r="Z8" t="s">
        <v>255</v>
      </c>
      <c r="AA8" t="s">
        <v>1602</v>
      </c>
      <c r="AB8" t="s">
        <v>1603</v>
      </c>
      <c r="AC8" t="s">
        <v>1604</v>
      </c>
      <c r="AD8" t="s">
        <v>5</v>
      </c>
      <c r="AE8">
        <v>20413587</v>
      </c>
      <c r="AF8" t="s">
        <v>1605</v>
      </c>
      <c r="AG8" t="s">
        <v>1606</v>
      </c>
      <c r="AH8" t="s">
        <v>1607</v>
      </c>
      <c r="AI8" t="s">
        <v>323</v>
      </c>
      <c r="AJ8" t="s">
        <v>1608</v>
      </c>
      <c r="AK8" t="s">
        <v>1609</v>
      </c>
      <c r="AL8" t="s">
        <v>1610</v>
      </c>
      <c r="AM8" t="s">
        <v>5</v>
      </c>
      <c r="AN8" t="s">
        <v>1611</v>
      </c>
      <c r="AO8" t="s">
        <v>1405</v>
      </c>
      <c r="AP8" t="s">
        <v>5</v>
      </c>
      <c r="AQ8" t="s">
        <v>102</v>
      </c>
      <c r="AR8" t="s">
        <v>1612</v>
      </c>
      <c r="AS8" t="s">
        <v>1262</v>
      </c>
      <c r="AT8" t="s">
        <v>1457</v>
      </c>
      <c r="AU8" t="s">
        <v>1613</v>
      </c>
      <c r="AV8" t="s">
        <v>1614</v>
      </c>
      <c r="AW8" t="s">
        <v>1615</v>
      </c>
      <c r="AX8" t="s">
        <v>331</v>
      </c>
      <c r="AY8" t="s">
        <v>1452</v>
      </c>
      <c r="AZ8" t="s">
        <v>178</v>
      </c>
      <c r="BA8" t="s">
        <v>179</v>
      </c>
      <c r="BB8" t="s">
        <v>180</v>
      </c>
      <c r="BC8" t="s">
        <v>1043</v>
      </c>
      <c r="BD8" t="s">
        <v>175</v>
      </c>
      <c r="BE8" t="s">
        <v>181</v>
      </c>
      <c r="BF8" t="s">
        <v>182</v>
      </c>
      <c r="BG8" t="s">
        <v>183</v>
      </c>
      <c r="BH8" t="s">
        <v>1600</v>
      </c>
      <c r="BI8" t="s">
        <v>114</v>
      </c>
      <c r="BJ8" t="s">
        <v>331</v>
      </c>
      <c r="BK8" t="s">
        <v>1601</v>
      </c>
      <c r="BL8" t="s">
        <v>1616</v>
      </c>
      <c r="BM8" t="s">
        <v>1043</v>
      </c>
      <c r="BN8" t="s">
        <v>5</v>
      </c>
      <c r="BO8" t="s">
        <v>5</v>
      </c>
      <c r="BP8">
        <v>2.19</v>
      </c>
      <c r="BQ8">
        <v>-6.41</v>
      </c>
      <c r="BR8">
        <v>-28.43</v>
      </c>
      <c r="BS8">
        <v>0.48</v>
      </c>
      <c r="BT8" t="s">
        <v>1017</v>
      </c>
      <c r="BU8" t="s">
        <v>82</v>
      </c>
      <c r="BV8">
        <v>21.2</v>
      </c>
      <c r="BW8">
        <v>22.08</v>
      </c>
      <c r="BX8">
        <v>32.29</v>
      </c>
      <c r="BY8">
        <v>-207.22</v>
      </c>
      <c r="BZ8">
        <v>-145.32</v>
      </c>
      <c r="CA8">
        <v>8.11</v>
      </c>
      <c r="CB8">
        <v>10</v>
      </c>
      <c r="CC8">
        <v>5.6</v>
      </c>
      <c r="CD8" t="s">
        <v>1617</v>
      </c>
      <c r="CE8" t="s">
        <v>1618</v>
      </c>
      <c r="CF8" s="11">
        <v>-0.26900833333333335</v>
      </c>
      <c r="CG8" s="12">
        <v>-1.9150800736057718</v>
      </c>
      <c r="CH8" s="11">
        <v>-2.2413793951272964E-2</v>
      </c>
      <c r="CI8" s="11">
        <v>-0.29782083630561829</v>
      </c>
      <c r="CJ8" s="11">
        <v>-0.72188550233840942</v>
      </c>
      <c r="CK8" s="11">
        <v>-0.24234697222709656</v>
      </c>
      <c r="CL8" s="11">
        <v>3.5667125135660172E-2</v>
      </c>
      <c r="CM8" s="12">
        <v>-0.6105417013168335</v>
      </c>
      <c r="CN8" s="12">
        <v>-51.860836029052734</v>
      </c>
      <c r="CO8" s="12">
        <v>1.0064221620559692</v>
      </c>
      <c r="CP8" s="12">
        <v>-20.914285659790039</v>
      </c>
      <c r="CQ8" s="12">
        <v>1.021054744720459</v>
      </c>
      <c r="CR8">
        <v>-1.8093285874526248</v>
      </c>
      <c r="CS8">
        <v>-7.2442689657414031E-2</v>
      </c>
      <c r="CT8">
        <v>0</v>
      </c>
      <c r="CU8" s="11">
        <v>-0.24975999593734741</v>
      </c>
      <c r="CV8" s="12">
        <v>-14.271637296676635</v>
      </c>
      <c r="CW8">
        <v>0.06</v>
      </c>
      <c r="CX8" t="e">
        <v>#VALUE!</v>
      </c>
      <c r="CY8" t="s">
        <v>129</v>
      </c>
      <c r="CZ8">
        <v>-0.24975999593734741</v>
      </c>
      <c r="DA8" t="e">
        <v>#VALUE!</v>
      </c>
      <c r="DB8" t="s">
        <v>130</v>
      </c>
      <c r="DC8">
        <v>-0.23727199614048003</v>
      </c>
      <c r="DD8" t="e">
        <v>#VALUE!</v>
      </c>
      <c r="DE8" t="s">
        <v>130</v>
      </c>
      <c r="DF8">
        <v>-0.21978879642486571</v>
      </c>
      <c r="DG8" t="e">
        <v>#VALUE!</v>
      </c>
      <c r="DH8" t="s">
        <v>130</v>
      </c>
      <c r="DI8">
        <v>-0.19980799674987793</v>
      </c>
      <c r="DJ8" t="e">
        <v>#VALUE!</v>
      </c>
      <c r="DK8" t="s">
        <v>130</v>
      </c>
      <c r="DL8">
        <v>-0.17483199715614317</v>
      </c>
      <c r="DM8">
        <v>-1100000000</v>
      </c>
      <c r="DN8">
        <v>-0.24975999593734741</v>
      </c>
      <c r="DO8">
        <v>3446364000</v>
      </c>
      <c r="DP8">
        <v>-115958780</v>
      </c>
      <c r="DQ8">
        <v>287</v>
      </c>
      <c r="DR8">
        <v>-1.9248337395985943E-2</v>
      </c>
      <c r="DS8">
        <v>12.356557223070864</v>
      </c>
      <c r="DT8" s="13">
        <v>-0.97333333333333327</v>
      </c>
      <c r="DU8">
        <v>-2.5483333333333333</v>
      </c>
      <c r="DV8">
        <v>-3.5216666666666665</v>
      </c>
      <c r="DW8">
        <v>5.56</v>
      </c>
      <c r="DX8">
        <v>0.40207493661216387</v>
      </c>
      <c r="DY8">
        <v>5.101961964502812</v>
      </c>
      <c r="DZ8">
        <v>5033</v>
      </c>
      <c r="EA8">
        <v>5.0015364131637412</v>
      </c>
      <c r="EB8">
        <v>5</v>
      </c>
      <c r="EC8">
        <v>0.48416681875112499</v>
      </c>
      <c r="ED8">
        <v>2.6591623313208115</v>
      </c>
      <c r="EE8" s="14">
        <v>-5.0758000000000001</v>
      </c>
      <c r="EF8">
        <v>-5.0918999999999999</v>
      </c>
      <c r="EG8">
        <v>22.182074936612164</v>
      </c>
      <c r="EH8" t="s">
        <v>1465</v>
      </c>
      <c r="EI8">
        <v>1</v>
      </c>
      <c r="EJ8">
        <v>0</v>
      </c>
      <c r="EK8" s="10">
        <v>45470</v>
      </c>
      <c r="EL8" s="15">
        <v>1.56</v>
      </c>
      <c r="EM8" s="15">
        <v>-3.85</v>
      </c>
      <c r="EN8" s="15">
        <v>-9.6</v>
      </c>
      <c r="EO8" s="15">
        <v>9.73</v>
      </c>
      <c r="EP8" s="15">
        <v>1.61</v>
      </c>
    </row>
    <row r="9" spans="1:146" ht="108" x14ac:dyDescent="0.25">
      <c r="A9" s="7"/>
      <c r="B9" s="7"/>
      <c r="C9" s="7" t="str">
        <f>""&amp;CHAR(10)&amp;Basic_Fundamental_Information_Constructure(F9)&amp;CHAR(10)&amp;Basic_Fundamental_Information_Concatenate("")</f>
        <v xml:space="preserve">
市值71.586595亿, 利润1.76亿; PE40.42; 平均PE-77.47; 平均PEG-4.58, PB.693; ROIC3.3233%; ROE2.01%; 股利率.396%; 毛利28.8767%; 净利11.8633%; 上一年度营收增5.21%, 利润增-15.79%; 当季营收增11.55%, 利润增5.94%; 过往5年营收增-16.92%, 利润增-265.15%
Income profile:
</v>
      </c>
      <c r="D9" t="s">
        <v>200</v>
      </c>
      <c r="E9" t="s">
        <v>201</v>
      </c>
      <c r="F9">
        <v>5.05</v>
      </c>
      <c r="G9">
        <v>1.2</v>
      </c>
      <c r="H9" t="s">
        <v>1619</v>
      </c>
      <c r="I9">
        <v>7158659500</v>
      </c>
      <c r="J9">
        <v>40.42</v>
      </c>
      <c r="K9">
        <v>0.69299999999999995</v>
      </c>
      <c r="L9" t="s">
        <v>1467</v>
      </c>
      <c r="M9" t="s">
        <v>1620</v>
      </c>
      <c r="N9" t="s">
        <v>1621</v>
      </c>
      <c r="O9" t="s">
        <v>1420</v>
      </c>
      <c r="P9">
        <v>11.65</v>
      </c>
      <c r="Q9" t="s">
        <v>179</v>
      </c>
      <c r="R9">
        <v>27673638</v>
      </c>
      <c r="S9" s="5">
        <v>5.9400000000000001E-2</v>
      </c>
      <c r="T9" t="s">
        <v>27</v>
      </c>
      <c r="U9">
        <v>1417459400</v>
      </c>
      <c r="V9">
        <v>1417556300</v>
      </c>
      <c r="W9">
        <v>1.5</v>
      </c>
      <c r="X9">
        <v>0.05</v>
      </c>
      <c r="Y9">
        <v>6.29</v>
      </c>
      <c r="Z9" t="s">
        <v>1228</v>
      </c>
      <c r="AA9" t="s">
        <v>1622</v>
      </c>
      <c r="AB9" t="s">
        <v>1623</v>
      </c>
      <c r="AC9" t="s">
        <v>247</v>
      </c>
      <c r="AD9" t="s">
        <v>5</v>
      </c>
      <c r="AE9">
        <v>23055920</v>
      </c>
      <c r="AF9" t="s">
        <v>1624</v>
      </c>
      <c r="AG9" t="s">
        <v>1625</v>
      </c>
      <c r="AH9" t="s">
        <v>1626</v>
      </c>
      <c r="AI9" t="s">
        <v>1627</v>
      </c>
      <c r="AJ9" t="s">
        <v>1628</v>
      </c>
      <c r="AK9" t="s">
        <v>1629</v>
      </c>
      <c r="AL9" t="s">
        <v>1630</v>
      </c>
      <c r="AM9" t="s">
        <v>5</v>
      </c>
      <c r="AN9" t="s">
        <v>102</v>
      </c>
      <c r="AO9" t="s">
        <v>1387</v>
      </c>
      <c r="AP9" t="s">
        <v>1631</v>
      </c>
      <c r="AQ9" t="s">
        <v>565</v>
      </c>
      <c r="AR9" t="s">
        <v>5</v>
      </c>
      <c r="AS9" t="s">
        <v>59</v>
      </c>
      <c r="AT9" t="s">
        <v>569</v>
      </c>
      <c r="AU9" t="s">
        <v>1632</v>
      </c>
      <c r="AV9" t="s">
        <v>483</v>
      </c>
      <c r="AW9" t="s">
        <v>1261</v>
      </c>
      <c r="AX9" t="s">
        <v>1046</v>
      </c>
      <c r="AY9" t="s">
        <v>202</v>
      </c>
      <c r="AZ9" t="s">
        <v>209</v>
      </c>
      <c r="BA9" t="s">
        <v>210</v>
      </c>
      <c r="BB9" t="s">
        <v>211</v>
      </c>
      <c r="BC9" t="s">
        <v>345</v>
      </c>
      <c r="BD9" t="s">
        <v>203</v>
      </c>
      <c r="BE9" t="s">
        <v>1303</v>
      </c>
      <c r="BF9" t="s">
        <v>212</v>
      </c>
      <c r="BG9" t="s">
        <v>1304</v>
      </c>
      <c r="BH9" t="s">
        <v>179</v>
      </c>
      <c r="BI9" t="s">
        <v>1633</v>
      </c>
      <c r="BJ9" t="s">
        <v>1046</v>
      </c>
      <c r="BK9" t="s">
        <v>27</v>
      </c>
      <c r="BL9" t="s">
        <v>1634</v>
      </c>
      <c r="BM9" t="s">
        <v>345</v>
      </c>
      <c r="BN9">
        <v>1.78</v>
      </c>
      <c r="BO9">
        <v>3.46</v>
      </c>
      <c r="BP9">
        <v>4.7300000000000004</v>
      </c>
      <c r="BQ9">
        <v>0.78</v>
      </c>
      <c r="BR9">
        <v>2.0299999999999998</v>
      </c>
      <c r="BS9">
        <v>3.22</v>
      </c>
      <c r="BT9" t="s">
        <v>1018</v>
      </c>
      <c r="BU9" t="s">
        <v>107</v>
      </c>
      <c r="BV9">
        <v>30.77</v>
      </c>
      <c r="BW9">
        <v>30.76</v>
      </c>
      <c r="BX9">
        <v>25.1</v>
      </c>
      <c r="BY9">
        <v>9.4700000000000006</v>
      </c>
      <c r="BZ9">
        <v>11.6</v>
      </c>
      <c r="CA9">
        <v>14.52</v>
      </c>
      <c r="CB9">
        <v>0</v>
      </c>
      <c r="CC9">
        <v>-14.26</v>
      </c>
      <c r="CD9" t="s">
        <v>1635</v>
      </c>
      <c r="CE9" t="s">
        <v>152</v>
      </c>
      <c r="CF9" s="11">
        <v>0.11552795031055885</v>
      </c>
      <c r="CG9" s="12">
        <v>5.9355053573274232E-2</v>
      </c>
      <c r="CH9" s="11">
        <v>5.206652358174324E-2</v>
      </c>
      <c r="CI9" s="11">
        <v>-0.14147457480430603</v>
      </c>
      <c r="CJ9" s="11">
        <v>-0.26936027407646179</v>
      </c>
      <c r="CK9" s="11">
        <v>-0.16066135466098785</v>
      </c>
      <c r="CL9" s="11">
        <v>-0.32670530676841736</v>
      </c>
      <c r="CM9" s="12">
        <v>-0.15789473056793213</v>
      </c>
      <c r="CN9" s="12">
        <v>-0.36666667461395264</v>
      </c>
      <c r="CO9" s="12">
        <v>1.2247956991195679</v>
      </c>
      <c r="CP9" s="12">
        <v>-14.225225448608398</v>
      </c>
      <c r="CQ9" s="12">
        <v>0.26742282509803772</v>
      </c>
      <c r="CR9">
        <v>-77.471777298358447</v>
      </c>
      <c r="CS9">
        <v>-4.5779797853473765</v>
      </c>
      <c r="CT9">
        <v>0.39603960396039606</v>
      </c>
      <c r="CU9" s="11">
        <v>-0.16922699734568597</v>
      </c>
      <c r="CV9" s="12">
        <v>-2.6515136659145355</v>
      </c>
      <c r="CW9">
        <v>0.06</v>
      </c>
      <c r="CX9">
        <v>8.5548835227272733</v>
      </c>
      <c r="CY9" t="s">
        <v>1636</v>
      </c>
      <c r="CZ9">
        <v>-0.16922699734568597</v>
      </c>
      <c r="DA9">
        <v>2.8516278409090909</v>
      </c>
      <c r="DB9" t="s">
        <v>1637</v>
      </c>
      <c r="DC9">
        <v>-0.16076564747840166</v>
      </c>
      <c r="DD9">
        <v>1.4258139204545455</v>
      </c>
      <c r="DE9" t="s">
        <v>1638</v>
      </c>
      <c r="DF9">
        <v>-0.14891975766420365</v>
      </c>
      <c r="DG9">
        <v>0.85548835227272724</v>
      </c>
      <c r="DH9" t="s">
        <v>1639</v>
      </c>
      <c r="DI9">
        <v>-0.13538159787654877</v>
      </c>
      <c r="DJ9">
        <v>0.42774417613636362</v>
      </c>
      <c r="DK9" t="s">
        <v>1640</v>
      </c>
      <c r="DL9">
        <v>-0.11845889814198017</v>
      </c>
      <c r="DM9">
        <v>176000000</v>
      </c>
      <c r="DN9">
        <v>-0.16922699734568597</v>
      </c>
      <c r="DO9">
        <v>1505659500</v>
      </c>
      <c r="DP9">
        <v>2699607900</v>
      </c>
      <c r="DQ9">
        <v>368</v>
      </c>
      <c r="DR9">
        <v>0.28475494765624482</v>
      </c>
      <c r="DS9">
        <v>2.7108687194878098</v>
      </c>
      <c r="DT9" s="13">
        <v>-0.78999999999999992</v>
      </c>
      <c r="DU9">
        <v>-1.0399999999999998</v>
      </c>
      <c r="DV9">
        <v>-1.8299999999999996</v>
      </c>
      <c r="DW9">
        <v>-2.1425999999999998</v>
      </c>
      <c r="DX9">
        <v>0.32154778947368268</v>
      </c>
      <c r="DY9">
        <v>-2.0159067147789473</v>
      </c>
      <c r="DZ9">
        <v>4276</v>
      </c>
      <c r="EA9">
        <v>-2.0025961252692057</v>
      </c>
      <c r="EB9">
        <v>2</v>
      </c>
      <c r="EC9">
        <v>5.6814321942627602E-2</v>
      </c>
      <c r="ED9">
        <v>0.50932721331773556</v>
      </c>
      <c r="EE9" s="14">
        <v>3.0663100000000001</v>
      </c>
      <c r="EF9">
        <v>3.0780099999999999</v>
      </c>
      <c r="EG9">
        <v>21.111547789473683</v>
      </c>
      <c r="EH9" t="s">
        <v>1030</v>
      </c>
      <c r="EI9">
        <v>0</v>
      </c>
      <c r="EJ9">
        <v>0</v>
      </c>
      <c r="EK9" s="10">
        <v>45470</v>
      </c>
      <c r="EL9" s="15">
        <v>-0.2</v>
      </c>
      <c r="EM9" s="15">
        <v>-3.76</v>
      </c>
      <c r="EN9" s="15">
        <v>0.21</v>
      </c>
      <c r="EO9" s="15">
        <v>5.13</v>
      </c>
      <c r="EP9" s="15">
        <v>-1.17</v>
      </c>
    </row>
    <row r="10" spans="1:146" ht="192" x14ac:dyDescent="0.25">
      <c r="A10" s="7"/>
      <c r="B10" s="7"/>
      <c r="C10" s="7" t="str">
        <f>"公司主要从事生活圈媒体的开发和运营，主要产品为楼宇媒体（包含电梯电视媒体和电梯海报媒体）、影院银幕广告媒体和终端卖场媒体等。"&amp;CHAR(10)&amp;Basic_Fundamental_Information_Constructure(F10)&amp;CHAR(10)&amp;Basic_Fundamental_Information_Concatenate("日用消费品 25.75亿 53.07%
互联网 7.20亿 14.84%
房产家居 3.90亿 8.05%
交通 3.18亿 6.56%
娱乐及休闲 2.59亿 5.33%
商业及服务 2.47亿 5.08%")</f>
        <v>公司主要从事生活圈媒体的开发和运营，主要产品为楼宇媒体（包含电梯电视媒体和电梯海报媒体）、影院银幕广告媒体和终端卖场媒体等。
市值898.30482亿, 利润48.27亿; PE18.24; 平均PE21.23; 平均PEG23.88, PB4.8; ROIC21.1533%; ROE23.0633%; 股利率5.3055%; 毛利64.24%; 净利37.21%; 上一年度营收增26.3%, 利润增73.01%; 当季营收增6.02%, 利润增10.53%; 过往5年营收增-.89%, 利润增23.24%
Income profile:
日用消费品 25.75亿 53.07%
互联网 7.20亿 14.84%
房产家居 3.90亿 8.05%
交通 3.18亿 6.56%
娱乐及休闲 2.59亿 5.33%
商业及服务 2.47亿 5.08%</v>
      </c>
      <c r="D10" t="s">
        <v>220</v>
      </c>
      <c r="E10" t="s">
        <v>221</v>
      </c>
      <c r="F10">
        <v>6.22</v>
      </c>
      <c r="G10">
        <v>-0.64</v>
      </c>
      <c r="H10" t="s">
        <v>1641</v>
      </c>
      <c r="I10">
        <v>89830482000</v>
      </c>
      <c r="J10">
        <v>18.239999999999998</v>
      </c>
      <c r="K10">
        <v>4.8</v>
      </c>
      <c r="L10" t="s">
        <v>1467</v>
      </c>
      <c r="M10" t="s">
        <v>1642</v>
      </c>
      <c r="N10" t="s">
        <v>1643</v>
      </c>
      <c r="O10" t="s">
        <v>1644</v>
      </c>
      <c r="P10">
        <v>6.02</v>
      </c>
      <c r="Q10" t="s">
        <v>1645</v>
      </c>
      <c r="R10">
        <v>1040063500</v>
      </c>
      <c r="S10" s="5">
        <v>0.105</v>
      </c>
      <c r="T10" t="s">
        <v>1646</v>
      </c>
      <c r="U10">
        <v>14442200000</v>
      </c>
      <c r="V10">
        <v>14442200000</v>
      </c>
      <c r="W10">
        <v>1.32</v>
      </c>
      <c r="X10">
        <v>0.11</v>
      </c>
      <c r="Y10">
        <v>37.130000000000003</v>
      </c>
      <c r="Z10" t="s">
        <v>1647</v>
      </c>
      <c r="AA10" t="s">
        <v>390</v>
      </c>
      <c r="AB10" t="s">
        <v>1464</v>
      </c>
      <c r="AC10" t="s">
        <v>212</v>
      </c>
      <c r="AD10" t="s">
        <v>5</v>
      </c>
      <c r="AE10">
        <v>-8683633</v>
      </c>
      <c r="AF10" t="s">
        <v>1648</v>
      </c>
      <c r="AG10" t="s">
        <v>1649</v>
      </c>
      <c r="AH10" t="s">
        <v>1650</v>
      </c>
      <c r="AI10" t="s">
        <v>1651</v>
      </c>
      <c r="AJ10" t="s">
        <v>1652</v>
      </c>
      <c r="AK10" t="s">
        <v>5</v>
      </c>
      <c r="AL10" t="s">
        <v>1653</v>
      </c>
      <c r="AM10" t="s">
        <v>5</v>
      </c>
      <c r="AN10" t="s">
        <v>1654</v>
      </c>
      <c r="AO10" t="s">
        <v>1655</v>
      </c>
      <c r="AP10" t="s">
        <v>5</v>
      </c>
      <c r="AQ10" t="s">
        <v>458</v>
      </c>
      <c r="AR10" t="s">
        <v>5</v>
      </c>
      <c r="AS10" t="s">
        <v>1656</v>
      </c>
      <c r="AT10" t="s">
        <v>5</v>
      </c>
      <c r="AU10" t="s">
        <v>1657</v>
      </c>
      <c r="AV10" t="s">
        <v>1082</v>
      </c>
      <c r="AW10" t="s">
        <v>1658</v>
      </c>
      <c r="AX10" t="s">
        <v>1048</v>
      </c>
      <c r="AY10" t="s">
        <v>222</v>
      </c>
      <c r="AZ10" t="s">
        <v>225</v>
      </c>
      <c r="BA10" t="s">
        <v>226</v>
      </c>
      <c r="BB10" t="s">
        <v>227</v>
      </c>
      <c r="BC10" t="s">
        <v>1049</v>
      </c>
      <c r="BD10" t="s">
        <v>1310</v>
      </c>
      <c r="BE10" t="s">
        <v>1311</v>
      </c>
      <c r="BF10" t="s">
        <v>1312</v>
      </c>
      <c r="BG10" t="s">
        <v>1294</v>
      </c>
      <c r="BH10" t="s">
        <v>1645</v>
      </c>
      <c r="BI10" t="s">
        <v>519</v>
      </c>
      <c r="BJ10" t="s">
        <v>1048</v>
      </c>
      <c r="BK10" t="s">
        <v>1646</v>
      </c>
      <c r="BL10" t="s">
        <v>1659</v>
      </c>
      <c r="BM10" t="s">
        <v>1049</v>
      </c>
      <c r="BN10">
        <v>18.329999999999998</v>
      </c>
      <c r="BO10">
        <v>13.71</v>
      </c>
      <c r="BP10">
        <v>31.42</v>
      </c>
      <c r="BQ10">
        <v>21.24</v>
      </c>
      <c r="BR10">
        <v>14.82</v>
      </c>
      <c r="BS10">
        <v>33.130000000000003</v>
      </c>
      <c r="BT10" t="s">
        <v>1660</v>
      </c>
      <c r="BU10" t="s">
        <v>107</v>
      </c>
      <c r="BV10">
        <v>65.48</v>
      </c>
      <c r="BW10">
        <v>59.71</v>
      </c>
      <c r="BX10">
        <v>67.53</v>
      </c>
      <c r="BY10">
        <v>40.32</v>
      </c>
      <c r="BZ10">
        <v>30.12</v>
      </c>
      <c r="CA10">
        <v>41.19</v>
      </c>
      <c r="CB10">
        <v>2.64</v>
      </c>
      <c r="CC10">
        <v>-1.74</v>
      </c>
      <c r="CD10" t="s">
        <v>710</v>
      </c>
      <c r="CE10" t="s">
        <v>1661</v>
      </c>
      <c r="CF10" s="11">
        <v>6.0194174757281553E-2</v>
      </c>
      <c r="CG10" s="12">
        <v>0.10527470775770457</v>
      </c>
      <c r="CH10" s="11">
        <v>0.26302382349967957</v>
      </c>
      <c r="CI10" s="11">
        <v>-0.3647209107875824</v>
      </c>
      <c r="CJ10" s="11">
        <v>0.22641970217227936</v>
      </c>
      <c r="CK10" s="11">
        <v>-3.2135003712028265E-3</v>
      </c>
      <c r="CL10" s="11">
        <v>-0.16596801578998566</v>
      </c>
      <c r="CM10" s="12">
        <v>0.73010736703872681</v>
      </c>
      <c r="CN10" s="12">
        <v>-0.53983175754547119</v>
      </c>
      <c r="CO10" s="12">
        <v>0.51423579454421997</v>
      </c>
      <c r="CP10" s="12">
        <v>1.1354665756225586</v>
      </c>
      <c r="CQ10" s="12">
        <v>-0.6780010461807251</v>
      </c>
      <c r="CR10">
        <v>21.234847214561498</v>
      </c>
      <c r="CS10">
        <v>23.881434993577734</v>
      </c>
      <c r="CT10">
        <v>5.305466237942122</v>
      </c>
      <c r="CU10" s="11">
        <v>-8.8917802553623911E-3</v>
      </c>
      <c r="CV10" s="12">
        <v>0.23239538669586182</v>
      </c>
      <c r="CW10">
        <v>0.06</v>
      </c>
      <c r="CX10">
        <v>15.971510669152682</v>
      </c>
      <c r="CY10" t="s">
        <v>1662</v>
      </c>
      <c r="CZ10">
        <v>-8.8917802553623911E-3</v>
      </c>
      <c r="DA10">
        <v>5.323836889717561</v>
      </c>
      <c r="DB10" t="s">
        <v>1663</v>
      </c>
      <c r="DC10">
        <v>-8.4471912425942708E-3</v>
      </c>
      <c r="DD10">
        <v>2.6619184448587805</v>
      </c>
      <c r="DE10" t="s">
        <v>1664</v>
      </c>
      <c r="DF10">
        <v>-7.8247666247189037E-3</v>
      </c>
      <c r="DG10">
        <v>1.5971510669152682</v>
      </c>
      <c r="DH10" t="s">
        <v>1665</v>
      </c>
      <c r="DI10">
        <v>-7.1134242042899132E-3</v>
      </c>
      <c r="DJ10">
        <v>0.7985755334576341</v>
      </c>
      <c r="DK10" t="s">
        <v>1666</v>
      </c>
      <c r="DL10">
        <v>-6.2242461787536734E-3</v>
      </c>
      <c r="DM10">
        <v>4827000000</v>
      </c>
      <c r="DN10">
        <v>-8.8917802553623911E-3</v>
      </c>
      <c r="DO10">
        <v>77094482000</v>
      </c>
      <c r="DP10">
        <v>6747937300</v>
      </c>
      <c r="DQ10">
        <v>545</v>
      </c>
      <c r="DR10">
        <v>6.9085955012643946E-2</v>
      </c>
      <c r="DS10">
        <v>-0.12712067893815726</v>
      </c>
      <c r="DT10" s="13">
        <v>-0.38999999999999996</v>
      </c>
      <c r="DU10">
        <v>0.35000000000000003</v>
      </c>
      <c r="DV10">
        <v>-3.9999999999999925E-2</v>
      </c>
      <c r="DW10">
        <v>4.6590909090909092</v>
      </c>
      <c r="DX10">
        <v>0.33133858267716448</v>
      </c>
      <c r="DY10">
        <v>4.0931549749463132</v>
      </c>
      <c r="DZ10">
        <v>1801</v>
      </c>
      <c r="EA10">
        <v>4.0603228595102445</v>
      </c>
      <c r="EB10">
        <v>4</v>
      </c>
      <c r="EC10">
        <v>2.4857708659345529E-2</v>
      </c>
      <c r="ED10">
        <v>0.17587348187949203</v>
      </c>
      <c r="EE10" s="14">
        <v>5.45E-2</v>
      </c>
      <c r="EF10">
        <v>5.45E-2</v>
      </c>
      <c r="EG10">
        <v>19.141338582677164</v>
      </c>
      <c r="EH10" t="s">
        <v>81</v>
      </c>
      <c r="EI10">
        <v>0</v>
      </c>
      <c r="EJ10">
        <v>0</v>
      </c>
      <c r="EK10" s="10">
        <v>45470</v>
      </c>
      <c r="EL10" s="15">
        <v>1.5</v>
      </c>
      <c r="EM10" s="15">
        <v>-1.1499999999999999</v>
      </c>
      <c r="EN10" s="15">
        <v>-1.33</v>
      </c>
      <c r="EO10" s="15">
        <v>1.18</v>
      </c>
      <c r="EP10" s="15">
        <v>0</v>
      </c>
    </row>
    <row r="11" spans="1:146" ht="108" x14ac:dyDescent="0.25">
      <c r="A11" s="7"/>
      <c r="B11" s="7"/>
      <c r="C11" s="7" t="str">
        <f>""&amp;CHAR(10)&amp;Basic_Fundamental_Information_Constructure(F11)&amp;CHAR(10)&amp;Basic_Fundamental_Information_Concatenate("")</f>
        <v xml:space="preserve">
市值30.70548亿, 利润1910.04万; PE177.8; 平均PE107.5; 平均PEG74.85, PB3.27; ROIC.6433%; ROE2.2%; 股利率.4115%; 毛利18.3633%; 净利5.6867%; 上一年度营收增2.13%, 利润增-15.88%; 当季营收增-50.93%, 利润增-43.22%; 过往5年营收增1.44%, 利润增-9.69%
Income profile:
</v>
      </c>
      <c r="D11" t="s">
        <v>231</v>
      </c>
      <c r="E11" t="s">
        <v>232</v>
      </c>
      <c r="F11">
        <v>12.15</v>
      </c>
      <c r="G11">
        <v>1</v>
      </c>
      <c r="H11" t="s">
        <v>1667</v>
      </c>
      <c r="I11">
        <v>3070548000</v>
      </c>
      <c r="J11">
        <v>177.8</v>
      </c>
      <c r="K11">
        <v>3.27</v>
      </c>
      <c r="L11" t="s">
        <v>1467</v>
      </c>
      <c r="M11" t="s">
        <v>1668</v>
      </c>
      <c r="N11" t="s">
        <v>1669</v>
      </c>
      <c r="O11" t="s">
        <v>1670</v>
      </c>
      <c r="P11">
        <v>-50.82</v>
      </c>
      <c r="Q11" t="s">
        <v>1408</v>
      </c>
      <c r="R11">
        <v>2403801</v>
      </c>
      <c r="S11" s="5">
        <v>-0.43219999999999997</v>
      </c>
      <c r="T11" t="s">
        <v>1671</v>
      </c>
      <c r="U11">
        <v>251708420</v>
      </c>
      <c r="V11">
        <v>252720000</v>
      </c>
      <c r="W11">
        <v>1.29</v>
      </c>
      <c r="X11">
        <v>0.05</v>
      </c>
      <c r="Y11">
        <v>4.84</v>
      </c>
      <c r="Z11" t="s">
        <v>1672</v>
      </c>
      <c r="AA11" t="s">
        <v>1673</v>
      </c>
      <c r="AB11" t="s">
        <v>1674</v>
      </c>
      <c r="AC11" t="s">
        <v>1675</v>
      </c>
      <c r="AD11" t="s">
        <v>5</v>
      </c>
      <c r="AE11">
        <v>-5890484</v>
      </c>
      <c r="AF11" t="s">
        <v>1676</v>
      </c>
      <c r="AG11">
        <v>5098.57</v>
      </c>
      <c r="AH11" t="s">
        <v>1677</v>
      </c>
      <c r="AI11" t="s">
        <v>1424</v>
      </c>
      <c r="AJ11" t="s">
        <v>1678</v>
      </c>
      <c r="AK11" t="s">
        <v>1679</v>
      </c>
      <c r="AL11" t="s">
        <v>1680</v>
      </c>
      <c r="AM11" t="s">
        <v>5</v>
      </c>
      <c r="AN11">
        <v>0</v>
      </c>
      <c r="AO11" t="s">
        <v>1681</v>
      </c>
      <c r="AP11" t="s">
        <v>1682</v>
      </c>
      <c r="AQ11" t="s">
        <v>1683</v>
      </c>
      <c r="AR11" t="s">
        <v>5</v>
      </c>
      <c r="AS11" t="s">
        <v>1316</v>
      </c>
      <c r="AT11" t="s">
        <v>5</v>
      </c>
      <c r="AU11" t="s">
        <v>1684</v>
      </c>
      <c r="AV11" t="s">
        <v>1685</v>
      </c>
      <c r="AW11" t="s">
        <v>1686</v>
      </c>
      <c r="AX11" t="s">
        <v>618</v>
      </c>
      <c r="AY11" t="s">
        <v>595</v>
      </c>
      <c r="AZ11" t="s">
        <v>105</v>
      </c>
      <c r="BA11" t="s">
        <v>238</v>
      </c>
      <c r="BB11" t="s">
        <v>239</v>
      </c>
      <c r="BC11" t="s">
        <v>1051</v>
      </c>
      <c r="BD11" t="s">
        <v>234</v>
      </c>
      <c r="BE11" t="s">
        <v>240</v>
      </c>
      <c r="BF11" t="s">
        <v>241</v>
      </c>
      <c r="BG11" t="s">
        <v>242</v>
      </c>
      <c r="BH11" t="s">
        <v>1408</v>
      </c>
      <c r="BI11" t="s">
        <v>26</v>
      </c>
      <c r="BJ11" t="s">
        <v>618</v>
      </c>
      <c r="BK11" t="s">
        <v>1671</v>
      </c>
      <c r="BL11" t="s">
        <v>1687</v>
      </c>
      <c r="BM11" t="s">
        <v>1051</v>
      </c>
      <c r="BN11">
        <v>0.01</v>
      </c>
      <c r="BO11">
        <v>1.4</v>
      </c>
      <c r="BP11">
        <v>0.52</v>
      </c>
      <c r="BQ11">
        <v>1.67</v>
      </c>
      <c r="BR11">
        <v>2.4700000000000002</v>
      </c>
      <c r="BS11">
        <v>2.46</v>
      </c>
      <c r="BT11" t="s">
        <v>1052</v>
      </c>
      <c r="BU11" t="s">
        <v>159</v>
      </c>
      <c r="BV11">
        <v>16.53</v>
      </c>
      <c r="BW11">
        <v>19.309999999999999</v>
      </c>
      <c r="BX11">
        <v>19.25</v>
      </c>
      <c r="BY11">
        <v>4.97</v>
      </c>
      <c r="BZ11">
        <v>7.23</v>
      </c>
      <c r="CA11">
        <v>4.8600000000000003</v>
      </c>
      <c r="CB11">
        <v>-0.74</v>
      </c>
      <c r="CC11">
        <v>-11.89</v>
      </c>
      <c r="CD11" t="s">
        <v>1688</v>
      </c>
      <c r="CE11" t="s">
        <v>1689</v>
      </c>
      <c r="CF11" s="11">
        <v>-0.50927664670658679</v>
      </c>
      <c r="CG11" s="12">
        <v>-0.43222216973333016</v>
      </c>
      <c r="CH11" s="11">
        <v>2.1276595070958138E-2</v>
      </c>
      <c r="CI11" s="11">
        <v>-9.4218418002128601E-2</v>
      </c>
      <c r="CJ11" s="11">
        <v>0.23872679471969604</v>
      </c>
      <c r="CK11" s="11">
        <v>5.6022409349679947E-2</v>
      </c>
      <c r="CL11" s="11">
        <v>-0.15000000596046448</v>
      </c>
      <c r="CM11" s="12">
        <v>-0.1588098555803299</v>
      </c>
      <c r="CN11" s="12">
        <v>-1.6882979543879628E-3</v>
      </c>
      <c r="CO11" s="12">
        <v>-0.38509121537208557</v>
      </c>
      <c r="CP11" s="12">
        <v>5.6877046823501587E-2</v>
      </c>
      <c r="CQ11" s="12">
        <v>4.3562483042478561E-3</v>
      </c>
      <c r="CR11">
        <v>107.4963138612238</v>
      </c>
      <c r="CS11">
        <v>74.850468768106182</v>
      </c>
      <c r="CT11">
        <v>0.41152263374485598</v>
      </c>
      <c r="CU11" s="11">
        <v>1.436147503554821E-2</v>
      </c>
      <c r="CV11" s="12">
        <v>-9.68712147558108E-2</v>
      </c>
      <c r="CW11">
        <v>0.06</v>
      </c>
      <c r="CX11">
        <v>126.24709687945919</v>
      </c>
      <c r="CY11">
        <v>18278028.224310365</v>
      </c>
      <c r="CZ11">
        <v>1.436147503554821E-2</v>
      </c>
      <c r="DA11">
        <v>44.008739289333761</v>
      </c>
      <c r="DB11">
        <v>52433858.303213701</v>
      </c>
      <c r="DC11">
        <v>1.36434012837708E-2</v>
      </c>
      <c r="DD11">
        <v>23.556739290032699</v>
      </c>
      <c r="DE11">
        <v>97957020.773939073</v>
      </c>
      <c r="DF11">
        <v>1.2638098031282425E-2</v>
      </c>
      <c r="DG11">
        <v>15.491006036052868</v>
      </c>
      <c r="DH11">
        <v>148960499.70089397</v>
      </c>
      <c r="DI11">
        <v>1.1489180028438569E-2</v>
      </c>
      <c r="DJ11">
        <v>9.6490576584640255</v>
      </c>
      <c r="DK11">
        <v>239147498.30268136</v>
      </c>
      <c r="DL11">
        <v>1.0053032524883748E-2</v>
      </c>
      <c r="DM11">
        <v>19100400</v>
      </c>
      <c r="DN11">
        <v>1.436147503554821E-2</v>
      </c>
      <c r="DO11">
        <v>2307548000</v>
      </c>
      <c r="DP11">
        <v>1024908800</v>
      </c>
      <c r="DQ11">
        <v>609</v>
      </c>
      <c r="DR11">
        <v>-0.52363812174213498</v>
      </c>
      <c r="DS11">
        <v>-0.33535095497751938</v>
      </c>
      <c r="DT11" s="13">
        <v>-0.40666666666666668</v>
      </c>
      <c r="DU11">
        <v>-0.52</v>
      </c>
      <c r="DV11">
        <v>-0.92666666666666675</v>
      </c>
      <c r="DW11">
        <v>-2.1189</v>
      </c>
      <c r="DX11">
        <v>0.42906097486854722</v>
      </c>
      <c r="DY11">
        <v>-2.0177233499118703</v>
      </c>
      <c r="DZ11">
        <v>3483</v>
      </c>
      <c r="EA11">
        <v>-2.0056430313711573</v>
      </c>
      <c r="EB11">
        <v>2</v>
      </c>
      <c r="EC11">
        <v>4.0680990819879706E-2</v>
      </c>
      <c r="ED11">
        <v>0.27291508388730612</v>
      </c>
      <c r="EE11" s="14">
        <v>0.1113</v>
      </c>
      <c r="EF11">
        <v>0.10249999999999999</v>
      </c>
      <c r="EG11">
        <v>28.149060974868547</v>
      </c>
      <c r="EH11" t="s">
        <v>81</v>
      </c>
      <c r="EI11">
        <v>0</v>
      </c>
      <c r="EJ11">
        <v>0</v>
      </c>
      <c r="EK11" s="10">
        <v>45470</v>
      </c>
      <c r="EL11" s="15">
        <v>0.66</v>
      </c>
      <c r="EM11" s="15">
        <v>-3.76</v>
      </c>
      <c r="EN11" s="15">
        <v>-0.34</v>
      </c>
      <c r="EO11" s="15">
        <v>6.38</v>
      </c>
      <c r="EP11" s="15">
        <v>-0.88</v>
      </c>
    </row>
    <row r="12" spans="1:146" ht="108" x14ac:dyDescent="0.25">
      <c r="A12" s="7"/>
      <c r="B12" s="7"/>
      <c r="C12" s="7" t="str">
        <f>""&amp;CHAR(10)&amp;Basic_Fundamental_Information_Constructure(F12)&amp;CHAR(10)&amp;Basic_Fundamental_Information_Concatenate("")</f>
        <v xml:space="preserve">
市值51.318771亿, 利润4434.69万; PE226.9; 平均PE46.79; 平均PEG5.4, PB1.15; ROIC3.415%; ROE3.1533%; 股利率.6109%; 毛利31.6467%; 净利27.03%; 上一年度营收增0%, 利润增-50.54%; 当季营收增1.53%, 利润增-124.95%; 过往5年营收增-8.66%, 利润增36.01%
Income profile:
</v>
      </c>
      <c r="D12" t="s">
        <v>263</v>
      </c>
      <c r="E12" t="s">
        <v>264</v>
      </c>
      <c r="F12">
        <v>4.42</v>
      </c>
      <c r="G12">
        <v>0.23</v>
      </c>
      <c r="H12" t="s">
        <v>1450</v>
      </c>
      <c r="I12">
        <v>5131877100</v>
      </c>
      <c r="J12">
        <v>226.9</v>
      </c>
      <c r="K12">
        <v>1.1499999999999999</v>
      </c>
      <c r="L12" t="s">
        <v>55</v>
      </c>
      <c r="M12" t="s">
        <v>1233</v>
      </c>
      <c r="N12" t="s">
        <v>1319</v>
      </c>
      <c r="O12" t="s">
        <v>105</v>
      </c>
      <c r="P12">
        <v>3.75</v>
      </c>
      <c r="Q12" t="s">
        <v>265</v>
      </c>
      <c r="R12">
        <v>5454299</v>
      </c>
      <c r="S12" s="5">
        <v>-0.7994</v>
      </c>
      <c r="T12" t="s">
        <v>1054</v>
      </c>
      <c r="U12">
        <v>1134462470</v>
      </c>
      <c r="V12">
        <v>1161058170</v>
      </c>
      <c r="W12">
        <v>1.24</v>
      </c>
      <c r="X12">
        <v>7.0000000000000007E-2</v>
      </c>
      <c r="Y12">
        <v>1.43</v>
      </c>
      <c r="Z12" t="s">
        <v>909</v>
      </c>
      <c r="AA12" t="s">
        <v>1126</v>
      </c>
      <c r="AB12" t="s">
        <v>1320</v>
      </c>
      <c r="AC12" t="s">
        <v>1321</v>
      </c>
      <c r="AD12" t="s">
        <v>1250</v>
      </c>
      <c r="AE12">
        <v>7369357</v>
      </c>
      <c r="AF12" t="s">
        <v>1322</v>
      </c>
      <c r="AG12" t="s">
        <v>1323</v>
      </c>
      <c r="AH12" t="s">
        <v>1324</v>
      </c>
      <c r="AI12" t="s">
        <v>177</v>
      </c>
      <c r="AJ12" t="s">
        <v>1325</v>
      </c>
      <c r="AK12" t="s">
        <v>1326</v>
      </c>
      <c r="AL12" t="s">
        <v>1327</v>
      </c>
      <c r="AM12" t="s">
        <v>5</v>
      </c>
      <c r="AN12" t="s">
        <v>1328</v>
      </c>
      <c r="AO12" t="s">
        <v>5</v>
      </c>
      <c r="AP12" t="s">
        <v>5</v>
      </c>
      <c r="AQ12" t="s">
        <v>1329</v>
      </c>
      <c r="AR12" t="s">
        <v>1330</v>
      </c>
      <c r="AS12" t="s">
        <v>484</v>
      </c>
      <c r="AT12" t="s">
        <v>1331</v>
      </c>
      <c r="AU12" t="s">
        <v>1332</v>
      </c>
      <c r="AV12" t="s">
        <v>1333</v>
      </c>
      <c r="AW12" t="s">
        <v>1334</v>
      </c>
      <c r="AX12" t="s">
        <v>265</v>
      </c>
      <c r="AY12" t="s">
        <v>268</v>
      </c>
      <c r="AZ12" t="s">
        <v>269</v>
      </c>
      <c r="BA12" t="s">
        <v>257</v>
      </c>
      <c r="BB12" t="s">
        <v>270</v>
      </c>
      <c r="BC12" t="s">
        <v>266</v>
      </c>
      <c r="BD12" t="s">
        <v>271</v>
      </c>
      <c r="BE12" t="s">
        <v>272</v>
      </c>
      <c r="BF12" t="s">
        <v>273</v>
      </c>
      <c r="BG12" t="s">
        <v>274</v>
      </c>
      <c r="BH12" t="s">
        <v>492</v>
      </c>
      <c r="BI12" t="s">
        <v>534</v>
      </c>
      <c r="BJ12" t="s">
        <v>205</v>
      </c>
      <c r="BK12" t="s">
        <v>1335</v>
      </c>
      <c r="BL12" t="s">
        <v>1336</v>
      </c>
      <c r="BM12" t="s">
        <v>1251</v>
      </c>
      <c r="BN12" t="s">
        <v>5</v>
      </c>
      <c r="BO12">
        <v>0.4</v>
      </c>
      <c r="BP12">
        <v>6.43</v>
      </c>
      <c r="BQ12">
        <v>-0.2</v>
      </c>
      <c r="BR12">
        <v>2.1</v>
      </c>
      <c r="BS12">
        <v>7.56</v>
      </c>
      <c r="BT12" t="s">
        <v>1055</v>
      </c>
      <c r="BU12" t="s">
        <v>82</v>
      </c>
      <c r="BV12">
        <v>25.41</v>
      </c>
      <c r="BW12">
        <v>34.57</v>
      </c>
      <c r="BX12">
        <v>34.96</v>
      </c>
      <c r="BY12">
        <v>2.74</v>
      </c>
      <c r="BZ12">
        <v>16.45</v>
      </c>
      <c r="CA12">
        <v>61.9</v>
      </c>
      <c r="CB12">
        <v>3.27</v>
      </c>
      <c r="CC12">
        <v>1.61</v>
      </c>
      <c r="CD12" t="s">
        <v>1451</v>
      </c>
      <c r="CE12" t="s">
        <v>1452</v>
      </c>
      <c r="CF12" s="11">
        <v>1.5267175572519083E-2</v>
      </c>
      <c r="CG12" s="12">
        <v>-1.2495066279866229</v>
      </c>
      <c r="CH12" s="11">
        <v>0</v>
      </c>
      <c r="CI12" s="11">
        <v>7.6923079788684845E-2</v>
      </c>
      <c r="CJ12" s="11">
        <v>-0.25331369042396545</v>
      </c>
      <c r="CK12" s="11">
        <v>-0.14805521070957184</v>
      </c>
      <c r="CL12" s="11">
        <v>-0.1085011214017868</v>
      </c>
      <c r="CM12" s="12">
        <v>-0.50544548034667969</v>
      </c>
      <c r="CN12" s="12">
        <v>-0.7135130763053894</v>
      </c>
      <c r="CO12" s="12">
        <v>2.7284543514251709</v>
      </c>
      <c r="CP12" s="12">
        <v>0.53919917345046997</v>
      </c>
      <c r="CQ12" s="12">
        <v>-0.24824537336826324</v>
      </c>
      <c r="CR12">
        <v>46.791093249806778</v>
      </c>
      <c r="CS12">
        <v>5.4037906992669242</v>
      </c>
      <c r="CT12">
        <v>0.61085972850678738</v>
      </c>
      <c r="CU12" s="11">
        <v>-8.658938854932785E-2</v>
      </c>
      <c r="CV12" s="12">
        <v>0.36008991897106168</v>
      </c>
      <c r="CW12">
        <v>0.06</v>
      </c>
      <c r="CX12">
        <v>38.759802827255115</v>
      </c>
      <c r="CY12" t="s">
        <v>1252</v>
      </c>
      <c r="CZ12">
        <v>-8.658938854932785E-2</v>
      </c>
      <c r="DA12">
        <v>12.919934275751705</v>
      </c>
      <c r="DB12" t="s">
        <v>1056</v>
      </c>
      <c r="DC12">
        <v>-8.2259919121861452E-2</v>
      </c>
      <c r="DD12">
        <v>6.4599671378758527</v>
      </c>
      <c r="DE12" t="s">
        <v>1057</v>
      </c>
      <c r="DF12">
        <v>-7.6198661923408503E-2</v>
      </c>
      <c r="DG12">
        <v>3.8759802827255116</v>
      </c>
      <c r="DH12" t="s">
        <v>1058</v>
      </c>
      <c r="DI12">
        <v>-6.9271510839462286E-2</v>
      </c>
      <c r="DJ12">
        <v>1.9379901413627558</v>
      </c>
      <c r="DK12" t="s">
        <v>1059</v>
      </c>
      <c r="DL12">
        <v>-6.061257198452949E-2</v>
      </c>
      <c r="DM12">
        <v>44346899.999999993</v>
      </c>
      <c r="DN12">
        <v>-8.658938854932785E-2</v>
      </c>
      <c r="DO12">
        <v>1718877100</v>
      </c>
      <c r="DP12">
        <v>662356140</v>
      </c>
      <c r="DQ12">
        <v>697</v>
      </c>
      <c r="DR12">
        <v>0.10185656412184693</v>
      </c>
      <c r="DS12">
        <v>-1.6095965469576847</v>
      </c>
      <c r="DT12" s="13">
        <v>-0.57333333333333336</v>
      </c>
      <c r="DU12">
        <v>-0.53666666666666674</v>
      </c>
      <c r="DV12">
        <v>-1.1100000000000001</v>
      </c>
      <c r="DW12">
        <v>4.4923547400611623</v>
      </c>
      <c r="DX12">
        <v>0.43486477481840041</v>
      </c>
      <c r="DY12">
        <v>4.056554216347898</v>
      </c>
      <c r="DZ12">
        <v>3929</v>
      </c>
      <c r="EA12">
        <v>4.013130038894138</v>
      </c>
      <c r="EB12">
        <v>4</v>
      </c>
      <c r="EC12">
        <v>8.1717094329563172E-2</v>
      </c>
      <c r="ED12">
        <v>0.71141999715655935</v>
      </c>
      <c r="EE12" s="14">
        <v>8.5999999999999993E-2</v>
      </c>
      <c r="EF12">
        <v>8.829999999999999E-2</v>
      </c>
      <c r="EG12">
        <v>32.1148647748184</v>
      </c>
      <c r="EH12" t="s">
        <v>81</v>
      </c>
      <c r="EI12">
        <v>0</v>
      </c>
      <c r="EJ12">
        <v>0</v>
      </c>
      <c r="EK12" s="10">
        <v>45370</v>
      </c>
      <c r="EL12" s="15">
        <v>2.34</v>
      </c>
      <c r="EM12" s="15">
        <v>-2.5099999999999998</v>
      </c>
      <c r="EN12" s="15">
        <v>1.17</v>
      </c>
      <c r="EO12" s="15">
        <v>2.08</v>
      </c>
      <c r="EP12" s="15">
        <v>0.23</v>
      </c>
    </row>
    <row r="13" spans="1:146" ht="108" x14ac:dyDescent="0.25">
      <c r="A13" s="7"/>
      <c r="B13" s="7"/>
      <c r="C13" s="7" t="str">
        <f>""&amp;CHAR(10)&amp;Basic_Fundamental_Information_Constructure(F13)&amp;CHAR(10)&amp;Basic_Fundamental_Information_Concatenate("")</f>
        <v xml:space="preserve">
市值62.118079亿, 利润1.25亿; PE57.1; 平均PE39.48; 平均PEG54.38, PB2.64; ROIC3.6933%; ROE4.85%; 股利率1.292%; 毛利31.83%; 净利7.68%; 上一年度营收增-1.79%, 利润增13.64%; 当季营收增-8.5%, 利润增-86.84%; 过往5年营收增-.73%, 利润增-7.73%
Income profile:
</v>
      </c>
      <c r="D13" t="s">
        <v>278</v>
      </c>
      <c r="E13" t="s">
        <v>279</v>
      </c>
      <c r="F13">
        <v>7.74</v>
      </c>
      <c r="G13">
        <v>1.44</v>
      </c>
      <c r="H13" t="s">
        <v>1690</v>
      </c>
      <c r="I13">
        <v>6211807900</v>
      </c>
      <c r="J13">
        <v>57.1</v>
      </c>
      <c r="K13">
        <v>2.64</v>
      </c>
      <c r="L13" t="s">
        <v>1467</v>
      </c>
      <c r="M13" t="s">
        <v>1370</v>
      </c>
      <c r="N13" t="s">
        <v>586</v>
      </c>
      <c r="O13" t="s">
        <v>576</v>
      </c>
      <c r="P13">
        <v>-8.6999999999999993</v>
      </c>
      <c r="Q13" t="s">
        <v>1446</v>
      </c>
      <c r="R13">
        <v>2466770</v>
      </c>
      <c r="S13" s="5">
        <v>-0.86839999999999995</v>
      </c>
      <c r="T13" t="s">
        <v>186</v>
      </c>
      <c r="U13">
        <v>802559160</v>
      </c>
      <c r="V13">
        <v>802559160</v>
      </c>
      <c r="W13">
        <v>1.79</v>
      </c>
      <c r="X13">
        <v>0.06</v>
      </c>
      <c r="Y13">
        <v>0.37</v>
      </c>
      <c r="Z13" t="s">
        <v>148</v>
      </c>
      <c r="AA13" t="s">
        <v>1691</v>
      </c>
      <c r="AB13" t="s">
        <v>1692</v>
      </c>
      <c r="AC13" t="s">
        <v>1693</v>
      </c>
      <c r="AD13" t="s">
        <v>5</v>
      </c>
      <c r="AE13">
        <v>-1403953</v>
      </c>
      <c r="AF13" t="s">
        <v>1694</v>
      </c>
      <c r="AG13" t="s">
        <v>1695</v>
      </c>
      <c r="AH13" t="s">
        <v>1696</v>
      </c>
      <c r="AI13" t="s">
        <v>1436</v>
      </c>
      <c r="AJ13" t="s">
        <v>1697</v>
      </c>
      <c r="AK13" t="s">
        <v>1698</v>
      </c>
      <c r="AL13" t="s">
        <v>1699</v>
      </c>
      <c r="AM13" t="s">
        <v>5</v>
      </c>
      <c r="AN13" t="s">
        <v>453</v>
      </c>
      <c r="AO13" t="s">
        <v>119</v>
      </c>
      <c r="AP13" t="s">
        <v>1700</v>
      </c>
      <c r="AQ13" t="s">
        <v>1456</v>
      </c>
      <c r="AR13" t="s">
        <v>5</v>
      </c>
      <c r="AS13" t="s">
        <v>1084</v>
      </c>
      <c r="AT13" t="s">
        <v>193</v>
      </c>
      <c r="AU13" t="s">
        <v>1701</v>
      </c>
      <c r="AV13" t="s">
        <v>1702</v>
      </c>
      <c r="AW13" t="s">
        <v>1703</v>
      </c>
      <c r="AX13" t="s">
        <v>370</v>
      </c>
      <c r="AY13" t="s">
        <v>280</v>
      </c>
      <c r="AZ13" t="s">
        <v>165</v>
      </c>
      <c r="BA13" t="s">
        <v>283</v>
      </c>
      <c r="BB13" t="s">
        <v>188</v>
      </c>
      <c r="BC13" t="s">
        <v>128</v>
      </c>
      <c r="BD13" t="s">
        <v>154</v>
      </c>
      <c r="BE13" t="s">
        <v>199</v>
      </c>
      <c r="BF13" t="s">
        <v>284</v>
      </c>
      <c r="BG13" t="s">
        <v>285</v>
      </c>
      <c r="BH13" t="s">
        <v>1446</v>
      </c>
      <c r="BI13" t="s">
        <v>136</v>
      </c>
      <c r="BJ13" t="s">
        <v>370</v>
      </c>
      <c r="BK13" t="s">
        <v>186</v>
      </c>
      <c r="BL13" t="s">
        <v>1704</v>
      </c>
      <c r="BM13" t="s">
        <v>128</v>
      </c>
      <c r="BN13">
        <v>2.6</v>
      </c>
      <c r="BO13">
        <v>3.69</v>
      </c>
      <c r="BP13">
        <v>4.79</v>
      </c>
      <c r="BQ13">
        <v>3.42</v>
      </c>
      <c r="BR13">
        <v>4.8</v>
      </c>
      <c r="BS13">
        <v>6.33</v>
      </c>
      <c r="BT13" t="s">
        <v>1019</v>
      </c>
      <c r="BU13" t="s">
        <v>1486</v>
      </c>
      <c r="BV13">
        <v>33.700000000000003</v>
      </c>
      <c r="BW13">
        <v>31.36</v>
      </c>
      <c r="BX13">
        <v>30.43</v>
      </c>
      <c r="BY13">
        <v>8.02</v>
      </c>
      <c r="BZ13">
        <v>7.1</v>
      </c>
      <c r="CA13">
        <v>7.92</v>
      </c>
      <c r="CB13">
        <v>-1.4</v>
      </c>
      <c r="CC13">
        <v>-13.52</v>
      </c>
      <c r="CD13" t="s">
        <v>1705</v>
      </c>
      <c r="CE13" t="s">
        <v>904</v>
      </c>
      <c r="CF13" s="11">
        <v>-8.5034013605442174E-2</v>
      </c>
      <c r="CG13" s="12">
        <v>-0.86837434901391619</v>
      </c>
      <c r="CH13" s="11">
        <v>-1.7940158024430275E-2</v>
      </c>
      <c r="CI13" s="11">
        <v>-0.15401917695999146</v>
      </c>
      <c r="CJ13" s="11">
        <v>2.006884478032589E-2</v>
      </c>
      <c r="CK13" s="11">
        <v>2.648620679974556E-2</v>
      </c>
      <c r="CL13" s="11">
        <v>8.9102521538734436E-2</v>
      </c>
      <c r="CM13" s="12">
        <v>0.13636364042758942</v>
      </c>
      <c r="CN13" s="12">
        <v>-0.22535210847854614</v>
      </c>
      <c r="CO13" s="12">
        <v>-0.21978022158145905</v>
      </c>
      <c r="CP13" s="12">
        <v>-3.1914893537759781E-2</v>
      </c>
      <c r="CQ13" s="12">
        <v>-4.5685280114412308E-2</v>
      </c>
      <c r="CR13">
        <v>39.481829872881356</v>
      </c>
      <c r="CS13">
        <v>54.380046372181177</v>
      </c>
      <c r="CT13">
        <v>1.2919896640826873</v>
      </c>
      <c r="CU13" s="11">
        <v>-7.2603523731231689E-3</v>
      </c>
      <c r="CV13" s="12">
        <v>-7.7273772656917566E-2</v>
      </c>
      <c r="CW13">
        <v>0.06</v>
      </c>
      <c r="CX13">
        <v>46.006463199999999</v>
      </c>
      <c r="CY13" t="s">
        <v>1706</v>
      </c>
      <c r="CZ13">
        <v>-7.2603523731231689E-3</v>
      </c>
      <c r="DA13">
        <v>15.335487733333334</v>
      </c>
      <c r="DB13" t="s">
        <v>1707</v>
      </c>
      <c r="DC13">
        <v>-6.8973347544670103E-3</v>
      </c>
      <c r="DD13">
        <v>7.6677438666666671</v>
      </c>
      <c r="DE13" t="s">
        <v>1708</v>
      </c>
      <c r="DF13">
        <v>-6.3891100883483884E-3</v>
      </c>
      <c r="DG13">
        <v>4.6006463200000001</v>
      </c>
      <c r="DH13" t="s">
        <v>1709</v>
      </c>
      <c r="DI13">
        <v>-5.8082818984985353E-3</v>
      </c>
      <c r="DJ13">
        <v>2.30032316</v>
      </c>
      <c r="DK13" t="s">
        <v>1710</v>
      </c>
      <c r="DL13">
        <v>-5.0822466611862181E-3</v>
      </c>
      <c r="DM13">
        <v>125000000</v>
      </c>
      <c r="DN13">
        <v>-7.2603523731231689E-3</v>
      </c>
      <c r="DO13">
        <v>5750807900</v>
      </c>
      <c r="DP13">
        <v>-119795199.99999976</v>
      </c>
      <c r="DQ13">
        <v>747</v>
      </c>
      <c r="DR13">
        <v>-7.7773661232319005E-2</v>
      </c>
      <c r="DS13">
        <v>-0.7911005763569986</v>
      </c>
      <c r="DT13" s="13">
        <v>-0.59</v>
      </c>
      <c r="DU13">
        <v>-0.72333333333333327</v>
      </c>
      <c r="DV13">
        <v>-1.3133333333333332</v>
      </c>
      <c r="DW13">
        <v>-2.1352000000000002</v>
      </c>
      <c r="DX13">
        <v>0.31201615720523918</v>
      </c>
      <c r="DY13">
        <v>-2.0178485844541485</v>
      </c>
      <c r="DZ13">
        <v>3862</v>
      </c>
      <c r="EA13">
        <v>-2.0043591063402695</v>
      </c>
      <c r="EB13">
        <v>2</v>
      </c>
      <c r="EC13">
        <v>3.7669123357834455E-2</v>
      </c>
      <c r="ED13">
        <v>0.28533722049848637</v>
      </c>
      <c r="EE13" s="14">
        <v>2.0537999999999998</v>
      </c>
      <c r="EF13">
        <v>2.0501</v>
      </c>
      <c r="EG13">
        <v>18.132016157205239</v>
      </c>
      <c r="EH13" t="s">
        <v>1028</v>
      </c>
      <c r="EI13">
        <v>0</v>
      </c>
      <c r="EJ13">
        <v>0</v>
      </c>
      <c r="EK13" s="10">
        <v>45470</v>
      </c>
      <c r="EL13" s="15">
        <v>-0.88</v>
      </c>
      <c r="EM13" s="15">
        <v>-3.93</v>
      </c>
      <c r="EN13" s="15">
        <v>0.4</v>
      </c>
      <c r="EO13" s="15">
        <v>6.04</v>
      </c>
      <c r="EP13" s="15">
        <v>-0.37</v>
      </c>
    </row>
    <row r="14" spans="1:146" ht="108" x14ac:dyDescent="0.25">
      <c r="C14" s="7" t="str">
        <f>""&amp;CHAR(10)&amp;Basic_Fundamental_Information_Constructure(F14)&amp;CHAR(10)&amp;Basic_Fundamental_Information_Concatenate("")</f>
        <v xml:space="preserve">
市值38.22791亿, 利润2.01亿; PE16.57; 平均PE-174.03; 平均PEG-11.53, PB2.28; ROIC7.31%; ROE9.5233%; 股利率0%; 毛利25.7033%; 净利4.65%; 上一年度营收增-6.55%, 利润增-1.95%; 当季营收增107.09%, 利润增47.06%; 过往5年营收增-15.09%, 利润增-702.08%
Income profile:
</v>
      </c>
      <c r="D14" t="s">
        <v>1711</v>
      </c>
      <c r="E14" t="s">
        <v>1712</v>
      </c>
      <c r="F14">
        <v>5.31</v>
      </c>
      <c r="G14">
        <v>0.76</v>
      </c>
      <c r="H14" t="s">
        <v>1713</v>
      </c>
      <c r="I14">
        <v>3822791000</v>
      </c>
      <c r="J14">
        <v>16.57</v>
      </c>
      <c r="K14">
        <v>2.2799999999999998</v>
      </c>
      <c r="L14" t="s">
        <v>1467</v>
      </c>
      <c r="M14" t="s">
        <v>1714</v>
      </c>
      <c r="N14" t="s">
        <v>1715</v>
      </c>
      <c r="O14" t="s">
        <v>807</v>
      </c>
      <c r="P14" s="5">
        <v>106.9</v>
      </c>
      <c r="Q14" t="s">
        <v>1716</v>
      </c>
      <c r="R14">
        <v>93691153</v>
      </c>
      <c r="S14">
        <v>0.47060000000000002</v>
      </c>
      <c r="T14" t="s">
        <v>435</v>
      </c>
      <c r="U14">
        <v>654605750</v>
      </c>
      <c r="V14">
        <v>719922980</v>
      </c>
      <c r="W14">
        <v>1.9</v>
      </c>
      <c r="X14">
        <v>0.45</v>
      </c>
      <c r="Y14">
        <v>6.7</v>
      </c>
      <c r="Z14" t="s">
        <v>1339</v>
      </c>
      <c r="AA14" t="s">
        <v>1717</v>
      </c>
      <c r="AB14" t="s">
        <v>635</v>
      </c>
      <c r="AC14" t="s">
        <v>1718</v>
      </c>
      <c r="AD14" t="s">
        <v>5</v>
      </c>
      <c r="AE14">
        <v>676862</v>
      </c>
      <c r="AF14" t="s">
        <v>1719</v>
      </c>
      <c r="AG14" t="s">
        <v>5</v>
      </c>
      <c r="AH14" t="s">
        <v>1720</v>
      </c>
      <c r="AI14" t="s">
        <v>1721</v>
      </c>
      <c r="AJ14" t="s">
        <v>1722</v>
      </c>
      <c r="AK14" t="s">
        <v>5</v>
      </c>
      <c r="AL14" t="s">
        <v>1723</v>
      </c>
      <c r="AM14" t="s">
        <v>5</v>
      </c>
      <c r="AN14">
        <v>0</v>
      </c>
      <c r="AO14" t="s">
        <v>432</v>
      </c>
      <c r="AP14" t="s">
        <v>1404</v>
      </c>
      <c r="AQ14" t="s">
        <v>1724</v>
      </c>
      <c r="AR14" t="s">
        <v>5</v>
      </c>
      <c r="AS14" t="s">
        <v>1725</v>
      </c>
      <c r="AT14" t="s">
        <v>5</v>
      </c>
      <c r="AU14" t="s">
        <v>458</v>
      </c>
      <c r="AV14" t="s">
        <v>1726</v>
      </c>
      <c r="AW14" t="s">
        <v>1727</v>
      </c>
      <c r="AX14" t="s">
        <v>1728</v>
      </c>
      <c r="AY14" t="s">
        <v>1729</v>
      </c>
      <c r="AZ14" t="s">
        <v>1730</v>
      </c>
      <c r="BA14" t="s">
        <v>1731</v>
      </c>
      <c r="BB14" t="s">
        <v>1732</v>
      </c>
      <c r="BC14" t="s">
        <v>570</v>
      </c>
      <c r="BD14" t="s">
        <v>1733</v>
      </c>
      <c r="BE14" t="s">
        <v>199</v>
      </c>
      <c r="BF14" t="s">
        <v>1734</v>
      </c>
      <c r="BG14" t="s">
        <v>1735</v>
      </c>
      <c r="BH14" t="s">
        <v>1716</v>
      </c>
      <c r="BI14" t="s">
        <v>1398</v>
      </c>
      <c r="BJ14" t="s">
        <v>1728</v>
      </c>
      <c r="BK14" t="s">
        <v>435</v>
      </c>
      <c r="BL14" t="s">
        <v>1736</v>
      </c>
      <c r="BM14" t="s">
        <v>570</v>
      </c>
      <c r="BN14">
        <v>9.19</v>
      </c>
      <c r="BO14">
        <v>12.17</v>
      </c>
      <c r="BP14">
        <v>0.56999999999999995</v>
      </c>
      <c r="BQ14">
        <v>10.26</v>
      </c>
      <c r="BR14">
        <v>16.66</v>
      </c>
      <c r="BS14">
        <v>1.65</v>
      </c>
      <c r="BT14" t="s">
        <v>1017</v>
      </c>
      <c r="BU14" t="s">
        <v>107</v>
      </c>
      <c r="BV14">
        <v>25.37</v>
      </c>
      <c r="BW14">
        <v>26.6</v>
      </c>
      <c r="BX14">
        <v>25.14</v>
      </c>
      <c r="BY14">
        <v>7.07</v>
      </c>
      <c r="BZ14">
        <v>6.74</v>
      </c>
      <c r="CA14">
        <v>0.14000000000000001</v>
      </c>
      <c r="CB14">
        <v>3.91</v>
      </c>
      <c r="CC14" s="11">
        <v>-23.93</v>
      </c>
      <c r="CD14" s="12" t="s">
        <v>1737</v>
      </c>
      <c r="CE14" s="11" t="s">
        <v>884</v>
      </c>
      <c r="CF14" s="11">
        <v>1.0709010339734122</v>
      </c>
      <c r="CG14" s="11">
        <v>0.47058094217104612</v>
      </c>
      <c r="CH14" s="11">
        <v>-6.5519563853740692E-2</v>
      </c>
      <c r="CI14" s="11">
        <v>-0.39944353699684143</v>
      </c>
      <c r="CJ14" s="12">
        <v>-3.0629947781562805E-2</v>
      </c>
      <c r="CK14" s="12">
        <v>-0.13569764792919159</v>
      </c>
      <c r="CL14" s="12">
        <v>-0.12321164458990097</v>
      </c>
      <c r="CM14" s="12">
        <v>-1.9512195140123367E-2</v>
      </c>
      <c r="CN14" s="12">
        <v>9.7417573928833008</v>
      </c>
      <c r="CO14">
        <v>-0.89514064788818359</v>
      </c>
      <c r="CP14">
        <v>1.2407407760620117</v>
      </c>
      <c r="CQ14">
        <v>-45.172035217285156</v>
      </c>
      <c r="CR14" s="11">
        <v>-174.02598013515856</v>
      </c>
      <c r="CS14" s="12">
        <v>-11.532501003881951</v>
      </c>
      <c r="CT14">
        <v>0</v>
      </c>
      <c r="CU14">
        <v>-0.1509004682302475</v>
      </c>
      <c r="CV14">
        <v>-7.0208379782736303</v>
      </c>
      <c r="CW14">
        <v>0.06</v>
      </c>
      <c r="CX14">
        <v>17.207915422885574</v>
      </c>
      <c r="CY14" t="s">
        <v>1738</v>
      </c>
      <c r="CZ14">
        <v>-0.1509004682302475</v>
      </c>
      <c r="DA14">
        <v>5.7359718076285242</v>
      </c>
      <c r="DB14" t="s">
        <v>1739</v>
      </c>
      <c r="DC14">
        <v>-0.14335544481873511</v>
      </c>
      <c r="DD14">
        <v>2.8679859038142621</v>
      </c>
      <c r="DE14" t="s">
        <v>1740</v>
      </c>
      <c r="DF14">
        <v>-0.1327924120426178</v>
      </c>
      <c r="DG14">
        <v>1.7207915422885571</v>
      </c>
      <c r="DH14" t="s">
        <v>1741</v>
      </c>
      <c r="DI14">
        <v>-0.120720374584198</v>
      </c>
      <c r="DJ14">
        <v>0.86039577114427856</v>
      </c>
      <c r="DK14" t="s">
        <v>1742</v>
      </c>
      <c r="DL14">
        <v>-0.10563032776117325</v>
      </c>
      <c r="DM14">
        <v>200999999.99999997</v>
      </c>
      <c r="DN14">
        <v>-0.1509004682302475</v>
      </c>
      <c r="DO14">
        <v>3458791000</v>
      </c>
      <c r="DP14">
        <v>1418981600</v>
      </c>
      <c r="DQ14" s="13">
        <v>771</v>
      </c>
      <c r="DR14">
        <v>1.2218015022036597</v>
      </c>
      <c r="DS14">
        <v>7.4914189204446764</v>
      </c>
      <c r="DT14">
        <v>-0.59</v>
      </c>
      <c r="DU14">
        <v>0.13999999999999993</v>
      </c>
      <c r="DV14">
        <v>-0.45000000000000007</v>
      </c>
      <c r="DW14">
        <v>6.1404454022988508</v>
      </c>
      <c r="DX14">
        <v>0.22999174964438096</v>
      </c>
      <c r="DY14">
        <v>6.0168522895513483</v>
      </c>
      <c r="DZ14">
        <v>2789</v>
      </c>
      <c r="EA14">
        <v>6.0076544352345751</v>
      </c>
      <c r="EB14" s="14">
        <v>6</v>
      </c>
      <c r="EC14" s="14">
        <v>0.11717114516889016</v>
      </c>
      <c r="ED14">
        <v>0.97649334655215481</v>
      </c>
      <c r="EE14">
        <v>7.5109999999999996E-2</v>
      </c>
      <c r="EF14">
        <v>0.11430999999999999</v>
      </c>
      <c r="EG14">
        <v>11.119991749644381</v>
      </c>
      <c r="EH14" s="10">
        <v>-1</v>
      </c>
      <c r="EI14">
        <v>0</v>
      </c>
      <c r="EJ14">
        <v>0</v>
      </c>
      <c r="EK14">
        <v>45470</v>
      </c>
      <c r="EL14">
        <v>-2.11</v>
      </c>
      <c r="EM14">
        <v>-5.75</v>
      </c>
      <c r="EN14" s="15">
        <v>0.56999999999999995</v>
      </c>
      <c r="EO14" s="15">
        <v>1.52</v>
      </c>
      <c r="EP14" s="15">
        <v>-3.92</v>
      </c>
    </row>
    <row r="15" spans="1:146" ht="240" x14ac:dyDescent="0.25">
      <c r="A15" s="7"/>
      <c r="B15" s="7"/>
      <c r="C15" s="7" t="str">
        <f>"公司主营业务为多品牌中高端时尚皮鞋的生产和销售，并批发、零售多元化的时尚产品；以移动互联网精准营销为核心的信息技术服务业务。主要产品为“ST&amp;SAT”（星期六）、 “D:FUSE”（迪芙斯）、 “SAFIYA”（索菲娅）、 “SATURDAY MODE”、“FONDBERYL”（菲伯丽尔） 等自有品牌以及传统互联网广告投放、基于微信的社交营销、社交电商服务业务。"&amp;CHAR(10)&amp;Basic_Fundamental_Information_Constructure(F15)&amp;CHAR(10)&amp;Basic_Fundamental_Information_Concatenate("社交电商服务 12.23亿 67.88% 76.73% 26.39%
互联网广告代理 3.45亿 19.12% 4.68% 5.71%
星期六品牌 1.03亿 5.71% 9.25% 37.82%
互联网广告投放 5423.24万 3.01% 3.53% 27.37%
其他品牌 3168.26万 1.76% 1.93% 25.56%
索菲娅品牌 1734.22万 0.96% 1.32% 32.12%")</f>
        <v>公司主营业务为多品牌中高端时尚皮鞋的生产和销售，并批发、零售多元化的时尚产品；以移动互联网精准营销为核心的信息技术服务业务。主要产品为“ST&amp;SAT”（星期六）、 “D:FUSE”（迪芙斯）、 “SAFIYA”（索菲娅）、 “SATURDAY MODE”、“FONDBERYL”（菲伯丽尔） 等自有品牌以及传统互联网广告投放、基于微信的社交营销、社交电商服务业务。
市值41.225288亿, 利润-10.50亿; PE; 平均PE-13.49; 平均PEG-.51, PB.945; ROIC0%; ROE-10.87%; 股利率0%; 毛利11.9967%; 净利-17.87%; 上一年度营收增22.46%, 利润增-299.24%; 当季营收增43.47%, 利润增-147.77%; 过往5年营收增26.55%, 利润增-10.18%
Income profile:
社交电商服务 12.23亿 67.88% 76.73% 26.39%
互联网广告代理 3.45亿 19.12% 4.68% 5.71%
星期六品牌 1.03亿 5.71% 9.25% 37.82%
互联网广告投放 5423.24万 3.01% 3.53% 27.37%
其他品牌 3168.26万 1.76% 1.93% 25.56%
索菲娅品牌 1734.22万 0.96% 1.32% 32.12%</v>
      </c>
      <c r="D15" t="s">
        <v>291</v>
      </c>
      <c r="E15" t="s">
        <v>999</v>
      </c>
      <c r="F15">
        <v>4.43</v>
      </c>
      <c r="G15">
        <v>3.5</v>
      </c>
      <c r="H15" t="s">
        <v>1743</v>
      </c>
      <c r="I15">
        <v>4122528800</v>
      </c>
      <c r="K15">
        <v>0.94499999999999995</v>
      </c>
      <c r="L15" t="s">
        <v>1467</v>
      </c>
      <c r="M15" t="s">
        <v>1744</v>
      </c>
      <c r="N15" t="s">
        <v>1454</v>
      </c>
      <c r="O15" t="s">
        <v>1745</v>
      </c>
      <c r="P15">
        <v>43.44</v>
      </c>
      <c r="Q15" t="s">
        <v>1746</v>
      </c>
      <c r="R15">
        <v>-94238573</v>
      </c>
      <c r="S15" s="5">
        <v>-1.478</v>
      </c>
      <c r="T15" t="s">
        <v>1747</v>
      </c>
      <c r="U15">
        <v>877506830</v>
      </c>
      <c r="V15">
        <v>930593410</v>
      </c>
      <c r="W15">
        <v>1.56</v>
      </c>
      <c r="X15">
        <v>0.23</v>
      </c>
      <c r="Y15">
        <v>-5.9</v>
      </c>
      <c r="Z15" t="s">
        <v>1748</v>
      </c>
      <c r="AA15" t="s">
        <v>698</v>
      </c>
      <c r="AB15" t="s">
        <v>1749</v>
      </c>
      <c r="AC15" t="s">
        <v>25</v>
      </c>
      <c r="AD15" t="s">
        <v>5</v>
      </c>
      <c r="AE15">
        <v>11883161</v>
      </c>
      <c r="AF15" t="s">
        <v>1750</v>
      </c>
      <c r="AG15" t="s">
        <v>1751</v>
      </c>
      <c r="AH15" t="s">
        <v>1752</v>
      </c>
      <c r="AI15" t="s">
        <v>1753</v>
      </c>
      <c r="AJ15" t="s">
        <v>1754</v>
      </c>
      <c r="AK15" t="s">
        <v>5</v>
      </c>
      <c r="AL15" t="s">
        <v>1755</v>
      </c>
      <c r="AM15" t="s">
        <v>5</v>
      </c>
      <c r="AN15" t="s">
        <v>224</v>
      </c>
      <c r="AO15" t="s">
        <v>1756</v>
      </c>
      <c r="AP15" t="s">
        <v>1757</v>
      </c>
      <c r="AQ15" t="s">
        <v>172</v>
      </c>
      <c r="AR15" t="s">
        <v>5</v>
      </c>
      <c r="AS15" t="s">
        <v>1433</v>
      </c>
      <c r="AT15" t="s">
        <v>5</v>
      </c>
      <c r="AU15" t="s">
        <v>392</v>
      </c>
      <c r="AV15" t="s">
        <v>1758</v>
      </c>
      <c r="AW15" t="s">
        <v>1290</v>
      </c>
      <c r="AX15" t="s">
        <v>1227</v>
      </c>
      <c r="AY15" t="s">
        <v>293</v>
      </c>
      <c r="AZ15" t="s">
        <v>295</v>
      </c>
      <c r="BA15" t="s">
        <v>296</v>
      </c>
      <c r="BB15" t="s">
        <v>297</v>
      </c>
      <c r="BC15" t="s">
        <v>1759</v>
      </c>
      <c r="BD15" t="s">
        <v>294</v>
      </c>
      <c r="BE15" t="s">
        <v>298</v>
      </c>
      <c r="BF15" t="s">
        <v>193</v>
      </c>
      <c r="BG15" t="s">
        <v>299</v>
      </c>
      <c r="BH15" t="s">
        <v>1746</v>
      </c>
      <c r="BI15" t="s">
        <v>1760</v>
      </c>
      <c r="BJ15" t="s">
        <v>1227</v>
      </c>
      <c r="BK15" t="s">
        <v>1747</v>
      </c>
      <c r="BL15" t="s">
        <v>1761</v>
      </c>
      <c r="BM15" t="s">
        <v>1759</v>
      </c>
      <c r="BN15" t="s">
        <v>5</v>
      </c>
      <c r="BO15" t="s">
        <v>5</v>
      </c>
      <c r="BP15" t="s">
        <v>5</v>
      </c>
      <c r="BQ15">
        <v>-9.02</v>
      </c>
      <c r="BR15">
        <v>-4.87</v>
      </c>
      <c r="BS15">
        <v>-18.72</v>
      </c>
      <c r="BT15" t="s">
        <v>1017</v>
      </c>
      <c r="BU15" t="s">
        <v>107</v>
      </c>
      <c r="BV15">
        <v>2.0499999999999998</v>
      </c>
      <c r="BW15">
        <v>17.78</v>
      </c>
      <c r="BX15">
        <v>16.16</v>
      </c>
      <c r="BY15">
        <v>-22.14</v>
      </c>
      <c r="BZ15">
        <v>-6.73</v>
      </c>
      <c r="CA15">
        <v>-24.74</v>
      </c>
      <c r="CB15">
        <v>3.02</v>
      </c>
      <c r="CC15">
        <v>-18.11</v>
      </c>
      <c r="CD15" t="s">
        <v>1762</v>
      </c>
      <c r="CE15" t="s">
        <v>1280</v>
      </c>
      <c r="CF15" s="11">
        <v>0.43466424682395643</v>
      </c>
      <c r="CG15" s="12">
        <v>-1.4776673449856974</v>
      </c>
      <c r="CH15" s="11">
        <v>0.22455780208110809</v>
      </c>
      <c r="CI15" s="11">
        <v>0.38776230812072754</v>
      </c>
      <c r="CJ15" s="11">
        <v>0.30683401226997375</v>
      </c>
      <c r="CK15" s="11">
        <v>3.9130464196205139E-2</v>
      </c>
      <c r="CL15" s="11">
        <v>0.369047611951828</v>
      </c>
      <c r="CM15" s="12">
        <v>-2.9923954010009766</v>
      </c>
      <c r="CN15" s="12">
        <v>0.62428569793701172</v>
      </c>
      <c r="CO15" s="12">
        <v>-29.809192657470703</v>
      </c>
      <c r="CP15" s="12">
        <v>-0.83801466226577759</v>
      </c>
      <c r="CQ15" s="12">
        <v>32.506076812744141</v>
      </c>
      <c r="CR15">
        <v>-13.485350709896396</v>
      </c>
      <c r="CS15">
        <v>-0.50798702555089215</v>
      </c>
      <c r="CT15">
        <v>0</v>
      </c>
      <c r="CU15" s="11">
        <v>0.26546643972396849</v>
      </c>
      <c r="CV15" s="12">
        <v>-0.10184804201126099</v>
      </c>
      <c r="CW15">
        <v>0.06</v>
      </c>
      <c r="CX15" t="e">
        <v>#VALUE!</v>
      </c>
      <c r="CY15" t="s">
        <v>129</v>
      </c>
      <c r="CZ15">
        <v>0.26546643972396849</v>
      </c>
      <c r="DA15" t="e">
        <v>#VALUE!</v>
      </c>
      <c r="DB15" t="s">
        <v>130</v>
      </c>
      <c r="DC15">
        <v>0.25219311773777003</v>
      </c>
      <c r="DD15" t="e">
        <v>#VALUE!</v>
      </c>
      <c r="DE15" t="s">
        <v>130</v>
      </c>
      <c r="DF15">
        <v>0.23361046695709228</v>
      </c>
      <c r="DG15" t="e">
        <v>#VALUE!</v>
      </c>
      <c r="DH15" t="s">
        <v>130</v>
      </c>
      <c r="DI15">
        <v>0.21237315177917482</v>
      </c>
      <c r="DJ15" t="e">
        <v>#VALUE!</v>
      </c>
      <c r="DK15" t="s">
        <v>130</v>
      </c>
      <c r="DL15">
        <v>0.18582650780677792</v>
      </c>
      <c r="DM15">
        <v>-1050000000</v>
      </c>
      <c r="DN15">
        <v>0.26546643972396849</v>
      </c>
      <c r="DO15">
        <v>2107528800</v>
      </c>
      <c r="DP15">
        <v>1157196300</v>
      </c>
      <c r="DQ15">
        <v>798</v>
      </c>
      <c r="DR15">
        <v>0.16919780709998794</v>
      </c>
      <c r="DS15">
        <v>-1.3758193029744363</v>
      </c>
      <c r="DT15" s="13">
        <v>0.10999999999999995</v>
      </c>
      <c r="DU15">
        <v>-2.36</v>
      </c>
      <c r="DV15">
        <v>-2.25</v>
      </c>
      <c r="DW15">
        <v>6.1429247515380974</v>
      </c>
      <c r="DX15">
        <v>0.45814807722007828</v>
      </c>
      <c r="DY15">
        <v>6.0211740271275263</v>
      </c>
      <c r="DZ15">
        <v>4554</v>
      </c>
      <c r="EA15">
        <v>6.0023038667481226</v>
      </c>
      <c r="EB15">
        <v>6</v>
      </c>
      <c r="EC15">
        <v>8.2464263313448569E-2</v>
      </c>
      <c r="ED15">
        <v>0.55663407287614475</v>
      </c>
      <c r="EE15" s="14">
        <v>-6.0427</v>
      </c>
      <c r="EF15">
        <v>-6.0381999999999998</v>
      </c>
      <c r="EG15">
        <v>31.148148077220078</v>
      </c>
      <c r="EH15" t="s">
        <v>1763</v>
      </c>
      <c r="EI15">
        <v>0</v>
      </c>
      <c r="EJ15">
        <v>0</v>
      </c>
      <c r="EK15" s="10">
        <v>45470</v>
      </c>
      <c r="EL15" s="15">
        <v>-3.35</v>
      </c>
      <c r="EM15" s="15">
        <v>-3.93</v>
      </c>
      <c r="EN15" s="15">
        <v>-1.2</v>
      </c>
      <c r="EO15" s="15">
        <v>8.52</v>
      </c>
      <c r="EP15" s="15">
        <v>-0.45</v>
      </c>
    </row>
    <row r="16" spans="1:146" ht="96" x14ac:dyDescent="0.25">
      <c r="A16" s="7"/>
      <c r="B16" s="7"/>
      <c r="C16" s="7" t="str">
        <f>""&amp;CHAR(10)&amp;Basic_Fundamental_Information_Constructure(F16)&amp;CHAR(10)&amp;Basic_Fundamental_Information_Concatenate("")</f>
        <v xml:space="preserve">
市值48.810282亿, 利润-10.87亿; PE; 平均PE-3.08; 平均PEG-5.26, PB3.22; ROIC1.37%; ROE-3.04%; 股利率0%; 毛利19.3367%; 净利-24.1767%; 上一年度营收增1.03%, 利润增-285.46%; 当季营收增-21.94%, 利润增30.09%; 过往5年营收增.58%, 利润增-184.32%
Income profile:
</v>
      </c>
      <c r="D16" t="s">
        <v>312</v>
      </c>
      <c r="E16" t="s">
        <v>313</v>
      </c>
      <c r="F16">
        <v>2.95</v>
      </c>
      <c r="G16">
        <v>1.03</v>
      </c>
      <c r="H16" t="s">
        <v>1764</v>
      </c>
      <c r="I16">
        <v>4881028200</v>
      </c>
      <c r="K16">
        <v>3.22</v>
      </c>
      <c r="L16" t="s">
        <v>1467</v>
      </c>
      <c r="M16" t="s">
        <v>319</v>
      </c>
      <c r="N16" t="s">
        <v>1765</v>
      </c>
      <c r="O16" t="s">
        <v>562</v>
      </c>
      <c r="P16">
        <v>-22</v>
      </c>
      <c r="Q16" t="s">
        <v>1766</v>
      </c>
      <c r="R16">
        <v>13306636</v>
      </c>
      <c r="S16" s="5">
        <v>0.3009</v>
      </c>
      <c r="T16" t="s">
        <v>1767</v>
      </c>
      <c r="U16">
        <v>1618371000</v>
      </c>
      <c r="V16">
        <v>1654585800</v>
      </c>
      <c r="W16">
        <v>1.32</v>
      </c>
      <c r="X16">
        <v>0.18</v>
      </c>
      <c r="Y16">
        <v>5.35</v>
      </c>
      <c r="Z16" t="s">
        <v>288</v>
      </c>
      <c r="AA16" t="s">
        <v>579</v>
      </c>
      <c r="AB16" t="s">
        <v>1768</v>
      </c>
      <c r="AC16" t="s">
        <v>1769</v>
      </c>
      <c r="AD16" t="s">
        <v>5</v>
      </c>
      <c r="AE16">
        <v>-865942</v>
      </c>
      <c r="AF16" t="s">
        <v>1770</v>
      </c>
      <c r="AG16" t="s">
        <v>1771</v>
      </c>
      <c r="AH16" t="s">
        <v>1772</v>
      </c>
      <c r="AI16" t="s">
        <v>741</v>
      </c>
      <c r="AJ16" t="s">
        <v>1773</v>
      </c>
      <c r="AK16" t="s">
        <v>5</v>
      </c>
      <c r="AL16" t="s">
        <v>1774</v>
      </c>
      <c r="AM16" t="s">
        <v>5</v>
      </c>
      <c r="AN16">
        <v>0</v>
      </c>
      <c r="AO16" t="s">
        <v>1775</v>
      </c>
      <c r="AP16" t="s">
        <v>5</v>
      </c>
      <c r="AQ16" t="s">
        <v>1126</v>
      </c>
      <c r="AR16" t="s">
        <v>5</v>
      </c>
      <c r="AS16" t="s">
        <v>531</v>
      </c>
      <c r="AT16" t="s">
        <v>5</v>
      </c>
      <c r="AU16" t="s">
        <v>1776</v>
      </c>
      <c r="AV16" t="s">
        <v>1777</v>
      </c>
      <c r="AW16" t="s">
        <v>1778</v>
      </c>
      <c r="AX16" t="s">
        <v>430</v>
      </c>
      <c r="AY16" t="s">
        <v>314</v>
      </c>
      <c r="AZ16" t="s">
        <v>316</v>
      </c>
      <c r="BA16" t="s">
        <v>317</v>
      </c>
      <c r="BB16" t="s">
        <v>318</v>
      </c>
      <c r="BC16" t="s">
        <v>1306</v>
      </c>
      <c r="BD16" t="s">
        <v>1344</v>
      </c>
      <c r="BE16" t="s">
        <v>93</v>
      </c>
      <c r="BF16" t="s">
        <v>1345</v>
      </c>
      <c r="BG16" t="s">
        <v>1346</v>
      </c>
      <c r="BH16" t="s">
        <v>1766</v>
      </c>
      <c r="BI16" t="s">
        <v>1539</v>
      </c>
      <c r="BJ16" t="s">
        <v>430</v>
      </c>
      <c r="BK16" t="s">
        <v>1767</v>
      </c>
      <c r="BL16" t="s">
        <v>1779</v>
      </c>
      <c r="BM16" t="s">
        <v>1306</v>
      </c>
      <c r="BN16">
        <v>1.04</v>
      </c>
      <c r="BO16" t="s">
        <v>5</v>
      </c>
      <c r="BP16">
        <v>1.7</v>
      </c>
      <c r="BQ16">
        <v>0.56000000000000005</v>
      </c>
      <c r="BR16">
        <v>-11.21</v>
      </c>
      <c r="BS16">
        <v>1.53</v>
      </c>
      <c r="BT16" t="s">
        <v>1017</v>
      </c>
      <c r="BU16" t="s">
        <v>107</v>
      </c>
      <c r="BV16">
        <v>22.04</v>
      </c>
      <c r="BW16">
        <v>16.75</v>
      </c>
      <c r="BX16">
        <v>19.22</v>
      </c>
      <c r="BY16">
        <v>-60.72</v>
      </c>
      <c r="BZ16">
        <v>-15.05</v>
      </c>
      <c r="CA16">
        <v>3.24</v>
      </c>
      <c r="CB16">
        <v>-1.34</v>
      </c>
      <c r="CC16">
        <v>-15.71</v>
      </c>
      <c r="CD16" t="s">
        <v>250</v>
      </c>
      <c r="CE16" t="s">
        <v>1780</v>
      </c>
      <c r="CF16" s="11">
        <v>-0.21940928270042195</v>
      </c>
      <c r="CG16" s="12">
        <v>0.30091174831601281</v>
      </c>
      <c r="CH16" s="11">
        <v>1.0326948948204517E-2</v>
      </c>
      <c r="CI16" s="11">
        <v>-1.1904725804924965E-2</v>
      </c>
      <c r="CJ16" s="11">
        <v>0.77108430862426758</v>
      </c>
      <c r="CK16" s="11">
        <v>-0.25393262505531311</v>
      </c>
      <c r="CL16" s="11">
        <v>-0.48634088039398193</v>
      </c>
      <c r="CM16" s="12">
        <v>-2.8546102046966553</v>
      </c>
      <c r="CN16" s="12">
        <v>-7.601015567779541</v>
      </c>
      <c r="CO16" s="12">
        <v>-0.72077971696853638</v>
      </c>
      <c r="CP16" s="12">
        <v>1.1277129650115967</v>
      </c>
      <c r="CQ16" s="12">
        <v>0.83247095346450806</v>
      </c>
      <c r="CR16">
        <v>-3.0755419240853397</v>
      </c>
      <c r="CS16">
        <v>-5.2603892094556732</v>
      </c>
      <c r="CT16">
        <v>0</v>
      </c>
      <c r="CU16" s="11">
        <v>5.846605263650417E-3</v>
      </c>
      <c r="CV16" s="12">
        <v>-1.8432443141937256</v>
      </c>
      <c r="CW16">
        <v>0.06</v>
      </c>
      <c r="CX16" t="e">
        <v>#VALUE!</v>
      </c>
      <c r="CY16" t="s">
        <v>130</v>
      </c>
      <c r="CZ16">
        <v>5.846605263650417E-3</v>
      </c>
      <c r="DA16" t="e">
        <v>#VALUE!</v>
      </c>
      <c r="DB16" t="s">
        <v>130</v>
      </c>
      <c r="DC16">
        <v>5.5542750004678957E-3</v>
      </c>
      <c r="DD16" t="e">
        <v>#VALUE!</v>
      </c>
      <c r="DE16" t="s">
        <v>130</v>
      </c>
      <c r="DF16">
        <v>5.1450126320123669E-3</v>
      </c>
      <c r="DG16" t="e">
        <v>#VALUE!</v>
      </c>
      <c r="DH16" t="s">
        <v>130</v>
      </c>
      <c r="DI16">
        <v>4.6772842109203336E-3</v>
      </c>
      <c r="DJ16" t="e">
        <v>#VALUE!</v>
      </c>
      <c r="DK16" t="s">
        <v>130</v>
      </c>
      <c r="DL16">
        <v>4.0926236845552919E-3</v>
      </c>
      <c r="DM16">
        <v>-1087000000</v>
      </c>
      <c r="DN16">
        <v>5.846605263650417E-3</v>
      </c>
      <c r="DO16">
        <v>3812028200</v>
      </c>
      <c r="DP16">
        <v>448979529.99999994</v>
      </c>
      <c r="DQ16">
        <v>861</v>
      </c>
      <c r="DR16">
        <v>-0.22525588796407237</v>
      </c>
      <c r="DS16">
        <v>2.1441560625097384</v>
      </c>
      <c r="DT16" s="13">
        <v>-0.38999999999999996</v>
      </c>
      <c r="DU16">
        <v>-1.2766666666666668</v>
      </c>
      <c r="DV16">
        <v>-1.6666666666666667</v>
      </c>
      <c r="DW16">
        <v>-2.1570999999999998</v>
      </c>
      <c r="DX16">
        <v>0.38893616406710918</v>
      </c>
      <c r="DY16">
        <v>-2.023397871374943</v>
      </c>
      <c r="DZ16">
        <v>4149</v>
      </c>
      <c r="EA16">
        <v>-2.004400265047225</v>
      </c>
      <c r="EB16">
        <v>2</v>
      </c>
      <c r="EC16">
        <v>0.13961198023094359</v>
      </c>
      <c r="ED16">
        <v>0.93739472440776417</v>
      </c>
      <c r="EE16" s="14">
        <v>3.0748099999999998</v>
      </c>
      <c r="EF16">
        <v>3.0781100000000001</v>
      </c>
      <c r="EG16">
        <v>24.148936164067109</v>
      </c>
      <c r="EH16" t="s">
        <v>1030</v>
      </c>
      <c r="EI16">
        <v>0</v>
      </c>
      <c r="EJ16">
        <v>0</v>
      </c>
      <c r="EK16" s="10">
        <v>45470</v>
      </c>
      <c r="EL16" s="15">
        <v>-1.95</v>
      </c>
      <c r="EM16" s="15">
        <v>-3.99</v>
      </c>
      <c r="EN16" s="15">
        <v>-2.77</v>
      </c>
      <c r="EO16" s="15">
        <v>7.47</v>
      </c>
      <c r="EP16" s="15">
        <v>-0.33</v>
      </c>
    </row>
    <row r="17" spans="1:146" ht="108" x14ac:dyDescent="0.25">
      <c r="A17" s="7"/>
      <c r="B17" s="7"/>
      <c r="C17" s="7" t="str">
        <f>""&amp;CHAR(10)&amp;Basic_Fundamental_Information_Constructure(F17)&amp;CHAR(10)&amp;Basic_Fundamental_Information_Concatenate("")</f>
        <v xml:space="preserve">
市值83.331515亿, 利润1.53亿; PE63.67; 平均PE-1063.81; 平均PEG-153.08, PB1.7; ROIC3.2433%; ROE3.4567%; 股利率.5649%; 毛利9.6033%; 净利1.29%; 上一年度营收增14.2%, 利润增-28.17%; 当季营收增12.65%, 利润增-48.33%; 过往5年营收增6.95%, 利润增-127.61%
Income profile:
</v>
      </c>
      <c r="D17" t="s">
        <v>320</v>
      </c>
      <c r="E17" t="s">
        <v>321</v>
      </c>
      <c r="F17">
        <v>4.78</v>
      </c>
      <c r="G17">
        <v>0.84</v>
      </c>
      <c r="H17" t="s">
        <v>1781</v>
      </c>
      <c r="I17">
        <v>8333151500</v>
      </c>
      <c r="J17">
        <v>63.67</v>
      </c>
      <c r="K17">
        <v>1.7</v>
      </c>
      <c r="L17" t="s">
        <v>1467</v>
      </c>
      <c r="M17" t="s">
        <v>1782</v>
      </c>
      <c r="N17" t="s">
        <v>1783</v>
      </c>
      <c r="O17" t="s">
        <v>1784</v>
      </c>
      <c r="P17">
        <v>12.66</v>
      </c>
      <c r="Q17" t="s">
        <v>1785</v>
      </c>
      <c r="R17">
        <v>23750894</v>
      </c>
      <c r="S17" s="5">
        <v>-0.48330000000000001</v>
      </c>
      <c r="T17" t="s">
        <v>93</v>
      </c>
      <c r="U17">
        <v>1726164600</v>
      </c>
      <c r="V17">
        <v>1743337100</v>
      </c>
      <c r="W17">
        <v>1.77</v>
      </c>
      <c r="X17">
        <v>0.32</v>
      </c>
      <c r="Y17">
        <v>0.32</v>
      </c>
      <c r="Z17" t="s">
        <v>1786</v>
      </c>
      <c r="AA17" t="s">
        <v>1305</v>
      </c>
      <c r="AB17" t="s">
        <v>243</v>
      </c>
      <c r="AC17" t="s">
        <v>1787</v>
      </c>
      <c r="AD17" t="s">
        <v>5</v>
      </c>
      <c r="AE17">
        <v>25305780</v>
      </c>
      <c r="AF17" t="s">
        <v>1788</v>
      </c>
      <c r="AG17" t="s">
        <v>1789</v>
      </c>
      <c r="AH17" t="s">
        <v>1790</v>
      </c>
      <c r="AI17" t="s">
        <v>585</v>
      </c>
      <c r="AJ17" t="s">
        <v>1791</v>
      </c>
      <c r="AK17" t="s">
        <v>520</v>
      </c>
      <c r="AL17" t="s">
        <v>1792</v>
      </c>
      <c r="AM17" t="s">
        <v>5</v>
      </c>
      <c r="AN17">
        <v>0</v>
      </c>
      <c r="AO17" t="s">
        <v>1401</v>
      </c>
      <c r="AP17" t="s">
        <v>103</v>
      </c>
      <c r="AQ17" t="s">
        <v>301</v>
      </c>
      <c r="AR17" t="s">
        <v>5</v>
      </c>
      <c r="AS17" t="s">
        <v>1793</v>
      </c>
      <c r="AT17" t="s">
        <v>5</v>
      </c>
      <c r="AU17" t="s">
        <v>1794</v>
      </c>
      <c r="AV17" t="s">
        <v>1795</v>
      </c>
      <c r="AW17" t="s">
        <v>1081</v>
      </c>
      <c r="AX17" t="s">
        <v>1062</v>
      </c>
      <c r="AY17" t="s">
        <v>322</v>
      </c>
      <c r="AZ17" t="s">
        <v>325</v>
      </c>
      <c r="BA17" t="s">
        <v>326</v>
      </c>
      <c r="BB17" t="s">
        <v>327</v>
      </c>
      <c r="BC17" t="s">
        <v>590</v>
      </c>
      <c r="BD17" t="s">
        <v>309</v>
      </c>
      <c r="BE17" t="s">
        <v>1350</v>
      </c>
      <c r="BF17" t="s">
        <v>328</v>
      </c>
      <c r="BG17" t="s">
        <v>18</v>
      </c>
      <c r="BH17" t="s">
        <v>1785</v>
      </c>
      <c r="BI17" t="s">
        <v>1796</v>
      </c>
      <c r="BJ17" t="s">
        <v>1062</v>
      </c>
      <c r="BK17" t="s">
        <v>93</v>
      </c>
      <c r="BL17" t="s">
        <v>1797</v>
      </c>
      <c r="BM17" t="s">
        <v>590</v>
      </c>
      <c r="BN17">
        <v>1.72</v>
      </c>
      <c r="BO17">
        <v>4.09</v>
      </c>
      <c r="BP17">
        <v>3.92</v>
      </c>
      <c r="BQ17">
        <v>1.81</v>
      </c>
      <c r="BR17">
        <v>4.49</v>
      </c>
      <c r="BS17">
        <v>4.07</v>
      </c>
      <c r="BT17" t="s">
        <v>1055</v>
      </c>
      <c r="BU17" t="s">
        <v>107</v>
      </c>
      <c r="BV17">
        <v>8.6</v>
      </c>
      <c r="BW17">
        <v>10.09</v>
      </c>
      <c r="BX17">
        <v>10.119999999999999</v>
      </c>
      <c r="BY17">
        <v>0.91</v>
      </c>
      <c r="BZ17">
        <v>1.48</v>
      </c>
      <c r="CA17">
        <v>1.48</v>
      </c>
      <c r="CB17">
        <v>-1.44</v>
      </c>
      <c r="CC17">
        <v>-7.24</v>
      </c>
      <c r="CD17" t="s">
        <v>1798</v>
      </c>
      <c r="CE17" t="s">
        <v>1799</v>
      </c>
      <c r="CF17" s="11">
        <v>0.12647374062165059</v>
      </c>
      <c r="CG17" s="12">
        <v>-0.48328643563731771</v>
      </c>
      <c r="CH17" s="11">
        <v>0.14198637008666992</v>
      </c>
      <c r="CI17" s="11">
        <v>0.12281779199838638</v>
      </c>
      <c r="CJ17" s="11">
        <v>-2.1668799221515656E-2</v>
      </c>
      <c r="CK17" s="11">
        <v>0.15213243663311005</v>
      </c>
      <c r="CL17" s="11">
        <v>-4.7792017459869385E-2</v>
      </c>
      <c r="CM17" s="12">
        <v>-0.28169015049934387</v>
      </c>
      <c r="CN17" s="12">
        <v>0.15760870277881622</v>
      </c>
      <c r="CO17" s="12">
        <v>1.1974248886108398</v>
      </c>
      <c r="CP17" s="12">
        <v>-7.255033016204834</v>
      </c>
      <c r="CQ17" s="12">
        <v>-0.19892473518848419</v>
      </c>
      <c r="CR17">
        <v>-1063.806574468085</v>
      </c>
      <c r="CS17">
        <v>-153.07636236292836</v>
      </c>
      <c r="CT17">
        <v>0.56485355648535562</v>
      </c>
      <c r="CU17" s="11">
        <v>6.9495156407356262E-2</v>
      </c>
      <c r="CV17" s="12">
        <v>-1.2761228621006011</v>
      </c>
      <c r="CW17">
        <v>0.06</v>
      </c>
      <c r="CX17">
        <v>58.263398187030958</v>
      </c>
      <c r="CY17">
        <v>154370527.2927599</v>
      </c>
      <c r="CZ17">
        <v>6.9495156407356262E-2</v>
      </c>
      <c r="DA17">
        <v>19.374190692010789</v>
      </c>
      <c r="DB17">
        <v>464233662.3489961</v>
      </c>
      <c r="DC17">
        <v>6.6020398586988452E-2</v>
      </c>
      <c r="DD17">
        <v>9.7602367118779281</v>
      </c>
      <c r="DE17">
        <v>921509566.36680496</v>
      </c>
      <c r="DF17">
        <v>6.1155737638473512E-2</v>
      </c>
      <c r="DG17">
        <v>6.0142592660618215</v>
      </c>
      <c r="DH17">
        <v>1495471196.3871541</v>
      </c>
      <c r="DI17">
        <v>5.5596125125885014E-2</v>
      </c>
      <c r="DJ17">
        <v>3.2847874877946608</v>
      </c>
      <c r="DK17">
        <v>2738122795.8946257</v>
      </c>
      <c r="DL17">
        <v>4.8646609485149379E-2</v>
      </c>
      <c r="DM17">
        <v>153000000</v>
      </c>
      <c r="DN17">
        <v>6.9495156407356262E-2</v>
      </c>
      <c r="DO17">
        <v>8994151500</v>
      </c>
      <c r="DP17">
        <v>2432101700.0000005</v>
      </c>
      <c r="DQ17">
        <v>906</v>
      </c>
      <c r="DR17">
        <v>5.6978584214294331E-2</v>
      </c>
      <c r="DS17">
        <v>0.79283642646328345</v>
      </c>
      <c r="DT17" s="13">
        <v>-0.32333333333333336</v>
      </c>
      <c r="DU17">
        <v>-0.94</v>
      </c>
      <c r="DV17">
        <v>-1.2633333333333332</v>
      </c>
      <c r="DW17">
        <v>-2.0724</v>
      </c>
      <c r="DX17">
        <v>0.33858606557376913</v>
      </c>
      <c r="DY17">
        <v>-2.008585631147541</v>
      </c>
      <c r="DZ17">
        <v>3823</v>
      </c>
      <c r="EA17">
        <v>-2.0021623693320714</v>
      </c>
      <c r="EB17">
        <v>2</v>
      </c>
      <c r="EC17">
        <v>4.979243543890622E-2</v>
      </c>
      <c r="ED17">
        <v>0.4198843700395064</v>
      </c>
      <c r="EE17" s="14">
        <v>2.0218099999999999</v>
      </c>
      <c r="EF17">
        <v>2.0381100000000001</v>
      </c>
      <c r="EG17">
        <v>22.118586065573769</v>
      </c>
      <c r="EH17" t="s">
        <v>1029</v>
      </c>
      <c r="EI17">
        <v>0</v>
      </c>
      <c r="EJ17">
        <v>0</v>
      </c>
      <c r="EK17" s="10">
        <v>45470</v>
      </c>
      <c r="EL17" s="15">
        <v>0.21</v>
      </c>
      <c r="EM17" s="15">
        <v>-1.86</v>
      </c>
      <c r="EN17" s="15">
        <v>-0.42</v>
      </c>
      <c r="EO17" s="15">
        <v>4.0199999999999996</v>
      </c>
      <c r="EP17" s="15">
        <v>-1.63</v>
      </c>
    </row>
    <row r="18" spans="1:146" ht="96" x14ac:dyDescent="0.25">
      <c r="A18" s="7"/>
      <c r="B18" s="7"/>
      <c r="C18" s="16" t="str">
        <f>""&amp;CHAR(10)&amp;Basic_Fundamental_Information_Constructure(F18)&amp;CHAR(10)&amp;Basic_Fundamental_Information_Concatenate("")</f>
        <v xml:space="preserve">
市值20.410357亿, 利润-1.34亿; PE; 平均PE-7.85; 平均PEG-1.4, PB1.44; ROIC1.225%; ROE-6.8133%; 股利率0%; 毛利5.64%; 净利-3.5467%; 上一年度营收增32.8%, 利润增67.24%; 当季营收增9.92%, 利润增112.3%; 过往5年营收增5.62%, 利润增-631%
Income profile:
</v>
      </c>
      <c r="D18" t="s">
        <v>374</v>
      </c>
      <c r="E18" t="s">
        <v>375</v>
      </c>
      <c r="F18">
        <v>3.75</v>
      </c>
      <c r="G18">
        <v>4.46</v>
      </c>
      <c r="H18" t="s">
        <v>1800</v>
      </c>
      <c r="I18">
        <v>2041035700</v>
      </c>
      <c r="K18">
        <v>1.44</v>
      </c>
      <c r="L18" t="s">
        <v>1467</v>
      </c>
      <c r="M18" t="s">
        <v>1801</v>
      </c>
      <c r="N18" t="s">
        <v>1291</v>
      </c>
      <c r="O18" t="s">
        <v>1802</v>
      </c>
      <c r="P18">
        <v>9.8699999999999992</v>
      </c>
      <c r="Q18" t="s">
        <v>1803</v>
      </c>
      <c r="R18">
        <v>3858561</v>
      </c>
      <c r="S18" s="5">
        <v>1.123</v>
      </c>
      <c r="T18" t="s">
        <v>1804</v>
      </c>
      <c r="U18">
        <v>540906050</v>
      </c>
      <c r="V18">
        <v>544276200</v>
      </c>
      <c r="W18">
        <v>1.69</v>
      </c>
      <c r="X18">
        <v>0.53</v>
      </c>
      <c r="Y18">
        <v>0.28000000000000003</v>
      </c>
      <c r="Z18" t="s">
        <v>1340</v>
      </c>
      <c r="AA18" t="s">
        <v>817</v>
      </c>
      <c r="AB18" t="s">
        <v>1805</v>
      </c>
      <c r="AC18" t="s">
        <v>1806</v>
      </c>
      <c r="AD18" t="s">
        <v>5</v>
      </c>
      <c r="AE18">
        <v>5277528</v>
      </c>
      <c r="AF18" t="s">
        <v>1807</v>
      </c>
      <c r="AG18" t="s">
        <v>1808</v>
      </c>
      <c r="AH18" t="s">
        <v>1809</v>
      </c>
      <c r="AI18" t="s">
        <v>218</v>
      </c>
      <c r="AJ18" t="s">
        <v>1810</v>
      </c>
      <c r="AK18" t="s">
        <v>5</v>
      </c>
      <c r="AL18" t="s">
        <v>1811</v>
      </c>
      <c r="AM18" t="s">
        <v>5</v>
      </c>
      <c r="AN18">
        <v>0</v>
      </c>
      <c r="AO18" t="s">
        <v>572</v>
      </c>
      <c r="AP18" t="s">
        <v>5</v>
      </c>
      <c r="AQ18" t="s">
        <v>1812</v>
      </c>
      <c r="AR18" t="s">
        <v>5</v>
      </c>
      <c r="AS18" t="s">
        <v>1249</v>
      </c>
      <c r="AT18" t="s">
        <v>5</v>
      </c>
      <c r="AU18" t="s">
        <v>1813</v>
      </c>
      <c r="AV18" t="s">
        <v>1814</v>
      </c>
      <c r="AW18" t="s">
        <v>1815</v>
      </c>
      <c r="AX18" t="s">
        <v>1070</v>
      </c>
      <c r="AY18" t="s">
        <v>228</v>
      </c>
      <c r="AZ18" t="s">
        <v>379</v>
      </c>
      <c r="BA18" t="s">
        <v>380</v>
      </c>
      <c r="BB18" t="s">
        <v>381</v>
      </c>
      <c r="BC18" t="s">
        <v>1071</v>
      </c>
      <c r="BD18" t="s">
        <v>376</v>
      </c>
      <c r="BE18" t="s">
        <v>382</v>
      </c>
      <c r="BF18" t="s">
        <v>383</v>
      </c>
      <c r="BG18" t="s">
        <v>384</v>
      </c>
      <c r="BH18" t="s">
        <v>1803</v>
      </c>
      <c r="BI18" t="s">
        <v>718</v>
      </c>
      <c r="BJ18" t="s">
        <v>1070</v>
      </c>
      <c r="BK18" t="s">
        <v>1804</v>
      </c>
      <c r="BL18" t="s">
        <v>1816</v>
      </c>
      <c r="BM18" t="s">
        <v>1071</v>
      </c>
      <c r="BN18">
        <v>-0.89</v>
      </c>
      <c r="BO18" t="s">
        <v>5</v>
      </c>
      <c r="BP18">
        <v>3.34</v>
      </c>
      <c r="BQ18">
        <v>-0.28000000000000003</v>
      </c>
      <c r="BR18">
        <v>-23.16</v>
      </c>
      <c r="BS18">
        <v>3</v>
      </c>
      <c r="BT18" t="s">
        <v>1017</v>
      </c>
      <c r="BU18" t="s">
        <v>107</v>
      </c>
      <c r="BV18">
        <v>4.05</v>
      </c>
      <c r="BW18">
        <v>5.67</v>
      </c>
      <c r="BX18">
        <v>7.2</v>
      </c>
      <c r="BY18">
        <v>-2.37</v>
      </c>
      <c r="BZ18">
        <v>-9.7200000000000006</v>
      </c>
      <c r="CA18">
        <v>1.45</v>
      </c>
      <c r="CB18">
        <v>5.63</v>
      </c>
      <c r="CC18">
        <v>-21.71</v>
      </c>
      <c r="CD18" t="s">
        <v>102</v>
      </c>
      <c r="CE18" t="s">
        <v>1462</v>
      </c>
      <c r="CF18" s="11">
        <v>9.9173553719008267E-2</v>
      </c>
      <c r="CG18" s="12">
        <v>1.1230046767537827</v>
      </c>
      <c r="CH18" s="11">
        <v>0.32799813151359558</v>
      </c>
      <c r="CI18" s="11">
        <v>-5.9537172317504883E-2</v>
      </c>
      <c r="CJ18" s="11">
        <v>0.12370610237121582</v>
      </c>
      <c r="CK18" s="11">
        <v>0.32165500521659851</v>
      </c>
      <c r="CL18" s="11">
        <v>-0.43270868062973022</v>
      </c>
      <c r="CM18" s="12">
        <v>0.67237162590026855</v>
      </c>
      <c r="CN18" s="12">
        <v>-7.8925418853759766</v>
      </c>
      <c r="CO18" s="12">
        <v>1.0514206886291504</v>
      </c>
      <c r="CP18" s="12">
        <v>-25.854351043701172</v>
      </c>
      <c r="CQ18" s="12">
        <v>0.47296473383903503</v>
      </c>
      <c r="CR18">
        <v>-7.8516059606534094</v>
      </c>
      <c r="CS18">
        <v>-1.3965194023786629</v>
      </c>
      <c r="CT18">
        <v>0</v>
      </c>
      <c r="CU18" s="11">
        <v>5.6222677230834961E-2</v>
      </c>
      <c r="CV18" s="12">
        <v>-6.3100271761417392</v>
      </c>
      <c r="CW18">
        <v>0.06</v>
      </c>
      <c r="CX18" t="e">
        <v>#VALUE!</v>
      </c>
      <c r="CY18" t="s">
        <v>130</v>
      </c>
      <c r="CZ18">
        <v>5.6222677230834961E-2</v>
      </c>
      <c r="DA18" t="e">
        <v>#VALUE!</v>
      </c>
      <c r="DB18" t="s">
        <v>130</v>
      </c>
      <c r="DC18">
        <v>5.3411543369293213E-2</v>
      </c>
      <c r="DD18" t="e">
        <v>#VALUE!</v>
      </c>
      <c r="DE18" t="s">
        <v>130</v>
      </c>
      <c r="DF18">
        <v>4.9475955963134768E-2</v>
      </c>
      <c r="DG18" t="e">
        <v>#VALUE!</v>
      </c>
      <c r="DH18" t="s">
        <v>130</v>
      </c>
      <c r="DI18">
        <v>4.4978141784667969E-2</v>
      </c>
      <c r="DJ18" t="e">
        <v>#VALUE!</v>
      </c>
      <c r="DK18" t="s">
        <v>130</v>
      </c>
      <c r="DL18">
        <v>3.9355874061584473E-2</v>
      </c>
      <c r="DM18">
        <v>-134000000.00000001</v>
      </c>
      <c r="DN18">
        <v>5.6222677230834961E-2</v>
      </c>
      <c r="DO18">
        <v>1604035700</v>
      </c>
      <c r="DP18">
        <v>1304165500</v>
      </c>
      <c r="DQ18">
        <v>1196</v>
      </c>
      <c r="DR18">
        <v>4.2950876488173306E-2</v>
      </c>
      <c r="DS18">
        <v>7.4330318528955219</v>
      </c>
      <c r="DT18" s="13">
        <v>-0.25666666666666665</v>
      </c>
      <c r="DU18">
        <v>-0.64333333333333331</v>
      </c>
      <c r="DV18">
        <v>-0.89999999999999991</v>
      </c>
      <c r="DW18">
        <v>6.2059253840526702</v>
      </c>
      <c r="DX18">
        <v>0.41073071718538445</v>
      </c>
      <c r="DY18">
        <v>6.0289800269844083</v>
      </c>
      <c r="DZ18">
        <v>3457</v>
      </c>
      <c r="EA18">
        <v>6.0093745566742127</v>
      </c>
      <c r="EB18">
        <v>6</v>
      </c>
      <c r="EC18">
        <v>0.19107945561463097</v>
      </c>
      <c r="ED18">
        <v>1.3577665163385795</v>
      </c>
      <c r="EE18" s="14">
        <v>3.0158100000000001</v>
      </c>
      <c r="EF18">
        <v>3.01851</v>
      </c>
      <c r="EG18">
        <v>27.140730717185384</v>
      </c>
      <c r="EH18" t="s">
        <v>1030</v>
      </c>
      <c r="EI18">
        <v>0</v>
      </c>
      <c r="EJ18">
        <v>0</v>
      </c>
      <c r="EK18" s="10">
        <v>45470</v>
      </c>
      <c r="EL18" s="15">
        <v>-3.58</v>
      </c>
      <c r="EM18" s="15">
        <v>-4.6399999999999997</v>
      </c>
      <c r="EN18" s="15">
        <v>-9.98</v>
      </c>
      <c r="EO18" s="15">
        <v>-1.08</v>
      </c>
      <c r="EP18" s="15">
        <v>-0.27</v>
      </c>
    </row>
    <row r="19" spans="1:146" ht="108" x14ac:dyDescent="0.25">
      <c r="A19" s="7"/>
      <c r="B19" s="7"/>
      <c r="C19" s="16" t="str">
        <f>""&amp;CHAR(10)&amp;Basic_Fundamental_Information_Constructure(F19)&amp;CHAR(10)&amp;Basic_Fundamental_Information_Concatenate("")</f>
        <v xml:space="preserve">
市值32.546479亿, 利润2365.56万; PE53.51; 平均PE28.79; 平均PEG1.23, PB2.09; ROIC10.07%; ROE11.8867%; 股利率.401%; 毛利19.0667%; 净利3.9967%; 上一年度营收增-18.18%, 利润增-85.83%; 当季营收增44.53%, 利润增439.71%; 过往5年营收增23.33%, 利润增-1.21%
Income profile:
</v>
      </c>
      <c r="D19" t="s">
        <v>388</v>
      </c>
      <c r="E19" t="s">
        <v>389</v>
      </c>
      <c r="F19">
        <v>12.47</v>
      </c>
      <c r="G19">
        <v>3.14</v>
      </c>
      <c r="H19" t="s">
        <v>1817</v>
      </c>
      <c r="I19">
        <v>3254647900</v>
      </c>
      <c r="J19">
        <v>53.51</v>
      </c>
      <c r="K19">
        <v>2.09</v>
      </c>
      <c r="L19" t="s">
        <v>1467</v>
      </c>
      <c r="M19" t="s">
        <v>1283</v>
      </c>
      <c r="N19" t="s">
        <v>1745</v>
      </c>
      <c r="O19" t="s">
        <v>1447</v>
      </c>
      <c r="P19">
        <v>44.49</v>
      </c>
      <c r="Q19" t="s">
        <v>1818</v>
      </c>
      <c r="R19">
        <v>28711530</v>
      </c>
      <c r="S19" s="5">
        <v>4.3970000000000002</v>
      </c>
      <c r="T19" t="s">
        <v>1819</v>
      </c>
      <c r="U19">
        <v>196941080</v>
      </c>
      <c r="V19">
        <v>260998230</v>
      </c>
      <c r="W19">
        <v>1.59</v>
      </c>
      <c r="X19">
        <v>0.23</v>
      </c>
      <c r="Y19">
        <v>5.31</v>
      </c>
      <c r="Z19" t="s">
        <v>1081</v>
      </c>
      <c r="AA19" t="s">
        <v>868</v>
      </c>
      <c r="AB19" t="s">
        <v>1820</v>
      </c>
      <c r="AC19" t="s">
        <v>1821</v>
      </c>
      <c r="AD19" t="s">
        <v>5</v>
      </c>
      <c r="AE19">
        <v>1510688</v>
      </c>
      <c r="AF19" t="s">
        <v>1822</v>
      </c>
      <c r="AG19">
        <v>3104.75</v>
      </c>
      <c r="AH19" t="s">
        <v>1823</v>
      </c>
      <c r="AI19" t="s">
        <v>610</v>
      </c>
      <c r="AJ19" t="s">
        <v>1824</v>
      </c>
      <c r="AK19" t="s">
        <v>1825</v>
      </c>
      <c r="AL19" t="s">
        <v>1826</v>
      </c>
      <c r="AM19" t="s">
        <v>5</v>
      </c>
      <c r="AN19">
        <v>0</v>
      </c>
      <c r="AO19" t="s">
        <v>658</v>
      </c>
      <c r="AP19" t="s">
        <v>5</v>
      </c>
      <c r="AQ19" t="s">
        <v>118</v>
      </c>
      <c r="AR19" t="s">
        <v>5</v>
      </c>
      <c r="AS19" t="s">
        <v>1827</v>
      </c>
      <c r="AT19" t="s">
        <v>5</v>
      </c>
      <c r="AU19" t="s">
        <v>1386</v>
      </c>
      <c r="AV19" t="s">
        <v>1271</v>
      </c>
      <c r="AW19" t="s">
        <v>1828</v>
      </c>
      <c r="AX19" t="s">
        <v>1072</v>
      </c>
      <c r="AY19" t="s">
        <v>391</v>
      </c>
      <c r="AZ19" t="s">
        <v>394</v>
      </c>
      <c r="BA19" t="s">
        <v>395</v>
      </c>
      <c r="BB19" t="s">
        <v>369</v>
      </c>
      <c r="BC19" t="s">
        <v>26</v>
      </c>
      <c r="BD19" t="s">
        <v>276</v>
      </c>
      <c r="BE19" t="s">
        <v>267</v>
      </c>
      <c r="BF19" t="s">
        <v>115</v>
      </c>
      <c r="BG19" t="s">
        <v>396</v>
      </c>
      <c r="BH19" t="s">
        <v>1818</v>
      </c>
      <c r="BI19" t="s">
        <v>330</v>
      </c>
      <c r="BJ19" t="s">
        <v>1072</v>
      </c>
      <c r="BK19" t="s">
        <v>1819</v>
      </c>
      <c r="BL19" t="s">
        <v>1829</v>
      </c>
      <c r="BM19" t="s">
        <v>26</v>
      </c>
      <c r="BN19">
        <v>4.32</v>
      </c>
      <c r="BO19">
        <v>13.09</v>
      </c>
      <c r="BP19">
        <v>12.8</v>
      </c>
      <c r="BQ19">
        <v>4.16</v>
      </c>
      <c r="BR19">
        <v>17.84</v>
      </c>
      <c r="BS19">
        <v>13.66</v>
      </c>
      <c r="BT19" t="s">
        <v>1052</v>
      </c>
      <c r="BU19" t="s">
        <v>107</v>
      </c>
      <c r="BV19">
        <v>15.46</v>
      </c>
      <c r="BW19">
        <v>19.96</v>
      </c>
      <c r="BX19">
        <v>21.78</v>
      </c>
      <c r="BY19">
        <v>1.01</v>
      </c>
      <c r="BZ19">
        <v>4.87</v>
      </c>
      <c r="CA19">
        <v>6.11</v>
      </c>
      <c r="CB19">
        <v>-0.8</v>
      </c>
      <c r="CC19">
        <v>-9.6999999999999993</v>
      </c>
      <c r="CD19" t="s">
        <v>1830</v>
      </c>
      <c r="CE19" t="s">
        <v>488</v>
      </c>
      <c r="CF19" s="11">
        <v>0.44525547445255453</v>
      </c>
      <c r="CG19" s="12">
        <v>4.3970905605906436</v>
      </c>
      <c r="CH19" s="11">
        <v>-0.18176288902759552</v>
      </c>
      <c r="CI19" s="11">
        <v>0.43919497728347778</v>
      </c>
      <c r="CJ19" s="11">
        <v>0.14874377846717834</v>
      </c>
      <c r="CK19" s="11">
        <v>0.2659032940864563</v>
      </c>
      <c r="CL19" s="11">
        <v>0.49429658055305481</v>
      </c>
      <c r="CM19" s="12">
        <v>-0.85834968090057373</v>
      </c>
      <c r="CN19" s="12">
        <v>0.43965518474578857</v>
      </c>
      <c r="CO19" s="12">
        <v>-0.28834354877471924</v>
      </c>
      <c r="CP19" s="12">
        <v>0.41739130020141602</v>
      </c>
      <c r="CQ19" s="12">
        <v>0.22935874760150909</v>
      </c>
      <c r="CR19">
        <v>28.793687351657027</v>
      </c>
      <c r="CS19">
        <v>1.2343229686010082</v>
      </c>
      <c r="CT19">
        <v>0.40096230954290296</v>
      </c>
      <c r="CU19" s="11">
        <v>0.23327514827251433</v>
      </c>
      <c r="CV19" s="12">
        <v>-1.2057599425315858E-2</v>
      </c>
      <c r="CW19">
        <v>0.06</v>
      </c>
      <c r="CX19">
        <v>99.905408972030443</v>
      </c>
      <c r="CY19">
        <v>27522512.827806875</v>
      </c>
      <c r="CZ19">
        <v>0.23327514827251433</v>
      </c>
      <c r="DA19">
        <v>28.97725995186644</v>
      </c>
      <c r="DB19">
        <v>94889851.717083886</v>
      </c>
      <c r="DC19">
        <v>0.22161139085888862</v>
      </c>
      <c r="DD19">
        <v>12.065784350048984</v>
      </c>
      <c r="DE19">
        <v>227888036.13822562</v>
      </c>
      <c r="DF19">
        <v>0.20528213047981261</v>
      </c>
      <c r="DG19">
        <v>5.9325319728737291</v>
      </c>
      <c r="DH19">
        <v>463486402.19263166</v>
      </c>
      <c r="DI19">
        <v>0.18662011861801148</v>
      </c>
      <c r="DJ19">
        <v>1.9035910596444481</v>
      </c>
      <c r="DK19">
        <v>1444453043.6666255</v>
      </c>
      <c r="DL19">
        <v>0.16329260379076002</v>
      </c>
      <c r="DM19">
        <v>23655600</v>
      </c>
      <c r="DN19">
        <v>0.23327514827251433</v>
      </c>
      <c r="DO19">
        <v>2749647900</v>
      </c>
      <c r="DP19">
        <v>1113385700</v>
      </c>
      <c r="DQ19">
        <v>1345</v>
      </c>
      <c r="DR19">
        <v>0.2119803261800402</v>
      </c>
      <c r="DS19">
        <v>4.4091481600159597</v>
      </c>
      <c r="DT19" s="13">
        <v>-0.24000000000000007</v>
      </c>
      <c r="DU19">
        <v>-0.10000000000000002</v>
      </c>
      <c r="DV19">
        <v>-0.34000000000000008</v>
      </c>
      <c r="DW19">
        <v>-2.097</v>
      </c>
      <c r="DX19">
        <v>0.63308015873016044</v>
      </c>
      <c r="DY19">
        <v>-2.0158187753968253</v>
      </c>
      <c r="DZ19">
        <v>2557</v>
      </c>
      <c r="EA19">
        <v>-2.0079031963968874</v>
      </c>
      <c r="EB19">
        <v>2</v>
      </c>
      <c r="EC19">
        <v>7.8728886398961404E-2</v>
      </c>
      <c r="ED19">
        <v>0.48276189459215874</v>
      </c>
      <c r="EE19" s="14">
        <v>-4.0198999999999998</v>
      </c>
      <c r="EF19">
        <v>-4.0246000000000004</v>
      </c>
      <c r="EG19">
        <v>47.16308015873016</v>
      </c>
      <c r="EH19" t="s">
        <v>1444</v>
      </c>
      <c r="EI19">
        <v>0</v>
      </c>
      <c r="EJ19">
        <v>0</v>
      </c>
      <c r="EK19" s="10">
        <v>45470</v>
      </c>
      <c r="EL19" s="15">
        <v>-1.35</v>
      </c>
      <c r="EM19" s="15">
        <v>-4.3600000000000003</v>
      </c>
      <c r="EN19" s="15">
        <v>0.34</v>
      </c>
      <c r="EO19" s="15">
        <v>7.74</v>
      </c>
      <c r="EP19" s="15">
        <v>0.47</v>
      </c>
    </row>
    <row r="20" spans="1:146" ht="108" x14ac:dyDescent="0.25">
      <c r="A20" s="7"/>
      <c r="B20" s="7"/>
      <c r="C20" s="16" t="str">
        <f>""&amp;CHAR(10)&amp;Basic_Fundamental_Information_Constructure(F20)&amp;CHAR(10)&amp;Basic_Fundamental_Information_Concatenate("")</f>
        <v xml:space="preserve">
市值25.251773亿, 利润-2610.33万; PE; 平均PE47.19; 平均PEG152.99, PB2.55; ROIC2.53%; ROE.7567%; 股利率0%; 毛利4.8767%; 净利.0433%; 上一年度营收增-39.41%, 利润增-929.2%; 当季营收增-16.87%, 利润增25.92%; 过往5年营收增-.31%, 利润增-210.1%
Income profile:
</v>
      </c>
      <c r="D20" t="s">
        <v>400</v>
      </c>
      <c r="E20" t="s">
        <v>401</v>
      </c>
      <c r="F20">
        <v>14.23</v>
      </c>
      <c r="G20">
        <v>9.9700000000000006</v>
      </c>
      <c r="H20" t="s">
        <v>1831</v>
      </c>
      <c r="I20">
        <v>2525177300</v>
      </c>
      <c r="K20">
        <v>2.5499999999999998</v>
      </c>
      <c r="L20" t="s">
        <v>1467</v>
      </c>
      <c r="M20" t="s">
        <v>136</v>
      </c>
      <c r="N20" t="s">
        <v>1832</v>
      </c>
      <c r="O20" t="s">
        <v>1129</v>
      </c>
      <c r="P20">
        <v>-16.760000000000002</v>
      </c>
      <c r="Q20" t="s">
        <v>1833</v>
      </c>
      <c r="R20">
        <v>-9692589</v>
      </c>
      <c r="S20" s="5">
        <v>0.25919999999999999</v>
      </c>
      <c r="T20" t="s">
        <v>1834</v>
      </c>
      <c r="U20">
        <v>112417208</v>
      </c>
      <c r="V20">
        <v>177454480</v>
      </c>
      <c r="W20">
        <v>1.32</v>
      </c>
      <c r="X20">
        <v>0.32</v>
      </c>
      <c r="Y20">
        <v>-2.2599999999999998</v>
      </c>
      <c r="Z20" t="s">
        <v>1835</v>
      </c>
      <c r="AA20" t="s">
        <v>106</v>
      </c>
      <c r="AB20" t="s">
        <v>1836</v>
      </c>
      <c r="AC20" t="s">
        <v>1837</v>
      </c>
      <c r="AD20" t="s">
        <v>5</v>
      </c>
      <c r="AE20">
        <v>-1143560</v>
      </c>
      <c r="AF20" t="s">
        <v>1838</v>
      </c>
      <c r="AG20" t="s">
        <v>1839</v>
      </c>
      <c r="AH20" t="s">
        <v>1840</v>
      </c>
      <c r="AI20" t="s">
        <v>909</v>
      </c>
      <c r="AJ20" t="s">
        <v>1841</v>
      </c>
      <c r="AK20" t="s">
        <v>5</v>
      </c>
      <c r="AL20" t="s">
        <v>1842</v>
      </c>
      <c r="AM20" t="s">
        <v>5</v>
      </c>
      <c r="AN20">
        <v>0</v>
      </c>
      <c r="AO20" t="s">
        <v>5</v>
      </c>
      <c r="AP20" t="s">
        <v>5</v>
      </c>
      <c r="AQ20" t="s">
        <v>1843</v>
      </c>
      <c r="AR20" t="s">
        <v>5</v>
      </c>
      <c r="AS20" t="s">
        <v>119</v>
      </c>
      <c r="AT20" t="s">
        <v>5</v>
      </c>
      <c r="AU20" t="s">
        <v>1844</v>
      </c>
      <c r="AV20" t="s">
        <v>1845</v>
      </c>
      <c r="AW20" t="s">
        <v>1846</v>
      </c>
      <c r="AX20" t="s">
        <v>1073</v>
      </c>
      <c r="AY20" t="s">
        <v>402</v>
      </c>
      <c r="AZ20" t="s">
        <v>404</v>
      </c>
      <c r="BA20" t="s">
        <v>405</v>
      </c>
      <c r="BB20" t="s">
        <v>406</v>
      </c>
      <c r="BC20" t="s">
        <v>1847</v>
      </c>
      <c r="BD20" t="s">
        <v>403</v>
      </c>
      <c r="BE20" t="s">
        <v>182</v>
      </c>
      <c r="BF20" t="s">
        <v>407</v>
      </c>
      <c r="BG20" t="s">
        <v>408</v>
      </c>
      <c r="BH20" t="s">
        <v>1833</v>
      </c>
      <c r="BI20" t="s">
        <v>1848</v>
      </c>
      <c r="BJ20" t="s">
        <v>1073</v>
      </c>
      <c r="BK20" t="s">
        <v>1834</v>
      </c>
      <c r="BL20" t="s">
        <v>1849</v>
      </c>
      <c r="BM20" t="s">
        <v>1847</v>
      </c>
      <c r="BN20" t="s">
        <v>5</v>
      </c>
      <c r="BO20">
        <v>0.1</v>
      </c>
      <c r="BP20">
        <v>4.96</v>
      </c>
      <c r="BQ20">
        <v>-3.16</v>
      </c>
      <c r="BR20">
        <v>0.3</v>
      </c>
      <c r="BS20">
        <v>5.13</v>
      </c>
      <c r="BT20" t="s">
        <v>1017</v>
      </c>
      <c r="BU20" t="s">
        <v>107</v>
      </c>
      <c r="BV20">
        <v>6.15</v>
      </c>
      <c r="BW20">
        <v>3.86</v>
      </c>
      <c r="BX20">
        <v>4.62</v>
      </c>
      <c r="BY20">
        <v>-1.41</v>
      </c>
      <c r="BZ20">
        <v>0.17</v>
      </c>
      <c r="CA20">
        <v>1.37</v>
      </c>
      <c r="CB20">
        <v>7.8</v>
      </c>
      <c r="CC20">
        <v>-5.82</v>
      </c>
      <c r="CD20" t="s">
        <v>1850</v>
      </c>
      <c r="CE20" t="s">
        <v>212</v>
      </c>
      <c r="CF20" s="11">
        <v>-0.16867469879518093</v>
      </c>
      <c r="CG20" s="12">
        <v>0.25923688916741816</v>
      </c>
      <c r="CH20" s="11">
        <v>-0.39408868551254272</v>
      </c>
      <c r="CI20" s="11">
        <v>-0.25018468499183655</v>
      </c>
      <c r="CJ20" s="11">
        <v>0.24189595878124237</v>
      </c>
      <c r="CK20" s="11">
        <v>0.36648568511009216</v>
      </c>
      <c r="CL20" s="11">
        <v>2.046908438205719E-2</v>
      </c>
      <c r="CM20" s="12">
        <v>-9.2920265197753906</v>
      </c>
      <c r="CN20" s="12">
        <v>-0.94180929660797119</v>
      </c>
      <c r="CO20" s="12">
        <v>-0.48478096723556519</v>
      </c>
      <c r="CP20" s="12">
        <v>6.010817363858223E-2</v>
      </c>
      <c r="CQ20" s="12">
        <v>0.15341070294380188</v>
      </c>
      <c r="CR20">
        <v>47.190475730692434</v>
      </c>
      <c r="CS20">
        <v>152.99089165109524</v>
      </c>
      <c r="CT20">
        <v>0</v>
      </c>
      <c r="CU20" s="11">
        <v>-3.0845284461975099E-3</v>
      </c>
      <c r="CV20" s="12">
        <v>-2.1010195814073085</v>
      </c>
      <c r="CW20">
        <v>0.06</v>
      </c>
      <c r="CX20" t="e">
        <v>#VALUE!</v>
      </c>
      <c r="CY20" t="s">
        <v>129</v>
      </c>
      <c r="CZ20">
        <v>-3.0845284461975099E-3</v>
      </c>
      <c r="DA20" t="e">
        <v>#VALUE!</v>
      </c>
      <c r="DB20" t="s">
        <v>130</v>
      </c>
      <c r="DC20">
        <v>-2.9303020238876341E-3</v>
      </c>
      <c r="DD20" t="e">
        <v>#VALUE!</v>
      </c>
      <c r="DE20" t="s">
        <v>130</v>
      </c>
      <c r="DF20">
        <v>-2.7143850326538086E-3</v>
      </c>
      <c r="DG20" t="e">
        <v>#VALUE!</v>
      </c>
      <c r="DH20" t="s">
        <v>130</v>
      </c>
      <c r="DI20">
        <v>-2.467622756958008E-3</v>
      </c>
      <c r="DJ20" t="e">
        <v>#VALUE!</v>
      </c>
      <c r="DK20" t="s">
        <v>130</v>
      </c>
      <c r="DL20">
        <v>-2.1591699123382569E-3</v>
      </c>
      <c r="DM20">
        <v>-26103300</v>
      </c>
      <c r="DN20">
        <v>-3.0845284461975099E-3</v>
      </c>
      <c r="DO20">
        <v>1827177300</v>
      </c>
      <c r="DP20">
        <v>663058500</v>
      </c>
      <c r="DQ20">
        <v>1452</v>
      </c>
      <c r="DR20">
        <v>-0.16559017034898343</v>
      </c>
      <c r="DS20">
        <v>2.3602564705747264</v>
      </c>
      <c r="DT20" s="13">
        <v>-0.50666666666666671</v>
      </c>
      <c r="DU20">
        <v>-1.9816666666666667</v>
      </c>
      <c r="DV20">
        <v>-2.4883333333333333</v>
      </c>
      <c r="DW20">
        <v>5.7461538461538462</v>
      </c>
      <c r="DX20">
        <v>0.5521207207207206</v>
      </c>
      <c r="DY20">
        <v>5.2328900762300758</v>
      </c>
      <c r="DZ20">
        <v>4671</v>
      </c>
      <c r="EA20">
        <v>5.0200075818913898</v>
      </c>
      <c r="EB20">
        <v>5</v>
      </c>
      <c r="EC20">
        <v>0.19523542037372063</v>
      </c>
      <c r="ED20">
        <v>0.62551252580380057</v>
      </c>
      <c r="EE20" s="14">
        <v>1.0527</v>
      </c>
      <c r="EF20">
        <v>1.0571999999999999</v>
      </c>
      <c r="EG20">
        <v>24.312120720720721</v>
      </c>
      <c r="EH20" t="s">
        <v>83</v>
      </c>
      <c r="EI20">
        <v>1</v>
      </c>
      <c r="EJ20">
        <v>0</v>
      </c>
      <c r="EK20" s="10">
        <v>45470</v>
      </c>
      <c r="EL20" s="15">
        <v>-2.1800000000000002</v>
      </c>
      <c r="EM20" s="15">
        <v>-4.45</v>
      </c>
      <c r="EN20" s="15">
        <v>0</v>
      </c>
      <c r="EO20" s="15">
        <v>7.64</v>
      </c>
      <c r="EP20" s="15">
        <v>0.45</v>
      </c>
    </row>
    <row r="21" spans="1:146" ht="168" x14ac:dyDescent="0.25">
      <c r="A21" s="7"/>
      <c r="B21" s="7"/>
      <c r="C21" s="16" t="str">
        <f>"公司主营业务为公共关系咨询服务和广告服务,其核心业务是为企业提供品牌管理服务以及广告设计、制作、代理、发布业务,承办展览展示活动等。"&amp;CHAR(10)&amp;Basic_Fundamental_Information_Constructure(F21)&amp;CHAR(10)&amp;Basic_Fundamental_Information_Concatenate("出海广告投放 283.93亿 70.84% 19.43% 1.74%
全案推广服务 61.55亿 15.36% 41.72% 17.22%
全案广告代理 33.14亿 8.27% 20.75% 15.91%
海外公司业务 22.16亿 5.53% 18.10% 20.75%")</f>
        <v>公司主营业务为公共关系咨询服务和广告服务,其核心业务是为企业提供品牌管理服务以及广告设计、制作、代理、发布业务,承办展览展示活动等。
市值132.337061亿, 利润1.17亿; PE263.7; 平均PE276.66; 平均PEG13.87, PB1.71; ROIC4.27%; ROE-5.4467%; 股利率.188%; 毛利4.8233%; 净利-1.48%; 上一年度营收增43.43%, 利润增105.38%; 当季营收增61.47%, 利润增-44.75%; 过往5年营收增19.94%, 利润增-70.94%
Income profile:
出海广告投放 283.93亿 70.84% 19.43% 1.74%
全案推广服务 61.55亿 15.36% 41.72% 17.22%
全案广告代理 33.14亿 8.27% 20.75% 15.91%
海外公司业务 22.16亿 5.53% 18.10% 20.75%</v>
      </c>
      <c r="D21" t="s">
        <v>442</v>
      </c>
      <c r="E21" t="s">
        <v>443</v>
      </c>
      <c r="F21">
        <v>5.32</v>
      </c>
      <c r="G21">
        <v>0.95</v>
      </c>
      <c r="H21" t="s">
        <v>1851</v>
      </c>
      <c r="I21">
        <v>13233706100</v>
      </c>
      <c r="J21">
        <v>263.7</v>
      </c>
      <c r="K21">
        <v>1.71</v>
      </c>
      <c r="L21" t="s">
        <v>1467</v>
      </c>
      <c r="M21" t="s">
        <v>1852</v>
      </c>
      <c r="N21" t="s">
        <v>1853</v>
      </c>
      <c r="O21" t="s">
        <v>1854</v>
      </c>
      <c r="P21">
        <v>61.47</v>
      </c>
      <c r="Q21" t="s">
        <v>1855</v>
      </c>
      <c r="R21">
        <v>82324744</v>
      </c>
      <c r="S21" s="5">
        <v>-0.44650000000000001</v>
      </c>
      <c r="T21" t="s">
        <v>89</v>
      </c>
      <c r="U21">
        <v>2384943200</v>
      </c>
      <c r="V21">
        <v>2487538700</v>
      </c>
      <c r="W21">
        <v>2.77</v>
      </c>
      <c r="X21">
        <v>0.73</v>
      </c>
      <c r="Y21">
        <v>0.51</v>
      </c>
      <c r="Z21" t="s">
        <v>1856</v>
      </c>
      <c r="AA21" t="s">
        <v>1857</v>
      </c>
      <c r="AB21" t="s">
        <v>246</v>
      </c>
      <c r="AC21" t="s">
        <v>338</v>
      </c>
      <c r="AD21" t="s">
        <v>5</v>
      </c>
      <c r="AE21">
        <v>12938450</v>
      </c>
      <c r="AF21" t="s">
        <v>1858</v>
      </c>
      <c r="AG21" t="s">
        <v>1859</v>
      </c>
      <c r="AH21" t="s">
        <v>1860</v>
      </c>
      <c r="AI21" t="s">
        <v>1861</v>
      </c>
      <c r="AJ21" t="s">
        <v>1862</v>
      </c>
      <c r="AK21" t="s">
        <v>5</v>
      </c>
      <c r="AL21" t="s">
        <v>1863</v>
      </c>
      <c r="AM21" t="s">
        <v>5</v>
      </c>
      <c r="AN21">
        <v>0</v>
      </c>
      <c r="AO21" t="s">
        <v>1864</v>
      </c>
      <c r="AP21" t="s">
        <v>5</v>
      </c>
      <c r="AQ21" t="s">
        <v>1865</v>
      </c>
      <c r="AR21" t="s">
        <v>5</v>
      </c>
      <c r="AS21" t="s">
        <v>357</v>
      </c>
      <c r="AT21" t="s">
        <v>1234</v>
      </c>
      <c r="AU21" t="s">
        <v>1866</v>
      </c>
      <c r="AV21" t="s">
        <v>1867</v>
      </c>
      <c r="AW21" t="s">
        <v>149</v>
      </c>
      <c r="AX21" t="s">
        <v>1078</v>
      </c>
      <c r="AY21" t="s">
        <v>444</v>
      </c>
      <c r="AZ21" t="s">
        <v>446</v>
      </c>
      <c r="BA21" t="s">
        <v>447</v>
      </c>
      <c r="BB21" t="s">
        <v>448</v>
      </c>
      <c r="BC21" t="s">
        <v>1079</v>
      </c>
      <c r="BD21" t="s">
        <v>192</v>
      </c>
      <c r="BE21" t="s">
        <v>449</v>
      </c>
      <c r="BF21" t="s">
        <v>450</v>
      </c>
      <c r="BG21" t="s">
        <v>451</v>
      </c>
      <c r="BH21" t="s">
        <v>1855</v>
      </c>
      <c r="BI21" t="s">
        <v>1868</v>
      </c>
      <c r="BJ21" t="s">
        <v>1078</v>
      </c>
      <c r="BK21" t="s">
        <v>89</v>
      </c>
      <c r="BL21" t="s">
        <v>328</v>
      </c>
      <c r="BM21" t="s">
        <v>1079</v>
      </c>
      <c r="BN21">
        <v>3.27</v>
      </c>
      <c r="BO21" t="s">
        <v>5</v>
      </c>
      <c r="BP21">
        <v>5.27</v>
      </c>
      <c r="BQ21">
        <v>3.8</v>
      </c>
      <c r="BR21">
        <v>-25.82</v>
      </c>
      <c r="BS21">
        <v>5.68</v>
      </c>
      <c r="BT21" t="s">
        <v>1021</v>
      </c>
      <c r="BU21" t="s">
        <v>107</v>
      </c>
      <c r="BV21">
        <v>3.44</v>
      </c>
      <c r="BW21">
        <v>4.6900000000000004</v>
      </c>
      <c r="BX21">
        <v>6.34</v>
      </c>
      <c r="BY21">
        <v>0.21</v>
      </c>
      <c r="BZ21">
        <v>-5.94</v>
      </c>
      <c r="CA21">
        <v>1.29</v>
      </c>
      <c r="CB21">
        <v>-2.21</v>
      </c>
      <c r="CC21">
        <v>-12.79</v>
      </c>
      <c r="CD21" t="s">
        <v>282</v>
      </c>
      <c r="CE21" t="s">
        <v>456</v>
      </c>
      <c r="CF21" s="11">
        <v>0.61469204010640477</v>
      </c>
      <c r="CG21" s="12">
        <v>-0.44748493959731545</v>
      </c>
      <c r="CH21" s="11">
        <v>0.43434280157089233</v>
      </c>
      <c r="CI21" s="11">
        <v>-8.4709770977497101E-2</v>
      </c>
      <c r="CJ21" s="11">
        <v>-1.1079019866883755E-2</v>
      </c>
      <c r="CK21" s="11">
        <v>0.44193407893180847</v>
      </c>
      <c r="CL21" s="11">
        <v>0.21649932861328125</v>
      </c>
      <c r="CM21" s="12">
        <v>1.0537930727005005</v>
      </c>
      <c r="CN21" s="12">
        <v>-5.1666665077209473</v>
      </c>
      <c r="CO21" s="12">
        <v>-0.27900552749633789</v>
      </c>
      <c r="CP21" s="12">
        <v>1.9718309864401817E-2</v>
      </c>
      <c r="CQ21" s="12">
        <v>0.82519280910491943</v>
      </c>
      <c r="CR21">
        <v>276.66284529616723</v>
      </c>
      <c r="CS21">
        <v>13.874941660537496</v>
      </c>
      <c r="CT21">
        <v>0.18796992481203006</v>
      </c>
      <c r="CU21" s="11">
        <v>0.19939748365432025</v>
      </c>
      <c r="CV21" s="12">
        <v>-0.70939356870949266</v>
      </c>
      <c r="CW21">
        <v>0.06</v>
      </c>
      <c r="CX21">
        <v>148.47232860091879</v>
      </c>
      <c r="CY21">
        <v>132386326.0259957</v>
      </c>
      <c r="CZ21">
        <v>0.19939748365432025</v>
      </c>
      <c r="DA21">
        <v>44.279026569803143</v>
      </c>
      <c r="DB21">
        <v>443905560.32242483</v>
      </c>
      <c r="DC21">
        <v>0.18942760947160422</v>
      </c>
      <c r="DD21">
        <v>19.196974215762996</v>
      </c>
      <c r="DE21">
        <v>1023896051.4860895</v>
      </c>
      <c r="DF21">
        <v>0.17546978561580182</v>
      </c>
      <c r="DG21">
        <v>9.9226962808893564</v>
      </c>
      <c r="DH21">
        <v>1980883576.7608812</v>
      </c>
      <c r="DI21">
        <v>0.1595179869234562</v>
      </c>
      <c r="DJ21">
        <v>3.6055958461861719</v>
      </c>
      <c r="DK21">
        <v>5451444626.2164612</v>
      </c>
      <c r="DL21">
        <v>0.13957823855802418</v>
      </c>
      <c r="DM21">
        <v>117000000</v>
      </c>
      <c r="DN21">
        <v>0.19939748365432025</v>
      </c>
      <c r="DO21">
        <v>19655706100</v>
      </c>
      <c r="DP21">
        <v>3275323000</v>
      </c>
      <c r="DQ21">
        <v>1553</v>
      </c>
      <c r="DR21">
        <v>0.41529455645208452</v>
      </c>
      <c r="DS21">
        <v>0.26190862911217722</v>
      </c>
      <c r="DT21" s="13">
        <v>-5.6666666666666719E-2</v>
      </c>
      <c r="DU21">
        <v>-0.75666666666666671</v>
      </c>
      <c r="DV21">
        <v>-0.81333333333333346</v>
      </c>
      <c r="DW21">
        <v>-2.1278999999999999</v>
      </c>
      <c r="DX21">
        <v>0.39567362428842601</v>
      </c>
      <c r="DY21">
        <v>-2.0173526565464894</v>
      </c>
      <c r="DZ21">
        <v>3367</v>
      </c>
      <c r="EA21">
        <v>-2.0059189198357203</v>
      </c>
      <c r="EB21">
        <v>2</v>
      </c>
      <c r="EC21">
        <v>5.7486542822429258E-2</v>
      </c>
      <c r="ED21">
        <v>0.42371200094294004</v>
      </c>
      <c r="EE21" s="14">
        <v>5.5510000000000004E-2</v>
      </c>
      <c r="EF21">
        <v>6.6309999999999994E-2</v>
      </c>
      <c r="EG21">
        <v>26.135673624288426</v>
      </c>
      <c r="EH21">
        <v>-1</v>
      </c>
      <c r="EI21">
        <v>0</v>
      </c>
      <c r="EJ21">
        <v>0</v>
      </c>
      <c r="EK21" s="10">
        <v>45470</v>
      </c>
      <c r="EL21" s="15">
        <v>-0.36</v>
      </c>
      <c r="EM21" s="15">
        <v>-4.5</v>
      </c>
      <c r="EN21" s="15">
        <v>-0.56999999999999995</v>
      </c>
      <c r="EO21" s="15">
        <v>5.5</v>
      </c>
      <c r="EP21" s="15">
        <v>-1.08</v>
      </c>
    </row>
    <row r="22" spans="1:146" ht="108" x14ac:dyDescent="0.25">
      <c r="A22" s="7"/>
      <c r="B22" s="7"/>
      <c r="C22" s="16" t="str">
        <f>""&amp;CHAR(10)&amp;Basic_Fundamental_Information_Constructure(F22)&amp;CHAR(10)&amp;Basic_Fundamental_Information_Concatenate("")</f>
        <v xml:space="preserve">
市值27.875433亿, 利润-4.95亿; PE; 平均PE-7.27; 平均PEG-.62, PB3.66; ROIC3.89%; ROE-8.3433%; 股利率0%; 毛利32.1633%; 净利-27.5467%; 上一年度营收增-22.37%, 利润增-1056.22%; 当季营收增-11.01%, 利润增-457.91%; 过往5年营收增-11.79%, 利润增-464.01%
Income profile:
</v>
      </c>
      <c r="D22" t="s">
        <v>454</v>
      </c>
      <c r="E22" t="s">
        <v>455</v>
      </c>
      <c r="F22">
        <v>4.2300000000000004</v>
      </c>
      <c r="G22">
        <v>1.2</v>
      </c>
      <c r="H22" t="s">
        <v>1869</v>
      </c>
      <c r="I22">
        <v>2787543300</v>
      </c>
      <c r="K22">
        <v>3.66</v>
      </c>
      <c r="L22" t="s">
        <v>1467</v>
      </c>
      <c r="M22" t="s">
        <v>1307</v>
      </c>
      <c r="N22" t="s">
        <v>680</v>
      </c>
      <c r="O22" t="s">
        <v>235</v>
      </c>
      <c r="P22">
        <v>-10.73</v>
      </c>
      <c r="Q22" t="s">
        <v>163</v>
      </c>
      <c r="R22">
        <v>-5714084</v>
      </c>
      <c r="S22" s="5">
        <v>-4.5789999999999997</v>
      </c>
      <c r="T22" t="s">
        <v>1870</v>
      </c>
      <c r="U22">
        <v>617174710</v>
      </c>
      <c r="V22">
        <v>658993680</v>
      </c>
      <c r="W22">
        <v>2.17</v>
      </c>
      <c r="X22">
        <v>0.12</v>
      </c>
      <c r="Y22">
        <v>-2.64</v>
      </c>
      <c r="Z22" t="s">
        <v>634</v>
      </c>
      <c r="AA22" t="s">
        <v>154</v>
      </c>
      <c r="AB22" t="s">
        <v>1871</v>
      </c>
      <c r="AC22" t="s">
        <v>1872</v>
      </c>
      <c r="AD22" t="s">
        <v>5</v>
      </c>
      <c r="AE22">
        <v>5933662</v>
      </c>
      <c r="AF22" t="s">
        <v>308</v>
      </c>
      <c r="AG22" t="s">
        <v>1873</v>
      </c>
      <c r="AH22" t="s">
        <v>1874</v>
      </c>
      <c r="AI22" t="s">
        <v>570</v>
      </c>
      <c r="AJ22" t="s">
        <v>1875</v>
      </c>
      <c r="AK22" t="s">
        <v>5</v>
      </c>
      <c r="AL22" t="s">
        <v>1876</v>
      </c>
      <c r="AM22" t="s">
        <v>5</v>
      </c>
      <c r="AN22">
        <v>0</v>
      </c>
      <c r="AO22" t="s">
        <v>1877</v>
      </c>
      <c r="AP22" t="s">
        <v>5</v>
      </c>
      <c r="AQ22" t="s">
        <v>1878</v>
      </c>
      <c r="AR22" t="s">
        <v>5</v>
      </c>
      <c r="AS22" t="s">
        <v>270</v>
      </c>
      <c r="AT22" t="s">
        <v>5</v>
      </c>
      <c r="AU22" t="s">
        <v>305</v>
      </c>
      <c r="AV22" t="s">
        <v>1879</v>
      </c>
      <c r="AW22" t="s">
        <v>1880</v>
      </c>
      <c r="AX22" t="s">
        <v>1075</v>
      </c>
      <c r="AY22" t="s">
        <v>456</v>
      </c>
      <c r="AZ22" t="s">
        <v>424</v>
      </c>
      <c r="BA22" t="s">
        <v>460</v>
      </c>
      <c r="BB22" t="s">
        <v>461</v>
      </c>
      <c r="BC22" t="s">
        <v>1881</v>
      </c>
      <c r="BD22" t="s">
        <v>457</v>
      </c>
      <c r="BE22" t="s">
        <v>462</v>
      </c>
      <c r="BF22" t="s">
        <v>463</v>
      </c>
      <c r="BG22" t="s">
        <v>464</v>
      </c>
      <c r="BH22" t="s">
        <v>163</v>
      </c>
      <c r="BI22" t="s">
        <v>1077</v>
      </c>
      <c r="BJ22" t="s">
        <v>1075</v>
      </c>
      <c r="BK22" t="s">
        <v>1870</v>
      </c>
      <c r="BL22" t="s">
        <v>1882</v>
      </c>
      <c r="BM22" t="s">
        <v>1881</v>
      </c>
      <c r="BN22" t="s">
        <v>5</v>
      </c>
      <c r="BO22">
        <v>3.89</v>
      </c>
      <c r="BP22" t="s">
        <v>5</v>
      </c>
      <c r="BQ22">
        <v>-2.6</v>
      </c>
      <c r="BR22">
        <v>4.28</v>
      </c>
      <c r="BS22">
        <v>-26.71</v>
      </c>
      <c r="BT22" t="s">
        <v>1017</v>
      </c>
      <c r="BU22" t="s">
        <v>107</v>
      </c>
      <c r="BV22">
        <v>26.42</v>
      </c>
      <c r="BW22">
        <v>31.45</v>
      </c>
      <c r="BX22">
        <v>38.619999999999997</v>
      </c>
      <c r="BY22">
        <v>-50.94</v>
      </c>
      <c r="BZ22">
        <v>3.86</v>
      </c>
      <c r="CA22">
        <v>-35.56</v>
      </c>
      <c r="CB22">
        <v>-5.58</v>
      </c>
      <c r="CC22">
        <v>3.93</v>
      </c>
      <c r="CD22" t="s">
        <v>1316</v>
      </c>
      <c r="CE22" t="s">
        <v>1000</v>
      </c>
      <c r="CF22" s="11">
        <v>-0.11013215859030837</v>
      </c>
      <c r="CG22" s="12">
        <v>-4.5791318509238961</v>
      </c>
      <c r="CH22" s="11">
        <v>-0.22372610867023468</v>
      </c>
      <c r="CI22" s="11">
        <v>0.19165085256099701</v>
      </c>
      <c r="CJ22" s="11">
        <v>-0.28054603934288025</v>
      </c>
      <c r="CK22" s="11">
        <v>0.18815897405147552</v>
      </c>
      <c r="CL22" s="11">
        <v>-0.46507593989372253</v>
      </c>
      <c r="CM22" s="12">
        <v>-10.562150001525879</v>
      </c>
      <c r="CN22" s="12">
        <v>1.1414387226104736</v>
      </c>
      <c r="CO22" s="12">
        <v>0.51200002431869507</v>
      </c>
      <c r="CP22" s="12">
        <v>-15.357528686523438</v>
      </c>
      <c r="CQ22" s="12">
        <v>1.0658731460571289</v>
      </c>
      <c r="CR22">
        <v>-7.2718647336777975</v>
      </c>
      <c r="CS22">
        <v>-0.61674239070692405</v>
      </c>
      <c r="CT22">
        <v>0</v>
      </c>
      <c r="CU22" s="11">
        <v>-0.11790765225887298</v>
      </c>
      <c r="CV22" s="12">
        <v>-4.6400733590126038</v>
      </c>
      <c r="CW22">
        <v>0.06</v>
      </c>
      <c r="CX22" t="e">
        <v>#VALUE!</v>
      </c>
      <c r="CY22" t="s">
        <v>129</v>
      </c>
      <c r="CZ22">
        <v>-0.11790765225887298</v>
      </c>
      <c r="DA22" t="e">
        <v>#VALUE!</v>
      </c>
      <c r="DB22" t="s">
        <v>130</v>
      </c>
      <c r="DC22">
        <v>-0.11201226964592932</v>
      </c>
      <c r="DD22" t="e">
        <v>#VALUE!</v>
      </c>
      <c r="DE22" t="s">
        <v>130</v>
      </c>
      <c r="DF22">
        <v>-0.10375873398780823</v>
      </c>
      <c r="DG22" t="e">
        <v>#VALUE!</v>
      </c>
      <c r="DH22" t="s">
        <v>130</v>
      </c>
      <c r="DI22">
        <v>-9.4326121807098387E-2</v>
      </c>
      <c r="DJ22" t="e">
        <v>#VALUE!</v>
      </c>
      <c r="DK22" t="s">
        <v>130</v>
      </c>
      <c r="DL22">
        <v>-8.2535356581211083E-2</v>
      </c>
      <c r="DM22">
        <v>-495000000</v>
      </c>
      <c r="DN22">
        <v>-0.11790765225887298</v>
      </c>
      <c r="DO22">
        <v>2859543300</v>
      </c>
      <c r="DP22">
        <v>455965200</v>
      </c>
      <c r="DQ22">
        <v>1555</v>
      </c>
      <c r="DR22">
        <v>7.7754936685646148E-3</v>
      </c>
      <c r="DS22">
        <v>6.0941508088707685E-2</v>
      </c>
      <c r="DT22" s="13">
        <v>-0.57333333333333336</v>
      </c>
      <c r="DU22">
        <v>-2.081666666666667</v>
      </c>
      <c r="DV22">
        <v>-2.6550000000000002</v>
      </c>
      <c r="DW22">
        <v>-4.704301075268817</v>
      </c>
      <c r="DX22">
        <v>0.58497652582159598</v>
      </c>
      <c r="DY22">
        <v>-4.2711393810894034</v>
      </c>
      <c r="DZ22">
        <v>4770</v>
      </c>
      <c r="EA22">
        <v>-4.0180405850431304</v>
      </c>
      <c r="EB22">
        <v>4</v>
      </c>
      <c r="EC22">
        <v>0.49772859733647218</v>
      </c>
      <c r="ED22">
        <v>1.2928803808862022</v>
      </c>
      <c r="EE22" s="14">
        <v>-4.0077999999999996</v>
      </c>
      <c r="EF22">
        <v>-4.0761000000000003</v>
      </c>
      <c r="EG22">
        <v>20.384976525821596</v>
      </c>
      <c r="EH22" t="s">
        <v>1444</v>
      </c>
      <c r="EI22">
        <v>0</v>
      </c>
      <c r="EJ22">
        <v>0</v>
      </c>
      <c r="EK22" s="10">
        <v>45470</v>
      </c>
      <c r="EL22" s="15">
        <v>0.28000000000000003</v>
      </c>
      <c r="EM22" s="15">
        <v>7</v>
      </c>
      <c r="EN22" s="15">
        <v>-1.05</v>
      </c>
      <c r="EO22" s="15">
        <v>20.11</v>
      </c>
      <c r="EP22" s="15">
        <v>6.83</v>
      </c>
    </row>
    <row r="23" spans="1:146" ht="108" x14ac:dyDescent="0.25">
      <c r="A23" s="7"/>
      <c r="B23" s="7"/>
      <c r="C23" s="16" t="str">
        <f>""&amp;CHAR(10)&amp;Basic_Fundamental_Information_Constructure(F23)&amp;CHAR(10)&amp;Basic_Fundamental_Information_Concatenate("")</f>
        <v xml:space="preserve">
市值28.672326亿, 利润1361.67万; PE491.3; 平均PE-36.98; 平均PEG-14.81, PB1.82; ROIC6.0567%; ROE6.6%; 股利率0%; 毛利6.1567%; 净利.88%; 上一年度营收增-9.65%, 利润增-86.78%; 当季营收增-21.77%, 利润增-37.08%; 过往5年营收增2.5%, 利润增13.42%
Income profile:
</v>
      </c>
      <c r="D23" t="s">
        <v>466</v>
      </c>
      <c r="E23" t="s">
        <v>467</v>
      </c>
      <c r="F23">
        <v>3.78</v>
      </c>
      <c r="G23">
        <v>1.89</v>
      </c>
      <c r="H23" t="s">
        <v>1883</v>
      </c>
      <c r="I23">
        <v>2867232600</v>
      </c>
      <c r="J23">
        <v>491.3</v>
      </c>
      <c r="K23">
        <v>1.82</v>
      </c>
      <c r="L23" t="s">
        <v>1467</v>
      </c>
      <c r="M23" t="s">
        <v>1884</v>
      </c>
      <c r="N23" t="s">
        <v>751</v>
      </c>
      <c r="O23" t="s">
        <v>1372</v>
      </c>
      <c r="P23">
        <v>-21.8</v>
      </c>
      <c r="Q23" t="s">
        <v>1885</v>
      </c>
      <c r="R23">
        <v>13204417</v>
      </c>
      <c r="S23" s="5">
        <v>-0.37080000000000002</v>
      </c>
      <c r="T23" t="s">
        <v>1886</v>
      </c>
      <c r="U23">
        <v>625249280</v>
      </c>
      <c r="V23">
        <v>758527150</v>
      </c>
      <c r="W23">
        <v>1.81</v>
      </c>
      <c r="X23">
        <v>0.63</v>
      </c>
      <c r="Y23">
        <v>0.89</v>
      </c>
      <c r="Z23" t="s">
        <v>1887</v>
      </c>
      <c r="AA23" t="s">
        <v>1888</v>
      </c>
      <c r="AB23" t="s">
        <v>1889</v>
      </c>
      <c r="AC23" t="s">
        <v>1890</v>
      </c>
      <c r="AD23" t="s">
        <v>5</v>
      </c>
      <c r="AE23">
        <v>5703609</v>
      </c>
      <c r="AF23" t="s">
        <v>1891</v>
      </c>
      <c r="AG23" t="s">
        <v>1892</v>
      </c>
      <c r="AH23" t="s">
        <v>1893</v>
      </c>
      <c r="AI23" t="s">
        <v>1224</v>
      </c>
      <c r="AJ23" t="s">
        <v>1894</v>
      </c>
      <c r="AK23" t="s">
        <v>1895</v>
      </c>
      <c r="AL23" t="s">
        <v>1896</v>
      </c>
      <c r="AM23" t="s">
        <v>5</v>
      </c>
      <c r="AN23" t="s">
        <v>23</v>
      </c>
      <c r="AO23" t="s">
        <v>361</v>
      </c>
      <c r="AP23" t="s">
        <v>5</v>
      </c>
      <c r="AQ23" t="s">
        <v>1897</v>
      </c>
      <c r="AR23" t="s">
        <v>1898</v>
      </c>
      <c r="AS23" t="s">
        <v>1260</v>
      </c>
      <c r="AT23" t="s">
        <v>520</v>
      </c>
      <c r="AU23" t="s">
        <v>1899</v>
      </c>
      <c r="AV23" t="s">
        <v>1900</v>
      </c>
      <c r="AW23" t="s">
        <v>1901</v>
      </c>
      <c r="AX23" t="s">
        <v>1080</v>
      </c>
      <c r="AY23" t="s">
        <v>468</v>
      </c>
      <c r="AZ23" t="s">
        <v>469</v>
      </c>
      <c r="BA23" t="s">
        <v>470</v>
      </c>
      <c r="BB23" t="s">
        <v>471</v>
      </c>
      <c r="BC23" t="s">
        <v>125</v>
      </c>
      <c r="BD23" t="s">
        <v>186</v>
      </c>
      <c r="BE23" t="s">
        <v>333</v>
      </c>
      <c r="BF23" t="s">
        <v>472</v>
      </c>
      <c r="BG23" t="s">
        <v>473</v>
      </c>
      <c r="BH23" t="s">
        <v>1885</v>
      </c>
      <c r="BI23" t="s">
        <v>405</v>
      </c>
      <c r="BJ23" t="s">
        <v>1080</v>
      </c>
      <c r="BK23" t="s">
        <v>1886</v>
      </c>
      <c r="BL23" t="s">
        <v>1902</v>
      </c>
      <c r="BM23" t="s">
        <v>125</v>
      </c>
      <c r="BN23">
        <v>3.01</v>
      </c>
      <c r="BO23">
        <v>6.18</v>
      </c>
      <c r="BP23">
        <v>8.98</v>
      </c>
      <c r="BQ23">
        <v>3.3</v>
      </c>
      <c r="BR23">
        <v>7</v>
      </c>
      <c r="BS23">
        <v>9.5</v>
      </c>
      <c r="BT23" t="s">
        <v>1017</v>
      </c>
      <c r="BU23" t="s">
        <v>107</v>
      </c>
      <c r="BV23">
        <v>5.97</v>
      </c>
      <c r="BW23">
        <v>5.82</v>
      </c>
      <c r="BX23">
        <v>6.68</v>
      </c>
      <c r="BY23">
        <v>0.2</v>
      </c>
      <c r="BZ23">
        <v>1.1499999999999999</v>
      </c>
      <c r="CA23">
        <v>1.29</v>
      </c>
      <c r="CB23">
        <v>-0.79</v>
      </c>
      <c r="CC23">
        <v>-13.9</v>
      </c>
      <c r="CD23" t="s">
        <v>1903</v>
      </c>
      <c r="CE23" t="s">
        <v>884</v>
      </c>
      <c r="CF23" s="11">
        <v>-0.21771834517342248</v>
      </c>
      <c r="CG23" s="12">
        <v>-0.37077178569556507</v>
      </c>
      <c r="CH23" s="11">
        <v>-9.6543222665786743E-2</v>
      </c>
      <c r="CI23" s="11">
        <v>-9.4812951982021332E-2</v>
      </c>
      <c r="CJ23" s="11">
        <v>-3.0913767404854298E-3</v>
      </c>
      <c r="CK23" s="11">
        <v>0.23068946599960327</v>
      </c>
      <c r="CL23" s="11">
        <v>8.86043980717659E-2</v>
      </c>
      <c r="CM23" s="12">
        <v>-0.86779898405075073</v>
      </c>
      <c r="CN23" s="12">
        <v>-0.17599999904632568</v>
      </c>
      <c r="CO23" s="12">
        <v>1.6260161995887756E-2</v>
      </c>
      <c r="CP23" s="12">
        <v>0.61446559429168701</v>
      </c>
      <c r="CQ23" s="12">
        <v>1.0840907096862793</v>
      </c>
      <c r="CR23">
        <v>-36.980874558332374</v>
      </c>
      <c r="CS23">
        <v>-14.810559384404451</v>
      </c>
      <c r="CT23">
        <v>0</v>
      </c>
      <c r="CU23" s="11">
        <v>2.4969262536615133E-2</v>
      </c>
      <c r="CV23" s="12">
        <v>0.13420349657535552</v>
      </c>
      <c r="CW23">
        <v>0.06</v>
      </c>
      <c r="CX23">
        <v>186.92862574480176</v>
      </c>
      <c r="CY23">
        <v>13166697.129417289</v>
      </c>
      <c r="CZ23">
        <v>2.4969262536615133E-2</v>
      </c>
      <c r="DA23">
        <v>64.570278577389701</v>
      </c>
      <c r="DB23">
        <v>38117112.922939122</v>
      </c>
      <c r="DC23">
        <v>2.3720799409784374E-2</v>
      </c>
      <c r="DD23">
        <v>34.167811934957491</v>
      </c>
      <c r="DE23">
        <v>72033661.525802419</v>
      </c>
      <c r="DF23">
        <v>2.1972951032221317E-2</v>
      </c>
      <c r="DG23">
        <v>22.200814988637369</v>
      </c>
      <c r="DH23">
        <v>110862263.44662063</v>
      </c>
      <c r="DI23">
        <v>1.9975410029292109E-2</v>
      </c>
      <c r="DJ23">
        <v>13.511765281059212</v>
      </c>
      <c r="DK23">
        <v>182154777.61815143</v>
      </c>
      <c r="DL23">
        <v>1.7478483775630591E-2</v>
      </c>
      <c r="DM23">
        <v>13616700</v>
      </c>
      <c r="DN23">
        <v>2.4969262536615133E-2</v>
      </c>
      <c r="DO23">
        <v>2461232600</v>
      </c>
      <c r="DP23">
        <v>1361272500</v>
      </c>
      <c r="DQ23">
        <v>1557</v>
      </c>
      <c r="DR23">
        <v>-0.24268760771003761</v>
      </c>
      <c r="DS23">
        <v>-0.50497528227092059</v>
      </c>
      <c r="DT23" s="13">
        <v>-0.32333333333333336</v>
      </c>
      <c r="DU23">
        <v>-0.27000000000000007</v>
      </c>
      <c r="DV23">
        <v>-0.59333333333333349</v>
      </c>
      <c r="DW23">
        <v>-2.1390000000000002</v>
      </c>
      <c r="DX23">
        <v>0.4141331436699866</v>
      </c>
      <c r="DY23">
        <v>-2.017254506970128</v>
      </c>
      <c r="DZ23">
        <v>3035</v>
      </c>
      <c r="EA23">
        <v>-2.0070064778792593</v>
      </c>
      <c r="EB23">
        <v>2</v>
      </c>
      <c r="EC23">
        <v>0.11504611271989407</v>
      </c>
      <c r="ED23">
        <v>0.92679609424659359</v>
      </c>
      <c r="EE23" s="14">
        <v>-2.0512100000000002</v>
      </c>
      <c r="EF23">
        <v>-2.0742099999999999</v>
      </c>
      <c r="EG23">
        <v>29.124133143669987</v>
      </c>
      <c r="EH23" t="s">
        <v>1240</v>
      </c>
      <c r="EI23">
        <v>0</v>
      </c>
      <c r="EJ23">
        <v>0</v>
      </c>
      <c r="EK23" s="10">
        <v>45470</v>
      </c>
      <c r="EL23" s="15">
        <v>0</v>
      </c>
      <c r="EM23" s="15">
        <v>-4.29</v>
      </c>
      <c r="EN23" s="15">
        <v>-3.69</v>
      </c>
      <c r="EO23" s="15">
        <v>7.12</v>
      </c>
      <c r="EP23" s="15">
        <v>-2.2999999999999998</v>
      </c>
    </row>
    <row r="24" spans="1:146" ht="108" x14ac:dyDescent="0.25">
      <c r="A24" s="7"/>
      <c r="B24" s="7"/>
      <c r="C24" s="16" t="str">
        <f>""&amp;CHAR(10)&amp;Basic_Fundamental_Information_Constructure(F24)&amp;CHAR(10)&amp;Basic_Fundamental_Information_Concatenate("")</f>
        <v xml:space="preserve">
市值22.265728亿, 利润-2145.29万; PE736.3; 平均PE-12.16; 平均PEG-1.14, PB8.48; ROIC169.625%; ROE39.8867%; 股利率0%; 毛利27.43%; 净利7.2667%; 上一年度营收增13.67%, 利润增-173.41%; 当季营收增52.52%, 利润增94.04%; 过往5年营收增-10.67%, 利润增-1017.82%
Income profile:
</v>
      </c>
      <c r="D24" t="s">
        <v>474</v>
      </c>
      <c r="E24" t="s">
        <v>475</v>
      </c>
      <c r="F24">
        <v>2.31</v>
      </c>
      <c r="G24">
        <v>17.260000000000002</v>
      </c>
      <c r="H24" t="s">
        <v>1904</v>
      </c>
      <c r="I24">
        <v>2226572800</v>
      </c>
      <c r="J24">
        <v>736.3</v>
      </c>
      <c r="K24">
        <v>8.48</v>
      </c>
      <c r="L24" t="s">
        <v>1467</v>
      </c>
      <c r="M24" t="s">
        <v>1254</v>
      </c>
      <c r="N24" t="s">
        <v>1375</v>
      </c>
      <c r="O24" t="s">
        <v>215</v>
      </c>
      <c r="P24">
        <v>52.79</v>
      </c>
      <c r="Q24" t="s">
        <v>372</v>
      </c>
      <c r="R24">
        <v>-1552491</v>
      </c>
      <c r="S24" s="5">
        <v>0.94040000000000001</v>
      </c>
      <c r="T24" t="s">
        <v>1905</v>
      </c>
      <c r="U24">
        <v>927524560</v>
      </c>
      <c r="V24">
        <v>963884340</v>
      </c>
      <c r="W24">
        <v>5.35</v>
      </c>
      <c r="X24">
        <v>0.28000000000000003</v>
      </c>
      <c r="Y24">
        <v>-1.3</v>
      </c>
      <c r="Z24" t="s">
        <v>399</v>
      </c>
      <c r="AA24" t="s">
        <v>431</v>
      </c>
      <c r="AB24" t="s">
        <v>1906</v>
      </c>
      <c r="AC24" t="s">
        <v>1907</v>
      </c>
      <c r="AD24" t="s">
        <v>5</v>
      </c>
      <c r="AE24">
        <v>1739818</v>
      </c>
      <c r="AF24" t="s">
        <v>308</v>
      </c>
      <c r="AG24" t="s">
        <v>1908</v>
      </c>
      <c r="AH24" t="s">
        <v>1909</v>
      </c>
      <c r="AI24" t="s">
        <v>1910</v>
      </c>
      <c r="AJ24" t="s">
        <v>1911</v>
      </c>
      <c r="AK24" t="s">
        <v>5</v>
      </c>
      <c r="AL24" t="s">
        <v>1912</v>
      </c>
      <c r="AM24" t="s">
        <v>5</v>
      </c>
      <c r="AN24">
        <v>0</v>
      </c>
      <c r="AO24" t="s">
        <v>1913</v>
      </c>
      <c r="AP24" t="s">
        <v>5</v>
      </c>
      <c r="AQ24" t="s">
        <v>1914</v>
      </c>
      <c r="AR24" t="s">
        <v>5</v>
      </c>
      <c r="AS24" t="s">
        <v>1915</v>
      </c>
      <c r="AT24" t="s">
        <v>1916</v>
      </c>
      <c r="AU24" t="s">
        <v>1917</v>
      </c>
      <c r="AV24" t="s">
        <v>1918</v>
      </c>
      <c r="AW24" t="s">
        <v>1919</v>
      </c>
      <c r="AX24" t="s">
        <v>1082</v>
      </c>
      <c r="AY24" t="s">
        <v>476</v>
      </c>
      <c r="AZ24" t="s">
        <v>307</v>
      </c>
      <c r="BA24" t="s">
        <v>478</v>
      </c>
      <c r="BB24" t="s">
        <v>479</v>
      </c>
      <c r="BC24" t="s">
        <v>1920</v>
      </c>
      <c r="BD24" t="s">
        <v>433</v>
      </c>
      <c r="BE24" t="s">
        <v>480</v>
      </c>
      <c r="BF24" t="s">
        <v>481</v>
      </c>
      <c r="BG24" t="s">
        <v>482</v>
      </c>
      <c r="BH24" t="s">
        <v>372</v>
      </c>
      <c r="BI24" t="s">
        <v>432</v>
      </c>
      <c r="BJ24" t="s">
        <v>1082</v>
      </c>
      <c r="BK24" t="s">
        <v>1905</v>
      </c>
      <c r="BL24" t="s">
        <v>1921</v>
      </c>
      <c r="BM24" t="s">
        <v>1920</v>
      </c>
      <c r="BN24" t="s">
        <v>5</v>
      </c>
      <c r="BO24">
        <v>23.69</v>
      </c>
      <c r="BP24">
        <v>315.56</v>
      </c>
      <c r="BQ24">
        <v>-7.07</v>
      </c>
      <c r="BR24">
        <v>28.49</v>
      </c>
      <c r="BS24">
        <v>98.24</v>
      </c>
      <c r="BT24" t="s">
        <v>1017</v>
      </c>
      <c r="BU24" t="s">
        <v>107</v>
      </c>
      <c r="BV24">
        <v>21.34</v>
      </c>
      <c r="BW24">
        <v>28.59</v>
      </c>
      <c r="BX24">
        <v>32.36</v>
      </c>
      <c r="BY24">
        <v>-2.4500000000000002</v>
      </c>
      <c r="BZ24">
        <v>2.15</v>
      </c>
      <c r="CA24">
        <v>22.1</v>
      </c>
      <c r="CB24">
        <v>11.59</v>
      </c>
      <c r="CC24">
        <v>-9.77</v>
      </c>
      <c r="CD24" t="s">
        <v>19</v>
      </c>
      <c r="CE24" t="s">
        <v>1922</v>
      </c>
      <c r="CF24" s="11">
        <v>0.52521008403361347</v>
      </c>
      <c r="CG24" s="12">
        <v>0.94035602186766454</v>
      </c>
      <c r="CH24" s="11">
        <v>0.13673806190490723</v>
      </c>
      <c r="CI24" s="11">
        <v>0.17294685542583466</v>
      </c>
      <c r="CJ24" s="11">
        <v>6.7010305821895599E-2</v>
      </c>
      <c r="CK24" s="11">
        <v>-0.56888884305953979</v>
      </c>
      <c r="CL24" s="11">
        <v>-0.34133493900299072</v>
      </c>
      <c r="CM24" s="12">
        <v>-1.734067440032959</v>
      </c>
      <c r="CN24" s="12">
        <v>-0.87293606996536255</v>
      </c>
      <c r="CO24" s="12">
        <v>1.3972365856170654</v>
      </c>
      <c r="CP24" s="12">
        <v>-50.696159362792969</v>
      </c>
      <c r="CQ24" s="12">
        <v>1.0151505470275879</v>
      </c>
      <c r="CR24">
        <v>-12.160669607803692</v>
      </c>
      <c r="CS24">
        <v>-1.1396456107851476</v>
      </c>
      <c r="CT24">
        <v>0</v>
      </c>
      <c r="CU24" s="11">
        <v>-0.1067057117819786</v>
      </c>
      <c r="CV24" s="12">
        <v>-10.178155148029328</v>
      </c>
      <c r="CW24">
        <v>0.06</v>
      </c>
      <c r="CX24" t="e">
        <v>#VALUE!</v>
      </c>
      <c r="CY24" t="s">
        <v>129</v>
      </c>
      <c r="CZ24">
        <v>-0.1067057117819786</v>
      </c>
      <c r="DA24" t="e">
        <v>#VALUE!</v>
      </c>
      <c r="DB24" t="s">
        <v>130</v>
      </c>
      <c r="DC24">
        <v>-0.10137042619287967</v>
      </c>
      <c r="DD24" t="e">
        <v>#VALUE!</v>
      </c>
      <c r="DE24" t="s">
        <v>130</v>
      </c>
      <c r="DF24">
        <v>-9.3901026368141169E-2</v>
      </c>
      <c r="DG24" t="e">
        <v>#VALUE!</v>
      </c>
      <c r="DH24" t="s">
        <v>130</v>
      </c>
      <c r="DI24">
        <v>-8.536456942558289E-2</v>
      </c>
      <c r="DJ24" t="e">
        <v>#VALUE!</v>
      </c>
      <c r="DK24" t="s">
        <v>130</v>
      </c>
      <c r="DL24">
        <v>-7.4693998247385013E-2</v>
      </c>
      <c r="DM24">
        <v>-21452900</v>
      </c>
      <c r="DN24">
        <v>-0.1067057117819786</v>
      </c>
      <c r="DO24">
        <v>3004572800</v>
      </c>
      <c r="DP24">
        <v>264619570</v>
      </c>
      <c r="DQ24">
        <v>1564</v>
      </c>
      <c r="DR24">
        <v>0.6319157958155921</v>
      </c>
      <c r="DS24">
        <v>11.118511169896992</v>
      </c>
      <c r="DT24" s="13">
        <v>-0.50666666666666671</v>
      </c>
      <c r="DU24">
        <v>-2.1316666666666668</v>
      </c>
      <c r="DV24">
        <v>-2.6383333333333336</v>
      </c>
      <c r="DW24">
        <v>5.8429680759275238</v>
      </c>
      <c r="DX24">
        <v>1.5418825561312559</v>
      </c>
      <c r="DY24">
        <v>5.246047676738776</v>
      </c>
      <c r="DZ24">
        <v>4763</v>
      </c>
      <c r="EA24">
        <v>5.0167081299077019</v>
      </c>
      <c r="EB24">
        <v>5</v>
      </c>
      <c r="EC24">
        <v>0.17533223955064983</v>
      </c>
      <c r="ED24">
        <v>0.60069447751376481</v>
      </c>
      <c r="EE24" s="14">
        <v>-1.0632999999999999</v>
      </c>
      <c r="EF24">
        <v>-1.0730999999999999</v>
      </c>
      <c r="EG24">
        <v>125.29188255613126</v>
      </c>
      <c r="EH24" t="s">
        <v>349</v>
      </c>
      <c r="EI24">
        <v>1</v>
      </c>
      <c r="EJ24">
        <v>0</v>
      </c>
      <c r="EK24" s="10">
        <v>45470</v>
      </c>
      <c r="EL24" s="15">
        <v>-3.74</v>
      </c>
      <c r="EM24" s="15">
        <v>-3.88</v>
      </c>
      <c r="EN24" s="15">
        <v>-3.03</v>
      </c>
      <c r="EO24" s="15">
        <v>6.77</v>
      </c>
      <c r="EP24" s="15">
        <v>0.98</v>
      </c>
    </row>
    <row r="25" spans="1:146" ht="108" x14ac:dyDescent="0.25">
      <c r="A25" s="7"/>
      <c r="B25" s="7"/>
      <c r="C25" s="16" t="str">
        <f>""&amp;CHAR(10)&amp;Basic_Fundamental_Information_Constructure(F25)&amp;CHAR(10)&amp;Basic_Fundamental_Information_Concatenate("")</f>
        <v xml:space="preserve">
市值13.0083821亿, 利润-9554.37万; PE; 平均PE-4.14; 平均PEG-.18, PB3.36; ROIC0%; ROE-14.34%; 股利率0%; 毛利7.1%; 净利-7.8533%; 上一年度营收增-66.8%, 利润增-679.41%; 当季营收增-14.67%, 利润增36.45%; 过往5年营收增-22.71%, 利润增-971.2%
Income profile:
</v>
      </c>
      <c r="D25" t="s">
        <v>495</v>
      </c>
      <c r="E25" t="s">
        <v>496</v>
      </c>
      <c r="F25">
        <v>2.0499999999999998</v>
      </c>
      <c r="G25">
        <v>19.88</v>
      </c>
      <c r="H25" t="s">
        <v>1923</v>
      </c>
      <c r="I25">
        <v>1300838210</v>
      </c>
      <c r="K25">
        <v>3.36</v>
      </c>
      <c r="L25" t="s">
        <v>1467</v>
      </c>
      <c r="M25" t="s">
        <v>386</v>
      </c>
      <c r="N25" t="s">
        <v>1395</v>
      </c>
      <c r="O25" t="s">
        <v>147</v>
      </c>
      <c r="P25">
        <v>-14.52</v>
      </c>
      <c r="Q25" t="s">
        <v>489</v>
      </c>
      <c r="R25">
        <v>-15555421</v>
      </c>
      <c r="S25" s="5">
        <v>0.36449999999999999</v>
      </c>
      <c r="T25" t="s">
        <v>1924</v>
      </c>
      <c r="U25">
        <v>629576620</v>
      </c>
      <c r="V25">
        <v>634555220</v>
      </c>
      <c r="W25">
        <v>1.59</v>
      </c>
      <c r="X25">
        <v>0.28999999999999998</v>
      </c>
      <c r="Y25">
        <v>-13.75</v>
      </c>
      <c r="Z25" t="s">
        <v>363</v>
      </c>
      <c r="AA25" t="s">
        <v>92</v>
      </c>
      <c r="AB25" t="s">
        <v>1925</v>
      </c>
      <c r="AC25" t="s">
        <v>1926</v>
      </c>
      <c r="AD25" t="s">
        <v>5</v>
      </c>
      <c r="AE25">
        <v>-597649</v>
      </c>
      <c r="AF25" t="s">
        <v>1927</v>
      </c>
      <c r="AG25" t="s">
        <v>1928</v>
      </c>
      <c r="AH25" t="s">
        <v>1929</v>
      </c>
      <c r="AI25" t="s">
        <v>207</v>
      </c>
      <c r="AJ25" t="s">
        <v>1930</v>
      </c>
      <c r="AK25" t="s">
        <v>5</v>
      </c>
      <c r="AL25" t="s">
        <v>1931</v>
      </c>
      <c r="AM25" t="s">
        <v>5</v>
      </c>
      <c r="AN25">
        <v>0</v>
      </c>
      <c r="AO25" t="s">
        <v>5</v>
      </c>
      <c r="AP25" t="s">
        <v>5</v>
      </c>
      <c r="AQ25" t="s">
        <v>1932</v>
      </c>
      <c r="AR25" t="s">
        <v>1933</v>
      </c>
      <c r="AS25" t="s">
        <v>554</v>
      </c>
      <c r="AT25" t="s">
        <v>5</v>
      </c>
      <c r="AU25" t="s">
        <v>1934</v>
      </c>
      <c r="AV25" t="s">
        <v>1935</v>
      </c>
      <c r="AW25" t="s">
        <v>1936</v>
      </c>
      <c r="AX25" t="s">
        <v>1013</v>
      </c>
      <c r="AY25" t="s">
        <v>497</v>
      </c>
      <c r="AZ25" t="s">
        <v>499</v>
      </c>
      <c r="BA25" t="s">
        <v>500</v>
      </c>
      <c r="BB25" t="s">
        <v>501</v>
      </c>
      <c r="BC25" t="s">
        <v>1937</v>
      </c>
      <c r="BD25" t="s">
        <v>498</v>
      </c>
      <c r="BE25" t="s">
        <v>502</v>
      </c>
      <c r="BF25" t="s">
        <v>503</v>
      </c>
      <c r="BG25" t="s">
        <v>504</v>
      </c>
      <c r="BH25" t="s">
        <v>489</v>
      </c>
      <c r="BI25" t="s">
        <v>309</v>
      </c>
      <c r="BJ25" t="s">
        <v>1013</v>
      </c>
      <c r="BK25" t="s">
        <v>1924</v>
      </c>
      <c r="BL25" t="s">
        <v>1938</v>
      </c>
      <c r="BM25" t="s">
        <v>1937</v>
      </c>
      <c r="BN25" t="s">
        <v>5</v>
      </c>
      <c r="BO25" t="s">
        <v>5</v>
      </c>
      <c r="BP25" t="s">
        <v>5</v>
      </c>
      <c r="BQ25">
        <v>-13.35</v>
      </c>
      <c r="BR25">
        <v>3.38</v>
      </c>
      <c r="BS25">
        <v>-33.049999999999997</v>
      </c>
      <c r="BT25" t="s">
        <v>1017</v>
      </c>
      <c r="BU25" t="s">
        <v>107</v>
      </c>
      <c r="BV25">
        <v>10.33</v>
      </c>
      <c r="BW25">
        <v>8.1199999999999992</v>
      </c>
      <c r="BX25">
        <v>2.85</v>
      </c>
      <c r="BY25">
        <v>-19.850000000000001</v>
      </c>
      <c r="BZ25">
        <v>-0.42</v>
      </c>
      <c r="CA25">
        <v>-3.29</v>
      </c>
      <c r="CB25">
        <v>22.75</v>
      </c>
      <c r="CC25">
        <v>-5.53</v>
      </c>
      <c r="CD25" t="s">
        <v>207</v>
      </c>
      <c r="CE25" t="s">
        <v>1359</v>
      </c>
      <c r="CF25" s="11">
        <v>-0.14673913043478262</v>
      </c>
      <c r="CG25" s="12">
        <v>0.36446228958980226</v>
      </c>
      <c r="CH25" s="11">
        <v>-0.66798585653305054</v>
      </c>
      <c r="CI25" s="11">
        <v>-0.65170776844024658</v>
      </c>
      <c r="CJ25" s="11">
        <v>-6.6885843873023987E-2</v>
      </c>
      <c r="CK25" s="11">
        <v>0.26550918817520142</v>
      </c>
      <c r="CL25" s="11">
        <v>-1.4438491314649582E-2</v>
      </c>
      <c r="CM25" s="12">
        <v>-6.7940740585327148</v>
      </c>
      <c r="CN25" s="12">
        <v>1.0849995613098145</v>
      </c>
      <c r="CO25" s="12">
        <v>0.47282609343528748</v>
      </c>
      <c r="CP25" s="12">
        <v>-44.330310821533203</v>
      </c>
      <c r="CQ25" s="12">
        <v>1.006788969039917</v>
      </c>
      <c r="CR25">
        <v>-4.1437626253549853</v>
      </c>
      <c r="CS25">
        <v>-0.18246281876398032</v>
      </c>
      <c r="CT25">
        <v>0</v>
      </c>
      <c r="CU25" s="11">
        <v>-0.22710175439715385</v>
      </c>
      <c r="CV25" s="12">
        <v>-9.7119540512561802</v>
      </c>
      <c r="CW25">
        <v>0.06</v>
      </c>
      <c r="CX25" t="e">
        <v>#VALUE!</v>
      </c>
      <c r="CY25" t="s">
        <v>129</v>
      </c>
      <c r="CZ25">
        <v>-0.22710175439715385</v>
      </c>
      <c r="DA25" t="e">
        <v>#VALUE!</v>
      </c>
      <c r="DB25" t="s">
        <v>130</v>
      </c>
      <c r="DC25">
        <v>-0.21574666667729614</v>
      </c>
      <c r="DD25" t="e">
        <v>#VALUE!</v>
      </c>
      <c r="DE25" t="s">
        <v>130</v>
      </c>
      <c r="DF25">
        <v>-0.19984954386949538</v>
      </c>
      <c r="DG25" t="e">
        <v>#VALUE!</v>
      </c>
      <c r="DH25" t="s">
        <v>130</v>
      </c>
      <c r="DI25">
        <v>-0.18168140351772311</v>
      </c>
      <c r="DJ25" t="e">
        <v>#VALUE!</v>
      </c>
      <c r="DK25" t="s">
        <v>130</v>
      </c>
      <c r="DL25">
        <v>-0.15897122807800768</v>
      </c>
      <c r="DM25">
        <v>-95543700.000000015</v>
      </c>
      <c r="DN25">
        <v>-0.22710175439715385</v>
      </c>
      <c r="DO25">
        <v>1193838210</v>
      </c>
      <c r="DP25">
        <v>252954520</v>
      </c>
      <c r="DQ25">
        <v>1727</v>
      </c>
      <c r="DR25">
        <v>8.0362623962371232E-2</v>
      </c>
      <c r="DS25">
        <v>10.076416340845983</v>
      </c>
      <c r="DT25" s="13">
        <v>-0.95666666666666667</v>
      </c>
      <c r="DU25">
        <v>-2.081666666666667</v>
      </c>
      <c r="DV25">
        <v>-3.0383333333333336</v>
      </c>
      <c r="DW25">
        <v>5.2430769230769227</v>
      </c>
      <c r="DX25">
        <v>0.72809523809524079</v>
      </c>
      <c r="DY25">
        <v>5.0578754578754577</v>
      </c>
      <c r="DZ25">
        <v>4920</v>
      </c>
      <c r="EA25">
        <v>5.0021519250482065</v>
      </c>
      <c r="EB25">
        <v>5</v>
      </c>
      <c r="EC25">
        <v>0.28366325628839678</v>
      </c>
      <c r="ED25">
        <v>1.1913856764112665</v>
      </c>
      <c r="EE25" s="14">
        <v>-2.0649999999999999</v>
      </c>
      <c r="EF25">
        <v>-2.0708000000000002</v>
      </c>
      <c r="EG25">
        <v>49.238095238095241</v>
      </c>
      <c r="EH25" t="s">
        <v>1443</v>
      </c>
      <c r="EI25">
        <v>1</v>
      </c>
      <c r="EJ25">
        <v>0</v>
      </c>
      <c r="EK25" s="10">
        <v>45470</v>
      </c>
      <c r="EL25" s="15">
        <v>-2.2999999999999998</v>
      </c>
      <c r="EM25" s="15">
        <v>-3.53</v>
      </c>
      <c r="EN25" s="15">
        <v>0</v>
      </c>
      <c r="EO25" s="15">
        <v>4.2699999999999996</v>
      </c>
      <c r="EP25" s="15">
        <v>0.57999999999999996</v>
      </c>
    </row>
    <row r="26" spans="1:146" ht="228" x14ac:dyDescent="0.25">
      <c r="A26" s="16" t="s">
        <v>1026</v>
      </c>
      <c r="B26" s="16" t="s">
        <v>983</v>
      </c>
      <c r="C26" s="16" t="str">
        <f>"亿家晶视以高端楼宇媒体为基础，里安传媒通过收购Clockwork及其旗下河马游戏，资产提升公司互联网广告及内容变现业务的盈利效率;进入休闲游戏研发和发行市场；"&amp;CHAR(10)&amp;Basic_Fundamental_Information_Constructure(F26)&amp;CHAR(10)&amp;Basic_Fundamental_Information_Concatenate("互联网广告行业 11.02亿 77.83%（毛利27.96%）楼宇广告行业 1.97亿 13.89%（毛利58.71%）机械制造业 1.15亿 8.09%;
在上述互联网广告里，继续细分如下利基：游戏类广告 666,095,925.01 60.45% （增速728.96%）电商类广告 212,665,861.91 19.30%（增速351.53%）应用类 174,540,272.16 15.84%（增速401.33%）其他 48,593,598.50 4.41%（增速267.75%）")</f>
        <v>亿家晶视以高端楼宇媒体为基础，里安传媒通过收购Clockwork及其旗下河马游戏，资产提升公司互联网广告及内容变现业务的盈利效率;进入休闲游戏研发和发行市场；
市值22.413692亿, 利润-12.10亿; PE; 平均PE-76.19; 平均PEG-2.71, PB1.82; ROIC9.61%; ROE10.22%; 股利率0%; 毛利19.32%; 净利-8.8467%; 上一年度营收增25.32%, 利润增-791.43%; 当季营收增-23.55%, 利润增-33.68%; 过往5年营收增28.16%, 利润增-127.71%
Income profile:
互联网广告行业 11.02亿 77.83%（毛利27.96%）楼宇广告行业 1.97亿 13.89%（毛利58.71%）机械制造业 1.15亿 8.09%;
在上述互联网广告里，继续细分如下利基：游戏类广告 666,095,925.01 60.45% （增速728.96%）电商类广告 212,665,861.91 19.30%（增速351.53%）应用类 174,540,272.16 15.84%（增速401.33%）其他 48,593,598.50 4.41%（增速267.75%）</v>
      </c>
      <c r="D26" t="s">
        <v>511</v>
      </c>
      <c r="E26" t="s">
        <v>512</v>
      </c>
      <c r="F26">
        <v>13.83</v>
      </c>
      <c r="G26">
        <v>2.0699999999999998</v>
      </c>
      <c r="H26" t="s">
        <v>1939</v>
      </c>
      <c r="I26">
        <v>2241369200</v>
      </c>
      <c r="K26">
        <v>1.82</v>
      </c>
      <c r="L26" t="s">
        <v>1467</v>
      </c>
      <c r="M26" t="s">
        <v>1940</v>
      </c>
      <c r="N26" t="s">
        <v>460</v>
      </c>
      <c r="O26" t="s">
        <v>547</v>
      </c>
      <c r="P26">
        <v>-23.43</v>
      </c>
      <c r="Q26" t="s">
        <v>1941</v>
      </c>
      <c r="R26">
        <v>42014430</v>
      </c>
      <c r="S26" s="5">
        <v>-0.33679999999999999</v>
      </c>
      <c r="T26" t="s">
        <v>1942</v>
      </c>
      <c r="U26">
        <v>160474170</v>
      </c>
      <c r="V26">
        <v>162065740</v>
      </c>
      <c r="W26">
        <v>2.37</v>
      </c>
      <c r="X26">
        <v>0.17</v>
      </c>
      <c r="Y26">
        <v>7.91</v>
      </c>
      <c r="Z26" t="s">
        <v>561</v>
      </c>
      <c r="AA26" t="s">
        <v>1363</v>
      </c>
      <c r="AB26" t="s">
        <v>1943</v>
      </c>
      <c r="AC26" t="s">
        <v>1944</v>
      </c>
      <c r="AD26" t="s">
        <v>5</v>
      </c>
      <c r="AE26">
        <v>3350626</v>
      </c>
      <c r="AF26" t="s">
        <v>1945</v>
      </c>
      <c r="AG26" t="s">
        <v>1946</v>
      </c>
      <c r="AH26" t="s">
        <v>1947</v>
      </c>
      <c r="AI26" t="s">
        <v>199</v>
      </c>
      <c r="AJ26" t="s">
        <v>1948</v>
      </c>
      <c r="AK26" t="s">
        <v>1949</v>
      </c>
      <c r="AL26" t="s">
        <v>1950</v>
      </c>
      <c r="AM26" t="s">
        <v>5</v>
      </c>
      <c r="AN26">
        <v>0</v>
      </c>
      <c r="AO26" t="s">
        <v>157</v>
      </c>
      <c r="AP26" t="s">
        <v>1951</v>
      </c>
      <c r="AQ26" t="s">
        <v>105</v>
      </c>
      <c r="AR26" t="s">
        <v>246</v>
      </c>
      <c r="AS26" t="s">
        <v>1392</v>
      </c>
      <c r="AT26" t="s">
        <v>5</v>
      </c>
      <c r="AU26" t="s">
        <v>1952</v>
      </c>
      <c r="AV26" t="s">
        <v>5</v>
      </c>
      <c r="AW26" t="s">
        <v>1953</v>
      </c>
      <c r="AX26" t="s">
        <v>1083</v>
      </c>
      <c r="AY26" t="s">
        <v>292</v>
      </c>
      <c r="AZ26" t="s">
        <v>513</v>
      </c>
      <c r="BA26" t="s">
        <v>514</v>
      </c>
      <c r="BB26" t="s">
        <v>515</v>
      </c>
      <c r="BC26" t="s">
        <v>415</v>
      </c>
      <c r="BD26" t="s">
        <v>191</v>
      </c>
      <c r="BE26" t="s">
        <v>517</v>
      </c>
      <c r="BF26" t="s">
        <v>19</v>
      </c>
      <c r="BG26" t="s">
        <v>518</v>
      </c>
      <c r="BH26" t="s">
        <v>1941</v>
      </c>
      <c r="BI26" t="s">
        <v>1954</v>
      </c>
      <c r="BJ26" t="s">
        <v>1083</v>
      </c>
      <c r="BK26" t="s">
        <v>1942</v>
      </c>
      <c r="BL26" t="s">
        <v>1955</v>
      </c>
      <c r="BM26" t="s">
        <v>415</v>
      </c>
      <c r="BN26">
        <v>7.31</v>
      </c>
      <c r="BO26">
        <v>7.05</v>
      </c>
      <c r="BP26">
        <v>14.47</v>
      </c>
      <c r="BQ26">
        <v>8</v>
      </c>
      <c r="BR26">
        <v>7.56</v>
      </c>
      <c r="BS26">
        <v>15.1</v>
      </c>
      <c r="BT26" t="s">
        <v>1017</v>
      </c>
      <c r="BU26" t="s">
        <v>107</v>
      </c>
      <c r="BV26">
        <v>2.72</v>
      </c>
      <c r="BW26">
        <v>21.09</v>
      </c>
      <c r="BX26">
        <v>34.15</v>
      </c>
      <c r="BY26">
        <v>-55.28</v>
      </c>
      <c r="BZ26">
        <v>9.98</v>
      </c>
      <c r="CA26">
        <v>18.760000000000002</v>
      </c>
      <c r="CB26">
        <v>-9.25</v>
      </c>
      <c r="CC26">
        <v>-30.36</v>
      </c>
      <c r="CD26" t="s">
        <v>488</v>
      </c>
      <c r="CE26" t="s">
        <v>354</v>
      </c>
      <c r="CF26" s="11">
        <v>-0.23554913294797689</v>
      </c>
      <c r="CG26" s="12">
        <v>-0.33682438511587381</v>
      </c>
      <c r="CH26" s="11">
        <v>0.25315004587173462</v>
      </c>
      <c r="CI26" s="11">
        <v>5.8181818574666977E-2</v>
      </c>
      <c r="CJ26" s="11">
        <v>0.16525423526763916</v>
      </c>
      <c r="CK26" s="11">
        <v>0.6445993185043335</v>
      </c>
      <c r="CL26" s="11">
        <v>0.286995530128479</v>
      </c>
      <c r="CM26" s="12">
        <v>-7.9142851829528809</v>
      </c>
      <c r="CN26" s="12">
        <v>-0.43548387289047241</v>
      </c>
      <c r="CO26" s="12">
        <v>2.9900332912802696E-2</v>
      </c>
      <c r="CP26" s="12">
        <v>0.78106510639190674</v>
      </c>
      <c r="CQ26" s="12">
        <v>1.1534174680709839</v>
      </c>
      <c r="CR26">
        <v>-76.185177778621238</v>
      </c>
      <c r="CS26">
        <v>-2.7050919083964144</v>
      </c>
      <c r="CT26">
        <v>0</v>
      </c>
      <c r="CU26" s="11">
        <v>0.28163618966937065</v>
      </c>
      <c r="CV26" s="12">
        <v>-1.277077229693532</v>
      </c>
      <c r="CW26">
        <v>0.06</v>
      </c>
      <c r="CX26" t="e">
        <v>#VALUE!</v>
      </c>
      <c r="CY26" t="s">
        <v>130</v>
      </c>
      <c r="CZ26">
        <v>0.28163618966937065</v>
      </c>
      <c r="DA26" t="e">
        <v>#VALUE!</v>
      </c>
      <c r="DB26" t="s">
        <v>130</v>
      </c>
      <c r="DC26">
        <v>0.26755438018590211</v>
      </c>
      <c r="DD26" t="e">
        <v>#VALUE!</v>
      </c>
      <c r="DE26" t="s">
        <v>130</v>
      </c>
      <c r="DF26">
        <v>0.24783984690904617</v>
      </c>
      <c r="DG26" t="e">
        <v>#VALUE!</v>
      </c>
      <c r="DH26" t="s">
        <v>130</v>
      </c>
      <c r="DI26">
        <v>0.22530895173549653</v>
      </c>
      <c r="DJ26" t="e">
        <v>#VALUE!</v>
      </c>
      <c r="DK26" t="s">
        <v>130</v>
      </c>
      <c r="DL26">
        <v>0.19714533276855944</v>
      </c>
      <c r="DM26">
        <v>-1210000000</v>
      </c>
      <c r="DN26">
        <v>0.28163618966937065</v>
      </c>
      <c r="DO26">
        <v>3197369200</v>
      </c>
      <c r="DP26">
        <v>450433200</v>
      </c>
      <c r="DQ26">
        <v>1764</v>
      </c>
      <c r="DR26">
        <v>-0.51718532261734751</v>
      </c>
      <c r="DS26">
        <v>0.94025284457765812</v>
      </c>
      <c r="DT26" s="13">
        <v>0.19333333333333327</v>
      </c>
      <c r="DU26">
        <v>-0.46666666666666673</v>
      </c>
      <c r="DV26">
        <v>-0.27333333333333343</v>
      </c>
      <c r="DW26">
        <v>-9.3046772068511192</v>
      </c>
      <c r="DX26">
        <v>0.39951219512195052</v>
      </c>
      <c r="DY26">
        <v>-9.0668803624795142</v>
      </c>
      <c r="DZ26">
        <v>2373</v>
      </c>
      <c r="EA26">
        <v>-9.0358222215472459</v>
      </c>
      <c r="EB26">
        <v>9</v>
      </c>
      <c r="EC26">
        <v>0.77746228166421849</v>
      </c>
      <c r="ED26">
        <v>3.5417726164703285</v>
      </c>
      <c r="EE26" s="14">
        <v>2.0103</v>
      </c>
      <c r="EF26">
        <v>3.0175999999999998</v>
      </c>
      <c r="EG26">
        <v>18.219512195121951</v>
      </c>
      <c r="EH26" t="s">
        <v>998</v>
      </c>
      <c r="EI26">
        <v>0</v>
      </c>
      <c r="EJ26">
        <v>0</v>
      </c>
      <c r="EK26" s="10">
        <v>45470</v>
      </c>
      <c r="EL26" s="15">
        <v>-2.76</v>
      </c>
      <c r="EM26" s="15">
        <v>-5.07</v>
      </c>
      <c r="EN26" s="15">
        <v>-2.35</v>
      </c>
      <c r="EO26" s="15">
        <v>9.0299999999999994</v>
      </c>
      <c r="EP26" s="15">
        <v>15.73</v>
      </c>
    </row>
    <row r="27" spans="1:146" ht="153.5" customHeight="1" x14ac:dyDescent="0.25">
      <c r="A27" s="7"/>
      <c r="B27" s="7"/>
      <c r="C27" s="7" t="str">
        <f>"公司是国内房地产家居网络营销服务领域的先行者之，公司的主要产品及服务有房地产网络营销服务、互联网金融及平台服务业务、研究咨询及其他。"&amp;CHAR(10)&amp;Basic_Fundamental_Information_Constructure(F27)&amp;CHAR(10)&amp;Basic_Fundamental_Information_Concatenate("房地产网络营销服务 5181.13万 55.09% 101.42% 92.81%
互联网金融服务 2873.89万 30.56%
其他业务 1032.48万 10.98% -1.42% -6.53%")</f>
        <v>公司是国内房地产家居网络营销服务领域的先行者之，公司的主要产品及服务有房地产网络营销服务、互联网金融及平台服务业务、研究咨询及其他。
市值17.517709亿, 利润-9101.59万; PE; 平均PE54.71; 平均PEG2.53, PB1.43; ROIC.9467%; ROE1.06%; 股利率0%; 毛利83.2733%; 净利-20.34%; 上一年度营收增-24.53%, 利润增-1617.74%; 当季营收增-24.04%, 利润增-15.02%; 过往5年营收增-21.66%, 利润增-357.66%
Income profile:
房地产网络营销服务 5181.13万 55.09% 101.42% 92.81%
互联网金融服务 2873.89万 30.56%
其他业务 1032.48万 10.98% -1.42% -6.53%</v>
      </c>
      <c r="D27" t="s">
        <v>522</v>
      </c>
      <c r="E27" t="s">
        <v>523</v>
      </c>
      <c r="F27">
        <v>9.18</v>
      </c>
      <c r="G27">
        <v>-0.22</v>
      </c>
      <c r="H27" t="s">
        <v>1956</v>
      </c>
      <c r="I27">
        <v>1751770900</v>
      </c>
      <c r="K27">
        <v>1.43</v>
      </c>
      <c r="L27" t="s">
        <v>1467</v>
      </c>
      <c r="M27" t="s">
        <v>417</v>
      </c>
      <c r="N27" t="s">
        <v>1884</v>
      </c>
      <c r="O27" t="s">
        <v>1957</v>
      </c>
      <c r="P27">
        <v>-24.04</v>
      </c>
      <c r="Q27" t="s">
        <v>114</v>
      </c>
      <c r="R27">
        <v>6529785</v>
      </c>
      <c r="S27" s="5">
        <v>-0.1502</v>
      </c>
      <c r="T27" t="s">
        <v>1958</v>
      </c>
      <c r="U27">
        <v>167548620</v>
      </c>
      <c r="V27">
        <v>190824710</v>
      </c>
      <c r="W27">
        <v>1.08</v>
      </c>
      <c r="X27">
        <v>0.03</v>
      </c>
      <c r="Y27">
        <v>17.600000000000001</v>
      </c>
      <c r="Z27" t="s">
        <v>1959</v>
      </c>
      <c r="AA27" t="s">
        <v>1960</v>
      </c>
      <c r="AB27" t="s">
        <v>1961</v>
      </c>
      <c r="AC27" t="s">
        <v>1962</v>
      </c>
      <c r="AD27" t="s">
        <v>5</v>
      </c>
      <c r="AE27">
        <v>-750833</v>
      </c>
      <c r="AF27" t="s">
        <v>1963</v>
      </c>
      <c r="AG27" t="s">
        <v>1964</v>
      </c>
      <c r="AH27" t="s">
        <v>1965</v>
      </c>
      <c r="AI27" t="s">
        <v>1238</v>
      </c>
      <c r="AJ27" t="s">
        <v>1966</v>
      </c>
      <c r="AK27" t="s">
        <v>5</v>
      </c>
      <c r="AL27" t="s">
        <v>1967</v>
      </c>
      <c r="AM27" t="s">
        <v>5</v>
      </c>
      <c r="AN27">
        <v>0</v>
      </c>
      <c r="AO27" t="s">
        <v>5</v>
      </c>
      <c r="AP27" t="s">
        <v>5</v>
      </c>
      <c r="AQ27" t="s">
        <v>1968</v>
      </c>
      <c r="AR27" t="s">
        <v>1969</v>
      </c>
      <c r="AS27" t="s">
        <v>1970</v>
      </c>
      <c r="AT27" t="s">
        <v>5</v>
      </c>
      <c r="AU27" t="s">
        <v>660</v>
      </c>
      <c r="AV27" t="s">
        <v>1971</v>
      </c>
      <c r="AW27" t="s">
        <v>1972</v>
      </c>
      <c r="AX27" t="s">
        <v>373</v>
      </c>
      <c r="AY27" t="s">
        <v>289</v>
      </c>
      <c r="AZ27" t="s">
        <v>688</v>
      </c>
      <c r="BA27" t="s">
        <v>525</v>
      </c>
      <c r="BB27" t="s">
        <v>164</v>
      </c>
      <c r="BC27" t="s">
        <v>1973</v>
      </c>
      <c r="BD27" t="s">
        <v>524</v>
      </c>
      <c r="BE27" t="s">
        <v>526</v>
      </c>
      <c r="BF27" t="s">
        <v>351</v>
      </c>
      <c r="BG27" t="s">
        <v>527</v>
      </c>
      <c r="BH27" t="s">
        <v>114</v>
      </c>
      <c r="BI27" t="s">
        <v>1974</v>
      </c>
      <c r="BJ27" t="s">
        <v>373</v>
      </c>
      <c r="BK27" t="s">
        <v>1958</v>
      </c>
      <c r="BL27" t="s">
        <v>1975</v>
      </c>
      <c r="BM27" t="s">
        <v>1973</v>
      </c>
      <c r="BN27">
        <v>0.49</v>
      </c>
      <c r="BO27">
        <v>0.65</v>
      </c>
      <c r="BP27">
        <v>1.7</v>
      </c>
      <c r="BQ27">
        <v>0.64</v>
      </c>
      <c r="BR27">
        <v>0.46</v>
      </c>
      <c r="BS27">
        <v>2.08</v>
      </c>
      <c r="BT27" t="s">
        <v>1017</v>
      </c>
      <c r="BU27" t="s">
        <v>159</v>
      </c>
      <c r="BV27">
        <v>65.83</v>
      </c>
      <c r="BW27">
        <v>91.67</v>
      </c>
      <c r="BX27">
        <v>92.32</v>
      </c>
      <c r="BY27">
        <v>-78.33</v>
      </c>
      <c r="BZ27">
        <v>7.18</v>
      </c>
      <c r="CA27">
        <v>10.130000000000001</v>
      </c>
      <c r="CB27">
        <v>2.23</v>
      </c>
      <c r="CC27">
        <v>-31.03</v>
      </c>
      <c r="CD27" t="s">
        <v>1976</v>
      </c>
      <c r="CE27" t="s">
        <v>1977</v>
      </c>
      <c r="CF27" s="11">
        <v>-0.24037406189326732</v>
      </c>
      <c r="CG27" s="12">
        <v>-0.15017699806083007</v>
      </c>
      <c r="CH27" s="11">
        <v>-0.24528302252292633</v>
      </c>
      <c r="CI27" s="11">
        <v>-0.41758242249488831</v>
      </c>
      <c r="CJ27" s="11">
        <v>-0.21551723778247833</v>
      </c>
      <c r="CK27" s="11">
        <v>-0.26271185278892517</v>
      </c>
      <c r="CL27" s="11">
        <v>5.8295965194702148E-2</v>
      </c>
      <c r="CM27" s="12">
        <v>-16.177412033081055</v>
      </c>
      <c r="CN27" s="12">
        <v>-0.7781025767326355</v>
      </c>
      <c r="CO27" s="12">
        <v>-0.47813382744789124</v>
      </c>
      <c r="CP27" s="12">
        <v>-0.48727226257324219</v>
      </c>
      <c r="CQ27" s="12">
        <v>3.7832595407962799E-2</v>
      </c>
      <c r="CR27">
        <v>54.711580935267719</v>
      </c>
      <c r="CS27">
        <v>2.5263969879150117</v>
      </c>
      <c r="CT27">
        <v>0</v>
      </c>
      <c r="CU27" s="11">
        <v>-0.2165597140789032</v>
      </c>
      <c r="CV27" s="12">
        <v>-3.5766176208853722</v>
      </c>
      <c r="CW27">
        <v>0.06</v>
      </c>
      <c r="CX27" t="e">
        <v>#VALUE!</v>
      </c>
      <c r="CY27" t="s">
        <v>130</v>
      </c>
      <c r="CZ27">
        <v>-0.2165597140789032</v>
      </c>
      <c r="DA27" t="e">
        <v>#VALUE!</v>
      </c>
      <c r="DB27" t="s">
        <v>130</v>
      </c>
      <c r="DC27">
        <v>-0.20573172837495804</v>
      </c>
      <c r="DD27" t="e">
        <v>#VALUE!</v>
      </c>
      <c r="DE27" t="s">
        <v>130</v>
      </c>
      <c r="DF27">
        <v>-0.19057254838943483</v>
      </c>
      <c r="DG27" t="e">
        <v>#VALUE!</v>
      </c>
      <c r="DH27" t="s">
        <v>130</v>
      </c>
      <c r="DI27">
        <v>-0.17324777126312257</v>
      </c>
      <c r="DJ27" t="e">
        <v>#VALUE!</v>
      </c>
      <c r="DK27" t="s">
        <v>130</v>
      </c>
      <c r="DL27">
        <v>-0.15159179985523225</v>
      </c>
      <c r="DM27">
        <v>-91015900</v>
      </c>
      <c r="DN27">
        <v>-0.2165597140789032</v>
      </c>
      <c r="DO27">
        <v>618770900</v>
      </c>
      <c r="DP27">
        <v>1030667310</v>
      </c>
      <c r="DQ27">
        <v>1779</v>
      </c>
      <c r="DR27">
        <v>-2.3814347814364117E-2</v>
      </c>
      <c r="DS27">
        <v>3.4264406228245421</v>
      </c>
      <c r="DT27" s="13">
        <v>-1.0066666666666666</v>
      </c>
      <c r="DU27">
        <v>-1.74</v>
      </c>
      <c r="DV27">
        <v>-2.7466666666666666</v>
      </c>
      <c r="DW27">
        <v>-3.1699821428571431</v>
      </c>
      <c r="DX27">
        <v>0.24688950666666756</v>
      </c>
      <c r="DY27">
        <v>-3.0249685931064287</v>
      </c>
      <c r="DZ27">
        <v>4808</v>
      </c>
      <c r="EA27">
        <v>-3.0014756389663684</v>
      </c>
      <c r="EB27">
        <v>3</v>
      </c>
      <c r="EC27">
        <v>0.46185685281534039</v>
      </c>
      <c r="ED27">
        <v>3.1442468850077119</v>
      </c>
      <c r="EE27" s="14">
        <v>5.0582099999999999</v>
      </c>
      <c r="EF27">
        <v>5.0504100000000003</v>
      </c>
      <c r="EG27">
        <v>10.146889506666668</v>
      </c>
      <c r="EH27" t="s">
        <v>1229</v>
      </c>
      <c r="EI27">
        <v>0</v>
      </c>
      <c r="EJ27">
        <v>0</v>
      </c>
      <c r="EK27" s="10">
        <v>45470</v>
      </c>
      <c r="EL27" s="15">
        <v>-0.11</v>
      </c>
      <c r="EM27" s="15">
        <v>-4.9400000000000004</v>
      </c>
      <c r="EN27" s="15">
        <v>2.48</v>
      </c>
      <c r="EO27" s="15">
        <v>3.11</v>
      </c>
      <c r="EP27" s="15">
        <v>0.78</v>
      </c>
    </row>
    <row r="28" spans="1:146" ht="144" x14ac:dyDescent="0.25">
      <c r="A28" s="7"/>
      <c r="B28" s="7"/>
      <c r="C28" s="7" t="str">
        <f>"公司的主营业务为提供数字阅读产品、数字出版运营服务和数字内容增值服务。公司的主要产品为文化产品、教育产品。"&amp;CHAR(10)&amp;Basic_Fundamental_Information_Constructure(F28)&amp;CHAR(10)&amp;Basic_Fundamental_Information_Concatenate("文化产品 11.53亿 97.73% 97.08% 49.58%
教育产品 1895.80万 1.61% 2.19% 68.12%
其他产品 775.92万 0.66% 0.73% 55.24%")</f>
        <v>公司的主营业务为提供数字阅读产品、数字出版运营服务和数字内容增值服务。公司的主要产品为文化产品、教育产品。
市值147.81277亿, 利润8943.69万; PE254; 平均PE-39.67; 平均PEG-3.39, PB12.53; ROIC4.48%; ROE-6.3867%; 股利率0%; 毛利55.1433%; 净利-3.9533%; 上一年度营收增19.41%, 利润增124.71%; 当季营收增-22.57%, 利润增-83.94%; 过往5年营收增11.71%, 利润增-14.33%
Income profile:
文化产品 11.53亿 97.73% 97.08% 49.58%
教育产品 1895.80万 1.61% 2.19% 68.12%
其他产品 775.92万 0.66% 0.73% 55.24%</v>
      </c>
      <c r="D28" t="s">
        <v>536</v>
      </c>
      <c r="E28" t="s">
        <v>537</v>
      </c>
      <c r="F28">
        <v>20.25</v>
      </c>
      <c r="G28">
        <v>2.79</v>
      </c>
      <c r="H28" t="s">
        <v>1978</v>
      </c>
      <c r="I28">
        <v>14781277000</v>
      </c>
      <c r="J28">
        <v>254</v>
      </c>
      <c r="K28">
        <v>12.53</v>
      </c>
      <c r="L28" t="s">
        <v>1467</v>
      </c>
      <c r="M28" t="s">
        <v>151</v>
      </c>
      <c r="N28" t="s">
        <v>1263</v>
      </c>
      <c r="O28" t="s">
        <v>1232</v>
      </c>
      <c r="P28">
        <v>-22.81</v>
      </c>
      <c r="Q28" t="s">
        <v>142</v>
      </c>
      <c r="R28">
        <v>-68461253</v>
      </c>
      <c r="S28" s="5">
        <v>-0.83940000000000003</v>
      </c>
      <c r="T28" t="s">
        <v>1979</v>
      </c>
      <c r="U28">
        <v>659795650</v>
      </c>
      <c r="V28">
        <v>729939620</v>
      </c>
      <c r="W28">
        <v>1.48</v>
      </c>
      <c r="X28">
        <v>0.12</v>
      </c>
      <c r="Y28">
        <v>-30.28</v>
      </c>
      <c r="Z28" t="s">
        <v>719</v>
      </c>
      <c r="AA28" t="s">
        <v>554</v>
      </c>
      <c r="AB28" t="s">
        <v>1980</v>
      </c>
      <c r="AC28" t="s">
        <v>1981</v>
      </c>
      <c r="AD28" t="s">
        <v>5</v>
      </c>
      <c r="AE28">
        <v>2265697</v>
      </c>
      <c r="AF28" t="s">
        <v>1982</v>
      </c>
      <c r="AG28" t="s">
        <v>1983</v>
      </c>
      <c r="AH28" t="s">
        <v>1984</v>
      </c>
      <c r="AI28" t="s">
        <v>429</v>
      </c>
      <c r="AJ28" t="s">
        <v>1985</v>
      </c>
      <c r="AK28" t="s">
        <v>5</v>
      </c>
      <c r="AL28" t="s">
        <v>1986</v>
      </c>
      <c r="AM28" t="s">
        <v>5</v>
      </c>
      <c r="AN28">
        <v>0</v>
      </c>
      <c r="AO28" t="s">
        <v>104</v>
      </c>
      <c r="AP28" t="s">
        <v>5</v>
      </c>
      <c r="AQ28" t="s">
        <v>351</v>
      </c>
      <c r="AR28" t="s">
        <v>1987</v>
      </c>
      <c r="AS28" t="s">
        <v>1001</v>
      </c>
      <c r="AT28" t="s">
        <v>5</v>
      </c>
      <c r="AU28" t="s">
        <v>1988</v>
      </c>
      <c r="AV28" t="s">
        <v>1235</v>
      </c>
      <c r="AW28" t="s">
        <v>1989</v>
      </c>
      <c r="AX28" t="s">
        <v>563</v>
      </c>
      <c r="AY28" t="s">
        <v>538</v>
      </c>
      <c r="AZ28" t="s">
        <v>541</v>
      </c>
      <c r="BA28" t="s">
        <v>542</v>
      </c>
      <c r="BB28" t="s">
        <v>543</v>
      </c>
      <c r="BC28" t="s">
        <v>799</v>
      </c>
      <c r="BD28" t="s">
        <v>539</v>
      </c>
      <c r="BE28" t="s">
        <v>544</v>
      </c>
      <c r="BF28" t="s">
        <v>545</v>
      </c>
      <c r="BG28" t="s">
        <v>546</v>
      </c>
      <c r="BH28" t="s">
        <v>142</v>
      </c>
      <c r="BI28" t="s">
        <v>176</v>
      </c>
      <c r="BJ28" t="s">
        <v>563</v>
      </c>
      <c r="BK28" t="s">
        <v>1979</v>
      </c>
      <c r="BL28" t="s">
        <v>1990</v>
      </c>
      <c r="BM28" t="s">
        <v>799</v>
      </c>
      <c r="BN28">
        <v>0.44</v>
      </c>
      <c r="BO28" t="s">
        <v>5</v>
      </c>
      <c r="BP28">
        <v>8.52</v>
      </c>
      <c r="BQ28">
        <v>0.21</v>
      </c>
      <c r="BR28">
        <v>-25.92</v>
      </c>
      <c r="BS28">
        <v>6.55</v>
      </c>
      <c r="BT28" t="s">
        <v>1017</v>
      </c>
      <c r="BU28" t="s">
        <v>159</v>
      </c>
      <c r="BV28">
        <v>44.69</v>
      </c>
      <c r="BW28">
        <v>49.89</v>
      </c>
      <c r="BX28">
        <v>70.849999999999994</v>
      </c>
      <c r="BY28">
        <v>6.39</v>
      </c>
      <c r="BZ28">
        <v>-30.42</v>
      </c>
      <c r="CA28">
        <v>12.17</v>
      </c>
      <c r="CB28">
        <v>-6.16</v>
      </c>
      <c r="CC28">
        <v>-9.11</v>
      </c>
      <c r="CD28" t="s">
        <v>1316</v>
      </c>
      <c r="CE28" t="s">
        <v>1991</v>
      </c>
      <c r="CF28" s="11">
        <v>-0.22569444444444445</v>
      </c>
      <c r="CG28" s="12">
        <v>-0.83939700801195072</v>
      </c>
      <c r="CH28" s="11">
        <v>0.19406774640083313</v>
      </c>
      <c r="CI28" s="11">
        <v>-7.5693326070904732E-3</v>
      </c>
      <c r="CJ28" s="11">
        <v>0.21823763847351074</v>
      </c>
      <c r="CK28" s="11">
        <v>0.38439714908599854</v>
      </c>
      <c r="CL28" s="11">
        <v>-0.20338982343673706</v>
      </c>
      <c r="CM28" s="12">
        <v>1.2470632791519165</v>
      </c>
      <c r="CN28" s="12">
        <v>-4.6642823219299316</v>
      </c>
      <c r="CO28" s="12">
        <v>1.0193222761154175</v>
      </c>
      <c r="CP28" s="12">
        <v>1.0811327695846558</v>
      </c>
      <c r="CQ28" s="12">
        <v>0.60013264417648315</v>
      </c>
      <c r="CR28">
        <v>-39.666221570915916</v>
      </c>
      <c r="CS28">
        <v>-3.3859726858550574</v>
      </c>
      <c r="CT28">
        <v>0</v>
      </c>
      <c r="CU28" s="11">
        <v>0.11714867558330297</v>
      </c>
      <c r="CV28" s="12">
        <v>-0.14332627058029174</v>
      </c>
      <c r="CW28">
        <v>0.06</v>
      </c>
      <c r="CX28">
        <v>150.12156879205477</v>
      </c>
      <c r="CY28">
        <v>94258787.154034242</v>
      </c>
      <c r="CZ28">
        <v>0.11714867558330297</v>
      </c>
      <c r="DA28">
        <v>47.946809040334081</v>
      </c>
      <c r="DB28">
        <v>295124478.2128551</v>
      </c>
      <c r="DC28">
        <v>0.11129124180413781</v>
      </c>
      <c r="DD28">
        <v>22.883522762354641</v>
      </c>
      <c r="DE28">
        <v>618360955.47659385</v>
      </c>
      <c r="DF28">
        <v>0.10309083451330661</v>
      </c>
      <c r="DG28">
        <v>13.264583944960288</v>
      </c>
      <c r="DH28">
        <v>1066771265.402276</v>
      </c>
      <c r="DI28">
        <v>9.3718940466642378E-2</v>
      </c>
      <c r="DJ28">
        <v>6.3311524136015755</v>
      </c>
      <c r="DK28">
        <v>2235023906.4850426</v>
      </c>
      <c r="DL28">
        <v>8.2004072908312076E-2</v>
      </c>
      <c r="DM28">
        <v>89436900</v>
      </c>
      <c r="DN28">
        <v>0.11714867558330297</v>
      </c>
      <c r="DO28">
        <v>14150277000</v>
      </c>
      <c r="DP28">
        <v>152995250</v>
      </c>
      <c r="DQ28">
        <v>1839</v>
      </c>
      <c r="DR28">
        <v>-0.34284312002774742</v>
      </c>
      <c r="DS28">
        <v>-0.69607073743165904</v>
      </c>
      <c r="DT28" s="13">
        <v>-0.12333333333333336</v>
      </c>
      <c r="DU28">
        <v>-0.99833333333333341</v>
      </c>
      <c r="DV28">
        <v>-1.1216666666666668</v>
      </c>
      <c r="DW28">
        <v>-9.6761800219538969</v>
      </c>
      <c r="DX28">
        <v>0.53066104078762355</v>
      </c>
      <c r="DY28">
        <v>-9.1559683876236839</v>
      </c>
      <c r="DZ28">
        <v>3683</v>
      </c>
      <c r="EA28">
        <v>-9.0435551642150678</v>
      </c>
      <c r="EB28">
        <v>9</v>
      </c>
      <c r="EC28">
        <v>0.44935223546298253</v>
      </c>
      <c r="ED28">
        <v>1.948106337891345</v>
      </c>
      <c r="EE28" s="14">
        <v>11.1305</v>
      </c>
      <c r="EF28">
        <v>12.0055</v>
      </c>
      <c r="EG28">
        <v>30.230661040787624</v>
      </c>
      <c r="EH28" t="s">
        <v>1992</v>
      </c>
      <c r="EI28">
        <v>0</v>
      </c>
      <c r="EJ28">
        <v>0</v>
      </c>
      <c r="EK28" s="10">
        <v>45470</v>
      </c>
      <c r="EL28" s="15">
        <v>0.21</v>
      </c>
      <c r="EM28" s="15">
        <v>-4.3099999999999996</v>
      </c>
      <c r="EN28" s="15">
        <v>-1.1499999999999999</v>
      </c>
      <c r="EO28" s="15">
        <v>19.989999999999998</v>
      </c>
      <c r="EP28" s="15">
        <v>2.5</v>
      </c>
    </row>
    <row r="29" spans="1:146" ht="168" x14ac:dyDescent="0.25">
      <c r="A29" s="7" t="s">
        <v>1027</v>
      </c>
      <c r="B29" s="7"/>
      <c r="C29" s="7" t="str">
        <f>"公司的主营业务主要由新媒体平台运营、新媒体互动娱乐内容制作及媒体零售等三个部分组成。"&amp;CHAR(10)&amp;Basic_Fundamental_Information_Constructure(F29)&amp;CHAR(10)&amp;Basic_Fundamental_Information_Concatenate("芒果TV互联网视频业务 52.27亿 77.85% 93.19% 43.47%
内容电商 9.45亿 14.07% 3.72% 9.59%
新媒体互动娱乐内容制作 4.90亿 7.29% 2.64% 13.17%")</f>
        <v>公司的主营业务主要由新媒体平台运营、新媒体互动娱乐内容制作及媒体零售等三个部分组成。
市值373.02173亿, 利润35.56亿; PE10.72; 平均PE19.4; 平均PEG2.07, PB1.7; ROIC10.2933%; ROE11.8167%; 股利率.9027%; 毛利34.1033%; 净利16.7967%; 上一年度营收增4.66%, 利润增90.77%; 当季营收增7.19%, 利润增-13.81%; 过往5年营收增9.35%, 利润增38.11%
Income profile:
芒果TV互联网视频业务 52.27亿 77.85% 93.19% 43.47%
内容电商 9.45亿 14.07% 3.72% 9.59%
新媒体互动娱乐内容制作 4.90亿 7.29% 2.64% 13.17%</v>
      </c>
      <c r="D29" t="s">
        <v>550</v>
      </c>
      <c r="E29" t="s">
        <v>551</v>
      </c>
      <c r="F29">
        <v>19.940000000000001</v>
      </c>
      <c r="G29">
        <v>-0.05</v>
      </c>
      <c r="H29" t="s">
        <v>1993</v>
      </c>
      <c r="I29">
        <v>37302173000</v>
      </c>
      <c r="J29">
        <v>10.72</v>
      </c>
      <c r="K29">
        <v>1.7</v>
      </c>
      <c r="L29" t="s">
        <v>1467</v>
      </c>
      <c r="M29" t="s">
        <v>1994</v>
      </c>
      <c r="N29" t="s">
        <v>1995</v>
      </c>
      <c r="O29" t="s">
        <v>1996</v>
      </c>
      <c r="P29">
        <v>7.21</v>
      </c>
      <c r="Q29" t="s">
        <v>1997</v>
      </c>
      <c r="R29">
        <v>472318690</v>
      </c>
      <c r="S29" s="5">
        <v>-0.13850000000000001</v>
      </c>
      <c r="T29" t="s">
        <v>1086</v>
      </c>
      <c r="U29">
        <v>1021699960</v>
      </c>
      <c r="V29">
        <v>1870720800</v>
      </c>
      <c r="W29">
        <v>1.46</v>
      </c>
      <c r="X29">
        <v>0.11</v>
      </c>
      <c r="Y29">
        <v>13.86</v>
      </c>
      <c r="Z29" t="s">
        <v>1998</v>
      </c>
      <c r="AA29" t="s">
        <v>1999</v>
      </c>
      <c r="AB29" t="s">
        <v>1400</v>
      </c>
      <c r="AC29" t="s">
        <v>23</v>
      </c>
      <c r="AD29" t="s">
        <v>5</v>
      </c>
      <c r="AE29">
        <v>-83944428</v>
      </c>
      <c r="AF29" t="s">
        <v>2000</v>
      </c>
      <c r="AG29" t="s">
        <v>2001</v>
      </c>
      <c r="AH29" t="s">
        <v>2002</v>
      </c>
      <c r="AI29" t="s">
        <v>2003</v>
      </c>
      <c r="AJ29" t="s">
        <v>2004</v>
      </c>
      <c r="AK29" t="s">
        <v>2005</v>
      </c>
      <c r="AL29" t="s">
        <v>2006</v>
      </c>
      <c r="AM29" t="s">
        <v>5</v>
      </c>
      <c r="AN29">
        <v>0</v>
      </c>
      <c r="AO29" t="s">
        <v>2007</v>
      </c>
      <c r="AP29" t="s">
        <v>2008</v>
      </c>
      <c r="AQ29" t="s">
        <v>2009</v>
      </c>
      <c r="AR29" t="s">
        <v>5</v>
      </c>
      <c r="AS29" t="s">
        <v>1427</v>
      </c>
      <c r="AT29" t="s">
        <v>5</v>
      </c>
      <c r="AU29" t="s">
        <v>438</v>
      </c>
      <c r="AV29" t="s">
        <v>2010</v>
      </c>
      <c r="AW29" t="s">
        <v>2011</v>
      </c>
      <c r="AX29" t="s">
        <v>2012</v>
      </c>
      <c r="AY29" t="s">
        <v>552</v>
      </c>
      <c r="AZ29" t="s">
        <v>555</v>
      </c>
      <c r="BA29" t="s">
        <v>556</v>
      </c>
      <c r="BB29" t="s">
        <v>557</v>
      </c>
      <c r="BC29" t="s">
        <v>1431</v>
      </c>
      <c r="BD29" t="s">
        <v>553</v>
      </c>
      <c r="BE29" t="s">
        <v>558</v>
      </c>
      <c r="BF29" t="s">
        <v>559</v>
      </c>
      <c r="BG29" t="s">
        <v>560</v>
      </c>
      <c r="BH29" t="s">
        <v>1997</v>
      </c>
      <c r="BI29" t="s">
        <v>1343</v>
      </c>
      <c r="BJ29" t="s">
        <v>2012</v>
      </c>
      <c r="BK29" t="s">
        <v>1086</v>
      </c>
      <c r="BL29" t="s">
        <v>2013</v>
      </c>
      <c r="BM29" t="s">
        <v>1431</v>
      </c>
      <c r="BN29">
        <v>7.88</v>
      </c>
      <c r="BO29">
        <v>8.6</v>
      </c>
      <c r="BP29">
        <v>14.4</v>
      </c>
      <c r="BQ29">
        <v>9</v>
      </c>
      <c r="BR29">
        <v>10.199999999999999</v>
      </c>
      <c r="BS29">
        <v>16.25</v>
      </c>
      <c r="BT29" t="s">
        <v>2014</v>
      </c>
      <c r="BU29" t="s">
        <v>159</v>
      </c>
      <c r="BV29">
        <v>32.979999999999997</v>
      </c>
      <c r="BW29">
        <v>33.840000000000003</v>
      </c>
      <c r="BX29">
        <v>35.49</v>
      </c>
      <c r="BY29">
        <v>23.73</v>
      </c>
      <c r="BZ29">
        <v>12.89</v>
      </c>
      <c r="CA29">
        <v>13.77</v>
      </c>
      <c r="CB29">
        <v>-4.59</v>
      </c>
      <c r="CC29">
        <v>-20.56</v>
      </c>
      <c r="CD29" t="s">
        <v>2015</v>
      </c>
      <c r="CE29" t="s">
        <v>506</v>
      </c>
      <c r="CF29" s="11">
        <v>7.191228635923895E-2</v>
      </c>
      <c r="CG29" s="12">
        <v>-0.13810458029197081</v>
      </c>
      <c r="CH29" s="11">
        <v>4.6576503664255142E-2</v>
      </c>
      <c r="CI29" s="11">
        <v>-8.9802049100399017E-2</v>
      </c>
      <c r="CJ29" s="11">
        <v>9.6387311816215515E-2</v>
      </c>
      <c r="CK29" s="11">
        <v>0.12039031833410263</v>
      </c>
      <c r="CL29" s="11">
        <v>0.29396548867225647</v>
      </c>
      <c r="CM29" s="12">
        <v>0.90772533416748047</v>
      </c>
      <c r="CN29" s="12">
        <v>-0.11825922131538391</v>
      </c>
      <c r="CO29" s="12">
        <v>6.6599391400814056E-2</v>
      </c>
      <c r="CP29" s="12">
        <v>0.71453285217285156</v>
      </c>
      <c r="CQ29" s="12">
        <v>0.33487299084663391</v>
      </c>
      <c r="CR29">
        <v>19.39790587623505</v>
      </c>
      <c r="CS29">
        <v>2.0745643565575174</v>
      </c>
      <c r="CT29">
        <v>0.90270812437311931</v>
      </c>
      <c r="CU29" s="11">
        <v>9.3503514677286154E-2</v>
      </c>
      <c r="CV29" s="12">
        <v>0.38109426945447922</v>
      </c>
      <c r="CW29">
        <v>0.06</v>
      </c>
      <c r="CX29">
        <v>6.961402554889303</v>
      </c>
      <c r="CY29">
        <v>3668394809.6155</v>
      </c>
      <c r="CZ29">
        <v>9.3503514677286154E-2</v>
      </c>
      <c r="DA29">
        <v>2.2681850443920535</v>
      </c>
      <c r="DB29">
        <v>11258857853.392109</v>
      </c>
      <c r="DC29">
        <v>8.8828338943421847E-2</v>
      </c>
      <c r="DD29">
        <v>1.1121495964202388</v>
      </c>
      <c r="DE29">
        <v>22961994575.36869</v>
      </c>
      <c r="DF29">
        <v>8.228309291601181E-2</v>
      </c>
      <c r="DG29">
        <v>0.66487570268569773</v>
      </c>
      <c r="DH29">
        <v>38408943050.325333</v>
      </c>
      <c r="DI29">
        <v>7.4802811741828928E-2</v>
      </c>
      <c r="DJ29">
        <v>0.34009074138640544</v>
      </c>
      <c r="DK29">
        <v>75089292039.812073</v>
      </c>
      <c r="DL29">
        <v>6.5452460274100302E-2</v>
      </c>
      <c r="DM29">
        <v>3556000000</v>
      </c>
      <c r="DN29">
        <v>9.3503514677286154E-2</v>
      </c>
      <c r="DO29">
        <v>25537173000</v>
      </c>
      <c r="DP29">
        <v>11445420000</v>
      </c>
      <c r="DQ29">
        <v>1885</v>
      </c>
      <c r="DR29">
        <v>-2.1591228318047204E-2</v>
      </c>
      <c r="DS29">
        <v>-0.51919884974645003</v>
      </c>
      <c r="DT29" s="13">
        <v>-0.34</v>
      </c>
      <c r="DU29">
        <v>0.66666666666666663</v>
      </c>
      <c r="DV29">
        <v>0.32666666666666661</v>
      </c>
      <c r="DW29">
        <v>-8.2232490272373546</v>
      </c>
      <c r="DX29">
        <v>0.42293456221198045</v>
      </c>
      <c r="DY29">
        <v>-8.0319100019724221</v>
      </c>
      <c r="DZ29">
        <v>999</v>
      </c>
      <c r="EA29">
        <v>-8.0256716278099081</v>
      </c>
      <c r="EB29">
        <v>8</v>
      </c>
      <c r="EC29">
        <v>3.3160266352948019E-2</v>
      </c>
      <c r="ED29">
        <v>0.23199613753158677</v>
      </c>
      <c r="EE29" s="14">
        <v>5.0800000000000005E-2</v>
      </c>
      <c r="EF29">
        <v>3.2799999999999996E-2</v>
      </c>
      <c r="EG29">
        <v>28.14293456221198</v>
      </c>
      <c r="EH29" t="s">
        <v>81</v>
      </c>
      <c r="EI29">
        <v>0</v>
      </c>
      <c r="EJ29">
        <v>1</v>
      </c>
      <c r="EK29" s="10">
        <v>45470</v>
      </c>
      <c r="EL29" s="15">
        <v>0</v>
      </c>
      <c r="EM29" s="15">
        <v>-2.8</v>
      </c>
      <c r="EN29" s="15">
        <v>0.05</v>
      </c>
      <c r="EO29" s="15">
        <v>5.07</v>
      </c>
      <c r="EP29" s="15">
        <v>-1.8</v>
      </c>
    </row>
    <row r="30" spans="1:146" ht="96" x14ac:dyDescent="0.25">
      <c r="A30" s="7"/>
      <c r="B30" s="7"/>
      <c r="C30" s="7" t="str">
        <f>""&amp;CHAR(10)&amp;Basic_Fundamental_Information_Constructure(F30)&amp;CHAR(10)&amp;Basic_Fundamental_Information_Concatenate("")</f>
        <v xml:space="preserve">
市值28.15681亿, 利润-3878.54万; PE; 平均PE18.32; 平均PEG1.06, PB1.78; ROIC6.5333%; ROE13.05%; 股利率0%; 毛利13.1933%; 净利2.6033%; 上一年度营收增-46.26%, 利润增-131.79%; 当季营收增83.94%, 利润增-84.33%; 过往5年营收增17.31%, 利润增-28.51%
Income profile:
</v>
      </c>
      <c r="D30" t="s">
        <v>582</v>
      </c>
      <c r="E30" t="s">
        <v>583</v>
      </c>
      <c r="F30">
        <v>20.18</v>
      </c>
      <c r="G30">
        <v>3.12</v>
      </c>
      <c r="H30" t="s">
        <v>2016</v>
      </c>
      <c r="I30">
        <v>2815681000</v>
      </c>
      <c r="K30">
        <v>1.78</v>
      </c>
      <c r="L30" t="s">
        <v>1467</v>
      </c>
      <c r="M30" t="s">
        <v>2017</v>
      </c>
      <c r="N30" t="s">
        <v>1745</v>
      </c>
      <c r="O30" t="s">
        <v>450</v>
      </c>
      <c r="P30">
        <v>83.79</v>
      </c>
      <c r="Q30" t="s">
        <v>2018</v>
      </c>
      <c r="R30">
        <v>2716291</v>
      </c>
      <c r="S30" s="5">
        <v>-0.84330000000000005</v>
      </c>
      <c r="T30" t="s">
        <v>2019</v>
      </c>
      <c r="U30">
        <v>115611896</v>
      </c>
      <c r="V30">
        <v>139528290</v>
      </c>
      <c r="W30">
        <v>2.29</v>
      </c>
      <c r="X30">
        <v>0.2</v>
      </c>
      <c r="Y30">
        <v>0.51</v>
      </c>
      <c r="Z30" t="s">
        <v>332</v>
      </c>
      <c r="AA30" t="s">
        <v>427</v>
      </c>
      <c r="AB30" t="s">
        <v>2020</v>
      </c>
      <c r="AC30" t="s">
        <v>2021</v>
      </c>
      <c r="AD30" t="s">
        <v>5</v>
      </c>
      <c r="AE30">
        <v>11063818</v>
      </c>
      <c r="AF30" t="s">
        <v>2022</v>
      </c>
      <c r="AG30" t="s">
        <v>2023</v>
      </c>
      <c r="AH30" t="s">
        <v>2024</v>
      </c>
      <c r="AI30" t="s">
        <v>2025</v>
      </c>
      <c r="AJ30" t="s">
        <v>2026</v>
      </c>
      <c r="AK30" t="s">
        <v>2027</v>
      </c>
      <c r="AL30" t="s">
        <v>2028</v>
      </c>
      <c r="AM30" t="s">
        <v>5</v>
      </c>
      <c r="AN30" t="s">
        <v>505</v>
      </c>
      <c r="AO30" t="s">
        <v>2029</v>
      </c>
      <c r="AP30" t="s">
        <v>5</v>
      </c>
      <c r="AQ30" t="s">
        <v>1293</v>
      </c>
      <c r="AR30" t="s">
        <v>2030</v>
      </c>
      <c r="AS30" t="s">
        <v>944</v>
      </c>
      <c r="AT30" t="s">
        <v>439</v>
      </c>
      <c r="AU30" t="s">
        <v>199</v>
      </c>
      <c r="AV30" t="s">
        <v>2031</v>
      </c>
      <c r="AW30" t="s">
        <v>2032</v>
      </c>
      <c r="AX30" t="s">
        <v>1086</v>
      </c>
      <c r="AY30" t="s">
        <v>72</v>
      </c>
      <c r="AZ30" t="s">
        <v>586</v>
      </c>
      <c r="BA30" t="s">
        <v>587</v>
      </c>
      <c r="BB30" t="s">
        <v>588</v>
      </c>
      <c r="BC30" t="s">
        <v>247</v>
      </c>
      <c r="BD30" t="s">
        <v>492</v>
      </c>
      <c r="BE30" t="s">
        <v>352</v>
      </c>
      <c r="BF30" t="s">
        <v>590</v>
      </c>
      <c r="BG30" t="s">
        <v>554</v>
      </c>
      <c r="BH30" t="s">
        <v>2018</v>
      </c>
      <c r="BI30" t="s">
        <v>237</v>
      </c>
      <c r="BJ30" t="s">
        <v>1086</v>
      </c>
      <c r="BK30" t="s">
        <v>2019</v>
      </c>
      <c r="BL30" t="s">
        <v>2033</v>
      </c>
      <c r="BM30" t="s">
        <v>247</v>
      </c>
      <c r="BN30">
        <v>1.75</v>
      </c>
      <c r="BO30">
        <v>6.36</v>
      </c>
      <c r="BP30">
        <v>11.49</v>
      </c>
      <c r="BQ30">
        <v>1.33</v>
      </c>
      <c r="BR30">
        <v>7.86</v>
      </c>
      <c r="BS30">
        <v>29.96</v>
      </c>
      <c r="BT30" t="s">
        <v>1017</v>
      </c>
      <c r="BU30" t="s">
        <v>159</v>
      </c>
      <c r="BV30">
        <v>14.2</v>
      </c>
      <c r="BW30">
        <v>10.42</v>
      </c>
      <c r="BX30">
        <v>14.96</v>
      </c>
      <c r="BY30">
        <v>-2.15</v>
      </c>
      <c r="BZ30">
        <v>3.41</v>
      </c>
      <c r="CA30">
        <v>6.55</v>
      </c>
      <c r="CB30">
        <v>-3.63</v>
      </c>
      <c r="CC30">
        <v>-13.24</v>
      </c>
      <c r="CD30" t="s">
        <v>2034</v>
      </c>
      <c r="CE30" t="s">
        <v>2035</v>
      </c>
      <c r="CF30" s="11">
        <v>0.8393782383419689</v>
      </c>
      <c r="CG30" s="12">
        <v>-0.84327161419867058</v>
      </c>
      <c r="CH30" s="11">
        <v>-0.46259841322898865</v>
      </c>
      <c r="CI30" s="11">
        <v>-1.2496511451900005E-2</v>
      </c>
      <c r="CJ30" s="11">
        <v>0.49543187022209167</v>
      </c>
      <c r="CK30" s="11">
        <v>0.40162980556488037</v>
      </c>
      <c r="CL30" s="11">
        <v>0.4436974823474884</v>
      </c>
      <c r="CM30" s="12">
        <v>-1.3179131746292114</v>
      </c>
      <c r="CN30" s="12">
        <v>-0.5</v>
      </c>
      <c r="CO30" s="12">
        <v>0.15639810264110565</v>
      </c>
      <c r="CP30" s="12">
        <v>-9.3896714970469475E-3</v>
      </c>
      <c r="CQ30" s="12">
        <v>0.24561403691768646</v>
      </c>
      <c r="CR30">
        <v>18.319039841702786</v>
      </c>
      <c r="CS30">
        <v>1.0580915286645773</v>
      </c>
      <c r="CT30">
        <v>0</v>
      </c>
      <c r="CU30" s="11">
        <v>0.17313284669071435</v>
      </c>
      <c r="CV30" s="12">
        <v>-0.28505814131349327</v>
      </c>
      <c r="CW30">
        <v>0.06</v>
      </c>
      <c r="CX30" t="e">
        <v>#VALUE!</v>
      </c>
      <c r="CY30" t="s">
        <v>130</v>
      </c>
      <c r="CZ30">
        <v>0.17313284669071435</v>
      </c>
      <c r="DA30" t="e">
        <v>#VALUE!</v>
      </c>
      <c r="DB30" t="s">
        <v>130</v>
      </c>
      <c r="DC30">
        <v>0.16447620435617863</v>
      </c>
      <c r="DD30" t="e">
        <v>#VALUE!</v>
      </c>
      <c r="DE30" t="s">
        <v>130</v>
      </c>
      <c r="DF30">
        <v>0.15235690508782862</v>
      </c>
      <c r="DG30" t="e">
        <v>#VALUE!</v>
      </c>
      <c r="DH30" t="s">
        <v>130</v>
      </c>
      <c r="DI30">
        <v>0.13850627735257148</v>
      </c>
      <c r="DJ30" t="e">
        <v>#VALUE!</v>
      </c>
      <c r="DK30" t="s">
        <v>130</v>
      </c>
      <c r="DL30">
        <v>0.12119299268350003</v>
      </c>
      <c r="DM30">
        <v>-38785400</v>
      </c>
      <c r="DN30">
        <v>0.17313284669071435</v>
      </c>
      <c r="DO30">
        <v>3139681000</v>
      </c>
      <c r="DP30">
        <v>1298270900.0000002</v>
      </c>
      <c r="DQ30">
        <v>2039</v>
      </c>
      <c r="DR30">
        <v>0.66624539165125451</v>
      </c>
      <c r="DS30">
        <v>-0.55821347288517731</v>
      </c>
      <c r="DT30" s="13">
        <v>-0.25666666666666677</v>
      </c>
      <c r="DU30">
        <v>-1.1066666666666667</v>
      </c>
      <c r="DV30">
        <v>-1.3633333333333335</v>
      </c>
      <c r="DW30">
        <v>-8.2741691842900309</v>
      </c>
      <c r="DX30">
        <v>0.53814219997194301</v>
      </c>
      <c r="DY30">
        <v>-8.0406160261252371</v>
      </c>
      <c r="DZ30">
        <v>3912</v>
      </c>
      <c r="EA30">
        <v>-8.0095221133655645</v>
      </c>
      <c r="EB30">
        <v>8</v>
      </c>
      <c r="EC30">
        <v>5.7515934582155349E-2</v>
      </c>
      <c r="ED30">
        <v>0.38824814666617069</v>
      </c>
      <c r="EE30" s="14">
        <v>1.0410000000000006E-2</v>
      </c>
      <c r="EF30">
        <v>2.6409999999999999E-2</v>
      </c>
      <c r="EG30">
        <v>39.148142199971943</v>
      </c>
      <c r="EH30">
        <v>-1</v>
      </c>
      <c r="EI30">
        <v>0</v>
      </c>
      <c r="EJ30">
        <v>0</v>
      </c>
      <c r="EK30" s="10">
        <v>45470</v>
      </c>
      <c r="EL30" s="15">
        <v>-0.94</v>
      </c>
      <c r="EM30" s="15">
        <v>-4.75</v>
      </c>
      <c r="EN30" s="15">
        <v>-1.85</v>
      </c>
      <c r="EO30" s="15">
        <v>8.08</v>
      </c>
      <c r="EP30" s="15">
        <v>-1.6</v>
      </c>
    </row>
    <row r="31" spans="1:146" ht="108" x14ac:dyDescent="0.25">
      <c r="A31" s="7"/>
      <c r="B31" s="7"/>
      <c r="C31" s="7" t="str">
        <f>""&amp;CHAR(10)&amp;Basic_Fundamental_Information_Constructure(F31)&amp;CHAR(10)&amp;Basic_Fundamental_Information_Concatenate("")</f>
        <v xml:space="preserve">
市值23.269501亿, 利润-7853.06万; PE; 平均PE-1105.65; 平均PEG-41.12, PB4.58; ROIC5.96%; ROE6.9367%; 股利率0%; 毛利19.33%; 净利-.73%; 上一年度营收增-5.32%, 利润增-246.85%; 当季营收增-34.21%, 利润增-1631.94%; 过往5年营收增26.89%, 利润增-19.04%
Income profile:
</v>
      </c>
      <c r="D31" t="s">
        <v>591</v>
      </c>
      <c r="E31" t="s">
        <v>592</v>
      </c>
      <c r="F31">
        <v>12.92</v>
      </c>
      <c r="G31">
        <v>2.13</v>
      </c>
      <c r="H31" t="s">
        <v>2036</v>
      </c>
      <c r="I31">
        <v>2326950100</v>
      </c>
      <c r="K31">
        <v>4.58</v>
      </c>
      <c r="L31" t="s">
        <v>1467</v>
      </c>
      <c r="M31" t="s">
        <v>2037</v>
      </c>
      <c r="N31" t="s">
        <v>319</v>
      </c>
      <c r="O31" t="s">
        <v>193</v>
      </c>
      <c r="P31">
        <v>-34.28</v>
      </c>
      <c r="Q31" t="s">
        <v>2038</v>
      </c>
      <c r="R31">
        <v>-19918331</v>
      </c>
      <c r="S31" s="5">
        <v>-16.32</v>
      </c>
      <c r="T31" t="s">
        <v>2039</v>
      </c>
      <c r="U31">
        <v>159039980</v>
      </c>
      <c r="V31">
        <v>180104500</v>
      </c>
      <c r="W31">
        <v>1.82</v>
      </c>
      <c r="X31">
        <v>0.18</v>
      </c>
      <c r="Y31">
        <v>-13.5</v>
      </c>
      <c r="Z31" t="s">
        <v>300</v>
      </c>
      <c r="AA31" t="s">
        <v>133</v>
      </c>
      <c r="AB31" t="s">
        <v>2040</v>
      </c>
      <c r="AC31" t="s">
        <v>2041</v>
      </c>
      <c r="AD31" t="s">
        <v>5</v>
      </c>
      <c r="AE31">
        <v>1438716</v>
      </c>
      <c r="AF31" t="s">
        <v>2042</v>
      </c>
      <c r="AG31" t="s">
        <v>2043</v>
      </c>
      <c r="AH31" t="s">
        <v>2044</v>
      </c>
      <c r="AI31" t="s">
        <v>238</v>
      </c>
      <c r="AJ31" t="s">
        <v>2045</v>
      </c>
      <c r="AK31" t="s">
        <v>5</v>
      </c>
      <c r="AL31" t="s">
        <v>2046</v>
      </c>
      <c r="AM31" t="s">
        <v>5</v>
      </c>
      <c r="AN31">
        <v>0</v>
      </c>
      <c r="AO31" t="s">
        <v>2047</v>
      </c>
      <c r="AP31" t="s">
        <v>5</v>
      </c>
      <c r="AQ31" t="s">
        <v>2048</v>
      </c>
      <c r="AR31" t="s">
        <v>5</v>
      </c>
      <c r="AS31" t="s">
        <v>2025</v>
      </c>
      <c r="AT31" t="s">
        <v>5</v>
      </c>
      <c r="AU31" t="s">
        <v>2049</v>
      </c>
      <c r="AV31" t="s">
        <v>2050</v>
      </c>
      <c r="AW31" t="s">
        <v>1126</v>
      </c>
      <c r="AX31" t="s">
        <v>1087</v>
      </c>
      <c r="AY31" t="s">
        <v>571</v>
      </c>
      <c r="AZ31" t="s">
        <v>90</v>
      </c>
      <c r="BA31" t="s">
        <v>594</v>
      </c>
      <c r="BB31" t="s">
        <v>367</v>
      </c>
      <c r="BC31" t="s">
        <v>1088</v>
      </c>
      <c r="BD31" t="s">
        <v>593</v>
      </c>
      <c r="BE31" t="s">
        <v>596</v>
      </c>
      <c r="BF31" t="s">
        <v>597</v>
      </c>
      <c r="BG31" t="s">
        <v>598</v>
      </c>
      <c r="BH31" t="s">
        <v>2038</v>
      </c>
      <c r="BI31" t="s">
        <v>195</v>
      </c>
      <c r="BJ31" t="s">
        <v>1087</v>
      </c>
      <c r="BK31" t="s">
        <v>2039</v>
      </c>
      <c r="BL31" t="s">
        <v>2051</v>
      </c>
      <c r="BM31" t="s">
        <v>1088</v>
      </c>
      <c r="BN31">
        <v>0.95</v>
      </c>
      <c r="BO31">
        <v>14.23</v>
      </c>
      <c r="BP31">
        <v>2.7</v>
      </c>
      <c r="BQ31">
        <v>0.94</v>
      </c>
      <c r="BR31">
        <v>16.53</v>
      </c>
      <c r="BS31">
        <v>3.34</v>
      </c>
      <c r="BT31" t="s">
        <v>1017</v>
      </c>
      <c r="BU31" t="s">
        <v>107</v>
      </c>
      <c r="BV31">
        <v>16.98</v>
      </c>
      <c r="BW31">
        <v>20.65</v>
      </c>
      <c r="BX31">
        <v>20.36</v>
      </c>
      <c r="BY31">
        <v>-7.64</v>
      </c>
      <c r="BZ31">
        <v>4.6100000000000003</v>
      </c>
      <c r="CA31">
        <v>0.84</v>
      </c>
      <c r="CB31">
        <v>-0.77</v>
      </c>
      <c r="CC31">
        <v>-8.76</v>
      </c>
      <c r="CD31" t="s">
        <v>2052</v>
      </c>
      <c r="CE31" t="s">
        <v>212</v>
      </c>
      <c r="CF31" s="11">
        <v>-0.34210526315789463</v>
      </c>
      <c r="CG31" s="12">
        <v>-16.319436240578373</v>
      </c>
      <c r="CH31" s="11">
        <v>-5.3249098360538483E-2</v>
      </c>
      <c r="CI31" s="11">
        <v>0.20828789472579956</v>
      </c>
      <c r="CJ31" s="11">
        <v>0.48142164945602417</v>
      </c>
      <c r="CK31" s="11">
        <v>0.74858754873275757</v>
      </c>
      <c r="CL31" s="11">
        <v>-4.0650404989719391E-2</v>
      </c>
      <c r="CM31" s="12">
        <v>-2.4684765338897705</v>
      </c>
      <c r="CN31" s="12">
        <v>4.4650397300720215</v>
      </c>
      <c r="CO31" s="12">
        <v>1.3401014804840088</v>
      </c>
      <c r="CP31" s="12">
        <v>-3.7799303531646729</v>
      </c>
      <c r="CQ31" s="12">
        <v>-0.50860077142715454</v>
      </c>
      <c r="CR31">
        <v>-1105.6495771167918</v>
      </c>
      <c r="CS31">
        <v>-41.120632233322347</v>
      </c>
      <c r="CT31">
        <v>0</v>
      </c>
      <c r="CU31" s="11">
        <v>0.26887951791286469</v>
      </c>
      <c r="CV31" s="12">
        <v>-0.19037328958511351</v>
      </c>
      <c r="CW31">
        <v>0.06</v>
      </c>
      <c r="CX31" t="e">
        <v>#VALUE!</v>
      </c>
      <c r="CY31" t="s">
        <v>129</v>
      </c>
      <c r="CZ31">
        <v>0.26887951791286469</v>
      </c>
      <c r="DA31" t="e">
        <v>#VALUE!</v>
      </c>
      <c r="DB31" t="s">
        <v>130</v>
      </c>
      <c r="DC31">
        <v>0.25543554201722146</v>
      </c>
      <c r="DD31" t="e">
        <v>#VALUE!</v>
      </c>
      <c r="DE31" t="s">
        <v>130</v>
      </c>
      <c r="DF31">
        <v>0.23661397576332091</v>
      </c>
      <c r="DG31" t="e">
        <v>#VALUE!</v>
      </c>
      <c r="DH31" t="s">
        <v>130</v>
      </c>
      <c r="DI31">
        <v>0.21510361433029176</v>
      </c>
      <c r="DJ31" t="e">
        <v>#VALUE!</v>
      </c>
      <c r="DK31" t="s">
        <v>130</v>
      </c>
      <c r="DL31">
        <v>0.18821566253900526</v>
      </c>
      <c r="DM31">
        <v>-78530600</v>
      </c>
      <c r="DN31">
        <v>0.26887951791286469</v>
      </c>
      <c r="DO31">
        <v>2323950100</v>
      </c>
      <c r="DP31">
        <v>381278410</v>
      </c>
      <c r="DQ31">
        <v>2079</v>
      </c>
      <c r="DR31">
        <v>-0.61098478107075938</v>
      </c>
      <c r="DS31">
        <v>-16.129062950993259</v>
      </c>
      <c r="DT31" s="13">
        <v>7.6666666666666661E-2</v>
      </c>
      <c r="DU31">
        <v>-1.8566666666666667</v>
      </c>
      <c r="DV31">
        <v>-1.78</v>
      </c>
      <c r="DW31">
        <v>-2.0876000000000001</v>
      </c>
      <c r="DX31">
        <v>0.44499819819819647</v>
      </c>
      <c r="DY31">
        <v>-2.013577842162162</v>
      </c>
      <c r="DZ31">
        <v>4239</v>
      </c>
      <c r="EA31">
        <v>-2.0023143445250966</v>
      </c>
      <c r="EB31">
        <v>2</v>
      </c>
      <c r="EC31">
        <v>9.552676362889323E-2</v>
      </c>
      <c r="ED31">
        <v>0.61630886513107674</v>
      </c>
      <c r="EE31" s="14">
        <v>-2.0960000000000001</v>
      </c>
      <c r="EF31">
        <v>-2.0691000000000002</v>
      </c>
      <c r="EG31">
        <v>29.154998198198196</v>
      </c>
      <c r="EH31" t="s">
        <v>1443</v>
      </c>
      <c r="EI31">
        <v>0</v>
      </c>
      <c r="EJ31">
        <v>0</v>
      </c>
      <c r="EK31" s="10">
        <v>45470</v>
      </c>
      <c r="EL31" s="15">
        <v>0.31</v>
      </c>
      <c r="EM31" s="15">
        <v>-5.23</v>
      </c>
      <c r="EN31" s="15">
        <v>0.81</v>
      </c>
      <c r="EO31" s="15">
        <v>10.55</v>
      </c>
      <c r="EP31" s="15">
        <v>-2.69</v>
      </c>
    </row>
    <row r="32" spans="1:146" ht="108" x14ac:dyDescent="0.25">
      <c r="A32" s="7"/>
      <c r="B32" s="7"/>
      <c r="C32" s="7" t="str">
        <f>""&amp;CHAR(10)&amp;Basic_Fundamental_Information_Constructure(F32)&amp;CHAR(10)&amp;Basic_Fundamental_Information_Concatenate("")</f>
        <v xml:space="preserve">
市值30.308652亿, 利润4233.55万; PE72.92; 平均PE86.07; 平均PEG13.72, PB3.63; ROIC5.0633%; ROE5.3167%; 股利率.6039%; 毛利33.9633%; 净利8.56%; 上一年度营收增17.09%, 利润增18.86%; 当季营收增16.79%, 利润增-9.86%; 过往5年营收增6.27%, 利润增6.09%
Income profile:
</v>
      </c>
      <c r="D32" t="s">
        <v>599</v>
      </c>
      <c r="E32" t="s">
        <v>600</v>
      </c>
      <c r="F32">
        <v>8.2799999999999994</v>
      </c>
      <c r="G32">
        <v>1.72</v>
      </c>
      <c r="H32" t="s">
        <v>2053</v>
      </c>
      <c r="I32">
        <v>3030865200</v>
      </c>
      <c r="J32">
        <v>72.92</v>
      </c>
      <c r="K32">
        <v>3.63</v>
      </c>
      <c r="L32" t="s">
        <v>1467</v>
      </c>
      <c r="M32" t="s">
        <v>135</v>
      </c>
      <c r="N32" t="s">
        <v>39</v>
      </c>
      <c r="O32" t="s">
        <v>2054</v>
      </c>
      <c r="P32">
        <v>16.79</v>
      </c>
      <c r="Q32" t="s">
        <v>268</v>
      </c>
      <c r="R32">
        <v>7058634</v>
      </c>
      <c r="S32" s="6">
        <v>-9.8599999999999993E-2</v>
      </c>
      <c r="T32" t="s">
        <v>2055</v>
      </c>
      <c r="U32">
        <v>324212910</v>
      </c>
      <c r="V32">
        <v>366046520</v>
      </c>
      <c r="W32">
        <v>1.28</v>
      </c>
      <c r="X32">
        <v>0.09</v>
      </c>
      <c r="Y32">
        <v>7.18</v>
      </c>
      <c r="Z32" t="s">
        <v>2056</v>
      </c>
      <c r="AA32" t="s">
        <v>2057</v>
      </c>
      <c r="AB32" t="s">
        <v>2058</v>
      </c>
      <c r="AC32" t="s">
        <v>2059</v>
      </c>
      <c r="AD32" t="s">
        <v>5</v>
      </c>
      <c r="AE32">
        <v>-1401059</v>
      </c>
      <c r="AF32" t="s">
        <v>2060</v>
      </c>
      <c r="AG32" t="s">
        <v>2061</v>
      </c>
      <c r="AH32" t="s">
        <v>2062</v>
      </c>
      <c r="AI32" t="s">
        <v>215</v>
      </c>
      <c r="AJ32" t="s">
        <v>2063</v>
      </c>
      <c r="AK32" t="s">
        <v>5</v>
      </c>
      <c r="AL32" t="s">
        <v>2064</v>
      </c>
      <c r="AM32" t="s">
        <v>5</v>
      </c>
      <c r="AN32" t="s">
        <v>1397</v>
      </c>
      <c r="AO32" t="s">
        <v>5</v>
      </c>
      <c r="AP32" t="s">
        <v>5</v>
      </c>
      <c r="AQ32" t="s">
        <v>149</v>
      </c>
      <c r="AR32" t="s">
        <v>2065</v>
      </c>
      <c r="AS32" t="s">
        <v>104</v>
      </c>
      <c r="AT32" t="s">
        <v>5</v>
      </c>
      <c r="AU32" t="s">
        <v>2066</v>
      </c>
      <c r="AV32" t="s">
        <v>2067</v>
      </c>
      <c r="AW32" t="s">
        <v>2068</v>
      </c>
      <c r="AX32" t="s">
        <v>421</v>
      </c>
      <c r="AY32" t="s">
        <v>330</v>
      </c>
      <c r="AZ32" t="s">
        <v>238</v>
      </c>
      <c r="BA32" t="s">
        <v>237</v>
      </c>
      <c r="BB32" t="s">
        <v>249</v>
      </c>
      <c r="BC32" t="s">
        <v>2069</v>
      </c>
      <c r="BD32" t="s">
        <v>601</v>
      </c>
      <c r="BE32" t="s">
        <v>603</v>
      </c>
      <c r="BF32" t="s">
        <v>604</v>
      </c>
      <c r="BG32" t="s">
        <v>605</v>
      </c>
      <c r="BH32" t="s">
        <v>268</v>
      </c>
      <c r="BI32" t="s">
        <v>2070</v>
      </c>
      <c r="BJ32" t="s">
        <v>421</v>
      </c>
      <c r="BK32" t="s">
        <v>2055</v>
      </c>
      <c r="BL32" t="s">
        <v>2071</v>
      </c>
      <c r="BM32" t="s">
        <v>2069</v>
      </c>
      <c r="BN32">
        <v>3.55</v>
      </c>
      <c r="BO32">
        <v>5.04</v>
      </c>
      <c r="BP32">
        <v>6.6</v>
      </c>
      <c r="BQ32">
        <v>4</v>
      </c>
      <c r="BR32">
        <v>5.0599999999999996</v>
      </c>
      <c r="BS32">
        <v>6.89</v>
      </c>
      <c r="BT32" t="s">
        <v>1052</v>
      </c>
      <c r="BU32" t="s">
        <v>82</v>
      </c>
      <c r="BV32">
        <v>37.15</v>
      </c>
      <c r="BW32">
        <v>33.020000000000003</v>
      </c>
      <c r="BX32">
        <v>31.72</v>
      </c>
      <c r="BY32">
        <v>8.5500000000000007</v>
      </c>
      <c r="BZ32">
        <v>8.4700000000000006</v>
      </c>
      <c r="CA32">
        <v>8.66</v>
      </c>
      <c r="CB32">
        <v>-2.59</v>
      </c>
      <c r="CC32">
        <v>-14.81</v>
      </c>
      <c r="CD32" t="s">
        <v>2072</v>
      </c>
      <c r="CE32" t="s">
        <v>2073</v>
      </c>
      <c r="CF32" s="11">
        <v>0.16792214056825949</v>
      </c>
      <c r="CG32" s="12">
        <v>-9.8560226808336746E-2</v>
      </c>
      <c r="CH32" s="11">
        <v>0.17090068757534027</v>
      </c>
      <c r="CI32" s="11">
        <v>5.3527981042861938E-2</v>
      </c>
      <c r="CJ32" s="11">
        <v>0.15126051008701324</v>
      </c>
      <c r="CK32" s="11">
        <v>-7.512953132390976E-2</v>
      </c>
      <c r="CL32" s="11">
        <v>1.3123359531164169E-2</v>
      </c>
      <c r="CM32" s="12">
        <v>0.18860512971878052</v>
      </c>
      <c r="CN32" s="12">
        <v>2.8129536658525467E-2</v>
      </c>
      <c r="CO32" s="12">
        <v>4.1321244090795517E-2</v>
      </c>
      <c r="CP32" s="12">
        <v>-1.0166526772081852E-2</v>
      </c>
      <c r="CQ32" s="12">
        <v>5.669838935136795E-2</v>
      </c>
      <c r="CR32">
        <v>86.070544446674205</v>
      </c>
      <c r="CS32">
        <v>13.719350833481926</v>
      </c>
      <c r="CT32">
        <v>0.60386473429951693</v>
      </c>
      <c r="CU32" s="11">
        <v>6.273660138249397E-2</v>
      </c>
      <c r="CV32" s="12">
        <v>6.0917554609477523E-2</v>
      </c>
      <c r="CW32">
        <v>0.06</v>
      </c>
      <c r="CX32">
        <v>58.284297337500298</v>
      </c>
      <c r="CY32">
        <v>42444797.535687327</v>
      </c>
      <c r="CZ32">
        <v>6.273660138249397E-2</v>
      </c>
      <c r="DA32">
        <v>19.49297300837879</v>
      </c>
      <c r="DB32">
        <v>126910615.37594303</v>
      </c>
      <c r="DC32">
        <v>5.9599771313369271E-2</v>
      </c>
      <c r="DD32">
        <v>9.8945045007766712</v>
      </c>
      <c r="DE32">
        <v>250024162.38284731</v>
      </c>
      <c r="DF32">
        <v>5.5208209216594695E-2</v>
      </c>
      <c r="DG32">
        <v>6.1479031547232834</v>
      </c>
      <c r="DH32">
        <v>402391699.69673157</v>
      </c>
      <c r="DI32">
        <v>5.018928110599518E-2</v>
      </c>
      <c r="DJ32">
        <v>3.4172722003849394</v>
      </c>
      <c r="DK32">
        <v>723929805.68575454</v>
      </c>
      <c r="DL32">
        <v>4.3915620967745775E-2</v>
      </c>
      <c r="DM32">
        <v>42335500</v>
      </c>
      <c r="DN32">
        <v>6.273660138249397E-2</v>
      </c>
      <c r="DO32">
        <v>2473865200</v>
      </c>
      <c r="DP32">
        <v>697425860</v>
      </c>
      <c r="DQ32">
        <v>2120</v>
      </c>
      <c r="DR32">
        <v>0.10518553918576552</v>
      </c>
      <c r="DS32">
        <v>-0.15947778141781427</v>
      </c>
      <c r="DT32" s="13">
        <v>-0.14000000000000001</v>
      </c>
      <c r="DU32">
        <v>0.16666666666666666</v>
      </c>
      <c r="DV32">
        <v>2.6666666666666644E-2</v>
      </c>
      <c r="DW32">
        <v>-8.174881836596894</v>
      </c>
      <c r="DX32">
        <v>0.35649404388714867</v>
      </c>
      <c r="DY32">
        <v>-8.0256191474454894</v>
      </c>
      <c r="DZ32">
        <v>1651</v>
      </c>
      <c r="EA32">
        <v>-8.0173418064606548</v>
      </c>
      <c r="EB32">
        <v>8</v>
      </c>
      <c r="EC32">
        <v>0.12766574040916986</v>
      </c>
      <c r="ED32">
        <v>0.87147393178331545</v>
      </c>
      <c r="EE32" s="14">
        <v>2.0701999999999998</v>
      </c>
      <c r="EF32">
        <v>2.0432000000000001</v>
      </c>
      <c r="EG32">
        <v>21.146494043887149</v>
      </c>
      <c r="EH32" t="s">
        <v>1028</v>
      </c>
      <c r="EI32">
        <v>0</v>
      </c>
      <c r="EJ32">
        <v>0</v>
      </c>
      <c r="EK32" s="10">
        <v>45470</v>
      </c>
      <c r="EL32" s="15">
        <v>0</v>
      </c>
      <c r="EM32" s="15">
        <v>-5.05</v>
      </c>
      <c r="EN32" s="15">
        <v>0.25</v>
      </c>
      <c r="EO32" s="15">
        <v>12.37</v>
      </c>
      <c r="EP32" s="15">
        <v>-2.7</v>
      </c>
    </row>
    <row r="33" spans="1:146" ht="108" x14ac:dyDescent="0.25">
      <c r="A33" s="7"/>
      <c r="B33" s="7"/>
      <c r="C33" s="7" t="str">
        <f>""&amp;CHAR(10)&amp;Basic_Fundamental_Information_Constructure(F33)&amp;CHAR(10)&amp;Basic_Fundamental_Information_Concatenate("")</f>
        <v xml:space="preserve">
市值78.143865亿, 利润7.08亿; PE11.4; 平均PE14.4; 平均PEG.71, PB2.04; ROIC17.9567%; ROE19.79%; 股利率3.1342%; 毛利53.25%; 净利47.6433%; 上一年度营收增6.58%, 利润增2.46%; 当季营收增12.32%, 利润增-12.96%; 过往5年营收增20.18%, 利润增32.14%
Income profile:
</v>
      </c>
      <c r="D33" t="s">
        <v>606</v>
      </c>
      <c r="E33" t="s">
        <v>607</v>
      </c>
      <c r="F33">
        <v>33.82</v>
      </c>
      <c r="G33">
        <v>2.0499999999999998</v>
      </c>
      <c r="H33" t="s">
        <v>2074</v>
      </c>
      <c r="I33">
        <v>7814386500</v>
      </c>
      <c r="J33">
        <v>11.4</v>
      </c>
      <c r="K33">
        <v>2.04</v>
      </c>
      <c r="L33" t="s">
        <v>1467</v>
      </c>
      <c r="M33" t="s">
        <v>1064</v>
      </c>
      <c r="N33" t="s">
        <v>2075</v>
      </c>
      <c r="O33" t="s">
        <v>528</v>
      </c>
      <c r="P33">
        <v>12.3</v>
      </c>
      <c r="Q33" t="s">
        <v>1393</v>
      </c>
      <c r="R33">
        <v>147965660</v>
      </c>
      <c r="S33" s="5">
        <v>-0.13189999999999999</v>
      </c>
      <c r="T33" t="s">
        <v>565</v>
      </c>
      <c r="U33">
        <v>231058150</v>
      </c>
      <c r="V33">
        <v>231058150</v>
      </c>
      <c r="W33">
        <v>1.29</v>
      </c>
      <c r="X33">
        <v>0.08</v>
      </c>
      <c r="Y33">
        <v>36.94</v>
      </c>
      <c r="Z33" t="s">
        <v>426</v>
      </c>
      <c r="AA33" t="s">
        <v>218</v>
      </c>
      <c r="AB33" t="s">
        <v>2076</v>
      </c>
      <c r="AC33" t="s">
        <v>2077</v>
      </c>
      <c r="AD33" t="s">
        <v>5</v>
      </c>
      <c r="AE33">
        <v>-13967114</v>
      </c>
      <c r="AF33" t="s">
        <v>2078</v>
      </c>
      <c r="AG33" t="s">
        <v>5</v>
      </c>
      <c r="AH33" t="s">
        <v>2079</v>
      </c>
      <c r="AI33" t="s">
        <v>2080</v>
      </c>
      <c r="AJ33" t="s">
        <v>2081</v>
      </c>
      <c r="AK33" t="s">
        <v>2082</v>
      </c>
      <c r="AL33" t="s">
        <v>2083</v>
      </c>
      <c r="AM33" t="s">
        <v>5</v>
      </c>
      <c r="AN33" t="s">
        <v>2084</v>
      </c>
      <c r="AO33" t="s">
        <v>5</v>
      </c>
      <c r="AP33" t="s">
        <v>5</v>
      </c>
      <c r="AQ33" t="s">
        <v>1420</v>
      </c>
      <c r="AR33" t="s">
        <v>5</v>
      </c>
      <c r="AS33" t="s">
        <v>2085</v>
      </c>
      <c r="AT33" t="s">
        <v>5</v>
      </c>
      <c r="AU33" t="s">
        <v>655</v>
      </c>
      <c r="AV33" t="s">
        <v>2086</v>
      </c>
      <c r="AW33" t="s">
        <v>2087</v>
      </c>
      <c r="AX33" t="s">
        <v>1032</v>
      </c>
      <c r="AY33" t="s">
        <v>142</v>
      </c>
      <c r="AZ33" t="s">
        <v>575</v>
      </c>
      <c r="BA33" t="s">
        <v>316</v>
      </c>
      <c r="BB33" t="s">
        <v>610</v>
      </c>
      <c r="BC33" t="s">
        <v>1068</v>
      </c>
      <c r="BD33" t="s">
        <v>609</v>
      </c>
      <c r="BE33" t="s">
        <v>611</v>
      </c>
      <c r="BF33" t="s">
        <v>612</v>
      </c>
      <c r="BG33" t="s">
        <v>570</v>
      </c>
      <c r="BH33" t="s">
        <v>1393</v>
      </c>
      <c r="BI33" t="s">
        <v>238</v>
      </c>
      <c r="BJ33" t="s">
        <v>1032</v>
      </c>
      <c r="BK33" t="s">
        <v>565</v>
      </c>
      <c r="BL33" t="s">
        <v>786</v>
      </c>
      <c r="BM33" t="s">
        <v>1068</v>
      </c>
      <c r="BN33">
        <v>13.05</v>
      </c>
      <c r="BO33">
        <v>18.940000000000001</v>
      </c>
      <c r="BP33">
        <v>21.88</v>
      </c>
      <c r="BQ33">
        <v>13.95</v>
      </c>
      <c r="BR33">
        <v>21.36</v>
      </c>
      <c r="BS33">
        <v>24.06</v>
      </c>
      <c r="BT33" t="s">
        <v>2088</v>
      </c>
      <c r="BU33" t="s">
        <v>1486</v>
      </c>
      <c r="BV33">
        <v>51.65</v>
      </c>
      <c r="BW33">
        <v>53.81</v>
      </c>
      <c r="BX33">
        <v>54.29</v>
      </c>
      <c r="BY33">
        <v>46.44</v>
      </c>
      <c r="BZ33">
        <v>48.35</v>
      </c>
      <c r="CA33">
        <v>48.14</v>
      </c>
      <c r="CB33">
        <v>1.32</v>
      </c>
      <c r="CC33">
        <v>-6.37</v>
      </c>
      <c r="CD33" t="s">
        <v>2089</v>
      </c>
      <c r="CE33" t="s">
        <v>2090</v>
      </c>
      <c r="CF33" s="11">
        <v>0.12324929971988796</v>
      </c>
      <c r="CG33" s="12">
        <v>-0.12961376470588234</v>
      </c>
      <c r="CH33" s="11">
        <v>6.5780356526374817E-2</v>
      </c>
      <c r="CI33" s="11">
        <v>1.419446524232626E-2</v>
      </c>
      <c r="CJ33" s="11">
        <v>0.15397216379642487</v>
      </c>
      <c r="CK33" s="11">
        <v>0.22590355575084686</v>
      </c>
      <c r="CL33" s="11">
        <v>0.54898911714553833</v>
      </c>
      <c r="CM33" s="12">
        <v>2.4602025747299194E-2</v>
      </c>
      <c r="CN33" s="12">
        <v>1.617647148668766E-2</v>
      </c>
      <c r="CO33" s="12">
        <v>0.18260869383811951</v>
      </c>
      <c r="CP33" s="12">
        <v>0.45202019810676575</v>
      </c>
      <c r="CQ33" s="12">
        <v>0.93170732259750366</v>
      </c>
      <c r="CR33">
        <v>14.404399078341013</v>
      </c>
      <c r="CS33">
        <v>0.71390924006238221</v>
      </c>
      <c r="CT33">
        <v>3.1342400946185687</v>
      </c>
      <c r="CU33" s="11">
        <v>0.20176793169230223</v>
      </c>
      <c r="CV33" s="12">
        <v>0.32142294235527513</v>
      </c>
      <c r="CW33">
        <v>0.06</v>
      </c>
      <c r="CX33">
        <v>6.1149195760816628</v>
      </c>
      <c r="CY33">
        <v>802690278.90391505</v>
      </c>
      <c r="CZ33">
        <v>0.20176793169230223</v>
      </c>
      <c r="DA33">
        <v>1.820096332273011</v>
      </c>
      <c r="DB33">
        <v>2696772919.6345367</v>
      </c>
      <c r="DC33">
        <v>0.19167953510768709</v>
      </c>
      <c r="DD33">
        <v>0.78687866236649873</v>
      </c>
      <c r="DE33">
        <v>6237793366.055028</v>
      </c>
      <c r="DF33">
        <v>0.17755577988922597</v>
      </c>
      <c r="DG33">
        <v>0.40532750175821031</v>
      </c>
      <c r="DH33">
        <v>12109680391.063116</v>
      </c>
      <c r="DI33">
        <v>0.1614143453538418</v>
      </c>
      <c r="DJ33">
        <v>0.14603626883323323</v>
      </c>
      <c r="DK33">
        <v>33610736149.422951</v>
      </c>
      <c r="DL33">
        <v>0.14123755218461154</v>
      </c>
      <c r="DM33">
        <v>708000000</v>
      </c>
      <c r="DN33">
        <v>0.20176793169230223</v>
      </c>
      <c r="DO33">
        <v>4908386500</v>
      </c>
      <c r="DP33">
        <v>3436596500</v>
      </c>
      <c r="DQ33">
        <v>2228</v>
      </c>
      <c r="DR33">
        <v>-7.8518631972414266E-2</v>
      </c>
      <c r="DS33">
        <v>-0.4510367070611575</v>
      </c>
      <c r="DT33" s="13">
        <v>-9.000000000000008E-2</v>
      </c>
      <c r="DU33">
        <v>0.45</v>
      </c>
      <c r="DV33">
        <v>0.35999999999999993</v>
      </c>
      <c r="DW33">
        <v>-2.0636999999999999</v>
      </c>
      <c r="DX33">
        <v>0.31012585255936514</v>
      </c>
      <c r="DY33">
        <v>-2.0076520168080316</v>
      </c>
      <c r="DZ33">
        <v>3226</v>
      </c>
      <c r="EA33">
        <v>-2.0028212132419436</v>
      </c>
      <c r="EB33">
        <v>2</v>
      </c>
      <c r="EC33">
        <v>3.004048980743592E-2</v>
      </c>
      <c r="ED33">
        <v>0.25007514342168841</v>
      </c>
      <c r="EE33" s="14">
        <v>-3.0646</v>
      </c>
      <c r="EF33">
        <v>-3.0301999999999998</v>
      </c>
      <c r="EG33">
        <v>19.120125852559365</v>
      </c>
      <c r="EH33" t="s">
        <v>1460</v>
      </c>
      <c r="EI33">
        <v>0</v>
      </c>
      <c r="EJ33">
        <v>0</v>
      </c>
      <c r="EK33" s="10">
        <v>45470</v>
      </c>
      <c r="EL33" s="15">
        <v>-2.57</v>
      </c>
      <c r="EM33" s="15">
        <v>-4.7300000000000004</v>
      </c>
      <c r="EN33" s="15">
        <v>-2.2000000000000002</v>
      </c>
      <c r="EO33" s="15">
        <v>7.51</v>
      </c>
      <c r="EP33" s="15">
        <v>-3.44</v>
      </c>
    </row>
    <row r="34" spans="1:146" ht="108" x14ac:dyDescent="0.25">
      <c r="A34" s="7"/>
      <c r="B34" s="7"/>
      <c r="C34" s="7" t="str">
        <f>""&amp;CHAR(10)&amp;Basic_Fundamental_Information_Constructure(F34)&amp;CHAR(10)&amp;Basic_Fundamental_Information_Concatenate("")</f>
        <v xml:space="preserve">
市值58.470938亿, 利润4158.29万; PE140.3; 平均PE131.17; 平均PEG11.39, PB8.35; ROIC8.1167%; ROE6.21%; 股利率.094%; 毛利40.49%; 净利12.49%; 上一年度营收增10.52%, 利润增26.21%; 当季营收增128.47%, 利润增.69%; 过往5年营收增11.51%, 利润增32.17%
Income profile:
</v>
      </c>
      <c r="D34" t="s">
        <v>613</v>
      </c>
      <c r="E34" t="s">
        <v>614</v>
      </c>
      <c r="F34">
        <v>53.17</v>
      </c>
      <c r="G34">
        <v>7.37</v>
      </c>
      <c r="H34" t="s">
        <v>2091</v>
      </c>
      <c r="I34">
        <v>5847093800</v>
      </c>
      <c r="J34">
        <v>140.30000000000001</v>
      </c>
      <c r="K34">
        <v>8.35</v>
      </c>
      <c r="L34" t="s">
        <v>1467</v>
      </c>
      <c r="M34" t="s">
        <v>439</v>
      </c>
      <c r="N34" t="s">
        <v>277</v>
      </c>
      <c r="O34" t="s">
        <v>27</v>
      </c>
      <c r="P34">
        <v>128.26</v>
      </c>
      <c r="Q34" t="s">
        <v>2092</v>
      </c>
      <c r="R34">
        <v>11724921</v>
      </c>
      <c r="S34" s="5">
        <v>6.8799999999999998E-3</v>
      </c>
      <c r="T34" t="s">
        <v>2093</v>
      </c>
      <c r="U34">
        <v>81102641</v>
      </c>
      <c r="V34">
        <v>109969792</v>
      </c>
      <c r="W34">
        <v>1.33</v>
      </c>
      <c r="X34">
        <v>0.16</v>
      </c>
      <c r="Y34">
        <v>8.91</v>
      </c>
      <c r="Z34" t="s">
        <v>1224</v>
      </c>
      <c r="AA34" t="s">
        <v>186</v>
      </c>
      <c r="AB34" t="s">
        <v>2094</v>
      </c>
      <c r="AC34" t="s">
        <v>2095</v>
      </c>
      <c r="AD34" t="s">
        <v>5</v>
      </c>
      <c r="AE34">
        <v>292370</v>
      </c>
      <c r="AF34" t="s">
        <v>2096</v>
      </c>
      <c r="AG34" t="s">
        <v>2097</v>
      </c>
      <c r="AH34" t="s">
        <v>2098</v>
      </c>
      <c r="AI34" t="s">
        <v>892</v>
      </c>
      <c r="AJ34" t="s">
        <v>2099</v>
      </c>
      <c r="AK34" t="s">
        <v>2100</v>
      </c>
      <c r="AL34" t="s">
        <v>2101</v>
      </c>
      <c r="AM34" t="s">
        <v>5</v>
      </c>
      <c r="AN34">
        <v>0</v>
      </c>
      <c r="AO34" t="s">
        <v>2102</v>
      </c>
      <c r="AP34" t="s">
        <v>1284</v>
      </c>
      <c r="AQ34" t="s">
        <v>2103</v>
      </c>
      <c r="AR34" t="s">
        <v>5</v>
      </c>
      <c r="AS34" t="s">
        <v>315</v>
      </c>
      <c r="AT34" t="s">
        <v>5</v>
      </c>
      <c r="AU34" t="s">
        <v>2104</v>
      </c>
      <c r="AV34" t="s">
        <v>2105</v>
      </c>
      <c r="AW34" t="s">
        <v>2106</v>
      </c>
      <c r="AX34" t="s">
        <v>306</v>
      </c>
      <c r="AY34" t="s">
        <v>615</v>
      </c>
      <c r="AZ34" t="s">
        <v>355</v>
      </c>
      <c r="BA34" t="s">
        <v>617</v>
      </c>
      <c r="BB34" t="s">
        <v>618</v>
      </c>
      <c r="BC34" t="s">
        <v>2107</v>
      </c>
      <c r="BD34" t="s">
        <v>616</v>
      </c>
      <c r="BE34" t="s">
        <v>619</v>
      </c>
      <c r="BF34" t="s">
        <v>620</v>
      </c>
      <c r="BG34" t="s">
        <v>621</v>
      </c>
      <c r="BH34" t="s">
        <v>2092</v>
      </c>
      <c r="BI34" t="s">
        <v>2108</v>
      </c>
      <c r="BJ34" t="s">
        <v>306</v>
      </c>
      <c r="BK34" t="s">
        <v>2093</v>
      </c>
      <c r="BL34" t="s">
        <v>2109</v>
      </c>
      <c r="BM34" t="s">
        <v>2107</v>
      </c>
      <c r="BN34">
        <v>5.82</v>
      </c>
      <c r="BO34">
        <v>6.86</v>
      </c>
      <c r="BP34">
        <v>11.67</v>
      </c>
      <c r="BQ34">
        <v>4.8</v>
      </c>
      <c r="BR34">
        <v>4.82</v>
      </c>
      <c r="BS34">
        <v>9.01</v>
      </c>
      <c r="BT34" t="s">
        <v>1052</v>
      </c>
      <c r="BU34" t="s">
        <v>107</v>
      </c>
      <c r="BV34">
        <v>39.840000000000003</v>
      </c>
      <c r="BW34">
        <v>43.16</v>
      </c>
      <c r="BX34">
        <v>38.47</v>
      </c>
      <c r="BY34">
        <v>12.32</v>
      </c>
      <c r="BZ34">
        <v>11.28</v>
      </c>
      <c r="CA34">
        <v>13.87</v>
      </c>
      <c r="CB34">
        <v>1.9</v>
      </c>
      <c r="CC34">
        <v>12.77</v>
      </c>
      <c r="CD34" t="s">
        <v>2110</v>
      </c>
      <c r="CE34" t="s">
        <v>289</v>
      </c>
      <c r="CF34" s="11">
        <v>1.2846757967157785</v>
      </c>
      <c r="CG34" s="12">
        <v>6.871763604668138E-3</v>
      </c>
      <c r="CH34" s="11">
        <v>0.10515464097261429</v>
      </c>
      <c r="CI34" s="11">
        <v>-0.22275641560554504</v>
      </c>
      <c r="CJ34" s="11">
        <v>0.94999998807907104</v>
      </c>
      <c r="CK34" s="11">
        <v>-0.18575063347816467</v>
      </c>
      <c r="CL34" s="11">
        <v>-7.0921987295150757E-2</v>
      </c>
      <c r="CM34" s="12">
        <v>0.26211106777191162</v>
      </c>
      <c r="CN34" s="12">
        <v>-0.4385838508605957</v>
      </c>
      <c r="CO34" s="12">
        <v>2.6806926727294922</v>
      </c>
      <c r="CP34" s="12">
        <v>-0.69707125425338745</v>
      </c>
      <c r="CQ34" s="12">
        <v>-0.19851531088352203</v>
      </c>
      <c r="CR34">
        <v>131.16771416201243</v>
      </c>
      <c r="CS34">
        <v>11.391513234027173</v>
      </c>
      <c r="CT34">
        <v>9.4037991348504796E-2</v>
      </c>
      <c r="CU34" s="11">
        <v>0.11514511853456497</v>
      </c>
      <c r="CV34" s="12">
        <v>0.32172666490077972</v>
      </c>
      <c r="CW34">
        <v>0.06</v>
      </c>
      <c r="CX34">
        <v>122.54994189872055</v>
      </c>
      <c r="CY34">
        <v>43746196.178783916</v>
      </c>
      <c r="CZ34">
        <v>0.11514511853456497</v>
      </c>
      <c r="DA34">
        <v>39.206865226326919</v>
      </c>
      <c r="DB34">
        <v>136738649.44448793</v>
      </c>
      <c r="DC34">
        <v>0.10938786260783671</v>
      </c>
      <c r="DD34">
        <v>18.755292723733181</v>
      </c>
      <c r="DE34">
        <v>285844314.93388557</v>
      </c>
      <c r="DF34">
        <v>0.10132770431041717</v>
      </c>
      <c r="DG34">
        <v>10.900529481846219</v>
      </c>
      <c r="DH34">
        <v>491819577.10663366</v>
      </c>
      <c r="DI34">
        <v>9.2116094827651984E-2</v>
      </c>
      <c r="DJ34">
        <v>5.2343106690101902</v>
      </c>
      <c r="DK34">
        <v>1024221552.5609573</v>
      </c>
      <c r="DL34">
        <v>8.0601582974195465E-2</v>
      </c>
      <c r="DM34">
        <v>41582900</v>
      </c>
      <c r="DN34">
        <v>0.11514511853456497</v>
      </c>
      <c r="DO34">
        <v>5361093800</v>
      </c>
      <c r="DP34">
        <v>389762030</v>
      </c>
      <c r="DQ34">
        <v>2239</v>
      </c>
      <c r="DR34">
        <v>1.1695306781812136</v>
      </c>
      <c r="DS34">
        <v>-0.3148549012961116</v>
      </c>
      <c r="DT34" s="13">
        <v>-0.44</v>
      </c>
      <c r="DU34">
        <v>8.500000000000002E-2</v>
      </c>
      <c r="DV34">
        <v>-0.35499999999999998</v>
      </c>
      <c r="DW34">
        <v>2.1276999999999999</v>
      </c>
      <c r="DX34">
        <v>0.66476703296703143</v>
      </c>
      <c r="DY34">
        <v>2.0414727501098899</v>
      </c>
      <c r="DZ34">
        <v>4167</v>
      </c>
      <c r="EA34">
        <v>2.0076533861748778</v>
      </c>
      <c r="EB34">
        <v>2</v>
      </c>
      <c r="EC34">
        <v>0.80623413382467801</v>
      </c>
      <c r="ED34">
        <v>2.4824999214329697</v>
      </c>
      <c r="EE34" s="14">
        <v>4.0301999999999998</v>
      </c>
      <c r="EF34">
        <v>4.0189000000000004</v>
      </c>
      <c r="EG34">
        <v>34.324767032967031</v>
      </c>
      <c r="EH34" t="s">
        <v>1053</v>
      </c>
      <c r="EI34">
        <v>1</v>
      </c>
      <c r="EJ34">
        <v>0</v>
      </c>
      <c r="EK34" s="10">
        <v>45470</v>
      </c>
      <c r="EL34" s="15">
        <v>-1.76</v>
      </c>
      <c r="EM34" s="15">
        <v>-5.67</v>
      </c>
      <c r="EN34" s="15">
        <v>4.53</v>
      </c>
      <c r="EO34" s="15">
        <v>4.57</v>
      </c>
      <c r="EP34" s="15">
        <v>-1.1299999999999999</v>
      </c>
    </row>
    <row r="35" spans="1:146" ht="168" x14ac:dyDescent="0.25">
      <c r="A35" s="7"/>
      <c r="B35" s="7" t="s">
        <v>984</v>
      </c>
      <c r="C35" s="7" t="str">
        <f>"公司主营业务为运营消费内容平台什么值得买网站(www.smzdm.com)及相应的移动端，主要产品为信息推广、互联网效果营销平台。"&amp;CHAR(10)&amp;Basic_Fundamental_Information_Constructure(F35)&amp;CHAR(10)&amp;Basic_Fundamental_Information_Concatenate("信息推广收入 3.05亿 50.25% 56.09% 56.80%
互联网效果营销平台收入 1.93亿 31.77% 39.23% 62.84%
运营服务费收入 5984.17万 9.87% 3.46% 17.84%")</f>
        <v>公司主营业务为运营消费内容平台什么值得买网站(www.smzdm.com)及相应的移动端，主要产品为信息推广、互联网效果营销平台。
市值33.666193亿, 利润7477.53万; PE63.82; 平均PE28.39; 平均PEG1.11, PB1.84; ROIC4.6933%; ROE5.3633%; 股利率.8269%; 毛利53.16%; 净利8.34%; 上一年度营收增18.24%, 利润增-11.92%; 当季营收增16.54%, 利润增-3203.08%; 过往5年营收增25.54%, 利润增1.23%
Income profile:
信息推广收入 3.05亿 50.25% 56.09% 56.80%
互联网效果营销平台收入 1.93亿 31.77% 39.23% 62.84%
运营服务费收入 5984.17万 9.87% 3.46% 17.84%</v>
      </c>
      <c r="D35" t="s">
        <v>622</v>
      </c>
      <c r="E35" t="s">
        <v>623</v>
      </c>
      <c r="F35">
        <v>16.93</v>
      </c>
      <c r="G35">
        <v>1.38</v>
      </c>
      <c r="H35" t="s">
        <v>2111</v>
      </c>
      <c r="I35">
        <v>3366619300</v>
      </c>
      <c r="J35">
        <v>63.82</v>
      </c>
      <c r="K35">
        <v>1.84</v>
      </c>
      <c r="L35" t="s">
        <v>1467</v>
      </c>
      <c r="M35" t="s">
        <v>528</v>
      </c>
      <c r="N35" t="s">
        <v>1368</v>
      </c>
      <c r="O35" t="s">
        <v>580</v>
      </c>
      <c r="P35">
        <v>16.850000000000001</v>
      </c>
      <c r="Q35" t="s">
        <v>698</v>
      </c>
      <c r="R35">
        <v>-22711946</v>
      </c>
      <c r="S35" s="5">
        <v>-32.03</v>
      </c>
      <c r="T35" t="s">
        <v>2112</v>
      </c>
      <c r="U35">
        <v>113812976</v>
      </c>
      <c r="V35">
        <v>198855240</v>
      </c>
      <c r="W35">
        <v>1.17</v>
      </c>
      <c r="X35">
        <v>0.13</v>
      </c>
      <c r="Y35">
        <v>-7.24</v>
      </c>
      <c r="Z35" t="s">
        <v>1383</v>
      </c>
      <c r="AA35" t="s">
        <v>554</v>
      </c>
      <c r="AB35" t="s">
        <v>2113</v>
      </c>
      <c r="AC35" t="s">
        <v>2114</v>
      </c>
      <c r="AD35" t="s">
        <v>5</v>
      </c>
      <c r="AE35">
        <v>-1090661</v>
      </c>
      <c r="AF35" t="s">
        <v>2115</v>
      </c>
      <c r="AG35" t="s">
        <v>2116</v>
      </c>
      <c r="AH35" t="s">
        <v>2117</v>
      </c>
      <c r="AI35" t="s">
        <v>1068</v>
      </c>
      <c r="AJ35" t="s">
        <v>2118</v>
      </c>
      <c r="AK35" t="s">
        <v>5</v>
      </c>
      <c r="AL35" t="s">
        <v>2119</v>
      </c>
      <c r="AM35" t="s">
        <v>5</v>
      </c>
      <c r="AN35" t="s">
        <v>2120</v>
      </c>
      <c r="AO35" t="s">
        <v>2121</v>
      </c>
      <c r="AP35" t="s">
        <v>2122</v>
      </c>
      <c r="AQ35" t="s">
        <v>2123</v>
      </c>
      <c r="AR35" t="s">
        <v>5</v>
      </c>
      <c r="AS35" t="s">
        <v>570</v>
      </c>
      <c r="AT35" t="s">
        <v>2124</v>
      </c>
      <c r="AU35" t="s">
        <v>2125</v>
      </c>
      <c r="AV35" t="s">
        <v>2126</v>
      </c>
      <c r="AW35" t="s">
        <v>2127</v>
      </c>
      <c r="AX35" t="s">
        <v>1031</v>
      </c>
      <c r="AY35" t="s">
        <v>624</v>
      </c>
      <c r="AZ35" t="s">
        <v>589</v>
      </c>
      <c r="BA35" t="s">
        <v>427</v>
      </c>
      <c r="BB35" t="s">
        <v>625</v>
      </c>
      <c r="BC35" t="s">
        <v>1089</v>
      </c>
      <c r="BD35" t="s">
        <v>207</v>
      </c>
      <c r="BE35" t="s">
        <v>147</v>
      </c>
      <c r="BF35" t="s">
        <v>245</v>
      </c>
      <c r="BG35" t="s">
        <v>626</v>
      </c>
      <c r="BH35" t="s">
        <v>698</v>
      </c>
      <c r="BI35" t="s">
        <v>436</v>
      </c>
      <c r="BJ35" t="s">
        <v>1031</v>
      </c>
      <c r="BK35" t="s">
        <v>2112</v>
      </c>
      <c r="BL35" t="s">
        <v>2128</v>
      </c>
      <c r="BM35" t="s">
        <v>1089</v>
      </c>
      <c r="BN35">
        <v>0.77</v>
      </c>
      <c r="BO35">
        <v>4.1900000000000004</v>
      </c>
      <c r="BP35">
        <v>9.1199999999999992</v>
      </c>
      <c r="BQ35">
        <v>0.78</v>
      </c>
      <c r="BR35">
        <v>4.72</v>
      </c>
      <c r="BS35">
        <v>10.59</v>
      </c>
      <c r="BT35" t="s">
        <v>2129</v>
      </c>
      <c r="BU35" t="s">
        <v>159</v>
      </c>
      <c r="BV35">
        <v>48.37</v>
      </c>
      <c r="BW35">
        <v>53.98</v>
      </c>
      <c r="BX35">
        <v>57.13</v>
      </c>
      <c r="BY35">
        <v>5.47</v>
      </c>
      <c r="BZ35">
        <v>6.87</v>
      </c>
      <c r="CA35">
        <v>12.68</v>
      </c>
      <c r="CB35">
        <v>0.12</v>
      </c>
      <c r="CC35">
        <v>-17.739999999999998</v>
      </c>
      <c r="CD35" t="s">
        <v>2130</v>
      </c>
      <c r="CE35" t="s">
        <v>158</v>
      </c>
      <c r="CF35" s="11">
        <v>0.16535433070866143</v>
      </c>
      <c r="CG35" s="12">
        <v>-32.030753344968005</v>
      </c>
      <c r="CH35" s="11">
        <v>0.18241041898727417</v>
      </c>
      <c r="CI35" s="11">
        <v>-0.12473275512456894</v>
      </c>
      <c r="CJ35" s="11">
        <v>0.54175829887390137</v>
      </c>
      <c r="CK35" s="11">
        <v>0.37462234497070313</v>
      </c>
      <c r="CL35" s="11">
        <v>0.30314961075782776</v>
      </c>
      <c r="CM35" s="12">
        <v>-0.11919736117124557</v>
      </c>
      <c r="CN35" s="12">
        <v>-0.52836388349533081</v>
      </c>
      <c r="CO35" s="12">
        <v>0.14649681746959686</v>
      </c>
      <c r="CP35" s="12">
        <v>0.31932774186134338</v>
      </c>
      <c r="CQ35" s="12">
        <v>0.24321974813938141</v>
      </c>
      <c r="CR35">
        <v>28.394754206207857</v>
      </c>
      <c r="CS35">
        <v>1.1115948231956925</v>
      </c>
      <c r="CT35">
        <v>0.8269344359125812</v>
      </c>
      <c r="CU35" s="11">
        <v>0.2554415836930275</v>
      </c>
      <c r="CV35" s="12">
        <v>1.2296612560749053E-2</v>
      </c>
      <c r="CW35">
        <v>0.06</v>
      </c>
      <c r="CX35">
        <v>21.754399420533382</v>
      </c>
      <c r="CY35">
        <v>88562284.012378514</v>
      </c>
      <c r="CZ35">
        <v>0.2554415836930275</v>
      </c>
      <c r="DA35">
        <v>6.1967666312732437</v>
      </c>
      <c r="DB35">
        <v>310907189.93304086</v>
      </c>
      <c r="DC35">
        <v>0.2426695045083761</v>
      </c>
      <c r="DD35">
        <v>2.5124815713123159</v>
      </c>
      <c r="DE35">
        <v>766819276.2081399</v>
      </c>
      <c r="DF35">
        <v>0.2247885936498642</v>
      </c>
      <c r="DG35">
        <v>1.194709198771621</v>
      </c>
      <c r="DH35">
        <v>1612626153.6957414</v>
      </c>
      <c r="DI35">
        <v>0.20435326695442202</v>
      </c>
      <c r="DJ35">
        <v>0.35232703085343253</v>
      </c>
      <c r="DK35">
        <v>5468269906.3231125</v>
      </c>
      <c r="DL35">
        <v>0.17880910858511923</v>
      </c>
      <c r="DM35">
        <v>74775300</v>
      </c>
      <c r="DN35">
        <v>0.2554415836930275</v>
      </c>
      <c r="DO35">
        <v>1926619300</v>
      </c>
      <c r="DP35">
        <v>1178211300</v>
      </c>
      <c r="DQ35">
        <v>2243</v>
      </c>
      <c r="DR35">
        <v>-9.0087252984366067E-2</v>
      </c>
      <c r="DS35">
        <v>-32.043049957528751</v>
      </c>
      <c r="DT35" s="13">
        <v>7.6666666666666591E-2</v>
      </c>
      <c r="DU35">
        <v>-0.83166666666666667</v>
      </c>
      <c r="DV35">
        <v>-0.75500000000000012</v>
      </c>
      <c r="DW35">
        <v>-3.0196785714285714</v>
      </c>
      <c r="DX35">
        <v>0.30125971223021636</v>
      </c>
      <c r="DY35">
        <v>-3.0023862179085303</v>
      </c>
      <c r="DZ35" t="s">
        <v>2131</v>
      </c>
      <c r="EA35" t="e">
        <v>#VALUE!</v>
      </c>
      <c r="EB35" t="e">
        <v>#VALUE!</v>
      </c>
      <c r="EC35">
        <v>8.4760653025789015E-2</v>
      </c>
      <c r="ED35">
        <v>0.69900094158946979</v>
      </c>
      <c r="EE35" s="14">
        <v>1.10721</v>
      </c>
      <c r="EF35">
        <v>1.0250999999999999</v>
      </c>
      <c r="EG35">
        <v>18.121259712230216</v>
      </c>
      <c r="EH35" t="s">
        <v>83</v>
      </c>
      <c r="EI35" t="e">
        <v>#VALUE!</v>
      </c>
      <c r="EJ35">
        <v>0</v>
      </c>
      <c r="EK35" s="10">
        <v>45470</v>
      </c>
      <c r="EL35" s="15">
        <v>-3</v>
      </c>
      <c r="EM35" s="15">
        <v>-4.38</v>
      </c>
      <c r="EN35" s="15">
        <v>-0.55000000000000004</v>
      </c>
      <c r="EO35" s="15">
        <v>0.4</v>
      </c>
      <c r="EP35" s="15">
        <v>13.23</v>
      </c>
    </row>
    <row r="36" spans="1:146" ht="108" x14ac:dyDescent="0.25">
      <c r="A36" s="7"/>
      <c r="B36" s="7"/>
      <c r="C36" s="7" t="str">
        <f>""&amp;CHAR(10)&amp;Basic_Fundamental_Information_Constructure(F36)&amp;CHAR(10)&amp;Basic_Fundamental_Information_Concatenate("")</f>
        <v xml:space="preserve">
市值46.415985亿, 利润1.16亿; PE41.37; 平均PE22.75; 平均PEG17.82, PB2.17; ROIC6.9233%; ROE8.18%; 股利率1.27%; 毛利34.8633%; 净利8.47%; 上一年度营收增-4.66%, 利润增-7.94%; 当季营收增-5.85%, 利润增-9.89%; 过往5年营收增1.28%, 利润增-7.29%
Income profile:
</v>
      </c>
      <c r="D36" t="s">
        <v>627</v>
      </c>
      <c r="E36" t="s">
        <v>628</v>
      </c>
      <c r="F36">
        <v>24.41</v>
      </c>
      <c r="G36">
        <v>0.04</v>
      </c>
      <c r="H36" t="s">
        <v>2132</v>
      </c>
      <c r="I36">
        <v>4641598500</v>
      </c>
      <c r="J36">
        <v>41.37</v>
      </c>
      <c r="K36">
        <v>2.17</v>
      </c>
      <c r="L36" t="s">
        <v>1467</v>
      </c>
      <c r="M36" t="s">
        <v>1657</v>
      </c>
      <c r="N36" t="s">
        <v>2133</v>
      </c>
      <c r="O36" t="s">
        <v>507</v>
      </c>
      <c r="P36">
        <v>-5.79</v>
      </c>
      <c r="Q36" t="s">
        <v>2134</v>
      </c>
      <c r="R36">
        <v>37875378</v>
      </c>
      <c r="S36" s="5">
        <v>-9.8900000000000002E-2</v>
      </c>
      <c r="T36" t="s">
        <v>276</v>
      </c>
      <c r="U36">
        <v>190151520</v>
      </c>
      <c r="V36">
        <v>190151520</v>
      </c>
      <c r="W36">
        <v>1.54</v>
      </c>
      <c r="X36">
        <v>0.12</v>
      </c>
      <c r="Y36">
        <v>9.51</v>
      </c>
      <c r="Z36" t="s">
        <v>1241</v>
      </c>
      <c r="AA36" t="s">
        <v>315</v>
      </c>
      <c r="AB36" t="s">
        <v>2135</v>
      </c>
      <c r="AC36" t="s">
        <v>2136</v>
      </c>
      <c r="AD36" t="s">
        <v>5</v>
      </c>
      <c r="AE36">
        <v>-3974232</v>
      </c>
      <c r="AF36" t="s">
        <v>2137</v>
      </c>
      <c r="AG36" t="s">
        <v>2138</v>
      </c>
      <c r="AH36" t="s">
        <v>2139</v>
      </c>
      <c r="AI36" t="s">
        <v>2140</v>
      </c>
      <c r="AJ36" t="s">
        <v>2141</v>
      </c>
      <c r="AK36" t="s">
        <v>5</v>
      </c>
      <c r="AL36" t="s">
        <v>2142</v>
      </c>
      <c r="AM36" t="s">
        <v>5</v>
      </c>
      <c r="AN36">
        <v>0</v>
      </c>
      <c r="AO36" t="s">
        <v>5</v>
      </c>
      <c r="AP36" t="s">
        <v>2143</v>
      </c>
      <c r="AQ36" t="s">
        <v>1299</v>
      </c>
      <c r="AR36" t="s">
        <v>5</v>
      </c>
      <c r="AS36" t="s">
        <v>371</v>
      </c>
      <c r="AT36" t="s">
        <v>5</v>
      </c>
      <c r="AU36" t="s">
        <v>2144</v>
      </c>
      <c r="AV36" t="s">
        <v>2145</v>
      </c>
      <c r="AW36" t="s">
        <v>2146</v>
      </c>
      <c r="AX36" t="s">
        <v>1090</v>
      </c>
      <c r="AY36" t="s">
        <v>629</v>
      </c>
      <c r="AZ36" t="s">
        <v>631</v>
      </c>
      <c r="BA36" t="s">
        <v>87</v>
      </c>
      <c r="BB36" t="s">
        <v>632</v>
      </c>
      <c r="BC36" t="s">
        <v>488</v>
      </c>
      <c r="BD36" t="s">
        <v>630</v>
      </c>
      <c r="BE36" t="s">
        <v>177</v>
      </c>
      <c r="BF36" t="s">
        <v>445</v>
      </c>
      <c r="BG36" t="s">
        <v>634</v>
      </c>
      <c r="BH36" t="s">
        <v>2134</v>
      </c>
      <c r="BI36" t="s">
        <v>1448</v>
      </c>
      <c r="BJ36" t="s">
        <v>1090</v>
      </c>
      <c r="BK36" t="s">
        <v>276</v>
      </c>
      <c r="BL36" t="s">
        <v>2147</v>
      </c>
      <c r="BM36" t="s">
        <v>488</v>
      </c>
      <c r="BN36">
        <v>5.63</v>
      </c>
      <c r="BO36">
        <v>4.1900000000000004</v>
      </c>
      <c r="BP36">
        <v>10.95</v>
      </c>
      <c r="BQ36">
        <v>6.03</v>
      </c>
      <c r="BR36">
        <v>6.16</v>
      </c>
      <c r="BS36">
        <v>12.35</v>
      </c>
      <c r="BT36" t="s">
        <v>2148</v>
      </c>
      <c r="BU36" t="s">
        <v>82</v>
      </c>
      <c r="BV36">
        <v>34.869999999999997</v>
      </c>
      <c r="BW36">
        <v>34.24</v>
      </c>
      <c r="BX36">
        <v>35.479999999999997</v>
      </c>
      <c r="BY36">
        <v>6.96</v>
      </c>
      <c r="BZ36">
        <v>6.09</v>
      </c>
      <c r="CA36">
        <v>12.36</v>
      </c>
      <c r="CB36">
        <v>-1.61</v>
      </c>
      <c r="CC36">
        <v>-8.58</v>
      </c>
      <c r="CD36" t="s">
        <v>2149</v>
      </c>
      <c r="CE36" t="s">
        <v>2150</v>
      </c>
      <c r="CF36" s="11">
        <v>-5.8548009367681508E-2</v>
      </c>
      <c r="CG36" s="12">
        <v>-9.8917569920919657E-2</v>
      </c>
      <c r="CH36" s="11">
        <v>-4.6640753746032715E-2</v>
      </c>
      <c r="CI36" s="11">
        <v>-6.2955223023891449E-2</v>
      </c>
      <c r="CJ36" s="11">
        <v>1.5856236219406128E-2</v>
      </c>
      <c r="CK36" s="11">
        <v>2.1186440717428923E-3</v>
      </c>
      <c r="CL36" s="11">
        <v>0.15544675290584564</v>
      </c>
      <c r="CM36" s="12">
        <v>-7.9365082085132599E-2</v>
      </c>
      <c r="CN36" s="12">
        <v>-0.47933885455131531</v>
      </c>
      <c r="CO36" s="12">
        <v>-0.14184397459030151</v>
      </c>
      <c r="CP36" s="12">
        <v>0.12350597977638245</v>
      </c>
      <c r="CQ36" s="12">
        <v>0.21256038546562195</v>
      </c>
      <c r="CR36">
        <v>22.752933823529411</v>
      </c>
      <c r="CS36">
        <v>17.824285011097171</v>
      </c>
      <c r="CT36">
        <v>1.2699713232281853</v>
      </c>
      <c r="CU36" s="11">
        <v>1.2765131285414099E-2</v>
      </c>
      <c r="CV36" s="12">
        <v>-7.2896309196949005E-2</v>
      </c>
      <c r="CW36">
        <v>0.06</v>
      </c>
      <c r="CX36">
        <v>33.849751835904961</v>
      </c>
      <c r="CY36">
        <v>110830901.15953586</v>
      </c>
      <c r="CZ36">
        <v>1.2765131285414099E-2</v>
      </c>
      <c r="DA36">
        <v>11.815981151795357</v>
      </c>
      <c r="DB36">
        <v>317502072.13473511</v>
      </c>
      <c r="DC36">
        <v>1.2126874721143394E-2</v>
      </c>
      <c r="DD36">
        <v>6.3356896408201369</v>
      </c>
      <c r="DE36">
        <v>592137354.05043709</v>
      </c>
      <c r="DF36">
        <v>1.1233315531164408E-2</v>
      </c>
      <c r="DG36">
        <v>4.1738161326370671</v>
      </c>
      <c r="DH36">
        <v>898841343.45652056</v>
      </c>
      <c r="DI36">
        <v>1.0212105028331281E-2</v>
      </c>
      <c r="DJ36">
        <v>2.6086420889329309</v>
      </c>
      <c r="DK36">
        <v>1438142287.0987246</v>
      </c>
      <c r="DL36">
        <v>8.935591899789869E-3</v>
      </c>
      <c r="DM36">
        <v>115999999.99999999</v>
      </c>
      <c r="DN36">
        <v>1.2765131285414099E-2</v>
      </c>
      <c r="DO36">
        <v>3751598500</v>
      </c>
      <c r="DP36">
        <v>1659250500</v>
      </c>
      <c r="DQ36">
        <v>2246</v>
      </c>
      <c r="DR36">
        <v>-7.1313140653095602E-2</v>
      </c>
      <c r="DS36">
        <v>-2.6021260723970652E-2</v>
      </c>
      <c r="DT36" s="13">
        <v>-0.34</v>
      </c>
      <c r="DU36">
        <v>-5.000000000000001E-2</v>
      </c>
      <c r="DV36">
        <v>-0.39</v>
      </c>
      <c r="DW36">
        <v>-2.0857999999999999</v>
      </c>
      <c r="DX36">
        <v>0.36397272798252911</v>
      </c>
      <c r="DY36">
        <v>-2.0123528600609011</v>
      </c>
      <c r="DZ36">
        <v>1480</v>
      </c>
      <c r="EA36">
        <v>-2.0087751236831841</v>
      </c>
      <c r="EB36">
        <v>2</v>
      </c>
      <c r="EC36">
        <v>6.0123106036701679E-2</v>
      </c>
      <c r="ED36">
        <v>0.41760065867472423</v>
      </c>
      <c r="EE36" s="14">
        <v>-1.0182</v>
      </c>
      <c r="EF36">
        <v>-1.0107999999999999</v>
      </c>
      <c r="EG36">
        <v>22.143972727982529</v>
      </c>
      <c r="EH36" t="s">
        <v>349</v>
      </c>
      <c r="EI36">
        <v>0</v>
      </c>
      <c r="EJ36">
        <v>1</v>
      </c>
      <c r="EK36" s="10">
        <v>45470</v>
      </c>
      <c r="EL36" s="15">
        <v>-4.99</v>
      </c>
      <c r="EM36" s="15">
        <v>-4.54</v>
      </c>
      <c r="EN36" s="15">
        <v>-1.92</v>
      </c>
      <c r="EO36" s="15">
        <v>3.4</v>
      </c>
      <c r="EP36" s="15">
        <v>-0.74</v>
      </c>
    </row>
    <row r="37" spans="1:146" ht="96" x14ac:dyDescent="0.25">
      <c r="A37" s="7"/>
      <c r="B37" s="7"/>
      <c r="C37" s="7" t="str">
        <f>""&amp;CHAR(10)&amp;Basic_Fundamental_Information_Constructure(F37)&amp;CHAR(10)&amp;Basic_Fundamental_Information_Concatenate("")</f>
        <v xml:space="preserve">
市值26.367229亿, 利润5606.77万; PE79.38; 平均PE37.16; 平均PEG9, PB1.73; ROIC1.34%; ROE-3.16%; 股利率.6421%; 毛利12.3067%; 净利-2.2533%; 上一年度营收增-9.47%, 利润增137.88%; 当季营收增8.7%, 利润增-74.61%; 过往5年营收增-4.13%, 利润增-67.97%
Income profile:
</v>
      </c>
      <c r="D37" t="s">
        <v>636</v>
      </c>
      <c r="E37" t="s">
        <v>637</v>
      </c>
      <c r="F37">
        <v>6.23</v>
      </c>
      <c r="G37">
        <v>2.64</v>
      </c>
      <c r="H37" t="s">
        <v>2151</v>
      </c>
      <c r="I37">
        <v>2636722900</v>
      </c>
      <c r="J37">
        <v>79.38</v>
      </c>
      <c r="K37">
        <v>1.73</v>
      </c>
      <c r="L37" t="s">
        <v>1467</v>
      </c>
      <c r="M37" t="s">
        <v>1403</v>
      </c>
      <c r="N37" t="s">
        <v>1247</v>
      </c>
      <c r="O37" t="s">
        <v>2029</v>
      </c>
      <c r="P37">
        <v>-6.28</v>
      </c>
      <c r="Q37" t="s">
        <v>1348</v>
      </c>
      <c r="R37">
        <v>5130284</v>
      </c>
      <c r="S37" s="6">
        <v>6.4600000000000005E-2</v>
      </c>
      <c r="T37" t="s">
        <v>2152</v>
      </c>
      <c r="U37">
        <v>287139200</v>
      </c>
      <c r="V37">
        <v>423230000</v>
      </c>
      <c r="W37">
        <v>1.27</v>
      </c>
      <c r="X37">
        <v>0.26</v>
      </c>
      <c r="Y37">
        <v>0.91</v>
      </c>
      <c r="Z37" t="s">
        <v>1258</v>
      </c>
      <c r="AA37" t="s">
        <v>532</v>
      </c>
      <c r="AB37" t="s">
        <v>2153</v>
      </c>
      <c r="AC37" t="s">
        <v>2154</v>
      </c>
      <c r="AD37" t="s">
        <v>5</v>
      </c>
      <c r="AE37">
        <v>-2523395</v>
      </c>
      <c r="AF37" t="s">
        <v>2155</v>
      </c>
      <c r="AG37" t="s">
        <v>2156</v>
      </c>
      <c r="AH37" t="s">
        <v>2157</v>
      </c>
      <c r="AI37" t="s">
        <v>749</v>
      </c>
      <c r="AJ37" t="s">
        <v>2158</v>
      </c>
      <c r="AK37" t="s">
        <v>2159</v>
      </c>
      <c r="AL37" t="s">
        <v>2160</v>
      </c>
      <c r="AM37" t="s">
        <v>5</v>
      </c>
      <c r="AN37" t="s">
        <v>2161</v>
      </c>
      <c r="AO37" t="s">
        <v>5</v>
      </c>
      <c r="AP37" t="s">
        <v>2162</v>
      </c>
      <c r="AQ37" t="s">
        <v>26</v>
      </c>
      <c r="AR37" t="s">
        <v>5</v>
      </c>
      <c r="AS37" t="s">
        <v>356</v>
      </c>
      <c r="AT37" t="s">
        <v>5</v>
      </c>
      <c r="AU37" t="s">
        <v>2163</v>
      </c>
      <c r="AV37" t="s">
        <v>2164</v>
      </c>
      <c r="AW37" t="s">
        <v>2165</v>
      </c>
      <c r="AX37" t="s">
        <v>1091</v>
      </c>
      <c r="AY37" t="s">
        <v>638</v>
      </c>
      <c r="AZ37" t="s">
        <v>640</v>
      </c>
      <c r="BA37" t="s">
        <v>258</v>
      </c>
      <c r="BB37" t="s">
        <v>641</v>
      </c>
      <c r="BC37" t="s">
        <v>1092</v>
      </c>
      <c r="BD37" t="s">
        <v>639</v>
      </c>
      <c r="BE37" t="s">
        <v>429</v>
      </c>
      <c r="BF37" t="s">
        <v>642</v>
      </c>
      <c r="BG37" t="s">
        <v>453</v>
      </c>
      <c r="BH37" t="s">
        <v>2166</v>
      </c>
      <c r="BI37" t="s">
        <v>2167</v>
      </c>
      <c r="BJ37" t="s">
        <v>1091</v>
      </c>
      <c r="BK37" t="s">
        <v>2168</v>
      </c>
      <c r="BL37" t="s">
        <v>2169</v>
      </c>
      <c r="BM37" t="s">
        <v>1092</v>
      </c>
      <c r="BN37">
        <v>1.34</v>
      </c>
      <c r="BO37" t="s">
        <v>5</v>
      </c>
      <c r="BP37" t="s">
        <v>5</v>
      </c>
      <c r="BQ37">
        <v>2.06</v>
      </c>
      <c r="BR37">
        <v>-9.4700000000000006</v>
      </c>
      <c r="BS37">
        <v>-2.0699999999999998</v>
      </c>
      <c r="BT37" t="s">
        <v>1024</v>
      </c>
      <c r="BU37" t="s">
        <v>107</v>
      </c>
      <c r="BV37">
        <v>11.98</v>
      </c>
      <c r="BW37">
        <v>11.1</v>
      </c>
      <c r="BX37">
        <v>13.84</v>
      </c>
      <c r="BY37">
        <v>1.36</v>
      </c>
      <c r="BZ37">
        <v>-6.91</v>
      </c>
      <c r="CA37">
        <v>-1.21</v>
      </c>
      <c r="CB37">
        <v>-2.04</v>
      </c>
      <c r="CC37">
        <v>-12.38</v>
      </c>
      <c r="CD37" t="s">
        <v>2170</v>
      </c>
      <c r="CE37" t="s">
        <v>118</v>
      </c>
      <c r="CF37" s="11">
        <v>8.6956521739130432E-2</v>
      </c>
      <c r="CG37" s="12">
        <v>-0.74605194509481687</v>
      </c>
      <c r="CH37" s="11">
        <v>-9.4712637364864349E-2</v>
      </c>
      <c r="CI37" s="11">
        <v>-0.23603792488574982</v>
      </c>
      <c r="CJ37" s="11">
        <v>-0.13491339981555939</v>
      </c>
      <c r="CK37" s="11">
        <v>1.6996311023831367E-2</v>
      </c>
      <c r="CL37" s="11">
        <v>0.24222651124000549</v>
      </c>
      <c r="CM37" s="12">
        <v>1.3788357973098755</v>
      </c>
      <c r="CN37" s="12">
        <v>-3.3142526149749756</v>
      </c>
      <c r="CO37" s="12">
        <v>-1.24503493309021</v>
      </c>
      <c r="CP37" s="12">
        <v>-0.36363637447357178</v>
      </c>
      <c r="CQ37" s="12">
        <v>0.1458333283662796</v>
      </c>
      <c r="CR37">
        <v>37.157631902082564</v>
      </c>
      <c r="CS37">
        <v>8.9995705162401887</v>
      </c>
      <c r="CT37">
        <v>0.6420545746388443</v>
      </c>
      <c r="CU37" s="11">
        <v>-4.1288227960467341E-2</v>
      </c>
      <c r="CV37" s="12">
        <v>-0.6796509593725204</v>
      </c>
      <c r="CW37">
        <v>0.06</v>
      </c>
      <c r="CX37">
        <v>28.621165127158775</v>
      </c>
      <c r="CY37" t="s">
        <v>2171</v>
      </c>
      <c r="CZ37">
        <v>-4.1288227960467341E-2</v>
      </c>
      <c r="DA37">
        <v>9.5403883757195906</v>
      </c>
      <c r="DB37" t="s">
        <v>2172</v>
      </c>
      <c r="DC37">
        <v>-3.9223816562443975E-2</v>
      </c>
      <c r="DD37">
        <v>4.7701941878597953</v>
      </c>
      <c r="DE37" t="s">
        <v>2173</v>
      </c>
      <c r="DF37">
        <v>-3.6333640605211263E-2</v>
      </c>
      <c r="DG37">
        <v>2.8621165127158772</v>
      </c>
      <c r="DH37" t="s">
        <v>2174</v>
      </c>
      <c r="DI37">
        <v>-3.3030582368373876E-2</v>
      </c>
      <c r="DJ37">
        <v>1.4310582563579386</v>
      </c>
      <c r="DK37" t="s">
        <v>2175</v>
      </c>
      <c r="DL37">
        <v>-2.8901759572327136E-2</v>
      </c>
      <c r="DM37">
        <v>56067700.000000007</v>
      </c>
      <c r="DN37">
        <v>-4.1288227960467341E-2</v>
      </c>
      <c r="DO37">
        <v>1604722900</v>
      </c>
      <c r="DP37">
        <v>1201082100</v>
      </c>
      <c r="DQ37">
        <v>2262</v>
      </c>
      <c r="DR37">
        <v>0.12824474969959776</v>
      </c>
      <c r="DS37">
        <v>-6.6400985722296468E-2</v>
      </c>
      <c r="DT37" s="13">
        <v>-0.49</v>
      </c>
      <c r="DU37">
        <v>-1.6233333333333337</v>
      </c>
      <c r="DV37">
        <v>-2.1133333333333337</v>
      </c>
      <c r="DW37">
        <v>-2.1238000000000001</v>
      </c>
      <c r="DX37">
        <v>0.33378273809523834</v>
      </c>
      <c r="DY37">
        <v>-2.0165623029761903</v>
      </c>
      <c r="DZ37">
        <v>3645</v>
      </c>
      <c r="EA37">
        <v>-2.004748292340532</v>
      </c>
      <c r="EB37">
        <v>2</v>
      </c>
      <c r="EC37">
        <v>5.3104694846773624E-2</v>
      </c>
      <c r="ED37">
        <v>0.39694728634548593</v>
      </c>
      <c r="EE37" s="14">
        <v>-1.1293</v>
      </c>
      <c r="EF37">
        <v>-1.1184000000000001</v>
      </c>
      <c r="EG37">
        <v>20.133782738095238</v>
      </c>
      <c r="EH37" t="s">
        <v>349</v>
      </c>
      <c r="EI37">
        <v>0</v>
      </c>
      <c r="EJ37">
        <v>0</v>
      </c>
      <c r="EK37" s="10">
        <v>45470</v>
      </c>
      <c r="EL37" s="15">
        <v>-0.23</v>
      </c>
      <c r="EM37" s="15">
        <v>-4.1500000000000004</v>
      </c>
      <c r="EN37" s="15">
        <v>1.63</v>
      </c>
      <c r="EO37" s="15">
        <v>3.64</v>
      </c>
      <c r="EP37" s="15">
        <v>-1.0900000000000001</v>
      </c>
    </row>
    <row r="38" spans="1:146" ht="108" x14ac:dyDescent="0.25">
      <c r="A38" s="7"/>
      <c r="B38" s="7"/>
      <c r="C38" s="7" t="str">
        <f>""&amp;CHAR(10)&amp;Basic_Fundamental_Information_Constructure(F38)&amp;CHAR(10)&amp;Basic_Fundamental_Information_Concatenate("")</f>
        <v xml:space="preserve">
市值21.064212亿, 利润9210.57万; PE77.78; 平均PE31.2; 平均PEG.23, PB2.59; ROIC4.64%; ROE5.9833%; 股利率1.3992%; 毛利41.72%; 净利23.69%; 上一年度营收增675.13%, 利润增227.16%; 当季营收增-85.38%, 利润增-88.09%; 过往5年营收增134.19%, 利润增38.72%
Income profile:
</v>
      </c>
      <c r="D38" t="s">
        <v>967</v>
      </c>
      <c r="E38" t="s">
        <v>968</v>
      </c>
      <c r="F38">
        <v>12.15</v>
      </c>
      <c r="G38">
        <v>2.36</v>
      </c>
      <c r="H38" t="s">
        <v>2176</v>
      </c>
      <c r="I38">
        <v>2106421200</v>
      </c>
      <c r="J38">
        <v>77.78</v>
      </c>
      <c r="K38">
        <v>2.59</v>
      </c>
      <c r="L38" t="s">
        <v>1467</v>
      </c>
      <c r="M38" t="s">
        <v>17</v>
      </c>
      <c r="N38" t="s">
        <v>2177</v>
      </c>
      <c r="O38" t="s">
        <v>2178</v>
      </c>
      <c r="P38">
        <v>7.55</v>
      </c>
      <c r="Q38" t="s">
        <v>2179</v>
      </c>
      <c r="R38">
        <v>2015957</v>
      </c>
      <c r="S38" s="5">
        <v>-0.67789999999999995</v>
      </c>
      <c r="T38" t="s">
        <v>2180</v>
      </c>
      <c r="U38">
        <v>173368000</v>
      </c>
      <c r="V38">
        <v>173368000</v>
      </c>
      <c r="W38">
        <v>1.1399999999999999</v>
      </c>
      <c r="X38">
        <v>0.05</v>
      </c>
      <c r="Y38">
        <v>4.2699999999999996</v>
      </c>
      <c r="Z38" t="s">
        <v>2181</v>
      </c>
      <c r="AA38" t="s">
        <v>2182</v>
      </c>
      <c r="AB38" t="s">
        <v>2183</v>
      </c>
      <c r="AC38" t="s">
        <v>2184</v>
      </c>
      <c r="AD38" t="s">
        <v>5</v>
      </c>
      <c r="AE38">
        <v>-3303820</v>
      </c>
      <c r="AF38" t="s">
        <v>2185</v>
      </c>
      <c r="AG38">
        <v>9979.24</v>
      </c>
      <c r="AH38" t="s">
        <v>2186</v>
      </c>
      <c r="AI38" t="s">
        <v>1396</v>
      </c>
      <c r="AJ38" t="s">
        <v>2187</v>
      </c>
      <c r="AK38" t="s">
        <v>5</v>
      </c>
      <c r="AL38" t="s">
        <v>2188</v>
      </c>
      <c r="AM38" t="s">
        <v>5</v>
      </c>
      <c r="AN38" t="s">
        <v>2189</v>
      </c>
      <c r="AO38" t="s">
        <v>5</v>
      </c>
      <c r="AP38" t="s">
        <v>5</v>
      </c>
      <c r="AQ38" t="s">
        <v>2190</v>
      </c>
      <c r="AR38" t="s">
        <v>5</v>
      </c>
      <c r="AS38" t="s">
        <v>23</v>
      </c>
      <c r="AT38" t="s">
        <v>5</v>
      </c>
      <c r="AU38" t="s">
        <v>2191</v>
      </c>
      <c r="AV38" t="s">
        <v>2192</v>
      </c>
      <c r="AW38" t="s">
        <v>5</v>
      </c>
      <c r="AX38" t="s">
        <v>285</v>
      </c>
      <c r="AY38" t="s">
        <v>275</v>
      </c>
      <c r="AZ38" t="s">
        <v>720</v>
      </c>
      <c r="BA38" t="s">
        <v>634</v>
      </c>
      <c r="BB38" t="s">
        <v>246</v>
      </c>
      <c r="BC38" t="s">
        <v>2193</v>
      </c>
      <c r="BD38" t="s">
        <v>969</v>
      </c>
      <c r="BE38" t="s">
        <v>970</v>
      </c>
      <c r="BF38" t="s">
        <v>971</v>
      </c>
      <c r="BG38" t="s">
        <v>972</v>
      </c>
      <c r="BH38" t="s">
        <v>510</v>
      </c>
      <c r="BI38" t="s">
        <v>1395</v>
      </c>
      <c r="BJ38" t="s">
        <v>285</v>
      </c>
      <c r="BK38" t="s">
        <v>2194</v>
      </c>
      <c r="BL38" t="s">
        <v>2195</v>
      </c>
      <c r="BM38" t="s">
        <v>2193</v>
      </c>
      <c r="BN38">
        <v>1.02</v>
      </c>
      <c r="BO38">
        <v>1.38</v>
      </c>
      <c r="BP38">
        <v>11.52</v>
      </c>
      <c r="BQ38">
        <v>2.34</v>
      </c>
      <c r="BR38">
        <v>3.61</v>
      </c>
      <c r="BS38">
        <v>12</v>
      </c>
      <c r="BT38" t="s">
        <v>2196</v>
      </c>
      <c r="BU38" t="s">
        <v>159</v>
      </c>
      <c r="BV38">
        <v>36.130000000000003</v>
      </c>
      <c r="BW38">
        <v>41.5</v>
      </c>
      <c r="BX38">
        <v>47.53</v>
      </c>
      <c r="BY38">
        <v>13.14</v>
      </c>
      <c r="BZ38">
        <v>14.26</v>
      </c>
      <c r="CA38">
        <v>43.67</v>
      </c>
      <c r="CB38">
        <v>0.08</v>
      </c>
      <c r="CC38">
        <v>-9.06</v>
      </c>
      <c r="CD38" t="s">
        <v>2197</v>
      </c>
      <c r="CE38" t="s">
        <v>2198</v>
      </c>
      <c r="CF38" s="11">
        <v>-0.85382870370370367</v>
      </c>
      <c r="CG38" s="12">
        <v>-0.88094999911419236</v>
      </c>
      <c r="CH38" s="11">
        <v>6.7512698173522949</v>
      </c>
      <c r="CI38" s="11">
        <v>3.684210404753685E-2</v>
      </c>
      <c r="CJ38" s="11">
        <v>-2.0618556067347527E-2</v>
      </c>
      <c r="CK38" s="11">
        <v>-6.2801934778690338E-2</v>
      </c>
      <c r="CL38" s="11">
        <v>4.8543689772486687E-3</v>
      </c>
      <c r="CM38" s="12">
        <v>2.2716352939605713</v>
      </c>
      <c r="CN38" s="12">
        <v>-0.6592099666595459</v>
      </c>
      <c r="CO38" s="12">
        <v>0.37454450130462646</v>
      </c>
      <c r="CP38" s="12">
        <v>-0.2128288745880127</v>
      </c>
      <c r="CQ38" s="12">
        <v>0.16196171939373016</v>
      </c>
      <c r="CR38">
        <v>31.204221356544341</v>
      </c>
      <c r="CS38">
        <v>0.23253601874753826</v>
      </c>
      <c r="CT38">
        <v>1.3991769547325101</v>
      </c>
      <c r="CU38" s="11">
        <v>1.3419091599062085</v>
      </c>
      <c r="CV38" s="12">
        <v>0.38722053468227385</v>
      </c>
      <c r="CW38">
        <v>0.06</v>
      </c>
      <c r="CX38">
        <v>7.112859690569965</v>
      </c>
      <c r="CY38">
        <v>203493568.40525779</v>
      </c>
      <c r="CZ38">
        <v>1.3419091599062085</v>
      </c>
      <c r="DA38">
        <v>0.94466535458784218</v>
      </c>
      <c r="DB38">
        <v>1532205233.2823303</v>
      </c>
      <c r="DC38">
        <v>1.274813701910898</v>
      </c>
      <c r="DD38">
        <v>0.10790562028593087</v>
      </c>
      <c r="DE38">
        <v>13413770257.421152</v>
      </c>
      <c r="DF38">
        <v>1.1808800607174634</v>
      </c>
      <c r="DG38">
        <v>9.3739971031111084E-3</v>
      </c>
      <c r="DH38">
        <v>154408112577.67722</v>
      </c>
      <c r="DI38">
        <v>1.0735273279249669</v>
      </c>
      <c r="DJ38">
        <v>4.0352185343110416E-5</v>
      </c>
      <c r="DK38">
        <v>35869710343881.719</v>
      </c>
      <c r="DL38">
        <v>0.93933641193434592</v>
      </c>
      <c r="DM38">
        <v>92105700</v>
      </c>
      <c r="DN38">
        <v>1.3419091599062085</v>
      </c>
      <c r="DO38">
        <v>1447421200</v>
      </c>
      <c r="DP38">
        <v>545002090</v>
      </c>
      <c r="DQ38">
        <v>2437</v>
      </c>
      <c r="DR38">
        <v>-2.1957378636099123</v>
      </c>
      <c r="DS38">
        <v>-1.2681705337964662</v>
      </c>
      <c r="DT38" s="13">
        <v>-0.14000000000000004</v>
      </c>
      <c r="DU38">
        <v>-0.32333333333333336</v>
      </c>
      <c r="DV38">
        <v>-0.46333333333333337</v>
      </c>
      <c r="DW38">
        <v>-2.0905999999999998</v>
      </c>
      <c r="DX38">
        <v>0.37826334066114353</v>
      </c>
      <c r="DY38">
        <v>-2.0143386586638994</v>
      </c>
      <c r="DZ38">
        <v>3672</v>
      </c>
      <c r="EA38">
        <v>-2.0040350276240093</v>
      </c>
      <c r="EB38">
        <v>2</v>
      </c>
      <c r="EC38">
        <v>5.7886691892390756E-2</v>
      </c>
      <c r="ED38">
        <v>0.36576184763047392</v>
      </c>
      <c r="EE38" s="14">
        <v>-5.048</v>
      </c>
      <c r="EF38">
        <v>-5.0422000000000002</v>
      </c>
      <c r="EG38">
        <v>22.158263340661144</v>
      </c>
      <c r="EH38" t="s">
        <v>1465</v>
      </c>
      <c r="EI38">
        <v>0</v>
      </c>
      <c r="EJ38">
        <v>0</v>
      </c>
      <c r="EK38" s="10">
        <v>45470</v>
      </c>
      <c r="EL38" s="15">
        <v>-0.59</v>
      </c>
      <c r="EM38" s="15">
        <v>-4.87</v>
      </c>
      <c r="EN38" s="15">
        <v>2.95</v>
      </c>
      <c r="EO38" s="15">
        <v>3.46</v>
      </c>
      <c r="EP38" s="15">
        <v>-0.57999999999999996</v>
      </c>
    </row>
    <row r="39" spans="1:146" ht="108" x14ac:dyDescent="0.25">
      <c r="A39" s="7"/>
      <c r="B39" s="7"/>
      <c r="C39" s="7" t="str">
        <f>""&amp;CHAR(10)&amp;Basic_Fundamental_Information_Constructure(F39)&amp;CHAR(10)&amp;Basic_Fundamental_Information_Concatenate("")</f>
        <v xml:space="preserve">
市值39.030167亿, 利润1.05亿; PE; 平均PE59.25; 平均PEG.67, PB6.36; ROIC7.7133%; ROE8.13%; 股利率0%; 毛利35.26%; 净利8.1067%; 上一年度营收增391.63%, 利润增68.48%; 当季营收增-78.66%, 利润增-91.68%; 过往5年营收增88.94%, 利润增18.44%
Income profile:
</v>
      </c>
      <c r="D39" t="s">
        <v>643</v>
      </c>
      <c r="E39" t="s">
        <v>644</v>
      </c>
      <c r="F39">
        <v>9.75</v>
      </c>
      <c r="G39">
        <v>1.35</v>
      </c>
      <c r="H39" t="s">
        <v>2199</v>
      </c>
      <c r="I39">
        <v>3903016700</v>
      </c>
      <c r="K39">
        <v>6.36</v>
      </c>
      <c r="L39" t="s">
        <v>1467</v>
      </c>
      <c r="M39" t="s">
        <v>253</v>
      </c>
      <c r="N39" t="s">
        <v>820</v>
      </c>
      <c r="O39" t="s">
        <v>2200</v>
      </c>
      <c r="P39">
        <v>-9.6199999999999992</v>
      </c>
      <c r="Q39" t="s">
        <v>1414</v>
      </c>
      <c r="R39">
        <v>4064224</v>
      </c>
      <c r="S39" s="5">
        <v>-0.32790000000000002</v>
      </c>
      <c r="T39" t="s">
        <v>182</v>
      </c>
      <c r="U39">
        <v>99204469</v>
      </c>
      <c r="V39">
        <v>400309400</v>
      </c>
      <c r="W39">
        <v>1.23</v>
      </c>
      <c r="X39">
        <v>0.13</v>
      </c>
      <c r="Y39">
        <v>4.3099999999999996</v>
      </c>
      <c r="Z39" t="s">
        <v>2201</v>
      </c>
      <c r="AA39" t="s">
        <v>2202</v>
      </c>
      <c r="AB39" t="s">
        <v>2203</v>
      </c>
      <c r="AC39" t="s">
        <v>2204</v>
      </c>
      <c r="AD39" t="s">
        <v>5</v>
      </c>
      <c r="AE39">
        <v>-16913</v>
      </c>
      <c r="AF39" t="s">
        <v>308</v>
      </c>
      <c r="AG39" t="s">
        <v>2205</v>
      </c>
      <c r="AH39" t="s">
        <v>2206</v>
      </c>
      <c r="AI39" t="s">
        <v>2207</v>
      </c>
      <c r="AJ39" t="s">
        <v>2208</v>
      </c>
      <c r="AK39" t="s">
        <v>5</v>
      </c>
      <c r="AL39" t="s">
        <v>2209</v>
      </c>
      <c r="AM39" t="s">
        <v>5</v>
      </c>
      <c r="AN39">
        <v>0</v>
      </c>
      <c r="AO39" t="s">
        <v>5</v>
      </c>
      <c r="AP39" t="s">
        <v>5</v>
      </c>
      <c r="AQ39" t="s">
        <v>115</v>
      </c>
      <c r="AR39" t="s">
        <v>2210</v>
      </c>
      <c r="AS39" t="s">
        <v>416</v>
      </c>
      <c r="AT39" t="s">
        <v>5</v>
      </c>
      <c r="AU39" t="s">
        <v>2211</v>
      </c>
      <c r="AV39" t="s">
        <v>2212</v>
      </c>
      <c r="AW39" t="s">
        <v>2213</v>
      </c>
      <c r="AX39" t="s">
        <v>578</v>
      </c>
      <c r="AY39" t="s">
        <v>341</v>
      </c>
      <c r="AZ39" t="s">
        <v>198</v>
      </c>
      <c r="BA39" t="s">
        <v>356</v>
      </c>
      <c r="BB39" t="s">
        <v>355</v>
      </c>
      <c r="BC39" t="s">
        <v>1093</v>
      </c>
      <c r="BD39" t="s">
        <v>1094</v>
      </c>
      <c r="BE39" t="s">
        <v>645</v>
      </c>
      <c r="BF39" t="s">
        <v>646</v>
      </c>
      <c r="BG39" t="s">
        <v>647</v>
      </c>
      <c r="BH39" t="s">
        <v>506</v>
      </c>
      <c r="BI39" t="s">
        <v>798</v>
      </c>
      <c r="BJ39" t="s">
        <v>578</v>
      </c>
      <c r="BK39" t="s">
        <v>2214</v>
      </c>
      <c r="BL39" t="s">
        <v>2215</v>
      </c>
      <c r="BM39" t="s">
        <v>1093</v>
      </c>
      <c r="BN39">
        <v>2.64</v>
      </c>
      <c r="BO39">
        <v>9.5399999999999991</v>
      </c>
      <c r="BP39">
        <v>10.96</v>
      </c>
      <c r="BQ39">
        <v>2.67</v>
      </c>
      <c r="BR39">
        <v>9.7899999999999991</v>
      </c>
      <c r="BS39">
        <v>11.93</v>
      </c>
      <c r="BT39" t="s">
        <v>1017</v>
      </c>
      <c r="BU39" t="s">
        <v>82</v>
      </c>
      <c r="BV39">
        <v>30.23</v>
      </c>
      <c r="BW39">
        <v>38.65</v>
      </c>
      <c r="BX39">
        <v>36.9</v>
      </c>
      <c r="BY39">
        <v>-0.76</v>
      </c>
      <c r="BZ39">
        <v>12.13</v>
      </c>
      <c r="CA39">
        <v>12.95</v>
      </c>
      <c r="CB39">
        <v>-2.4</v>
      </c>
      <c r="CC39">
        <v>-18.82</v>
      </c>
      <c r="CD39" t="s">
        <v>2216</v>
      </c>
      <c r="CE39" t="s">
        <v>1069</v>
      </c>
      <c r="CF39" s="11">
        <v>-0.78662737556561091</v>
      </c>
      <c r="CG39" s="12">
        <v>-0.91677828491628122</v>
      </c>
      <c r="CH39" s="11">
        <v>3.9163424968719482</v>
      </c>
      <c r="CI39" s="11">
        <v>-9.6339117735624313E-3</v>
      </c>
      <c r="CJ39" s="11">
        <v>0.27205881476402283</v>
      </c>
      <c r="CK39" s="11">
        <v>2.7707807719707489E-2</v>
      </c>
      <c r="CL39" s="11">
        <v>0.24062499403953552</v>
      </c>
      <c r="CM39" s="12">
        <v>0.68483072519302368</v>
      </c>
      <c r="CN39" s="12">
        <v>-7.4827775359153748E-2</v>
      </c>
      <c r="CO39" s="12">
        <v>0.30668473243713379</v>
      </c>
      <c r="CP39" s="12">
        <v>-9.8228514194488525E-2</v>
      </c>
      <c r="CQ39" s="12">
        <v>0.10337419807910919</v>
      </c>
      <c r="CR39">
        <v>59.254692115020106</v>
      </c>
      <c r="CS39">
        <v>0.66621719129931745</v>
      </c>
      <c r="CT39">
        <v>0</v>
      </c>
      <c r="CU39" s="11">
        <v>0.88942004032433031</v>
      </c>
      <c r="CV39" s="12">
        <v>0.18436667323112488</v>
      </c>
      <c r="CW39">
        <v>0.06</v>
      </c>
      <c r="CX39">
        <v>18.23586893024029</v>
      </c>
      <c r="CY39">
        <v>187159532.296278</v>
      </c>
      <c r="CZ39">
        <v>0.88942004032433031</v>
      </c>
      <c r="DA39">
        <v>3.2366874079416061</v>
      </c>
      <c r="DB39">
        <v>1054478319.9099636</v>
      </c>
      <c r="DC39">
        <v>0.84494903830811374</v>
      </c>
      <c r="DD39">
        <v>0.60930818143205356</v>
      </c>
      <c r="DE39">
        <v>5601462123.7784891</v>
      </c>
      <c r="DF39">
        <v>0.78268963548541071</v>
      </c>
      <c r="DG39">
        <v>0.10359060873399732</v>
      </c>
      <c r="DH39">
        <v>32947163277.744934</v>
      </c>
      <c r="DI39">
        <v>0.71153603225946427</v>
      </c>
      <c r="DJ39">
        <v>2.2591301128800103E-3</v>
      </c>
      <c r="DK39">
        <v>1510765883089.8318</v>
      </c>
      <c r="DL39">
        <v>0.62259402822703114</v>
      </c>
      <c r="DM39">
        <v>105000000</v>
      </c>
      <c r="DN39">
        <v>0.88942004032433031</v>
      </c>
      <c r="DO39">
        <v>3413016700</v>
      </c>
      <c r="DP39">
        <v>565894040</v>
      </c>
      <c r="DQ39">
        <v>2474</v>
      </c>
      <c r="DR39">
        <v>-1.6760474158899412</v>
      </c>
      <c r="DS39">
        <v>-1.101144958147406</v>
      </c>
      <c r="DT39" s="13">
        <v>9.3333333333333268E-2</v>
      </c>
      <c r="DU39">
        <v>2.6666666666666616E-2</v>
      </c>
      <c r="DV39">
        <v>0.11999999999999988</v>
      </c>
      <c r="DW39">
        <v>-3.0318928571428572</v>
      </c>
      <c r="DX39">
        <v>0.42514050991501362</v>
      </c>
      <c r="DY39">
        <v>-3.0062235884055037</v>
      </c>
      <c r="DZ39">
        <v>3838</v>
      </c>
      <c r="EA39">
        <v>-3.0015491985228575</v>
      </c>
      <c r="EB39">
        <v>3</v>
      </c>
      <c r="EC39">
        <v>0.17207839735964231</v>
      </c>
      <c r="ED39">
        <v>0.88181791384364194</v>
      </c>
      <c r="EE39" s="14">
        <v>1.02071</v>
      </c>
      <c r="EF39">
        <v>1.0217099999999999</v>
      </c>
      <c r="EG39">
        <v>23.195140509915014</v>
      </c>
      <c r="EH39" t="s">
        <v>2217</v>
      </c>
      <c r="EI39">
        <v>0</v>
      </c>
      <c r="EJ39">
        <v>0</v>
      </c>
      <c r="EK39" s="10">
        <v>45470</v>
      </c>
      <c r="EL39" s="15">
        <v>0.21</v>
      </c>
      <c r="EM39" s="15">
        <v>-5.82</v>
      </c>
      <c r="EN39" s="15">
        <v>2.21</v>
      </c>
      <c r="EO39" s="15">
        <v>6.37</v>
      </c>
      <c r="EP39" s="15">
        <v>-0.1</v>
      </c>
    </row>
    <row r="40" spans="1:146" ht="108" x14ac:dyDescent="0.25">
      <c r="A40" s="7"/>
      <c r="B40" s="7"/>
      <c r="C40" s="7" t="str">
        <f>""&amp;CHAR(10)&amp;Basic_Fundamental_Information_Constructure(F40)&amp;CHAR(10)&amp;Basic_Fundamental_Information_Concatenate("")</f>
        <v xml:space="preserve">
市值19.959471亿, 利润1831.05万; PE64.76; 平均PE46.97; 平均PEG4.35, PB3.01; ROIC8.13%; ROE8.67%; 股利率.486%; 毛利48.7533%; 净利10.7767%; 上一年度营收增5.63%, 利润增-55.13%; 当季营收增-11.5%, 利润增-200.05%; 过往5年营收增10.81%, 利润增-10.73%
Income profile:
</v>
      </c>
      <c r="D40" t="s">
        <v>648</v>
      </c>
      <c r="E40" t="s">
        <v>649</v>
      </c>
      <c r="F40">
        <v>20.18</v>
      </c>
      <c r="G40">
        <v>2.59</v>
      </c>
      <c r="H40" t="s">
        <v>2218</v>
      </c>
      <c r="I40">
        <v>1995947100</v>
      </c>
      <c r="J40">
        <v>64.760000000000005</v>
      </c>
      <c r="K40">
        <v>3.01</v>
      </c>
      <c r="L40" t="s">
        <v>1467</v>
      </c>
      <c r="M40" t="s">
        <v>92</v>
      </c>
      <c r="N40" t="s">
        <v>1357</v>
      </c>
      <c r="O40" t="s">
        <v>2219</v>
      </c>
      <c r="P40">
        <v>-19.190000000000001</v>
      </c>
      <c r="Q40" t="s">
        <v>658</v>
      </c>
      <c r="R40">
        <v>-9167836</v>
      </c>
      <c r="S40" s="5">
        <v>-1.6719999999999999</v>
      </c>
      <c r="T40" t="s">
        <v>2220</v>
      </c>
      <c r="U40">
        <v>74587924</v>
      </c>
      <c r="V40">
        <v>98907189</v>
      </c>
      <c r="W40">
        <v>1.2</v>
      </c>
      <c r="X40">
        <v>0.12</v>
      </c>
      <c r="Y40">
        <v>-9.86</v>
      </c>
      <c r="Z40" t="s">
        <v>2221</v>
      </c>
      <c r="AA40" t="s">
        <v>2222</v>
      </c>
      <c r="AB40" t="s">
        <v>2223</v>
      </c>
      <c r="AC40" t="s">
        <v>2224</v>
      </c>
      <c r="AD40" t="s">
        <v>5</v>
      </c>
      <c r="AE40">
        <v>-619689</v>
      </c>
      <c r="AF40" t="s">
        <v>2225</v>
      </c>
      <c r="AG40" t="s">
        <v>2226</v>
      </c>
      <c r="AH40" t="s">
        <v>2227</v>
      </c>
      <c r="AI40" t="s">
        <v>1374</v>
      </c>
      <c r="AJ40" t="s">
        <v>2228</v>
      </c>
      <c r="AK40" t="s">
        <v>5</v>
      </c>
      <c r="AL40" t="s">
        <v>2229</v>
      </c>
      <c r="AM40" t="s">
        <v>5</v>
      </c>
      <c r="AN40">
        <v>0</v>
      </c>
      <c r="AO40" t="s">
        <v>5</v>
      </c>
      <c r="AP40" t="s">
        <v>5</v>
      </c>
      <c r="AQ40" t="s">
        <v>2230</v>
      </c>
      <c r="AR40" t="s">
        <v>5</v>
      </c>
      <c r="AS40" t="s">
        <v>337</v>
      </c>
      <c r="AT40" t="s">
        <v>5</v>
      </c>
      <c r="AU40" t="s">
        <v>2231</v>
      </c>
      <c r="AV40" t="s">
        <v>2232</v>
      </c>
      <c r="AW40" t="s">
        <v>2233</v>
      </c>
      <c r="AX40" t="s">
        <v>150</v>
      </c>
      <c r="AY40" t="s">
        <v>377</v>
      </c>
      <c r="AZ40" t="s">
        <v>437</v>
      </c>
      <c r="BA40" t="s">
        <v>414</v>
      </c>
      <c r="BB40" t="s">
        <v>287</v>
      </c>
      <c r="BC40" t="s">
        <v>1095</v>
      </c>
      <c r="BD40" t="s">
        <v>650</v>
      </c>
      <c r="BE40" t="s">
        <v>652</v>
      </c>
      <c r="BF40" t="s">
        <v>653</v>
      </c>
      <c r="BG40" t="s">
        <v>654</v>
      </c>
      <c r="BH40" t="s">
        <v>487</v>
      </c>
      <c r="BI40" t="s">
        <v>182</v>
      </c>
      <c r="BJ40" t="s">
        <v>150</v>
      </c>
      <c r="BK40" t="s">
        <v>2234</v>
      </c>
      <c r="BL40" t="s">
        <v>2235</v>
      </c>
      <c r="BM40" t="s">
        <v>1095</v>
      </c>
      <c r="BN40">
        <v>6</v>
      </c>
      <c r="BO40">
        <v>6.68</v>
      </c>
      <c r="BP40">
        <v>11.71</v>
      </c>
      <c r="BQ40">
        <v>6.42</v>
      </c>
      <c r="BR40">
        <v>7.11</v>
      </c>
      <c r="BS40">
        <v>12.48</v>
      </c>
      <c r="BT40" t="s">
        <v>2236</v>
      </c>
      <c r="BU40" t="s">
        <v>82</v>
      </c>
      <c r="BV40">
        <v>48.92</v>
      </c>
      <c r="BW40">
        <v>49.38</v>
      </c>
      <c r="BX40">
        <v>47.96</v>
      </c>
      <c r="BY40">
        <v>11.22</v>
      </c>
      <c r="BZ40">
        <v>8.82</v>
      </c>
      <c r="CA40">
        <v>12.29</v>
      </c>
      <c r="CB40">
        <v>-1.56</v>
      </c>
      <c r="CC40">
        <v>-15.81</v>
      </c>
      <c r="CD40" t="s">
        <v>2237</v>
      </c>
      <c r="CE40" t="s">
        <v>385</v>
      </c>
      <c r="CF40" s="11">
        <v>-0.11504380952380938</v>
      </c>
      <c r="CG40" s="12">
        <v>-2.0005277747462622</v>
      </c>
      <c r="CH40" s="11">
        <v>5.6277055293321609E-2</v>
      </c>
      <c r="CI40" s="11">
        <v>2.1691974252462387E-3</v>
      </c>
      <c r="CJ40" s="11">
        <v>0.29859155416488647</v>
      </c>
      <c r="CK40" s="11">
        <v>-7.5520835816860199E-2</v>
      </c>
      <c r="CL40" s="11">
        <v>0.25901639461517334</v>
      </c>
      <c r="CM40" s="12">
        <v>-0.5512506365776062</v>
      </c>
      <c r="CN40" s="12">
        <v>-0.28071090579032898</v>
      </c>
      <c r="CO40" s="12">
        <v>0.38726630806922913</v>
      </c>
      <c r="CP40" s="12">
        <v>-0.21211437880992889</v>
      </c>
      <c r="CQ40" s="12">
        <v>0.12054053694009781</v>
      </c>
      <c r="CR40">
        <v>46.972616231477275</v>
      </c>
      <c r="CS40">
        <v>4.3450246750477044</v>
      </c>
      <c r="CT40">
        <v>0.48603369672943508</v>
      </c>
      <c r="CU40" s="11">
        <v>0.1081066731363535</v>
      </c>
      <c r="CV40" s="12">
        <v>-0.10725381523370743</v>
      </c>
      <c r="CW40">
        <v>0.06</v>
      </c>
      <c r="CX40">
        <v>76.584766059108446</v>
      </c>
      <c r="CY40">
        <v>19141497.394776605</v>
      </c>
      <c r="CZ40">
        <v>0.1081066731363535</v>
      </c>
      <c r="DA40">
        <v>24.647166277305487</v>
      </c>
      <c r="DB40">
        <v>59477307.999898084</v>
      </c>
      <c r="DC40">
        <v>0.10270133947953582</v>
      </c>
      <c r="DD40">
        <v>11.88581425679066</v>
      </c>
      <c r="DE40">
        <v>123335858.05132939</v>
      </c>
      <c r="DF40">
        <v>9.5133872359991073E-2</v>
      </c>
      <c r="DG40">
        <v>6.9723393990781677</v>
      </c>
      <c r="DH40">
        <v>210251827.41302252</v>
      </c>
      <c r="DI40">
        <v>8.6485338509082799E-2</v>
      </c>
      <c r="DJ40">
        <v>3.4189687194541758</v>
      </c>
      <c r="DK40">
        <v>428768795.58992642</v>
      </c>
      <c r="DL40">
        <v>7.5674671195447449E-2</v>
      </c>
      <c r="DM40">
        <v>18310500</v>
      </c>
      <c r="DN40">
        <v>0.1081066731363535</v>
      </c>
      <c r="DO40">
        <v>1465947100</v>
      </c>
      <c r="DP40">
        <v>546009520</v>
      </c>
      <c r="DQ40">
        <v>2499</v>
      </c>
      <c r="DR40">
        <v>-0.22315048266016288</v>
      </c>
      <c r="DS40">
        <v>-1.8932739595125547</v>
      </c>
      <c r="DT40" s="13">
        <v>-0.20666666666666669</v>
      </c>
      <c r="DU40">
        <v>-1.1983333333333333</v>
      </c>
      <c r="DV40">
        <v>-1.405</v>
      </c>
      <c r="DW40">
        <v>-2.1581000000000001</v>
      </c>
      <c r="DX40">
        <v>0.40876691176470614</v>
      </c>
      <c r="DY40">
        <v>-2.0266820487500001</v>
      </c>
      <c r="DZ40">
        <v>4254</v>
      </c>
      <c r="EA40">
        <v>-2.004469634780822</v>
      </c>
      <c r="EB40">
        <v>2</v>
      </c>
      <c r="EC40">
        <v>0.232058965905906</v>
      </c>
      <c r="ED40">
        <v>1.3750264401913193</v>
      </c>
      <c r="EE40" s="14">
        <v>-1.0310999999999999</v>
      </c>
      <c r="EF40">
        <v>-1.0791999999999999</v>
      </c>
      <c r="EG40">
        <v>24.168766911764706</v>
      </c>
      <c r="EH40" t="s">
        <v>349</v>
      </c>
      <c r="EI40">
        <v>0</v>
      </c>
      <c r="EJ40">
        <v>0</v>
      </c>
      <c r="EK40" s="10">
        <v>45470</v>
      </c>
      <c r="EL40" s="15">
        <v>-0.43</v>
      </c>
      <c r="EM40" s="15">
        <v>-4.5</v>
      </c>
      <c r="EN40" s="15">
        <v>-2.78</v>
      </c>
      <c r="EO40" s="15">
        <v>5.0999999999999996</v>
      </c>
      <c r="EP40" s="15">
        <v>4.8099999999999996</v>
      </c>
    </row>
    <row r="41" spans="1:146" ht="108" x14ac:dyDescent="0.25">
      <c r="A41" s="7"/>
      <c r="B41" s="7"/>
      <c r="C41" s="7" t="str">
        <f>""&amp;CHAR(10)&amp;Basic_Fundamental_Information_Constructure(F41)&amp;CHAR(10)&amp;Basic_Fundamental_Information_Concatenate("")</f>
        <v xml:space="preserve">
市值33.814亿, 利润6355.16万; PE30.84; 平均PE19.18; 平均PEG.62, PB1.11; ROIC12.5167%; ROE14.8533%; 股利率1.2007%; 毛利51.18%; 净利31.5367%; 上一年度营收增105.37%, 利润增-67.24%; 当季营收增-42.35%, 利润增-32.35%; 过往5年营收增30.73%, 利润增-8.36%
Income profile:
</v>
      </c>
      <c r="D41" t="s">
        <v>656</v>
      </c>
      <c r="E41" t="s">
        <v>657</v>
      </c>
      <c r="F41">
        <v>11.66</v>
      </c>
      <c r="G41">
        <v>1.92</v>
      </c>
      <c r="H41" t="s">
        <v>2238</v>
      </c>
      <c r="I41">
        <v>3381400000</v>
      </c>
      <c r="J41">
        <v>30.84</v>
      </c>
      <c r="K41">
        <v>1.1100000000000001</v>
      </c>
      <c r="L41" t="s">
        <v>1467</v>
      </c>
      <c r="M41" t="s">
        <v>1442</v>
      </c>
      <c r="N41" t="s">
        <v>1073</v>
      </c>
      <c r="O41" t="s">
        <v>363</v>
      </c>
      <c r="P41">
        <v>17.45</v>
      </c>
      <c r="Q41" t="s">
        <v>1279</v>
      </c>
      <c r="R41">
        <v>38445374</v>
      </c>
      <c r="S41" s="5">
        <v>-0.3896</v>
      </c>
      <c r="T41" t="s">
        <v>2239</v>
      </c>
      <c r="U41">
        <v>72500000</v>
      </c>
      <c r="V41">
        <v>290000000</v>
      </c>
      <c r="W41">
        <v>1.54</v>
      </c>
      <c r="X41">
        <v>0.04</v>
      </c>
      <c r="Y41">
        <v>21.68</v>
      </c>
      <c r="Z41" t="s">
        <v>92</v>
      </c>
      <c r="AA41" t="s">
        <v>212</v>
      </c>
      <c r="AB41" t="s">
        <v>2240</v>
      </c>
      <c r="AC41" t="s">
        <v>2241</v>
      </c>
      <c r="AD41" t="s">
        <v>5</v>
      </c>
      <c r="AE41">
        <v>-6543215</v>
      </c>
      <c r="AF41" t="s">
        <v>308</v>
      </c>
      <c r="AG41" t="s">
        <v>2242</v>
      </c>
      <c r="AH41" t="s">
        <v>2243</v>
      </c>
      <c r="AI41" t="s">
        <v>2244</v>
      </c>
      <c r="AJ41" t="s">
        <v>2245</v>
      </c>
      <c r="AK41" t="s">
        <v>5</v>
      </c>
      <c r="AL41" t="s">
        <v>2246</v>
      </c>
      <c r="AM41" t="s">
        <v>5</v>
      </c>
      <c r="AN41" t="s">
        <v>2247</v>
      </c>
      <c r="AO41" t="s">
        <v>5</v>
      </c>
      <c r="AP41" t="s">
        <v>5</v>
      </c>
      <c r="AQ41" t="s">
        <v>2248</v>
      </c>
      <c r="AR41" t="s">
        <v>5</v>
      </c>
      <c r="AS41" t="s">
        <v>1239</v>
      </c>
      <c r="AT41" t="s">
        <v>5</v>
      </c>
      <c r="AU41" t="s">
        <v>245</v>
      </c>
      <c r="AV41" t="s">
        <v>2249</v>
      </c>
      <c r="AW41" t="s">
        <v>549</v>
      </c>
      <c r="AX41" t="s">
        <v>340</v>
      </c>
      <c r="AY41" t="s">
        <v>90</v>
      </c>
      <c r="AZ41" t="s">
        <v>658</v>
      </c>
      <c r="BA41" t="s">
        <v>659</v>
      </c>
      <c r="BB41" t="s">
        <v>311</v>
      </c>
      <c r="BC41" t="s">
        <v>720</v>
      </c>
      <c r="BD41" t="s">
        <v>224</v>
      </c>
      <c r="BE41" t="s">
        <v>660</v>
      </c>
      <c r="BF41" t="s">
        <v>453</v>
      </c>
      <c r="BG41" t="s">
        <v>373</v>
      </c>
      <c r="BH41" t="s">
        <v>1222</v>
      </c>
      <c r="BI41" t="s">
        <v>2250</v>
      </c>
      <c r="BJ41" t="s">
        <v>340</v>
      </c>
      <c r="BK41" t="s">
        <v>92</v>
      </c>
      <c r="BL41" t="s">
        <v>2251</v>
      </c>
      <c r="BM41" t="s">
        <v>720</v>
      </c>
      <c r="BN41">
        <v>2.59</v>
      </c>
      <c r="BO41">
        <v>6.48</v>
      </c>
      <c r="BP41">
        <v>28.48</v>
      </c>
      <c r="BQ41">
        <v>4.07</v>
      </c>
      <c r="BR41">
        <v>8.1300000000000008</v>
      </c>
      <c r="BS41">
        <v>32.36</v>
      </c>
      <c r="BT41" t="s">
        <v>2252</v>
      </c>
      <c r="BU41" t="s">
        <v>107</v>
      </c>
      <c r="BV41">
        <v>41.95</v>
      </c>
      <c r="BW41">
        <v>52.07</v>
      </c>
      <c r="BX41">
        <v>59.52</v>
      </c>
      <c r="BY41">
        <v>22.47</v>
      </c>
      <c r="BZ41">
        <v>33.270000000000003</v>
      </c>
      <c r="CA41">
        <v>38.869999999999997</v>
      </c>
      <c r="CB41">
        <v>-1.1000000000000001</v>
      </c>
      <c r="CC41">
        <v>-12.99</v>
      </c>
      <c r="CD41" t="s">
        <v>2253</v>
      </c>
      <c r="CE41" t="s">
        <v>2254</v>
      </c>
      <c r="CF41" s="11">
        <v>-0.42345276872964172</v>
      </c>
      <c r="CG41" s="12">
        <v>-0.32345808190925679</v>
      </c>
      <c r="CH41" s="11">
        <v>1.0537260770797729</v>
      </c>
      <c r="CI41" s="11">
        <v>-6.7851372063159943E-2</v>
      </c>
      <c r="CJ41" s="11">
        <v>0.26844263076782227</v>
      </c>
      <c r="CK41" s="11">
        <v>0.11926605552434921</v>
      </c>
      <c r="CL41" s="11">
        <v>0.16266666352748871</v>
      </c>
      <c r="CM41" s="12">
        <v>-0.67241442203521729</v>
      </c>
      <c r="CN41" s="12">
        <v>-0.19502075016498566</v>
      </c>
      <c r="CO41" s="12">
        <v>0.15865384042263031</v>
      </c>
      <c r="CP41" s="12">
        <v>8.3333335816860199E-2</v>
      </c>
      <c r="CQ41" s="12">
        <v>0.20754717290401459</v>
      </c>
      <c r="CR41">
        <v>19.184312141365016</v>
      </c>
      <c r="CS41">
        <v>0.62438767962841812</v>
      </c>
      <c r="CT41">
        <v>1.2006861063464835</v>
      </c>
      <c r="CU41" s="11">
        <v>0.30725001096725463</v>
      </c>
      <c r="CV41" s="12">
        <v>-8.3580164611339575E-2</v>
      </c>
      <c r="CW41">
        <v>0.06</v>
      </c>
      <c r="CX41">
        <v>22.563227813974418</v>
      </c>
      <c r="CY41">
        <v>78375311.129232615</v>
      </c>
      <c r="CZ41">
        <v>0.30725001096725463</v>
      </c>
      <c r="DA41">
        <v>6.1637858297440022</v>
      </c>
      <c r="DB41">
        <v>286901597.30508453</v>
      </c>
      <c r="DC41">
        <v>0.29188751041889188</v>
      </c>
      <c r="DD41">
        <v>2.3472081884721381</v>
      </c>
      <c r="DE41">
        <v>753405687.95096946</v>
      </c>
      <c r="DF41">
        <v>0.27038000965118408</v>
      </c>
      <c r="DG41">
        <v>1.030208880921883</v>
      </c>
      <c r="DH41">
        <v>1716545093.6683309</v>
      </c>
      <c r="DI41">
        <v>0.2458000087738037</v>
      </c>
      <c r="DJ41">
        <v>0.24758035815577151</v>
      </c>
      <c r="DK41">
        <v>7142731407.1795874</v>
      </c>
      <c r="DL41">
        <v>0.21507500767707824</v>
      </c>
      <c r="DM41">
        <v>63551600</v>
      </c>
      <c r="DN41">
        <v>0.30725001096725463</v>
      </c>
      <c r="DO41">
        <v>1768400000</v>
      </c>
      <c r="DP41">
        <v>2504769800</v>
      </c>
      <c r="DQ41">
        <v>2544</v>
      </c>
      <c r="DR41">
        <v>-0.73070277969689634</v>
      </c>
      <c r="DS41">
        <v>-0.23987791729791721</v>
      </c>
      <c r="DT41" s="13">
        <v>0.12666666666666662</v>
      </c>
      <c r="DU41">
        <v>-0.47</v>
      </c>
      <c r="DV41">
        <v>-0.34333333333333338</v>
      </c>
      <c r="DW41">
        <v>-2.1299000000000001</v>
      </c>
      <c r="DX41">
        <v>0.3528887076582512</v>
      </c>
      <c r="DY41">
        <v>-2.0185612431248066</v>
      </c>
      <c r="DZ41">
        <v>409</v>
      </c>
      <c r="EA41">
        <v>-2.0170756172073809</v>
      </c>
      <c r="EB41">
        <v>2</v>
      </c>
      <c r="EC41">
        <v>3.5447586206896552E-2</v>
      </c>
      <c r="ED41">
        <v>0.24807827586206896</v>
      </c>
      <c r="EE41" s="14">
        <v>-5.0133999999999999</v>
      </c>
      <c r="EF41">
        <v>-5.0125099999999998</v>
      </c>
      <c r="EG41">
        <v>21.142888707658251</v>
      </c>
      <c r="EH41" t="s">
        <v>1455</v>
      </c>
      <c r="EI41">
        <v>0</v>
      </c>
      <c r="EJ41">
        <v>1</v>
      </c>
      <c r="EK41" s="10">
        <v>45470</v>
      </c>
      <c r="EL41" s="15">
        <v>1.05</v>
      </c>
      <c r="EM41" s="15">
        <v>-2.25</v>
      </c>
      <c r="EN41" s="15">
        <v>0.65</v>
      </c>
      <c r="EO41" s="15">
        <v>4.17</v>
      </c>
      <c r="EP41" s="15">
        <v>-2.59</v>
      </c>
    </row>
    <row r="42" spans="1:146" ht="108" x14ac:dyDescent="0.25">
      <c r="A42" s="7"/>
      <c r="B42" s="7"/>
      <c r="C42" s="7" t="str">
        <f>""&amp;CHAR(10)&amp;Basic_Fundamental_Information_Constructure(F42)&amp;CHAR(10)&amp;Basic_Fundamental_Information_Concatenate("")</f>
        <v xml:space="preserve">
市值69.178474亿, 利润6340.15万; PE30.64; 平均PE33.12; 平均PEG3.24, PB2; ROIC10.26%; ROE11.2567%; 股利率.7503%; 毛利20.53%; 净利9.6333%; 上一年度营收增-82%, 利润增-75.8%; 当季营收增2723.08%, 利润增1265.23%; 过往5年营收增-10.22%, 利润增-8.41%
Income profile:
</v>
      </c>
      <c r="D42" t="s">
        <v>661</v>
      </c>
      <c r="E42" t="s">
        <v>662</v>
      </c>
      <c r="F42">
        <v>14.66</v>
      </c>
      <c r="G42">
        <v>2.81</v>
      </c>
      <c r="H42" t="s">
        <v>2255</v>
      </c>
      <c r="I42">
        <v>6917847400</v>
      </c>
      <c r="J42">
        <v>30.64</v>
      </c>
      <c r="K42">
        <v>2</v>
      </c>
      <c r="L42" t="s">
        <v>1467</v>
      </c>
      <c r="M42" t="s">
        <v>1272</v>
      </c>
      <c r="N42" t="s">
        <v>2256</v>
      </c>
      <c r="O42" t="s">
        <v>1464</v>
      </c>
      <c r="P42">
        <v>1.66</v>
      </c>
      <c r="Q42" t="s">
        <v>2257</v>
      </c>
      <c r="R42">
        <v>50094256</v>
      </c>
      <c r="S42" s="5">
        <v>0.21229999999999999</v>
      </c>
      <c r="T42" t="s">
        <v>2258</v>
      </c>
      <c r="U42">
        <v>308775030</v>
      </c>
      <c r="V42">
        <v>471885910</v>
      </c>
      <c r="W42">
        <v>1.55</v>
      </c>
      <c r="X42">
        <v>0.1</v>
      </c>
      <c r="Y42">
        <v>10.23</v>
      </c>
      <c r="Z42" t="s">
        <v>1129</v>
      </c>
      <c r="AA42" t="s">
        <v>741</v>
      </c>
      <c r="AB42" t="s">
        <v>2259</v>
      </c>
      <c r="AC42" t="s">
        <v>2260</v>
      </c>
      <c r="AD42" t="s">
        <v>5</v>
      </c>
      <c r="AE42">
        <v>819881</v>
      </c>
      <c r="AF42" t="s">
        <v>2261</v>
      </c>
      <c r="AG42">
        <v>5242.2700000000004</v>
      </c>
      <c r="AH42" t="s">
        <v>2262</v>
      </c>
      <c r="AI42" t="s">
        <v>1242</v>
      </c>
      <c r="AJ42" t="s">
        <v>2263</v>
      </c>
      <c r="AK42" t="s">
        <v>5</v>
      </c>
      <c r="AL42" t="s">
        <v>2264</v>
      </c>
      <c r="AM42" t="s">
        <v>5</v>
      </c>
      <c r="AN42">
        <v>0</v>
      </c>
      <c r="AO42" t="s">
        <v>1358</v>
      </c>
      <c r="AP42" t="s">
        <v>5</v>
      </c>
      <c r="AQ42" t="s">
        <v>995</v>
      </c>
      <c r="AR42" t="s">
        <v>5</v>
      </c>
      <c r="AS42" t="s">
        <v>2265</v>
      </c>
      <c r="AT42" t="s">
        <v>5</v>
      </c>
      <c r="AU42" t="s">
        <v>2266</v>
      </c>
      <c r="AV42" t="s">
        <v>2267</v>
      </c>
      <c r="AW42" t="s">
        <v>2268</v>
      </c>
      <c r="AX42" t="s">
        <v>56</v>
      </c>
      <c r="AY42" t="s">
        <v>663</v>
      </c>
      <c r="AZ42" t="s">
        <v>664</v>
      </c>
      <c r="BA42" t="s">
        <v>665</v>
      </c>
      <c r="BB42" t="s">
        <v>666</v>
      </c>
      <c r="BC42" t="s">
        <v>579</v>
      </c>
      <c r="BD42" t="s">
        <v>431</v>
      </c>
      <c r="BE42" t="s">
        <v>134</v>
      </c>
      <c r="BF42" t="s">
        <v>224</v>
      </c>
      <c r="BG42" t="s">
        <v>505</v>
      </c>
      <c r="BH42" t="s">
        <v>1380</v>
      </c>
      <c r="BI42" t="s">
        <v>2269</v>
      </c>
      <c r="BJ42" t="s">
        <v>56</v>
      </c>
      <c r="BK42" t="s">
        <v>386</v>
      </c>
      <c r="BL42" t="s">
        <v>2270</v>
      </c>
      <c r="BM42" t="s">
        <v>579</v>
      </c>
      <c r="BN42">
        <v>4.46</v>
      </c>
      <c r="BO42">
        <v>10.56</v>
      </c>
      <c r="BP42">
        <v>15.76</v>
      </c>
      <c r="BQ42">
        <v>5.54</v>
      </c>
      <c r="BR42">
        <v>11.71</v>
      </c>
      <c r="BS42">
        <v>16.52</v>
      </c>
      <c r="BT42" t="s">
        <v>1022</v>
      </c>
      <c r="BU42" t="s">
        <v>107</v>
      </c>
      <c r="BV42">
        <v>24.36</v>
      </c>
      <c r="BW42">
        <v>20.37</v>
      </c>
      <c r="BX42">
        <v>16.86</v>
      </c>
      <c r="BY42">
        <v>9.98</v>
      </c>
      <c r="BZ42">
        <v>11.37</v>
      </c>
      <c r="CA42">
        <v>7.55</v>
      </c>
      <c r="CB42">
        <v>-0.27</v>
      </c>
      <c r="CC42">
        <v>-8.1999999999999993</v>
      </c>
      <c r="CD42" t="s">
        <v>2271</v>
      </c>
      <c r="CE42" t="s">
        <v>260</v>
      </c>
      <c r="CF42" s="11">
        <v>27.230847336264016</v>
      </c>
      <c r="CG42" s="12">
        <v>12.652265823079249</v>
      </c>
      <c r="CH42" s="11">
        <v>-0.8200346827507019</v>
      </c>
      <c r="CI42" s="11">
        <v>-0.32671535015106201</v>
      </c>
      <c r="CJ42" s="11">
        <v>0.38216292858123779</v>
      </c>
      <c r="CK42" s="11">
        <v>-6.0167703777551651E-3</v>
      </c>
      <c r="CL42" s="11">
        <v>0.25972706079483032</v>
      </c>
      <c r="CM42" s="12">
        <v>-0.75800955295562744</v>
      </c>
      <c r="CN42" s="12">
        <v>1.1583011597394943E-2</v>
      </c>
      <c r="CO42" s="12">
        <v>0.10212765634059906</v>
      </c>
      <c r="CP42" s="12">
        <v>-2.4896265938878059E-2</v>
      </c>
      <c r="CQ42" s="12">
        <v>0.24870465695858002</v>
      </c>
      <c r="CR42">
        <v>33.115553475881434</v>
      </c>
      <c r="CS42">
        <v>3.241050736170211</v>
      </c>
      <c r="CT42">
        <v>0.75034106412005463</v>
      </c>
      <c r="CU42" s="11">
        <v>-0.1021753627806902</v>
      </c>
      <c r="CV42" s="12">
        <v>-8.4098098799586296E-2</v>
      </c>
      <c r="CW42">
        <v>0.06</v>
      </c>
      <c r="CX42">
        <v>74.506871288534185</v>
      </c>
      <c r="CY42" t="s">
        <v>2272</v>
      </c>
      <c r="CZ42">
        <v>-0.1021753627806902</v>
      </c>
      <c r="DA42">
        <v>24.835623762844726</v>
      </c>
      <c r="DB42" t="s">
        <v>2273</v>
      </c>
      <c r="DC42">
        <v>-9.7066594641655679E-2</v>
      </c>
      <c r="DD42">
        <v>12.417811881422363</v>
      </c>
      <c r="DE42" t="s">
        <v>2274</v>
      </c>
      <c r="DF42">
        <v>-8.9914319247007379E-2</v>
      </c>
      <c r="DG42">
        <v>7.450687128853418</v>
      </c>
      <c r="DH42" t="s">
        <v>2275</v>
      </c>
      <c r="DI42">
        <v>-8.1740290224552162E-2</v>
      </c>
      <c r="DJ42">
        <v>3.725343564426709</v>
      </c>
      <c r="DK42" t="s">
        <v>2276</v>
      </c>
      <c r="DL42">
        <v>-7.1522753946483136E-2</v>
      </c>
      <c r="DM42">
        <v>63401500</v>
      </c>
      <c r="DN42">
        <v>-0.1021753627806902</v>
      </c>
      <c r="DO42">
        <v>4723847400</v>
      </c>
      <c r="DP42">
        <v>3132153400</v>
      </c>
      <c r="DQ42">
        <v>2600</v>
      </c>
      <c r="DR42">
        <v>27.333022699044708</v>
      </c>
      <c r="DS42">
        <v>12.736363921878835</v>
      </c>
      <c r="DT42" s="13">
        <v>-0.69</v>
      </c>
      <c r="DU42">
        <v>-0.23333333333333331</v>
      </c>
      <c r="DV42">
        <v>-0.92333333333333323</v>
      </c>
      <c r="DW42">
        <v>-2.0819999999999999</v>
      </c>
      <c r="DX42">
        <v>0.57899260700389354</v>
      </c>
      <c r="DY42">
        <v>-2.0138573937743192</v>
      </c>
      <c r="DZ42">
        <v>1330</v>
      </c>
      <c r="EA42">
        <v>-2.0102506748467568</v>
      </c>
      <c r="EB42">
        <v>2</v>
      </c>
      <c r="EC42">
        <v>9.2037289267653699E-2</v>
      </c>
      <c r="ED42">
        <v>0.54462316961318036</v>
      </c>
      <c r="EE42" s="14">
        <v>-4.1036999999999999</v>
      </c>
      <c r="EF42">
        <v>-4.0746000000000002</v>
      </c>
      <c r="EG42">
        <v>41.168992607003894</v>
      </c>
      <c r="EH42" t="s">
        <v>1444</v>
      </c>
      <c r="EI42">
        <v>0</v>
      </c>
      <c r="EJ42">
        <v>1</v>
      </c>
      <c r="EK42" s="10">
        <v>45470</v>
      </c>
      <c r="EL42" s="15">
        <v>-1.87</v>
      </c>
      <c r="EM42" s="15">
        <v>-7.13</v>
      </c>
      <c r="EN42" s="15">
        <v>11.74</v>
      </c>
      <c r="EO42" s="15">
        <v>1.95</v>
      </c>
      <c r="EP42" s="15">
        <v>-2.91</v>
      </c>
    </row>
    <row r="43" spans="1:146" ht="108" x14ac:dyDescent="0.25">
      <c r="A43" s="7"/>
      <c r="B43" s="7"/>
      <c r="C43" s="7" t="str">
        <f>""&amp;CHAR(10)&amp;Basic_Fundamental_Information_Constructure(F43)&amp;CHAR(10)&amp;Basic_Fundamental_Information_Concatenate("")</f>
        <v xml:space="preserve">
市值15.2342亿, 利润5625.41万; PE1567; 平均PE35.87; 平均PEG.44, PB1.68; ROIC4.12%; ROE5.0067%; 股利率.277%; 毛利35.8167%; 净利7.2233%; 上一年度营收增412.15%, 利润增140.27%; 当季营收增-80.64%, 利润增-126.86%; 过往5年营收增81.12%, 利润增19.55%
Income profile:
</v>
      </c>
      <c r="D43" t="s">
        <v>668</v>
      </c>
      <c r="E43" t="s">
        <v>994</v>
      </c>
      <c r="F43">
        <v>18.05</v>
      </c>
      <c r="G43">
        <v>3.86</v>
      </c>
      <c r="H43" t="s">
        <v>2277</v>
      </c>
      <c r="I43">
        <v>1523420000</v>
      </c>
      <c r="J43">
        <v>1567</v>
      </c>
      <c r="K43">
        <v>1.68</v>
      </c>
      <c r="L43" t="s">
        <v>1467</v>
      </c>
      <c r="M43" t="s">
        <v>2278</v>
      </c>
      <c r="N43" t="s">
        <v>1066</v>
      </c>
      <c r="O43" t="s">
        <v>2279</v>
      </c>
      <c r="P43">
        <v>-18.38</v>
      </c>
      <c r="Q43" t="s">
        <v>2280</v>
      </c>
      <c r="R43">
        <v>-5570993</v>
      </c>
      <c r="S43">
        <v>-2.63</v>
      </c>
      <c r="T43" t="s">
        <v>2281</v>
      </c>
      <c r="U43">
        <v>53900000</v>
      </c>
      <c r="V43">
        <v>84400000</v>
      </c>
      <c r="W43">
        <v>1.05</v>
      </c>
      <c r="X43">
        <v>0.06</v>
      </c>
      <c r="Y43">
        <v>-10.35</v>
      </c>
      <c r="Z43" t="s">
        <v>2282</v>
      </c>
      <c r="AA43" t="s">
        <v>2283</v>
      </c>
      <c r="AB43" t="s">
        <v>2284</v>
      </c>
      <c r="AC43" t="s">
        <v>2285</v>
      </c>
      <c r="AD43" t="s">
        <v>5</v>
      </c>
      <c r="AE43">
        <v>-1151223</v>
      </c>
      <c r="AF43" t="s">
        <v>2286</v>
      </c>
      <c r="AG43" t="s">
        <v>2287</v>
      </c>
      <c r="AH43" t="s">
        <v>2288</v>
      </c>
      <c r="AI43" t="s">
        <v>353</v>
      </c>
      <c r="AJ43" t="s">
        <v>2289</v>
      </c>
      <c r="AK43" t="s">
        <v>5</v>
      </c>
      <c r="AL43" t="s">
        <v>2290</v>
      </c>
      <c r="AM43" t="s">
        <v>5</v>
      </c>
      <c r="AN43" t="s">
        <v>2291</v>
      </c>
      <c r="AO43" t="s">
        <v>5</v>
      </c>
      <c r="AP43" t="s">
        <v>5</v>
      </c>
      <c r="AQ43" t="s">
        <v>2292</v>
      </c>
      <c r="AR43" t="s">
        <v>5</v>
      </c>
      <c r="AS43" t="s">
        <v>2293</v>
      </c>
      <c r="AT43" t="s">
        <v>5</v>
      </c>
      <c r="AU43" t="s">
        <v>2294</v>
      </c>
      <c r="AV43" t="s">
        <v>1702</v>
      </c>
      <c r="AW43" t="s">
        <v>2295</v>
      </c>
      <c r="AX43" t="s">
        <v>155</v>
      </c>
      <c r="AY43" t="s">
        <v>20</v>
      </c>
      <c r="AZ43" t="s">
        <v>484</v>
      </c>
      <c r="BA43" t="s">
        <v>507</v>
      </c>
      <c r="BB43" t="s">
        <v>368</v>
      </c>
      <c r="BC43" t="s">
        <v>1096</v>
      </c>
      <c r="BD43" t="s">
        <v>670</v>
      </c>
      <c r="BE43" t="s">
        <v>671</v>
      </c>
      <c r="BF43" t="s">
        <v>672</v>
      </c>
      <c r="BG43" t="s">
        <v>673</v>
      </c>
      <c r="BH43" t="s">
        <v>847</v>
      </c>
      <c r="BI43" t="s">
        <v>148</v>
      </c>
      <c r="BJ43" t="s">
        <v>155</v>
      </c>
      <c r="BK43" t="s">
        <v>2296</v>
      </c>
      <c r="BL43" t="s">
        <v>2297</v>
      </c>
      <c r="BM43" t="s">
        <v>1096</v>
      </c>
      <c r="BN43">
        <v>0.44</v>
      </c>
      <c r="BO43">
        <v>2.86</v>
      </c>
      <c r="BP43">
        <v>9.06</v>
      </c>
      <c r="BQ43">
        <v>0.89</v>
      </c>
      <c r="BR43">
        <v>4.2</v>
      </c>
      <c r="BS43">
        <v>9.93</v>
      </c>
      <c r="BT43" t="s">
        <v>1052</v>
      </c>
      <c r="BU43" t="s">
        <v>82</v>
      </c>
      <c r="BV43">
        <v>35.81</v>
      </c>
      <c r="BW43">
        <v>35.49</v>
      </c>
      <c r="BX43">
        <v>36.15</v>
      </c>
      <c r="BY43">
        <v>3.64</v>
      </c>
      <c r="BZ43">
        <v>7.3</v>
      </c>
      <c r="CA43">
        <v>10.73</v>
      </c>
      <c r="CB43">
        <v>-4.4000000000000004</v>
      </c>
      <c r="CC43">
        <v>3.44</v>
      </c>
      <c r="CD43" t="s">
        <v>2298</v>
      </c>
      <c r="CE43" t="s">
        <v>435</v>
      </c>
      <c r="CF43" s="11">
        <v>-0.80642841726618708</v>
      </c>
      <c r="CG43" s="12">
        <v>-1.2686499011428847</v>
      </c>
      <c r="CH43" s="11">
        <v>4.1214957237243652</v>
      </c>
      <c r="CI43" s="11">
        <v>-0.15303429961204529</v>
      </c>
      <c r="CJ43" s="11">
        <v>-7.8534027561545372E-3</v>
      </c>
      <c r="CK43" s="11">
        <v>-4.9751244485378265E-2</v>
      </c>
      <c r="CL43" s="11">
        <v>0.14529915153980255</v>
      </c>
      <c r="CM43" s="12">
        <v>1.4026557207107544</v>
      </c>
      <c r="CN43" s="12">
        <v>-0.42382580041885376</v>
      </c>
      <c r="CO43" s="12">
        <v>-0.13703712821006775</v>
      </c>
      <c r="CP43" s="12">
        <v>2.2453783079981804E-2</v>
      </c>
      <c r="CQ43" s="12">
        <v>0.11339274048805237</v>
      </c>
      <c r="CR43">
        <v>35.871806011286026</v>
      </c>
      <c r="CS43">
        <v>0.44218968210798593</v>
      </c>
      <c r="CT43">
        <v>0.27700831024930744</v>
      </c>
      <c r="CU43" s="11">
        <v>0.81123118568211794</v>
      </c>
      <c r="CV43" s="12">
        <v>0.19552786312997342</v>
      </c>
      <c r="CW43">
        <v>0.06</v>
      </c>
      <c r="CX43">
        <v>6.9412383760168197</v>
      </c>
      <c r="CY43">
        <v>96121868.153283417</v>
      </c>
      <c r="CZ43">
        <v>0.81123118568211794</v>
      </c>
      <c r="DA43">
        <v>1.3002151085390439</v>
      </c>
      <c r="DB43">
        <v>513149551.65356356</v>
      </c>
      <c r="DC43">
        <v>0.77066962639801195</v>
      </c>
      <c r="DD43">
        <v>0.26827813020121771</v>
      </c>
      <c r="DE43">
        <v>2486989153.7546263</v>
      </c>
      <c r="DF43">
        <v>0.71388344340026377</v>
      </c>
      <c r="DG43">
        <v>5.1659249847658649E-2</v>
      </c>
      <c r="DH43">
        <v>12915495326.927198</v>
      </c>
      <c r="DI43">
        <v>0.64898494854569444</v>
      </c>
      <c r="DJ43">
        <v>1.5299500172083567E-3</v>
      </c>
      <c r="DK43">
        <v>436095815219.78339</v>
      </c>
      <c r="DL43">
        <v>0.56786182997748247</v>
      </c>
      <c r="DM43">
        <v>56254100</v>
      </c>
      <c r="DN43">
        <v>0.81123118568211794</v>
      </c>
      <c r="DO43">
        <v>667204799.99999988</v>
      </c>
      <c r="DP43">
        <v>750748870</v>
      </c>
      <c r="DQ43">
        <v>2653</v>
      </c>
      <c r="DR43">
        <v>-1.617659602948305</v>
      </c>
      <c r="DS43">
        <v>-1.4641777642728582</v>
      </c>
      <c r="DT43" s="13">
        <v>-0.29000000000000004</v>
      </c>
      <c r="DU43">
        <v>-0.71499999999999997</v>
      </c>
      <c r="DV43">
        <v>-1.0049999999999999</v>
      </c>
      <c r="DW43">
        <v>-4.7818181818181813</v>
      </c>
      <c r="DX43">
        <v>0.47132487562188957</v>
      </c>
      <c r="DY43">
        <v>-4.2121267209407511</v>
      </c>
      <c r="DZ43">
        <v>1630</v>
      </c>
      <c r="EA43">
        <v>-4.1444620330477129</v>
      </c>
      <c r="EB43">
        <v>4</v>
      </c>
      <c r="EC43">
        <v>0.64616469194312798</v>
      </c>
      <c r="ED43">
        <v>2.3815165876777247</v>
      </c>
      <c r="EE43" s="14">
        <v>3.00081</v>
      </c>
      <c r="EF43">
        <v>3.05531</v>
      </c>
      <c r="EG43">
        <v>20.27132487562189</v>
      </c>
      <c r="EH43" t="s">
        <v>1030</v>
      </c>
      <c r="EI43">
        <v>0</v>
      </c>
      <c r="EJ43">
        <v>0</v>
      </c>
      <c r="EK43" s="10">
        <v>45470</v>
      </c>
      <c r="EL43" s="15">
        <v>5.48</v>
      </c>
      <c r="EM43" s="15">
        <v>-9.27</v>
      </c>
      <c r="EN43" s="15">
        <v>0.04</v>
      </c>
      <c r="EO43" s="15">
        <v>4.93</v>
      </c>
      <c r="EP43" s="15">
        <v>-5.45</v>
      </c>
    </row>
    <row r="44" spans="1:146" ht="108" x14ac:dyDescent="0.25">
      <c r="C44" s="7" t="str">
        <f>""&amp;CHAR(10)&amp;Basic_Fundamental_Information_Constructure(F44)&amp;CHAR(10)&amp;Basic_Fundamental_Information_Concatenate("")</f>
        <v xml:space="preserve">
市值92.1987亿, 利润1.60亿; PE22.39; 平均PE27.6; 平均PEG8.61, PB2.61; ROIC18.6733%; ROE15.575%; 股利率.8684%; 毛利56.1533%; 净利42.3567%; 上一年度营收增-25.47%, 利润增-61.35%; 当季营收增25.26%, 利润增109.63%; 过往5年营收增3.21%, 利润增.83%
Income profile:
</v>
      </c>
      <c r="D44" t="s">
        <v>1264</v>
      </c>
      <c r="E44" t="s">
        <v>1265</v>
      </c>
      <c r="F44">
        <v>22.11</v>
      </c>
      <c r="G44">
        <v>1.33</v>
      </c>
      <c r="H44" t="s">
        <v>2299</v>
      </c>
      <c r="I44">
        <v>9219870000</v>
      </c>
      <c r="J44">
        <v>22.39</v>
      </c>
      <c r="K44">
        <v>2.61</v>
      </c>
      <c r="L44" t="s">
        <v>1467</v>
      </c>
      <c r="M44" t="s">
        <v>1448</v>
      </c>
      <c r="N44" t="s">
        <v>1292</v>
      </c>
      <c r="O44" t="s">
        <v>651</v>
      </c>
      <c r="P44" s="5">
        <v>0.49</v>
      </c>
      <c r="Q44" t="s">
        <v>678</v>
      </c>
      <c r="R44">
        <v>108978603</v>
      </c>
      <c r="S44">
        <v>1.6199999999999999E-2</v>
      </c>
      <c r="T44" t="s">
        <v>1231</v>
      </c>
      <c r="U44">
        <v>122075392</v>
      </c>
      <c r="V44">
        <v>417000000</v>
      </c>
      <c r="W44">
        <v>1.1200000000000001</v>
      </c>
      <c r="X44">
        <v>0.06</v>
      </c>
      <c r="Y44">
        <v>44.78</v>
      </c>
      <c r="Z44" t="s">
        <v>417</v>
      </c>
      <c r="AA44" t="s">
        <v>323</v>
      </c>
      <c r="AB44" t="s">
        <v>2300</v>
      </c>
      <c r="AC44" t="s">
        <v>2301</v>
      </c>
      <c r="AD44" t="s">
        <v>5</v>
      </c>
      <c r="AE44">
        <v>-6302253</v>
      </c>
      <c r="AF44" t="s">
        <v>2302</v>
      </c>
      <c r="AG44">
        <v>0.94</v>
      </c>
      <c r="AH44" t="s">
        <v>2303</v>
      </c>
      <c r="AI44" t="s">
        <v>1389</v>
      </c>
      <c r="AJ44" t="s">
        <v>2304</v>
      </c>
      <c r="AK44" t="s">
        <v>5</v>
      </c>
      <c r="AL44" t="s">
        <v>2305</v>
      </c>
      <c r="AM44" t="s">
        <v>5</v>
      </c>
      <c r="AN44">
        <v>0</v>
      </c>
      <c r="AO44" t="s">
        <v>5</v>
      </c>
      <c r="AP44" t="s">
        <v>5</v>
      </c>
      <c r="AQ44" t="s">
        <v>127</v>
      </c>
      <c r="AR44" t="s">
        <v>5</v>
      </c>
      <c r="AS44" t="s">
        <v>1256</v>
      </c>
      <c r="AT44" t="s">
        <v>5</v>
      </c>
      <c r="AU44" t="s">
        <v>2306</v>
      </c>
      <c r="AV44" t="s">
        <v>2307</v>
      </c>
      <c r="AW44" t="s">
        <v>5</v>
      </c>
      <c r="AX44" t="s">
        <v>1266</v>
      </c>
      <c r="AY44" t="s">
        <v>1223</v>
      </c>
      <c r="AZ44" t="s">
        <v>1267</v>
      </c>
      <c r="BA44" t="s">
        <v>738</v>
      </c>
      <c r="BB44" t="s">
        <v>1268</v>
      </c>
      <c r="BC44" t="s">
        <v>1129</v>
      </c>
      <c r="BD44" t="s">
        <v>1050</v>
      </c>
      <c r="BE44" t="s">
        <v>194</v>
      </c>
      <c r="BF44" t="s">
        <v>516</v>
      </c>
      <c r="BG44" t="s">
        <v>510</v>
      </c>
      <c r="BH44" t="s">
        <v>1832</v>
      </c>
      <c r="BI44" t="s">
        <v>720</v>
      </c>
      <c r="BJ44" t="s">
        <v>1266</v>
      </c>
      <c r="BK44" t="s">
        <v>303</v>
      </c>
      <c r="BL44" t="s">
        <v>2308</v>
      </c>
      <c r="BM44" t="s">
        <v>1129</v>
      </c>
      <c r="BN44">
        <v>9.51</v>
      </c>
      <c r="BO44">
        <v>20.56</v>
      </c>
      <c r="BP44">
        <v>25.95</v>
      </c>
      <c r="BQ44">
        <v>10.43</v>
      </c>
      <c r="BR44">
        <v>20.72</v>
      </c>
      <c r="BS44" t="s">
        <v>5</v>
      </c>
      <c r="BT44" t="s">
        <v>2309</v>
      </c>
      <c r="BU44" t="s">
        <v>1486</v>
      </c>
      <c r="BV44">
        <v>55.76</v>
      </c>
      <c r="BW44">
        <v>53.93</v>
      </c>
      <c r="BX44">
        <v>58.77</v>
      </c>
      <c r="BY44">
        <v>41.32</v>
      </c>
      <c r="BZ44">
        <v>40.549999999999997</v>
      </c>
      <c r="CA44">
        <v>45.2</v>
      </c>
      <c r="CB44">
        <v>-1.95</v>
      </c>
      <c r="CC44" s="11">
        <v>-15.77</v>
      </c>
      <c r="CD44" s="12" t="s">
        <v>2310</v>
      </c>
      <c r="CE44" s="11" t="s">
        <v>2311</v>
      </c>
      <c r="CF44" s="11">
        <v>0.25257731958762902</v>
      </c>
      <c r="CG44" s="11">
        <v>1.0963107881175473</v>
      </c>
      <c r="CH44" s="11">
        <v>-0.25465229153633118</v>
      </c>
      <c r="CI44" s="11">
        <v>4.9331963062286377E-2</v>
      </c>
      <c r="CJ44" s="12">
        <v>4.0641710162162781E-2</v>
      </c>
      <c r="CK44" s="12">
        <v>8.4686778485774994E-2</v>
      </c>
      <c r="CL44" s="12">
        <v>0.24028776586055756</v>
      </c>
      <c r="CM44" s="12">
        <v>-0.61352658271789551</v>
      </c>
      <c r="CN44" s="12">
        <v>-5.9090908616781235E-2</v>
      </c>
      <c r="CO44">
        <v>0.1340206116437912</v>
      </c>
      <c r="CP44">
        <v>7.1823202073574066E-2</v>
      </c>
      <c r="CQ44">
        <v>0.50833332538604736</v>
      </c>
      <c r="CR44" s="11">
        <v>27.60440119760479</v>
      </c>
      <c r="CS44" s="12">
        <v>8.6104500221896156</v>
      </c>
      <c r="CT44">
        <v>0.86838534599728634</v>
      </c>
      <c r="CU44">
        <v>3.2059185206890106E-2</v>
      </c>
      <c r="CV44">
        <v>8.3119295537471775E-3</v>
      </c>
      <c r="CW44">
        <v>0.06</v>
      </c>
      <c r="CX44">
        <v>39.214091914590149</v>
      </c>
      <c r="CY44">
        <v>155782518.52179471</v>
      </c>
      <c r="CZ44">
        <v>3.2059185206890106E-2</v>
      </c>
      <c r="DA44">
        <v>13.463457889042346</v>
      </c>
      <c r="DB44">
        <v>453737074.85443944</v>
      </c>
      <c r="DC44">
        <v>3.0456225946545599E-2</v>
      </c>
      <c r="DD44">
        <v>7.069419334427903</v>
      </c>
      <c r="DE44">
        <v>864126134.12956691</v>
      </c>
      <c r="DF44">
        <v>2.8212082982063295E-2</v>
      </c>
      <c r="DG44">
        <v>4.5560784620147015</v>
      </c>
      <c r="DH44">
        <v>1340817558.5498264</v>
      </c>
      <c r="DI44">
        <v>2.5647348165512087E-2</v>
      </c>
      <c r="DJ44">
        <v>2.7287438597586391</v>
      </c>
      <c r="DK44">
        <v>2238711404.9393911</v>
      </c>
      <c r="DL44">
        <v>2.2441429644823072E-2</v>
      </c>
      <c r="DM44">
        <v>160000000</v>
      </c>
      <c r="DN44">
        <v>3.2059185206890106E-2</v>
      </c>
      <c r="DO44">
        <v>6108870000</v>
      </c>
      <c r="DP44">
        <v>3369643900</v>
      </c>
      <c r="DQ44" s="13">
        <v>2673</v>
      </c>
      <c r="DR44">
        <v>0.22051813438073892</v>
      </c>
      <c r="DS44">
        <v>1.0879988585638001</v>
      </c>
      <c r="DT44">
        <v>-0.50666666666666671</v>
      </c>
      <c r="DU44">
        <v>-0.23333333333333331</v>
      </c>
      <c r="DV44">
        <v>-0.74</v>
      </c>
      <c r="DW44">
        <v>-2.1577000000000002</v>
      </c>
      <c r="DX44">
        <v>0.33423123645285013</v>
      </c>
      <c r="DY44">
        <v>-2.0195912659886144</v>
      </c>
      <c r="DZ44">
        <v>884</v>
      </c>
      <c r="EA44">
        <v>-2.0162020919898014</v>
      </c>
      <c r="EB44" s="14">
        <v>2</v>
      </c>
      <c r="EC44" s="14">
        <v>1.876115107913669E-2</v>
      </c>
      <c r="ED44">
        <v>0.15101798561151078</v>
      </c>
      <c r="EE44">
        <v>3.1114999999999999</v>
      </c>
      <c r="EF44">
        <v>3.1230000000000002</v>
      </c>
      <c r="EG44">
        <v>21.12423123645285</v>
      </c>
      <c r="EH44" s="10" t="s">
        <v>998</v>
      </c>
      <c r="EI44">
        <v>0</v>
      </c>
      <c r="EJ44">
        <v>1</v>
      </c>
      <c r="EK44">
        <v>45470</v>
      </c>
      <c r="EL44">
        <v>-0.98</v>
      </c>
      <c r="EM44">
        <v>-5.47</v>
      </c>
      <c r="EN44" s="15">
        <v>6.65</v>
      </c>
      <c r="EO44" s="15">
        <v>1.71</v>
      </c>
      <c r="EP44" s="15">
        <v>1.1499999999999999</v>
      </c>
    </row>
    <row r="45" spans="1:146" ht="108" x14ac:dyDescent="0.25">
      <c r="C45" s="7" t="str">
        <f>""&amp;CHAR(10)&amp;Basic_Fundamental_Information_Constructure(F45)&amp;CHAR(10)&amp;Basic_Fundamental_Information_Concatenate("")</f>
        <v xml:space="preserve">
市值24.78亿, 利润3440.67万; PE41.37; 平均PE49.81; 平均PEG3.29, PB3.55; ROIC12.5467%; ROE15.6067%; 股利率3.9952%; 毛利63.5733%; 净利19.9%; 上一年度营收增44.32%, 利润增-41.08%; 当季营收增-7.61%, 利润增200.47%; 过往5年营收增15.14%, 利润增-1.85%
Income profile:
</v>
      </c>
      <c r="D45" t="s">
        <v>1007</v>
      </c>
      <c r="E45" t="s">
        <v>1008</v>
      </c>
      <c r="F45">
        <v>41.3</v>
      </c>
      <c r="G45">
        <v>1.9</v>
      </c>
      <c r="H45" t="s">
        <v>2312</v>
      </c>
      <c r="I45">
        <v>2478000000</v>
      </c>
      <c r="J45">
        <v>41.37</v>
      </c>
      <c r="K45">
        <v>3.55</v>
      </c>
      <c r="L45" t="s">
        <v>1467</v>
      </c>
      <c r="M45" t="s">
        <v>966</v>
      </c>
      <c r="N45" t="s">
        <v>2313</v>
      </c>
      <c r="O45" t="s">
        <v>2314</v>
      </c>
      <c r="P45" s="5">
        <v>3.33</v>
      </c>
      <c r="Q45" t="s">
        <v>106</v>
      </c>
      <c r="R45">
        <v>24812243</v>
      </c>
      <c r="S45">
        <v>0.46200000000000002</v>
      </c>
      <c r="T45" t="s">
        <v>2315</v>
      </c>
      <c r="U45">
        <v>35182438</v>
      </c>
      <c r="V45">
        <v>60000000</v>
      </c>
      <c r="W45">
        <v>1.41</v>
      </c>
      <c r="X45">
        <v>0.08</v>
      </c>
      <c r="Y45">
        <v>32.869999999999997</v>
      </c>
      <c r="Z45" t="s">
        <v>2316</v>
      </c>
      <c r="AA45" t="s">
        <v>2317</v>
      </c>
      <c r="AB45" t="s">
        <v>2318</v>
      </c>
      <c r="AC45" t="s">
        <v>2319</v>
      </c>
      <c r="AD45" t="s">
        <v>5</v>
      </c>
      <c r="AE45">
        <v>-349732</v>
      </c>
      <c r="AF45" t="s">
        <v>2320</v>
      </c>
      <c r="AG45" t="s">
        <v>2321</v>
      </c>
      <c r="AH45" t="s">
        <v>2322</v>
      </c>
      <c r="AI45" t="s">
        <v>786</v>
      </c>
      <c r="AJ45" t="s">
        <v>2323</v>
      </c>
      <c r="AK45" t="s">
        <v>2324</v>
      </c>
      <c r="AL45" t="s">
        <v>2325</v>
      </c>
      <c r="AM45" t="s">
        <v>5</v>
      </c>
      <c r="AN45" t="s">
        <v>2326</v>
      </c>
      <c r="AO45" t="s">
        <v>5</v>
      </c>
      <c r="AP45" t="s">
        <v>5</v>
      </c>
      <c r="AQ45" t="s">
        <v>2327</v>
      </c>
      <c r="AR45" t="s">
        <v>5</v>
      </c>
      <c r="AS45" t="s">
        <v>286</v>
      </c>
      <c r="AT45" t="s">
        <v>5</v>
      </c>
      <c r="AU45" t="s">
        <v>2328</v>
      </c>
      <c r="AV45" t="s">
        <v>2329</v>
      </c>
      <c r="AW45" t="s">
        <v>2330</v>
      </c>
      <c r="AX45" t="s">
        <v>289</v>
      </c>
      <c r="AY45" t="s">
        <v>445</v>
      </c>
      <c r="AZ45" t="s">
        <v>344</v>
      </c>
      <c r="BA45" t="s">
        <v>642</v>
      </c>
      <c r="BB45" t="s">
        <v>1004</v>
      </c>
      <c r="BC45" t="s">
        <v>2331</v>
      </c>
      <c r="BD45" t="s">
        <v>1009</v>
      </c>
      <c r="BE45" t="s">
        <v>1010</v>
      </c>
      <c r="BF45" t="s">
        <v>1011</v>
      </c>
      <c r="BG45" t="s">
        <v>1012</v>
      </c>
      <c r="BH45" t="s">
        <v>37</v>
      </c>
      <c r="BI45" t="s">
        <v>2332</v>
      </c>
      <c r="BJ45" t="s">
        <v>289</v>
      </c>
      <c r="BK45" t="s">
        <v>2333</v>
      </c>
      <c r="BL45" t="s">
        <v>2334</v>
      </c>
      <c r="BM45" t="s">
        <v>2331</v>
      </c>
      <c r="BN45">
        <v>5.86</v>
      </c>
      <c r="BO45">
        <v>11.17</v>
      </c>
      <c r="BP45">
        <v>20.61</v>
      </c>
      <c r="BQ45">
        <v>5.88</v>
      </c>
      <c r="BR45">
        <v>17.54</v>
      </c>
      <c r="BS45">
        <v>23.4</v>
      </c>
      <c r="BT45" t="s">
        <v>2335</v>
      </c>
      <c r="BU45" t="s">
        <v>159</v>
      </c>
      <c r="BV45">
        <v>59.94</v>
      </c>
      <c r="BW45">
        <v>65.78</v>
      </c>
      <c r="BX45">
        <v>65</v>
      </c>
      <c r="BY45">
        <v>18.36</v>
      </c>
      <c r="BZ45">
        <v>21.38</v>
      </c>
      <c r="CA45">
        <v>19.96</v>
      </c>
      <c r="CB45">
        <v>-1.67</v>
      </c>
      <c r="CC45" s="1">
        <v>-9.65</v>
      </c>
      <c r="CD45" s="1" t="s">
        <v>2336</v>
      </c>
      <c r="CE45" s="1" t="s">
        <v>2337</v>
      </c>
      <c r="CF45" s="11">
        <v>-7.6106976636034426E-2</v>
      </c>
      <c r="CG45" s="12">
        <v>2.0047401818908415</v>
      </c>
      <c r="CH45" s="11">
        <v>0.44322344660758972</v>
      </c>
      <c r="CI45" s="11">
        <v>8.7649405002593994E-2</v>
      </c>
      <c r="CJ45" s="11">
        <v>0.1513761430978775</v>
      </c>
      <c r="CK45" s="11">
        <v>-9.0909088030457497E-3</v>
      </c>
      <c r="CL45" s="11">
        <v>8.3743840456008911E-2</v>
      </c>
      <c r="CM45" s="12">
        <v>-0.41083711385726929</v>
      </c>
      <c r="CN45" s="12">
        <v>0.16775712370872498</v>
      </c>
      <c r="CO45" s="12">
        <v>-3.5652648657560349E-2</v>
      </c>
      <c r="CP45" s="12">
        <v>-0.11741139739751816</v>
      </c>
      <c r="CQ45" s="12">
        <v>0.30387941002845764</v>
      </c>
      <c r="CR45" s="1">
        <v>49.809779440634976</v>
      </c>
      <c r="CS45" s="1">
        <v>3.2903720882378154</v>
      </c>
      <c r="CT45" s="1">
        <v>3.9951573849878939</v>
      </c>
      <c r="CU45" s="11">
        <v>0.15138038527220488</v>
      </c>
      <c r="CV45" s="12">
        <v>-1.8452925235033037E-2</v>
      </c>
      <c r="CW45">
        <v>0.06</v>
      </c>
      <c r="CX45">
        <v>55.789192728702034</v>
      </c>
      <c r="CY45">
        <v>37372829.718816198</v>
      </c>
      <c r="CZ45">
        <v>0.15138038527220488</v>
      </c>
      <c r="DA45">
        <v>17.314374377263071</v>
      </c>
      <c r="DB45">
        <v>120420175.43169132</v>
      </c>
      <c r="DC45">
        <v>0.14381136600859462</v>
      </c>
      <c r="DD45">
        <v>7.9427003881069469</v>
      </c>
      <c r="DE45">
        <v>262505180.62118873</v>
      </c>
      <c r="DF45">
        <v>0.13321473903954029</v>
      </c>
      <c r="DG45">
        <v>4.395212323165695</v>
      </c>
      <c r="DH45">
        <v>474379813.00941068</v>
      </c>
      <c r="DI45">
        <v>0.12110430821776391</v>
      </c>
      <c r="DJ45">
        <v>1.8833078177627685</v>
      </c>
      <c r="DK45">
        <v>1107094645.0362146</v>
      </c>
      <c r="DL45">
        <v>0.1059662696905434</v>
      </c>
      <c r="DM45">
        <v>34406700</v>
      </c>
      <c r="DN45">
        <v>0.15138038527220488</v>
      </c>
      <c r="DO45">
        <v>2085000000</v>
      </c>
      <c r="DP45">
        <v>304593950</v>
      </c>
      <c r="DQ45" s="13">
        <v>2704</v>
      </c>
      <c r="DR45">
        <v>-0.22748736190823932</v>
      </c>
      <c r="DS45">
        <v>2.0231931071258744</v>
      </c>
      <c r="DT45">
        <v>-0.14000000000000001</v>
      </c>
      <c r="DU45">
        <v>0.52333333333333332</v>
      </c>
      <c r="DV45">
        <v>0.3833333333333333</v>
      </c>
      <c r="DW45">
        <v>-2.0964999999999998</v>
      </c>
      <c r="DX45">
        <v>0.40339962728142154</v>
      </c>
      <c r="DY45">
        <v>-2.0157680640326574</v>
      </c>
      <c r="DZ45">
        <v>1049</v>
      </c>
      <c r="EA45">
        <v>-2.0125311366020786</v>
      </c>
      <c r="EB45" s="14">
        <v>2</v>
      </c>
      <c r="EC45">
        <v>0.11047666666666667</v>
      </c>
      <c r="ED45">
        <v>0.67611333333333334</v>
      </c>
      <c r="EE45">
        <v>1.0286999999999999</v>
      </c>
      <c r="EF45">
        <v>1.00621</v>
      </c>
      <c r="EG45">
        <v>24.163399627281422</v>
      </c>
      <c r="EH45" s="10" t="s">
        <v>2217</v>
      </c>
      <c r="EI45" s="15">
        <v>0</v>
      </c>
      <c r="EJ45" s="15">
        <v>1</v>
      </c>
      <c r="EK45" s="15">
        <v>45470</v>
      </c>
      <c r="EL45" s="15">
        <v>0.71</v>
      </c>
      <c r="EM45" s="15">
        <v>-6.47</v>
      </c>
      <c r="EN45" s="15">
        <v>3.67</v>
      </c>
      <c r="EO45" s="15">
        <v>5.95</v>
      </c>
      <c r="EP45" s="15">
        <v>-3.49</v>
      </c>
    </row>
    <row r="46" spans="1:146" ht="108" x14ac:dyDescent="0.25">
      <c r="C46" s="7" t="str">
        <f>""&amp;CHAR(10)&amp;Basic_Fundamental_Information_Constructure(F46)&amp;CHAR(10)&amp;Basic_Fundamental_Information_Concatenate("")</f>
        <v xml:space="preserve">
市值20.530376亿, 利润3516.83万; PE; 平均PE44.27; 平均PEG13.2, PB2.05; ROIC8.325%; ROE5.5733%; 股利率.7652%; 毛利38.12%; 净利4.5033%; 上一年度营收增-64.2%, 利润增92.49%; 当季营收增7.44%, 利润增-311.3%; 过往5年营收增-3.35%, 利润增19.42%
Income profile:
</v>
      </c>
      <c r="D46" t="s">
        <v>988</v>
      </c>
      <c r="E46" t="s">
        <v>989</v>
      </c>
      <c r="F46">
        <v>19.61</v>
      </c>
      <c r="G46">
        <v>2.0299999999999998</v>
      </c>
      <c r="H46" t="s">
        <v>2338</v>
      </c>
      <c r="I46">
        <v>2053037600</v>
      </c>
      <c r="K46">
        <v>2.0499999999999998</v>
      </c>
      <c r="L46" t="s">
        <v>1467</v>
      </c>
      <c r="M46" t="s">
        <v>595</v>
      </c>
      <c r="N46" t="s">
        <v>1275</v>
      </c>
      <c r="O46" t="s">
        <v>2339</v>
      </c>
      <c r="P46">
        <v>-25.13</v>
      </c>
      <c r="Q46" t="s">
        <v>344</v>
      </c>
      <c r="R46">
        <v>-36580065</v>
      </c>
      <c r="S46">
        <v>-86.33</v>
      </c>
      <c r="T46" t="s">
        <v>2340</v>
      </c>
      <c r="U46">
        <v>65335716</v>
      </c>
      <c r="V46">
        <v>104693400</v>
      </c>
      <c r="W46">
        <v>1.45</v>
      </c>
      <c r="X46">
        <v>0.05</v>
      </c>
      <c r="Y46">
        <v>-48.74</v>
      </c>
      <c r="Z46" t="s">
        <v>323</v>
      </c>
      <c r="AA46" t="s">
        <v>2341</v>
      </c>
      <c r="AB46" t="s">
        <v>2342</v>
      </c>
      <c r="AC46" t="s">
        <v>2343</v>
      </c>
      <c r="AD46" t="s">
        <v>5</v>
      </c>
      <c r="AE46">
        <v>-29560</v>
      </c>
      <c r="AF46" t="s">
        <v>2344</v>
      </c>
      <c r="AG46" t="s">
        <v>2345</v>
      </c>
      <c r="AH46" t="s">
        <v>2346</v>
      </c>
      <c r="AI46" t="s">
        <v>125</v>
      </c>
      <c r="AJ46" t="s">
        <v>2347</v>
      </c>
      <c r="AK46" t="s">
        <v>2348</v>
      </c>
      <c r="AL46" t="s">
        <v>2349</v>
      </c>
      <c r="AM46" t="s">
        <v>5</v>
      </c>
      <c r="AN46" t="s">
        <v>2350</v>
      </c>
      <c r="AO46" t="s">
        <v>2351</v>
      </c>
      <c r="AP46" t="s">
        <v>2352</v>
      </c>
      <c r="AQ46" t="s">
        <v>2353</v>
      </c>
      <c r="AR46" t="s">
        <v>5</v>
      </c>
      <c r="AS46" t="s">
        <v>1408</v>
      </c>
      <c r="AT46" t="s">
        <v>5</v>
      </c>
      <c r="AU46" t="s">
        <v>2354</v>
      </c>
      <c r="AV46" t="s">
        <v>1248</v>
      </c>
      <c r="AW46" t="s">
        <v>2355</v>
      </c>
      <c r="AX46" t="s">
        <v>1005</v>
      </c>
      <c r="AY46" t="s">
        <v>459</v>
      </c>
      <c r="AZ46" t="s">
        <v>254</v>
      </c>
      <c r="BA46" t="s">
        <v>674</v>
      </c>
      <c r="BB46" t="s">
        <v>303</v>
      </c>
      <c r="BC46" t="s">
        <v>2356</v>
      </c>
      <c r="BD46" t="s">
        <v>990</v>
      </c>
      <c r="BE46" t="s">
        <v>991</v>
      </c>
      <c r="BF46" t="s">
        <v>992</v>
      </c>
      <c r="BG46" t="s">
        <v>993</v>
      </c>
      <c r="BH46" t="s">
        <v>1394</v>
      </c>
      <c r="BI46" t="s">
        <v>2357</v>
      </c>
      <c r="BJ46" t="s">
        <v>1005</v>
      </c>
      <c r="BK46" t="s">
        <v>2358</v>
      </c>
      <c r="BL46" t="s">
        <v>2359</v>
      </c>
      <c r="BM46" t="s">
        <v>2356</v>
      </c>
      <c r="BN46" t="s">
        <v>5</v>
      </c>
      <c r="BO46">
        <v>1.57</v>
      </c>
      <c r="BP46">
        <v>15.08</v>
      </c>
      <c r="BQ46">
        <v>-2.23</v>
      </c>
      <c r="BR46">
        <v>2.93</v>
      </c>
      <c r="BS46">
        <v>16.02</v>
      </c>
      <c r="BT46" t="s">
        <v>2360</v>
      </c>
      <c r="BU46" t="s">
        <v>159</v>
      </c>
      <c r="BV46">
        <v>37.79</v>
      </c>
      <c r="BW46">
        <v>38.15</v>
      </c>
      <c r="BX46">
        <v>38.42</v>
      </c>
      <c r="BY46">
        <v>1.55</v>
      </c>
      <c r="BZ46">
        <v>2.25</v>
      </c>
      <c r="CA46">
        <v>9.7100000000000009</v>
      </c>
      <c r="CB46">
        <v>-3.64</v>
      </c>
      <c r="CC46" s="1">
        <v>-16.940000000000001</v>
      </c>
      <c r="CD46" s="1" t="s">
        <v>2361</v>
      </c>
      <c r="CE46" s="1" t="s">
        <v>323</v>
      </c>
      <c r="CF46" s="11">
        <v>7.443480030411545E-2</v>
      </c>
      <c r="CG46" s="12">
        <v>-3.112952351796122</v>
      </c>
      <c r="CH46" s="11">
        <v>-0.64203613996505737</v>
      </c>
      <c r="CI46" s="11">
        <v>-0.14705882966518402</v>
      </c>
      <c r="CJ46" s="11">
        <v>0.103554867208004</v>
      </c>
      <c r="CK46" s="11">
        <v>0.17636363208293915</v>
      </c>
      <c r="CL46" s="11">
        <v>0.34146341681480408</v>
      </c>
      <c r="CM46" s="12">
        <v>0.92488902807235718</v>
      </c>
      <c r="CN46" s="12">
        <v>-0.74081772565841675</v>
      </c>
      <c r="CO46" s="12">
        <v>7.7355064451694489E-2</v>
      </c>
      <c r="CP46" s="12">
        <v>0.23510313034057617</v>
      </c>
      <c r="CQ46" s="12">
        <v>0.47435814142227173</v>
      </c>
      <c r="CR46" s="1">
        <v>44.267361630193534</v>
      </c>
      <c r="CS46" s="1">
        <v>13.197351279436448</v>
      </c>
      <c r="CT46" s="1">
        <v>0.76523508414074459</v>
      </c>
      <c r="CU46" s="11">
        <v>-3.3542610704898834E-2</v>
      </c>
      <c r="CV46" s="12">
        <v>0.19417752772569657</v>
      </c>
      <c r="CW46">
        <v>0.06</v>
      </c>
      <c r="CX46" t="e">
        <v>#VALUE!</v>
      </c>
      <c r="CY46" t="s">
        <v>187</v>
      </c>
      <c r="CZ46">
        <v>-3.3542610704898834E-2</v>
      </c>
      <c r="DA46">
        <v>14.407270183659715</v>
      </c>
      <c r="DB46" t="s">
        <v>2362</v>
      </c>
      <c r="DC46">
        <v>-3.186548016965389E-2</v>
      </c>
      <c r="DD46">
        <v>7.2036350918298577</v>
      </c>
      <c r="DE46" t="s">
        <v>2363</v>
      </c>
      <c r="DF46">
        <v>-2.9517497420310974E-2</v>
      </c>
      <c r="DG46">
        <v>4.3221810550979152</v>
      </c>
      <c r="DH46" t="s">
        <v>2364</v>
      </c>
      <c r="DI46">
        <v>-2.683408856391907E-2</v>
      </c>
      <c r="DJ46">
        <v>2.1610905275489576</v>
      </c>
      <c r="DK46" t="s">
        <v>2365</v>
      </c>
      <c r="DL46">
        <v>-2.3479827493429181E-2</v>
      </c>
      <c r="DM46">
        <v>35168300</v>
      </c>
      <c r="DN46">
        <v>-3.3542610704898834E-2</v>
      </c>
      <c r="DO46">
        <v>1520037600</v>
      </c>
      <c r="DP46">
        <v>600784480</v>
      </c>
      <c r="DQ46" s="13">
        <v>2717</v>
      </c>
      <c r="DR46">
        <v>0.10797741100901428</v>
      </c>
      <c r="DS46">
        <v>-3.3071298795218187</v>
      </c>
      <c r="DT46">
        <v>-0.55666666666666675</v>
      </c>
      <c r="DU46">
        <v>-0.64833333333333343</v>
      </c>
      <c r="DV46">
        <v>-1.2050000000000001</v>
      </c>
      <c r="DW46">
        <v>-8.2148760330578519</v>
      </c>
      <c r="DX46">
        <v>0.34057570093458023</v>
      </c>
      <c r="DY46">
        <v>-8.0259088282999915</v>
      </c>
      <c r="DZ46">
        <v>3732</v>
      </c>
      <c r="EA46">
        <v>-8.0069867642656334</v>
      </c>
      <c r="EB46" s="14">
        <v>8</v>
      </c>
      <c r="EC46">
        <v>0.12323221903195426</v>
      </c>
      <c r="ED46">
        <v>1.0220319523484767</v>
      </c>
      <c r="EE46">
        <v>2.0857000000000001</v>
      </c>
      <c r="EF46">
        <v>2.1233</v>
      </c>
      <c r="EG46">
        <v>22.12057570093458</v>
      </c>
      <c r="EH46" s="10" t="s">
        <v>1028</v>
      </c>
      <c r="EI46" s="15">
        <v>0</v>
      </c>
      <c r="EJ46" s="15">
        <v>0</v>
      </c>
      <c r="EK46" s="15">
        <v>45470</v>
      </c>
      <c r="EL46" s="15">
        <v>-2.7</v>
      </c>
      <c r="EM46" s="15">
        <v>-6.53</v>
      </c>
      <c r="EN46" s="15">
        <v>7.32</v>
      </c>
      <c r="EO46" s="15">
        <v>1.83</v>
      </c>
      <c r="EP46" s="15">
        <v>3.76</v>
      </c>
    </row>
    <row r="47" spans="1:146" ht="96" x14ac:dyDescent="0.25">
      <c r="A47" s="7"/>
      <c r="B47" s="7"/>
      <c r="C47" s="7" t="str">
        <f>""&amp;CHAR(10)&amp;Basic_Fundamental_Information_Constructure(F47)&amp;CHAR(10)&amp;Basic_Fundamental_Information_Concatenate("")</f>
        <v xml:space="preserve">
市值83.924206亿, 利润4.43亿; PE; 平均PE21.66; 平均PEG.08, PB.655; ROIC1.06%; ROE1.19%; 股利率.4478%; 毛利10.9567%; 净利4.9333%; 上一年度营收增855.36%, 利润增33.43%; 当季营收增-83.85%, 利润增39.98%; 过往5年营收增283.31%, 利润增33.43%
Income profile:
</v>
      </c>
      <c r="D47" t="s">
        <v>675</v>
      </c>
      <c r="E47" t="s">
        <v>676</v>
      </c>
      <c r="F47">
        <v>6.03</v>
      </c>
      <c r="G47">
        <v>1.52</v>
      </c>
      <c r="H47" t="s">
        <v>2366</v>
      </c>
      <c r="I47">
        <v>8392420600</v>
      </c>
      <c r="K47">
        <v>0.65500000000000003</v>
      </c>
      <c r="L47" t="s">
        <v>1467</v>
      </c>
      <c r="M47" t="s">
        <v>2367</v>
      </c>
      <c r="N47" t="s">
        <v>2368</v>
      </c>
      <c r="O47" t="s">
        <v>434</v>
      </c>
      <c r="P47">
        <v>0.93</v>
      </c>
      <c r="Q47" t="s">
        <v>2369</v>
      </c>
      <c r="R47">
        <v>-9278704</v>
      </c>
      <c r="S47" s="5">
        <v>0.84119999999999995</v>
      </c>
      <c r="T47" t="s">
        <v>669</v>
      </c>
      <c r="U47">
        <v>1391777900</v>
      </c>
      <c r="V47">
        <v>1391777900</v>
      </c>
      <c r="W47">
        <v>1.23</v>
      </c>
      <c r="X47" t="s">
        <v>5</v>
      </c>
      <c r="Y47">
        <v>-1.75</v>
      </c>
      <c r="Z47" t="s">
        <v>5</v>
      </c>
      <c r="AA47" t="s">
        <v>5</v>
      </c>
      <c r="AB47" t="s">
        <v>5</v>
      </c>
      <c r="AC47" t="s">
        <v>5</v>
      </c>
      <c r="AD47" t="s">
        <v>5</v>
      </c>
      <c r="AE47">
        <v>-24286440</v>
      </c>
      <c r="AF47" t="s">
        <v>2370</v>
      </c>
      <c r="AG47" t="s">
        <v>2371</v>
      </c>
      <c r="AH47" t="s">
        <v>2372</v>
      </c>
      <c r="AI47" t="s">
        <v>2373</v>
      </c>
      <c r="AJ47" t="s">
        <v>2374</v>
      </c>
      <c r="AK47" t="s">
        <v>5</v>
      </c>
      <c r="AL47" t="s">
        <v>2375</v>
      </c>
      <c r="AM47" t="s">
        <v>5</v>
      </c>
      <c r="AN47" t="s">
        <v>2376</v>
      </c>
      <c r="AO47" t="s">
        <v>5</v>
      </c>
      <c r="AP47" t="s">
        <v>5</v>
      </c>
      <c r="AQ47" t="s">
        <v>1253</v>
      </c>
      <c r="AR47" t="s">
        <v>2377</v>
      </c>
      <c r="AS47" t="s">
        <v>5</v>
      </c>
      <c r="AT47" t="s">
        <v>5</v>
      </c>
      <c r="AU47" t="s">
        <v>2378</v>
      </c>
      <c r="AV47" t="s">
        <v>2379</v>
      </c>
      <c r="AW47" t="s">
        <v>2380</v>
      </c>
      <c r="AX47" t="s">
        <v>1042</v>
      </c>
      <c r="AY47" t="s">
        <v>5</v>
      </c>
      <c r="AZ47" t="s">
        <v>519</v>
      </c>
      <c r="BA47" t="s">
        <v>677</v>
      </c>
      <c r="BB47" t="s">
        <v>568</v>
      </c>
      <c r="BC47" t="s">
        <v>1238</v>
      </c>
      <c r="BD47" t="s">
        <v>5</v>
      </c>
      <c r="BE47" t="s">
        <v>5</v>
      </c>
      <c r="BF47" t="s">
        <v>5</v>
      </c>
      <c r="BG47" t="s">
        <v>5</v>
      </c>
      <c r="BH47" t="s">
        <v>2381</v>
      </c>
      <c r="BI47" t="s">
        <v>2382</v>
      </c>
      <c r="BJ47" t="s">
        <v>1042</v>
      </c>
      <c r="BK47" t="s">
        <v>1060</v>
      </c>
      <c r="BL47" t="s">
        <v>2383</v>
      </c>
      <c r="BM47" t="s">
        <v>1238</v>
      </c>
      <c r="BN47" t="s">
        <v>5</v>
      </c>
      <c r="BO47">
        <v>1.51</v>
      </c>
      <c r="BP47">
        <v>0.61</v>
      </c>
      <c r="BQ47">
        <v>-0.65</v>
      </c>
      <c r="BR47">
        <v>2.58</v>
      </c>
      <c r="BS47">
        <v>1.64</v>
      </c>
      <c r="BT47" t="s">
        <v>1055</v>
      </c>
      <c r="BU47" t="s">
        <v>1486</v>
      </c>
      <c r="BV47">
        <v>11.52</v>
      </c>
      <c r="BW47">
        <v>8.9600000000000009</v>
      </c>
      <c r="BX47">
        <v>12.39</v>
      </c>
      <c r="BY47">
        <v>-7.08</v>
      </c>
      <c r="BZ47">
        <v>13.69</v>
      </c>
      <c r="CA47">
        <v>8.19</v>
      </c>
      <c r="CB47">
        <v>0.84</v>
      </c>
      <c r="CC47">
        <v>-10.57</v>
      </c>
      <c r="CD47" t="s">
        <v>2384</v>
      </c>
      <c r="CE47" t="s">
        <v>24</v>
      </c>
      <c r="CF47" s="11">
        <v>-0.83851310176721516</v>
      </c>
      <c r="CG47" s="12">
        <v>0.39980568582425047</v>
      </c>
      <c r="CH47" s="11">
        <v>8.553645133972168</v>
      </c>
      <c r="CI47" s="11" t="s">
        <v>5</v>
      </c>
      <c r="CJ47" s="11" t="s">
        <v>5</v>
      </c>
      <c r="CK47" s="11">
        <v>-6.6690824925899506E-2</v>
      </c>
      <c r="CL47" s="11">
        <v>1.247711107134819E-2</v>
      </c>
      <c r="CM47" s="12">
        <v>0.33433735370635986</v>
      </c>
      <c r="CN47" s="12" t="s">
        <v>5</v>
      </c>
      <c r="CO47" s="12" t="s">
        <v>5</v>
      </c>
      <c r="CP47" s="12" t="s">
        <v>5</v>
      </c>
      <c r="CQ47" s="12" t="s">
        <v>5</v>
      </c>
      <c r="CR47">
        <v>21.657859612903227</v>
      </c>
      <c r="CS47">
        <v>7.6444618030473588E-2</v>
      </c>
      <c r="CT47">
        <v>0.44776119402985076</v>
      </c>
      <c r="CU47" s="11">
        <v>2.8331438067058721</v>
      </c>
      <c r="CV47" s="12">
        <v>0.33433735370635986</v>
      </c>
      <c r="CW47">
        <v>0.06</v>
      </c>
      <c r="CX47" t="s">
        <v>1453</v>
      </c>
      <c r="CY47">
        <v>1601964817.3308501</v>
      </c>
      <c r="CZ47">
        <v>2.8331438067058721</v>
      </c>
      <c r="DA47" t="s">
        <v>1453</v>
      </c>
      <c r="DB47">
        <v>25626187105.977055</v>
      </c>
      <c r="DC47">
        <v>2.6914866163705784</v>
      </c>
      <c r="DD47" t="s">
        <v>1453</v>
      </c>
      <c r="DE47">
        <v>813940264470.04956</v>
      </c>
      <c r="DF47">
        <v>2.4931665499011673</v>
      </c>
      <c r="DG47" t="s">
        <v>1453</v>
      </c>
      <c r="DH47">
        <v>50648180539841.289</v>
      </c>
      <c r="DI47">
        <v>2.2665150453646978</v>
      </c>
      <c r="DJ47" t="s">
        <v>1453</v>
      </c>
      <c r="DK47">
        <v>6.6771883898171738E+17</v>
      </c>
      <c r="DL47">
        <v>1.9832006646941103</v>
      </c>
      <c r="DM47">
        <v>443000000</v>
      </c>
      <c r="DN47">
        <v>2.8331438067058721</v>
      </c>
      <c r="DO47">
        <v>-1348579400</v>
      </c>
      <c r="DP47">
        <v>9082086300</v>
      </c>
      <c r="DQ47">
        <v>2875</v>
      </c>
      <c r="DR47">
        <v>-3.6716569084730875</v>
      </c>
      <c r="DS47">
        <v>6.5468332117890604E-2</v>
      </c>
      <c r="DT47" s="13">
        <v>-0.21000000000000008</v>
      </c>
      <c r="DU47">
        <v>-0.21500000000000008</v>
      </c>
      <c r="DV47">
        <v>-0.42500000000000016</v>
      </c>
      <c r="DW47">
        <v>-2.1057000000000001</v>
      </c>
      <c r="DX47">
        <v>0.36777073170731739</v>
      </c>
      <c r="DY47">
        <v>-2.0198473663414633</v>
      </c>
      <c r="DZ47">
        <v>1846</v>
      </c>
      <c r="EA47">
        <v>-2.0126774567003007</v>
      </c>
      <c r="EB47">
        <v>2</v>
      </c>
      <c r="EC47">
        <v>3.318891613381704E-2</v>
      </c>
      <c r="ED47">
        <v>0.17675233957946881</v>
      </c>
      <c r="EE47" s="14">
        <v>2.0083000000000002</v>
      </c>
      <c r="EF47">
        <v>2.0142000000000002</v>
      </c>
      <c r="EG47">
        <v>18.187770731707317</v>
      </c>
      <c r="EH47" t="s">
        <v>1028</v>
      </c>
      <c r="EI47">
        <v>0</v>
      </c>
      <c r="EJ47">
        <v>0</v>
      </c>
      <c r="EK47" s="10">
        <v>45470</v>
      </c>
      <c r="EL47" s="15">
        <v>-0.91</v>
      </c>
      <c r="EM47" s="15">
        <v>1.1000000000000001</v>
      </c>
      <c r="EN47" s="15">
        <v>0.68</v>
      </c>
      <c r="EO47" s="15">
        <v>-0.7</v>
      </c>
      <c r="EP47" s="15">
        <v>0.59</v>
      </c>
    </row>
    <row r="48" spans="1:146" ht="108" x14ac:dyDescent="0.25">
      <c r="A48" s="7"/>
      <c r="B48" s="7"/>
      <c r="C48" s="7" t="str">
        <f>""&amp;CHAR(10)&amp;Basic_Fundamental_Information_Constructure(F48)&amp;CHAR(10)&amp;Basic_Fundamental_Information_Concatenate("")</f>
        <v xml:space="preserve">
市值29.046076亿, 利润4.08亿; PE105.9; 平均PE12.2; 平均PEG.09, PB2; ROIC6.725%; ROE8.0033%; 股利率0%; 毛利67.6333%; 净利13%; 上一年度营收增426.81%, 利润增499.69%; 当季营收增-89.23%, 利润增-98.28%; 过往5年营收增141.66%, 利润增499.69%
Income profile:
</v>
      </c>
      <c r="D48" t="s">
        <v>681</v>
      </c>
      <c r="E48" t="s">
        <v>682</v>
      </c>
      <c r="F48">
        <v>4.82</v>
      </c>
      <c r="G48">
        <v>1.05</v>
      </c>
      <c r="H48" t="s">
        <v>2385</v>
      </c>
      <c r="I48">
        <v>2904607600</v>
      </c>
      <c r="J48">
        <v>105.9</v>
      </c>
      <c r="K48">
        <v>2</v>
      </c>
      <c r="L48" t="s">
        <v>1467</v>
      </c>
      <c r="M48" t="s">
        <v>438</v>
      </c>
      <c r="N48" t="s">
        <v>1371</v>
      </c>
      <c r="O48" t="s">
        <v>2386</v>
      </c>
      <c r="P48">
        <v>-12.52</v>
      </c>
      <c r="Q48" t="s">
        <v>1818</v>
      </c>
      <c r="R48">
        <v>1663717</v>
      </c>
      <c r="S48" s="5">
        <v>5.9349999999999996</v>
      </c>
      <c r="T48" t="s">
        <v>198</v>
      </c>
      <c r="U48">
        <v>300423890</v>
      </c>
      <c r="V48">
        <v>602615700</v>
      </c>
      <c r="W48">
        <v>1.1000000000000001</v>
      </c>
      <c r="X48" t="s">
        <v>5</v>
      </c>
      <c r="Y48">
        <v>2.42</v>
      </c>
      <c r="Z48" t="s">
        <v>5</v>
      </c>
      <c r="AA48" t="s">
        <v>5</v>
      </c>
      <c r="AB48" t="s">
        <v>5</v>
      </c>
      <c r="AC48" t="s">
        <v>5</v>
      </c>
      <c r="AD48" t="s">
        <v>5</v>
      </c>
      <c r="AE48">
        <v>-991272</v>
      </c>
      <c r="AF48" t="s">
        <v>308</v>
      </c>
      <c r="AG48" t="s">
        <v>5</v>
      </c>
      <c r="AH48" t="s">
        <v>2387</v>
      </c>
      <c r="AI48" t="s">
        <v>194</v>
      </c>
      <c r="AJ48" t="s">
        <v>2388</v>
      </c>
      <c r="AK48" t="s">
        <v>5</v>
      </c>
      <c r="AL48" t="s">
        <v>2389</v>
      </c>
      <c r="AM48" t="s">
        <v>5</v>
      </c>
      <c r="AN48">
        <v>0</v>
      </c>
      <c r="AO48" t="s">
        <v>5</v>
      </c>
      <c r="AP48" t="s">
        <v>5</v>
      </c>
      <c r="AQ48" t="s">
        <v>2390</v>
      </c>
      <c r="AR48" t="s">
        <v>5</v>
      </c>
      <c r="AS48" t="s">
        <v>5</v>
      </c>
      <c r="AT48" t="s">
        <v>5</v>
      </c>
      <c r="AU48" t="s">
        <v>2391</v>
      </c>
      <c r="AV48" t="s">
        <v>2392</v>
      </c>
      <c r="AW48" t="s">
        <v>2393</v>
      </c>
      <c r="AX48" t="s">
        <v>1065</v>
      </c>
      <c r="AY48" t="s">
        <v>5</v>
      </c>
      <c r="AZ48" t="s">
        <v>360</v>
      </c>
      <c r="BA48" t="s">
        <v>421</v>
      </c>
      <c r="BB48" t="s">
        <v>116</v>
      </c>
      <c r="BC48" t="s">
        <v>1097</v>
      </c>
      <c r="BD48" t="s">
        <v>5</v>
      </c>
      <c r="BE48" t="s">
        <v>5</v>
      </c>
      <c r="BF48" t="s">
        <v>5</v>
      </c>
      <c r="BG48" t="s">
        <v>5</v>
      </c>
      <c r="BH48" t="s">
        <v>995</v>
      </c>
      <c r="BI48" t="s">
        <v>2394</v>
      </c>
      <c r="BJ48" t="s">
        <v>1065</v>
      </c>
      <c r="BK48" t="s">
        <v>2395</v>
      </c>
      <c r="BL48" t="s">
        <v>2396</v>
      </c>
      <c r="BM48" t="s">
        <v>1097</v>
      </c>
      <c r="BN48" t="s">
        <v>5</v>
      </c>
      <c r="BO48">
        <v>5.73</v>
      </c>
      <c r="BP48">
        <v>7.72</v>
      </c>
      <c r="BQ48">
        <v>-1.28</v>
      </c>
      <c r="BR48">
        <v>7.46</v>
      </c>
      <c r="BS48">
        <v>17.829999999999998</v>
      </c>
      <c r="BT48" t="s">
        <v>1017</v>
      </c>
      <c r="BU48" t="s">
        <v>159</v>
      </c>
      <c r="BV48">
        <v>67.319999999999993</v>
      </c>
      <c r="BW48">
        <v>73.06</v>
      </c>
      <c r="BX48">
        <v>62.52</v>
      </c>
      <c r="BY48">
        <v>8.41</v>
      </c>
      <c r="BZ48">
        <v>13.32</v>
      </c>
      <c r="CA48">
        <v>17.27</v>
      </c>
      <c r="CB48">
        <v>-0.82</v>
      </c>
      <c r="CC48">
        <v>-17.89</v>
      </c>
      <c r="CD48" t="s">
        <v>2397</v>
      </c>
      <c r="CE48" t="s">
        <v>344</v>
      </c>
      <c r="CF48" s="11">
        <v>-0.89227864992150707</v>
      </c>
      <c r="CG48" s="12">
        <v>-0.98281239701438572</v>
      </c>
      <c r="CH48" s="11">
        <v>4.268101692199707</v>
      </c>
      <c r="CI48" s="11" t="s">
        <v>5</v>
      </c>
      <c r="CJ48" s="11" t="s">
        <v>5</v>
      </c>
      <c r="CK48" s="11">
        <v>0.16166281700134277</v>
      </c>
      <c r="CL48" s="11">
        <v>-0.17992424964904785</v>
      </c>
      <c r="CM48" s="12">
        <v>4.9969487190246582</v>
      </c>
      <c r="CN48" s="12" t="s">
        <v>5</v>
      </c>
      <c r="CO48" s="12" t="s">
        <v>5</v>
      </c>
      <c r="CP48" s="12" t="s">
        <v>5</v>
      </c>
      <c r="CQ48" s="12" t="s">
        <v>5</v>
      </c>
      <c r="CR48">
        <v>12.203346563464084</v>
      </c>
      <c r="CS48">
        <v>8.6144507686158334E-2</v>
      </c>
      <c r="CT48">
        <v>0</v>
      </c>
      <c r="CU48" s="11">
        <v>1.4166134198506672</v>
      </c>
      <c r="CV48" s="12">
        <v>4.9969487190246582</v>
      </c>
      <c r="CW48">
        <v>0.06</v>
      </c>
      <c r="CX48">
        <v>1.7325980691428806</v>
      </c>
      <c r="CY48">
        <v>930168184.24440765</v>
      </c>
      <c r="CZ48">
        <v>1.4166134198506672</v>
      </c>
      <c r="DA48">
        <v>0.22007760614980756</v>
      </c>
      <c r="DB48">
        <v>7322905897.5812979</v>
      </c>
      <c r="DC48">
        <v>1.3457827488581338</v>
      </c>
      <c r="DD48">
        <v>2.3273228892918742E-2</v>
      </c>
      <c r="DE48">
        <v>69247271507.322205</v>
      </c>
      <c r="DF48">
        <v>1.2466198094685872</v>
      </c>
      <c r="DG48">
        <v>1.8248335629546446E-3</v>
      </c>
      <c r="DH48">
        <v>883153199676.2467</v>
      </c>
      <c r="DI48">
        <v>1.1332907358805338</v>
      </c>
      <c r="DJ48">
        <v>6.1458506624369477E-6</v>
      </c>
      <c r="DK48">
        <v>262226937899751.47</v>
      </c>
      <c r="DL48">
        <v>0.991629393895467</v>
      </c>
      <c r="DM48">
        <v>408000000</v>
      </c>
      <c r="DN48">
        <v>1.4166134198506672</v>
      </c>
      <c r="DO48">
        <v>1611607600</v>
      </c>
      <c r="DP48">
        <v>1457216100</v>
      </c>
      <c r="DQ48">
        <v>3024</v>
      </c>
      <c r="DR48">
        <v>-2.3088920697721744</v>
      </c>
      <c r="DS48">
        <v>-5.979761116039044</v>
      </c>
      <c r="DT48" s="13">
        <v>-0.21000000000000008</v>
      </c>
      <c r="DU48">
        <v>-0.42000000000000015</v>
      </c>
      <c r="DV48">
        <v>-0.63000000000000023</v>
      </c>
      <c r="DW48">
        <v>-3.0213749999999999</v>
      </c>
      <c r="DX48">
        <v>0.32718394495412767</v>
      </c>
      <c r="DY48">
        <v>-3.0029323068233946</v>
      </c>
      <c r="DZ48">
        <v>4955</v>
      </c>
      <c r="EA48">
        <v>-3.0000889447275196</v>
      </c>
      <c r="EB48">
        <v>3</v>
      </c>
      <c r="EC48">
        <v>4.9627150437666988E-2</v>
      </c>
      <c r="ED48">
        <v>0.36175625693124164</v>
      </c>
      <c r="EE48" s="14">
        <v>-4.0127100000000002</v>
      </c>
      <c r="EF48">
        <v>-4.0367100000000002</v>
      </c>
      <c r="EG48">
        <v>19.137183944954128</v>
      </c>
      <c r="EH48" t="s">
        <v>2398</v>
      </c>
      <c r="EI48">
        <v>0</v>
      </c>
      <c r="EJ48">
        <v>0</v>
      </c>
      <c r="EK48" s="10">
        <v>45470</v>
      </c>
      <c r="EL48" s="15">
        <v>-2.21</v>
      </c>
      <c r="EM48" s="15">
        <v>-7.52</v>
      </c>
      <c r="EN48" s="15">
        <v>3.25</v>
      </c>
      <c r="EO48" s="15">
        <v>-1.57</v>
      </c>
      <c r="EP48" s="15">
        <v>-2.4</v>
      </c>
    </row>
    <row r="49" spans="1:146" ht="108" x14ac:dyDescent="0.25">
      <c r="A49" s="7"/>
      <c r="B49" s="7"/>
      <c r="C49" s="7" t="str">
        <f>""&amp;CHAR(10)&amp;Basic_Fundamental_Information_Constructure(F49)&amp;CHAR(10)&amp;Basic_Fundamental_Information_Concatenate("")</f>
        <v xml:space="preserve">
市值46.11199亿, 利润1.90亿; PE11.57; 平均PE17.53; 平均PEG.58, PB1.37; ROIC9.1367%; ROE9.86%; 股利率3.9301%; 毛利32.1433%; 净利13.2467%; 上一年度营收增90.56%, 利润增-43.45%; 当季营收增-42.12%, 利润增21.95%; 过往5年营收增30.11%, 利润增-43.45%
Income profile:
</v>
      </c>
      <c r="D49" t="s">
        <v>683</v>
      </c>
      <c r="E49" t="s">
        <v>684</v>
      </c>
      <c r="F49">
        <v>6.87</v>
      </c>
      <c r="G49">
        <v>1.48</v>
      </c>
      <c r="H49" t="s">
        <v>2399</v>
      </c>
      <c r="I49">
        <v>4611199000</v>
      </c>
      <c r="J49">
        <v>11.57</v>
      </c>
      <c r="K49">
        <v>1.37</v>
      </c>
      <c r="L49" t="s">
        <v>1467</v>
      </c>
      <c r="M49" t="s">
        <v>2400</v>
      </c>
      <c r="N49" t="s">
        <v>2401</v>
      </c>
      <c r="O49" t="s">
        <v>2402</v>
      </c>
      <c r="P49">
        <v>4.37</v>
      </c>
      <c r="Q49" t="s">
        <v>1416</v>
      </c>
      <c r="R49">
        <v>87451468</v>
      </c>
      <c r="S49" s="5">
        <v>-9.6600000000000005E-2</v>
      </c>
      <c r="T49" t="s">
        <v>275</v>
      </c>
      <c r="U49">
        <v>671208000</v>
      </c>
      <c r="V49">
        <v>671208000</v>
      </c>
      <c r="W49">
        <v>1.33</v>
      </c>
      <c r="X49" t="s">
        <v>5</v>
      </c>
      <c r="Y49">
        <v>13.08</v>
      </c>
      <c r="Z49" t="s">
        <v>5</v>
      </c>
      <c r="AA49" t="s">
        <v>5</v>
      </c>
      <c r="AB49" t="s">
        <v>5</v>
      </c>
      <c r="AC49" t="s">
        <v>5</v>
      </c>
      <c r="AD49" t="s">
        <v>5</v>
      </c>
      <c r="AE49">
        <v>-2836178</v>
      </c>
      <c r="AF49" t="s">
        <v>2403</v>
      </c>
      <c r="AG49" t="s">
        <v>2404</v>
      </c>
      <c r="AH49" t="s">
        <v>2405</v>
      </c>
      <c r="AI49" t="s">
        <v>1281</v>
      </c>
      <c r="AJ49" t="s">
        <v>2406</v>
      </c>
      <c r="AK49" t="s">
        <v>5</v>
      </c>
      <c r="AL49" t="s">
        <v>2407</v>
      </c>
      <c r="AM49" t="s">
        <v>5</v>
      </c>
      <c r="AN49" t="s">
        <v>115</v>
      </c>
      <c r="AO49" t="s">
        <v>5</v>
      </c>
      <c r="AP49" t="s">
        <v>338</v>
      </c>
      <c r="AQ49" t="s">
        <v>1299</v>
      </c>
      <c r="AR49" t="s">
        <v>2408</v>
      </c>
      <c r="AS49" t="s">
        <v>5</v>
      </c>
      <c r="AT49" t="s">
        <v>5</v>
      </c>
      <c r="AU49" t="s">
        <v>2086</v>
      </c>
      <c r="AV49" t="s">
        <v>2409</v>
      </c>
      <c r="AW49" t="s">
        <v>2410</v>
      </c>
      <c r="AX49" t="s">
        <v>1098</v>
      </c>
      <c r="AY49" t="s">
        <v>5</v>
      </c>
      <c r="AZ49" t="s">
        <v>685</v>
      </c>
      <c r="BA49" t="s">
        <v>686</v>
      </c>
      <c r="BB49" t="s">
        <v>687</v>
      </c>
      <c r="BC49" t="s">
        <v>843</v>
      </c>
      <c r="BD49" t="s">
        <v>5</v>
      </c>
      <c r="BE49" t="s">
        <v>5</v>
      </c>
      <c r="BF49" t="s">
        <v>5</v>
      </c>
      <c r="BG49" t="s">
        <v>5</v>
      </c>
      <c r="BH49" t="s">
        <v>1818</v>
      </c>
      <c r="BI49" t="s">
        <v>855</v>
      </c>
      <c r="BJ49" t="s">
        <v>1098</v>
      </c>
      <c r="BK49" t="s">
        <v>198</v>
      </c>
      <c r="BL49" t="s">
        <v>2411</v>
      </c>
      <c r="BM49" t="s">
        <v>843</v>
      </c>
      <c r="BN49">
        <v>8.02</v>
      </c>
      <c r="BO49">
        <v>10.8</v>
      </c>
      <c r="BP49">
        <v>8.59</v>
      </c>
      <c r="BQ49">
        <v>8.34</v>
      </c>
      <c r="BR49">
        <v>11.85</v>
      </c>
      <c r="BS49">
        <v>9.39</v>
      </c>
      <c r="BT49" t="s">
        <v>2412</v>
      </c>
      <c r="BU49" t="s">
        <v>82</v>
      </c>
      <c r="BV49">
        <v>30.52</v>
      </c>
      <c r="BW49">
        <v>32.24</v>
      </c>
      <c r="BX49">
        <v>33.67</v>
      </c>
      <c r="BY49">
        <v>15.15</v>
      </c>
      <c r="BZ49">
        <v>13.07</v>
      </c>
      <c r="CA49">
        <v>11.52</v>
      </c>
      <c r="CB49">
        <v>-0.28999999999999998</v>
      </c>
      <c r="CC49">
        <v>-8.0299999999999994</v>
      </c>
      <c r="CD49" t="s">
        <v>2413</v>
      </c>
      <c r="CE49" t="s">
        <v>574</v>
      </c>
      <c r="CF49" s="11">
        <v>-0.42123585726718887</v>
      </c>
      <c r="CG49" s="12">
        <v>0.21953776877840486</v>
      </c>
      <c r="CH49" s="11">
        <v>0.90563821792602539</v>
      </c>
      <c r="CI49" s="11" t="s">
        <v>5</v>
      </c>
      <c r="CJ49" s="11" t="s">
        <v>5</v>
      </c>
      <c r="CK49" s="11">
        <v>-6.8712107837200165E-2</v>
      </c>
      <c r="CL49" s="11">
        <v>6.6359452903270721E-2</v>
      </c>
      <c r="CM49" s="12">
        <v>-0.4345238208770752</v>
      </c>
      <c r="CN49" s="12" t="s">
        <v>5</v>
      </c>
      <c r="CO49" s="12" t="s">
        <v>5</v>
      </c>
      <c r="CP49" s="12" t="s">
        <v>5</v>
      </c>
      <c r="CQ49" s="12" t="s">
        <v>5</v>
      </c>
      <c r="CR49">
        <v>17.533076045627375</v>
      </c>
      <c r="CS49">
        <v>0.58231007216200115</v>
      </c>
      <c r="CT49">
        <v>3.9301310043668125</v>
      </c>
      <c r="CU49" s="11">
        <v>0.30109518766403198</v>
      </c>
      <c r="CV49" s="12">
        <v>-0.4345238208770752</v>
      </c>
      <c r="CW49">
        <v>0.06</v>
      </c>
      <c r="CX49">
        <v>10.180293793061166</v>
      </c>
      <c r="CY49">
        <v>233215175.14732647</v>
      </c>
      <c r="CZ49">
        <v>0.30109518766403198</v>
      </c>
      <c r="DA49">
        <v>2.7948108928393514</v>
      </c>
      <c r="DB49">
        <v>849502557.07210457</v>
      </c>
      <c r="DC49">
        <v>0.28604042828083037</v>
      </c>
      <c r="DD49">
        <v>1.0722727372061756</v>
      </c>
      <c r="DE49">
        <v>2214174544.9819188</v>
      </c>
      <c r="DF49">
        <v>0.26496376514434816</v>
      </c>
      <c r="DG49">
        <v>0.47518892535406471</v>
      </c>
      <c r="DH49">
        <v>4996326457.3789835</v>
      </c>
      <c r="DI49">
        <v>0.2408761501312256</v>
      </c>
      <c r="DJ49">
        <v>0.1170629670044307</v>
      </c>
      <c r="DK49">
        <v>20281384119.62632</v>
      </c>
      <c r="DL49">
        <v>0.21076663136482238</v>
      </c>
      <c r="DM49">
        <v>190000000</v>
      </c>
      <c r="DN49">
        <v>0.30109518766403198</v>
      </c>
      <c r="DO49">
        <v>2374199000.0000005</v>
      </c>
      <c r="DP49">
        <v>2591376900</v>
      </c>
      <c r="DQ49">
        <v>3025</v>
      </c>
      <c r="DR49">
        <v>-0.7223310449312208</v>
      </c>
      <c r="DS49">
        <v>0.65406158965548</v>
      </c>
      <c r="DT49" s="13">
        <v>-0.16000000000000003</v>
      </c>
      <c r="DU49">
        <v>-1.1599999999999999</v>
      </c>
      <c r="DV49">
        <v>-1.3199999999999998</v>
      </c>
      <c r="DW49">
        <v>-2.0802999999999998</v>
      </c>
      <c r="DX49">
        <v>0.40083269230769192</v>
      </c>
      <c r="DY49">
        <v>-2.0105058651923078</v>
      </c>
      <c r="DZ49">
        <v>3389</v>
      </c>
      <c r="EA49">
        <v>-2.0035382767115384</v>
      </c>
      <c r="EB49">
        <v>2</v>
      </c>
      <c r="EC49">
        <v>3.0407712661350877E-2</v>
      </c>
      <c r="ED49">
        <v>0.23241677691565057</v>
      </c>
      <c r="EE49" s="14">
        <v>1.0163</v>
      </c>
      <c r="EF49">
        <v>1.0004</v>
      </c>
      <c r="EG49">
        <v>27.130832692307692</v>
      </c>
      <c r="EH49" t="s">
        <v>83</v>
      </c>
      <c r="EI49">
        <v>0</v>
      </c>
      <c r="EJ49">
        <v>0</v>
      </c>
      <c r="EK49" s="10">
        <v>45470</v>
      </c>
      <c r="EL49" s="15">
        <v>-1.8</v>
      </c>
      <c r="EM49" s="15">
        <v>-4.68</v>
      </c>
      <c r="EN49" s="15">
        <v>-0.43</v>
      </c>
      <c r="EO49" s="15">
        <v>7.94</v>
      </c>
      <c r="EP49" s="15">
        <v>-1.59</v>
      </c>
    </row>
    <row r="50" spans="1:146" ht="108" x14ac:dyDescent="0.25">
      <c r="A50" s="7"/>
      <c r="B50" s="7"/>
      <c r="C50" s="7" t="str">
        <f>""&amp;CHAR(10)&amp;Basic_Fundamental_Information_Constructure(F50)&amp;CHAR(10)&amp;Basic_Fundamental_Information_Concatenate("")</f>
        <v xml:space="preserve">
市值13.2293405亿, 利润6891.05万; PE; 平均PE-50.45; 平均PEG-2.53, PB8.35; ROIC3.4467%; ROE6.6133%; 股利率0%; 毛利9.3433%; 净利-.01%; 上一年度营收增-3.01%, 利润增807.51%; 当季营收增-32.42%, 利润增-109.11%; 过往5年营收增19.91%, 利润增158.44%
Income profile:
</v>
      </c>
      <c r="D50" t="s">
        <v>973</v>
      </c>
      <c r="E50" t="s">
        <v>974</v>
      </c>
      <c r="F50">
        <v>2.62</v>
      </c>
      <c r="G50">
        <v>1.1599999999999999</v>
      </c>
      <c r="H50" t="s">
        <v>2414</v>
      </c>
      <c r="I50">
        <v>1322934050</v>
      </c>
      <c r="K50">
        <v>8.35</v>
      </c>
      <c r="L50" t="s">
        <v>1467</v>
      </c>
      <c r="M50" t="s">
        <v>311</v>
      </c>
      <c r="N50" t="s">
        <v>19</v>
      </c>
      <c r="O50" t="s">
        <v>333</v>
      </c>
      <c r="P50">
        <v>-9.81</v>
      </c>
      <c r="Q50" t="s">
        <v>2013</v>
      </c>
      <c r="R50">
        <v>-4378126</v>
      </c>
      <c r="S50" s="5">
        <v>-0.76439999999999997</v>
      </c>
      <c r="T50" t="s">
        <v>2415</v>
      </c>
      <c r="U50">
        <v>504936660</v>
      </c>
      <c r="V50">
        <v>504936660</v>
      </c>
      <c r="W50">
        <v>3.43</v>
      </c>
      <c r="X50">
        <v>0.22</v>
      </c>
      <c r="Y50">
        <v>-3.31</v>
      </c>
      <c r="Z50" t="s">
        <v>186</v>
      </c>
      <c r="AA50" t="s">
        <v>212</v>
      </c>
      <c r="AB50" t="s">
        <v>2416</v>
      </c>
      <c r="AC50" t="s">
        <v>2417</v>
      </c>
      <c r="AD50" t="s">
        <v>5</v>
      </c>
      <c r="AE50">
        <v>3546223</v>
      </c>
      <c r="AF50" t="s">
        <v>308</v>
      </c>
      <c r="AG50" t="s">
        <v>2418</v>
      </c>
      <c r="AH50" t="s">
        <v>2419</v>
      </c>
      <c r="AI50" t="s">
        <v>2420</v>
      </c>
      <c r="AJ50" t="s">
        <v>2421</v>
      </c>
      <c r="AK50" t="s">
        <v>5</v>
      </c>
      <c r="AL50" t="s">
        <v>2422</v>
      </c>
      <c r="AM50" t="s">
        <v>5</v>
      </c>
      <c r="AN50">
        <v>0</v>
      </c>
      <c r="AO50" t="s">
        <v>135</v>
      </c>
      <c r="AP50" t="s">
        <v>5</v>
      </c>
      <c r="AQ50" t="s">
        <v>2423</v>
      </c>
      <c r="AR50" t="s">
        <v>5</v>
      </c>
      <c r="AS50" t="s">
        <v>409</v>
      </c>
      <c r="AT50" t="s">
        <v>2424</v>
      </c>
      <c r="AU50" t="s">
        <v>2425</v>
      </c>
      <c r="AV50" t="s">
        <v>2426</v>
      </c>
      <c r="AW50" t="s">
        <v>2427</v>
      </c>
      <c r="AX50" t="s">
        <v>1081</v>
      </c>
      <c r="AY50" t="s">
        <v>975</v>
      </c>
      <c r="AZ50" t="s">
        <v>192</v>
      </c>
      <c r="BA50" t="s">
        <v>437</v>
      </c>
      <c r="BB50" t="s">
        <v>602</v>
      </c>
      <c r="BC50" t="s">
        <v>2428</v>
      </c>
      <c r="BD50" t="s">
        <v>976</v>
      </c>
      <c r="BE50" t="s">
        <v>977</v>
      </c>
      <c r="BF50" t="s">
        <v>304</v>
      </c>
      <c r="BG50" t="s">
        <v>978</v>
      </c>
      <c r="BH50" t="s">
        <v>1402</v>
      </c>
      <c r="BI50" t="s">
        <v>199</v>
      </c>
      <c r="BJ50" t="s">
        <v>1081</v>
      </c>
      <c r="BK50" t="s">
        <v>2429</v>
      </c>
      <c r="BL50" t="s">
        <v>2430</v>
      </c>
      <c r="BM50" t="s">
        <v>2428</v>
      </c>
      <c r="BN50">
        <v>1.22</v>
      </c>
      <c r="BO50">
        <v>-1.98</v>
      </c>
      <c r="BP50">
        <v>11.1</v>
      </c>
      <c r="BQ50">
        <v>0.94</v>
      </c>
      <c r="BR50">
        <v>4.05</v>
      </c>
      <c r="BS50">
        <v>14.85</v>
      </c>
      <c r="BT50" t="s">
        <v>1017</v>
      </c>
      <c r="BU50" t="s">
        <v>107</v>
      </c>
      <c r="BV50">
        <v>10.5</v>
      </c>
      <c r="BW50">
        <v>8.9499999999999993</v>
      </c>
      <c r="BX50">
        <v>8.58</v>
      </c>
      <c r="BY50">
        <v>-2.2599999999999998</v>
      </c>
      <c r="BZ50">
        <v>-0.28999999999999998</v>
      </c>
      <c r="CA50">
        <v>2.52</v>
      </c>
      <c r="CB50">
        <v>-1.87</v>
      </c>
      <c r="CC50">
        <v>-17.350000000000001</v>
      </c>
      <c r="CD50" t="s">
        <v>2431</v>
      </c>
      <c r="CE50" t="s">
        <v>2432</v>
      </c>
      <c r="CF50" s="11">
        <v>-0.32417582417582419</v>
      </c>
      <c r="CG50" s="12">
        <v>-1.091085336473447</v>
      </c>
      <c r="CH50" s="11">
        <v>-3.0088495463132858E-2</v>
      </c>
      <c r="CI50" s="11">
        <v>-0.31432038545608521</v>
      </c>
      <c r="CJ50" s="11">
        <v>0.57854408025741577</v>
      </c>
      <c r="CK50" s="11">
        <v>0.47042253613471985</v>
      </c>
      <c r="CL50" s="11">
        <v>0.29090908169746399</v>
      </c>
      <c r="CM50" s="12">
        <v>8.0750513076782227</v>
      </c>
      <c r="CN50" s="12">
        <v>-0.69946169853210449</v>
      </c>
      <c r="CO50" s="12">
        <v>0.74314397573471069</v>
      </c>
      <c r="CP50" s="12">
        <v>1.076286792755127</v>
      </c>
      <c r="CQ50" s="12">
        <v>-1.2729828357696533</v>
      </c>
      <c r="CR50">
        <v>-50.453162283205216</v>
      </c>
      <c r="CS50">
        <v>-2.5341458606635694</v>
      </c>
      <c r="CT50">
        <v>0</v>
      </c>
      <c r="CU50" s="11">
        <v>0.1990933634340763</v>
      </c>
      <c r="CV50" s="12">
        <v>1.5844075083732605</v>
      </c>
      <c r="CW50">
        <v>0.06</v>
      </c>
      <c r="CX50">
        <v>19.61355048045732</v>
      </c>
      <c r="CY50">
        <v>77952946.434833884</v>
      </c>
      <c r="CZ50">
        <v>0.1990933634340763</v>
      </c>
      <c r="DA50">
        <v>5.8508331374740594</v>
      </c>
      <c r="DB50">
        <v>261319031.67897835</v>
      </c>
      <c r="DC50">
        <v>0.18913869526237248</v>
      </c>
      <c r="DD50">
        <v>2.537517549738054</v>
      </c>
      <c r="DE50">
        <v>602531419.00745893</v>
      </c>
      <c r="DF50">
        <v>0.17520215982198714</v>
      </c>
      <c r="DG50">
        <v>1.3121938666536663</v>
      </c>
      <c r="DH50">
        <v>1165173903.6847205</v>
      </c>
      <c r="DI50">
        <v>0.15927469074726106</v>
      </c>
      <c r="DJ50">
        <v>0.47732931647924054</v>
      </c>
      <c r="DK50">
        <v>3203101081.8219767</v>
      </c>
      <c r="DL50">
        <v>0.13936535440385339</v>
      </c>
      <c r="DM50">
        <v>68910500</v>
      </c>
      <c r="DN50">
        <v>0.1990933634340763</v>
      </c>
      <c r="DO50">
        <v>1528934050</v>
      </c>
      <c r="DP50">
        <v>30216720</v>
      </c>
      <c r="DQ50">
        <v>3123</v>
      </c>
      <c r="DR50">
        <v>-0.52326918760990049</v>
      </c>
      <c r="DS50">
        <v>-2.6754928448467075</v>
      </c>
      <c r="DT50" s="13">
        <v>-0.24000000000000007</v>
      </c>
      <c r="DU50">
        <v>-1.0149999999999999</v>
      </c>
      <c r="DV50">
        <v>-1.2549999999999999</v>
      </c>
      <c r="DW50">
        <v>-3.0152678571428573</v>
      </c>
      <c r="DX50">
        <v>0.37140669144981558</v>
      </c>
      <c r="DY50">
        <v>-3.0027696914498141</v>
      </c>
      <c r="DZ50">
        <v>1837</v>
      </c>
      <c r="EA50">
        <v>-3.0017740117642351</v>
      </c>
      <c r="EB50">
        <v>3</v>
      </c>
      <c r="EC50">
        <v>0.19328523304289294</v>
      </c>
      <c r="ED50">
        <v>1.0654801732953991</v>
      </c>
      <c r="EE50" s="14">
        <v>1.0221100000000001</v>
      </c>
      <c r="EF50">
        <v>1.0355099999999999</v>
      </c>
      <c r="EG50">
        <v>19.181406691449816</v>
      </c>
      <c r="EH50" t="s">
        <v>2217</v>
      </c>
      <c r="EI50">
        <v>0</v>
      </c>
      <c r="EJ50">
        <v>0</v>
      </c>
      <c r="EK50" s="10">
        <v>45470</v>
      </c>
      <c r="EL50" s="15">
        <v>0.51</v>
      </c>
      <c r="EM50" s="15">
        <v>-3.69</v>
      </c>
      <c r="EN50" s="15">
        <v>1.57</v>
      </c>
      <c r="EO50" s="15">
        <v>2.23</v>
      </c>
      <c r="EP50" s="15">
        <v>-1.34</v>
      </c>
    </row>
    <row r="51" spans="1:146" ht="108" x14ac:dyDescent="0.25">
      <c r="A51" s="7"/>
      <c r="B51" s="7"/>
      <c r="C51" s="7" t="str">
        <f>""&amp;CHAR(10)&amp;Basic_Fundamental_Information_Constructure(F51)&amp;CHAR(10)&amp;Basic_Fundamental_Information_Concatenate("")</f>
        <v xml:space="preserve">
市值202.17551亿, 利润-9.63亿; PE11.22; 平均PE14.87; 平均PEG1.01, PB1.08; ROIC7.5533%; ROE10.5167%; 股利率5.2279%; 毛利39.9233%; 净利19.08%; 上一年度营收增-62.12%, 利润增-149.9%; 当季营收增251.95%, 利润增682.58%; 过往5年营收增-14.67%, 利润增-26.21%
Income profile:
</v>
      </c>
      <c r="D51" t="s">
        <v>689</v>
      </c>
      <c r="E51" t="s">
        <v>690</v>
      </c>
      <c r="F51">
        <v>14.92</v>
      </c>
      <c r="G51">
        <v>1.5</v>
      </c>
      <c r="H51" t="s">
        <v>2433</v>
      </c>
      <c r="I51">
        <v>20217551000</v>
      </c>
      <c r="J51">
        <v>11.22</v>
      </c>
      <c r="K51">
        <v>1.08</v>
      </c>
      <c r="L51" t="s">
        <v>1467</v>
      </c>
      <c r="M51" t="s">
        <v>2434</v>
      </c>
      <c r="N51" t="s">
        <v>2435</v>
      </c>
      <c r="O51" t="s">
        <v>2436</v>
      </c>
      <c r="P51">
        <v>-13.24</v>
      </c>
      <c r="Q51" t="s">
        <v>2437</v>
      </c>
      <c r="R51">
        <v>263947100</v>
      </c>
      <c r="S51" s="5">
        <v>-0.38319999999999999</v>
      </c>
      <c r="T51" t="s">
        <v>2438</v>
      </c>
      <c r="U51">
        <v>1355063700</v>
      </c>
      <c r="V51">
        <v>1355063700</v>
      </c>
      <c r="W51">
        <v>1.74</v>
      </c>
      <c r="X51">
        <v>7.0000000000000007E-2</v>
      </c>
      <c r="Y51">
        <v>12.11</v>
      </c>
      <c r="Z51" t="s">
        <v>2439</v>
      </c>
      <c r="AA51" t="s">
        <v>718</v>
      </c>
      <c r="AB51" t="s">
        <v>338</v>
      </c>
      <c r="AC51" t="s">
        <v>1301</v>
      </c>
      <c r="AD51" t="s">
        <v>5</v>
      </c>
      <c r="AE51">
        <v>-59575280</v>
      </c>
      <c r="AF51" t="s">
        <v>2440</v>
      </c>
      <c r="AG51" t="s">
        <v>2441</v>
      </c>
      <c r="AH51" t="s">
        <v>2442</v>
      </c>
      <c r="AI51" t="s">
        <v>2443</v>
      </c>
      <c r="AJ51" t="s">
        <v>2444</v>
      </c>
      <c r="AK51" t="s">
        <v>2445</v>
      </c>
      <c r="AL51" t="s">
        <v>2446</v>
      </c>
      <c r="AM51" t="s">
        <v>5</v>
      </c>
      <c r="AN51" t="s">
        <v>2447</v>
      </c>
      <c r="AO51" t="s">
        <v>2448</v>
      </c>
      <c r="AP51" t="s">
        <v>373</v>
      </c>
      <c r="AQ51" t="s">
        <v>2449</v>
      </c>
      <c r="AR51" t="s">
        <v>5</v>
      </c>
      <c r="AS51" t="s">
        <v>2450</v>
      </c>
      <c r="AT51" t="s">
        <v>5</v>
      </c>
      <c r="AU51" t="s">
        <v>2451</v>
      </c>
      <c r="AV51" t="s">
        <v>2452</v>
      </c>
      <c r="AW51" t="s">
        <v>2453</v>
      </c>
      <c r="AX51" t="s">
        <v>1099</v>
      </c>
      <c r="AY51" t="s">
        <v>691</v>
      </c>
      <c r="AZ51" t="s">
        <v>694</v>
      </c>
      <c r="BA51" t="s">
        <v>695</v>
      </c>
      <c r="BB51" t="s">
        <v>696</v>
      </c>
      <c r="BC51" t="s">
        <v>1044</v>
      </c>
      <c r="BD51" t="s">
        <v>692</v>
      </c>
      <c r="BE51" t="s">
        <v>697</v>
      </c>
      <c r="BF51" t="s">
        <v>117</v>
      </c>
      <c r="BG51" t="s">
        <v>667</v>
      </c>
      <c r="BH51" t="s">
        <v>2454</v>
      </c>
      <c r="BI51" t="s">
        <v>820</v>
      </c>
      <c r="BJ51" t="s">
        <v>1099</v>
      </c>
      <c r="BK51" t="s">
        <v>1391</v>
      </c>
      <c r="BL51" t="s">
        <v>2455</v>
      </c>
      <c r="BM51" t="s">
        <v>1044</v>
      </c>
      <c r="BN51">
        <v>5.08</v>
      </c>
      <c r="BO51">
        <v>7.57</v>
      </c>
      <c r="BP51">
        <v>10.01</v>
      </c>
      <c r="BQ51">
        <v>7.09</v>
      </c>
      <c r="BR51">
        <v>11.43</v>
      </c>
      <c r="BS51">
        <v>13.03</v>
      </c>
      <c r="BT51" t="s">
        <v>2456</v>
      </c>
      <c r="BU51" t="s">
        <v>82</v>
      </c>
      <c r="BV51">
        <v>41.76</v>
      </c>
      <c r="BW51">
        <v>38.72</v>
      </c>
      <c r="BX51">
        <v>39.29</v>
      </c>
      <c r="BY51">
        <v>19.38</v>
      </c>
      <c r="BZ51">
        <v>18.72</v>
      </c>
      <c r="CA51">
        <v>19.14</v>
      </c>
      <c r="CB51">
        <v>0.54</v>
      </c>
      <c r="CC51">
        <v>-0.4</v>
      </c>
      <c r="CD51" t="s">
        <v>2457</v>
      </c>
      <c r="CE51" t="s">
        <v>2353</v>
      </c>
      <c r="CF51" s="11">
        <v>2.5195439739413681</v>
      </c>
      <c r="CG51" s="12">
        <v>6.8257851487749051</v>
      </c>
      <c r="CH51" s="11">
        <v>-0.62123876810073853</v>
      </c>
      <c r="CI51" s="11">
        <v>-4.4703643769025803E-2</v>
      </c>
      <c r="CJ51" s="11">
        <v>3.6266930401325226E-2</v>
      </c>
      <c r="CK51" s="11">
        <v>-8.1542067229747772E-2</v>
      </c>
      <c r="CL51" s="11">
        <v>-2.2148836404085159E-2</v>
      </c>
      <c r="CM51" s="12">
        <v>-1.4989637136459351</v>
      </c>
      <c r="CN51" s="12">
        <v>-5.5310845375061035E-2</v>
      </c>
      <c r="CO51" s="12">
        <v>0.13122926652431488</v>
      </c>
      <c r="CP51" s="12">
        <v>4.6956561505794525E-2</v>
      </c>
      <c r="CQ51" s="12">
        <v>6.5472431480884552E-2</v>
      </c>
      <c r="CR51">
        <v>14.865846323529412</v>
      </c>
      <c r="CS51">
        <v>1.0135347505364789</v>
      </c>
      <c r="CT51">
        <v>5.2278820375335116</v>
      </c>
      <c r="CU51" s="11">
        <v>-0.14667327702045441</v>
      </c>
      <c r="CV51" s="12">
        <v>-0.26212325990200042</v>
      </c>
      <c r="CW51">
        <v>0.06</v>
      </c>
      <c r="CX51" t="e">
        <v>#VALUE!</v>
      </c>
      <c r="CY51" t="s">
        <v>130</v>
      </c>
      <c r="CZ51">
        <v>-0.14667327702045441</v>
      </c>
      <c r="DA51" t="e">
        <v>#VALUE!</v>
      </c>
      <c r="DB51" t="s">
        <v>130</v>
      </c>
      <c r="DC51">
        <v>-0.13933961316943169</v>
      </c>
      <c r="DD51" t="e">
        <v>#VALUE!</v>
      </c>
      <c r="DE51" t="s">
        <v>130</v>
      </c>
      <c r="DF51">
        <v>-0.12907248377799987</v>
      </c>
      <c r="DG51" t="e">
        <v>#VALUE!</v>
      </c>
      <c r="DH51" t="s">
        <v>130</v>
      </c>
      <c r="DI51">
        <v>-0.11733862161636353</v>
      </c>
      <c r="DJ51" t="e">
        <v>#VALUE!</v>
      </c>
      <c r="DK51" t="s">
        <v>130</v>
      </c>
      <c r="DL51">
        <v>-0.10267129391431808</v>
      </c>
      <c r="DM51">
        <v>-963000000.00000012</v>
      </c>
      <c r="DN51">
        <v>-0.14667327702045441</v>
      </c>
      <c r="DO51">
        <v>11985551000</v>
      </c>
      <c r="DP51">
        <v>9989469000</v>
      </c>
      <c r="DQ51">
        <v>3137</v>
      </c>
      <c r="DR51">
        <v>2.6662172509618225</v>
      </c>
      <c r="DS51">
        <v>7.0879084086769053</v>
      </c>
      <c r="DT51" s="13">
        <v>-0.77333333333333332</v>
      </c>
      <c r="DU51">
        <v>-0.97000000000000008</v>
      </c>
      <c r="DV51">
        <v>-1.7433333333333334</v>
      </c>
      <c r="DW51">
        <v>-4.0000000000000001E-3</v>
      </c>
      <c r="DX51">
        <v>0.31289703703703753</v>
      </c>
      <c r="DY51">
        <v>-6.5158814814814819E-4</v>
      </c>
      <c r="DZ51">
        <v>321</v>
      </c>
      <c r="EA51">
        <v>-6.1065668130753069E-4</v>
      </c>
      <c r="EB51">
        <v>0</v>
      </c>
      <c r="EC51">
        <v>3.2457662322442848E-2</v>
      </c>
      <c r="ED51">
        <v>0.19925262554077716</v>
      </c>
      <c r="EE51" s="14">
        <v>9.1310000000000002E-2</v>
      </c>
      <c r="EF51">
        <v>0.11090999999999999</v>
      </c>
      <c r="EG51">
        <v>15.162897037037038</v>
      </c>
      <c r="EH51">
        <v>-1</v>
      </c>
      <c r="EI51">
        <v>0</v>
      </c>
      <c r="EJ51">
        <v>1</v>
      </c>
      <c r="EK51" s="10">
        <v>45470</v>
      </c>
      <c r="EL51" s="15">
        <v>0.67</v>
      </c>
      <c r="EM51" s="15">
        <v>-2.91</v>
      </c>
      <c r="EN51" s="15">
        <v>-1.1100000000000001</v>
      </c>
      <c r="EO51" s="15">
        <v>1.73</v>
      </c>
      <c r="EP51" s="15">
        <v>-1.96</v>
      </c>
    </row>
    <row r="52" spans="1:146" ht="108" x14ac:dyDescent="0.25">
      <c r="A52" s="7"/>
      <c r="B52" s="7"/>
      <c r="C52" s="7" t="str">
        <f>""&amp;CHAR(10)&amp;Basic_Fundamental_Information_Constructure(F52)&amp;CHAR(10)&amp;Basic_Fundamental_Information_Concatenate("")</f>
        <v xml:space="preserve">
市值8.145456亿, 利润-9997.97万; PE; 平均PE-8.96; 平均PEG-12.14, PB; ROIC0%; ROE-190.6%; 股利率0%; 毛利19.6533%; 净利-26.85%; 上一年度营收增68.95%, 利润增-24.58%; 当季营收增2.34%, 利润增86.29%; 过往5年营收增-.74%, 利润增-54.65%
Income profile:
</v>
      </c>
      <c r="D52" t="s">
        <v>700</v>
      </c>
      <c r="E52" t="s">
        <v>2458</v>
      </c>
      <c r="F52">
        <v>1.32</v>
      </c>
      <c r="G52">
        <v>0</v>
      </c>
      <c r="H52" t="s">
        <v>2459</v>
      </c>
      <c r="I52">
        <v>814545600</v>
      </c>
      <c r="L52" t="s">
        <v>1467</v>
      </c>
      <c r="M52" t="s">
        <v>303</v>
      </c>
      <c r="N52" t="s">
        <v>2460</v>
      </c>
      <c r="O52" t="s">
        <v>25</v>
      </c>
      <c r="P52">
        <v>228.59</v>
      </c>
      <c r="Q52" t="s">
        <v>540</v>
      </c>
      <c r="R52">
        <v>-5532351</v>
      </c>
      <c r="S52" s="5">
        <v>0.43280000000000002</v>
      </c>
      <c r="T52" t="s">
        <v>2461</v>
      </c>
      <c r="U52">
        <v>600465000</v>
      </c>
      <c r="V52">
        <v>617080000</v>
      </c>
      <c r="W52" t="s">
        <v>5</v>
      </c>
      <c r="X52">
        <v>0.35</v>
      </c>
      <c r="Y52">
        <v>-6.59</v>
      </c>
      <c r="Z52" t="s">
        <v>158</v>
      </c>
      <c r="AA52" t="s">
        <v>2462</v>
      </c>
      <c r="AB52" t="s">
        <v>2463</v>
      </c>
      <c r="AC52" t="s">
        <v>2464</v>
      </c>
      <c r="AD52" t="s">
        <v>5</v>
      </c>
      <c r="AE52">
        <v>714437</v>
      </c>
      <c r="AF52" t="s">
        <v>2465</v>
      </c>
      <c r="AG52" t="s">
        <v>2466</v>
      </c>
      <c r="AH52" t="s">
        <v>2467</v>
      </c>
      <c r="AI52" t="s">
        <v>2468</v>
      </c>
      <c r="AJ52" t="s">
        <v>5</v>
      </c>
      <c r="AK52" t="s">
        <v>2469</v>
      </c>
      <c r="AL52" t="s">
        <v>2470</v>
      </c>
      <c r="AM52" t="s">
        <v>5</v>
      </c>
      <c r="AN52">
        <v>0</v>
      </c>
      <c r="AO52" t="s">
        <v>2471</v>
      </c>
      <c r="AP52" t="s">
        <v>5</v>
      </c>
      <c r="AQ52" t="s">
        <v>2472</v>
      </c>
      <c r="AR52" t="s">
        <v>5</v>
      </c>
      <c r="AS52" t="s">
        <v>995</v>
      </c>
      <c r="AT52" t="s">
        <v>2473</v>
      </c>
      <c r="AU52" t="s">
        <v>2474</v>
      </c>
      <c r="AV52" t="s">
        <v>2475</v>
      </c>
      <c r="AW52" t="s">
        <v>2476</v>
      </c>
      <c r="AX52" t="s">
        <v>966</v>
      </c>
      <c r="AY52" t="s">
        <v>679</v>
      </c>
      <c r="AZ52" t="s">
        <v>505</v>
      </c>
      <c r="BA52" t="s">
        <v>271</v>
      </c>
      <c r="BB52" t="s">
        <v>702</v>
      </c>
      <c r="BC52" t="s">
        <v>2477</v>
      </c>
      <c r="BD52" t="s">
        <v>701</v>
      </c>
      <c r="BE52" t="s">
        <v>704</v>
      </c>
      <c r="BF52" t="s">
        <v>705</v>
      </c>
      <c r="BG52" t="s">
        <v>706</v>
      </c>
      <c r="BH52" t="s">
        <v>1255</v>
      </c>
      <c r="BI52" t="s">
        <v>417</v>
      </c>
      <c r="BJ52" t="s">
        <v>966</v>
      </c>
      <c r="BK52" t="s">
        <v>2478</v>
      </c>
      <c r="BL52" t="s">
        <v>2479</v>
      </c>
      <c r="BM52" t="s">
        <v>2477</v>
      </c>
      <c r="BN52" t="s">
        <v>5</v>
      </c>
      <c r="BO52" t="s">
        <v>5</v>
      </c>
      <c r="BP52" t="s">
        <v>5</v>
      </c>
      <c r="BQ52">
        <v>-52.31</v>
      </c>
      <c r="BR52">
        <v>-223.3</v>
      </c>
      <c r="BS52">
        <v>-296.19</v>
      </c>
      <c r="BT52" t="s">
        <v>1017</v>
      </c>
      <c r="BU52" t="s">
        <v>107</v>
      </c>
      <c r="BV52">
        <v>30.5</v>
      </c>
      <c r="BW52">
        <v>10.72</v>
      </c>
      <c r="BX52">
        <v>17.739999999999998</v>
      </c>
      <c r="BY52">
        <v>-18</v>
      </c>
      <c r="BZ52">
        <v>-29.03</v>
      </c>
      <c r="CA52">
        <v>-33.520000000000003</v>
      </c>
      <c r="CB52">
        <v>6.45</v>
      </c>
      <c r="CC52">
        <v>-11.41</v>
      </c>
      <c r="CD52" t="s">
        <v>2480</v>
      </c>
      <c r="CE52" t="s">
        <v>612</v>
      </c>
      <c r="CF52" s="11">
        <v>2.34375E-2</v>
      </c>
      <c r="CG52" s="12">
        <v>0.86287529681202813</v>
      </c>
      <c r="CH52" s="11">
        <v>0.68954247236251831</v>
      </c>
      <c r="CI52" s="11">
        <v>0.14179104566574097</v>
      </c>
      <c r="CJ52" s="11">
        <v>0.38860103487968445</v>
      </c>
      <c r="CK52" s="11">
        <v>-0.38338658213615417</v>
      </c>
      <c r="CL52" s="11">
        <v>-0.87343311309814453</v>
      </c>
      <c r="CM52" s="12">
        <v>-0.24575667083263397</v>
      </c>
      <c r="CN52" s="12">
        <v>1.1595107614994049E-2</v>
      </c>
      <c r="CO52" s="12">
        <v>-4.981626033782959</v>
      </c>
      <c r="CP52" s="12">
        <v>1.6070224046707153</v>
      </c>
      <c r="CQ52" s="12">
        <v>0.87603211402893066</v>
      </c>
      <c r="CR52">
        <v>-8.9570251805325096</v>
      </c>
      <c r="CS52">
        <v>-12.141779339336564</v>
      </c>
      <c r="CT52">
        <v>0</v>
      </c>
      <c r="CU52" s="11">
        <v>-7.3770284652709961E-3</v>
      </c>
      <c r="CV52" s="12">
        <v>-0.54654661566019058</v>
      </c>
      <c r="CW52">
        <v>0.06</v>
      </c>
      <c r="CX52" t="e">
        <v>#VALUE!</v>
      </c>
      <c r="CY52" t="s">
        <v>129</v>
      </c>
      <c r="CZ52">
        <v>-7.3770284652709961E-3</v>
      </c>
      <c r="DA52" t="e">
        <v>#VALUE!</v>
      </c>
      <c r="DB52" t="s">
        <v>130</v>
      </c>
      <c r="DC52">
        <v>-7.0081770420074461E-3</v>
      </c>
      <c r="DD52" t="e">
        <v>#VALUE!</v>
      </c>
      <c r="DE52" t="s">
        <v>130</v>
      </c>
      <c r="DF52">
        <v>-6.4917850494384767E-3</v>
      </c>
      <c r="DG52" t="e">
        <v>#VALUE!</v>
      </c>
      <c r="DH52" t="s">
        <v>130</v>
      </c>
      <c r="DI52">
        <v>-5.901622772216797E-3</v>
      </c>
      <c r="DJ52" t="e">
        <v>#VALUE!</v>
      </c>
      <c r="DK52" t="s">
        <v>130</v>
      </c>
      <c r="DL52">
        <v>-5.1639199256896971E-3</v>
      </c>
      <c r="DM52">
        <v>-99979700</v>
      </c>
      <c r="DN52">
        <v>-7.3770284652709961E-3</v>
      </c>
      <c r="DO52">
        <v>1245999300</v>
      </c>
      <c r="DP52">
        <v>-73376980</v>
      </c>
      <c r="DQ52">
        <v>3194</v>
      </c>
      <c r="DR52">
        <v>3.0814528465270996E-2</v>
      </c>
      <c r="DS52">
        <v>1.4094219124722187</v>
      </c>
      <c r="DT52" s="13">
        <v>-0.28999999999999998</v>
      </c>
      <c r="DU52">
        <v>-1.6849999999999998</v>
      </c>
      <c r="DV52">
        <v>-1.9749999999999999</v>
      </c>
      <c r="DW52">
        <v>7.3611422172452405</v>
      </c>
      <c r="DX52">
        <v>0.30594924242424337</v>
      </c>
      <c r="DY52">
        <v>7.0346513221520919</v>
      </c>
      <c r="DZ52">
        <v>1139</v>
      </c>
      <c r="EA52">
        <v>7.0269276712849233</v>
      </c>
      <c r="EB52">
        <v>7</v>
      </c>
      <c r="EC52">
        <v>6.1573701951124653E-2</v>
      </c>
      <c r="ED52">
        <v>0.64173202826213782</v>
      </c>
      <c r="EE52" s="14">
        <v>2.0115099999999999</v>
      </c>
      <c r="EF52">
        <v>2.0342099999999999</v>
      </c>
      <c r="EG52">
        <v>21.095949242424243</v>
      </c>
      <c r="EH52" t="s">
        <v>1029</v>
      </c>
      <c r="EI52">
        <v>1</v>
      </c>
      <c r="EJ52">
        <v>1</v>
      </c>
      <c r="EK52" s="10">
        <v>45470</v>
      </c>
      <c r="EL52" s="15">
        <v>-0.17</v>
      </c>
      <c r="EM52" s="15">
        <v>-2.54</v>
      </c>
      <c r="EN52" s="15">
        <v>0.69</v>
      </c>
      <c r="EO52" s="15">
        <v>2.41</v>
      </c>
      <c r="EP52" s="15">
        <v>-2.27</v>
      </c>
    </row>
    <row r="53" spans="1:146" ht="96" x14ac:dyDescent="0.25">
      <c r="A53" s="7"/>
      <c r="B53" s="7"/>
      <c r="C53" s="7" t="str">
        <f>""&amp;CHAR(10)&amp;Basic_Fundamental_Information_Constructure(F53)&amp;CHAR(10)&amp;Basic_Fundamental_Information_Concatenate("")</f>
        <v xml:space="preserve">
市值49.294616亿, 利润1.07亿; PE9.31; 平均PE18.02; 平均PEG6, PB.856; ROIC5.7167%; ROE6.3233%; 股利率6.8776%; 毛利10.7767%; 净利5.1733%; 上一年度营收增-34.48%, 利润增-68.9%; 当季营收增29.47%, 利润增101.22%; 过往5年营收增-3.01%, 利润增-10.7%
Income profile:
</v>
      </c>
      <c r="D53" t="s">
        <v>707</v>
      </c>
      <c r="E53" t="s">
        <v>708</v>
      </c>
      <c r="F53">
        <v>7.27</v>
      </c>
      <c r="G53">
        <v>1.82</v>
      </c>
      <c r="H53" t="s">
        <v>2481</v>
      </c>
      <c r="I53">
        <v>4929461600</v>
      </c>
      <c r="J53">
        <v>9.31</v>
      </c>
      <c r="K53">
        <v>0.85599999999999998</v>
      </c>
      <c r="L53" t="s">
        <v>1467</v>
      </c>
      <c r="M53" t="s">
        <v>2482</v>
      </c>
      <c r="N53" t="s">
        <v>2483</v>
      </c>
      <c r="O53" t="s">
        <v>1864</v>
      </c>
      <c r="P53">
        <v>-3.23</v>
      </c>
      <c r="Q53" t="s">
        <v>2484</v>
      </c>
      <c r="R53">
        <v>61403670</v>
      </c>
      <c r="S53" s="5">
        <v>-0.29220000000000002</v>
      </c>
      <c r="T53" t="s">
        <v>323</v>
      </c>
      <c r="U53">
        <v>678055240</v>
      </c>
      <c r="V53">
        <v>678055240</v>
      </c>
      <c r="W53">
        <v>1.56</v>
      </c>
      <c r="X53">
        <v>0.18</v>
      </c>
      <c r="Y53">
        <v>3.85</v>
      </c>
      <c r="Z53" t="s">
        <v>2485</v>
      </c>
      <c r="AA53" t="s">
        <v>2486</v>
      </c>
      <c r="AB53" t="s">
        <v>2487</v>
      </c>
      <c r="AC53" t="s">
        <v>2488</v>
      </c>
      <c r="AD53" t="s">
        <v>5</v>
      </c>
      <c r="AE53">
        <v>-12060631</v>
      </c>
      <c r="AF53" t="s">
        <v>2489</v>
      </c>
      <c r="AG53" t="s">
        <v>2490</v>
      </c>
      <c r="AH53" t="s">
        <v>2491</v>
      </c>
      <c r="AI53" t="s">
        <v>2492</v>
      </c>
      <c r="AJ53" t="s">
        <v>2493</v>
      </c>
      <c r="AK53" t="s">
        <v>94</v>
      </c>
      <c r="AL53" t="s">
        <v>2494</v>
      </c>
      <c r="AM53" t="s">
        <v>5</v>
      </c>
      <c r="AN53" t="s">
        <v>2495</v>
      </c>
      <c r="AO53" t="s">
        <v>1367</v>
      </c>
      <c r="AP53" t="s">
        <v>1378</v>
      </c>
      <c r="AQ53" t="s">
        <v>2496</v>
      </c>
      <c r="AR53" t="s">
        <v>2497</v>
      </c>
      <c r="AS53" t="s">
        <v>2498</v>
      </c>
      <c r="AT53" t="s">
        <v>5</v>
      </c>
      <c r="AU53" t="s">
        <v>2499</v>
      </c>
      <c r="AV53" t="s">
        <v>2500</v>
      </c>
      <c r="AW53" t="s">
        <v>1290</v>
      </c>
      <c r="AX53" t="s">
        <v>1100</v>
      </c>
      <c r="AY53" t="s">
        <v>709</v>
      </c>
      <c r="AZ53" t="s">
        <v>711</v>
      </c>
      <c r="BA53" t="s">
        <v>712</v>
      </c>
      <c r="BB53" t="s">
        <v>713</v>
      </c>
      <c r="BC53" t="s">
        <v>548</v>
      </c>
      <c r="BD53" t="s">
        <v>710</v>
      </c>
      <c r="BE53" t="s">
        <v>679</v>
      </c>
      <c r="BF53" t="s">
        <v>205</v>
      </c>
      <c r="BG53" t="s">
        <v>203</v>
      </c>
      <c r="BH53" t="s">
        <v>2501</v>
      </c>
      <c r="BI53" t="s">
        <v>2502</v>
      </c>
      <c r="BJ53" t="s">
        <v>1100</v>
      </c>
      <c r="BK53" t="s">
        <v>398</v>
      </c>
      <c r="BL53" t="s">
        <v>2503</v>
      </c>
      <c r="BM53" t="s">
        <v>548</v>
      </c>
      <c r="BN53">
        <v>4.33</v>
      </c>
      <c r="BO53">
        <v>6.02</v>
      </c>
      <c r="BP53">
        <v>6.8</v>
      </c>
      <c r="BQ53">
        <v>4.9400000000000004</v>
      </c>
      <c r="BR53">
        <v>6.72</v>
      </c>
      <c r="BS53">
        <v>7.31</v>
      </c>
      <c r="BT53" t="s">
        <v>2504</v>
      </c>
      <c r="BU53" t="s">
        <v>82</v>
      </c>
      <c r="BV53">
        <v>10.34</v>
      </c>
      <c r="BW53">
        <v>11.48</v>
      </c>
      <c r="BX53">
        <v>10.51</v>
      </c>
      <c r="BY53">
        <v>6.38</v>
      </c>
      <c r="BZ53">
        <v>4.5599999999999996</v>
      </c>
      <c r="CA53">
        <v>4.58</v>
      </c>
      <c r="CB53">
        <v>2.68</v>
      </c>
      <c r="CC53">
        <v>-6.71</v>
      </c>
      <c r="CD53" t="s">
        <v>2505</v>
      </c>
      <c r="CE53" t="s">
        <v>566</v>
      </c>
      <c r="CF53" s="11">
        <v>0.29472025216706066</v>
      </c>
      <c r="CG53" s="12">
        <v>1.0122190762696868</v>
      </c>
      <c r="CH53" s="11">
        <v>-0.34475544095039368</v>
      </c>
      <c r="CI53" s="11">
        <v>-3.1416263431310654E-2</v>
      </c>
      <c r="CJ53" s="11">
        <v>0.22349666059017181</v>
      </c>
      <c r="CK53" s="11">
        <v>-6.0083293356001377E-3</v>
      </c>
      <c r="CL53" s="11">
        <v>8.3889411762356758E-3</v>
      </c>
      <c r="CM53" s="12">
        <v>-0.6889534592628479</v>
      </c>
      <c r="CN53" s="12">
        <v>-4.178272932767868E-2</v>
      </c>
      <c r="CO53" s="12">
        <v>0.33955225348472595</v>
      </c>
      <c r="CP53" s="12">
        <v>0.15021459758281708</v>
      </c>
      <c r="CQ53" s="12">
        <v>-0.29393938183784485</v>
      </c>
      <c r="CR53">
        <v>18.023625594149909</v>
      </c>
      <c r="CS53">
        <v>5.9961055643227175</v>
      </c>
      <c r="CT53">
        <v>6.8775790921595599</v>
      </c>
      <c r="CU53" s="11">
        <v>-3.0058886390179396E-2</v>
      </c>
      <c r="CV53" s="12">
        <v>-0.10698174387216568</v>
      </c>
      <c r="CW53">
        <v>0.06</v>
      </c>
      <c r="CX53">
        <v>24.284687850467289</v>
      </c>
      <c r="CY53" t="s">
        <v>2506</v>
      </c>
      <c r="CZ53">
        <v>-3.0058886390179396E-2</v>
      </c>
      <c r="DA53">
        <v>8.0948959501557631</v>
      </c>
      <c r="DB53" t="s">
        <v>2507</v>
      </c>
      <c r="DC53">
        <v>-2.8555942070670425E-2</v>
      </c>
      <c r="DD53">
        <v>4.0474479750778816</v>
      </c>
      <c r="DE53" t="s">
        <v>2508</v>
      </c>
      <c r="DF53">
        <v>-2.6451820023357869E-2</v>
      </c>
      <c r="DG53">
        <v>2.428468785046729</v>
      </c>
      <c r="DH53" t="s">
        <v>2509</v>
      </c>
      <c r="DI53">
        <v>-2.4047109112143517E-2</v>
      </c>
      <c r="DJ53">
        <v>1.2142343925233645</v>
      </c>
      <c r="DK53" t="s">
        <v>2510</v>
      </c>
      <c r="DL53">
        <v>-2.1041220473125576E-2</v>
      </c>
      <c r="DM53">
        <v>107000000</v>
      </c>
      <c r="DN53">
        <v>-3.0058886390179396E-2</v>
      </c>
      <c r="DO53">
        <v>2598461600</v>
      </c>
      <c r="DP53">
        <v>3862436500</v>
      </c>
      <c r="DQ53">
        <v>3264</v>
      </c>
      <c r="DR53">
        <v>0.32477913855724005</v>
      </c>
      <c r="DS53">
        <v>1.1192008201418524</v>
      </c>
      <c r="DT53" s="13">
        <v>-0.47333333333333333</v>
      </c>
      <c r="DU53">
        <v>-0.18333333333333335</v>
      </c>
      <c r="DV53">
        <v>-0.65666666666666673</v>
      </c>
      <c r="DW53">
        <v>6.2854100106496276</v>
      </c>
      <c r="DX53">
        <v>0.37409241379310187</v>
      </c>
      <c r="DY53">
        <v>6.0382713172487241</v>
      </c>
      <c r="DZ53">
        <v>3796</v>
      </c>
      <c r="EA53">
        <v>6.0098411958639577</v>
      </c>
      <c r="EB53">
        <v>6</v>
      </c>
      <c r="EC53">
        <v>2.8675244807487957E-2</v>
      </c>
      <c r="ED53">
        <v>0.21384688362558779</v>
      </c>
      <c r="EE53" s="14">
        <v>-3.07301</v>
      </c>
      <c r="EF53">
        <v>-3.0295100000000001</v>
      </c>
      <c r="EG53">
        <v>24.134092413793102</v>
      </c>
      <c r="EH53" t="s">
        <v>1445</v>
      </c>
      <c r="EI53">
        <v>0</v>
      </c>
      <c r="EJ53">
        <v>0</v>
      </c>
      <c r="EK53" s="10">
        <v>45470</v>
      </c>
      <c r="EL53" s="15">
        <v>-3.79</v>
      </c>
      <c r="EM53" s="15">
        <v>-1.87</v>
      </c>
      <c r="EN53" s="15">
        <v>2.75</v>
      </c>
      <c r="EO53" s="15">
        <v>-0.62</v>
      </c>
      <c r="EP53" s="15">
        <v>4.3499999999999996</v>
      </c>
    </row>
    <row r="54" spans="1:146" ht="192" x14ac:dyDescent="0.25">
      <c r="A54" s="7"/>
      <c r="B54" s="7"/>
      <c r="C54" s="7" t="str">
        <f>"公司的主要业务为基于大数据的技术驱动型新媒体营销服务公司,致力于为广告主提供智能化的新媒体营销解决方案,实现产品与消费者的精准匹配,帮助广告主低成本获取客户以及带动产品销售和口碑转化,同时帮助海量文化创意产业、数字内容产业的新媒体从业者实现高效便捷的价值变现。"&amp;CHAR(10)&amp;Basic_Fundamental_Information_Constructure(F54)&amp;CHAR(10)&amp;Basic_Fundamental_Information_Concatenate("红人营销平台业务 42.90亿 95.08% 94.95% 22.25%
红人经济生态链创新业务板块 2.22亿 4.92% 5.05% 22.88%")</f>
        <v>公司的主要业务为基于大数据的技术驱动型新媒体营销服务公司,致力于为广告主提供智能化的新媒体营销解决方案,实现产品与消费者的精准匹配,帮助广告主低成本获取客户以及带动产品销售和口碑转化,同时帮助海量文化创意产业、数字内容产业的新媒体从业者实现高效便捷的价值变现。
市值65.982789亿, 利润5.37亿; PE74.67; 平均PE22.2; 平均PEG.63, PB1.72; ROIC4.82%; ROE6.0133%; 股利率.4247%; 毛利20.6833%; 净利4.3933%; 上一年度营收增17.9%, 利润增198.33%; 当季营收增-28.62%, 利润增-89.63%; 过往5年营收增35.01%, 利润增49.4%
Income profile:
红人营销平台业务 42.90亿 95.08% 94.95% 22.25%
红人经济生态链创新业务板块 2.22亿 4.92% 5.05% 22.88%</v>
      </c>
      <c r="D54" t="s">
        <v>714</v>
      </c>
      <c r="E54" t="s">
        <v>2511</v>
      </c>
      <c r="F54">
        <v>3.65</v>
      </c>
      <c r="G54">
        <v>1.96</v>
      </c>
      <c r="H54" t="s">
        <v>2512</v>
      </c>
      <c r="I54">
        <v>6598278900</v>
      </c>
      <c r="J54">
        <v>74.67</v>
      </c>
      <c r="K54">
        <v>1.72</v>
      </c>
      <c r="L54" t="s">
        <v>1467</v>
      </c>
      <c r="M54" t="s">
        <v>2513</v>
      </c>
      <c r="N54" t="s">
        <v>2514</v>
      </c>
      <c r="O54" t="s">
        <v>608</v>
      </c>
      <c r="P54">
        <v>1.1000000000000001</v>
      </c>
      <c r="Q54" t="s">
        <v>2515</v>
      </c>
      <c r="R54">
        <v>14618686</v>
      </c>
      <c r="S54" s="5">
        <v>-0.23180000000000001</v>
      </c>
      <c r="T54" t="s">
        <v>2516</v>
      </c>
      <c r="U54">
        <v>1807747600</v>
      </c>
      <c r="V54">
        <v>1807747600</v>
      </c>
      <c r="W54">
        <v>1.51</v>
      </c>
      <c r="X54">
        <v>0.17</v>
      </c>
      <c r="Y54">
        <v>1.1499999999999999</v>
      </c>
      <c r="Z54" t="s">
        <v>2517</v>
      </c>
      <c r="AA54" t="s">
        <v>1002</v>
      </c>
      <c r="AB54" t="s">
        <v>2518</v>
      </c>
      <c r="AC54" t="s">
        <v>2519</v>
      </c>
      <c r="AD54" t="s">
        <v>5</v>
      </c>
      <c r="AE54">
        <v>1205608</v>
      </c>
      <c r="AF54" t="s">
        <v>2520</v>
      </c>
      <c r="AG54" t="s">
        <v>2521</v>
      </c>
      <c r="AH54" t="s">
        <v>2522</v>
      </c>
      <c r="AI54" t="s">
        <v>2523</v>
      </c>
      <c r="AJ54" t="s">
        <v>2524</v>
      </c>
      <c r="AK54" t="s">
        <v>2525</v>
      </c>
      <c r="AL54" t="s">
        <v>2526</v>
      </c>
      <c r="AM54" t="s">
        <v>5</v>
      </c>
      <c r="AN54">
        <v>0</v>
      </c>
      <c r="AO54" t="s">
        <v>1461</v>
      </c>
      <c r="AP54" t="s">
        <v>5</v>
      </c>
      <c r="AQ54" t="s">
        <v>1282</v>
      </c>
      <c r="AR54" t="s">
        <v>5</v>
      </c>
      <c r="AS54" t="s">
        <v>1385</v>
      </c>
      <c r="AT54" t="s">
        <v>2527</v>
      </c>
      <c r="AU54" t="s">
        <v>2528</v>
      </c>
      <c r="AV54" t="s">
        <v>2529</v>
      </c>
      <c r="AW54" t="s">
        <v>2530</v>
      </c>
      <c r="AX54" t="s">
        <v>1101</v>
      </c>
      <c r="AY54" t="s">
        <v>715</v>
      </c>
      <c r="AZ54" t="s">
        <v>716</v>
      </c>
      <c r="BA54" t="s">
        <v>717</v>
      </c>
      <c r="BB54" t="s">
        <v>718</v>
      </c>
      <c r="BC54" t="s">
        <v>207</v>
      </c>
      <c r="BD54" t="s">
        <v>594</v>
      </c>
      <c r="BE54" t="s">
        <v>719</v>
      </c>
      <c r="BF54" t="s">
        <v>431</v>
      </c>
      <c r="BG54" t="s">
        <v>149</v>
      </c>
      <c r="BH54" t="s">
        <v>1295</v>
      </c>
      <c r="BI54" t="s">
        <v>2531</v>
      </c>
      <c r="BJ54" t="s">
        <v>1101</v>
      </c>
      <c r="BK54" t="s">
        <v>2532</v>
      </c>
      <c r="BL54" t="s">
        <v>108</v>
      </c>
      <c r="BM54" t="s">
        <v>207</v>
      </c>
      <c r="BN54">
        <v>2.2200000000000002</v>
      </c>
      <c r="BO54">
        <v>3.45</v>
      </c>
      <c r="BP54">
        <v>8.7899999999999991</v>
      </c>
      <c r="BQ54">
        <v>2.94</v>
      </c>
      <c r="BR54">
        <v>4.87</v>
      </c>
      <c r="BS54">
        <v>10.23</v>
      </c>
      <c r="BT54" t="s">
        <v>2533</v>
      </c>
      <c r="BU54" t="s">
        <v>107</v>
      </c>
      <c r="BV54">
        <v>18.02</v>
      </c>
      <c r="BW54">
        <v>21.75</v>
      </c>
      <c r="BX54">
        <v>22.28</v>
      </c>
      <c r="BY54">
        <v>1.93</v>
      </c>
      <c r="BZ54">
        <v>3.81</v>
      </c>
      <c r="CA54">
        <v>7.44</v>
      </c>
      <c r="CB54">
        <v>0.7</v>
      </c>
      <c r="CC54">
        <v>-13.39</v>
      </c>
      <c r="CD54" t="s">
        <v>2534</v>
      </c>
      <c r="CE54" t="s">
        <v>1315</v>
      </c>
      <c r="CF54" s="11">
        <v>-0.28624260355029585</v>
      </c>
      <c r="CG54" s="12">
        <v>-0.89632137588652483</v>
      </c>
      <c r="CH54" s="11">
        <v>0.17897792160511017</v>
      </c>
      <c r="CI54" s="11">
        <v>-8.4884762763977051E-2</v>
      </c>
      <c r="CJ54" s="11">
        <v>0.47450980544090271</v>
      </c>
      <c r="CK54" s="11">
        <v>0.54779976606369019</v>
      </c>
      <c r="CL54" s="11">
        <v>0.6338842511177063</v>
      </c>
      <c r="CM54" s="12">
        <v>1.9833333492279053</v>
      </c>
      <c r="CN54" s="12">
        <v>-0.49152541160583496</v>
      </c>
      <c r="CO54" s="12">
        <v>0.20000000298023224</v>
      </c>
      <c r="CP54" s="12">
        <v>0.13899613916873932</v>
      </c>
      <c r="CQ54" s="12">
        <v>0.63924050331115723</v>
      </c>
      <c r="CR54">
        <v>22.203967134043744</v>
      </c>
      <c r="CS54">
        <v>0.63429504330423536</v>
      </c>
      <c r="CT54">
        <v>0.42465753424657537</v>
      </c>
      <c r="CU54" s="11">
        <v>0.35005739629268645</v>
      </c>
      <c r="CV54" s="12">
        <v>0.49400891661643981</v>
      </c>
      <c r="CW54">
        <v>0.06</v>
      </c>
      <c r="CX54">
        <v>7.1515762597161725</v>
      </c>
      <c r="CY54">
        <v>683944171.51808739</v>
      </c>
      <c r="CZ54">
        <v>0.35005739629268645</v>
      </c>
      <c r="DA54">
        <v>1.8880834994473281</v>
      </c>
      <c r="DB54">
        <v>2590605183.2091932</v>
      </c>
      <c r="DC54">
        <v>0.33255452647805211</v>
      </c>
      <c r="DD54">
        <v>0.68242012893111315</v>
      </c>
      <c r="DE54">
        <v>7167547809.0912962</v>
      </c>
      <c r="DF54">
        <v>0.30805050873756407</v>
      </c>
      <c r="DG54">
        <v>0.27987041590619594</v>
      </c>
      <c r="DH54">
        <v>17476941548.689476</v>
      </c>
      <c r="DI54">
        <v>0.28004591703414916</v>
      </c>
      <c r="DJ54">
        <v>5.6458042180084989E-2</v>
      </c>
      <c r="DK54">
        <v>86635645005.156586</v>
      </c>
      <c r="DL54">
        <v>0.24504017740488049</v>
      </c>
      <c r="DM54">
        <v>537000000</v>
      </c>
      <c r="DN54">
        <v>0.35005739629268645</v>
      </c>
      <c r="DO54">
        <v>4891278900</v>
      </c>
      <c r="DP54">
        <v>3087525600</v>
      </c>
      <c r="DQ54">
        <v>3266</v>
      </c>
      <c r="DR54">
        <v>-0.63629999984298236</v>
      </c>
      <c r="DS54">
        <v>-1.3903302925029646</v>
      </c>
      <c r="DT54" s="13">
        <v>0.17666666666666667</v>
      </c>
      <c r="DU54">
        <v>4.33333333333333E-2</v>
      </c>
      <c r="DV54">
        <v>0.21999999999999997</v>
      </c>
      <c r="DW54">
        <v>-2.1339000000000001</v>
      </c>
      <c r="DX54">
        <v>0.40451784232365129</v>
      </c>
      <c r="DY54">
        <v>-2.0193509390871371</v>
      </c>
      <c r="DZ54">
        <v>2478</v>
      </c>
      <c r="EA54">
        <v>-2.0099670590366623</v>
      </c>
      <c r="EB54">
        <v>2</v>
      </c>
      <c r="EC54">
        <v>3.8532812877195913E-2</v>
      </c>
      <c r="ED54">
        <v>0.26663014239377225</v>
      </c>
      <c r="EE54" s="14">
        <v>-1.0494000000000001</v>
      </c>
      <c r="EF54">
        <v>-1.0282</v>
      </c>
      <c r="EG54">
        <v>26.144517842323651</v>
      </c>
      <c r="EH54" t="s">
        <v>349</v>
      </c>
      <c r="EI54">
        <v>0</v>
      </c>
      <c r="EJ54">
        <v>0</v>
      </c>
      <c r="EK54" s="10">
        <v>45470</v>
      </c>
      <c r="EL54" s="15">
        <v>0.31</v>
      </c>
      <c r="EM54" s="15">
        <v>-5.93</v>
      </c>
      <c r="EN54" s="15">
        <v>-1.55</v>
      </c>
      <c r="EO54" s="15">
        <v>5.95</v>
      </c>
      <c r="EP54" s="15">
        <v>-2.12</v>
      </c>
    </row>
    <row r="55" spans="1:146" ht="108" x14ac:dyDescent="0.25">
      <c r="A55" s="7"/>
      <c r="B55" s="7"/>
      <c r="C55" s="7" t="str">
        <f>""&amp;CHAR(10)&amp;Basic_Fundamental_Information_Constructure(F55)&amp;CHAR(10)&amp;Basic_Fundamental_Information_Concatenate("")</f>
        <v xml:space="preserve">
市值204.40351亿, 利润6208.98万; PE43.83; 平均PE15.82; 平均PEG.67, PB.686; ROIC2.4167%; ROE3.18%; 股利率2.9605%; 毛利29.9133%; 净利10.45%; 上一年度营收增-54.42%, 利润增-64.32%; 当季营收增226.18%, 利润增2821.21%; 过往5年营收增-23.65%, 利润增-31.94%
Income profile:
</v>
      </c>
      <c r="D55" t="s">
        <v>721</v>
      </c>
      <c r="E55" t="s">
        <v>722</v>
      </c>
      <c r="F55">
        <v>6.08</v>
      </c>
      <c r="G55">
        <v>1.5</v>
      </c>
      <c r="H55" t="s">
        <v>2535</v>
      </c>
      <c r="I55">
        <v>20440351000</v>
      </c>
      <c r="J55">
        <v>43.83</v>
      </c>
      <c r="K55">
        <v>0.68600000000000005</v>
      </c>
      <c r="L55" t="s">
        <v>1467</v>
      </c>
      <c r="M55" t="s">
        <v>2536</v>
      </c>
      <c r="N55" t="s">
        <v>2537</v>
      </c>
      <c r="O55" t="s">
        <v>2538</v>
      </c>
      <c r="P55">
        <v>-6.54</v>
      </c>
      <c r="Q55" t="s">
        <v>2539</v>
      </c>
      <c r="R55">
        <v>118615608</v>
      </c>
      <c r="S55" s="5">
        <v>-0.53320000000000001</v>
      </c>
      <c r="T55" t="s">
        <v>2540</v>
      </c>
      <c r="U55">
        <v>3361899800</v>
      </c>
      <c r="V55">
        <v>3361899800</v>
      </c>
      <c r="W55">
        <v>1.28</v>
      </c>
      <c r="X55">
        <v>0.04</v>
      </c>
      <c r="Y55">
        <v>6.41</v>
      </c>
      <c r="Z55" t="s">
        <v>2541</v>
      </c>
      <c r="AA55" t="s">
        <v>1422</v>
      </c>
      <c r="AB55" t="s">
        <v>1231</v>
      </c>
      <c r="AC55" t="s">
        <v>18</v>
      </c>
      <c r="AD55" t="s">
        <v>5</v>
      </c>
      <c r="AE55">
        <v>-36739192</v>
      </c>
      <c r="AF55" t="s">
        <v>2542</v>
      </c>
      <c r="AG55" t="s">
        <v>2543</v>
      </c>
      <c r="AH55" t="s">
        <v>2544</v>
      </c>
      <c r="AI55" t="s">
        <v>2545</v>
      </c>
      <c r="AJ55" t="s">
        <v>2546</v>
      </c>
      <c r="AK55" t="s">
        <v>2547</v>
      </c>
      <c r="AL55" t="s">
        <v>2548</v>
      </c>
      <c r="AM55" t="s">
        <v>5</v>
      </c>
      <c r="AN55" t="s">
        <v>1600</v>
      </c>
      <c r="AO55" t="s">
        <v>1362</v>
      </c>
      <c r="AP55" t="s">
        <v>2549</v>
      </c>
      <c r="AQ55" t="s">
        <v>2550</v>
      </c>
      <c r="AR55" t="s">
        <v>1408</v>
      </c>
      <c r="AS55" t="s">
        <v>2551</v>
      </c>
      <c r="AT55" t="s">
        <v>2552</v>
      </c>
      <c r="AU55" t="s">
        <v>2553</v>
      </c>
      <c r="AV55" t="s">
        <v>2554</v>
      </c>
      <c r="AW55" t="s">
        <v>281</v>
      </c>
      <c r="AX55" t="s">
        <v>1014</v>
      </c>
      <c r="AY55" t="s">
        <v>723</v>
      </c>
      <c r="AZ55" t="s">
        <v>725</v>
      </c>
      <c r="BA55" t="s">
        <v>726</v>
      </c>
      <c r="BB55" t="s">
        <v>727</v>
      </c>
      <c r="BC55" t="s">
        <v>392</v>
      </c>
      <c r="BD55" t="s">
        <v>724</v>
      </c>
      <c r="BE55" t="s">
        <v>347</v>
      </c>
      <c r="BF55" t="s">
        <v>728</v>
      </c>
      <c r="BG55" t="s">
        <v>729</v>
      </c>
      <c r="BH55" t="s">
        <v>2555</v>
      </c>
      <c r="BI55" t="s">
        <v>2556</v>
      </c>
      <c r="BJ55" t="s">
        <v>1014</v>
      </c>
      <c r="BK55" t="s">
        <v>38</v>
      </c>
      <c r="BL55" t="s">
        <v>2557</v>
      </c>
      <c r="BM55" t="s">
        <v>392</v>
      </c>
      <c r="BN55">
        <v>1.99</v>
      </c>
      <c r="BO55">
        <v>0.14000000000000001</v>
      </c>
      <c r="BP55">
        <v>5.12</v>
      </c>
      <c r="BQ55">
        <v>2.66</v>
      </c>
      <c r="BR55">
        <v>0.59</v>
      </c>
      <c r="BS55">
        <v>6.29</v>
      </c>
      <c r="BT55" t="s">
        <v>2014</v>
      </c>
      <c r="BU55" t="s">
        <v>1486</v>
      </c>
      <c r="BV55">
        <v>32.08</v>
      </c>
      <c r="BW55">
        <v>29.63</v>
      </c>
      <c r="BX55">
        <v>28.03</v>
      </c>
      <c r="BY55">
        <v>7.82</v>
      </c>
      <c r="BZ55">
        <v>2.09</v>
      </c>
      <c r="CA55">
        <v>21.44</v>
      </c>
      <c r="CB55">
        <v>0</v>
      </c>
      <c r="CC55">
        <v>-7.03</v>
      </c>
      <c r="CD55" t="s">
        <v>2558</v>
      </c>
      <c r="CE55" t="s">
        <v>909</v>
      </c>
      <c r="CF55" s="11">
        <v>2.2617586912065444</v>
      </c>
      <c r="CG55" s="12">
        <v>28.212069449575175</v>
      </c>
      <c r="CH55" s="11">
        <v>-0.54422074556350708</v>
      </c>
      <c r="CI55" s="11">
        <v>-0.26066818833351135</v>
      </c>
      <c r="CJ55" s="11">
        <v>-9.6083000302314758E-2</v>
      </c>
      <c r="CK55" s="11">
        <v>-0.18859678506851196</v>
      </c>
      <c r="CL55" s="11">
        <v>-9.3076147139072418E-2</v>
      </c>
      <c r="CM55" s="12">
        <v>-0.6431620717048645</v>
      </c>
      <c r="CN55" s="12">
        <v>-0.90645164251327515</v>
      </c>
      <c r="CO55" s="12">
        <v>0.14743989706039429</v>
      </c>
      <c r="CP55" s="12">
        <v>-0.1975247859954834</v>
      </c>
      <c r="CQ55" s="12">
        <v>2.4814214557409286E-3</v>
      </c>
      <c r="CR55">
        <v>15.820521841736147</v>
      </c>
      <c r="CS55">
        <v>0.66886189976039323</v>
      </c>
      <c r="CT55">
        <v>2.9605263157894739</v>
      </c>
      <c r="CU55" s="11">
        <v>-0.2365289732813835</v>
      </c>
      <c r="CV55" s="12">
        <v>-0.31944343633949757</v>
      </c>
      <c r="CW55">
        <v>0.06</v>
      </c>
      <c r="CX55" t="s">
        <v>1453</v>
      </c>
      <c r="CY55" t="s">
        <v>2559</v>
      </c>
      <c r="CZ55">
        <v>-0.2365289732813835</v>
      </c>
      <c r="DA55" t="s">
        <v>1453</v>
      </c>
      <c r="DB55" t="s">
        <v>2560</v>
      </c>
      <c r="DC55">
        <v>-0.22470252461731433</v>
      </c>
      <c r="DD55" t="s">
        <v>1453</v>
      </c>
      <c r="DE55" t="s">
        <v>2561</v>
      </c>
      <c r="DF55">
        <v>-0.20814549648761749</v>
      </c>
      <c r="DG55" t="s">
        <v>1453</v>
      </c>
      <c r="DH55" t="s">
        <v>2562</v>
      </c>
      <c r="DI55">
        <v>-0.18922317862510682</v>
      </c>
      <c r="DJ55" t="s">
        <v>1453</v>
      </c>
      <c r="DK55" t="s">
        <v>2563</v>
      </c>
      <c r="DL55">
        <v>-0.16557028129696844</v>
      </c>
      <c r="DM55">
        <v>62089799.999999993</v>
      </c>
      <c r="DN55">
        <v>-0.2365289732813835</v>
      </c>
      <c r="DO55">
        <v>-4579649000</v>
      </c>
      <c r="DP55">
        <v>17614654000</v>
      </c>
      <c r="DQ55">
        <v>3337</v>
      </c>
      <c r="DR55">
        <v>2.4982876644879277</v>
      </c>
      <c r="DS55">
        <v>28.531512885914672</v>
      </c>
      <c r="DT55" s="13">
        <v>-0.87333333333333341</v>
      </c>
      <c r="DU55">
        <v>-0.97000000000000008</v>
      </c>
      <c r="DV55">
        <v>-1.8433333333333335</v>
      </c>
      <c r="DW55">
        <v>-2.0703</v>
      </c>
      <c r="DX55">
        <v>0.3974956719817766</v>
      </c>
      <c r="DY55">
        <v>-2.0089629457403189</v>
      </c>
      <c r="DZ55">
        <v>4936</v>
      </c>
      <c r="EA55">
        <v>-2.000305196195463</v>
      </c>
      <c r="EB55">
        <v>2</v>
      </c>
      <c r="EC55">
        <v>1.6648503325411425E-2</v>
      </c>
      <c r="ED55">
        <v>0.13058092927100323</v>
      </c>
      <c r="EE55" s="14">
        <v>-2.0273099999999999</v>
      </c>
      <c r="EF55">
        <v>-2.0416099999999999</v>
      </c>
      <c r="EG55">
        <v>27.127495671981777</v>
      </c>
      <c r="EH55" t="s">
        <v>1240</v>
      </c>
      <c r="EI55">
        <v>0</v>
      </c>
      <c r="EJ55">
        <v>0</v>
      </c>
      <c r="EK55" s="10">
        <v>45470</v>
      </c>
      <c r="EL55" s="15">
        <v>-1.68</v>
      </c>
      <c r="EM55" s="15">
        <v>-4.22</v>
      </c>
      <c r="EN55" s="15">
        <v>1.38</v>
      </c>
      <c r="EO55" s="15">
        <v>4.21</v>
      </c>
      <c r="EP55" s="15">
        <v>-1.43</v>
      </c>
    </row>
    <row r="56" spans="1:146" ht="108" x14ac:dyDescent="0.25">
      <c r="A56" s="7"/>
      <c r="B56" s="7"/>
      <c r="C56" s="7" t="str">
        <f>""&amp;CHAR(10)&amp;Basic_Fundamental_Information_Constructure(F56)&amp;CHAR(10)&amp;Basic_Fundamental_Information_Concatenate("")</f>
        <v xml:space="preserve">
市值81.877112亿, 利润1.51亿; PE; 平均PE6717.94; 平均PEG355.98, PB2.07; ROIC-.42%; ROE-4.1567%; 股利率.0194%; 毛利8.6%; 净利-4.3433%; 上一年度营收增-72.51%, 利润增175.5%; 当季营收增311.29%, 利润增-93.39%; 过往5年营收增-18.87%, 利润增-698.07%
Income profile:
</v>
      </c>
      <c r="D56" t="s">
        <v>731</v>
      </c>
      <c r="E56" t="s">
        <v>979</v>
      </c>
      <c r="F56">
        <v>10.29</v>
      </c>
      <c r="G56">
        <v>2.39</v>
      </c>
      <c r="H56" t="s">
        <v>2564</v>
      </c>
      <c r="I56">
        <v>8187711200</v>
      </c>
      <c r="K56">
        <v>2.0699999999999998</v>
      </c>
      <c r="L56" t="s">
        <v>1467</v>
      </c>
      <c r="M56" t="s">
        <v>2565</v>
      </c>
      <c r="N56" t="s">
        <v>228</v>
      </c>
      <c r="O56" t="s">
        <v>1278</v>
      </c>
      <c r="P56">
        <v>6.3</v>
      </c>
      <c r="Q56" t="s">
        <v>608</v>
      </c>
      <c r="R56">
        <v>5310649</v>
      </c>
      <c r="S56" s="5">
        <v>-0.78249999999999997</v>
      </c>
      <c r="T56" t="s">
        <v>338</v>
      </c>
      <c r="U56">
        <v>795695940</v>
      </c>
      <c r="V56">
        <v>795695940</v>
      </c>
      <c r="W56">
        <v>1.2</v>
      </c>
      <c r="X56">
        <v>0.09</v>
      </c>
      <c r="Y56">
        <v>1.1100000000000001</v>
      </c>
      <c r="Z56" t="s">
        <v>1403</v>
      </c>
      <c r="AA56" t="s">
        <v>1457</v>
      </c>
      <c r="AB56" t="s">
        <v>2566</v>
      </c>
      <c r="AC56" t="s">
        <v>2567</v>
      </c>
      <c r="AD56" t="s">
        <v>5</v>
      </c>
      <c r="AE56">
        <v>-20571680</v>
      </c>
      <c r="AF56" t="s">
        <v>2568</v>
      </c>
      <c r="AG56" t="s">
        <v>2569</v>
      </c>
      <c r="AH56" t="s">
        <v>2570</v>
      </c>
      <c r="AI56" t="s">
        <v>2571</v>
      </c>
      <c r="AJ56" t="s">
        <v>2572</v>
      </c>
      <c r="AK56" t="s">
        <v>5</v>
      </c>
      <c r="AL56" t="s">
        <v>2573</v>
      </c>
      <c r="AM56" t="s">
        <v>5</v>
      </c>
      <c r="AN56" t="s">
        <v>2574</v>
      </c>
      <c r="AO56" t="s">
        <v>5</v>
      </c>
      <c r="AP56" t="s">
        <v>5</v>
      </c>
      <c r="AQ56" t="s">
        <v>578</v>
      </c>
      <c r="AR56" t="s">
        <v>2575</v>
      </c>
      <c r="AS56" t="s">
        <v>1276</v>
      </c>
      <c r="AT56" t="s">
        <v>5</v>
      </c>
      <c r="AU56" t="s">
        <v>89</v>
      </c>
      <c r="AV56" t="s">
        <v>251</v>
      </c>
      <c r="AW56" t="s">
        <v>2576</v>
      </c>
      <c r="AX56" t="s">
        <v>1102</v>
      </c>
      <c r="AY56" t="s">
        <v>732</v>
      </c>
      <c r="AZ56" t="s">
        <v>734</v>
      </c>
      <c r="BA56" t="s">
        <v>735</v>
      </c>
      <c r="BB56" t="s">
        <v>736</v>
      </c>
      <c r="BC56" t="s">
        <v>1003</v>
      </c>
      <c r="BD56" t="s">
        <v>733</v>
      </c>
      <c r="BE56" t="s">
        <v>737</v>
      </c>
      <c r="BF56" t="s">
        <v>154</v>
      </c>
      <c r="BG56" t="s">
        <v>579</v>
      </c>
      <c r="BH56" t="s">
        <v>2577</v>
      </c>
      <c r="BI56" t="s">
        <v>253</v>
      </c>
      <c r="BJ56" t="s">
        <v>1102</v>
      </c>
      <c r="BK56" t="s">
        <v>2578</v>
      </c>
      <c r="BL56" t="s">
        <v>2579</v>
      </c>
      <c r="BM56" t="s">
        <v>1003</v>
      </c>
      <c r="BN56">
        <v>-0.42</v>
      </c>
      <c r="BO56" t="s">
        <v>5</v>
      </c>
      <c r="BP56" t="s">
        <v>5</v>
      </c>
      <c r="BQ56">
        <v>0.72</v>
      </c>
      <c r="BR56">
        <v>-4.93</v>
      </c>
      <c r="BS56">
        <v>-8.26</v>
      </c>
      <c r="BT56" t="s">
        <v>2580</v>
      </c>
      <c r="BU56" t="s">
        <v>107</v>
      </c>
      <c r="BV56">
        <v>13.94</v>
      </c>
      <c r="BW56">
        <v>7.55</v>
      </c>
      <c r="BX56">
        <v>4.3099999999999996</v>
      </c>
      <c r="BY56">
        <v>0.54</v>
      </c>
      <c r="BZ56">
        <v>-5.88</v>
      </c>
      <c r="CA56">
        <v>-7.69</v>
      </c>
      <c r="CB56">
        <v>-0.57999999999999996</v>
      </c>
      <c r="CC56">
        <v>-11.98</v>
      </c>
      <c r="CD56" t="s">
        <v>2581</v>
      </c>
      <c r="CE56" t="s">
        <v>199</v>
      </c>
      <c r="CF56" s="11">
        <v>3.1129032258064511</v>
      </c>
      <c r="CG56" s="12">
        <v>-0.93388317302065926</v>
      </c>
      <c r="CH56" s="11">
        <v>-0.72514957189559937</v>
      </c>
      <c r="CI56" s="11">
        <v>-0.23855991661548615</v>
      </c>
      <c r="CJ56" s="11">
        <v>3.6412648856639862E-2</v>
      </c>
      <c r="CK56" s="11">
        <v>6.4863584935665131E-2</v>
      </c>
      <c r="CL56" s="11">
        <v>-8.1152394413948059E-2</v>
      </c>
      <c r="CM56" s="12">
        <v>1.7549999952316284</v>
      </c>
      <c r="CN56" s="12">
        <v>0.44134077429771423</v>
      </c>
      <c r="CO56" s="12">
        <v>-35.7144775390625</v>
      </c>
      <c r="CP56" s="12">
        <v>-0.92737531661987305</v>
      </c>
      <c r="CQ56" s="12">
        <v>-0.45801526308059692</v>
      </c>
      <c r="CR56">
        <v>6717.9382717737635</v>
      </c>
      <c r="CS56">
        <v>355.97925201323147</v>
      </c>
      <c r="CT56">
        <v>1.9436345966958216E-2</v>
      </c>
      <c r="CU56" s="11">
        <v>-0.1887171298265457</v>
      </c>
      <c r="CV56" s="12">
        <v>-6.9807054698467255</v>
      </c>
      <c r="CW56">
        <v>0.06</v>
      </c>
      <c r="CX56">
        <v>31.269610596026489</v>
      </c>
      <c r="CY56" t="s">
        <v>2582</v>
      </c>
      <c r="CZ56">
        <v>-0.1887171298265457</v>
      </c>
      <c r="DA56">
        <v>10.423203532008831</v>
      </c>
      <c r="DB56" t="s">
        <v>2583</v>
      </c>
      <c r="DC56">
        <v>-0.1792812733352184</v>
      </c>
      <c r="DD56">
        <v>5.2116017660044154</v>
      </c>
      <c r="DE56" t="s">
        <v>2584</v>
      </c>
      <c r="DF56">
        <v>-0.16607107424736023</v>
      </c>
      <c r="DG56">
        <v>3.1269610596026491</v>
      </c>
      <c r="DH56" t="s">
        <v>2585</v>
      </c>
      <c r="DI56">
        <v>-0.15097370386123657</v>
      </c>
      <c r="DJ56">
        <v>1.5634805298013246</v>
      </c>
      <c r="DK56" t="s">
        <v>2586</v>
      </c>
      <c r="DL56">
        <v>-0.13210199087858199</v>
      </c>
      <c r="DM56">
        <v>151000000</v>
      </c>
      <c r="DN56">
        <v>-0.1887171298265457</v>
      </c>
      <c r="DO56">
        <v>4721711200</v>
      </c>
      <c r="DP56">
        <v>1683251800</v>
      </c>
      <c r="DQ56">
        <v>3340</v>
      </c>
      <c r="DR56">
        <v>3.3016203556329966</v>
      </c>
      <c r="DS56">
        <v>6.0468222968260665</v>
      </c>
      <c r="DT56" s="13">
        <v>-0.92333333333333334</v>
      </c>
      <c r="DU56">
        <v>-1.39</v>
      </c>
      <c r="DV56">
        <v>-2.3133333333333335</v>
      </c>
      <c r="DW56">
        <v>-2.1198000000000001</v>
      </c>
      <c r="DX56">
        <v>0.38103186813186851</v>
      </c>
      <c r="DY56">
        <v>-2.0168956178021977</v>
      </c>
      <c r="DZ56">
        <v>2569</v>
      </c>
      <c r="EA56">
        <v>-2.0084015195372573</v>
      </c>
      <c r="EB56">
        <v>2</v>
      </c>
      <c r="EC56">
        <v>3.2258302084587742E-2</v>
      </c>
      <c r="ED56">
        <v>0.22873058771670998</v>
      </c>
      <c r="EE56" s="14">
        <v>1.0261</v>
      </c>
      <c r="EF56">
        <v>1.0155000000000001</v>
      </c>
      <c r="EG56">
        <v>24.141031868131869</v>
      </c>
      <c r="EH56" t="s">
        <v>83</v>
      </c>
      <c r="EI56">
        <v>0</v>
      </c>
      <c r="EJ56">
        <v>0</v>
      </c>
      <c r="EK56" s="10">
        <v>45470</v>
      </c>
      <c r="EL56" s="15">
        <v>-0.67</v>
      </c>
      <c r="EM56" s="15">
        <v>-2.13</v>
      </c>
      <c r="EN56" s="15">
        <v>1.28</v>
      </c>
      <c r="EO56" s="15">
        <v>1.07</v>
      </c>
      <c r="EP56" s="15">
        <v>-1.06</v>
      </c>
    </row>
    <row r="57" spans="1:146" ht="108" x14ac:dyDescent="0.25">
      <c r="A57" s="7"/>
      <c r="B57" s="7"/>
      <c r="C57" s="7" t="str">
        <f>""&amp;CHAR(10)&amp;Basic_Fundamental_Information_Constructure(F57)&amp;CHAR(10)&amp;Basic_Fundamental_Information_Concatenate("")</f>
        <v xml:space="preserve">
市值102.310718亿, 利润2387.73万; PE11.47; 平均PE16.23; 平均PEG1.47, PB1.1; ROIC8.2733%; ROE9.0267%; 股利率4.745%; 毛利35.3367%; 净利12.76%; 上一年度营收增-11.1%, 利润增-96.72%; 当季营收增-2.68%, 利润增-8.71%; 过往5年营收增-11.06%, 利润增-19.13%
Income profile:
</v>
      </c>
      <c r="D57" t="s">
        <v>742</v>
      </c>
      <c r="E57" t="s">
        <v>743</v>
      </c>
      <c r="F57">
        <v>8.43</v>
      </c>
      <c r="G57">
        <v>2.68</v>
      </c>
      <c r="H57" t="s">
        <v>2587</v>
      </c>
      <c r="I57">
        <v>10231071800</v>
      </c>
      <c r="J57">
        <v>11.47</v>
      </c>
      <c r="K57">
        <v>1.1000000000000001</v>
      </c>
      <c r="L57" t="s">
        <v>1467</v>
      </c>
      <c r="M57" t="s">
        <v>2588</v>
      </c>
      <c r="N57" t="s">
        <v>2589</v>
      </c>
      <c r="O57" t="s">
        <v>629</v>
      </c>
      <c r="P57">
        <v>-4.99</v>
      </c>
      <c r="Q57" t="s">
        <v>922</v>
      </c>
      <c r="R57">
        <v>262005860</v>
      </c>
      <c r="S57" s="5">
        <v>-0.32090000000000002</v>
      </c>
      <c r="T57" t="s">
        <v>2590</v>
      </c>
      <c r="U57">
        <v>1213497100</v>
      </c>
      <c r="V57">
        <v>1213650270</v>
      </c>
      <c r="W57">
        <v>1.45</v>
      </c>
      <c r="X57">
        <v>0.14000000000000001</v>
      </c>
      <c r="Y57">
        <v>13.54</v>
      </c>
      <c r="Z57" t="s">
        <v>1356</v>
      </c>
      <c r="AA57" t="s">
        <v>1360</v>
      </c>
      <c r="AB57" t="s">
        <v>458</v>
      </c>
      <c r="AC57" t="s">
        <v>660</v>
      </c>
      <c r="AD57" t="s">
        <v>5</v>
      </c>
      <c r="AE57">
        <v>-33345850</v>
      </c>
      <c r="AF57" t="s">
        <v>2591</v>
      </c>
      <c r="AG57" t="s">
        <v>2592</v>
      </c>
      <c r="AH57" t="s">
        <v>2593</v>
      </c>
      <c r="AI57" t="s">
        <v>1419</v>
      </c>
      <c r="AJ57" t="s">
        <v>2594</v>
      </c>
      <c r="AK57" t="s">
        <v>2595</v>
      </c>
      <c r="AL57" t="s">
        <v>2596</v>
      </c>
      <c r="AM57" t="s">
        <v>5</v>
      </c>
      <c r="AN57" t="s">
        <v>2597</v>
      </c>
      <c r="AO57" t="s">
        <v>5</v>
      </c>
      <c r="AP57" t="s">
        <v>184</v>
      </c>
      <c r="AQ57" t="s">
        <v>2598</v>
      </c>
      <c r="AR57" t="s">
        <v>2599</v>
      </c>
      <c r="AS57" t="s">
        <v>2600</v>
      </c>
      <c r="AT57" t="s">
        <v>5</v>
      </c>
      <c r="AU57" t="s">
        <v>259</v>
      </c>
      <c r="AV57" t="s">
        <v>2601</v>
      </c>
      <c r="AW57" t="s">
        <v>2602</v>
      </c>
      <c r="AX57" t="s">
        <v>387</v>
      </c>
      <c r="AY57" t="s">
        <v>744</v>
      </c>
      <c r="AZ57" t="s">
        <v>746</v>
      </c>
      <c r="BA57" t="s">
        <v>747</v>
      </c>
      <c r="BB57" t="s">
        <v>748</v>
      </c>
      <c r="BC57" t="s">
        <v>1103</v>
      </c>
      <c r="BD57" t="s">
        <v>745</v>
      </c>
      <c r="BE57" t="s">
        <v>749</v>
      </c>
      <c r="BF57" t="s">
        <v>750</v>
      </c>
      <c r="BG57" t="s">
        <v>428</v>
      </c>
      <c r="BH57" t="s">
        <v>2603</v>
      </c>
      <c r="BI57" t="s">
        <v>2604</v>
      </c>
      <c r="BJ57" t="s">
        <v>387</v>
      </c>
      <c r="BK57" t="s">
        <v>1347</v>
      </c>
      <c r="BL57" t="s">
        <v>135</v>
      </c>
      <c r="BM57" t="s">
        <v>1103</v>
      </c>
      <c r="BN57">
        <v>8.8699999999999992</v>
      </c>
      <c r="BO57">
        <v>7.97</v>
      </c>
      <c r="BP57">
        <v>7.98</v>
      </c>
      <c r="BQ57">
        <v>9.6300000000000008</v>
      </c>
      <c r="BR57">
        <v>8.75</v>
      </c>
      <c r="BS57">
        <v>8.6999999999999993</v>
      </c>
      <c r="BT57" t="s">
        <v>2605</v>
      </c>
      <c r="BU57" t="s">
        <v>82</v>
      </c>
      <c r="BV57">
        <v>35.51</v>
      </c>
      <c r="BW57">
        <v>35.54</v>
      </c>
      <c r="BX57">
        <v>34.96</v>
      </c>
      <c r="BY57">
        <v>15.03</v>
      </c>
      <c r="BZ57">
        <v>11.63</v>
      </c>
      <c r="CA57">
        <v>11.62</v>
      </c>
      <c r="CB57">
        <v>4.59</v>
      </c>
      <c r="CC57">
        <v>14.85</v>
      </c>
      <c r="CD57" t="s">
        <v>2606</v>
      </c>
      <c r="CE57" t="s">
        <v>2607</v>
      </c>
      <c r="CF57" s="11">
        <v>-2.6835443037974683E-2</v>
      </c>
      <c r="CG57" s="12">
        <v>-8.7087595818815325E-2</v>
      </c>
      <c r="CH57" s="11">
        <v>-0.11104048043489456</v>
      </c>
      <c r="CI57" s="11">
        <v>4.5160219073295593E-2</v>
      </c>
      <c r="CJ57" s="11">
        <v>-9.7677864134311676E-2</v>
      </c>
      <c r="CK57" s="11">
        <v>-0.12995310127735138</v>
      </c>
      <c r="CL57" s="11">
        <v>-0.2596738338470459</v>
      </c>
      <c r="CM57" s="12">
        <v>-0.96724647283554077</v>
      </c>
      <c r="CN57" s="12">
        <v>4.5911047607660294E-2</v>
      </c>
      <c r="CO57" s="12">
        <v>-0.14687882363796234</v>
      </c>
      <c r="CP57" s="12">
        <v>4.4757034629583359E-2</v>
      </c>
      <c r="CQ57" s="12">
        <v>6.6848568618297577E-2</v>
      </c>
      <c r="CR57">
        <v>16.231735175543637</v>
      </c>
      <c r="CS57">
        <v>1.4671161904971151</v>
      </c>
      <c r="CT57">
        <v>4.7449584816132857</v>
      </c>
      <c r="CU57" s="11">
        <v>-0.11063701212406159</v>
      </c>
      <c r="CV57" s="12">
        <v>-0.19132172912359238</v>
      </c>
      <c r="CW57">
        <v>0.06</v>
      </c>
      <c r="CX57">
        <v>208.77870613511578</v>
      </c>
      <c r="CY57" t="s">
        <v>2608</v>
      </c>
      <c r="CZ57">
        <v>-0.11063701212406159</v>
      </c>
      <c r="DA57">
        <v>69.592902045038599</v>
      </c>
      <c r="DB57" t="s">
        <v>2609</v>
      </c>
      <c r="DC57">
        <v>-0.10510516151785851</v>
      </c>
      <c r="DD57">
        <v>34.7964510225193</v>
      </c>
      <c r="DE57" t="s">
        <v>2610</v>
      </c>
      <c r="DF57">
        <v>-9.7360570669174196E-2</v>
      </c>
      <c r="DG57">
        <v>20.877870613511579</v>
      </c>
      <c r="DH57" t="s">
        <v>2611</v>
      </c>
      <c r="DI57">
        <v>-8.8509609699249273E-2</v>
      </c>
      <c r="DJ57">
        <v>10.43893530675579</v>
      </c>
      <c r="DK57" t="s">
        <v>2612</v>
      </c>
      <c r="DL57">
        <v>-7.7445908486843101E-2</v>
      </c>
      <c r="DM57">
        <v>23877300</v>
      </c>
      <c r="DN57">
        <v>-0.11063701212406159</v>
      </c>
      <c r="DO57">
        <v>4985071800</v>
      </c>
      <c r="DP57">
        <v>2676366600.0000005</v>
      </c>
      <c r="DQ57">
        <v>3439</v>
      </c>
      <c r="DR57">
        <v>8.3801569086086908E-2</v>
      </c>
      <c r="DS57">
        <v>0.10423413330477706</v>
      </c>
      <c r="DT57" s="13">
        <v>-0.54</v>
      </c>
      <c r="DU57">
        <v>-0.55333333333333334</v>
      </c>
      <c r="DV57">
        <v>-1.0933333333333333</v>
      </c>
      <c r="DW57">
        <v>8.3090909090909086</v>
      </c>
      <c r="DX57">
        <v>0.50220449826989866</v>
      </c>
      <c r="DY57">
        <v>8.0315904812834233</v>
      </c>
      <c r="DZ57">
        <v>3763</v>
      </c>
      <c r="EA57">
        <v>8.0083272755946719</v>
      </c>
      <c r="EB57">
        <v>8</v>
      </c>
      <c r="EC57">
        <v>4.8674813049726429E-2</v>
      </c>
      <c r="ED57">
        <v>0.47624922458098246</v>
      </c>
      <c r="EE57" s="14">
        <v>-6.0568099999999996</v>
      </c>
      <c r="EF57">
        <v>-6.0675100000000004</v>
      </c>
      <c r="EG57">
        <v>40.102204498269899</v>
      </c>
      <c r="EH57" t="s">
        <v>1459</v>
      </c>
      <c r="EI57">
        <v>0</v>
      </c>
      <c r="EJ57">
        <v>0</v>
      </c>
      <c r="EK57" s="10">
        <v>45470</v>
      </c>
      <c r="EL57" s="15">
        <v>-0.97</v>
      </c>
      <c r="EM57" s="15">
        <v>-2.75</v>
      </c>
      <c r="EN57" s="15">
        <v>-1.41</v>
      </c>
      <c r="EO57" s="15">
        <v>5.74</v>
      </c>
      <c r="EP57" s="15">
        <v>-1.07</v>
      </c>
    </row>
    <row r="58" spans="1:146" ht="108" x14ac:dyDescent="0.25">
      <c r="A58" s="7"/>
      <c r="B58" s="7"/>
      <c r="C58" s="7" t="str">
        <f>""&amp;CHAR(10)&amp;Basic_Fundamental_Information_Constructure(F58)&amp;CHAR(10)&amp;Basic_Fundamental_Information_Concatenate("")</f>
        <v xml:space="preserve">
市值39.392272亿, 利润2.75亿; PE117.2; 平均PE301.39; 平均PEG481.2, PB1.59; ROIC.1667%; ROE.9233%; 股利率.3448%; 毛利31.35%; 净利2.0167%; 上一年度营收增12.95%, 利润增3032.05%; 当季营收增202.97%, 利润增117.53%; 过往5年营收增.63%, 利润增304.12%
Income profile:
</v>
      </c>
      <c r="D58" t="s">
        <v>752</v>
      </c>
      <c r="E58" t="s">
        <v>753</v>
      </c>
      <c r="F58">
        <v>3.77</v>
      </c>
      <c r="G58">
        <v>1.62</v>
      </c>
      <c r="H58" t="s">
        <v>2613</v>
      </c>
      <c r="I58">
        <v>3939227200</v>
      </c>
      <c r="J58">
        <v>117.2</v>
      </c>
      <c r="K58">
        <v>1.59</v>
      </c>
      <c r="L58" t="s">
        <v>1467</v>
      </c>
      <c r="M58" t="s">
        <v>2614</v>
      </c>
      <c r="N58" t="s">
        <v>2615</v>
      </c>
      <c r="O58" t="s">
        <v>267</v>
      </c>
      <c r="P58">
        <v>-1.77</v>
      </c>
      <c r="Q58" t="s">
        <v>1991</v>
      </c>
      <c r="R58">
        <v>1562739</v>
      </c>
      <c r="S58" s="5">
        <v>-0.62150000000000005</v>
      </c>
      <c r="T58" t="s">
        <v>602</v>
      </c>
      <c r="U58">
        <v>1044887850</v>
      </c>
      <c r="V58">
        <v>1044887850</v>
      </c>
      <c r="W58">
        <v>1.68</v>
      </c>
      <c r="X58">
        <v>0.04</v>
      </c>
      <c r="Y58">
        <v>0.98</v>
      </c>
      <c r="Z58" t="s">
        <v>720</v>
      </c>
      <c r="AA58" t="s">
        <v>465</v>
      </c>
      <c r="AB58" t="s">
        <v>2616</v>
      </c>
      <c r="AC58" t="s">
        <v>2617</v>
      </c>
      <c r="AD58" t="s">
        <v>5</v>
      </c>
      <c r="AE58">
        <v>1103911</v>
      </c>
      <c r="AF58" t="s">
        <v>2618</v>
      </c>
      <c r="AG58" t="s">
        <v>2619</v>
      </c>
      <c r="AH58" t="s">
        <v>2620</v>
      </c>
      <c r="AI58" t="s">
        <v>2621</v>
      </c>
      <c r="AJ58" t="s">
        <v>2622</v>
      </c>
      <c r="AK58" t="s">
        <v>5</v>
      </c>
      <c r="AL58" t="s">
        <v>2623</v>
      </c>
      <c r="AM58" t="s">
        <v>5</v>
      </c>
      <c r="AN58" t="s">
        <v>2624</v>
      </c>
      <c r="AO58" t="s">
        <v>5</v>
      </c>
      <c r="AP58" t="s">
        <v>5</v>
      </c>
      <c r="AQ58" t="s">
        <v>1297</v>
      </c>
      <c r="AR58" t="s">
        <v>2625</v>
      </c>
      <c r="AS58" t="s">
        <v>803</v>
      </c>
      <c r="AT58" t="s">
        <v>5</v>
      </c>
      <c r="AU58" t="s">
        <v>2626</v>
      </c>
      <c r="AV58" t="s">
        <v>2627</v>
      </c>
      <c r="AW58" t="s">
        <v>2628</v>
      </c>
      <c r="AX58" t="s">
        <v>1104</v>
      </c>
      <c r="AY58" t="s">
        <v>754</v>
      </c>
      <c r="AZ58" t="s">
        <v>756</v>
      </c>
      <c r="BA58" t="s">
        <v>757</v>
      </c>
      <c r="BB58" t="s">
        <v>758</v>
      </c>
      <c r="BC58" t="s">
        <v>1105</v>
      </c>
      <c r="BD58" t="s">
        <v>755</v>
      </c>
      <c r="BE58" t="s">
        <v>759</v>
      </c>
      <c r="BF58" t="s">
        <v>760</v>
      </c>
      <c r="BG58" t="s">
        <v>761</v>
      </c>
      <c r="BH58" t="s">
        <v>2629</v>
      </c>
      <c r="BI58" t="s">
        <v>2630</v>
      </c>
      <c r="BJ58" t="s">
        <v>1104</v>
      </c>
      <c r="BK58" t="s">
        <v>2631</v>
      </c>
      <c r="BL58" t="s">
        <v>2632</v>
      </c>
      <c r="BM58" t="s">
        <v>1105</v>
      </c>
      <c r="BN58">
        <v>0.26</v>
      </c>
      <c r="BO58">
        <v>-0.11</v>
      </c>
      <c r="BP58">
        <v>0.35</v>
      </c>
      <c r="BQ58">
        <v>1.1299999999999999</v>
      </c>
      <c r="BR58">
        <v>0.35</v>
      </c>
      <c r="BS58">
        <v>1.29</v>
      </c>
      <c r="BT58" t="s">
        <v>2633</v>
      </c>
      <c r="BU58" t="s">
        <v>82</v>
      </c>
      <c r="BV58">
        <v>30.98</v>
      </c>
      <c r="BW58">
        <v>30.57</v>
      </c>
      <c r="BX58">
        <v>32.5</v>
      </c>
      <c r="BY58">
        <v>2.77</v>
      </c>
      <c r="BZ58">
        <v>0.7</v>
      </c>
      <c r="CA58">
        <v>2.58</v>
      </c>
      <c r="CB58">
        <v>-0.53</v>
      </c>
      <c r="CC58">
        <v>-11.02</v>
      </c>
      <c r="CD58" t="s">
        <v>2634</v>
      </c>
      <c r="CE58" t="s">
        <v>256</v>
      </c>
      <c r="CF58" s="11">
        <v>2.0296890944203536</v>
      </c>
      <c r="CG58" s="12">
        <v>1.1753109119260496</v>
      </c>
      <c r="CH58" s="11">
        <v>0.12946777045726776</v>
      </c>
      <c r="CI58" s="11">
        <v>-1.9470354542136192E-2</v>
      </c>
      <c r="CJ58" s="11">
        <v>-6.9605074822902679E-3</v>
      </c>
      <c r="CK58" s="11">
        <v>-4.0089178830385208E-2</v>
      </c>
      <c r="CL58" s="11">
        <v>-3.1631916761398315E-2</v>
      </c>
      <c r="CM58" s="12">
        <v>30.320472717285156</v>
      </c>
      <c r="CN58" s="12">
        <v>-0.73719137907028198</v>
      </c>
      <c r="CO58" s="12">
        <v>1.1148078441619873</v>
      </c>
      <c r="CP58" s="12">
        <v>-15.141933441162109</v>
      </c>
      <c r="CQ58" s="12">
        <v>-0.34997376799583435</v>
      </c>
      <c r="CR58">
        <v>301.38612790765882</v>
      </c>
      <c r="CS58">
        <v>481.20438296992751</v>
      </c>
      <c r="CT58">
        <v>0.34482758620689657</v>
      </c>
      <c r="CU58" s="11">
        <v>6.2631625682115551E-3</v>
      </c>
      <c r="CV58" s="12">
        <v>3.0412363946437835</v>
      </c>
      <c r="CW58">
        <v>0.06</v>
      </c>
      <c r="CX58">
        <v>11.707043544903323</v>
      </c>
      <c r="CY58">
        <v>261058839.34552655</v>
      </c>
      <c r="CZ58">
        <v>6.2631625682115551E-3</v>
      </c>
      <c r="DA58">
        <v>4.1095492359649484</v>
      </c>
      <c r="DB58">
        <v>743689155.31009042</v>
      </c>
      <c r="DC58">
        <v>5.9500044398009769E-3</v>
      </c>
      <c r="DD58">
        <v>2.2189889235518412</v>
      </c>
      <c r="DE58">
        <v>1377306199.0359228</v>
      </c>
      <c r="DF58">
        <v>5.5115830600261685E-3</v>
      </c>
      <c r="DG58">
        <v>1.472397687366936</v>
      </c>
      <c r="DH58">
        <v>2075680521.792587</v>
      </c>
      <c r="DI58">
        <v>5.0105300545692441E-3</v>
      </c>
      <c r="DJ58">
        <v>0.93285491945945287</v>
      </c>
      <c r="DK58">
        <v>3276208482.4196939</v>
      </c>
      <c r="DL58">
        <v>4.3842137977480886E-3</v>
      </c>
      <c r="DM58">
        <v>275000000</v>
      </c>
      <c r="DN58">
        <v>6.2631625682115551E-3</v>
      </c>
      <c r="DO58">
        <v>3056227200</v>
      </c>
      <c r="DP58">
        <v>1077570900</v>
      </c>
      <c r="DQ58">
        <v>3496</v>
      </c>
      <c r="DR58">
        <v>2.0234259318521421</v>
      </c>
      <c r="DS58">
        <v>-1.8659254827177338</v>
      </c>
      <c r="DT58" s="13">
        <v>-0.44</v>
      </c>
      <c r="DU58">
        <v>-4.333333333333337E-2</v>
      </c>
      <c r="DV58">
        <v>-0.48333333333333339</v>
      </c>
      <c r="DW58">
        <v>-2.1101999999999999</v>
      </c>
      <c r="DX58">
        <v>0.32907730061349866</v>
      </c>
      <c r="DY58">
        <v>-2.0164283185276073</v>
      </c>
      <c r="DZ58">
        <v>3704</v>
      </c>
      <c r="EA58">
        <v>-2.0045201987964414</v>
      </c>
      <c r="EB58">
        <v>2</v>
      </c>
      <c r="EC58">
        <v>4.6511403113740864E-2</v>
      </c>
      <c r="ED58">
        <v>0.31199520599268143</v>
      </c>
      <c r="EE58" s="14">
        <v>-1.0606</v>
      </c>
      <c r="EF58">
        <v>-1.0435000000000001</v>
      </c>
      <c r="EG58">
        <v>18.149077300613499</v>
      </c>
      <c r="EH58" t="s">
        <v>349</v>
      </c>
      <c r="EI58">
        <v>0</v>
      </c>
      <c r="EJ58">
        <v>0</v>
      </c>
      <c r="EK58" s="10">
        <v>45470</v>
      </c>
      <c r="EL58" s="15">
        <v>0.67</v>
      </c>
      <c r="EM58" s="15">
        <v>-4.3499999999999996</v>
      </c>
      <c r="EN58" s="15">
        <v>1.05</v>
      </c>
      <c r="EO58" s="15">
        <v>1.38</v>
      </c>
      <c r="EP58" s="15">
        <v>-1.71</v>
      </c>
    </row>
    <row r="59" spans="1:146" ht="96" x14ac:dyDescent="0.25">
      <c r="A59" s="7"/>
      <c r="B59" s="7"/>
      <c r="C59" s="7" t="str">
        <f>""&amp;CHAR(10)&amp;Basic_Fundamental_Information_Constructure(F59)&amp;CHAR(10)&amp;Basic_Fundamental_Information_Concatenate("")</f>
        <v xml:space="preserve">
市值19.97761亿, 利润8927.52万; PE; 平均PE52.32; 平均PEG9.09, PB.66; ROIC1.72%; ROE.3933%; 股利率0%; 毛利26.94%; 净利-8.7933%; 上一年度营收增-39.31%, 利润增797.64%; 当季营收增-10.68%, 利润增-414.62%; 过往5年营收增-5.76%, 利润增136.74%
Income profile:
</v>
      </c>
      <c r="D59" t="s">
        <v>762</v>
      </c>
      <c r="E59" t="s">
        <v>763</v>
      </c>
      <c r="F59">
        <v>2.81</v>
      </c>
      <c r="G59">
        <v>2.5499999999999998</v>
      </c>
      <c r="H59" t="s">
        <v>2635</v>
      </c>
      <c r="I59">
        <v>1997761000</v>
      </c>
      <c r="K59">
        <v>0.66</v>
      </c>
      <c r="L59" t="s">
        <v>1467</v>
      </c>
      <c r="M59" t="s">
        <v>2636</v>
      </c>
      <c r="N59" t="s">
        <v>2637</v>
      </c>
      <c r="O59" t="s">
        <v>303</v>
      </c>
      <c r="P59">
        <v>-33.49</v>
      </c>
      <c r="Q59" t="s">
        <v>2638</v>
      </c>
      <c r="R59">
        <v>-93166660</v>
      </c>
      <c r="S59" s="5">
        <v>-14.15</v>
      </c>
      <c r="T59" t="s">
        <v>2639</v>
      </c>
      <c r="U59">
        <v>710946990</v>
      </c>
      <c r="V59">
        <v>710946990</v>
      </c>
      <c r="W59">
        <v>3.84</v>
      </c>
      <c r="X59">
        <v>0.04</v>
      </c>
      <c r="Y59">
        <v>-23.05</v>
      </c>
      <c r="Z59" t="s">
        <v>116</v>
      </c>
      <c r="AA59" t="s">
        <v>1243</v>
      </c>
      <c r="AB59" t="s">
        <v>2640</v>
      </c>
      <c r="AC59" t="s">
        <v>323</v>
      </c>
      <c r="AD59" t="s">
        <v>5</v>
      </c>
      <c r="AE59">
        <v>57001873</v>
      </c>
      <c r="AF59" t="s">
        <v>308</v>
      </c>
      <c r="AG59" t="s">
        <v>2641</v>
      </c>
      <c r="AH59" t="s">
        <v>2642</v>
      </c>
      <c r="AI59" t="s">
        <v>251</v>
      </c>
      <c r="AJ59" t="s">
        <v>2643</v>
      </c>
      <c r="AK59" t="s">
        <v>2644</v>
      </c>
      <c r="AL59" t="s">
        <v>2645</v>
      </c>
      <c r="AM59" t="s">
        <v>5</v>
      </c>
      <c r="AN59" t="s">
        <v>335</v>
      </c>
      <c r="AO59" t="s">
        <v>2646</v>
      </c>
      <c r="AP59" t="s">
        <v>2647</v>
      </c>
      <c r="AQ59" t="s">
        <v>2648</v>
      </c>
      <c r="AR59" t="s">
        <v>5</v>
      </c>
      <c r="AS59" t="s">
        <v>2649</v>
      </c>
      <c r="AT59" t="s">
        <v>1784</v>
      </c>
      <c r="AU59" t="s">
        <v>2650</v>
      </c>
      <c r="AV59" t="s">
        <v>2651</v>
      </c>
      <c r="AW59" t="s">
        <v>2652</v>
      </c>
      <c r="AX59" t="s">
        <v>1106</v>
      </c>
      <c r="AY59" t="s">
        <v>764</v>
      </c>
      <c r="AZ59" t="s">
        <v>419</v>
      </c>
      <c r="BA59" t="s">
        <v>767</v>
      </c>
      <c r="BB59" t="s">
        <v>768</v>
      </c>
      <c r="BC59" t="s">
        <v>2653</v>
      </c>
      <c r="BD59" t="s">
        <v>765</v>
      </c>
      <c r="BE59" t="s">
        <v>769</v>
      </c>
      <c r="BF59" t="s">
        <v>770</v>
      </c>
      <c r="BG59" t="s">
        <v>182</v>
      </c>
      <c r="BH59" t="s">
        <v>1298</v>
      </c>
      <c r="BI59" t="s">
        <v>1390</v>
      </c>
      <c r="BJ59" t="s">
        <v>1106</v>
      </c>
      <c r="BK59" t="s">
        <v>2654</v>
      </c>
      <c r="BL59" t="s">
        <v>2655</v>
      </c>
      <c r="BM59" t="s">
        <v>2653</v>
      </c>
      <c r="BN59" t="s">
        <v>5</v>
      </c>
      <c r="BO59" t="s">
        <v>5</v>
      </c>
      <c r="BP59">
        <v>1.72</v>
      </c>
      <c r="BQ59">
        <v>-1.4</v>
      </c>
      <c r="BR59">
        <v>0.89</v>
      </c>
      <c r="BS59">
        <v>1.69</v>
      </c>
      <c r="BT59" t="s">
        <v>1017</v>
      </c>
      <c r="BU59" t="s">
        <v>1486</v>
      </c>
      <c r="BV59">
        <v>19.850000000000001</v>
      </c>
      <c r="BW59">
        <v>29.94</v>
      </c>
      <c r="BX59">
        <v>31.03</v>
      </c>
      <c r="BY59">
        <v>-27.65</v>
      </c>
      <c r="BZ59">
        <v>-0.2</v>
      </c>
      <c r="CA59">
        <v>1.47</v>
      </c>
      <c r="CB59">
        <v>4.8499999999999996</v>
      </c>
      <c r="CC59">
        <v>-19.48</v>
      </c>
      <c r="CD59" t="s">
        <v>2656</v>
      </c>
      <c r="CE59" t="s">
        <v>1432</v>
      </c>
      <c r="CF59" s="11">
        <v>-0.10675381263616571</v>
      </c>
      <c r="CG59" s="12">
        <v>-4.1461511706047025</v>
      </c>
      <c r="CH59" s="11">
        <v>-0.39313104748725891</v>
      </c>
      <c r="CI59" s="11">
        <v>-1.9966296385973692E-3</v>
      </c>
      <c r="CJ59" s="11">
        <v>8.8768094778060913E-2</v>
      </c>
      <c r="CK59" s="11">
        <v>4.9429606646299362E-2</v>
      </c>
      <c r="CL59" s="11">
        <v>-3.0950533226132393E-2</v>
      </c>
      <c r="CM59" s="12">
        <v>7.9764413833618164</v>
      </c>
      <c r="CN59" s="12">
        <v>-0.844288170337677</v>
      </c>
      <c r="CO59" s="12">
        <v>4.7019075602293015E-2</v>
      </c>
      <c r="CP59" s="12">
        <v>1.6101491451263428</v>
      </c>
      <c r="CQ59" s="12">
        <v>-1.9521933794021606</v>
      </c>
      <c r="CR59">
        <v>52.316924507178726</v>
      </c>
      <c r="CS59">
        <v>9.0865694072277261</v>
      </c>
      <c r="CT59">
        <v>0</v>
      </c>
      <c r="CU59" s="11">
        <v>-5.7576101785525677E-2</v>
      </c>
      <c r="CV59" s="12">
        <v>1.3674256108701228</v>
      </c>
      <c r="CW59">
        <v>0.06</v>
      </c>
      <c r="CX59" t="e">
        <v>#VALUE!</v>
      </c>
      <c r="CY59" t="s">
        <v>187</v>
      </c>
      <c r="CZ59">
        <v>-5.7576101785525677E-2</v>
      </c>
      <c r="DA59">
        <v>27.797047780346613</v>
      </c>
      <c r="DB59" t="s">
        <v>2657</v>
      </c>
      <c r="DC59">
        <v>-5.4697296696249391E-2</v>
      </c>
      <c r="DD59">
        <v>13.898523890173307</v>
      </c>
      <c r="DE59" t="s">
        <v>2658</v>
      </c>
      <c r="DF59">
        <v>-5.0666969571262599E-2</v>
      </c>
      <c r="DG59">
        <v>8.3391143341039839</v>
      </c>
      <c r="DH59" t="s">
        <v>2659</v>
      </c>
      <c r="DI59">
        <v>-4.6060881428420547E-2</v>
      </c>
      <c r="DJ59">
        <v>4.169557167051992</v>
      </c>
      <c r="DK59" t="s">
        <v>2660</v>
      </c>
      <c r="DL59">
        <v>-4.0303271249867968E-2</v>
      </c>
      <c r="DM59">
        <v>89275200</v>
      </c>
      <c r="DN59">
        <v>-5.7576101785525677E-2</v>
      </c>
      <c r="DO59">
        <v>7444761000</v>
      </c>
      <c r="DP59">
        <v>-984716000</v>
      </c>
      <c r="DQ59">
        <v>3502</v>
      </c>
      <c r="DR59">
        <v>-4.917771085064003E-2</v>
      </c>
      <c r="DS59">
        <v>-5.5135767814748249</v>
      </c>
      <c r="DT59" s="13">
        <v>-0.60666666666666669</v>
      </c>
      <c r="DU59">
        <v>-1.2816666666666667</v>
      </c>
      <c r="DV59">
        <v>-1.8883333333333334</v>
      </c>
      <c r="DW59">
        <v>6.1993423756679</v>
      </c>
      <c r="DX59">
        <v>0.52842732732732711</v>
      </c>
      <c r="DY59">
        <v>6.0355681273135033</v>
      </c>
      <c r="DZ59">
        <v>2941</v>
      </c>
      <c r="EA59">
        <v>6.0150973127481384</v>
      </c>
      <c r="EB59">
        <v>6</v>
      </c>
      <c r="EC59">
        <v>8.3573460237872307E-2</v>
      </c>
      <c r="ED59">
        <v>0.46838935206688193</v>
      </c>
      <c r="EE59" s="14">
        <v>5.0710000000000005E-2</v>
      </c>
      <c r="EF59">
        <v>5.2110000000000004E-2</v>
      </c>
      <c r="EG59">
        <v>35.178427327327327</v>
      </c>
      <c r="EH59">
        <v>-1</v>
      </c>
      <c r="EI59">
        <v>0</v>
      </c>
      <c r="EJ59">
        <v>0</v>
      </c>
      <c r="EK59" s="10">
        <v>45470</v>
      </c>
      <c r="EL59" s="15">
        <v>-2.67</v>
      </c>
      <c r="EM59" s="15">
        <v>0.76</v>
      </c>
      <c r="EN59" s="15">
        <v>3.63</v>
      </c>
      <c r="EO59" s="15">
        <v>0.73</v>
      </c>
      <c r="EP59" s="15">
        <v>-0.14000000000000001</v>
      </c>
    </row>
    <row r="60" spans="1:146" ht="108" x14ac:dyDescent="0.25">
      <c r="A60" s="7"/>
      <c r="B60" s="7"/>
      <c r="C60" s="7" t="str">
        <f>""&amp;CHAR(10)&amp;Basic_Fundamental_Information_Constructure(F60)&amp;CHAR(10)&amp;Basic_Fundamental_Information_Concatenate("")</f>
        <v xml:space="preserve">
市值36.428372亿, 利润1238.43亿; PE; 平均PE.18; 平均PEG0, PB2.68; ROIC0%; ROE-20.2733%; 股利率0%; 毛利7.6367%; 净利-43.4467%; 上一年度营收增24683.4%, 利润增12042.43%; 当季营收增-99.72%, 利润增-100.54%; 过往5年营收增4929.71%, 利润增2292.02%
Income profile:
</v>
      </c>
      <c r="D60" t="s">
        <v>771</v>
      </c>
      <c r="E60" t="s">
        <v>772</v>
      </c>
      <c r="F60">
        <v>2.1800000000000002</v>
      </c>
      <c r="G60">
        <v>5.31</v>
      </c>
      <c r="H60" t="s">
        <v>2661</v>
      </c>
      <c r="I60">
        <v>3642837200</v>
      </c>
      <c r="K60">
        <v>2.68</v>
      </c>
      <c r="L60" t="s">
        <v>1467</v>
      </c>
      <c r="M60" t="s">
        <v>2662</v>
      </c>
      <c r="N60" t="s">
        <v>2663</v>
      </c>
      <c r="O60" t="s">
        <v>148</v>
      </c>
      <c r="P60">
        <v>-36.97</v>
      </c>
      <c r="Q60" t="s">
        <v>2664</v>
      </c>
      <c r="R60">
        <v>-174671380</v>
      </c>
      <c r="S60" s="5">
        <v>-0.46689999999999998</v>
      </c>
      <c r="T60" t="s">
        <v>2665</v>
      </c>
      <c r="U60">
        <v>1671026200</v>
      </c>
      <c r="V60">
        <v>1671026200</v>
      </c>
      <c r="W60">
        <v>5.82</v>
      </c>
      <c r="X60">
        <v>0.03</v>
      </c>
      <c r="Y60">
        <v>-62.75</v>
      </c>
      <c r="Z60" t="s">
        <v>669</v>
      </c>
      <c r="AA60" t="s">
        <v>148</v>
      </c>
      <c r="AB60" t="s">
        <v>2666</v>
      </c>
      <c r="AC60" t="s">
        <v>2667</v>
      </c>
      <c r="AD60" t="s">
        <v>5</v>
      </c>
      <c r="AE60">
        <v>44215857</v>
      </c>
      <c r="AF60" t="s">
        <v>2668</v>
      </c>
      <c r="AG60" t="s">
        <v>2669</v>
      </c>
      <c r="AH60" t="s">
        <v>2670</v>
      </c>
      <c r="AI60" t="s">
        <v>324</v>
      </c>
      <c r="AJ60" t="s">
        <v>2671</v>
      </c>
      <c r="AK60" t="s">
        <v>2672</v>
      </c>
      <c r="AL60" t="s">
        <v>2673</v>
      </c>
      <c r="AM60" t="s">
        <v>5</v>
      </c>
      <c r="AN60" t="s">
        <v>2674</v>
      </c>
      <c r="AO60" t="s">
        <v>109</v>
      </c>
      <c r="AP60" t="s">
        <v>2675</v>
      </c>
      <c r="AQ60" t="s">
        <v>2676</v>
      </c>
      <c r="AR60" t="s">
        <v>2677</v>
      </c>
      <c r="AS60" t="s">
        <v>2678</v>
      </c>
      <c r="AT60" t="s">
        <v>764</v>
      </c>
      <c r="AU60" t="s">
        <v>2679</v>
      </c>
      <c r="AV60" t="s">
        <v>2680</v>
      </c>
      <c r="AW60" t="s">
        <v>2681</v>
      </c>
      <c r="AX60" t="s">
        <v>1107</v>
      </c>
      <c r="AY60" t="s">
        <v>410</v>
      </c>
      <c r="AZ60" t="s">
        <v>423</v>
      </c>
      <c r="BA60" t="s">
        <v>774</v>
      </c>
      <c r="BB60" t="s">
        <v>775</v>
      </c>
      <c r="BC60" t="s">
        <v>1108</v>
      </c>
      <c r="BD60" t="s">
        <v>773</v>
      </c>
      <c r="BE60" t="s">
        <v>777</v>
      </c>
      <c r="BF60" t="s">
        <v>128</v>
      </c>
      <c r="BG60" t="s">
        <v>253</v>
      </c>
      <c r="BH60" t="s">
        <v>965</v>
      </c>
      <c r="BI60" t="s">
        <v>2682</v>
      </c>
      <c r="BJ60" t="s">
        <v>1107</v>
      </c>
      <c r="BK60" t="s">
        <v>2683</v>
      </c>
      <c r="BL60" t="s">
        <v>2684</v>
      </c>
      <c r="BM60" t="s">
        <v>1108</v>
      </c>
      <c r="BN60" t="s">
        <v>5</v>
      </c>
      <c r="BO60" t="s">
        <v>5</v>
      </c>
      <c r="BP60" t="s">
        <v>5</v>
      </c>
      <c r="BQ60">
        <v>-19.07</v>
      </c>
      <c r="BR60">
        <v>-37.72</v>
      </c>
      <c r="BS60">
        <v>-4.03</v>
      </c>
      <c r="BT60" t="s">
        <v>1017</v>
      </c>
      <c r="BU60" t="s">
        <v>1486</v>
      </c>
      <c r="BV60">
        <v>8.4700000000000006</v>
      </c>
      <c r="BW60">
        <v>0.57999999999999996</v>
      </c>
      <c r="BX60">
        <v>13.86</v>
      </c>
      <c r="BY60">
        <v>-49.72</v>
      </c>
      <c r="BZ60">
        <v>-61.71</v>
      </c>
      <c r="CA60">
        <v>-18.91</v>
      </c>
      <c r="CB60">
        <v>7.92</v>
      </c>
      <c r="CC60">
        <v>-13.49</v>
      </c>
      <c r="CD60" t="s">
        <v>2685</v>
      </c>
      <c r="CE60" t="s">
        <v>1441</v>
      </c>
      <c r="CF60" s="11">
        <v>-0.99715487509082912</v>
      </c>
      <c r="CG60" s="12">
        <v>-1.0054392731915425</v>
      </c>
      <c r="CH60" s="11">
        <v>246.83404541015625</v>
      </c>
      <c r="CI60" s="11">
        <v>-9.0859927237033844E-2</v>
      </c>
      <c r="CJ60" s="11">
        <v>-0.14635279774665833</v>
      </c>
      <c r="CK60" s="11">
        <v>-2.8699550777673721E-2</v>
      </c>
      <c r="CL60" s="11">
        <v>-8.2681998610496521E-2</v>
      </c>
      <c r="CM60" s="12">
        <v>120.42430114746094</v>
      </c>
      <c r="CN60" s="12">
        <v>-1.9628571271896362</v>
      </c>
      <c r="CO60" s="12">
        <v>-1.4475524425506592</v>
      </c>
      <c r="CP60" s="12">
        <v>-2.2999999523162842</v>
      </c>
      <c r="CQ60" s="12">
        <v>-0.11290322244167328</v>
      </c>
      <c r="CR60">
        <v>0.1783562486229773</v>
      </c>
      <c r="CS60">
        <v>3.61798734572622E-5</v>
      </c>
      <c r="CT60">
        <v>0</v>
      </c>
      <c r="CU60" s="11">
        <v>49.297090227156879</v>
      </c>
      <c r="CV60" s="12">
        <v>22.920197680592537</v>
      </c>
      <c r="CW60">
        <v>0.06</v>
      </c>
      <c r="CX60">
        <v>1.5065169351304883E-3</v>
      </c>
      <c r="CY60">
        <v>5876360891511.1221</v>
      </c>
      <c r="CZ60">
        <v>49.297090227156879</v>
      </c>
      <c r="DA60">
        <v>7.60744363878965E-7</v>
      </c>
      <c r="DB60">
        <v>1.1637072346957924E+16</v>
      </c>
      <c r="DC60">
        <v>46.83223571579903</v>
      </c>
      <c r="DD60">
        <v>1.2952076475740957E-11</v>
      </c>
      <c r="DE60">
        <v>6.8350717482105897E+20</v>
      </c>
      <c r="DF60">
        <v>43.381439399898056</v>
      </c>
      <c r="DG60">
        <v>1.0662820204904449E-17</v>
      </c>
      <c r="DH60">
        <v>8.3025288149640437E+26</v>
      </c>
      <c r="DI60">
        <v>39.437672181725503</v>
      </c>
      <c r="DJ60">
        <v>2.1910429675195906E-32</v>
      </c>
      <c r="DK60">
        <v>4.0404671798937896E+41</v>
      </c>
      <c r="DL60">
        <v>34.507963159009812</v>
      </c>
      <c r="DM60">
        <v>123843000000</v>
      </c>
      <c r="DN60">
        <v>49.297090227156879</v>
      </c>
      <c r="DO60">
        <v>8852837200</v>
      </c>
      <c r="DP60">
        <v>-1464615500</v>
      </c>
      <c r="DQ60">
        <v>3577</v>
      </c>
      <c r="DR60">
        <v>-50.294245102247707</v>
      </c>
      <c r="DS60">
        <v>-23.925636953784078</v>
      </c>
      <c r="DT60" s="13">
        <v>-0.14000000000000004</v>
      </c>
      <c r="DU60">
        <v>-2.6483333333333334</v>
      </c>
      <c r="DV60">
        <v>-2.7883333333333336</v>
      </c>
      <c r="DW60">
        <v>7.369920597851471</v>
      </c>
      <c r="DX60">
        <v>0.64232828282828591</v>
      </c>
      <c r="DY60">
        <v>7.0563493694535264</v>
      </c>
      <c r="DZ60">
        <v>4025</v>
      </c>
      <c r="EA60">
        <v>7.0119645921442419</v>
      </c>
      <c r="EB60">
        <v>7</v>
      </c>
      <c r="EC60">
        <v>2.7074081782799096E-2</v>
      </c>
      <c r="ED60">
        <v>0.17773509475793975</v>
      </c>
      <c r="EE60" s="14">
        <v>-2.0247000000000002</v>
      </c>
      <c r="EF60">
        <v>-2.0076999999999998</v>
      </c>
      <c r="EG60">
        <v>49.152328282828286</v>
      </c>
      <c r="EH60" t="s">
        <v>1443</v>
      </c>
      <c r="EI60">
        <v>1</v>
      </c>
      <c r="EJ60">
        <v>0</v>
      </c>
      <c r="EK60" s="10">
        <v>45470</v>
      </c>
      <c r="EL60" s="15">
        <v>-2.0699999999999998</v>
      </c>
      <c r="EM60" s="15">
        <v>-2.97</v>
      </c>
      <c r="EN60" s="15">
        <v>0.44</v>
      </c>
      <c r="EO60" s="15">
        <v>2.17</v>
      </c>
      <c r="EP60" s="15">
        <v>-1.7</v>
      </c>
    </row>
    <row r="61" spans="1:146" ht="108" x14ac:dyDescent="0.25">
      <c r="A61" s="7"/>
      <c r="B61" s="7"/>
      <c r="C61" s="7" t="str">
        <f>""&amp;CHAR(10)&amp;Basic_Fundamental_Information_Constructure(F61)&amp;CHAR(10)&amp;Basic_Fundamental_Information_Concatenate("")</f>
        <v xml:space="preserve">
市值133.519162亿, 利润-1.99亿; PE42.25; 平均PE51.16; 平均PEG6.01, PB.598; ROIC1.38%; ROE1.3733%; 股利率.7865%; 毛利26.8%; 净利5.3767%; 上一年度营收增-37.78%, 利润增-161.04%; 当季营收增53.12%, 利润增5565.35%; 过往5年营收增-8.51%, 利润增-33.41%
Income profile:
</v>
      </c>
      <c r="D61" t="s">
        <v>778</v>
      </c>
      <c r="E61" t="s">
        <v>1417</v>
      </c>
      <c r="F61">
        <v>2.67</v>
      </c>
      <c r="G61">
        <v>0</v>
      </c>
      <c r="H61" t="s">
        <v>2686</v>
      </c>
      <c r="I61">
        <v>13351916200</v>
      </c>
      <c r="J61">
        <v>42.25</v>
      </c>
      <c r="K61">
        <v>0.59799999999999998</v>
      </c>
      <c r="L61" t="s">
        <v>1467</v>
      </c>
      <c r="M61" t="s">
        <v>2687</v>
      </c>
      <c r="N61" t="s">
        <v>2688</v>
      </c>
      <c r="O61" t="s">
        <v>2689</v>
      </c>
      <c r="P61">
        <v>3.81</v>
      </c>
      <c r="Q61" t="s">
        <v>2690</v>
      </c>
      <c r="R61">
        <v>69808877</v>
      </c>
      <c r="S61" s="5">
        <v>-0.25629999999999997</v>
      </c>
      <c r="T61" t="s">
        <v>2691</v>
      </c>
      <c r="U61">
        <v>5000717700</v>
      </c>
      <c r="V61">
        <v>5000717700</v>
      </c>
      <c r="W61">
        <v>1.64</v>
      </c>
      <c r="X61">
        <v>0.05</v>
      </c>
      <c r="Y61">
        <v>4.57</v>
      </c>
      <c r="Z61" t="s">
        <v>1317</v>
      </c>
      <c r="AA61" t="s">
        <v>2692</v>
      </c>
      <c r="AB61" t="s">
        <v>343</v>
      </c>
      <c r="AC61" t="s">
        <v>517</v>
      </c>
      <c r="AD61" t="s">
        <v>5</v>
      </c>
      <c r="AE61">
        <v>-1282414</v>
      </c>
      <c r="AF61" t="s">
        <v>2693</v>
      </c>
      <c r="AG61" t="s">
        <v>114</v>
      </c>
      <c r="AH61" t="s">
        <v>2694</v>
      </c>
      <c r="AI61" t="s">
        <v>2695</v>
      </c>
      <c r="AJ61" t="s">
        <v>2696</v>
      </c>
      <c r="AK61" t="s">
        <v>2697</v>
      </c>
      <c r="AL61" t="s">
        <v>2698</v>
      </c>
      <c r="AM61" t="s">
        <v>5</v>
      </c>
      <c r="AN61" t="s">
        <v>1748</v>
      </c>
      <c r="AO61" t="s">
        <v>573</v>
      </c>
      <c r="AP61" t="s">
        <v>595</v>
      </c>
      <c r="AQ61" t="s">
        <v>1418</v>
      </c>
      <c r="AR61" t="s">
        <v>1351</v>
      </c>
      <c r="AS61" t="s">
        <v>2699</v>
      </c>
      <c r="AT61" t="s">
        <v>2700</v>
      </c>
      <c r="AU61" t="s">
        <v>2701</v>
      </c>
      <c r="AV61" t="s">
        <v>2702</v>
      </c>
      <c r="AW61" t="s">
        <v>1226</v>
      </c>
      <c r="AX61" t="s">
        <v>1109</v>
      </c>
      <c r="AY61" t="s">
        <v>779</v>
      </c>
      <c r="AZ61" t="s">
        <v>780</v>
      </c>
      <c r="BA61" t="s">
        <v>781</v>
      </c>
      <c r="BB61" t="s">
        <v>782</v>
      </c>
      <c r="BC61" t="s">
        <v>256</v>
      </c>
      <c r="BD61" t="s">
        <v>29</v>
      </c>
      <c r="BE61" t="s">
        <v>19</v>
      </c>
      <c r="BF61" t="s">
        <v>22</v>
      </c>
      <c r="BG61" t="s">
        <v>615</v>
      </c>
      <c r="BH61" t="s">
        <v>2703</v>
      </c>
      <c r="BI61" t="s">
        <v>2704</v>
      </c>
      <c r="BJ61" t="s">
        <v>1109</v>
      </c>
      <c r="BK61" t="s">
        <v>1243</v>
      </c>
      <c r="BL61" t="s">
        <v>2705</v>
      </c>
      <c r="BM61" t="s">
        <v>256</v>
      </c>
      <c r="BN61">
        <v>1.26</v>
      </c>
      <c r="BO61">
        <v>1.46</v>
      </c>
      <c r="BP61">
        <v>1.42</v>
      </c>
      <c r="BQ61">
        <v>1.19</v>
      </c>
      <c r="BR61">
        <v>1.49</v>
      </c>
      <c r="BS61">
        <v>1.44</v>
      </c>
      <c r="BT61" t="s">
        <v>1568</v>
      </c>
      <c r="BU61" t="s">
        <v>1486</v>
      </c>
      <c r="BV61">
        <v>24.07</v>
      </c>
      <c r="BW61">
        <v>27.32</v>
      </c>
      <c r="BX61">
        <v>29.01</v>
      </c>
      <c r="BY61">
        <v>5.62</v>
      </c>
      <c r="BZ61">
        <v>5.42</v>
      </c>
      <c r="CA61">
        <v>5.09</v>
      </c>
      <c r="CB61">
        <v>1.1399999999999999</v>
      </c>
      <c r="CC61">
        <v>-8.56</v>
      </c>
      <c r="CD61" t="s">
        <v>23</v>
      </c>
      <c r="CE61" t="s">
        <v>329</v>
      </c>
      <c r="CF61" s="11">
        <v>0.53125</v>
      </c>
      <c r="CG61" s="12">
        <v>55.65346981914977</v>
      </c>
      <c r="CH61" s="11">
        <v>-0.37783104181289673</v>
      </c>
      <c r="CI61" s="11">
        <v>6.3011213205754757E-3</v>
      </c>
      <c r="CJ61" s="11">
        <v>1.5520744957029819E-2</v>
      </c>
      <c r="CK61" s="11">
        <v>-3.9869274944067001E-2</v>
      </c>
      <c r="CL61" s="11">
        <v>-2.9803464189171791E-2</v>
      </c>
      <c r="CM61" s="12">
        <v>-1.6104294061660767</v>
      </c>
      <c r="CN61" s="12">
        <v>3.4920636564493179E-2</v>
      </c>
      <c r="CO61" s="12">
        <v>0.86390531063079834</v>
      </c>
      <c r="CP61" s="12">
        <v>-0.48942598700523376</v>
      </c>
      <c r="CQ61" s="12">
        <v>-0.46955129504203796</v>
      </c>
      <c r="CR61">
        <v>51.15676704980843</v>
      </c>
      <c r="CS61">
        <v>6.0088020288157127</v>
      </c>
      <c r="CT61">
        <v>0.7865168539325843</v>
      </c>
      <c r="CU61" s="11">
        <v>-8.513638293370604E-2</v>
      </c>
      <c r="CV61" s="12">
        <v>-0.33411614820361135</v>
      </c>
      <c r="CW61">
        <v>0.06</v>
      </c>
      <c r="CX61" t="e">
        <v>#VALUE!</v>
      </c>
      <c r="CY61" t="s">
        <v>130</v>
      </c>
      <c r="CZ61">
        <v>-8.513638293370604E-2</v>
      </c>
      <c r="DA61" t="e">
        <v>#VALUE!</v>
      </c>
      <c r="DB61" t="s">
        <v>130</v>
      </c>
      <c r="DC61">
        <v>-8.0879563787020728E-2</v>
      </c>
      <c r="DD61" t="e">
        <v>#VALUE!</v>
      </c>
      <c r="DE61" t="s">
        <v>130</v>
      </c>
      <c r="DF61">
        <v>-7.4920016981661314E-2</v>
      </c>
      <c r="DG61" t="e">
        <v>#VALUE!</v>
      </c>
      <c r="DH61" t="s">
        <v>130</v>
      </c>
      <c r="DI61">
        <v>-6.8109106346964834E-2</v>
      </c>
      <c r="DJ61" t="e">
        <v>#VALUE!</v>
      </c>
      <c r="DK61" t="s">
        <v>130</v>
      </c>
      <c r="DL61">
        <v>-5.9595468053594225E-2</v>
      </c>
      <c r="DM61">
        <v>-199000000</v>
      </c>
      <c r="DN61">
        <v>-8.513638293370604E-2</v>
      </c>
      <c r="DO61">
        <v>4252916200</v>
      </c>
      <c r="DP61">
        <v>-1218063900</v>
      </c>
      <c r="DQ61">
        <v>3584</v>
      </c>
      <c r="DR61">
        <v>0.61638638293370607</v>
      </c>
      <c r="DS61">
        <v>55.987585967353382</v>
      </c>
      <c r="DT61" s="13">
        <v>-0.60666666666666669</v>
      </c>
      <c r="DU61">
        <v>-0.91999999999999993</v>
      </c>
      <c r="DV61">
        <v>-1.5266666666666666</v>
      </c>
      <c r="DW61">
        <v>-2.0855999999999999</v>
      </c>
      <c r="DX61">
        <v>0.38661134163208799</v>
      </c>
      <c r="DY61">
        <v>-2.0125499308437069</v>
      </c>
      <c r="DZ61">
        <v>2150</v>
      </c>
      <c r="EA61">
        <v>-2.0072696272597597</v>
      </c>
      <c r="EB61">
        <v>2</v>
      </c>
      <c r="EC61">
        <v>2.119695738873642E-2</v>
      </c>
      <c r="ED61">
        <v>0.14457924709487199</v>
      </c>
      <c r="EE61" s="14">
        <v>-2.0857000000000001</v>
      </c>
      <c r="EF61">
        <v>-2.0781000000000001</v>
      </c>
      <c r="EG61">
        <v>24.146611341632088</v>
      </c>
      <c r="EH61" t="s">
        <v>1443</v>
      </c>
      <c r="EI61">
        <v>0</v>
      </c>
      <c r="EJ61">
        <v>0</v>
      </c>
      <c r="EK61" s="10">
        <v>45470</v>
      </c>
      <c r="EL61" s="15">
        <v>0.13</v>
      </c>
      <c r="EM61" s="15">
        <v>-0.38</v>
      </c>
      <c r="EN61" s="15">
        <v>-1.63</v>
      </c>
      <c r="EO61" s="15">
        <v>1.02</v>
      </c>
      <c r="EP61" s="15">
        <v>-0.76</v>
      </c>
    </row>
    <row r="62" spans="1:146" ht="108" x14ac:dyDescent="0.25">
      <c r="A62" s="7"/>
      <c r="B62" s="7"/>
      <c r="C62" s="7" t="str">
        <f>""&amp;CHAR(10)&amp;Basic_Fundamental_Information_Constructure(F62)&amp;CHAR(10)&amp;Basic_Fundamental_Information_Concatenate("")</f>
        <v xml:space="preserve">
市值61.428549亿, 利润6.85亿; PE34.27; 平均PE-33.78; 平均PEG-33.95, PB1.21; ROIC3.66%; ROE4.1733%; 股利率0%; 毛利5.48%; 净利1.47%; 上一年度营收增-34.41%, 利润增741.43%; 当季营收增-14.12%, 利润增-79.49%; 过往5年营收增.99%, 利润增-13.91%
Income profile:
</v>
      </c>
      <c r="D62" t="s">
        <v>783</v>
      </c>
      <c r="E62" t="s">
        <v>784</v>
      </c>
      <c r="F62">
        <v>4.13</v>
      </c>
      <c r="G62">
        <v>1.72</v>
      </c>
      <c r="H62" t="s">
        <v>2706</v>
      </c>
      <c r="I62">
        <v>6142854900</v>
      </c>
      <c r="J62">
        <v>34.270000000000003</v>
      </c>
      <c r="K62">
        <v>1.21</v>
      </c>
      <c r="L62" t="s">
        <v>1467</v>
      </c>
      <c r="M62" t="s">
        <v>2707</v>
      </c>
      <c r="N62" t="s">
        <v>2708</v>
      </c>
      <c r="O62" t="s">
        <v>342</v>
      </c>
      <c r="P62">
        <v>-27.14</v>
      </c>
      <c r="Q62" t="s">
        <v>2709</v>
      </c>
      <c r="R62">
        <v>25433192</v>
      </c>
      <c r="S62" s="5">
        <v>-0.33700000000000002</v>
      </c>
      <c r="T62" t="s">
        <v>1382</v>
      </c>
      <c r="U62">
        <v>1322425610</v>
      </c>
      <c r="V62">
        <v>1487374100</v>
      </c>
      <c r="W62">
        <v>1.6</v>
      </c>
      <c r="X62">
        <v>0.25</v>
      </c>
      <c r="Y62">
        <v>1.25</v>
      </c>
      <c r="Z62" t="s">
        <v>412</v>
      </c>
      <c r="AA62" t="s">
        <v>2710</v>
      </c>
      <c r="AB62" t="s">
        <v>2711</v>
      </c>
      <c r="AC62" t="s">
        <v>2712</v>
      </c>
      <c r="AD62" t="s">
        <v>5</v>
      </c>
      <c r="AE62">
        <v>400297</v>
      </c>
      <c r="AF62" t="s">
        <v>2713</v>
      </c>
      <c r="AG62" t="s">
        <v>2714</v>
      </c>
      <c r="AH62" t="s">
        <v>2715</v>
      </c>
      <c r="AI62" t="s">
        <v>1422</v>
      </c>
      <c r="AJ62" t="s">
        <v>2716</v>
      </c>
      <c r="AK62" t="s">
        <v>2717</v>
      </c>
      <c r="AL62" t="s">
        <v>2718</v>
      </c>
      <c r="AM62" t="s">
        <v>5</v>
      </c>
      <c r="AN62">
        <v>0</v>
      </c>
      <c r="AO62" t="s">
        <v>1627</v>
      </c>
      <c r="AP62" t="s">
        <v>2719</v>
      </c>
      <c r="AQ62" t="s">
        <v>317</v>
      </c>
      <c r="AR62" t="s">
        <v>5</v>
      </c>
      <c r="AS62" t="s">
        <v>2720</v>
      </c>
      <c r="AT62" t="s">
        <v>5</v>
      </c>
      <c r="AU62" t="s">
        <v>1361</v>
      </c>
      <c r="AV62" t="s">
        <v>2721</v>
      </c>
      <c r="AW62" t="s">
        <v>2722</v>
      </c>
      <c r="AX62" t="s">
        <v>1110</v>
      </c>
      <c r="AY62" t="s">
        <v>785</v>
      </c>
      <c r="AZ62" t="s">
        <v>162</v>
      </c>
      <c r="BA62" t="s">
        <v>787</v>
      </c>
      <c r="BB62" t="s">
        <v>788</v>
      </c>
      <c r="BC62" t="s">
        <v>2723</v>
      </c>
      <c r="BD62" t="s">
        <v>136</v>
      </c>
      <c r="BE62" t="s">
        <v>789</v>
      </c>
      <c r="BF62" t="s">
        <v>790</v>
      </c>
      <c r="BG62" t="s">
        <v>262</v>
      </c>
      <c r="BH62" t="s">
        <v>2724</v>
      </c>
      <c r="BI62" t="s">
        <v>2725</v>
      </c>
      <c r="BJ62" t="s">
        <v>1110</v>
      </c>
      <c r="BK62" t="s">
        <v>453</v>
      </c>
      <c r="BL62" t="s">
        <v>253</v>
      </c>
      <c r="BM62" t="s">
        <v>2723</v>
      </c>
      <c r="BN62">
        <v>2.16</v>
      </c>
      <c r="BO62">
        <v>1.79</v>
      </c>
      <c r="BP62">
        <v>7.03</v>
      </c>
      <c r="BQ62">
        <v>2.73</v>
      </c>
      <c r="BR62">
        <v>2.0299999999999998</v>
      </c>
      <c r="BS62">
        <v>7.76</v>
      </c>
      <c r="BT62" t="s">
        <v>1017</v>
      </c>
      <c r="BU62" t="s">
        <v>107</v>
      </c>
      <c r="BV62">
        <v>6.33</v>
      </c>
      <c r="BW62">
        <v>4.33</v>
      </c>
      <c r="BX62">
        <v>5.78</v>
      </c>
      <c r="BY62">
        <v>1.76</v>
      </c>
      <c r="BZ62">
        <v>0.52</v>
      </c>
      <c r="CA62">
        <v>2.13</v>
      </c>
      <c r="CB62">
        <v>-1.67</v>
      </c>
      <c r="CC62">
        <v>-10.41</v>
      </c>
      <c r="CD62" t="s">
        <v>2726</v>
      </c>
      <c r="CE62" t="s">
        <v>2727</v>
      </c>
      <c r="CF62" s="11">
        <v>-0.14123102866779089</v>
      </c>
      <c r="CG62" s="12">
        <v>-0.7948936129032258</v>
      </c>
      <c r="CH62" s="11">
        <v>-0.34409990906715393</v>
      </c>
      <c r="CI62" s="11">
        <v>3.0992083251476288E-2</v>
      </c>
      <c r="CJ62" s="11">
        <v>0.54346185922622681</v>
      </c>
      <c r="CK62" s="11">
        <v>-0.50955891609191895</v>
      </c>
      <c r="CL62" s="11">
        <v>0.32894641160964966</v>
      </c>
      <c r="CM62" s="12">
        <v>7.4143447875976562</v>
      </c>
      <c r="CN62" s="12">
        <v>-0.72309994697570801</v>
      </c>
      <c r="CO62" s="12">
        <v>2.1157402992248535</v>
      </c>
      <c r="CP62" s="12">
        <v>1.0376083850860596</v>
      </c>
      <c r="CQ62" s="12">
        <v>-10.539923667907715</v>
      </c>
      <c r="CR62">
        <v>-33.775710531896159</v>
      </c>
      <c r="CS62">
        <v>-33.951218689513816</v>
      </c>
      <c r="CT62">
        <v>0</v>
      </c>
      <c r="CU62" s="11">
        <v>9.9483057856559753E-3</v>
      </c>
      <c r="CV62" s="12">
        <v>-0.13906602859497069</v>
      </c>
      <c r="CW62">
        <v>0.06</v>
      </c>
      <c r="CX62">
        <v>6.72001756656719</v>
      </c>
      <c r="CY62">
        <v>652655273.0784663</v>
      </c>
      <c r="CZ62">
        <v>9.9483057856559753E-3</v>
      </c>
      <c r="DA62">
        <v>2.3514633309658168</v>
      </c>
      <c r="DB62">
        <v>1865159810.1674831</v>
      </c>
      <c r="DC62">
        <v>9.4508904963731769E-3</v>
      </c>
      <c r="DD62">
        <v>1.26467746652813</v>
      </c>
      <c r="DE62">
        <v>3467963189.0969934</v>
      </c>
      <c r="DF62">
        <v>8.7545090913772588E-3</v>
      </c>
      <c r="DG62">
        <v>0.83575805061144115</v>
      </c>
      <c r="DH62">
        <v>5247756688.4235287</v>
      </c>
      <c r="DI62">
        <v>7.9586446285247799E-3</v>
      </c>
      <c r="DJ62">
        <v>0.52546233836380651</v>
      </c>
      <c r="DK62">
        <v>8346658894.0641289</v>
      </c>
      <c r="DL62">
        <v>6.9638140499591822E-3</v>
      </c>
      <c r="DM62">
        <v>685000000</v>
      </c>
      <c r="DN62">
        <v>9.9483057856559753E-3</v>
      </c>
      <c r="DO62">
        <v>4385854900</v>
      </c>
      <c r="DP62">
        <v>3435801700</v>
      </c>
      <c r="DQ62">
        <v>3607</v>
      </c>
      <c r="DR62">
        <v>-0.15117933445344686</v>
      </c>
      <c r="DS62">
        <v>-0.65582758430825505</v>
      </c>
      <c r="DT62" s="13">
        <v>-0.49</v>
      </c>
      <c r="DU62">
        <v>-0.45333333333333342</v>
      </c>
      <c r="DV62">
        <v>-0.94333333333333336</v>
      </c>
      <c r="DW62">
        <v>-2.1040999999999999</v>
      </c>
      <c r="DX62">
        <v>0.38011268571428403</v>
      </c>
      <c r="DY62">
        <v>-2.0135447305828573</v>
      </c>
      <c r="DZ62">
        <v>2314</v>
      </c>
      <c r="EA62">
        <v>-2.0074111676535558</v>
      </c>
      <c r="EB62">
        <v>2</v>
      </c>
      <c r="EC62">
        <v>4.8987742895348255E-2</v>
      </c>
      <c r="ED62">
        <v>0.3765024548968548</v>
      </c>
      <c r="EE62" s="14">
        <v>6.8209999999999993E-2</v>
      </c>
      <c r="EF62">
        <v>7.6509999999999995E-2</v>
      </c>
      <c r="EG62">
        <v>25.130112685714284</v>
      </c>
      <c r="EH62">
        <v>-1</v>
      </c>
      <c r="EI62">
        <v>0</v>
      </c>
      <c r="EJ62">
        <v>0</v>
      </c>
      <c r="EK62" s="10">
        <v>45470</v>
      </c>
      <c r="EL62" s="15">
        <v>-1.69</v>
      </c>
      <c r="EM62" s="15">
        <v>-3.14</v>
      </c>
      <c r="EN62" s="15">
        <v>-0.83</v>
      </c>
      <c r="EO62" s="15">
        <v>0</v>
      </c>
      <c r="EP62" s="15">
        <v>-0.83</v>
      </c>
    </row>
    <row r="63" spans="1:146" ht="108" x14ac:dyDescent="0.25">
      <c r="A63" s="7"/>
      <c r="B63" s="7"/>
      <c r="C63" s="7" t="str">
        <f>""&amp;CHAR(10)&amp;Basic_Fundamental_Information_Constructure(F63)&amp;CHAR(10)&amp;Basic_Fundamental_Information_Concatenate("")</f>
        <v xml:space="preserve">
市值92.989948亿, 利润10.90亿; PE; 平均PE49.46; 平均PEG.46, PB2.47; ROIC1.63%; ROE-6.4467%; 股利率0%; 毛利4.8133%; 净利-30.3267%; 上一年度营收增513.35%, 利润增9479.3%; 当季营收增-94.24%, 利润增-146.58%; 过往5年营收增106.93%, 利润增1744.41%
Income profile:
</v>
      </c>
      <c r="D63" t="s">
        <v>791</v>
      </c>
      <c r="E63" t="s">
        <v>792</v>
      </c>
      <c r="F63">
        <v>7.68</v>
      </c>
      <c r="G63">
        <v>-0.39</v>
      </c>
      <c r="H63" t="s">
        <v>2728</v>
      </c>
      <c r="I63">
        <v>9298994800</v>
      </c>
      <c r="K63">
        <v>2.4700000000000002</v>
      </c>
      <c r="L63" t="s">
        <v>1467</v>
      </c>
      <c r="M63" t="s">
        <v>2729</v>
      </c>
      <c r="N63" t="s">
        <v>2730</v>
      </c>
      <c r="O63" t="s">
        <v>233</v>
      </c>
      <c r="P63">
        <v>-42.78</v>
      </c>
      <c r="Q63" t="s">
        <v>2731</v>
      </c>
      <c r="R63">
        <v>-190062800</v>
      </c>
      <c r="S63" s="5">
        <v>-92.91</v>
      </c>
      <c r="T63" t="s">
        <v>2732</v>
      </c>
      <c r="U63">
        <v>1210806620</v>
      </c>
      <c r="V63">
        <v>1210806620</v>
      </c>
      <c r="W63">
        <v>3.82</v>
      </c>
      <c r="X63">
        <v>0.02</v>
      </c>
      <c r="Y63">
        <v>-56.53</v>
      </c>
      <c r="Z63" t="s">
        <v>1381</v>
      </c>
      <c r="AA63" t="s">
        <v>1448</v>
      </c>
      <c r="AB63" t="s">
        <v>2733</v>
      </c>
      <c r="AC63" t="s">
        <v>2734</v>
      </c>
      <c r="AD63" t="s">
        <v>5</v>
      </c>
      <c r="AE63">
        <v>80620512</v>
      </c>
      <c r="AF63" t="s">
        <v>2735</v>
      </c>
      <c r="AG63" t="s">
        <v>2736</v>
      </c>
      <c r="AH63" t="s">
        <v>2737</v>
      </c>
      <c r="AI63" t="s">
        <v>302</v>
      </c>
      <c r="AJ63" t="s">
        <v>2738</v>
      </c>
      <c r="AK63" t="s">
        <v>2739</v>
      </c>
      <c r="AL63" t="s">
        <v>2740</v>
      </c>
      <c r="AM63" t="s">
        <v>5</v>
      </c>
      <c r="AN63" t="s">
        <v>219</v>
      </c>
      <c r="AO63" t="s">
        <v>2741</v>
      </c>
      <c r="AP63" t="s">
        <v>351</v>
      </c>
      <c r="AQ63" t="s">
        <v>2742</v>
      </c>
      <c r="AR63" t="s">
        <v>5</v>
      </c>
      <c r="AS63" t="s">
        <v>2743</v>
      </c>
      <c r="AT63" t="s">
        <v>2744</v>
      </c>
      <c r="AU63" t="s">
        <v>2745</v>
      </c>
      <c r="AV63" t="s">
        <v>1341</v>
      </c>
      <c r="AW63" t="s">
        <v>2746</v>
      </c>
      <c r="AX63" t="s">
        <v>1111</v>
      </c>
      <c r="AY63" t="s">
        <v>216</v>
      </c>
      <c r="AZ63" t="s">
        <v>794</v>
      </c>
      <c r="BA63" t="s">
        <v>795</v>
      </c>
      <c r="BB63" t="s">
        <v>796</v>
      </c>
      <c r="BC63" t="s">
        <v>2747</v>
      </c>
      <c r="BD63" t="s">
        <v>793</v>
      </c>
      <c r="BE63" t="s">
        <v>797</v>
      </c>
      <c r="BF63" t="s">
        <v>157</v>
      </c>
      <c r="BG63" t="s">
        <v>146</v>
      </c>
      <c r="BH63" t="s">
        <v>2748</v>
      </c>
      <c r="BI63" t="s">
        <v>2749</v>
      </c>
      <c r="BJ63" t="s">
        <v>1111</v>
      </c>
      <c r="BK63" t="s">
        <v>2750</v>
      </c>
      <c r="BL63" t="s">
        <v>198</v>
      </c>
      <c r="BM63" t="s">
        <v>2747</v>
      </c>
      <c r="BN63" t="s">
        <v>5</v>
      </c>
      <c r="BO63">
        <v>1.63</v>
      </c>
      <c r="BP63" t="s">
        <v>5</v>
      </c>
      <c r="BQ63">
        <v>-9.32</v>
      </c>
      <c r="BR63">
        <v>0.26</v>
      </c>
      <c r="BS63">
        <v>-10.28</v>
      </c>
      <c r="BT63" t="s">
        <v>1017</v>
      </c>
      <c r="BU63" t="s">
        <v>1486</v>
      </c>
      <c r="BV63">
        <v>-10.63</v>
      </c>
      <c r="BW63">
        <v>12.2</v>
      </c>
      <c r="BX63">
        <v>12.87</v>
      </c>
      <c r="BY63">
        <v>-75.22</v>
      </c>
      <c r="BZ63">
        <v>0.36</v>
      </c>
      <c r="CA63">
        <v>-16.12</v>
      </c>
      <c r="CB63">
        <v>0</v>
      </c>
      <c r="CC63">
        <v>12.12</v>
      </c>
      <c r="CD63" t="s">
        <v>2751</v>
      </c>
      <c r="CE63" t="s">
        <v>1123</v>
      </c>
      <c r="CF63" s="11">
        <v>-0.9423506866815714</v>
      </c>
      <c r="CG63" s="12">
        <v>-1.4658401960784313</v>
      </c>
      <c r="CH63" s="11">
        <v>5.1334586143493652</v>
      </c>
      <c r="CI63" s="11">
        <v>0.33764368295669556</v>
      </c>
      <c r="CJ63" s="11">
        <v>-0.19838754832744598</v>
      </c>
      <c r="CK63" s="11">
        <v>1.6091300174593925E-2</v>
      </c>
      <c r="CL63" s="11">
        <v>5.7876758277416229E-2</v>
      </c>
      <c r="CM63" s="12">
        <v>94.793014526367188</v>
      </c>
      <c r="CN63" s="12">
        <v>1.0255700349807739</v>
      </c>
      <c r="CO63" s="12">
        <v>-7.0294618606567383</v>
      </c>
      <c r="CP63" s="12">
        <v>-1.2577716112136841</v>
      </c>
      <c r="CQ63" s="12">
        <v>-0.31089743971824646</v>
      </c>
      <c r="CR63">
        <v>49.464588834795066</v>
      </c>
      <c r="CS63">
        <v>0.46257268867765061</v>
      </c>
      <c r="CT63">
        <v>0</v>
      </c>
      <c r="CU63" s="11">
        <v>1.069336561486125</v>
      </c>
      <c r="CV63" s="12">
        <v>17.44409072995186</v>
      </c>
      <c r="CW63">
        <v>0.06</v>
      </c>
      <c r="CX63">
        <v>8.2447354748062143</v>
      </c>
      <c r="CY63">
        <v>2127902690.5847888</v>
      </c>
      <c r="CZ63">
        <v>1.069336561486125</v>
      </c>
      <c r="DA63">
        <v>1.2983737700954738</v>
      </c>
      <c r="DB63">
        <v>13512283753.783728</v>
      </c>
      <c r="DC63">
        <v>1.0158697334118187</v>
      </c>
      <c r="DD63">
        <v>0.19906381135466367</v>
      </c>
      <c r="DE63">
        <v>88132517309.952423</v>
      </c>
      <c r="DF63">
        <v>0.94101617410779004</v>
      </c>
      <c r="DG63">
        <v>2.5645060238364541E-2</v>
      </c>
      <c r="DH63">
        <v>684108153263.54761</v>
      </c>
      <c r="DI63">
        <v>0.85546924918889999</v>
      </c>
      <c r="DJ63">
        <v>2.8484013903733846E-4</v>
      </c>
      <c r="DK63">
        <v>61592424646654.992</v>
      </c>
      <c r="DL63">
        <v>0.74853559304028749</v>
      </c>
      <c r="DM63">
        <v>1090000000</v>
      </c>
      <c r="DN63">
        <v>1.069336561486125</v>
      </c>
      <c r="DO63">
        <v>17543994800</v>
      </c>
      <c r="DP63">
        <v>-5124361400</v>
      </c>
      <c r="DQ63">
        <v>3615</v>
      </c>
      <c r="DR63">
        <v>-2.0116872481676964</v>
      </c>
      <c r="DS63">
        <v>-18.909930926030292</v>
      </c>
      <c r="DT63" s="13">
        <v>-0.12333333333333336</v>
      </c>
      <c r="DU63">
        <v>-1.7316666666666667</v>
      </c>
      <c r="DV63">
        <v>-1.855</v>
      </c>
      <c r="DW63">
        <v>2.1212</v>
      </c>
      <c r="DX63">
        <v>0.23770383795309122</v>
      </c>
      <c r="DY63">
        <v>2.0106297051599147</v>
      </c>
      <c r="DZ63">
        <v>2705</v>
      </c>
      <c r="EA63">
        <v>2.0050028260097053</v>
      </c>
      <c r="EB63">
        <v>2</v>
      </c>
      <c r="EC63">
        <v>6.7943302126973845E-2</v>
      </c>
      <c r="ED63">
        <v>0.77469018132722145</v>
      </c>
      <c r="EE63" s="14">
        <v>-3.0148000000000001</v>
      </c>
      <c r="EF63">
        <v>-3.0186099999999998</v>
      </c>
      <c r="EG63">
        <v>15.087703837953091</v>
      </c>
      <c r="EH63" t="s">
        <v>1445</v>
      </c>
      <c r="EI63">
        <v>1</v>
      </c>
      <c r="EJ63">
        <v>0</v>
      </c>
      <c r="EK63" s="10">
        <v>45470</v>
      </c>
      <c r="EL63" s="15">
        <v>0.1</v>
      </c>
      <c r="EM63" s="15">
        <v>-1.99</v>
      </c>
      <c r="EN63" s="15">
        <v>-0.51</v>
      </c>
      <c r="EO63" s="15">
        <v>0.61</v>
      </c>
      <c r="EP63" s="15">
        <v>-3.34</v>
      </c>
    </row>
    <row r="64" spans="1:146" ht="108" x14ac:dyDescent="0.25">
      <c r="A64" s="7"/>
      <c r="B64" s="7"/>
      <c r="C64" s="7" t="str">
        <f>""&amp;CHAR(10)&amp;Basic_Fundamental_Information_Constructure(F64)&amp;CHAR(10)&amp;Basic_Fundamental_Information_Concatenate("")</f>
        <v xml:space="preserve">
市值246.04551亿, 利润7388.72万; PE10.37; 平均PE19.12; 平均PEG1.31, PB1.63; ROIC10.9367%; ROE11.59%; 股利率4.7498%; 毛利37.77%; 净利16.1233%; 上一年度营收增-92.24%, 利润增-95.61%; 当季营收增1514.38%, 利润增1261.85%; 过往5年营收增-14.63%, 利润增-16.33%
Income profile:
</v>
      </c>
      <c r="D64" t="s">
        <v>800</v>
      </c>
      <c r="E64" t="s">
        <v>801</v>
      </c>
      <c r="F64">
        <v>11.79</v>
      </c>
      <c r="G64">
        <v>0.77</v>
      </c>
      <c r="H64" t="s">
        <v>2752</v>
      </c>
      <c r="I64">
        <v>24604551000</v>
      </c>
      <c r="J64">
        <v>10.37</v>
      </c>
      <c r="K64">
        <v>1.63</v>
      </c>
      <c r="L64" t="s">
        <v>1467</v>
      </c>
      <c r="M64" t="s">
        <v>2753</v>
      </c>
      <c r="N64" t="s">
        <v>1289</v>
      </c>
      <c r="O64" t="s">
        <v>2754</v>
      </c>
      <c r="P64">
        <v>13.38</v>
      </c>
      <c r="Q64" t="s">
        <v>1286</v>
      </c>
      <c r="R64">
        <v>210659970</v>
      </c>
      <c r="S64" s="5">
        <v>-1.0999999999999999E-2</v>
      </c>
      <c r="T64" t="s">
        <v>2755</v>
      </c>
      <c r="U64">
        <v>2086900000</v>
      </c>
      <c r="V64">
        <v>2086900000</v>
      </c>
      <c r="W64">
        <v>1.56</v>
      </c>
      <c r="X64">
        <v>0.11</v>
      </c>
      <c r="Y64">
        <v>8.4600000000000009</v>
      </c>
      <c r="Z64" t="s">
        <v>2756</v>
      </c>
      <c r="AA64" t="s">
        <v>577</v>
      </c>
      <c r="AB64" t="s">
        <v>642</v>
      </c>
      <c r="AC64" t="s">
        <v>289</v>
      </c>
      <c r="AD64" t="s">
        <v>5</v>
      </c>
      <c r="AE64">
        <v>-29048426</v>
      </c>
      <c r="AF64" t="s">
        <v>2757</v>
      </c>
      <c r="AG64" t="s">
        <v>2758</v>
      </c>
      <c r="AH64" t="s">
        <v>2759</v>
      </c>
      <c r="AI64" t="s">
        <v>2760</v>
      </c>
      <c r="AJ64" t="s">
        <v>2761</v>
      </c>
      <c r="AK64" t="s">
        <v>125</v>
      </c>
      <c r="AL64" t="s">
        <v>2762</v>
      </c>
      <c r="AM64" t="s">
        <v>5</v>
      </c>
      <c r="AN64" t="s">
        <v>1063</v>
      </c>
      <c r="AO64" t="s">
        <v>2763</v>
      </c>
      <c r="AP64" t="s">
        <v>5</v>
      </c>
      <c r="AQ64" t="s">
        <v>2764</v>
      </c>
      <c r="AR64" t="s">
        <v>2765</v>
      </c>
      <c r="AS64" t="s">
        <v>2766</v>
      </c>
      <c r="AT64" t="s">
        <v>5</v>
      </c>
      <c r="AU64" t="s">
        <v>2767</v>
      </c>
      <c r="AV64" t="s">
        <v>2768</v>
      </c>
      <c r="AW64" t="s">
        <v>2769</v>
      </c>
      <c r="AX64" t="s">
        <v>2770</v>
      </c>
      <c r="AY64" t="s">
        <v>802</v>
      </c>
      <c r="AZ64" t="s">
        <v>804</v>
      </c>
      <c r="BA64" t="s">
        <v>805</v>
      </c>
      <c r="BB64" t="s">
        <v>806</v>
      </c>
      <c r="BC64" t="s">
        <v>1715</v>
      </c>
      <c r="BD64" t="s">
        <v>803</v>
      </c>
      <c r="BE64" t="s">
        <v>807</v>
      </c>
      <c r="BF64" t="s">
        <v>808</v>
      </c>
      <c r="BG64" t="s">
        <v>809</v>
      </c>
      <c r="BH64" t="s">
        <v>2771</v>
      </c>
      <c r="BI64" t="s">
        <v>93</v>
      </c>
      <c r="BJ64" t="s">
        <v>2770</v>
      </c>
      <c r="BK64" t="s">
        <v>1439</v>
      </c>
      <c r="BL64" t="s">
        <v>2772</v>
      </c>
      <c r="BM64" t="s">
        <v>1715</v>
      </c>
      <c r="BN64">
        <v>8.6999999999999993</v>
      </c>
      <c r="BO64">
        <v>12.08</v>
      </c>
      <c r="BP64">
        <v>12.03</v>
      </c>
      <c r="BQ64">
        <v>8.93</v>
      </c>
      <c r="BR64">
        <v>13</v>
      </c>
      <c r="BS64">
        <v>12.84</v>
      </c>
      <c r="BT64" t="s">
        <v>2773</v>
      </c>
      <c r="BU64" t="s">
        <v>82</v>
      </c>
      <c r="BV64">
        <v>37.11</v>
      </c>
      <c r="BW64">
        <v>38.94</v>
      </c>
      <c r="BX64">
        <v>37.26</v>
      </c>
      <c r="BY64">
        <v>19.510000000000002</v>
      </c>
      <c r="BZ64">
        <v>14.86</v>
      </c>
      <c r="CA64">
        <v>14</v>
      </c>
      <c r="CB64">
        <v>-0.25</v>
      </c>
      <c r="CC64">
        <v>3.42</v>
      </c>
      <c r="CD64" t="s">
        <v>2774</v>
      </c>
      <c r="CE64" t="s">
        <v>197</v>
      </c>
      <c r="CF64" s="11">
        <v>15.143790849673202</v>
      </c>
      <c r="CG64" s="12">
        <v>12.618466322315387</v>
      </c>
      <c r="CH64" s="11">
        <v>-0.92244678735733032</v>
      </c>
      <c r="CI64" s="11">
        <v>3.1218415126204491E-2</v>
      </c>
      <c r="CJ64" s="11">
        <v>0.11702566593885422</v>
      </c>
      <c r="CK64" s="11">
        <v>-1.7406007973477244E-3</v>
      </c>
      <c r="CL64" s="11">
        <v>4.4487219303846359E-2</v>
      </c>
      <c r="CM64" s="12">
        <v>-0.956123948097229</v>
      </c>
      <c r="CN64" s="12">
        <v>9.849972277879715E-2</v>
      </c>
      <c r="CO64" s="12">
        <v>9.3437902629375458E-2</v>
      </c>
      <c r="CP64" s="12">
        <v>-9.1968908905982971E-2</v>
      </c>
      <c r="CQ64" s="12">
        <v>3.9730682969093323E-2</v>
      </c>
      <c r="CR64">
        <v>19.118034513635475</v>
      </c>
      <c r="CS64">
        <v>1.3068477269434333</v>
      </c>
      <c r="CT64">
        <v>4.7497879558948259</v>
      </c>
      <c r="CU64" s="11">
        <v>-0.1462912175571546</v>
      </c>
      <c r="CV64" s="12">
        <v>-0.16328490972518922</v>
      </c>
      <c r="CW64">
        <v>0.06</v>
      </c>
      <c r="CX64">
        <v>237.47754685520633</v>
      </c>
      <c r="CY64" t="s">
        <v>2775</v>
      </c>
      <c r="CZ64">
        <v>-0.1462912175571546</v>
      </c>
      <c r="DA64">
        <v>79.159182285068766</v>
      </c>
      <c r="DB64" t="s">
        <v>2776</v>
      </c>
      <c r="DC64">
        <v>-0.13897665667929687</v>
      </c>
      <c r="DD64">
        <v>39.579591142534383</v>
      </c>
      <c r="DE64" t="s">
        <v>2777</v>
      </c>
      <c r="DF64">
        <v>-0.12873627145029606</v>
      </c>
      <c r="DG64">
        <v>23.747754685520633</v>
      </c>
      <c r="DH64" t="s">
        <v>2778</v>
      </c>
      <c r="DI64">
        <v>-0.11703297404572369</v>
      </c>
      <c r="DJ64">
        <v>11.873877342760316</v>
      </c>
      <c r="DK64" t="s">
        <v>2779</v>
      </c>
      <c r="DL64">
        <v>-0.10240385229000822</v>
      </c>
      <c r="DM64">
        <v>73887200</v>
      </c>
      <c r="DN64">
        <v>-0.1462912175571546</v>
      </c>
      <c r="DO64">
        <v>17546551000</v>
      </c>
      <c r="DP64">
        <v>6410126999.999999</v>
      </c>
      <c r="DQ64">
        <v>3634</v>
      </c>
      <c r="DR64">
        <v>15.290082067230356</v>
      </c>
      <c r="DS64">
        <v>12.781751232040575</v>
      </c>
      <c r="DT64" s="13">
        <v>-0.77333333333333332</v>
      </c>
      <c r="DU64">
        <v>-0.55333333333333334</v>
      </c>
      <c r="DV64">
        <v>-1.3266666666666667</v>
      </c>
      <c r="DW64">
        <v>1.0342</v>
      </c>
      <c r="DX64">
        <v>0.27624738461538378</v>
      </c>
      <c r="DY64">
        <v>1.0050016605538461</v>
      </c>
      <c r="DZ64">
        <v>1963</v>
      </c>
      <c r="EA64">
        <v>1.0030802790142765</v>
      </c>
      <c r="EB64">
        <v>1</v>
      </c>
      <c r="EC64">
        <v>2.277560017250467E-2</v>
      </c>
      <c r="ED64">
        <v>0.15573338444582874</v>
      </c>
      <c r="EE64" s="14">
        <v>-1.0012099999999999</v>
      </c>
      <c r="EF64">
        <v>-1.0100100000000001</v>
      </c>
      <c r="EG64">
        <v>13.146247384615384</v>
      </c>
      <c r="EH64" t="s">
        <v>290</v>
      </c>
      <c r="EI64">
        <v>0</v>
      </c>
      <c r="EJ64">
        <v>0</v>
      </c>
      <c r="EK64" s="10">
        <v>45470</v>
      </c>
      <c r="EL64" s="15">
        <v>0.59</v>
      </c>
      <c r="EM64" s="15">
        <v>-1.18</v>
      </c>
      <c r="EN64" s="15">
        <v>0.6</v>
      </c>
      <c r="EO64" s="15">
        <v>0.59</v>
      </c>
      <c r="EP64" s="15">
        <v>-0.88</v>
      </c>
    </row>
    <row r="65" spans="1:146" ht="192" x14ac:dyDescent="0.25">
      <c r="A65" s="7"/>
      <c r="B65" s="7"/>
      <c r="C65" s="7" t="str">
        <f>"公司的主营业务是出版、发行、印刷、印刷物资供应、报纸网络新媒体等。公司主要产品为教材教辅、一般图书、电子出版物、音像制品.湖南文艺社、湖南科技社等多家单位入选“中国图书海外馆藏影响力出版社百强”,近400种图书进入世界图书馆系统。"&amp;CHAR(10)&amp;Basic_Fundamental_Information_Constructure(F65)&amp;CHAR(10)&amp;Basic_Fundamental_Information_Concatenate("发行分部 51.51亿 82.35% 65.00% 34.59%
出版分部 14.56亿 23.28% 21.53% 40.53%
物资分部 7.31亿 11.69% 1.11% 4.17%
印刷分部 3.90亿 6.23% 3.40% 23.91%")</f>
        <v>公司的主营业务是出版、发行、印刷、印刷物资供应、报纸网络新媒体等。公司主要产品为教材教辅、一般图书、电子出版物、音像制品.湖南文艺社、湖南科技社等多家单位入选“中国图书海外馆藏影响力出版社百强”,近400种图书进入世界图书馆系统。
市值236.7128亿, 利润2.51亿; PE13.21; 平均PE19.96; 平均PEG1.62, PB1.51; ROIC8.6133%; ROE9.6033%; 股利率4.173%; 毛利42.5733%; 净利13.57%; 上一年度营收增-89%, 利润增-82.06%; 当季营收增543.78%, 利润增90.75%; 过往5年营收增-12.32%, 利润增-13.72%
Income profile:
发行分部 51.51亿 82.35% 65.00% 34.59%
出版分部 14.56亿 23.28% 21.53% 40.53%
物资分部 7.31亿 11.69% 1.11% 4.17%
印刷分部 3.90亿 6.23% 3.40% 23.91%</v>
      </c>
      <c r="D65" t="s">
        <v>810</v>
      </c>
      <c r="E65" t="s">
        <v>811</v>
      </c>
      <c r="F65">
        <v>13.18</v>
      </c>
      <c r="G65">
        <v>4.03</v>
      </c>
      <c r="H65" t="s">
        <v>2780</v>
      </c>
      <c r="I65">
        <v>23671280000</v>
      </c>
      <c r="J65">
        <v>13.21</v>
      </c>
      <c r="K65">
        <v>1.51</v>
      </c>
      <c r="L65" t="s">
        <v>1467</v>
      </c>
      <c r="M65" t="s">
        <v>2781</v>
      </c>
      <c r="N65" t="s">
        <v>2782</v>
      </c>
      <c r="O65" t="s">
        <v>923</v>
      </c>
      <c r="P65">
        <v>12.61</v>
      </c>
      <c r="Q65" t="s">
        <v>1421</v>
      </c>
      <c r="R65">
        <v>284215530</v>
      </c>
      <c r="S65" s="5">
        <v>-0.18179999999999999</v>
      </c>
      <c r="T65" t="s">
        <v>445</v>
      </c>
      <c r="U65">
        <v>1796000000</v>
      </c>
      <c r="V65">
        <v>1796000000</v>
      </c>
      <c r="W65">
        <v>1.57</v>
      </c>
      <c r="X65">
        <v>0.12</v>
      </c>
      <c r="Y65">
        <v>9.98</v>
      </c>
      <c r="Z65" t="s">
        <v>2492</v>
      </c>
      <c r="AA65" t="s">
        <v>1423</v>
      </c>
      <c r="AB65" t="s">
        <v>1349</v>
      </c>
      <c r="AC65" t="s">
        <v>451</v>
      </c>
      <c r="AD65" t="s">
        <v>5</v>
      </c>
      <c r="AE65">
        <v>-22954134</v>
      </c>
      <c r="AF65" t="s">
        <v>2783</v>
      </c>
      <c r="AG65" t="s">
        <v>2784</v>
      </c>
      <c r="AH65" t="s">
        <v>2785</v>
      </c>
      <c r="AI65" t="s">
        <v>2786</v>
      </c>
      <c r="AJ65" t="s">
        <v>2787</v>
      </c>
      <c r="AK65" t="s">
        <v>2788</v>
      </c>
      <c r="AL65" t="s">
        <v>2789</v>
      </c>
      <c r="AM65" t="s">
        <v>5</v>
      </c>
      <c r="AN65" t="s">
        <v>1717</v>
      </c>
      <c r="AO65" t="s">
        <v>5</v>
      </c>
      <c r="AP65" t="s">
        <v>2790</v>
      </c>
      <c r="AQ65" t="s">
        <v>2791</v>
      </c>
      <c r="AR65" t="s">
        <v>2792</v>
      </c>
      <c r="AS65" t="s">
        <v>2793</v>
      </c>
      <c r="AT65" t="s">
        <v>5</v>
      </c>
      <c r="AU65" t="s">
        <v>2794</v>
      </c>
      <c r="AV65" t="s">
        <v>2795</v>
      </c>
      <c r="AW65" t="s">
        <v>2796</v>
      </c>
      <c r="AX65" t="s">
        <v>1113</v>
      </c>
      <c r="AY65" t="s">
        <v>812</v>
      </c>
      <c r="AZ65" t="s">
        <v>813</v>
      </c>
      <c r="BA65" t="s">
        <v>814</v>
      </c>
      <c r="BB65" t="s">
        <v>815</v>
      </c>
      <c r="BC65" t="s">
        <v>413</v>
      </c>
      <c r="BD65" t="s">
        <v>420</v>
      </c>
      <c r="BE65" t="s">
        <v>816</v>
      </c>
      <c r="BF65" t="s">
        <v>817</v>
      </c>
      <c r="BG65" t="s">
        <v>818</v>
      </c>
      <c r="BH65" t="s">
        <v>2797</v>
      </c>
      <c r="BI65" t="s">
        <v>1061</v>
      </c>
      <c r="BJ65" t="s">
        <v>1113</v>
      </c>
      <c r="BK65" t="s">
        <v>2798</v>
      </c>
      <c r="BL65" t="s">
        <v>328</v>
      </c>
      <c r="BM65" t="s">
        <v>413</v>
      </c>
      <c r="BN65">
        <v>7.5</v>
      </c>
      <c r="BO65">
        <v>8.4600000000000009</v>
      </c>
      <c r="BP65">
        <v>9.8800000000000008</v>
      </c>
      <c r="BQ65">
        <v>8.36</v>
      </c>
      <c r="BR65">
        <v>9.6999999999999993</v>
      </c>
      <c r="BS65">
        <v>10.75</v>
      </c>
      <c r="BT65" t="s">
        <v>2799</v>
      </c>
      <c r="BU65" t="s">
        <v>82</v>
      </c>
      <c r="BV65">
        <v>41.36</v>
      </c>
      <c r="BW65">
        <v>42.25</v>
      </c>
      <c r="BX65">
        <v>44.11</v>
      </c>
      <c r="BY65">
        <v>14.36</v>
      </c>
      <c r="BZ65">
        <v>11.91</v>
      </c>
      <c r="CA65">
        <v>14.44</v>
      </c>
      <c r="CB65">
        <v>6.12</v>
      </c>
      <c r="CC65">
        <v>2.09</v>
      </c>
      <c r="CD65" t="s">
        <v>2800</v>
      </c>
      <c r="CE65" t="s">
        <v>176</v>
      </c>
      <c r="CF65" s="11">
        <v>5.437768240343348</v>
      </c>
      <c r="CG65" s="12">
        <v>0.90748677852348991</v>
      </c>
      <c r="CH65" s="11">
        <v>-0.89001202583312988</v>
      </c>
      <c r="CI65" s="11">
        <v>0.10007943958044052</v>
      </c>
      <c r="CJ65" s="11">
        <v>8.1924989819526672E-2</v>
      </c>
      <c r="CK65" s="11">
        <v>2.0660728216171265E-2</v>
      </c>
      <c r="CL65" s="11">
        <v>7.1533076465129852E-2</v>
      </c>
      <c r="CM65" s="12">
        <v>-0.82058608531951904</v>
      </c>
      <c r="CN65" s="12">
        <v>-7.6567649841308594E-2</v>
      </c>
      <c r="CO65" s="12">
        <v>5.4279841482639313E-2</v>
      </c>
      <c r="CP65" s="12">
        <v>0.12617549300193787</v>
      </c>
      <c r="CQ65" s="12">
        <v>3.0694669112563133E-2</v>
      </c>
      <c r="CR65">
        <v>19.958920741989882</v>
      </c>
      <c r="CS65">
        <v>1.6205321323846062</v>
      </c>
      <c r="CT65">
        <v>4.1729893778452203</v>
      </c>
      <c r="CU65" s="11">
        <v>-0.12316275835037231</v>
      </c>
      <c r="CV65" s="12">
        <v>-0.13720074631273746</v>
      </c>
      <c r="CW65">
        <v>0.06</v>
      </c>
      <c r="CX65">
        <v>65.252111553784857</v>
      </c>
      <c r="CY65" t="s">
        <v>2801</v>
      </c>
      <c r="CZ65">
        <v>-0.12316275835037231</v>
      </c>
      <c r="DA65">
        <v>21.750703851261619</v>
      </c>
      <c r="DB65" t="s">
        <v>2802</v>
      </c>
      <c r="DC65">
        <v>-0.11700462043285369</v>
      </c>
      <c r="DD65">
        <v>10.87535192563081</v>
      </c>
      <c r="DE65" t="s">
        <v>2803</v>
      </c>
      <c r="DF65">
        <v>-0.10838322734832763</v>
      </c>
      <c r="DG65">
        <v>6.5252111553784857</v>
      </c>
      <c r="DH65" t="s">
        <v>2804</v>
      </c>
      <c r="DI65">
        <v>-9.8530206680297855E-2</v>
      </c>
      <c r="DJ65">
        <v>3.2626055776892429</v>
      </c>
      <c r="DK65" t="s">
        <v>2805</v>
      </c>
      <c r="DL65">
        <v>-8.621393084526062E-2</v>
      </c>
      <c r="DM65">
        <v>250999999.99999997</v>
      </c>
      <c r="DN65">
        <v>-0.12316275835037231</v>
      </c>
      <c r="DO65">
        <v>16378279999.999998</v>
      </c>
      <c r="DP65">
        <v>12626223000</v>
      </c>
      <c r="DQ65">
        <v>3654</v>
      </c>
      <c r="DR65">
        <v>5.5609309986937205</v>
      </c>
      <c r="DS65">
        <v>1.0446875248362273</v>
      </c>
      <c r="DT65" s="13">
        <v>-0.77333333333333332</v>
      </c>
      <c r="DU65">
        <v>-0.33333333333333331</v>
      </c>
      <c r="DV65">
        <v>-1.1066666666666667</v>
      </c>
      <c r="DW65">
        <v>5.3415032679738559</v>
      </c>
      <c r="DX65">
        <v>0.57355104166666993</v>
      </c>
      <c r="DY65">
        <v>5.0592682478894337</v>
      </c>
      <c r="DZ65">
        <v>3274</v>
      </c>
      <c r="EA65">
        <v>5.0212948147015659</v>
      </c>
      <c r="EB65">
        <v>5</v>
      </c>
      <c r="EC65">
        <v>2.7830011135857466E-2</v>
      </c>
      <c r="ED65">
        <v>0.16035634743875279</v>
      </c>
      <c r="EE65" s="14">
        <v>9.8809999999999995E-2</v>
      </c>
      <c r="EF65">
        <v>0.12060999999999999</v>
      </c>
      <c r="EG65">
        <v>40.17355104166667</v>
      </c>
      <c r="EH65">
        <v>-1</v>
      </c>
      <c r="EI65">
        <v>1</v>
      </c>
      <c r="EJ65">
        <v>0</v>
      </c>
      <c r="EK65" s="10">
        <v>45470</v>
      </c>
      <c r="EL65" s="15">
        <v>-0.46</v>
      </c>
      <c r="EM65" s="15">
        <v>-4.87</v>
      </c>
      <c r="EN65" s="15">
        <v>-0.73</v>
      </c>
      <c r="EO65" s="15">
        <v>1.23</v>
      </c>
      <c r="EP65" s="15">
        <v>-2.1800000000000002</v>
      </c>
    </row>
    <row r="66" spans="1:146" ht="108" x14ac:dyDescent="0.25">
      <c r="A66" s="7"/>
      <c r="B66" s="7"/>
      <c r="C66" s="7" t="str">
        <f>""&amp;CHAR(10)&amp;Basic_Fundamental_Information_Constructure(F66)&amp;CHAR(10)&amp;Basic_Fundamental_Information_Concatenate("")</f>
        <v xml:space="preserve">
市值133.276717亿, 利润30.13亿; PE14.96; 平均PE12.08; 平均PEG.2, PB1.12; ROIC5.2167%; ROE6.92%; 股利率4.5522%; 毛利20.39%; 净利7.1033%; 上一年度营收增277.42%, 利润增325.56%; 当季营收增-65.36%, 利润增-27.46%; 过往5年营收增59.53%, 利润增60.38%
Income profile:
</v>
      </c>
      <c r="D66" t="s">
        <v>821</v>
      </c>
      <c r="E66" t="s">
        <v>822</v>
      </c>
      <c r="F66">
        <v>6.7</v>
      </c>
      <c r="G66">
        <v>0.75</v>
      </c>
      <c r="H66" t="s">
        <v>2806</v>
      </c>
      <c r="I66">
        <v>13327671700</v>
      </c>
      <c r="J66">
        <v>14.96</v>
      </c>
      <c r="K66">
        <v>1.1200000000000001</v>
      </c>
      <c r="L66" t="s">
        <v>1467</v>
      </c>
      <c r="M66" t="s">
        <v>2807</v>
      </c>
      <c r="N66" t="s">
        <v>2808</v>
      </c>
      <c r="O66" t="s">
        <v>2809</v>
      </c>
      <c r="P66">
        <v>-5.44</v>
      </c>
      <c r="Q66" t="s">
        <v>2810</v>
      </c>
      <c r="R66">
        <v>293062520</v>
      </c>
      <c r="S66" s="5">
        <v>-0.1328</v>
      </c>
      <c r="T66" t="s">
        <v>2811</v>
      </c>
      <c r="U66">
        <v>1989204700</v>
      </c>
      <c r="V66">
        <v>1989204700</v>
      </c>
      <c r="W66">
        <v>1.64</v>
      </c>
      <c r="X66">
        <v>0.15</v>
      </c>
      <c r="Y66">
        <v>10.25</v>
      </c>
      <c r="Z66" t="s">
        <v>2812</v>
      </c>
      <c r="AA66" t="s">
        <v>350</v>
      </c>
      <c r="AB66" t="s">
        <v>343</v>
      </c>
      <c r="AC66" t="s">
        <v>530</v>
      </c>
      <c r="AD66" t="s">
        <v>5</v>
      </c>
      <c r="AE66">
        <v>-46200121</v>
      </c>
      <c r="AF66" t="s">
        <v>2813</v>
      </c>
      <c r="AG66" t="s">
        <v>2814</v>
      </c>
      <c r="AH66" t="s">
        <v>2815</v>
      </c>
      <c r="AI66" t="s">
        <v>2816</v>
      </c>
      <c r="AJ66" t="s">
        <v>2817</v>
      </c>
      <c r="AK66" t="s">
        <v>2818</v>
      </c>
      <c r="AL66" t="s">
        <v>2819</v>
      </c>
      <c r="AM66" t="s">
        <v>5</v>
      </c>
      <c r="AN66" t="s">
        <v>612</v>
      </c>
      <c r="AO66" t="s">
        <v>1410</v>
      </c>
      <c r="AP66" t="s">
        <v>2820</v>
      </c>
      <c r="AQ66" t="s">
        <v>2821</v>
      </c>
      <c r="AR66" t="s">
        <v>2822</v>
      </c>
      <c r="AS66" t="s">
        <v>2823</v>
      </c>
      <c r="AT66" t="s">
        <v>5</v>
      </c>
      <c r="AU66" t="s">
        <v>2824</v>
      </c>
      <c r="AV66" t="s">
        <v>2825</v>
      </c>
      <c r="AW66" t="s">
        <v>2826</v>
      </c>
      <c r="AX66" t="s">
        <v>1114</v>
      </c>
      <c r="AY66" t="s">
        <v>2827</v>
      </c>
      <c r="AZ66" t="s">
        <v>2828</v>
      </c>
      <c r="BA66" t="s">
        <v>823</v>
      </c>
      <c r="BB66" t="s">
        <v>824</v>
      </c>
      <c r="BC66" t="s">
        <v>565</v>
      </c>
      <c r="BD66" t="s">
        <v>452</v>
      </c>
      <c r="BE66" t="s">
        <v>820</v>
      </c>
      <c r="BF66" t="s">
        <v>109</v>
      </c>
      <c r="BG66" t="s">
        <v>825</v>
      </c>
      <c r="BH66" t="s">
        <v>2829</v>
      </c>
      <c r="BI66" t="s">
        <v>2830</v>
      </c>
      <c r="BJ66" t="s">
        <v>1114</v>
      </c>
      <c r="BK66" t="s">
        <v>491</v>
      </c>
      <c r="BL66" t="s">
        <v>1255</v>
      </c>
      <c r="BM66" t="s">
        <v>565</v>
      </c>
      <c r="BN66">
        <v>6.77</v>
      </c>
      <c r="BO66">
        <v>4.5199999999999996</v>
      </c>
      <c r="BP66">
        <v>4.3600000000000003</v>
      </c>
      <c r="BQ66">
        <v>8.42</v>
      </c>
      <c r="BR66">
        <v>6.4</v>
      </c>
      <c r="BS66">
        <v>5.94</v>
      </c>
      <c r="BT66" t="s">
        <v>2831</v>
      </c>
      <c r="BU66" t="s">
        <v>82</v>
      </c>
      <c r="BV66">
        <v>21.41</v>
      </c>
      <c r="BW66">
        <v>19.55</v>
      </c>
      <c r="BX66">
        <v>20.21</v>
      </c>
      <c r="BY66">
        <v>8.5</v>
      </c>
      <c r="BZ66">
        <v>6.26</v>
      </c>
      <c r="CA66">
        <v>6.55</v>
      </c>
      <c r="CB66">
        <v>1.1299999999999999</v>
      </c>
      <c r="CC66">
        <v>-3.25</v>
      </c>
      <c r="CD66" t="s">
        <v>2832</v>
      </c>
      <c r="CE66" t="s">
        <v>1395</v>
      </c>
      <c r="CF66" s="11">
        <v>-0.65361873226111633</v>
      </c>
      <c r="CG66" s="12">
        <v>-0.27459772277227723</v>
      </c>
      <c r="CH66" s="11">
        <v>2.7741935253143311</v>
      </c>
      <c r="CI66" s="11">
        <v>0.15781651437282562</v>
      </c>
      <c r="CJ66" s="11">
        <v>0.16572350263595581</v>
      </c>
      <c r="CK66" s="11">
        <v>-1.9698869436979294E-2</v>
      </c>
      <c r="CL66" s="11">
        <v>-0.10160690546035767</v>
      </c>
      <c r="CM66" s="12">
        <v>3.2556495666503906</v>
      </c>
      <c r="CN66" s="12">
        <v>0.10625000298023224</v>
      </c>
      <c r="CO66" s="12">
        <v>4.2345277965068817E-2</v>
      </c>
      <c r="CP66" s="12">
        <v>0.10233393311500549</v>
      </c>
      <c r="CQ66" s="12">
        <v>-0.48758053779602051</v>
      </c>
      <c r="CR66">
        <v>12.081285722918869</v>
      </c>
      <c r="CS66">
        <v>0.20294941901727412</v>
      </c>
      <c r="CT66">
        <v>4.5522388059701493</v>
      </c>
      <c r="CU66" s="11">
        <v>0.59528555348515511</v>
      </c>
      <c r="CV66" s="12">
        <v>0.60379964858293533</v>
      </c>
      <c r="CW66">
        <v>0.06</v>
      </c>
      <c r="CX66">
        <v>1.8228311981185321</v>
      </c>
      <c r="CY66">
        <v>4534523936.4629927</v>
      </c>
      <c r="CZ66">
        <v>0.59528555348515511</v>
      </c>
      <c r="DA66">
        <v>0.39875986439809319</v>
      </c>
      <c r="DB66">
        <v>20728444454.851524</v>
      </c>
      <c r="DC66">
        <v>0.56552127581089728</v>
      </c>
      <c r="DD66">
        <v>0.1066870600013828</v>
      </c>
      <c r="DE66">
        <v>77475859770.55574</v>
      </c>
      <c r="DF66">
        <v>0.52385128706693651</v>
      </c>
      <c r="DG66">
        <v>2.9248211402958697E-2</v>
      </c>
      <c r="DH66">
        <v>282604347531.61896</v>
      </c>
      <c r="DI66">
        <v>0.4762284427881241</v>
      </c>
      <c r="DJ66">
        <v>2.0949780683434576E-3</v>
      </c>
      <c r="DK66">
        <v>3945469322519.3701</v>
      </c>
      <c r="DL66">
        <v>0.41669988743960856</v>
      </c>
      <c r="DM66">
        <v>3013000000</v>
      </c>
      <c r="DN66">
        <v>0.59528555348515511</v>
      </c>
      <c r="DO66">
        <v>8265671700</v>
      </c>
      <c r="DP66">
        <v>8026947000</v>
      </c>
      <c r="DQ66">
        <v>3785</v>
      </c>
      <c r="DR66">
        <v>-1.2489042857462715</v>
      </c>
      <c r="DS66">
        <v>-0.87839737135521256</v>
      </c>
      <c r="DT66" s="13">
        <v>0.14333333333333331</v>
      </c>
      <c r="DU66">
        <v>-2.0000000000000018E-2</v>
      </c>
      <c r="DV66">
        <v>0.12333333333333329</v>
      </c>
      <c r="DW66">
        <v>-1.0325</v>
      </c>
      <c r="DX66">
        <v>0.29141450617283826</v>
      </c>
      <c r="DY66">
        <v>-1.0042709714506173</v>
      </c>
      <c r="DZ66">
        <v>2655</v>
      </c>
      <c r="EA66">
        <v>-1.0020519050706977</v>
      </c>
      <c r="EB66">
        <v>1</v>
      </c>
      <c r="EC66">
        <v>2.1404684997979342E-2</v>
      </c>
      <c r="ED66">
        <v>0.16287916472346964</v>
      </c>
      <c r="EE66" s="14">
        <v>4.0727099999999998</v>
      </c>
      <c r="EF66">
        <v>4.0784099999999999</v>
      </c>
      <c r="EG66">
        <v>16.131414506172838</v>
      </c>
      <c r="EH66" t="s">
        <v>1230</v>
      </c>
      <c r="EI66">
        <v>0</v>
      </c>
      <c r="EJ66">
        <v>0</v>
      </c>
      <c r="EK66" s="10">
        <v>45470</v>
      </c>
      <c r="EL66" s="15">
        <v>0.91</v>
      </c>
      <c r="EM66" s="15">
        <v>-1.01</v>
      </c>
      <c r="EN66" s="15">
        <v>0.34</v>
      </c>
      <c r="EO66" s="15">
        <v>-0.34</v>
      </c>
      <c r="EP66" s="15">
        <v>-0.56999999999999995</v>
      </c>
    </row>
    <row r="67" spans="1:146" ht="108" x14ac:dyDescent="0.25">
      <c r="A67" s="7"/>
      <c r="B67" s="7"/>
      <c r="C67" s="7" t="str">
        <f>""&amp;CHAR(10)&amp;Basic_Fundamental_Information_Constructure(F67)&amp;CHAR(10)&amp;Basic_Fundamental_Information_Concatenate("")</f>
        <v xml:space="preserve">
市值183.47216亿, 利润115.46亿; PE11.57; 平均PE6.26; 平均PEG.1, PB1.36; ROIC9.3967%; ROE10.4367%; 股利率2.69%; 毛利37.0833%; 净利12.97%; 上一年度营收增272.21%, 利润增726.49%; 当季营收增-72.32%, 利润增-90.73%; 过往5年营收增60.54%, 利润增153.99%
Income profile:
</v>
      </c>
      <c r="D67" t="s">
        <v>826</v>
      </c>
      <c r="E67" t="s">
        <v>827</v>
      </c>
      <c r="F67">
        <v>14.87</v>
      </c>
      <c r="G67">
        <v>3.48</v>
      </c>
      <c r="H67" t="s">
        <v>2833</v>
      </c>
      <c r="I67">
        <v>18347216000</v>
      </c>
      <c r="J67">
        <v>11.57</v>
      </c>
      <c r="K67">
        <v>1.36</v>
      </c>
      <c r="L67" t="s">
        <v>1467</v>
      </c>
      <c r="M67" t="s">
        <v>2834</v>
      </c>
      <c r="N67" t="s">
        <v>2835</v>
      </c>
      <c r="O67" t="s">
        <v>2836</v>
      </c>
      <c r="P67">
        <v>7.04</v>
      </c>
      <c r="Q67" t="s">
        <v>2837</v>
      </c>
      <c r="R67">
        <v>206287040</v>
      </c>
      <c r="S67" s="5">
        <v>3.3300000000000003E-2</v>
      </c>
      <c r="T67" t="s">
        <v>2838</v>
      </c>
      <c r="U67">
        <v>791903900</v>
      </c>
      <c r="V67">
        <v>1233841000</v>
      </c>
      <c r="W67">
        <v>1.64</v>
      </c>
      <c r="X67">
        <v>0.11</v>
      </c>
      <c r="Y67">
        <v>8.57</v>
      </c>
      <c r="Z67" t="s">
        <v>2839</v>
      </c>
      <c r="AA67" t="s">
        <v>2840</v>
      </c>
      <c r="AB67" t="s">
        <v>411</v>
      </c>
      <c r="AC67" t="s">
        <v>1241</v>
      </c>
      <c r="AD67" t="s">
        <v>5</v>
      </c>
      <c r="AE67">
        <v>-48000456</v>
      </c>
      <c r="AF67" t="s">
        <v>2841</v>
      </c>
      <c r="AG67" t="s">
        <v>2842</v>
      </c>
      <c r="AH67" t="s">
        <v>2843</v>
      </c>
      <c r="AI67" t="s">
        <v>2844</v>
      </c>
      <c r="AJ67" t="s">
        <v>2845</v>
      </c>
      <c r="AK67" t="s">
        <v>2846</v>
      </c>
      <c r="AL67" t="s">
        <v>2847</v>
      </c>
      <c r="AM67" t="s">
        <v>5</v>
      </c>
      <c r="AN67" t="s">
        <v>2848</v>
      </c>
      <c r="AO67" t="s">
        <v>2849</v>
      </c>
      <c r="AP67" t="s">
        <v>2850</v>
      </c>
      <c r="AQ67" t="s">
        <v>2851</v>
      </c>
      <c r="AR67" t="s">
        <v>2852</v>
      </c>
      <c r="AS67" t="s">
        <v>2853</v>
      </c>
      <c r="AT67" t="s">
        <v>5</v>
      </c>
      <c r="AU67" t="s">
        <v>25</v>
      </c>
      <c r="AV67" t="s">
        <v>2854</v>
      </c>
      <c r="AW67" t="s">
        <v>1429</v>
      </c>
      <c r="AX67" t="s">
        <v>1115</v>
      </c>
      <c r="AY67" t="s">
        <v>828</v>
      </c>
      <c r="AZ67" t="s">
        <v>830</v>
      </c>
      <c r="BA67" t="s">
        <v>831</v>
      </c>
      <c r="BB67" t="s">
        <v>832</v>
      </c>
      <c r="BC67" t="s">
        <v>1116</v>
      </c>
      <c r="BD67" t="s">
        <v>829</v>
      </c>
      <c r="BE67" t="s">
        <v>833</v>
      </c>
      <c r="BF67" t="s">
        <v>834</v>
      </c>
      <c r="BG67" t="s">
        <v>397</v>
      </c>
      <c r="BH67" t="s">
        <v>2855</v>
      </c>
      <c r="BI67" t="s">
        <v>2856</v>
      </c>
      <c r="BJ67" t="s">
        <v>1115</v>
      </c>
      <c r="BK67" t="s">
        <v>2857</v>
      </c>
      <c r="BL67" t="s">
        <v>2858</v>
      </c>
      <c r="BM67" t="s">
        <v>1116</v>
      </c>
      <c r="BN67">
        <v>6.5</v>
      </c>
      <c r="BO67">
        <v>10.32</v>
      </c>
      <c r="BP67">
        <v>11.37</v>
      </c>
      <c r="BQ67">
        <v>7.3</v>
      </c>
      <c r="BR67">
        <v>11.78</v>
      </c>
      <c r="BS67">
        <v>12.23</v>
      </c>
      <c r="BT67" t="s">
        <v>2605</v>
      </c>
      <c r="BU67" t="s">
        <v>82</v>
      </c>
      <c r="BV67">
        <v>38.04</v>
      </c>
      <c r="BW67">
        <v>36.75</v>
      </c>
      <c r="BX67">
        <v>36.46</v>
      </c>
      <c r="BY67">
        <v>13.72</v>
      </c>
      <c r="BZ67">
        <v>12.73</v>
      </c>
      <c r="CA67">
        <v>12.46</v>
      </c>
      <c r="CB67">
        <v>6.14</v>
      </c>
      <c r="CC67">
        <v>7.21</v>
      </c>
      <c r="CD67" t="s">
        <v>2859</v>
      </c>
      <c r="CE67" t="s">
        <v>253</v>
      </c>
      <c r="CF67" s="11">
        <v>-0.723235261214901</v>
      </c>
      <c r="CG67" s="12">
        <v>-0.90732837376460018</v>
      </c>
      <c r="CH67" s="11">
        <v>2.7221410274505615</v>
      </c>
      <c r="CI67" s="11">
        <v>4.493303969502449E-2</v>
      </c>
      <c r="CJ67" s="11">
        <v>0.16119007766246796</v>
      </c>
      <c r="CK67" s="11">
        <v>1.8773987889289856E-2</v>
      </c>
      <c r="CL67" s="11">
        <v>8.0004960298538208E-2</v>
      </c>
      <c r="CM67" s="12">
        <v>7.2648539543151855</v>
      </c>
      <c r="CN67" s="12">
        <v>6.9678358733654022E-2</v>
      </c>
      <c r="CO67" s="12">
        <v>3.404587134718895E-2</v>
      </c>
      <c r="CP67" s="12">
        <v>0.10886742174625397</v>
      </c>
      <c r="CQ67" s="12">
        <v>0.22210307419300079</v>
      </c>
      <c r="CR67">
        <v>6.2607800716601263</v>
      </c>
      <c r="CS67">
        <v>0.10341412195529394</v>
      </c>
      <c r="CT67">
        <v>2.6899798251513114</v>
      </c>
      <c r="CU67" s="11">
        <v>0.60540861859917638</v>
      </c>
      <c r="CV67" s="12">
        <v>1.5399097360670566</v>
      </c>
      <c r="CW67">
        <v>0.06</v>
      </c>
      <c r="CX67">
        <v>0.73565136570395262</v>
      </c>
      <c r="CY67">
        <v>17486837651.269897</v>
      </c>
      <c r="CZ67">
        <v>0.60540861859917638</v>
      </c>
      <c r="DA67">
        <v>0.15972956829331508</v>
      </c>
      <c r="DB67">
        <v>80537474291.40448</v>
      </c>
      <c r="DC67">
        <v>0.57513818766921754</v>
      </c>
      <c r="DD67">
        <v>4.2210752128788123E-2</v>
      </c>
      <c r="DE67">
        <v>304761591566.77252</v>
      </c>
      <c r="DF67">
        <v>0.53275958436727522</v>
      </c>
      <c r="DG67">
        <v>1.1379720106290701E-2</v>
      </c>
      <c r="DH67">
        <v>1130451002295.625</v>
      </c>
      <c r="DI67">
        <v>0.48432689487934111</v>
      </c>
      <c r="DJ67">
        <v>7.8120668889244699E-4</v>
      </c>
      <c r="DK67">
        <v>16467109387194.566</v>
      </c>
      <c r="DL67">
        <v>0.42378603301942347</v>
      </c>
      <c r="DM67">
        <v>11546000000</v>
      </c>
      <c r="DN67">
        <v>0.60540861859917638</v>
      </c>
      <c r="DO67">
        <v>12864216000</v>
      </c>
      <c r="DP67">
        <v>6369118000</v>
      </c>
      <c r="DQ67">
        <v>3787</v>
      </c>
      <c r="DR67">
        <v>-1.3286438798140774</v>
      </c>
      <c r="DS67">
        <v>-2.4472381098316567</v>
      </c>
      <c r="DT67" s="13">
        <v>-6.6666666666666714E-3</v>
      </c>
      <c r="DU67">
        <v>-4.0000000000000036E-2</v>
      </c>
      <c r="DV67">
        <v>-4.6666666666666703E-2</v>
      </c>
      <c r="DW67">
        <v>9.8515950069348133</v>
      </c>
      <c r="DX67">
        <v>0.45858870967741922</v>
      </c>
      <c r="DY67">
        <v>9.126537403248177</v>
      </c>
      <c r="DZ67">
        <v>231</v>
      </c>
      <c r="EA67">
        <v>9.1208172192657244</v>
      </c>
      <c r="EB67">
        <v>9</v>
      </c>
      <c r="EC67">
        <v>1.4933042426050034E-2</v>
      </c>
      <c r="ED67">
        <v>0.10049917290801651</v>
      </c>
      <c r="EE67" s="14">
        <v>2.6599999999999999E-2</v>
      </c>
      <c r="EF67">
        <v>7.1000000000000273E-4</v>
      </c>
      <c r="EG67">
        <v>31.148588709677419</v>
      </c>
      <c r="EH67">
        <v>-1</v>
      </c>
      <c r="EI67">
        <v>1</v>
      </c>
      <c r="EJ67">
        <v>1</v>
      </c>
      <c r="EK67" s="10">
        <v>45470</v>
      </c>
      <c r="EL67" s="15">
        <v>-0.59</v>
      </c>
      <c r="EM67" s="15">
        <v>-1.19</v>
      </c>
      <c r="EN67" s="15">
        <v>2.88</v>
      </c>
      <c r="EO67" s="15">
        <v>0.23</v>
      </c>
      <c r="EP67" s="15">
        <v>-2.73</v>
      </c>
    </row>
    <row r="68" spans="1:146" ht="108" x14ac:dyDescent="0.25">
      <c r="A68" s="7"/>
      <c r="B68" s="7"/>
      <c r="C68" s="7" t="str">
        <f>""&amp;CHAR(10)&amp;Basic_Fundamental_Information_Constructure(F68)&amp;CHAR(10)&amp;Basic_Fundamental_Information_Concatenate("")</f>
        <v xml:space="preserve">
市值149.79975亿, 利润16.19亿; PE29.84; 平均PE22.88; 平均PEG1.37, PB2.9; ROIC6.97%; ROE9%; 股利率1.372%; 毛利27.98%; 净利18.2%; 上一年度营收增63.16%, 利润增245.2%; 当季营收增-57.38%, 利润增-91.84%; 过往5年营收增16.74%, 利润增51.13%
Income profile:
</v>
      </c>
      <c r="D68" t="s">
        <v>835</v>
      </c>
      <c r="E68" t="s">
        <v>836</v>
      </c>
      <c r="F68">
        <v>18.95</v>
      </c>
      <c r="G68">
        <v>0.64</v>
      </c>
      <c r="H68" t="s">
        <v>2860</v>
      </c>
      <c r="I68">
        <v>14979975000</v>
      </c>
      <c r="J68">
        <v>29.84</v>
      </c>
      <c r="K68">
        <v>2.9</v>
      </c>
      <c r="L68" t="s">
        <v>1467</v>
      </c>
      <c r="M68" t="s">
        <v>2861</v>
      </c>
      <c r="N68" t="s">
        <v>2862</v>
      </c>
      <c r="O68" t="s">
        <v>839</v>
      </c>
      <c r="P68">
        <v>3.26</v>
      </c>
      <c r="Q68" t="s">
        <v>2863</v>
      </c>
      <c r="R68">
        <v>31400007</v>
      </c>
      <c r="S68" s="5">
        <v>-0.26540000000000002</v>
      </c>
      <c r="T68" t="s">
        <v>667</v>
      </c>
      <c r="U68">
        <v>790500000</v>
      </c>
      <c r="V68">
        <v>790500000</v>
      </c>
      <c r="W68">
        <v>1.33</v>
      </c>
      <c r="X68">
        <v>7.0000000000000007E-2</v>
      </c>
      <c r="Y68">
        <v>6.34</v>
      </c>
      <c r="Z68" t="s">
        <v>585</v>
      </c>
      <c r="AA68" t="s">
        <v>730</v>
      </c>
      <c r="AB68" t="s">
        <v>2864</v>
      </c>
      <c r="AC68" t="s">
        <v>2865</v>
      </c>
      <c r="AD68" t="s">
        <v>5</v>
      </c>
      <c r="AE68">
        <v>-25697031</v>
      </c>
      <c r="AF68" t="s">
        <v>2866</v>
      </c>
      <c r="AG68" t="s">
        <v>2867</v>
      </c>
      <c r="AH68" t="s">
        <v>2868</v>
      </c>
      <c r="AI68" t="s">
        <v>425</v>
      </c>
      <c r="AJ68" t="s">
        <v>2869</v>
      </c>
      <c r="AK68" t="s">
        <v>5</v>
      </c>
      <c r="AL68" t="s">
        <v>2870</v>
      </c>
      <c r="AM68" t="s">
        <v>5</v>
      </c>
      <c r="AN68" t="s">
        <v>351</v>
      </c>
      <c r="AO68" t="s">
        <v>5</v>
      </c>
      <c r="AP68" t="s">
        <v>5</v>
      </c>
      <c r="AQ68" t="s">
        <v>1449</v>
      </c>
      <c r="AR68" t="s">
        <v>5</v>
      </c>
      <c r="AS68" t="s">
        <v>2871</v>
      </c>
      <c r="AT68" t="s">
        <v>2872</v>
      </c>
      <c r="AU68" t="s">
        <v>2873</v>
      </c>
      <c r="AV68" t="s">
        <v>2874</v>
      </c>
      <c r="AW68" t="s">
        <v>2875</v>
      </c>
      <c r="AX68" t="s">
        <v>776</v>
      </c>
      <c r="AY68" t="s">
        <v>485</v>
      </c>
      <c r="AZ68" t="s">
        <v>837</v>
      </c>
      <c r="BA68" t="s">
        <v>838</v>
      </c>
      <c r="BB68" t="s">
        <v>693</v>
      </c>
      <c r="BC68" t="s">
        <v>440</v>
      </c>
      <c r="BD68" t="s">
        <v>531</v>
      </c>
      <c r="BE68" t="s">
        <v>839</v>
      </c>
      <c r="BF68" t="s">
        <v>839</v>
      </c>
      <c r="BG68" t="s">
        <v>229</v>
      </c>
      <c r="BH68" t="s">
        <v>2876</v>
      </c>
      <c r="BI68" t="s">
        <v>1277</v>
      </c>
      <c r="BJ68" t="s">
        <v>776</v>
      </c>
      <c r="BK68" t="s">
        <v>1313</v>
      </c>
      <c r="BL68" t="s">
        <v>409</v>
      </c>
      <c r="BM68" t="s">
        <v>440</v>
      </c>
      <c r="BN68">
        <v>4.37</v>
      </c>
      <c r="BO68">
        <v>7.82</v>
      </c>
      <c r="BP68">
        <v>8.7200000000000006</v>
      </c>
      <c r="BQ68">
        <v>5.98</v>
      </c>
      <c r="BR68">
        <v>9.9700000000000006</v>
      </c>
      <c r="BS68">
        <v>11.05</v>
      </c>
      <c r="BT68" t="s">
        <v>2877</v>
      </c>
      <c r="BU68" t="s">
        <v>82</v>
      </c>
      <c r="BV68">
        <v>26.72</v>
      </c>
      <c r="BW68">
        <v>27.35</v>
      </c>
      <c r="BX68">
        <v>29.87</v>
      </c>
      <c r="BY68">
        <v>18.28</v>
      </c>
      <c r="BZ68">
        <v>17.600000000000001</v>
      </c>
      <c r="CA68">
        <v>18.72</v>
      </c>
      <c r="CB68">
        <v>-0.89</v>
      </c>
      <c r="CC68">
        <v>-14.21</v>
      </c>
      <c r="CD68" t="s">
        <v>2878</v>
      </c>
      <c r="CE68" t="s">
        <v>441</v>
      </c>
      <c r="CF68" s="11">
        <v>-0.57378551787351051</v>
      </c>
      <c r="CG68" s="12">
        <v>-0.91844154025974023</v>
      </c>
      <c r="CH68" s="11">
        <v>0.63159829378128052</v>
      </c>
      <c r="CI68" s="11">
        <v>2.8864413499832153E-2</v>
      </c>
      <c r="CJ68" s="11">
        <v>4.3185394257307053E-2</v>
      </c>
      <c r="CK68" s="11">
        <v>6.3795852474868298E-3</v>
      </c>
      <c r="CL68" s="11">
        <v>0.12719103693962097</v>
      </c>
      <c r="CM68" s="12">
        <v>2.4520258903503418</v>
      </c>
      <c r="CN68" s="12">
        <v>-3.4979425370693207E-2</v>
      </c>
      <c r="CO68" s="12">
        <v>4.516129195690155E-2</v>
      </c>
      <c r="CP68" s="12">
        <v>0</v>
      </c>
      <c r="CQ68" s="12">
        <v>9.4117648899555206E-2</v>
      </c>
      <c r="CR68">
        <v>22.876011707813692</v>
      </c>
      <c r="CS68">
        <v>1.3661908805633287</v>
      </c>
      <c r="CT68">
        <v>1.3720316622691293</v>
      </c>
      <c r="CU68" s="11">
        <v>0.16744374474510551</v>
      </c>
      <c r="CV68" s="12">
        <v>0.51126508116722102</v>
      </c>
      <c r="CW68">
        <v>0.06</v>
      </c>
      <c r="CX68">
        <v>6.5139036936831083</v>
      </c>
      <c r="CY68">
        <v>1783105115.7946475</v>
      </c>
      <c r="CZ68">
        <v>0.16744374474510551</v>
      </c>
      <c r="DA68">
        <v>1.9947406948855086</v>
      </c>
      <c r="DB68">
        <v>5822799439.4362421</v>
      </c>
      <c r="DC68">
        <v>0.15907155750785024</v>
      </c>
      <c r="DD68">
        <v>0.89802947130520372</v>
      </c>
      <c r="DE68">
        <v>12933846127.698566</v>
      </c>
      <c r="DF68">
        <v>0.14735049537569286</v>
      </c>
      <c r="DG68">
        <v>0.4859137303008137</v>
      </c>
      <c r="DH68">
        <v>23903368593.452873</v>
      </c>
      <c r="DI68">
        <v>0.13395499579608441</v>
      </c>
      <c r="DJ68">
        <v>0.19736278960620715</v>
      </c>
      <c r="DK68">
        <v>58850885839.093872</v>
      </c>
      <c r="DL68">
        <v>0.11721062132157385</v>
      </c>
      <c r="DM68">
        <v>1619000000.0000002</v>
      </c>
      <c r="DN68">
        <v>0.16744374474510551</v>
      </c>
      <c r="DO68">
        <v>11614975000</v>
      </c>
      <c r="DP68">
        <v>1578906200</v>
      </c>
      <c r="DQ68">
        <v>3795</v>
      </c>
      <c r="DR68">
        <v>-0.74122926261861599</v>
      </c>
      <c r="DS68">
        <v>-1.4297066214269614</v>
      </c>
      <c r="DT68" s="13">
        <v>-0.10666666666666669</v>
      </c>
      <c r="DU68">
        <v>-0.14000000000000004</v>
      </c>
      <c r="DV68">
        <v>-0.24666666666666673</v>
      </c>
      <c r="DW68">
        <v>-2.1421000000000001</v>
      </c>
      <c r="DX68">
        <v>0.32578353658536657</v>
      </c>
      <c r="DY68">
        <v>-2.0178738405487806</v>
      </c>
      <c r="DZ68">
        <v>977</v>
      </c>
      <c r="EA68">
        <v>-2.0144564741659705</v>
      </c>
      <c r="EB68">
        <v>2</v>
      </c>
      <c r="EC68">
        <v>2.60955091714105E-2</v>
      </c>
      <c r="ED68">
        <v>0.20746363061353573</v>
      </c>
      <c r="EE68" s="14">
        <v>1.0719099999999999</v>
      </c>
      <c r="EF68">
        <v>1.07291</v>
      </c>
      <c r="EG68">
        <v>20.125783536585367</v>
      </c>
      <c r="EH68" t="s">
        <v>2217</v>
      </c>
      <c r="EI68">
        <v>0</v>
      </c>
      <c r="EJ68">
        <v>1</v>
      </c>
      <c r="EK68" s="10">
        <v>45470</v>
      </c>
      <c r="EL68" s="15">
        <v>-0.89</v>
      </c>
      <c r="EM68" s="15">
        <v>0.6</v>
      </c>
      <c r="EN68" s="15">
        <v>0.2</v>
      </c>
      <c r="EO68" s="15">
        <v>-1.22</v>
      </c>
      <c r="EP68" s="15">
        <v>-0.1</v>
      </c>
    </row>
    <row r="69" spans="1:146" ht="108" x14ac:dyDescent="0.25">
      <c r="A69" s="7"/>
      <c r="B69" s="7"/>
      <c r="C69" s="7" t="str">
        <f>""&amp;CHAR(10)&amp;Basic_Fundamental_Information_Constructure(F69)&amp;CHAR(10)&amp;Basic_Fundamental_Information_Concatenate("")</f>
        <v xml:space="preserve">
市值111.62622亿, 利润21.52亿; PE9.26; 平均PE10.76; 平均PEG1.75, PB1.38; ROIC10.0367%; ROE11.2333%; 股利率4.3339%; 毛利30.6067%; 净利12.65%; 上一年度营收增-21.43%, 利润增125.34%; 当季营收增17.77%, 利润增-72.61%; 过往5年营收增6.14%, 利润增33.4%
Income profile:
</v>
      </c>
      <c r="D69" t="s">
        <v>841</v>
      </c>
      <c r="E69" t="s">
        <v>842</v>
      </c>
      <c r="F69">
        <v>12.46</v>
      </c>
      <c r="G69">
        <v>1.63</v>
      </c>
      <c r="H69" t="s">
        <v>2879</v>
      </c>
      <c r="I69">
        <v>11162622000</v>
      </c>
      <c r="J69">
        <v>9.26</v>
      </c>
      <c r="K69">
        <v>1.38</v>
      </c>
      <c r="L69" t="s">
        <v>1467</v>
      </c>
      <c r="M69" t="s">
        <v>2880</v>
      </c>
      <c r="N69" t="s">
        <v>2881</v>
      </c>
      <c r="O69" t="s">
        <v>1269</v>
      </c>
      <c r="P69">
        <v>-4.8600000000000003</v>
      </c>
      <c r="Q69" t="s">
        <v>2882</v>
      </c>
      <c r="R69">
        <v>152300510</v>
      </c>
      <c r="S69" s="5">
        <v>-0.33960000000000001</v>
      </c>
      <c r="T69" t="s">
        <v>2883</v>
      </c>
      <c r="U69">
        <v>895876570</v>
      </c>
      <c r="V69">
        <v>895876570</v>
      </c>
      <c r="W69">
        <v>1.91</v>
      </c>
      <c r="X69">
        <v>0.13</v>
      </c>
      <c r="Y69">
        <v>8.17</v>
      </c>
      <c r="Z69" t="s">
        <v>1274</v>
      </c>
      <c r="AA69" t="s">
        <v>996</v>
      </c>
      <c r="AB69" t="s">
        <v>285</v>
      </c>
      <c r="AC69" t="s">
        <v>250</v>
      </c>
      <c r="AD69" t="s">
        <v>5</v>
      </c>
      <c r="AE69">
        <v>-19934793</v>
      </c>
      <c r="AF69" t="s">
        <v>2884</v>
      </c>
      <c r="AG69" t="s">
        <v>2885</v>
      </c>
      <c r="AH69" t="s">
        <v>2886</v>
      </c>
      <c r="AI69" t="s">
        <v>519</v>
      </c>
      <c r="AJ69" t="s">
        <v>2887</v>
      </c>
      <c r="AK69" t="s">
        <v>2888</v>
      </c>
      <c r="AL69" t="s">
        <v>2889</v>
      </c>
      <c r="AM69" t="s">
        <v>5</v>
      </c>
      <c r="AN69" t="s">
        <v>339</v>
      </c>
      <c r="AO69" t="s">
        <v>5</v>
      </c>
      <c r="AP69" t="s">
        <v>2890</v>
      </c>
      <c r="AQ69" t="s">
        <v>2891</v>
      </c>
      <c r="AR69" t="s">
        <v>2892</v>
      </c>
      <c r="AS69" t="s">
        <v>387</v>
      </c>
      <c r="AT69" t="s">
        <v>2893</v>
      </c>
      <c r="AU69" t="s">
        <v>1342</v>
      </c>
      <c r="AV69" t="s">
        <v>2894</v>
      </c>
      <c r="AW69" t="s">
        <v>267</v>
      </c>
      <c r="AX69" t="s">
        <v>2895</v>
      </c>
      <c r="AY69" t="s">
        <v>1117</v>
      </c>
      <c r="AZ69" t="s">
        <v>844</v>
      </c>
      <c r="BA69" t="s">
        <v>845</v>
      </c>
      <c r="BB69" t="s">
        <v>846</v>
      </c>
      <c r="BC69" t="s">
        <v>1249</v>
      </c>
      <c r="BD69" t="s">
        <v>1074</v>
      </c>
      <c r="BE69" t="s">
        <v>348</v>
      </c>
      <c r="BF69" t="s">
        <v>428</v>
      </c>
      <c r="BG69" t="s">
        <v>508</v>
      </c>
      <c r="BH69" t="s">
        <v>2896</v>
      </c>
      <c r="BI69" t="s">
        <v>2897</v>
      </c>
      <c r="BJ69" t="s">
        <v>2895</v>
      </c>
      <c r="BK69" t="s">
        <v>754</v>
      </c>
      <c r="BL69" t="s">
        <v>1456</v>
      </c>
      <c r="BM69" t="s">
        <v>1249</v>
      </c>
      <c r="BN69">
        <v>8.11</v>
      </c>
      <c r="BO69">
        <v>11.7</v>
      </c>
      <c r="BP69">
        <v>10.3</v>
      </c>
      <c r="BQ69">
        <v>9.1999999999999993</v>
      </c>
      <c r="BR69">
        <v>12.69</v>
      </c>
      <c r="BS69">
        <v>11.81</v>
      </c>
      <c r="BT69" t="s">
        <v>2898</v>
      </c>
      <c r="BU69" t="s">
        <v>82</v>
      </c>
      <c r="BV69">
        <v>31.83</v>
      </c>
      <c r="BW69">
        <v>31.39</v>
      </c>
      <c r="BX69">
        <v>28.6</v>
      </c>
      <c r="BY69">
        <v>15.39</v>
      </c>
      <c r="BZ69">
        <v>11.73</v>
      </c>
      <c r="CA69">
        <v>10.83</v>
      </c>
      <c r="CB69">
        <v>4.79</v>
      </c>
      <c r="CC69">
        <v>-7.77</v>
      </c>
      <c r="CD69" t="s">
        <v>2899</v>
      </c>
      <c r="CE69" t="s">
        <v>1458</v>
      </c>
      <c r="CF69" s="11">
        <v>0.17766497461928935</v>
      </c>
      <c r="CG69" s="12">
        <v>-0.72607821942446038</v>
      </c>
      <c r="CH69" s="11">
        <v>-0.21432514488697052</v>
      </c>
      <c r="CI69" s="11">
        <v>6.6501908004283905E-2</v>
      </c>
      <c r="CJ69" s="11">
        <v>0.23183993995189667</v>
      </c>
      <c r="CK69" s="11">
        <v>5.7011451572179794E-2</v>
      </c>
      <c r="CL69" s="11">
        <v>0.16580310463905334</v>
      </c>
      <c r="CM69" s="12">
        <v>1.2534030675888062</v>
      </c>
      <c r="CN69" s="12">
        <v>-1.4447884634137154E-2</v>
      </c>
      <c r="CO69" s="12">
        <v>0.27500000596046448</v>
      </c>
      <c r="CP69" s="12">
        <v>3.6834925413131714E-2</v>
      </c>
      <c r="CQ69" s="12">
        <v>0.11908397078514099</v>
      </c>
      <c r="CR69">
        <v>10.7608823907455</v>
      </c>
      <c r="CS69">
        <v>1.7535505371879458</v>
      </c>
      <c r="CT69">
        <v>4.3338683788121992</v>
      </c>
      <c r="CU69" s="11">
        <v>6.1366251856088641E-2</v>
      </c>
      <c r="CV69" s="12">
        <v>0.33397481702268123</v>
      </c>
      <c r="CW69">
        <v>0.06</v>
      </c>
      <c r="CX69">
        <v>4.5088826630999641</v>
      </c>
      <c r="CY69">
        <v>2154773749.051229</v>
      </c>
      <c r="CZ69">
        <v>6.1366251856088641E-2</v>
      </c>
      <c r="DA69">
        <v>1.5097413279158591</v>
      </c>
      <c r="DB69">
        <v>6435289158.7143936</v>
      </c>
      <c r="DC69">
        <v>5.8297939263284207E-2</v>
      </c>
      <c r="DD69">
        <v>0.7675059860998048</v>
      </c>
      <c r="DE69">
        <v>12658692148.280655</v>
      </c>
      <c r="DF69">
        <v>5.4002301633358007E-2</v>
      </c>
      <c r="DG69">
        <v>0.47768546933033657</v>
      </c>
      <c r="DH69">
        <v>20338952352.099495</v>
      </c>
      <c r="DI69">
        <v>4.9093001484870918E-2</v>
      </c>
      <c r="DJ69">
        <v>0.26645262052070123</v>
      </c>
      <c r="DK69">
        <v>36462850247.123665</v>
      </c>
      <c r="DL69">
        <v>4.2956376299262043E-2</v>
      </c>
      <c r="DM69">
        <v>2152000000</v>
      </c>
      <c r="DN69">
        <v>6.1366251856088641E-2</v>
      </c>
      <c r="DO69">
        <v>9715622000</v>
      </c>
      <c r="DP69">
        <v>1771784700</v>
      </c>
      <c r="DQ69">
        <v>3812</v>
      </c>
      <c r="DR69">
        <v>0.1162987227632007</v>
      </c>
      <c r="DS69">
        <v>-1.0600530364471417</v>
      </c>
      <c r="DT69" s="13">
        <v>-0.37333333333333335</v>
      </c>
      <c r="DU69">
        <v>2.6666666666666616E-2</v>
      </c>
      <c r="DV69">
        <v>-0.34666666666666673</v>
      </c>
      <c r="DW69">
        <v>6.3813694267515926</v>
      </c>
      <c r="DX69">
        <v>0.33870797101449185</v>
      </c>
      <c r="DY69">
        <v>6.0567126736591899</v>
      </c>
      <c r="DZ69">
        <v>342</v>
      </c>
      <c r="EA69">
        <v>6.0529170309211384</v>
      </c>
      <c r="EB69">
        <v>6</v>
      </c>
      <c r="EC69">
        <v>4.5813677212252574E-2</v>
      </c>
      <c r="ED69">
        <v>0.30807815411446693</v>
      </c>
      <c r="EE69" s="14">
        <v>3.00481</v>
      </c>
      <c r="EF69">
        <v>3.0257100000000001</v>
      </c>
      <c r="EG69">
        <v>19.148707971014492</v>
      </c>
      <c r="EH69" t="s">
        <v>1030</v>
      </c>
      <c r="EI69">
        <v>0</v>
      </c>
      <c r="EJ69">
        <v>1</v>
      </c>
      <c r="EK69" s="10">
        <v>45470</v>
      </c>
      <c r="EL69" s="15">
        <v>-1.37</v>
      </c>
      <c r="EM69" s="15">
        <v>0.87</v>
      </c>
      <c r="EN69" s="15">
        <v>-0.69</v>
      </c>
      <c r="EO69" s="15">
        <v>-0.52</v>
      </c>
      <c r="EP69" s="15">
        <v>-2.09</v>
      </c>
    </row>
    <row r="70" spans="1:146" ht="108" x14ac:dyDescent="0.25">
      <c r="A70" s="7"/>
      <c r="B70" s="7"/>
      <c r="C70" s="7" t="str">
        <f>""&amp;CHAR(10)&amp;Basic_Fundamental_Information_Constructure(F70)&amp;CHAR(10)&amp;Basic_Fundamental_Information_Concatenate("")</f>
        <v xml:space="preserve">
市值172亿, 利润29.52亿; PE11.67; 平均PE11.49; 平均PEG1.64, PB1.28; ROIC7.7533%; ROE10.38%; 股利率5.0388%; 毛利27.3233%; 净利12.1933%; 上一年度营收增15.78%, 利润增108.77%; 当季营收增-16.47%, 利润增-77.14%; 过往5年营收增6.99%, 利润增28.03%
Income profile:
</v>
      </c>
      <c r="D70" t="s">
        <v>848</v>
      </c>
      <c r="E70" t="s">
        <v>849</v>
      </c>
      <c r="F70">
        <v>7.74</v>
      </c>
      <c r="G70">
        <v>1.84</v>
      </c>
      <c r="H70" t="s">
        <v>2900</v>
      </c>
      <c r="I70">
        <v>17200000000</v>
      </c>
      <c r="J70">
        <v>11.67</v>
      </c>
      <c r="K70">
        <v>1.28</v>
      </c>
      <c r="L70" t="s">
        <v>1467</v>
      </c>
      <c r="M70" t="s">
        <v>2901</v>
      </c>
      <c r="N70" t="s">
        <v>2902</v>
      </c>
      <c r="O70" t="s">
        <v>2903</v>
      </c>
      <c r="P70">
        <v>0.63</v>
      </c>
      <c r="Q70" t="s">
        <v>2904</v>
      </c>
      <c r="R70">
        <v>110404070</v>
      </c>
      <c r="S70" s="5">
        <v>-0.2424</v>
      </c>
      <c r="T70" t="s">
        <v>2905</v>
      </c>
      <c r="U70">
        <v>422221960</v>
      </c>
      <c r="V70">
        <v>2222222200</v>
      </c>
      <c r="W70">
        <v>1.69</v>
      </c>
      <c r="X70">
        <v>0.12</v>
      </c>
      <c r="Y70">
        <v>4.1100000000000003</v>
      </c>
      <c r="Z70" t="s">
        <v>2906</v>
      </c>
      <c r="AA70" t="s">
        <v>1399</v>
      </c>
      <c r="AB70" t="s">
        <v>730</v>
      </c>
      <c r="AC70" t="s">
        <v>505</v>
      </c>
      <c r="AD70" t="s">
        <v>5</v>
      </c>
      <c r="AE70">
        <v>-89692825</v>
      </c>
      <c r="AF70" t="s">
        <v>2907</v>
      </c>
      <c r="AG70" t="s">
        <v>2908</v>
      </c>
      <c r="AH70" t="s">
        <v>2909</v>
      </c>
      <c r="AI70" t="s">
        <v>2910</v>
      </c>
      <c r="AJ70" t="s">
        <v>2911</v>
      </c>
      <c r="AK70" t="s">
        <v>2912</v>
      </c>
      <c r="AL70" t="s">
        <v>2913</v>
      </c>
      <c r="AM70" t="s">
        <v>5</v>
      </c>
      <c r="AN70" t="s">
        <v>26</v>
      </c>
      <c r="AO70" t="s">
        <v>5</v>
      </c>
      <c r="AP70" t="s">
        <v>2914</v>
      </c>
      <c r="AQ70" t="s">
        <v>2915</v>
      </c>
      <c r="AR70" t="s">
        <v>2916</v>
      </c>
      <c r="AS70" t="s">
        <v>2917</v>
      </c>
      <c r="AT70" t="s">
        <v>5</v>
      </c>
      <c r="AU70" t="s">
        <v>244</v>
      </c>
      <c r="AV70" t="s">
        <v>2918</v>
      </c>
      <c r="AW70" t="s">
        <v>2919</v>
      </c>
      <c r="AX70" t="s">
        <v>1118</v>
      </c>
      <c r="AY70" t="s">
        <v>850</v>
      </c>
      <c r="AZ70" t="s">
        <v>852</v>
      </c>
      <c r="BA70" t="s">
        <v>853</v>
      </c>
      <c r="BB70" t="s">
        <v>854</v>
      </c>
      <c r="BC70" t="s">
        <v>766</v>
      </c>
      <c r="BD70" t="s">
        <v>851</v>
      </c>
      <c r="BE70" t="s">
        <v>855</v>
      </c>
      <c r="BF70" t="s">
        <v>856</v>
      </c>
      <c r="BG70" t="s">
        <v>857</v>
      </c>
      <c r="BH70" t="s">
        <v>2920</v>
      </c>
      <c r="BI70" t="s">
        <v>258</v>
      </c>
      <c r="BJ70" t="s">
        <v>1118</v>
      </c>
      <c r="BK70" t="s">
        <v>1725</v>
      </c>
      <c r="BL70" t="s">
        <v>2167</v>
      </c>
      <c r="BM70" t="s">
        <v>766</v>
      </c>
      <c r="BN70">
        <v>4.62</v>
      </c>
      <c r="BO70">
        <v>8.25</v>
      </c>
      <c r="BP70">
        <v>10.39</v>
      </c>
      <c r="BQ70">
        <v>6.55</v>
      </c>
      <c r="BR70">
        <v>11.5</v>
      </c>
      <c r="BS70">
        <v>13.09</v>
      </c>
      <c r="BT70" t="s">
        <v>1112</v>
      </c>
      <c r="BU70" t="s">
        <v>82</v>
      </c>
      <c r="BV70">
        <v>27</v>
      </c>
      <c r="BW70">
        <v>27.76</v>
      </c>
      <c r="BX70">
        <v>27.21</v>
      </c>
      <c r="BY70">
        <v>12.96</v>
      </c>
      <c r="BZ70">
        <v>12.03</v>
      </c>
      <c r="CA70">
        <v>11.59</v>
      </c>
      <c r="CB70">
        <v>1.31</v>
      </c>
      <c r="CC70">
        <v>-6.07</v>
      </c>
      <c r="CD70" t="s">
        <v>2921</v>
      </c>
      <c r="CE70" t="s">
        <v>611</v>
      </c>
      <c r="CF70" s="11">
        <v>-0.16470951792336216</v>
      </c>
      <c r="CG70" s="12">
        <v>-0.77142014492753619</v>
      </c>
      <c r="CH70" s="11">
        <v>0.1578277200460434</v>
      </c>
      <c r="CI70" s="11">
        <v>3.4225501120090485E-2</v>
      </c>
      <c r="CJ70" s="11">
        <v>0.16180671751499176</v>
      </c>
      <c r="CK70" s="11">
        <v>-3.6826089024543762E-2</v>
      </c>
      <c r="CL70" s="11">
        <v>3.2653875648975372E-2</v>
      </c>
      <c r="CM70" s="12">
        <v>1.087694525718689</v>
      </c>
      <c r="CN70" s="12">
        <v>7.3652289807796478E-2</v>
      </c>
      <c r="CO70" s="12">
        <v>0.14621411263942719</v>
      </c>
      <c r="CP70" s="12">
        <v>4.1704323142766953E-2</v>
      </c>
      <c r="CQ70" s="12">
        <v>5.2480977028608322E-2</v>
      </c>
      <c r="CR70">
        <v>11.488366915284425</v>
      </c>
      <c r="CS70">
        <v>1.6426608776796334</v>
      </c>
      <c r="CT70">
        <v>5.0387596899224807</v>
      </c>
      <c r="CU70" s="11">
        <v>6.9937545061111453E-2</v>
      </c>
      <c r="CV70" s="12">
        <v>0.28034924566745756</v>
      </c>
      <c r="CW70">
        <v>0.06</v>
      </c>
      <c r="CX70">
        <v>4.2085124961177955</v>
      </c>
      <c r="CY70">
        <v>2979675125.4909449</v>
      </c>
      <c r="CZ70">
        <v>6.9937545061111453E-2</v>
      </c>
      <c r="DA70">
        <v>1.3989202297626402</v>
      </c>
      <c r="DB70">
        <v>8964056515.3080311</v>
      </c>
      <c r="DC70">
        <v>6.6440667808055881E-2</v>
      </c>
      <c r="DD70">
        <v>0.7043923475360061</v>
      </c>
      <c r="DE70">
        <v>17802578412.251987</v>
      </c>
      <c r="DF70">
        <v>6.1545039653778076E-2</v>
      </c>
      <c r="DG70">
        <v>0.43380910132861922</v>
      </c>
      <c r="DH70">
        <v>28906724090.375175</v>
      </c>
      <c r="DI70">
        <v>5.5950036048889165E-2</v>
      </c>
      <c r="DJ70">
        <v>0.23665654377122156</v>
      </c>
      <c r="DK70">
        <v>52988181945.742249</v>
      </c>
      <c r="DL70">
        <v>4.8956281542778014E-2</v>
      </c>
      <c r="DM70">
        <v>2952000000</v>
      </c>
      <c r="DN70">
        <v>6.9937545061111453E-2</v>
      </c>
      <c r="DO70">
        <v>12540000000.000002</v>
      </c>
      <c r="DP70">
        <v>8544207000</v>
      </c>
      <c r="DQ70">
        <v>3818</v>
      </c>
      <c r="DR70">
        <v>-0.23464706298447363</v>
      </c>
      <c r="DS70">
        <v>-1.0517693905949939</v>
      </c>
      <c r="DT70" s="13">
        <v>-0.14000000000000001</v>
      </c>
      <c r="DU70">
        <v>-0.10666666666666669</v>
      </c>
      <c r="DV70">
        <v>-0.2466666666666667</v>
      </c>
      <c r="DW70">
        <v>-2.0607000000000002</v>
      </c>
      <c r="DX70">
        <v>0.25310469565217464</v>
      </c>
      <c r="DY70">
        <v>-2.0050444550260869</v>
      </c>
      <c r="DZ70">
        <v>443</v>
      </c>
      <c r="EA70">
        <v>-2.0046071373007335</v>
      </c>
      <c r="EB70">
        <v>2</v>
      </c>
      <c r="EC70">
        <v>2.1503340215033407E-2</v>
      </c>
      <c r="ED70">
        <v>0.25875000258750003</v>
      </c>
      <c r="EE70" s="14">
        <v>1.0206999999999999</v>
      </c>
      <c r="EF70">
        <v>1.0096099999999999</v>
      </c>
      <c r="EG70">
        <v>17.083104695652175</v>
      </c>
      <c r="EH70" t="s">
        <v>2217</v>
      </c>
      <c r="EI70">
        <v>0</v>
      </c>
      <c r="EJ70">
        <v>1</v>
      </c>
      <c r="EK70" s="10">
        <v>45470</v>
      </c>
      <c r="EL70" s="15">
        <v>0.12</v>
      </c>
      <c r="EM70" s="15">
        <v>-2.62</v>
      </c>
      <c r="EN70" s="15">
        <v>-0.7</v>
      </c>
      <c r="EO70" s="15">
        <v>-0.19</v>
      </c>
      <c r="EP70" s="15">
        <v>-3.03</v>
      </c>
    </row>
    <row r="71" spans="1:146" ht="228" x14ac:dyDescent="0.25">
      <c r="A71" s="7"/>
      <c r="B71" s="7"/>
      <c r="C71" s="7" t="str">
        <f>"公司的主营业务为图书、报刊、电子出版物、音像制品的编辑出版、发行,公司教育出版、一般图书出版、图书发行等主要业务板块在国内出版集团的排名均位居前列。公司作为我国文化产业的龙头企业,在品牌影响、规模实力、运营机制、内容资源、发行渠道、人才优势等方面具备明显优势。凤凰集团拥有6家国家一级出版社,仅次于中国出版集团位居全国第二。"&amp;CHAR(10)&amp;Basic_Fundamental_Information_Constructure(F71)&amp;CHAR(10)&amp;Basic_Fundamental_Information_Concatenate("发行行业-教材、教辅 35.91亿 50.85%
发行行业-一般图书、音像制品及报刊 17.62亿 24.95%
出版行业-教材、教辅 14.12亿 20.00%
出版行业-一般图书、音像制品及报刊 9.36亿 13.26%")</f>
        <v>公司的主营业务为图书、报刊、电子出版物、音像制品的编辑出版、发行,公司教育出版、一般图书出版、图书发行等主要业务板块在国内出版集团的排名均位居前列。公司作为我国文化产业的龙头企业,在品牌影响、规模实力、运营机制、内容资源、发行渠道、人才优势等方面具备明显优势。凤凰集团拥有6家国家一级出版社,仅次于中国出版集团位居全国第二。
市值298.51677亿, 利润-6.93亿; PE10.57; 平均PE22.08; 平均PEG1.51, PB1.53; ROIC10.44%; ROE12.8433%; 股利率4.2626%; 毛利37.7333%; 净利19.01%; 上一年度营收增-88.23%, 利润增-133.29%; 当季营收增613.01%, 利润增16976.38%; 过往5年营收增-14.66%, 利润增-14.88%
Income profile:
发行行业-教材、教辅 35.91亿 50.85%
发行行业-一般图书、音像制品及报刊 17.62亿 24.95%
出版行业-教材、教辅 14.12亿 20.00%
出版行业-一般图书、音像制品及报刊 9.36亿 13.26%</v>
      </c>
      <c r="D71" t="s">
        <v>858</v>
      </c>
      <c r="E71" t="s">
        <v>859</v>
      </c>
      <c r="F71">
        <v>11.73</v>
      </c>
      <c r="G71">
        <v>4.7300000000000004</v>
      </c>
      <c r="H71" t="s">
        <v>2922</v>
      </c>
      <c r="I71">
        <v>29851677000</v>
      </c>
      <c r="J71">
        <v>10.57</v>
      </c>
      <c r="K71">
        <v>1.53</v>
      </c>
      <c r="L71" t="s">
        <v>1467</v>
      </c>
      <c r="M71" t="s">
        <v>2923</v>
      </c>
      <c r="N71" t="s">
        <v>2924</v>
      </c>
      <c r="O71" t="s">
        <v>2925</v>
      </c>
      <c r="P71">
        <v>3.31</v>
      </c>
      <c r="Q71" t="s">
        <v>2926</v>
      </c>
      <c r="R71">
        <v>356110790</v>
      </c>
      <c r="S71" s="5">
        <v>-0.2626</v>
      </c>
      <c r="T71" t="s">
        <v>2927</v>
      </c>
      <c r="U71">
        <v>2544900000</v>
      </c>
      <c r="V71">
        <v>2544900000</v>
      </c>
      <c r="W71">
        <v>1.58</v>
      </c>
      <c r="X71">
        <v>0.11</v>
      </c>
      <c r="Y71">
        <v>10.83</v>
      </c>
      <c r="Z71" t="s">
        <v>509</v>
      </c>
      <c r="AA71" t="s">
        <v>2928</v>
      </c>
      <c r="AB71" t="s">
        <v>585</v>
      </c>
      <c r="AC71" t="s">
        <v>194</v>
      </c>
      <c r="AD71" t="s">
        <v>5</v>
      </c>
      <c r="AE71">
        <v>-111078599</v>
      </c>
      <c r="AF71" t="s">
        <v>2929</v>
      </c>
      <c r="AG71" t="s">
        <v>2930</v>
      </c>
      <c r="AH71" t="s">
        <v>2931</v>
      </c>
      <c r="AI71" t="s">
        <v>358</v>
      </c>
      <c r="AJ71" t="s">
        <v>2932</v>
      </c>
      <c r="AK71" t="s">
        <v>2933</v>
      </c>
      <c r="AL71" t="s">
        <v>2934</v>
      </c>
      <c r="AM71" t="s">
        <v>5</v>
      </c>
      <c r="AN71" t="s">
        <v>655</v>
      </c>
      <c r="AO71" t="s">
        <v>2935</v>
      </c>
      <c r="AP71" t="s">
        <v>2936</v>
      </c>
      <c r="AQ71" t="s">
        <v>2937</v>
      </c>
      <c r="AR71" t="s">
        <v>2938</v>
      </c>
      <c r="AS71" t="s">
        <v>2939</v>
      </c>
      <c r="AT71" t="s">
        <v>2940</v>
      </c>
      <c r="AU71" t="s">
        <v>195</v>
      </c>
      <c r="AV71" t="s">
        <v>1237</v>
      </c>
      <c r="AW71" t="s">
        <v>2941</v>
      </c>
      <c r="AX71" t="s">
        <v>1119</v>
      </c>
      <c r="AY71" t="s">
        <v>860</v>
      </c>
      <c r="AZ71" t="s">
        <v>862</v>
      </c>
      <c r="BA71" t="s">
        <v>863</v>
      </c>
      <c r="BB71" t="s">
        <v>864</v>
      </c>
      <c r="BC71" t="s">
        <v>1120</v>
      </c>
      <c r="BD71" t="s">
        <v>861</v>
      </c>
      <c r="BE71" t="s">
        <v>865</v>
      </c>
      <c r="BF71" t="s">
        <v>866</v>
      </c>
      <c r="BG71" t="s">
        <v>867</v>
      </c>
      <c r="BH71" t="s">
        <v>2904</v>
      </c>
      <c r="BI71" t="s">
        <v>440</v>
      </c>
      <c r="BJ71" t="s">
        <v>1119</v>
      </c>
      <c r="BK71" t="s">
        <v>2905</v>
      </c>
      <c r="BL71" t="s">
        <v>2942</v>
      </c>
      <c r="BM71" t="s">
        <v>1120</v>
      </c>
      <c r="BN71">
        <v>7.97</v>
      </c>
      <c r="BO71">
        <v>10.26</v>
      </c>
      <c r="BP71">
        <v>13.09</v>
      </c>
      <c r="BQ71">
        <v>9.86</v>
      </c>
      <c r="BR71">
        <v>12.65</v>
      </c>
      <c r="BS71">
        <v>16.02</v>
      </c>
      <c r="BT71" t="s">
        <v>1025</v>
      </c>
      <c r="BU71" t="s">
        <v>82</v>
      </c>
      <c r="BV71">
        <v>37.590000000000003</v>
      </c>
      <c r="BW71">
        <v>38.43</v>
      </c>
      <c r="BX71">
        <v>37.18</v>
      </c>
      <c r="BY71">
        <v>21.7</v>
      </c>
      <c r="BZ71">
        <v>15.5</v>
      </c>
      <c r="CA71">
        <v>19.829999999999998</v>
      </c>
      <c r="CB71">
        <v>7.03</v>
      </c>
      <c r="CC71">
        <v>6.15</v>
      </c>
      <c r="CD71" t="s">
        <v>2943</v>
      </c>
      <c r="CE71" t="s">
        <v>840</v>
      </c>
      <c r="CF71" s="11">
        <v>6.1300639658848608</v>
      </c>
      <c r="CG71" s="12">
        <v>169.76378152872351</v>
      </c>
      <c r="CH71" s="11">
        <v>-0.88231831789016724</v>
      </c>
      <c r="CI71" s="11">
        <v>8.6202770471572876E-2</v>
      </c>
      <c r="CJ71" s="11">
        <v>3.1479202210903168E-2</v>
      </c>
      <c r="CK71" s="11">
        <v>-3.5756845027208328E-2</v>
      </c>
      <c r="CL71" s="11">
        <v>6.7520596086978912E-2</v>
      </c>
      <c r="CM71" s="12">
        <v>-1.3328530788421631</v>
      </c>
      <c r="CN71" s="12">
        <v>-0.15262512862682343</v>
      </c>
      <c r="CO71" s="12">
        <v>0.53947365283966064</v>
      </c>
      <c r="CP71" s="12">
        <v>0.1875</v>
      </c>
      <c r="CQ71" s="12">
        <v>1.4339671470224857E-2</v>
      </c>
      <c r="CR71">
        <v>22.082364936505982</v>
      </c>
      <c r="CS71">
        <v>1.5065623351750654</v>
      </c>
      <c r="CT71">
        <v>4.2625745950554137</v>
      </c>
      <c r="CU71" s="11">
        <v>-0.14657451882958411</v>
      </c>
      <c r="CV71" s="12">
        <v>-0.14883297663182021</v>
      </c>
      <c r="CW71">
        <v>0.06</v>
      </c>
      <c r="CX71" t="e">
        <v>#VALUE!</v>
      </c>
      <c r="CY71" t="s">
        <v>130</v>
      </c>
      <c r="CZ71">
        <v>-0.14657451882958411</v>
      </c>
      <c r="DA71" t="e">
        <v>#VALUE!</v>
      </c>
      <c r="DB71" t="s">
        <v>130</v>
      </c>
      <c r="DC71">
        <v>-0.1392457928881049</v>
      </c>
      <c r="DD71" t="e">
        <v>#VALUE!</v>
      </c>
      <c r="DE71" t="s">
        <v>130</v>
      </c>
      <c r="DF71">
        <v>-0.12898557657003401</v>
      </c>
      <c r="DG71" t="e">
        <v>#VALUE!</v>
      </c>
      <c r="DH71" t="s">
        <v>130</v>
      </c>
      <c r="DI71">
        <v>-0.11725961506366729</v>
      </c>
      <c r="DJ71" t="e">
        <v>#VALUE!</v>
      </c>
      <c r="DK71" t="s">
        <v>130</v>
      </c>
      <c r="DL71">
        <v>-0.10260216318070887</v>
      </c>
      <c r="DM71">
        <v>-693000000</v>
      </c>
      <c r="DN71">
        <v>-0.14657451882958411</v>
      </c>
      <c r="DO71">
        <v>22001677000</v>
      </c>
      <c r="DP71">
        <v>1474821700</v>
      </c>
      <c r="DQ71">
        <v>3819</v>
      </c>
      <c r="DR71">
        <v>6.2766384847144447</v>
      </c>
      <c r="DS71">
        <v>169.91261450535532</v>
      </c>
      <c r="DT71" s="13">
        <v>-0.77333333333333332</v>
      </c>
      <c r="DU71">
        <v>-0.65</v>
      </c>
      <c r="DV71">
        <v>-1.4233333333333333</v>
      </c>
      <c r="DW71">
        <v>5.8748221906116642</v>
      </c>
      <c r="DX71">
        <v>0.55725040431266593</v>
      </c>
      <c r="DY71">
        <v>5.1550625869876114</v>
      </c>
      <c r="DZ71">
        <v>2924</v>
      </c>
      <c r="EA71">
        <v>5.0663340147074205</v>
      </c>
      <c r="EB71">
        <v>5</v>
      </c>
      <c r="EC71">
        <v>2.5839875830091556E-2</v>
      </c>
      <c r="ED71">
        <v>0.14578175959762663</v>
      </c>
      <c r="EE71" s="14">
        <v>5.5109999999999999E-2</v>
      </c>
      <c r="EF71">
        <v>9.6109999999999987E-2</v>
      </c>
      <c r="EG71">
        <v>38.177250404312666</v>
      </c>
      <c r="EH71">
        <v>-1</v>
      </c>
      <c r="EI71">
        <v>1</v>
      </c>
      <c r="EJ71">
        <v>0</v>
      </c>
      <c r="EK71" s="10">
        <v>45470</v>
      </c>
      <c r="EL71" s="15">
        <v>0.5</v>
      </c>
      <c r="EM71" s="15">
        <v>-6.07</v>
      </c>
      <c r="EN71" s="15">
        <v>0</v>
      </c>
      <c r="EO71" s="15">
        <v>2.9</v>
      </c>
      <c r="EP71" s="15">
        <v>-4.0999999999999996</v>
      </c>
    </row>
    <row r="72" spans="1:146" ht="96" x14ac:dyDescent="0.25">
      <c r="A72" s="7"/>
      <c r="B72" s="7"/>
      <c r="C72" s="7" t="str">
        <f>""&amp;CHAR(10)&amp;Basic_Fundamental_Information_Constructure(F72)&amp;CHAR(10)&amp;Basic_Fundamental_Information_Concatenate("")</f>
        <v xml:space="preserve">
市值38.736649亿, 利润-13.29亿; PE; 平均PE-18.48; 平均PEG-.02, PB.605; ROIC.88%; ROE-3.0133%; 股利率0%; 毛利20.59%; 净利-21.9667%; 上一年度营收增4237.67%, 利润增-213.44%; 当季营收增-98.54%, 利润增-118.12%; 过往5年营收增845.68%, 利润增-414.35%
Income profile:
</v>
      </c>
      <c r="D72" t="s">
        <v>869</v>
      </c>
      <c r="E72" t="s">
        <v>870</v>
      </c>
      <c r="F72">
        <v>1.1100000000000001</v>
      </c>
      <c r="G72">
        <v>0</v>
      </c>
      <c r="H72" t="s">
        <v>338</v>
      </c>
      <c r="I72">
        <v>3873664900</v>
      </c>
      <c r="K72">
        <v>0.60499999999999998</v>
      </c>
      <c r="L72" t="s">
        <v>1467</v>
      </c>
      <c r="M72" t="s">
        <v>2944</v>
      </c>
      <c r="N72" t="s">
        <v>2945</v>
      </c>
      <c r="O72" t="s">
        <v>1241</v>
      </c>
      <c r="P72">
        <v>-25.89</v>
      </c>
      <c r="Q72" t="s">
        <v>2946</v>
      </c>
      <c r="R72">
        <v>-127552952</v>
      </c>
      <c r="S72" s="5">
        <v>-62.16</v>
      </c>
      <c r="T72" t="s">
        <v>2947</v>
      </c>
      <c r="U72">
        <v>3489788200</v>
      </c>
      <c r="V72">
        <v>3489788200</v>
      </c>
      <c r="W72">
        <v>2.1800000000000002</v>
      </c>
      <c r="X72">
        <v>0.02</v>
      </c>
      <c r="Y72">
        <v>-36.36</v>
      </c>
      <c r="Z72" t="s">
        <v>2167</v>
      </c>
      <c r="AA72" t="s">
        <v>730</v>
      </c>
      <c r="AB72" t="s">
        <v>2948</v>
      </c>
      <c r="AC72" t="s">
        <v>2949</v>
      </c>
      <c r="AD72" t="s">
        <v>5</v>
      </c>
      <c r="AE72">
        <v>42614879</v>
      </c>
      <c r="AF72" t="s">
        <v>308</v>
      </c>
      <c r="AG72" t="s">
        <v>2950</v>
      </c>
      <c r="AH72" t="s">
        <v>2951</v>
      </c>
      <c r="AI72" t="s">
        <v>244</v>
      </c>
      <c r="AJ72" t="s">
        <v>2952</v>
      </c>
      <c r="AK72" t="s">
        <v>2953</v>
      </c>
      <c r="AL72" t="s">
        <v>2954</v>
      </c>
      <c r="AM72" t="s">
        <v>5</v>
      </c>
      <c r="AN72" t="s">
        <v>2955</v>
      </c>
      <c r="AO72" t="s">
        <v>2956</v>
      </c>
      <c r="AP72" t="s">
        <v>5</v>
      </c>
      <c r="AQ72" t="s">
        <v>1384</v>
      </c>
      <c r="AR72" t="s">
        <v>2957</v>
      </c>
      <c r="AS72" t="s">
        <v>2958</v>
      </c>
      <c r="AT72" t="s">
        <v>1437</v>
      </c>
      <c r="AU72" t="s">
        <v>247</v>
      </c>
      <c r="AV72" t="s">
        <v>1060</v>
      </c>
      <c r="AW72" t="s">
        <v>1369</v>
      </c>
      <c r="AX72" t="s">
        <v>1121</v>
      </c>
      <c r="AY72" t="s">
        <v>871</v>
      </c>
      <c r="AZ72" t="s">
        <v>873</v>
      </c>
      <c r="BA72" t="s">
        <v>874</v>
      </c>
      <c r="BB72" t="s">
        <v>875</v>
      </c>
      <c r="BC72" t="s">
        <v>2959</v>
      </c>
      <c r="BD72" t="s">
        <v>872</v>
      </c>
      <c r="BE72" t="s">
        <v>877</v>
      </c>
      <c r="BF72" t="s">
        <v>206</v>
      </c>
      <c r="BG72" t="s">
        <v>878</v>
      </c>
      <c r="BH72" t="s">
        <v>2926</v>
      </c>
      <c r="BI72" t="s">
        <v>2960</v>
      </c>
      <c r="BJ72" t="s">
        <v>1121</v>
      </c>
      <c r="BK72" t="s">
        <v>2927</v>
      </c>
      <c r="BL72" t="s">
        <v>332</v>
      </c>
      <c r="BM72" t="s">
        <v>2959</v>
      </c>
      <c r="BN72" t="s">
        <v>5</v>
      </c>
      <c r="BO72" t="s">
        <v>5</v>
      </c>
      <c r="BP72">
        <v>0.88</v>
      </c>
      <c r="BQ72">
        <v>-3.38</v>
      </c>
      <c r="BR72">
        <v>-6.04</v>
      </c>
      <c r="BS72">
        <v>0.38</v>
      </c>
      <c r="BT72" t="s">
        <v>1017</v>
      </c>
      <c r="BU72" t="s">
        <v>1486</v>
      </c>
      <c r="BV72">
        <v>5.65</v>
      </c>
      <c r="BW72">
        <v>22.34</v>
      </c>
      <c r="BX72">
        <v>33.78</v>
      </c>
      <c r="BY72">
        <v>-43.53</v>
      </c>
      <c r="BZ72">
        <v>-23.61</v>
      </c>
      <c r="CA72">
        <v>1.24</v>
      </c>
      <c r="CB72">
        <v>21.98</v>
      </c>
      <c r="CC72">
        <v>-15.27</v>
      </c>
      <c r="CD72" t="s">
        <v>261</v>
      </c>
      <c r="CE72" t="s">
        <v>2961</v>
      </c>
      <c r="CF72" s="11">
        <v>-0.98542139316023869</v>
      </c>
      <c r="CG72" s="12">
        <v>-1.1811831704545455</v>
      </c>
      <c r="CH72" s="11">
        <v>42.376728057861328</v>
      </c>
      <c r="CI72" s="11">
        <v>-0.1283654123544693</v>
      </c>
      <c r="CJ72" s="11">
        <v>5.5301841348409653E-2</v>
      </c>
      <c r="CK72" s="11">
        <v>2.2302938625216484E-2</v>
      </c>
      <c r="CL72" s="11">
        <v>-4.1749503463506699E-2</v>
      </c>
      <c r="CM72" s="12">
        <v>-2.1344337463378906</v>
      </c>
      <c r="CN72" s="12">
        <v>-16.969808578491211</v>
      </c>
      <c r="CO72" s="12">
        <v>-0.59040772914886475</v>
      </c>
      <c r="CP72" s="12">
        <v>-0.35179200768470764</v>
      </c>
      <c r="CQ72" s="12">
        <v>-0.67105263471603394</v>
      </c>
      <c r="CR72">
        <v>-18.480798034969133</v>
      </c>
      <c r="CS72">
        <v>-2.1853068287856832E-2</v>
      </c>
      <c r="CT72">
        <v>0</v>
      </c>
      <c r="CU72" s="11">
        <v>8.456843584403396</v>
      </c>
      <c r="CV72" s="12">
        <v>-4.1434989392757418</v>
      </c>
      <c r="CW72">
        <v>0.06</v>
      </c>
      <c r="CX72" t="e">
        <v>#VALUE!</v>
      </c>
      <c r="CY72" t="s">
        <v>129</v>
      </c>
      <c r="CZ72">
        <v>8.456843584403396</v>
      </c>
      <c r="DA72" t="e">
        <v>#VALUE!</v>
      </c>
      <c r="DB72" t="s">
        <v>130</v>
      </c>
      <c r="DC72">
        <v>8.0340014051832256</v>
      </c>
      <c r="DD72" t="e">
        <v>#VALUE!</v>
      </c>
      <c r="DE72" t="s">
        <v>130</v>
      </c>
      <c r="DF72">
        <v>7.4420223542749886</v>
      </c>
      <c r="DG72" t="e">
        <v>#VALUE!</v>
      </c>
      <c r="DH72" t="s">
        <v>130</v>
      </c>
      <c r="DI72">
        <v>6.765474867522717</v>
      </c>
      <c r="DJ72" t="e">
        <v>#VALUE!</v>
      </c>
      <c r="DK72" t="s">
        <v>130</v>
      </c>
      <c r="DL72">
        <v>5.919790509082377</v>
      </c>
      <c r="DM72">
        <v>-1329000000</v>
      </c>
      <c r="DN72">
        <v>8.456843584403396</v>
      </c>
      <c r="DO72">
        <v>5250664900</v>
      </c>
      <c r="DP72">
        <v>-647644900</v>
      </c>
      <c r="DQ72">
        <v>3820</v>
      </c>
      <c r="DR72">
        <v>-9.4422649775636351</v>
      </c>
      <c r="DS72">
        <v>2.9623157688211963</v>
      </c>
      <c r="DT72" s="13">
        <v>-0.14000000000000004</v>
      </c>
      <c r="DU72">
        <v>-2.5950000000000002</v>
      </c>
      <c r="DV72">
        <v>-2.7350000000000003</v>
      </c>
      <c r="DW72">
        <v>5.6947224749772518</v>
      </c>
      <c r="DX72">
        <v>0.38241745304309532</v>
      </c>
      <c r="DY72">
        <v>5.1336767292069192</v>
      </c>
      <c r="DZ72">
        <v>2666</v>
      </c>
      <c r="EA72">
        <v>5.063934623518926</v>
      </c>
      <c r="EB72">
        <v>5</v>
      </c>
      <c r="EC72">
        <v>0.270503522248141</v>
      </c>
      <c r="ED72">
        <v>1.4058159747345125</v>
      </c>
      <c r="EE72" s="14">
        <v>-1.0845</v>
      </c>
      <c r="EF72">
        <v>-1.0754999999999999</v>
      </c>
      <c r="EG72">
        <v>19.192417453043095</v>
      </c>
      <c r="EH72" t="s">
        <v>349</v>
      </c>
      <c r="EI72">
        <v>1</v>
      </c>
      <c r="EJ72">
        <v>0</v>
      </c>
      <c r="EK72" s="10">
        <v>45470</v>
      </c>
      <c r="EL72" s="15">
        <v>0.44</v>
      </c>
      <c r="EM72" s="15">
        <v>-0.97</v>
      </c>
      <c r="EN72" s="15">
        <v>-1.07</v>
      </c>
      <c r="EO72" s="15">
        <v>0.45</v>
      </c>
      <c r="EP72" s="15">
        <v>-0.9</v>
      </c>
    </row>
    <row r="73" spans="1:146" ht="144" x14ac:dyDescent="0.25">
      <c r="A73" s="7"/>
      <c r="B73" s="7"/>
      <c r="C73" s="7" t="str">
        <f>"公司的主营业务为图书、报纸、期刊等出版物出版。公司的主要产品为图书、报刊、电子音像、材料物资、印刷。"&amp;CHAR(10)&amp;Basic_Fundamental_Information_Constructure(F73)&amp;CHAR(10)&amp;Basic_Fundamental_Information_Concatenate("一般图书 19.62亿 54.14% 65.71% 37.38%
其他业务 16.62亿 45.86% 34.29% 23.03%")</f>
        <v>公司的主营业务为图书、报纸、期刊等出版物出版。公司的主要产品为图书、报刊、电子音像、材料物资、印刷。
市值113.095702亿, 利润8.16亿; PE12.17; 平均PE15.81; 平均PEG.69, PB1.22; ROIC6.68%; ROE7.8333%; 股利率2.5758%; 毛利31.4667%; 净利13.3367%; 上一年度营收增98.14%, 利润增25.54%; 当季营收增-61.7%, 利润增-104.26%; 过往5年营收增22.89%, 利润增7.27%
Income profile:
一般图书 19.62亿 54.14% 65.71% 37.38%
其他业务 16.62亿 45.86% 34.29% 23.03%</v>
      </c>
      <c r="D73" t="s">
        <v>879</v>
      </c>
      <c r="E73" t="s">
        <v>880</v>
      </c>
      <c r="F73">
        <v>5.94</v>
      </c>
      <c r="G73">
        <v>1.19</v>
      </c>
      <c r="H73" t="s">
        <v>2962</v>
      </c>
      <c r="I73">
        <v>11309570200</v>
      </c>
      <c r="J73">
        <v>12.17</v>
      </c>
      <c r="K73">
        <v>1.22</v>
      </c>
      <c r="L73" t="s">
        <v>1467</v>
      </c>
      <c r="M73" t="s">
        <v>2963</v>
      </c>
      <c r="N73" t="s">
        <v>2964</v>
      </c>
      <c r="O73" t="s">
        <v>1379</v>
      </c>
      <c r="P73">
        <v>-7.77</v>
      </c>
      <c r="Q73" t="s">
        <v>2965</v>
      </c>
      <c r="R73">
        <v>-5065565</v>
      </c>
      <c r="S73" s="5">
        <v>-1.1539999999999999</v>
      </c>
      <c r="T73" t="s">
        <v>1285</v>
      </c>
      <c r="U73">
        <v>1822500000</v>
      </c>
      <c r="V73">
        <v>1903968100</v>
      </c>
      <c r="W73">
        <v>1.51</v>
      </c>
      <c r="X73">
        <v>0.06</v>
      </c>
      <c r="Y73">
        <v>-0.69</v>
      </c>
      <c r="Z73" t="s">
        <v>1365</v>
      </c>
      <c r="AA73" t="s">
        <v>236</v>
      </c>
      <c r="AB73" t="s">
        <v>2966</v>
      </c>
      <c r="AC73" t="s">
        <v>94</v>
      </c>
      <c r="AD73" t="s">
        <v>5</v>
      </c>
      <c r="AE73">
        <v>-15848389</v>
      </c>
      <c r="AF73" t="s">
        <v>2967</v>
      </c>
      <c r="AG73" t="s">
        <v>2968</v>
      </c>
      <c r="AH73" t="s">
        <v>2969</v>
      </c>
      <c r="AI73" t="s">
        <v>1354</v>
      </c>
      <c r="AJ73" t="s">
        <v>2970</v>
      </c>
      <c r="AK73" t="s">
        <v>2971</v>
      </c>
      <c r="AL73" t="s">
        <v>2972</v>
      </c>
      <c r="AM73" t="s">
        <v>5</v>
      </c>
      <c r="AN73" t="s">
        <v>96</v>
      </c>
      <c r="AO73" t="s">
        <v>1428</v>
      </c>
      <c r="AP73" t="s">
        <v>5</v>
      </c>
      <c r="AQ73" t="s">
        <v>1434</v>
      </c>
      <c r="AR73" t="s">
        <v>2973</v>
      </c>
      <c r="AS73" t="s">
        <v>2974</v>
      </c>
      <c r="AT73" t="s">
        <v>2975</v>
      </c>
      <c r="AU73" t="s">
        <v>2976</v>
      </c>
      <c r="AV73" t="s">
        <v>1338</v>
      </c>
      <c r="AW73" t="s">
        <v>2977</v>
      </c>
      <c r="AX73" t="s">
        <v>1236</v>
      </c>
      <c r="AY73" t="s">
        <v>1045</v>
      </c>
      <c r="AZ73" t="s">
        <v>881</v>
      </c>
      <c r="BA73" t="s">
        <v>882</v>
      </c>
      <c r="BB73" t="s">
        <v>883</v>
      </c>
      <c r="BC73" t="s">
        <v>1413</v>
      </c>
      <c r="BD73" t="s">
        <v>64</v>
      </c>
      <c r="BE73" t="s">
        <v>190</v>
      </c>
      <c r="BF73" t="s">
        <v>884</v>
      </c>
      <c r="BG73" t="s">
        <v>38</v>
      </c>
      <c r="BH73" t="s">
        <v>2978</v>
      </c>
      <c r="BI73" t="s">
        <v>2979</v>
      </c>
      <c r="BJ73" t="s">
        <v>1236</v>
      </c>
      <c r="BK73" t="s">
        <v>1617</v>
      </c>
      <c r="BL73" t="s">
        <v>245</v>
      </c>
      <c r="BM73" t="s">
        <v>1413</v>
      </c>
      <c r="BN73">
        <v>4.2</v>
      </c>
      <c r="BO73">
        <v>7.02</v>
      </c>
      <c r="BP73">
        <v>8.82</v>
      </c>
      <c r="BQ73">
        <v>4.88</v>
      </c>
      <c r="BR73">
        <v>8.18</v>
      </c>
      <c r="BS73">
        <v>10.44</v>
      </c>
      <c r="BT73" t="s">
        <v>2980</v>
      </c>
      <c r="BU73" t="s">
        <v>82</v>
      </c>
      <c r="BV73">
        <v>31.6</v>
      </c>
      <c r="BW73">
        <v>31.01</v>
      </c>
      <c r="BX73">
        <v>31.79</v>
      </c>
      <c r="BY73">
        <v>15.93</v>
      </c>
      <c r="BZ73">
        <v>11.06</v>
      </c>
      <c r="CA73">
        <v>13.02</v>
      </c>
      <c r="CB73">
        <v>0.51</v>
      </c>
      <c r="CC73">
        <v>-12.9</v>
      </c>
      <c r="CD73" t="s">
        <v>2981</v>
      </c>
      <c r="CE73" t="s">
        <v>356</v>
      </c>
      <c r="CF73" s="11">
        <v>-0.61695191524042381</v>
      </c>
      <c r="CG73" s="12">
        <v>-1.0425677731092438</v>
      </c>
      <c r="CH73" s="11">
        <v>0.98143607378005981</v>
      </c>
      <c r="CI73" s="11">
        <v>-2.8476467356085777E-2</v>
      </c>
      <c r="CJ73" s="11">
        <v>6.0748424381017685E-2</v>
      </c>
      <c r="CK73" s="11">
        <v>-6.8469613790512085E-2</v>
      </c>
      <c r="CL73" s="11">
        <v>0.19906280934810638</v>
      </c>
      <c r="CM73" s="12">
        <v>0.25538462400436401</v>
      </c>
      <c r="CN73" s="12">
        <v>-0.16773366928100586</v>
      </c>
      <c r="CO73" s="12">
        <v>5.3981106728315353E-2</v>
      </c>
      <c r="CP73" s="12">
        <v>5.4054055362939835E-2</v>
      </c>
      <c r="CQ73" s="12">
        <v>0.16777408123016357</v>
      </c>
      <c r="CR73">
        <v>15.80652718378756</v>
      </c>
      <c r="CS73">
        <v>0.69066286130060772</v>
      </c>
      <c r="CT73">
        <v>2.5757575757575757</v>
      </c>
      <c r="CU73" s="11">
        <v>0.22886024527251719</v>
      </c>
      <c r="CV73" s="12">
        <v>7.2692039608955386E-2</v>
      </c>
      <c r="CW73">
        <v>0.06</v>
      </c>
      <c r="CX73">
        <v>6.6507750457084072</v>
      </c>
      <c r="CY73">
        <v>945990528.43620181</v>
      </c>
      <c r="CZ73">
        <v>0.22886024527251719</v>
      </c>
      <c r="DA73">
        <v>1.9360183825468897</v>
      </c>
      <c r="DB73">
        <v>3249747139.1378279</v>
      </c>
      <c r="DC73">
        <v>0.21741723300889132</v>
      </c>
      <c r="DD73">
        <v>0.81040579616714137</v>
      </c>
      <c r="DE73">
        <v>7763481245.7614765</v>
      </c>
      <c r="DF73">
        <v>0.20139701583981512</v>
      </c>
      <c r="DG73">
        <v>0.40109866702750741</v>
      </c>
      <c r="DH73">
        <v>15685841707.293739</v>
      </c>
      <c r="DI73">
        <v>0.18308819621801375</v>
      </c>
      <c r="DJ73">
        <v>0.13084818136145382</v>
      </c>
      <c r="DK73">
        <v>48082977803.262115</v>
      </c>
      <c r="DL73">
        <v>0.16020217169076204</v>
      </c>
      <c r="DM73">
        <v>816000000</v>
      </c>
      <c r="DN73">
        <v>0.22886024527251719</v>
      </c>
      <c r="DO73">
        <v>6291570200</v>
      </c>
      <c r="DP73">
        <v>5824882500</v>
      </c>
      <c r="DQ73">
        <v>3823</v>
      </c>
      <c r="DR73">
        <v>-0.84581216051294095</v>
      </c>
      <c r="DS73">
        <v>-1.1152598127181992</v>
      </c>
      <c r="DT73" s="13">
        <v>-6.6666666666666714E-3</v>
      </c>
      <c r="DU73">
        <v>-0.78166666666666673</v>
      </c>
      <c r="DV73">
        <v>-0.78833333333333344</v>
      </c>
      <c r="DW73">
        <v>-2.129</v>
      </c>
      <c r="DX73">
        <v>0.32769420654911952</v>
      </c>
      <c r="DY73">
        <v>-2.0138925526448364</v>
      </c>
      <c r="DZ73">
        <v>2769</v>
      </c>
      <c r="EA73">
        <v>-2.0063644747048066</v>
      </c>
      <c r="EB73">
        <v>2</v>
      </c>
      <c r="EC73">
        <v>2.245552328318946E-2</v>
      </c>
      <c r="ED73">
        <v>0.20851189681171653</v>
      </c>
      <c r="EE73" s="14">
        <v>2.861E-2</v>
      </c>
      <c r="EF73">
        <v>1.6310000000000002E-2</v>
      </c>
      <c r="EG73">
        <v>22.10769420654912</v>
      </c>
      <c r="EH73">
        <v>-1</v>
      </c>
      <c r="EI73">
        <v>0</v>
      </c>
      <c r="EJ73">
        <v>0</v>
      </c>
      <c r="EK73" s="10">
        <v>45470</v>
      </c>
      <c r="EL73" s="15">
        <v>-0.14000000000000001</v>
      </c>
      <c r="EM73" s="15">
        <v>0.42</v>
      </c>
      <c r="EN73" s="15">
        <v>0.41</v>
      </c>
      <c r="EO73" s="15">
        <v>0.41</v>
      </c>
      <c r="EP73" s="15">
        <v>1.23</v>
      </c>
    </row>
    <row r="74" spans="1:146" ht="108" x14ac:dyDescent="0.25">
      <c r="A74" s="7"/>
      <c r="B74" s="7"/>
      <c r="C74" s="7" t="str">
        <f>""&amp;CHAR(10)&amp;Basic_Fundamental_Information_Constructure(F74)&amp;CHAR(10)&amp;Basic_Fundamental_Information_Concatenate("")</f>
        <v xml:space="preserve">
市值28.978113亿, 利润3.31亿; PE26.66; 平均PE17.49; 平均PEG15.33, PB1.15; ROIC2.6633%; ROE3.41%; 股利率1.1787%; 毛利18.9867%; 净利3.5467%; 上一年度营收增-19%, 利润增339.2%; 当季营收增62.65%, 利润增-127.7%; 过往5年营收增-1.14%, 利润增53.22%
Income profile:
</v>
      </c>
      <c r="D74" t="s">
        <v>885</v>
      </c>
      <c r="E74" t="s">
        <v>1430</v>
      </c>
      <c r="F74">
        <v>5.26</v>
      </c>
      <c r="G74">
        <v>1.54</v>
      </c>
      <c r="H74" t="s">
        <v>2982</v>
      </c>
      <c r="I74">
        <v>2897811300</v>
      </c>
      <c r="J74">
        <v>26.66</v>
      </c>
      <c r="K74">
        <v>1.1499999999999999</v>
      </c>
      <c r="L74" t="s">
        <v>1467</v>
      </c>
      <c r="M74" t="s">
        <v>1440</v>
      </c>
      <c r="N74" t="s">
        <v>584</v>
      </c>
      <c r="O74" t="s">
        <v>196</v>
      </c>
      <c r="P74">
        <v>1.2</v>
      </c>
      <c r="Q74" t="s">
        <v>346</v>
      </c>
      <c r="R74">
        <v>-7617051</v>
      </c>
      <c r="S74" s="5">
        <v>-0.81010000000000004</v>
      </c>
      <c r="T74" t="s">
        <v>22</v>
      </c>
      <c r="U74">
        <v>550914700</v>
      </c>
      <c r="V74">
        <v>550914700</v>
      </c>
      <c r="W74">
        <v>1.63</v>
      </c>
      <c r="X74">
        <v>0.13</v>
      </c>
      <c r="Y74">
        <v>-1.68</v>
      </c>
      <c r="Z74" t="s">
        <v>2983</v>
      </c>
      <c r="AA74" t="s">
        <v>493</v>
      </c>
      <c r="AB74" t="s">
        <v>2984</v>
      </c>
      <c r="AC74" t="s">
        <v>2985</v>
      </c>
      <c r="AD74" t="s">
        <v>5</v>
      </c>
      <c r="AE74">
        <v>-1782900</v>
      </c>
      <c r="AF74" t="s">
        <v>2986</v>
      </c>
      <c r="AG74" t="s">
        <v>2987</v>
      </c>
      <c r="AH74" t="s">
        <v>2988</v>
      </c>
      <c r="AI74" t="s">
        <v>1266</v>
      </c>
      <c r="AJ74" t="s">
        <v>2989</v>
      </c>
      <c r="AK74" t="s">
        <v>2990</v>
      </c>
      <c r="AL74" t="s">
        <v>2991</v>
      </c>
      <c r="AM74" t="s">
        <v>5</v>
      </c>
      <c r="AN74">
        <v>0</v>
      </c>
      <c r="AO74" t="s">
        <v>465</v>
      </c>
      <c r="AP74" t="s">
        <v>282</v>
      </c>
      <c r="AQ74" t="s">
        <v>1426</v>
      </c>
      <c r="AR74" t="s">
        <v>2992</v>
      </c>
      <c r="AS74" t="s">
        <v>2993</v>
      </c>
      <c r="AT74" t="s">
        <v>5</v>
      </c>
      <c r="AU74" t="s">
        <v>2994</v>
      </c>
      <c r="AV74" t="s">
        <v>2995</v>
      </c>
      <c r="AW74" t="s">
        <v>2996</v>
      </c>
      <c r="AX74" t="s">
        <v>1122</v>
      </c>
      <c r="AY74" t="s">
        <v>886</v>
      </c>
      <c r="AZ74" t="s">
        <v>887</v>
      </c>
      <c r="BA74" t="s">
        <v>888</v>
      </c>
      <c r="BB74" t="s">
        <v>230</v>
      </c>
      <c r="BC74" t="s">
        <v>2997</v>
      </c>
      <c r="BD74" t="s">
        <v>465</v>
      </c>
      <c r="BE74" t="s">
        <v>93</v>
      </c>
      <c r="BF74" t="s">
        <v>458</v>
      </c>
      <c r="BG74" t="s">
        <v>343</v>
      </c>
      <c r="BH74" t="s">
        <v>2998</v>
      </c>
      <c r="BI74" t="s">
        <v>1238</v>
      </c>
      <c r="BJ74" t="s">
        <v>1122</v>
      </c>
      <c r="BK74" t="s">
        <v>520</v>
      </c>
      <c r="BL74" t="s">
        <v>2999</v>
      </c>
      <c r="BM74" t="s">
        <v>2997</v>
      </c>
      <c r="BN74">
        <v>1.64</v>
      </c>
      <c r="BO74">
        <v>2.3199999999999998</v>
      </c>
      <c r="BP74">
        <v>4.03</v>
      </c>
      <c r="BQ74">
        <v>2.56</v>
      </c>
      <c r="BR74">
        <v>3.1</v>
      </c>
      <c r="BS74">
        <v>4.57</v>
      </c>
      <c r="BT74" t="s">
        <v>3000</v>
      </c>
      <c r="BU74" t="s">
        <v>82</v>
      </c>
      <c r="BV74">
        <v>20.37</v>
      </c>
      <c r="BW74">
        <v>18.07</v>
      </c>
      <c r="BX74">
        <v>18.52</v>
      </c>
      <c r="BY74">
        <v>4.0999999999999996</v>
      </c>
      <c r="BZ74">
        <v>2.82</v>
      </c>
      <c r="CA74">
        <v>3.72</v>
      </c>
      <c r="CB74">
        <v>0.77</v>
      </c>
      <c r="CC74">
        <v>-7.72</v>
      </c>
      <c r="CD74" t="s">
        <v>3001</v>
      </c>
      <c r="CE74" t="s">
        <v>416</v>
      </c>
      <c r="CF74" s="11">
        <v>0.62650602409638556</v>
      </c>
      <c r="CG74" s="12">
        <v>-1.2769897161392612</v>
      </c>
      <c r="CH74" s="11">
        <v>-0.18996557593345642</v>
      </c>
      <c r="CI74" s="11">
        <v>-8.9926764369010925E-2</v>
      </c>
      <c r="CJ74" s="11">
        <v>0.12863878905773163</v>
      </c>
      <c r="CK74" s="11">
        <v>-6.2338594347238541E-2</v>
      </c>
      <c r="CL74" s="11">
        <v>0.15656998753547668</v>
      </c>
      <c r="CM74" s="12">
        <v>3.3920059204101562</v>
      </c>
      <c r="CN74" s="12">
        <v>-0.30858531594276428</v>
      </c>
      <c r="CO74" s="12">
        <v>-0.28758171200752258</v>
      </c>
      <c r="CP74" s="12">
        <v>3.378378227353096E-2</v>
      </c>
      <c r="CQ74" s="12">
        <v>-0.16853933036327362</v>
      </c>
      <c r="CR74">
        <v>17.485412085431072</v>
      </c>
      <c r="CS74">
        <v>15.332120601351601</v>
      </c>
      <c r="CT74">
        <v>1.1787072243346008</v>
      </c>
      <c r="CU74" s="11">
        <v>-1.1404431611299514E-2</v>
      </c>
      <c r="CV74" s="12">
        <v>0.5322166688740253</v>
      </c>
      <c r="CW74">
        <v>0.06</v>
      </c>
      <c r="CX74" t="e">
        <v>#VALUE!</v>
      </c>
      <c r="CY74" t="s">
        <v>187</v>
      </c>
      <c r="CZ74">
        <v>-1.1404431611299514E-2</v>
      </c>
      <c r="DA74">
        <v>2.0018240684793556</v>
      </c>
      <c r="DB74" t="s">
        <v>3002</v>
      </c>
      <c r="DC74">
        <v>-1.0834210030734539E-2</v>
      </c>
      <c r="DD74">
        <v>1.0009120342396778</v>
      </c>
      <c r="DE74" t="s">
        <v>3003</v>
      </c>
      <c r="DF74">
        <v>-1.0035899817943573E-2</v>
      </c>
      <c r="DG74">
        <v>0.6005472205438066</v>
      </c>
      <c r="DH74" t="s">
        <v>3004</v>
      </c>
      <c r="DI74">
        <v>-9.123545289039612E-3</v>
      </c>
      <c r="DJ74">
        <v>0.3002736102719033</v>
      </c>
      <c r="DK74" t="s">
        <v>3005</v>
      </c>
      <c r="DL74">
        <v>-7.9831021279096592E-3</v>
      </c>
      <c r="DM74">
        <v>331000000</v>
      </c>
      <c r="DN74">
        <v>-1.1404431611299514E-2</v>
      </c>
      <c r="DO74">
        <v>1987811300</v>
      </c>
      <c r="DP74">
        <v>1255101800</v>
      </c>
      <c r="DQ74">
        <v>3843</v>
      </c>
      <c r="DR74">
        <v>0.63791045570768512</v>
      </c>
      <c r="DS74">
        <v>-1.8092063850132865</v>
      </c>
      <c r="DT74" s="13">
        <v>-0.50666666666666671</v>
      </c>
      <c r="DU74">
        <v>-0.98166666666666658</v>
      </c>
      <c r="DV74">
        <v>-1.4883333333333333</v>
      </c>
      <c r="DW74">
        <v>-2.0771999999999999</v>
      </c>
      <c r="DX74">
        <v>0.41136590909090742</v>
      </c>
      <c r="DY74">
        <v>-2.0124574481818183</v>
      </c>
      <c r="DZ74">
        <v>2772</v>
      </c>
      <c r="EA74">
        <v>-2.0056997091681197</v>
      </c>
      <c r="EB74">
        <v>2</v>
      </c>
      <c r="EC74">
        <v>3.8663517237786549E-2</v>
      </c>
      <c r="ED74">
        <v>0.23960152088880549</v>
      </c>
      <c r="EE74" s="14">
        <v>2.0024999999999999</v>
      </c>
      <c r="EF74">
        <v>2.0146000000000002</v>
      </c>
      <c r="EG74">
        <v>25.161365909090907</v>
      </c>
      <c r="EH74" t="s">
        <v>1028</v>
      </c>
      <c r="EI74">
        <v>0</v>
      </c>
      <c r="EJ74">
        <v>0</v>
      </c>
      <c r="EK74" s="10">
        <v>45470</v>
      </c>
      <c r="EL74" s="15">
        <v>2.15</v>
      </c>
      <c r="EM74" s="15">
        <v>-2.1</v>
      </c>
      <c r="EN74" s="15">
        <v>1.07</v>
      </c>
      <c r="EO74" s="15">
        <v>0.15</v>
      </c>
      <c r="EP74" s="15">
        <v>1.21</v>
      </c>
    </row>
    <row r="75" spans="1:146" ht="180" x14ac:dyDescent="0.25">
      <c r="A75" s="7" t="s">
        <v>1288</v>
      </c>
      <c r="B75" s="7"/>
      <c r="C75" s="7" t="str">
        <f>"公司主营业务是新闻资讯服务、互联网广告服务、移动增值服务、为政府提供宣传服务。主要服务是广告及宣传服务、内容科技服务、数据及信息服务、网络技术服务、咨询服务、培训服务。"&amp;CHAR(10)&amp;Basic_Fundamental_Information_Constructure(F75)&amp;CHAR(10)&amp;Basic_Fundamental_Information_Concatenate("广告及宣传服务 10.99亿 55.57% 58.42% 54.21%
内容科技服务 4.46亿 22.57% 20.41% 46.64%
数据及信息服务 2.56亿 12.96% 12.32% 49.02%
网络技术服务 1.18亿 5.97% 5.35% 46.18%")</f>
        <v>公司主营业务是新闻资讯服务、互联网广告服务、移动增值服务、为政府提供宣传服务。主要服务是广告及宣传服务、内容科技服务、数据及信息服务、网络技术服务、咨询服务、培训服务。
市值219.81138亿, 利润-9327.89万; PE76.94; 平均PE105.28; 平均PEG7, PB5.93; ROIC5.3733%; ROE5.5367%; 股利率.8501%; 毛利52.0633%; 净利13.7633%; 上一年度营收增56.02%, 利润增-129.99%; 当季营收增-63.95%, 利润增-144.23%; 过往5年营收增15.03%, 利润增-7.72%
Income profile:
广告及宣传服务 10.99亿 55.57% 58.42% 54.21%
内容科技服务 4.46亿 22.57% 20.41% 46.64%
数据及信息服务 2.56亿 12.96% 12.32% 49.02%
网络技术服务 1.18亿 5.97% 5.35% 46.18%</v>
      </c>
      <c r="D75" t="s">
        <v>889</v>
      </c>
      <c r="E75" t="s">
        <v>890</v>
      </c>
      <c r="F75">
        <v>19.88</v>
      </c>
      <c r="G75">
        <v>0.66</v>
      </c>
      <c r="H75" t="s">
        <v>3006</v>
      </c>
      <c r="I75">
        <v>21981138000</v>
      </c>
      <c r="J75">
        <v>76.94</v>
      </c>
      <c r="K75">
        <v>5.93</v>
      </c>
      <c r="L75" t="s">
        <v>1467</v>
      </c>
      <c r="M75" t="s">
        <v>3007</v>
      </c>
      <c r="N75" t="s">
        <v>3008</v>
      </c>
      <c r="O75" t="s">
        <v>3009</v>
      </c>
      <c r="P75">
        <v>-2.81</v>
      </c>
      <c r="Q75" t="s">
        <v>1302</v>
      </c>
      <c r="R75">
        <v>-18064890</v>
      </c>
      <c r="S75" s="5">
        <v>-1.657</v>
      </c>
      <c r="T75" t="s">
        <v>3010</v>
      </c>
      <c r="U75">
        <v>1105691060</v>
      </c>
      <c r="V75">
        <v>1105691060</v>
      </c>
      <c r="W75">
        <v>1.3</v>
      </c>
      <c r="X75">
        <v>0.06</v>
      </c>
      <c r="Y75">
        <v>-7</v>
      </c>
      <c r="Z75" t="s">
        <v>368</v>
      </c>
      <c r="AA75" t="s">
        <v>435</v>
      </c>
      <c r="AB75" t="s">
        <v>3011</v>
      </c>
      <c r="AC75" t="s">
        <v>3012</v>
      </c>
      <c r="AD75" t="s">
        <v>5</v>
      </c>
      <c r="AE75">
        <v>-1733570</v>
      </c>
      <c r="AF75" t="s">
        <v>3013</v>
      </c>
      <c r="AG75" t="s">
        <v>3014</v>
      </c>
      <c r="AH75" t="s">
        <v>3015</v>
      </c>
      <c r="AI75" t="s">
        <v>3016</v>
      </c>
      <c r="AJ75" t="s">
        <v>3017</v>
      </c>
      <c r="AK75" t="s">
        <v>3018</v>
      </c>
      <c r="AL75" t="s">
        <v>3019</v>
      </c>
      <c r="AM75" t="s">
        <v>5</v>
      </c>
      <c r="AN75">
        <v>0</v>
      </c>
      <c r="AO75" t="s">
        <v>5</v>
      </c>
      <c r="AP75" t="s">
        <v>5</v>
      </c>
      <c r="AQ75" t="s">
        <v>488</v>
      </c>
      <c r="AR75" t="s">
        <v>5</v>
      </c>
      <c r="AS75" t="s">
        <v>857</v>
      </c>
      <c r="AT75" t="s">
        <v>5</v>
      </c>
      <c r="AU75" t="s">
        <v>3020</v>
      </c>
      <c r="AV75" t="s">
        <v>3021</v>
      </c>
      <c r="AW75" t="s">
        <v>3022</v>
      </c>
      <c r="AX75" t="s">
        <v>739</v>
      </c>
      <c r="AY75" t="s">
        <v>214</v>
      </c>
      <c r="AZ75" t="s">
        <v>893</v>
      </c>
      <c r="BA75" t="s">
        <v>894</v>
      </c>
      <c r="BB75" t="s">
        <v>895</v>
      </c>
      <c r="BC75" t="s">
        <v>1383</v>
      </c>
      <c r="BD75" t="s">
        <v>300</v>
      </c>
      <c r="BE75" t="s">
        <v>439</v>
      </c>
      <c r="BF75" t="s">
        <v>896</v>
      </c>
      <c r="BG75" t="s">
        <v>185</v>
      </c>
      <c r="BH75" t="s">
        <v>346</v>
      </c>
      <c r="BI75" t="s">
        <v>223</v>
      </c>
      <c r="BJ75" t="s">
        <v>739</v>
      </c>
      <c r="BK75" t="s">
        <v>22</v>
      </c>
      <c r="BL75" t="s">
        <v>3023</v>
      </c>
      <c r="BM75" t="s">
        <v>1383</v>
      </c>
      <c r="BN75">
        <v>2.2400000000000002</v>
      </c>
      <c r="BO75">
        <v>8.58</v>
      </c>
      <c r="BP75">
        <v>5.3</v>
      </c>
      <c r="BQ75">
        <v>2.68</v>
      </c>
      <c r="BR75">
        <v>8.99</v>
      </c>
      <c r="BS75">
        <v>4.9400000000000004</v>
      </c>
      <c r="BT75" t="s">
        <v>3024</v>
      </c>
      <c r="BU75" t="s">
        <v>159</v>
      </c>
      <c r="BV75">
        <v>51.3</v>
      </c>
      <c r="BW75">
        <v>51.57</v>
      </c>
      <c r="BX75">
        <v>53.32</v>
      </c>
      <c r="BY75">
        <v>15.81</v>
      </c>
      <c r="BZ75">
        <v>16.84</v>
      </c>
      <c r="CA75">
        <v>8.64</v>
      </c>
      <c r="CB75">
        <v>-0.55000000000000004</v>
      </c>
      <c r="CC75">
        <v>-12.96</v>
      </c>
      <c r="CD75" t="s">
        <v>3025</v>
      </c>
      <c r="CE75" t="s">
        <v>421</v>
      </c>
      <c r="CF75" s="11">
        <v>-0.6395089285714286</v>
      </c>
      <c r="CG75" s="12">
        <v>-1.4423375841095407</v>
      </c>
      <c r="CH75" s="11">
        <v>0.56016182899475098</v>
      </c>
      <c r="CI75" s="11">
        <v>-9.3907490372657776E-2</v>
      </c>
      <c r="CJ75" s="11">
        <v>3.9523839950561523E-2</v>
      </c>
      <c r="CK75" s="11">
        <v>-2.325587160885334E-2</v>
      </c>
      <c r="CL75" s="11">
        <v>0.26918542385101318</v>
      </c>
      <c r="CM75" s="12">
        <v>-1.2999322414398193</v>
      </c>
      <c r="CN75" s="12">
        <v>0.87349396944046021</v>
      </c>
      <c r="CO75" s="12">
        <v>-0.47798740863800049</v>
      </c>
      <c r="CP75" s="12">
        <v>-5.637982115149498E-2</v>
      </c>
      <c r="CQ75" s="12">
        <v>0.57476633787155151</v>
      </c>
      <c r="CR75">
        <v>105.28027986436885</v>
      </c>
      <c r="CS75">
        <v>7.0027402638423153</v>
      </c>
      <c r="CT75">
        <v>0.85010060362173034</v>
      </c>
      <c r="CU75" s="11">
        <v>0.15034154616296291</v>
      </c>
      <c r="CV75" s="12">
        <v>-7.720783278346062E-2</v>
      </c>
      <c r="CW75">
        <v>0.06</v>
      </c>
      <c r="CX75" t="e">
        <v>#VALUE!</v>
      </c>
      <c r="CY75" t="s">
        <v>129</v>
      </c>
      <c r="CZ75">
        <v>0.15034154616296291</v>
      </c>
      <c r="DA75" t="e">
        <v>#VALUE!</v>
      </c>
      <c r="DB75" t="s">
        <v>130</v>
      </c>
      <c r="DC75">
        <v>0.14282446885481476</v>
      </c>
      <c r="DD75" t="e">
        <v>#VALUE!</v>
      </c>
      <c r="DE75" t="s">
        <v>130</v>
      </c>
      <c r="DF75">
        <v>0.13230056062340737</v>
      </c>
      <c r="DG75" t="e">
        <v>#VALUE!</v>
      </c>
      <c r="DH75" t="s">
        <v>130</v>
      </c>
      <c r="DI75">
        <v>0.12027323693037034</v>
      </c>
      <c r="DJ75" t="e">
        <v>#VALUE!</v>
      </c>
      <c r="DK75" t="s">
        <v>130</v>
      </c>
      <c r="DL75">
        <v>0.10523908231407403</v>
      </c>
      <c r="DM75">
        <v>-93278900</v>
      </c>
      <c r="DN75">
        <v>0.15034154616296291</v>
      </c>
      <c r="DO75">
        <v>19429138000</v>
      </c>
      <c r="DP75">
        <v>2537339200</v>
      </c>
      <c r="DQ75">
        <v>3844</v>
      </c>
      <c r="DR75">
        <v>-0.78985047473439152</v>
      </c>
      <c r="DS75">
        <v>-1.3651297513260801</v>
      </c>
      <c r="DT75" s="13">
        <v>-0.17333333333333334</v>
      </c>
      <c r="DU75">
        <v>-1.3816666666666668</v>
      </c>
      <c r="DV75">
        <v>-1.5550000000000002</v>
      </c>
      <c r="DW75">
        <v>-2.1295999999999999</v>
      </c>
      <c r="DX75">
        <v>0.36718914549653503</v>
      </c>
      <c r="DY75">
        <v>-2.0177797132563509</v>
      </c>
      <c r="DZ75">
        <v>3986</v>
      </c>
      <c r="EA75">
        <v>-2.0039108410372091</v>
      </c>
      <c r="EB75">
        <v>2</v>
      </c>
      <c r="EC75">
        <v>5.372468146753398E-2</v>
      </c>
      <c r="ED75">
        <v>0.3916102930234418</v>
      </c>
      <c r="EE75" s="14">
        <v>2.0470000000000002</v>
      </c>
      <c r="EF75">
        <v>2.0470000000000002</v>
      </c>
      <c r="EG75">
        <v>23.137189145496535</v>
      </c>
      <c r="EH75" t="s">
        <v>1028</v>
      </c>
      <c r="EI75">
        <v>0</v>
      </c>
      <c r="EJ75">
        <v>0</v>
      </c>
      <c r="EK75" s="10">
        <v>45470</v>
      </c>
      <c r="EL75" s="15">
        <v>-1.53</v>
      </c>
      <c r="EM75" s="15">
        <v>-3.88</v>
      </c>
      <c r="EN75" s="15">
        <v>1.01</v>
      </c>
      <c r="EO75" s="15">
        <v>5.39</v>
      </c>
      <c r="EP75" s="15">
        <v>0</v>
      </c>
    </row>
    <row r="76" spans="1:146" ht="192" x14ac:dyDescent="0.25">
      <c r="A76" s="16" t="s">
        <v>985</v>
      </c>
      <c r="B76" s="16" t="s">
        <v>986</v>
      </c>
      <c r="C76" s="16" t="str">
        <f>"公司主营业务包括以版权资源为核心的图书策划、图书发行和数字图书业务。公司持续保持行业领先地位，在重要的图书分销渠道中位居前列"&amp;CHAR(10)&amp;Basic_Fundamental_Information_Constructure(F76)&amp;CHAR(10)&amp;Basic_Fundamental_Information_Concatenate("文学46.75%（毛利52.29%，增速-9.15%） 少儿26.85%（毛利51.71%，增16.34%） 非自有版权图书发行11.05%（毛利26.15%，增速-25.08%） 社科、生活、其他7.65%（毛利56.60%，增速6.58%） 海外4.80%（毛利52.68%，增速39.26%） 数字图书2.89%（毛利62.73%，增速24.43%）")</f>
        <v>公司主营业务包括以版权资源为核心的图书策划、图书发行和数字图书业务。公司持续保持行业领先地位，在重要的图书分销渠道中位居前列
市值27.820614亿, 利润1.21亿; PE17.01; 平均PE15.31; 平均PEG1.22, PB1.39; ROIC6.59%; ROE6.7067%; 股利率5.257%; 毛利48.3567%; 净利15.8667%; 上一年度营收增60.98%, 利润增-11.68%; 当季营收增4.65%, 利润增287.21%; 过往5年营收增12.51%, 利润增-11.26%
Income profile:
文学46.75%（毛利52.29%，增速-9.15%） 少儿26.85%（毛利51.71%，增16.34%） 非自有版权图书发行11.05%（毛利26.15%，增速-25.08%） 社科、生活、其他7.65%（毛利56.60%，增速6.58%） 海外4.80%（毛利52.68%，增速39.26%） 数字图书2.89%（毛利62.73%，增速24.43%）</v>
      </c>
      <c r="D76" t="s">
        <v>897</v>
      </c>
      <c r="E76" t="s">
        <v>898</v>
      </c>
      <c r="F76">
        <v>17.12</v>
      </c>
      <c r="G76">
        <v>2.5099999999999998</v>
      </c>
      <c r="H76" t="s">
        <v>3026</v>
      </c>
      <c r="I76">
        <v>2782061400</v>
      </c>
      <c r="J76">
        <v>17.010000000000002</v>
      </c>
      <c r="K76">
        <v>1.39</v>
      </c>
      <c r="L76" t="s">
        <v>1467</v>
      </c>
      <c r="M76" t="s">
        <v>147</v>
      </c>
      <c r="N76" t="s">
        <v>3027</v>
      </c>
      <c r="O76" t="s">
        <v>104</v>
      </c>
      <c r="P76">
        <v>9.9700000000000006</v>
      </c>
      <c r="Q76" t="s">
        <v>3028</v>
      </c>
      <c r="R76">
        <v>48541859</v>
      </c>
      <c r="S76" s="5">
        <v>7.8100000000000003E-2</v>
      </c>
      <c r="T76" t="s">
        <v>3029</v>
      </c>
      <c r="U76">
        <v>162503590</v>
      </c>
      <c r="V76">
        <v>162503590</v>
      </c>
      <c r="W76">
        <v>1.08</v>
      </c>
      <c r="X76">
        <v>0.1</v>
      </c>
      <c r="Y76">
        <v>21.87</v>
      </c>
      <c r="Z76" t="s">
        <v>362</v>
      </c>
      <c r="AA76" t="s">
        <v>276</v>
      </c>
      <c r="AB76" t="s">
        <v>3030</v>
      </c>
      <c r="AC76" t="s">
        <v>3031</v>
      </c>
      <c r="AD76" t="s">
        <v>5</v>
      </c>
      <c r="AE76">
        <v>-716039</v>
      </c>
      <c r="AF76" t="s">
        <v>3032</v>
      </c>
      <c r="AG76" t="s">
        <v>3033</v>
      </c>
      <c r="AH76" t="s">
        <v>3034</v>
      </c>
      <c r="AI76" t="s">
        <v>156</v>
      </c>
      <c r="AJ76" t="s">
        <v>3035</v>
      </c>
      <c r="AK76" t="s">
        <v>5</v>
      </c>
      <c r="AL76" t="s">
        <v>3036</v>
      </c>
      <c r="AM76" t="s">
        <v>5</v>
      </c>
      <c r="AN76">
        <v>0</v>
      </c>
      <c r="AO76" t="s">
        <v>5</v>
      </c>
      <c r="AP76" t="s">
        <v>5</v>
      </c>
      <c r="AQ76" t="s">
        <v>102</v>
      </c>
      <c r="AR76" t="s">
        <v>5</v>
      </c>
      <c r="AS76" t="s">
        <v>17</v>
      </c>
      <c r="AT76" t="s">
        <v>5</v>
      </c>
      <c r="AU76" t="s">
        <v>3037</v>
      </c>
      <c r="AV76" t="s">
        <v>3038</v>
      </c>
      <c r="AW76" t="s">
        <v>3039</v>
      </c>
      <c r="AX76" t="s">
        <v>1123</v>
      </c>
      <c r="AY76" t="s">
        <v>899</v>
      </c>
      <c r="AZ76" t="s">
        <v>900</v>
      </c>
      <c r="BA76" t="s">
        <v>418</v>
      </c>
      <c r="BB76" t="s">
        <v>213</v>
      </c>
      <c r="BC76" t="s">
        <v>21</v>
      </c>
      <c r="BD76" t="s">
        <v>25</v>
      </c>
      <c r="BE76" t="s">
        <v>642</v>
      </c>
      <c r="BF76" t="s">
        <v>510</v>
      </c>
      <c r="BG76" t="s">
        <v>224</v>
      </c>
      <c r="BH76" t="s">
        <v>3040</v>
      </c>
      <c r="BI76" t="s">
        <v>157</v>
      </c>
      <c r="BJ76" t="s">
        <v>1123</v>
      </c>
      <c r="BK76" t="s">
        <v>1231</v>
      </c>
      <c r="BL76" t="s">
        <v>3041</v>
      </c>
      <c r="BM76" t="s">
        <v>21</v>
      </c>
      <c r="BN76">
        <v>6.56</v>
      </c>
      <c r="BO76">
        <v>6.96</v>
      </c>
      <c r="BP76">
        <v>6.25</v>
      </c>
      <c r="BQ76">
        <v>6.35</v>
      </c>
      <c r="BR76">
        <v>7.04</v>
      </c>
      <c r="BS76">
        <v>6.73</v>
      </c>
      <c r="BT76" t="s">
        <v>3042</v>
      </c>
      <c r="BU76" t="s">
        <v>82</v>
      </c>
      <c r="BV76">
        <v>48.68</v>
      </c>
      <c r="BW76">
        <v>48.9</v>
      </c>
      <c r="BX76">
        <v>47.49</v>
      </c>
      <c r="BY76">
        <v>18.04</v>
      </c>
      <c r="BZ76">
        <v>14.92</v>
      </c>
      <c r="CA76">
        <v>14.64</v>
      </c>
      <c r="CB76">
        <v>1.3</v>
      </c>
      <c r="CC76">
        <v>-1.67</v>
      </c>
      <c r="CD76" t="s">
        <v>3043</v>
      </c>
      <c r="CE76" t="s">
        <v>3044</v>
      </c>
      <c r="CF76" s="11">
        <v>4.6511627906976744E-2</v>
      </c>
      <c r="CG76" s="12">
        <v>2.8721041296076191</v>
      </c>
      <c r="CH76" s="11">
        <v>0.60980808734893799</v>
      </c>
      <c r="CI76" s="11">
        <v>1.735357940196991E-2</v>
      </c>
      <c r="CJ76" s="11">
        <v>5.2511416375637054E-2</v>
      </c>
      <c r="CK76" s="11">
        <v>-5.2972972393035889E-2</v>
      </c>
      <c r="CL76" s="11">
        <v>-1.0799135779961944E-3</v>
      </c>
      <c r="CM76" s="12">
        <v>-0.11678832024335861</v>
      </c>
      <c r="CN76" s="12">
        <v>4.5801527798175812E-2</v>
      </c>
      <c r="CO76" s="12">
        <v>-0.40454545617103577</v>
      </c>
      <c r="CP76" s="12">
        <v>-8.3333335816860199E-2</v>
      </c>
      <c r="CQ76" s="12">
        <v>-4.1493778117001057E-3</v>
      </c>
      <c r="CR76">
        <v>15.314099449541285</v>
      </c>
      <c r="CS76">
        <v>1.2239134477410902</v>
      </c>
      <c r="CT76">
        <v>5.2570093457943923</v>
      </c>
      <c r="CU76" s="11">
        <v>0.12512403943110256</v>
      </c>
      <c r="CV76" s="12">
        <v>-0.11260299244895577</v>
      </c>
      <c r="CW76">
        <v>0.06</v>
      </c>
      <c r="CX76">
        <v>7.1247614331390743</v>
      </c>
      <c r="CY76">
        <v>128433970.53883339</v>
      </c>
      <c r="CZ76">
        <v>0.12512403943110256</v>
      </c>
      <c r="DA76">
        <v>2.2603462580955855</v>
      </c>
      <c r="DB76">
        <v>404832399.78062868</v>
      </c>
      <c r="DC76">
        <v>0.11886783745954743</v>
      </c>
      <c r="DD76">
        <v>1.0689414441379739</v>
      </c>
      <c r="DE76">
        <v>856044458.76633871</v>
      </c>
      <c r="DF76">
        <v>0.11010915469937026</v>
      </c>
      <c r="DG76">
        <v>0.61306252743777745</v>
      </c>
      <c r="DH76">
        <v>1492606967.5541768</v>
      </c>
      <c r="DI76">
        <v>0.10009923154488205</v>
      </c>
      <c r="DJ76">
        <v>0.28557457960541255</v>
      </c>
      <c r="DK76">
        <v>3204281702.0491443</v>
      </c>
      <c r="DL76">
        <v>8.7586827601771791E-2</v>
      </c>
      <c r="DM76">
        <v>121000000</v>
      </c>
      <c r="DN76">
        <v>0.12512403943110256</v>
      </c>
      <c r="DO76">
        <v>915061400.00000024</v>
      </c>
      <c r="DP76">
        <v>1602554500</v>
      </c>
      <c r="DQ76">
        <v>3925</v>
      </c>
      <c r="DR76">
        <v>-7.8612411524125819E-2</v>
      </c>
      <c r="DS76">
        <v>2.9847071220565748</v>
      </c>
      <c r="DT76" s="13">
        <v>-0.10666666666666669</v>
      </c>
      <c r="DU76">
        <v>-0.13333333333333333</v>
      </c>
      <c r="DV76">
        <v>-0.24000000000000002</v>
      </c>
      <c r="DW76">
        <v>-1.67E-2</v>
      </c>
      <c r="DX76">
        <v>0.31653211485205218</v>
      </c>
      <c r="DY76">
        <v>-2.2800863180292459E-3</v>
      </c>
      <c r="DZ76">
        <v>3418</v>
      </c>
      <c r="EA76">
        <v>-7.5497182976623956E-4</v>
      </c>
      <c r="EB76">
        <v>0</v>
      </c>
      <c r="EC76">
        <v>4.1776307834183846E-2</v>
      </c>
      <c r="ED76">
        <v>0.30598154785380438</v>
      </c>
      <c r="EE76" s="14">
        <v>-3.0752099999999998</v>
      </c>
      <c r="EF76">
        <v>-3.0941100000000001</v>
      </c>
      <c r="EG76">
        <v>18.136532114852052</v>
      </c>
      <c r="EH76" t="s">
        <v>1445</v>
      </c>
      <c r="EI76">
        <v>0</v>
      </c>
      <c r="EJ76">
        <v>0</v>
      </c>
      <c r="EK76" s="10">
        <v>45470</v>
      </c>
      <c r="EL76" s="15">
        <v>-0.9</v>
      </c>
      <c r="EM76" s="15">
        <v>-4.55</v>
      </c>
      <c r="EN76" s="15">
        <v>1.35</v>
      </c>
      <c r="EO76" s="15">
        <v>3.61</v>
      </c>
      <c r="EP76" s="15">
        <v>-1.89</v>
      </c>
    </row>
    <row r="77" spans="1:146" ht="108" x14ac:dyDescent="0.25">
      <c r="A77" s="7"/>
      <c r="B77" s="7"/>
      <c r="C77" s="7" t="str">
        <f>""&amp;CHAR(10)&amp;Basic_Fundamental_Information_Constructure(F77)&amp;CHAR(10)&amp;Basic_Fundamental_Information_Concatenate("")</f>
        <v xml:space="preserve">
市值41.114725亿, 利润1.50亿; PE13.66; 平均PE20.77; 平均PEG2.05, PB1.52; ROIC12.4633%; ROE15.8733%; 股利率3.8693%; 毛利39.4633%; 净利15.8933%; 上一年度营收增5.43%, 利润增-44.03%; 当季营收增36.01%, 利润增407.62%; 过往5年营收增10.11%, 利润增2.67%
Income profile:
</v>
      </c>
      <c r="D77" t="s">
        <v>901</v>
      </c>
      <c r="E77" t="s">
        <v>902</v>
      </c>
      <c r="F77">
        <v>11.63</v>
      </c>
      <c r="G77">
        <v>1.84</v>
      </c>
      <c r="H77" t="s">
        <v>3045</v>
      </c>
      <c r="I77">
        <v>4111472500</v>
      </c>
      <c r="J77">
        <v>13.66</v>
      </c>
      <c r="K77">
        <v>1.52</v>
      </c>
      <c r="L77" t="s">
        <v>1467</v>
      </c>
      <c r="M77" t="s">
        <v>3046</v>
      </c>
      <c r="N77" t="s">
        <v>3047</v>
      </c>
      <c r="O77" t="s">
        <v>533</v>
      </c>
      <c r="P77">
        <v>8</v>
      </c>
      <c r="Q77" t="s">
        <v>3048</v>
      </c>
      <c r="R77">
        <v>128015033</v>
      </c>
      <c r="S77" s="5">
        <v>-9.8100000000000007E-2</v>
      </c>
      <c r="T77" t="s">
        <v>193</v>
      </c>
      <c r="U77">
        <v>89401000</v>
      </c>
      <c r="V77">
        <v>353523000</v>
      </c>
      <c r="W77">
        <v>1.66</v>
      </c>
      <c r="X77">
        <v>0.13</v>
      </c>
      <c r="Y77">
        <v>22.93</v>
      </c>
      <c r="Z77" t="s">
        <v>909</v>
      </c>
      <c r="AA77" t="s">
        <v>197</v>
      </c>
      <c r="AB77" t="s">
        <v>3049</v>
      </c>
      <c r="AC77" t="s">
        <v>3050</v>
      </c>
      <c r="AD77" t="s">
        <v>5</v>
      </c>
      <c r="AE77">
        <v>-4876770</v>
      </c>
      <c r="AF77" t="s">
        <v>3051</v>
      </c>
      <c r="AG77" t="s">
        <v>3052</v>
      </c>
      <c r="AH77" t="s">
        <v>3053</v>
      </c>
      <c r="AI77" t="s">
        <v>1245</v>
      </c>
      <c r="AJ77" t="s">
        <v>3054</v>
      </c>
      <c r="AK77" t="s">
        <v>5</v>
      </c>
      <c r="AL77" t="s">
        <v>3055</v>
      </c>
      <c r="AM77" t="s">
        <v>5</v>
      </c>
      <c r="AN77" t="s">
        <v>3056</v>
      </c>
      <c r="AO77" t="s">
        <v>5</v>
      </c>
      <c r="AP77" t="s">
        <v>5</v>
      </c>
      <c r="AQ77" t="s">
        <v>3057</v>
      </c>
      <c r="AR77" t="s">
        <v>5</v>
      </c>
      <c r="AS77" t="s">
        <v>3058</v>
      </c>
      <c r="AT77" t="s">
        <v>5</v>
      </c>
      <c r="AU77" t="s">
        <v>3059</v>
      </c>
      <c r="AV77" t="s">
        <v>3060</v>
      </c>
      <c r="AW77" t="s">
        <v>3061</v>
      </c>
      <c r="AX77" t="s">
        <v>1085</v>
      </c>
      <c r="AY77" t="s">
        <v>903</v>
      </c>
      <c r="AZ77" t="s">
        <v>905</v>
      </c>
      <c r="BA77" t="s">
        <v>891</v>
      </c>
      <c r="BB77" t="s">
        <v>365</v>
      </c>
      <c r="BC77" t="s">
        <v>679</v>
      </c>
      <c r="BD77" t="s">
        <v>904</v>
      </c>
      <c r="BE77" t="s">
        <v>435</v>
      </c>
      <c r="BF77" t="s">
        <v>126</v>
      </c>
      <c r="BG77" t="s">
        <v>147</v>
      </c>
      <c r="BH77" t="s">
        <v>3062</v>
      </c>
      <c r="BI77" t="s">
        <v>330</v>
      </c>
      <c r="BJ77" t="s">
        <v>1085</v>
      </c>
      <c r="BK77" t="s">
        <v>29</v>
      </c>
      <c r="BL77" t="s">
        <v>3063</v>
      </c>
      <c r="BM77" t="s">
        <v>679</v>
      </c>
      <c r="BN77">
        <v>12.67</v>
      </c>
      <c r="BO77">
        <v>10.9</v>
      </c>
      <c r="BP77">
        <v>13.82</v>
      </c>
      <c r="BQ77">
        <v>13.37</v>
      </c>
      <c r="BR77">
        <v>12.24</v>
      </c>
      <c r="BS77">
        <v>22.01</v>
      </c>
      <c r="BT77" t="s">
        <v>1067</v>
      </c>
      <c r="BU77" t="s">
        <v>82</v>
      </c>
      <c r="BV77">
        <v>40.159999999999997</v>
      </c>
      <c r="BW77">
        <v>39.36</v>
      </c>
      <c r="BX77">
        <v>38.869999999999997</v>
      </c>
      <c r="BY77">
        <v>17.14</v>
      </c>
      <c r="BZ77">
        <v>16.16</v>
      </c>
      <c r="CA77">
        <v>14.38</v>
      </c>
      <c r="CB77">
        <v>0.78</v>
      </c>
      <c r="CC77">
        <v>-7.18</v>
      </c>
      <c r="CD77" t="s">
        <v>3064</v>
      </c>
      <c r="CE77" t="s">
        <v>3065</v>
      </c>
      <c r="CF77" s="11">
        <v>0.36009732360097302</v>
      </c>
      <c r="CG77" s="12">
        <v>4.0761746395546181</v>
      </c>
      <c r="CH77" s="11">
        <v>5.4282266646623611E-2</v>
      </c>
      <c r="CI77" s="11">
        <v>4.1457287967205048E-2</v>
      </c>
      <c r="CJ77" s="11">
        <v>0.25354331731796265</v>
      </c>
      <c r="CK77" s="11">
        <v>5.3941965103149414E-2</v>
      </c>
      <c r="CL77" s="11">
        <v>0.1024702712893486</v>
      </c>
      <c r="CM77" s="12">
        <v>-0.44029849767684937</v>
      </c>
      <c r="CN77" s="12">
        <v>0.17030568420886993</v>
      </c>
      <c r="CO77" s="12">
        <v>0.13930347561836243</v>
      </c>
      <c r="CP77" s="12">
        <v>9.8360657691955566E-2</v>
      </c>
      <c r="CQ77" s="12">
        <v>0.1656050980091095</v>
      </c>
      <c r="CR77">
        <v>20.765012626262628</v>
      </c>
      <c r="CS77">
        <v>2.0531158285346272</v>
      </c>
      <c r="CT77">
        <v>3.8693035253654338</v>
      </c>
      <c r="CU77" s="11">
        <v>0.10113902166485786</v>
      </c>
      <c r="CV77" s="12">
        <v>2.6655283570289613E-2</v>
      </c>
      <c r="CW77">
        <v>0.06</v>
      </c>
      <c r="CX77">
        <v>20.763959152131061</v>
      </c>
      <c r="CY77">
        <v>155821559.66955534</v>
      </c>
      <c r="CZ77">
        <v>0.10113902166485786</v>
      </c>
      <c r="DA77">
        <v>6.7218465696409613</v>
      </c>
      <c r="DB77">
        <v>481336856.84123236</v>
      </c>
      <c r="DC77">
        <v>9.6082070581614956E-2</v>
      </c>
      <c r="DD77">
        <v>3.2674091331531159</v>
      </c>
      <c r="DE77">
        <v>990225701.20494938</v>
      </c>
      <c r="DF77">
        <v>8.9002339065074917E-2</v>
      </c>
      <c r="DG77">
        <v>1.9341943681158205</v>
      </c>
      <c r="DH77">
        <v>1672775266.7131426</v>
      </c>
      <c r="DI77">
        <v>8.091121733188629E-2</v>
      </c>
      <c r="DJ77">
        <v>0.96796652949811646</v>
      </c>
      <c r="DK77">
        <v>3342545843.6848726</v>
      </c>
      <c r="DL77">
        <v>7.0797315165400498E-2</v>
      </c>
      <c r="DM77">
        <v>150000000</v>
      </c>
      <c r="DN77">
        <v>0.10113902166485786</v>
      </c>
      <c r="DO77">
        <v>3235472500</v>
      </c>
      <c r="DP77">
        <v>1969137900</v>
      </c>
      <c r="DQ77">
        <v>4029</v>
      </c>
      <c r="DR77">
        <v>0.25895830193611513</v>
      </c>
      <c r="DS77">
        <v>4.0495193559843283</v>
      </c>
      <c r="DT77" s="13">
        <v>-0.3066666666666667</v>
      </c>
      <c r="DU77">
        <v>8.3333333333333329E-2</v>
      </c>
      <c r="DV77">
        <v>-0.22333333333333338</v>
      </c>
      <c r="DW77">
        <v>-2.0718000000000001</v>
      </c>
      <c r="DX77">
        <v>0.33762984938750673</v>
      </c>
      <c r="DY77">
        <v>-2.0091638231860229</v>
      </c>
      <c r="DZ77">
        <v>179</v>
      </c>
      <c r="EA77">
        <v>-2.0088428203777453</v>
      </c>
      <c r="EB77">
        <v>2</v>
      </c>
      <c r="EC77">
        <v>3.3806569869570022E-2</v>
      </c>
      <c r="ED77">
        <v>0.26487979565685965</v>
      </c>
      <c r="EE77" s="14">
        <v>-5.0346000000000002</v>
      </c>
      <c r="EF77">
        <v>-5.0000999999999998</v>
      </c>
      <c r="EG77">
        <v>21.127629849387507</v>
      </c>
      <c r="EH77" t="s">
        <v>1465</v>
      </c>
      <c r="EI77">
        <v>0</v>
      </c>
      <c r="EJ77">
        <v>1</v>
      </c>
      <c r="EK77" s="10">
        <v>45470</v>
      </c>
      <c r="EL77" s="15">
        <v>0.77</v>
      </c>
      <c r="EM77" s="15">
        <v>-3.54</v>
      </c>
      <c r="EN77" s="15">
        <v>-0.4</v>
      </c>
      <c r="EO77" s="15">
        <v>3.78</v>
      </c>
      <c r="EP77" s="15">
        <v>-3.45</v>
      </c>
    </row>
    <row r="78" spans="1:146" ht="108" x14ac:dyDescent="0.25">
      <c r="A78" s="7"/>
      <c r="B78" s="7"/>
      <c r="C78" s="7" t="str">
        <f>""&amp;CHAR(10)&amp;Basic_Fundamental_Information_Constructure(F78)&amp;CHAR(10)&amp;Basic_Fundamental_Information_Concatenate("")</f>
        <v xml:space="preserve">
市值47.820151亿, 利润-6.45亿; PE21.42; 平均PE42.44; 平均PEG1.35, PB1.98; ROIC9.7033%; ROE10.8567%; 股利率2.4876%; 毛利29.9933%; 净利10.29%; 上一年度营收增140.25%, 利润增-1076.62%; 当季营收增-67%, 利润增92.71%; 过往5年营收增31.55%, 利润增-215.7%
Income profile:
</v>
      </c>
      <c r="D78" t="s">
        <v>906</v>
      </c>
      <c r="E78" t="s">
        <v>907</v>
      </c>
      <c r="F78">
        <v>8.0399999999999991</v>
      </c>
      <c r="G78">
        <v>1.77</v>
      </c>
      <c r="H78" t="s">
        <v>3066</v>
      </c>
      <c r="I78">
        <v>4782015100</v>
      </c>
      <c r="J78">
        <v>21.42</v>
      </c>
      <c r="K78">
        <v>1.98</v>
      </c>
      <c r="L78" t="s">
        <v>1467</v>
      </c>
      <c r="M78" t="s">
        <v>3067</v>
      </c>
      <c r="N78" t="s">
        <v>3068</v>
      </c>
      <c r="O78" t="s">
        <v>719</v>
      </c>
      <c r="P78">
        <v>-30.29</v>
      </c>
      <c r="Q78" t="s">
        <v>3069</v>
      </c>
      <c r="R78">
        <v>-15013946</v>
      </c>
      <c r="S78" s="5">
        <v>-1.34</v>
      </c>
      <c r="T78" t="s">
        <v>1355</v>
      </c>
      <c r="U78">
        <v>594777990</v>
      </c>
      <c r="V78">
        <v>594777990</v>
      </c>
      <c r="W78">
        <v>1.92</v>
      </c>
      <c r="X78">
        <v>0.06</v>
      </c>
      <c r="Y78">
        <v>-5.0999999999999996</v>
      </c>
      <c r="Z78" t="s">
        <v>156</v>
      </c>
      <c r="AA78" t="s">
        <v>422</v>
      </c>
      <c r="AB78" t="s">
        <v>3070</v>
      </c>
      <c r="AC78" t="s">
        <v>3071</v>
      </c>
      <c r="AD78" t="s">
        <v>5</v>
      </c>
      <c r="AE78">
        <v>258655</v>
      </c>
      <c r="AF78" t="s">
        <v>3072</v>
      </c>
      <c r="AG78">
        <v>0.65</v>
      </c>
      <c r="AH78" t="s">
        <v>3073</v>
      </c>
      <c r="AI78" t="s">
        <v>3074</v>
      </c>
      <c r="AJ78" t="s">
        <v>3075</v>
      </c>
      <c r="AK78" t="s">
        <v>3076</v>
      </c>
      <c r="AL78" t="s">
        <v>3077</v>
      </c>
      <c r="AM78" t="s">
        <v>5</v>
      </c>
      <c r="AN78" t="s">
        <v>1435</v>
      </c>
      <c r="AO78" t="s">
        <v>3078</v>
      </c>
      <c r="AP78" t="s">
        <v>19</v>
      </c>
      <c r="AQ78" t="s">
        <v>745</v>
      </c>
      <c r="AR78" t="s">
        <v>3079</v>
      </c>
      <c r="AS78" t="s">
        <v>912</v>
      </c>
      <c r="AT78" t="s">
        <v>5</v>
      </c>
      <c r="AU78" t="s">
        <v>1361</v>
      </c>
      <c r="AV78" t="s">
        <v>253</v>
      </c>
      <c r="AW78" t="s">
        <v>3080</v>
      </c>
      <c r="AX78" t="s">
        <v>1124</v>
      </c>
      <c r="AY78" t="s">
        <v>908</v>
      </c>
      <c r="AZ78" t="s">
        <v>910</v>
      </c>
      <c r="BA78" t="s">
        <v>911</v>
      </c>
      <c r="BB78" t="s">
        <v>912</v>
      </c>
      <c r="BC78" t="s">
        <v>1125</v>
      </c>
      <c r="BD78" t="s">
        <v>909</v>
      </c>
      <c r="BE78" t="s">
        <v>393</v>
      </c>
      <c r="BF78" t="s">
        <v>579</v>
      </c>
      <c r="BG78" t="s">
        <v>352</v>
      </c>
      <c r="BH78" t="s">
        <v>3081</v>
      </c>
      <c r="BI78" t="s">
        <v>270</v>
      </c>
      <c r="BJ78" t="s">
        <v>1124</v>
      </c>
      <c r="BK78" t="s">
        <v>177</v>
      </c>
      <c r="BL78" t="s">
        <v>3082</v>
      </c>
      <c r="BM78" t="s">
        <v>1125</v>
      </c>
      <c r="BN78">
        <v>7.23</v>
      </c>
      <c r="BO78">
        <v>2.42</v>
      </c>
      <c r="BP78">
        <v>19.46</v>
      </c>
      <c r="BQ78">
        <v>9.07</v>
      </c>
      <c r="BR78">
        <v>2.8</v>
      </c>
      <c r="BS78">
        <v>20.7</v>
      </c>
      <c r="BT78" t="s">
        <v>1020</v>
      </c>
      <c r="BU78" t="s">
        <v>159</v>
      </c>
      <c r="BV78">
        <v>29.89</v>
      </c>
      <c r="BW78">
        <v>27.13</v>
      </c>
      <c r="BX78">
        <v>32.96</v>
      </c>
      <c r="BY78">
        <v>12.01</v>
      </c>
      <c r="BZ78">
        <v>3.93</v>
      </c>
      <c r="CA78">
        <v>14.93</v>
      </c>
      <c r="CB78">
        <v>-5.85</v>
      </c>
      <c r="CC78">
        <v>-22.32</v>
      </c>
      <c r="CD78" t="s">
        <v>3083</v>
      </c>
      <c r="CE78" t="s">
        <v>284</v>
      </c>
      <c r="CF78" s="11">
        <v>-0.67002237136465326</v>
      </c>
      <c r="CG78" s="12">
        <v>0.92711676699029122</v>
      </c>
      <c r="CH78" s="11">
        <v>1.4024970531463623</v>
      </c>
      <c r="CI78" s="11">
        <v>-0.42789116501808167</v>
      </c>
      <c r="CJ78" s="11">
        <v>0.30319148302078247</v>
      </c>
      <c r="CK78" s="11">
        <v>0.11133004724979401</v>
      </c>
      <c r="CL78" s="11">
        <v>0.18852458894252777</v>
      </c>
      <c r="CM78" s="12">
        <v>-10.766216278076172</v>
      </c>
      <c r="CN78" s="12">
        <v>-0.84955811500549316</v>
      </c>
      <c r="CO78" s="12">
        <v>0.27988338470458984</v>
      </c>
      <c r="CP78" s="12">
        <v>0.30916029214859009</v>
      </c>
      <c r="CQ78" s="12">
        <v>0.24170616269111633</v>
      </c>
      <c r="CR78">
        <v>42.441158563643789</v>
      </c>
      <c r="CS78">
        <v>1.3450735132383358</v>
      </c>
      <c r="CT78">
        <v>2.4875621890547266</v>
      </c>
      <c r="CU78" s="11">
        <v>0.31553040146827699</v>
      </c>
      <c r="CV78" s="12">
        <v>-2.1570049107074736</v>
      </c>
      <c r="CW78">
        <v>0.06</v>
      </c>
      <c r="CX78" t="e">
        <v>#VALUE!</v>
      </c>
      <c r="CY78" t="s">
        <v>129</v>
      </c>
      <c r="CZ78">
        <v>0.31553040146827699</v>
      </c>
      <c r="DA78" t="e">
        <v>#VALUE!</v>
      </c>
      <c r="DB78" t="s">
        <v>130</v>
      </c>
      <c r="DC78">
        <v>0.29975388139486314</v>
      </c>
      <c r="DD78" t="e">
        <v>#VALUE!</v>
      </c>
      <c r="DE78" t="s">
        <v>130</v>
      </c>
      <c r="DF78">
        <v>0.27766675329208373</v>
      </c>
      <c r="DG78" t="e">
        <v>#VALUE!</v>
      </c>
      <c r="DH78" t="s">
        <v>130</v>
      </c>
      <c r="DI78">
        <v>0.2524243211746216</v>
      </c>
      <c r="DJ78" t="e">
        <v>#VALUE!</v>
      </c>
      <c r="DK78" t="s">
        <v>130</v>
      </c>
      <c r="DL78">
        <v>0.22087128102779388</v>
      </c>
      <c r="DM78">
        <v>-645000000</v>
      </c>
      <c r="DN78">
        <v>0.31553040146827699</v>
      </c>
      <c r="DO78">
        <v>4785015100</v>
      </c>
      <c r="DP78">
        <v>2255430500</v>
      </c>
      <c r="DQ78">
        <v>4151</v>
      </c>
      <c r="DR78">
        <v>-0.9855527728329303</v>
      </c>
      <c r="DS78">
        <v>3.0841216776977647</v>
      </c>
      <c r="DT78" s="13">
        <v>-2.3333333333333355E-2</v>
      </c>
      <c r="DU78">
        <v>-1.5983333333333334</v>
      </c>
      <c r="DV78">
        <v>-1.6216666666666668</v>
      </c>
      <c r="DW78">
        <v>-8.262096774193548</v>
      </c>
      <c r="DX78">
        <v>0.36212021276595774</v>
      </c>
      <c r="DY78">
        <v>-8.0398702170555936</v>
      </c>
      <c r="DZ78">
        <v>3369</v>
      </c>
      <c r="EA78">
        <v>-8.0135839624058303</v>
      </c>
      <c r="EB78">
        <v>8</v>
      </c>
      <c r="EC78">
        <v>4.8082814900396703E-2</v>
      </c>
      <c r="ED78">
        <v>0.31608432585072627</v>
      </c>
      <c r="EE78" s="14">
        <v>1.11161</v>
      </c>
      <c r="EF78">
        <v>1.0985100000000001</v>
      </c>
      <c r="EG78">
        <v>21.152120212765958</v>
      </c>
      <c r="EH78" t="s">
        <v>2217</v>
      </c>
      <c r="EI78">
        <v>0</v>
      </c>
      <c r="EJ78">
        <v>0</v>
      </c>
      <c r="EK78" s="10">
        <v>45470</v>
      </c>
      <c r="EL78" s="15">
        <v>-0.76</v>
      </c>
      <c r="EM78" s="15">
        <v>-7.35</v>
      </c>
      <c r="EN78" s="15">
        <v>-1.07</v>
      </c>
      <c r="EO78" s="15">
        <v>-1.25</v>
      </c>
      <c r="EP78" s="15">
        <v>1.31</v>
      </c>
    </row>
    <row r="79" spans="1:146" ht="108" x14ac:dyDescent="0.25">
      <c r="A79" s="7"/>
      <c r="B79" s="7"/>
      <c r="C79" s="7" t="str">
        <f>""&amp;CHAR(10)&amp;Basic_Fundamental_Information_Constructure(F79)&amp;CHAR(10)&amp;Basic_Fundamental_Information_Concatenate("")</f>
        <v xml:space="preserve">
市值76.850836亿, 利润1.64亿; PE; 平均PE49.23; 平均PEG12.96, PB3.13; ROIC2.4533%; ROE3.3567%; 股利率.1713%; 毛利66.8367%; 净利3.65%; 上一年度营收增-52.56%, 利润增184.83%; 当季营收增132.99%, 利润增-270.1%; 过往5年营收增-3.8%, 利润增31.99%
Income profile:
</v>
      </c>
      <c r="D79" t="s">
        <v>914</v>
      </c>
      <c r="E79" t="s">
        <v>915</v>
      </c>
      <c r="F79">
        <v>17.510000000000002</v>
      </c>
      <c r="G79">
        <v>1.8</v>
      </c>
      <c r="H79" t="s">
        <v>3084</v>
      </c>
      <c r="I79">
        <v>7685083600</v>
      </c>
      <c r="K79">
        <v>3.13</v>
      </c>
      <c r="L79" t="s">
        <v>1467</v>
      </c>
      <c r="M79" t="s">
        <v>1420</v>
      </c>
      <c r="N79" t="s">
        <v>2836</v>
      </c>
      <c r="O79" t="s">
        <v>3085</v>
      </c>
      <c r="P79">
        <v>13.43</v>
      </c>
      <c r="Q79" t="s">
        <v>3086</v>
      </c>
      <c r="R79">
        <v>-73150243</v>
      </c>
      <c r="S79" s="5">
        <v>-11.97</v>
      </c>
      <c r="T79" t="s">
        <v>441</v>
      </c>
      <c r="U79">
        <v>438896840</v>
      </c>
      <c r="V79">
        <v>438896840</v>
      </c>
      <c r="W79">
        <v>1.31</v>
      </c>
      <c r="X79">
        <v>0.2</v>
      </c>
      <c r="Y79">
        <v>-10.79</v>
      </c>
      <c r="Z79" t="s">
        <v>348</v>
      </c>
      <c r="AA79" t="s">
        <v>3087</v>
      </c>
      <c r="AB79" t="s">
        <v>1352</v>
      </c>
      <c r="AC79" t="s">
        <v>3088</v>
      </c>
      <c r="AD79" t="s">
        <v>5</v>
      </c>
      <c r="AE79">
        <v>-9363304</v>
      </c>
      <c r="AF79" t="s">
        <v>3089</v>
      </c>
      <c r="AG79" t="s">
        <v>3090</v>
      </c>
      <c r="AH79" t="s">
        <v>3091</v>
      </c>
      <c r="AI79" t="s">
        <v>1366</v>
      </c>
      <c r="AJ79" t="s">
        <v>3092</v>
      </c>
      <c r="AK79" t="s">
        <v>5</v>
      </c>
      <c r="AL79" t="s">
        <v>3093</v>
      </c>
      <c r="AM79" t="s">
        <v>5</v>
      </c>
      <c r="AN79">
        <v>0</v>
      </c>
      <c r="AO79" t="s">
        <v>5</v>
      </c>
      <c r="AP79" t="s">
        <v>5</v>
      </c>
      <c r="AQ79" t="s">
        <v>146</v>
      </c>
      <c r="AR79" t="s">
        <v>5</v>
      </c>
      <c r="AS79" t="s">
        <v>542</v>
      </c>
      <c r="AT79" t="s">
        <v>5</v>
      </c>
      <c r="AU79" t="s">
        <v>3094</v>
      </c>
      <c r="AV79" t="s">
        <v>3095</v>
      </c>
      <c r="AW79" t="s">
        <v>3096</v>
      </c>
      <c r="AX79" t="s">
        <v>925</v>
      </c>
      <c r="AY79" t="s">
        <v>916</v>
      </c>
      <c r="AZ79" t="s">
        <v>917</v>
      </c>
      <c r="BA79" t="s">
        <v>918</v>
      </c>
      <c r="BB79" t="s">
        <v>740</v>
      </c>
      <c r="BC79" t="s">
        <v>1127</v>
      </c>
      <c r="BD79" t="s">
        <v>338</v>
      </c>
      <c r="BE79" t="s">
        <v>217</v>
      </c>
      <c r="BF79" t="s">
        <v>581</v>
      </c>
      <c r="BG79" t="s">
        <v>158</v>
      </c>
      <c r="BH79" t="s">
        <v>3097</v>
      </c>
      <c r="BI79" t="s">
        <v>156</v>
      </c>
      <c r="BJ79" t="s">
        <v>925</v>
      </c>
      <c r="BK79" t="s">
        <v>3098</v>
      </c>
      <c r="BL79" t="s">
        <v>3099</v>
      </c>
      <c r="BM79" t="s">
        <v>1127</v>
      </c>
      <c r="BN79">
        <v>0.77</v>
      </c>
      <c r="BO79">
        <v>0.86</v>
      </c>
      <c r="BP79">
        <v>5.73</v>
      </c>
      <c r="BQ79">
        <v>1.37</v>
      </c>
      <c r="BR79">
        <v>2.25</v>
      </c>
      <c r="BS79">
        <v>6.45</v>
      </c>
      <c r="BT79" t="s">
        <v>1076</v>
      </c>
      <c r="BU79" t="s">
        <v>159</v>
      </c>
      <c r="BV79">
        <v>74.91</v>
      </c>
      <c r="BW79">
        <v>73.099999999999994</v>
      </c>
      <c r="BX79">
        <v>52.5</v>
      </c>
      <c r="BY79">
        <v>1.36</v>
      </c>
      <c r="BZ79">
        <v>2.23</v>
      </c>
      <c r="CA79">
        <v>7.36</v>
      </c>
      <c r="CB79">
        <v>-6.21</v>
      </c>
      <c r="CC79">
        <v>-15.04</v>
      </c>
      <c r="CD79" t="s">
        <v>3100</v>
      </c>
      <c r="CE79" t="s">
        <v>840</v>
      </c>
      <c r="CF79" s="11">
        <v>1.3298969072164948</v>
      </c>
      <c r="CG79" s="12">
        <v>-2.7010299859313776</v>
      </c>
      <c r="CH79" s="11">
        <v>-0.5255616307258606</v>
      </c>
      <c r="CI79" s="11">
        <v>0.24674072861671448</v>
      </c>
      <c r="CJ79" s="11">
        <v>4.8520760610699654E-3</v>
      </c>
      <c r="CK79" s="11">
        <v>9.5111548900604248E-2</v>
      </c>
      <c r="CL79" s="11">
        <v>-1.1035241186618805E-2</v>
      </c>
      <c r="CM79" s="12">
        <v>1.8483496904373169</v>
      </c>
      <c r="CN79" s="12">
        <v>-0.61869406700134277</v>
      </c>
      <c r="CO79" s="12">
        <v>-0.42803031206130981</v>
      </c>
      <c r="CP79" s="12">
        <v>0.63975155353546143</v>
      </c>
      <c r="CQ79" s="12">
        <v>0.15827338397502899</v>
      </c>
      <c r="CR79">
        <v>49.232996062684421</v>
      </c>
      <c r="CS79">
        <v>12.963384891253456</v>
      </c>
      <c r="CT79">
        <v>0.17133066818960591</v>
      </c>
      <c r="CU79" s="11">
        <v>-3.7978503666818139E-2</v>
      </c>
      <c r="CV79" s="12">
        <v>0.31993004977703093</v>
      </c>
      <c r="CW79">
        <v>0.06</v>
      </c>
      <c r="CX79" t="e">
        <v>#VALUE!</v>
      </c>
      <c r="CY79" t="s">
        <v>187</v>
      </c>
      <c r="CZ79">
        <v>-3.7978503666818139E-2</v>
      </c>
      <c r="DA79">
        <v>12.416836585365854</v>
      </c>
      <c r="DB79" t="s">
        <v>3101</v>
      </c>
      <c r="DC79">
        <v>-3.6079578483477232E-2</v>
      </c>
      <c r="DD79">
        <v>6.2084182926829268</v>
      </c>
      <c r="DE79" t="s">
        <v>3102</v>
      </c>
      <c r="DF79">
        <v>-3.3421083226799965E-2</v>
      </c>
      <c r="DG79">
        <v>3.7250509756097561</v>
      </c>
      <c r="DH79" t="s">
        <v>3103</v>
      </c>
      <c r="DI79">
        <v>-3.0382802933454512E-2</v>
      </c>
      <c r="DJ79">
        <v>1.862525487804878</v>
      </c>
      <c r="DK79" t="s">
        <v>3104</v>
      </c>
      <c r="DL79">
        <v>-2.6584952566772697E-2</v>
      </c>
      <c r="DM79">
        <v>164000000</v>
      </c>
      <c r="DN79">
        <v>-3.7978503666818139E-2</v>
      </c>
      <c r="DO79">
        <v>6109083600</v>
      </c>
      <c r="DP79">
        <v>1763843100</v>
      </c>
      <c r="DQ79">
        <v>4175</v>
      </c>
      <c r="DR79">
        <v>1.3678754108833129</v>
      </c>
      <c r="DS79">
        <v>-3.0209600357084083</v>
      </c>
      <c r="DT79" s="13">
        <v>-0.45666666666666672</v>
      </c>
      <c r="DU79">
        <v>-0.69833333333333336</v>
      </c>
      <c r="DV79">
        <v>-1.155</v>
      </c>
      <c r="DW79">
        <v>-9.4128989361702136</v>
      </c>
      <c r="DX79">
        <v>0.42588355795148375</v>
      </c>
      <c r="DY79">
        <v>-9.0932670807765099</v>
      </c>
      <c r="DZ79">
        <v>1945</v>
      </c>
      <c r="EA79">
        <v>-9.0577671840817331</v>
      </c>
      <c r="EB79">
        <v>9</v>
      </c>
      <c r="EC79">
        <v>0.19093962945825721</v>
      </c>
      <c r="ED79">
        <v>0.84530114183551652</v>
      </c>
      <c r="EE79" s="14">
        <v>2.1074000000000002</v>
      </c>
      <c r="EF79">
        <v>2.0848</v>
      </c>
      <c r="EG79">
        <v>20.225883557951484</v>
      </c>
      <c r="EH79" t="s">
        <v>1028</v>
      </c>
      <c r="EI79">
        <v>0</v>
      </c>
      <c r="EJ79">
        <v>0</v>
      </c>
      <c r="EK79" s="10">
        <v>45470</v>
      </c>
      <c r="EL79" s="15">
        <v>1.71</v>
      </c>
      <c r="EM79" s="15">
        <v>-3.37</v>
      </c>
      <c r="EN79" s="15">
        <v>-0.12</v>
      </c>
      <c r="EO79" s="15">
        <v>1.81</v>
      </c>
      <c r="EP79" s="15">
        <v>-2.2599999999999998</v>
      </c>
    </row>
    <row r="80" spans="1:146" ht="108" x14ac:dyDescent="0.25">
      <c r="A80" s="7"/>
      <c r="B80" s="7"/>
      <c r="C80" s="7" t="str">
        <f>""&amp;CHAR(10)&amp;Basic_Fundamental_Information_Constructure(F80)&amp;CHAR(10)&amp;Basic_Fundamental_Information_Concatenate("")</f>
        <v xml:space="preserve">
市值33.268572亿, 利润14.39亿; PE70.18; 平均PE18.49; 平均PEG.98, PB16.22; ROIC9.23%; ROE-29.5933%; 股利率0%; 毛利4.87%; 净利-1.69%; 上一年度营收增35.43%, 利润增1540.3%; 当季营收增-34.16%, 利润增-98.46%; 过往5年营收增18.87%, 利润增192.97%
Income profile:
</v>
      </c>
      <c r="D80" t="s">
        <v>919</v>
      </c>
      <c r="E80" t="s">
        <v>920</v>
      </c>
      <c r="F80">
        <v>12.42</v>
      </c>
      <c r="G80">
        <v>2.9</v>
      </c>
      <c r="H80" t="s">
        <v>3105</v>
      </c>
      <c r="I80">
        <v>3326857200</v>
      </c>
      <c r="J80">
        <v>70.180000000000007</v>
      </c>
      <c r="K80">
        <v>16.22</v>
      </c>
      <c r="L80" t="s">
        <v>1467</v>
      </c>
      <c r="M80" t="s">
        <v>1016</v>
      </c>
      <c r="N80" t="s">
        <v>570</v>
      </c>
      <c r="O80" t="s">
        <v>1272</v>
      </c>
      <c r="P80">
        <v>32.450000000000003</v>
      </c>
      <c r="Q80" t="s">
        <v>3106</v>
      </c>
      <c r="R80">
        <v>8044455</v>
      </c>
      <c r="S80" s="5">
        <v>-7.2900000000000006E-2</v>
      </c>
      <c r="T80" t="s">
        <v>2541</v>
      </c>
      <c r="U80">
        <v>267862900</v>
      </c>
      <c r="V80">
        <v>267862900</v>
      </c>
      <c r="W80">
        <v>6.8</v>
      </c>
      <c r="X80">
        <v>0.97</v>
      </c>
      <c r="Y80">
        <v>0.63</v>
      </c>
      <c r="Z80" t="s">
        <v>1075</v>
      </c>
      <c r="AA80" t="s">
        <v>1406</v>
      </c>
      <c r="AB80" t="s">
        <v>3107</v>
      </c>
      <c r="AC80" t="s">
        <v>3108</v>
      </c>
      <c r="AD80" t="s">
        <v>5</v>
      </c>
      <c r="AE80">
        <v>1353568</v>
      </c>
      <c r="AF80" t="s">
        <v>3109</v>
      </c>
      <c r="AG80" t="s">
        <v>3110</v>
      </c>
      <c r="AH80" t="s">
        <v>3111</v>
      </c>
      <c r="AI80" t="s">
        <v>3112</v>
      </c>
      <c r="AJ80" t="s">
        <v>3113</v>
      </c>
      <c r="AK80" t="s">
        <v>3114</v>
      </c>
      <c r="AL80" t="s">
        <v>3115</v>
      </c>
      <c r="AM80" t="s">
        <v>5</v>
      </c>
      <c r="AN80">
        <v>0</v>
      </c>
      <c r="AO80" t="s">
        <v>21</v>
      </c>
      <c r="AP80" t="s">
        <v>5</v>
      </c>
      <c r="AQ80" t="s">
        <v>248</v>
      </c>
      <c r="AR80" t="s">
        <v>5</v>
      </c>
      <c r="AS80" t="s">
        <v>834</v>
      </c>
      <c r="AT80" t="s">
        <v>3116</v>
      </c>
      <c r="AU80" t="s">
        <v>3117</v>
      </c>
      <c r="AV80" t="s">
        <v>3118</v>
      </c>
      <c r="AW80" t="s">
        <v>3119</v>
      </c>
      <c r="AX80" t="s">
        <v>1128</v>
      </c>
      <c r="AY80" t="s">
        <v>921</v>
      </c>
      <c r="AZ80" t="s">
        <v>922</v>
      </c>
      <c r="BA80" t="s">
        <v>923</v>
      </c>
      <c r="BB80" t="s">
        <v>924</v>
      </c>
      <c r="BC80" t="s">
        <v>3120</v>
      </c>
      <c r="BD80" t="s">
        <v>378</v>
      </c>
      <c r="BE80" t="s">
        <v>91</v>
      </c>
      <c r="BF80" t="s">
        <v>926</v>
      </c>
      <c r="BG80" t="s">
        <v>927</v>
      </c>
      <c r="BH80" t="s">
        <v>3121</v>
      </c>
      <c r="BI80" t="s">
        <v>3122</v>
      </c>
      <c r="BJ80" t="s">
        <v>1128</v>
      </c>
      <c r="BK80" t="s">
        <v>3123</v>
      </c>
      <c r="BL80" t="s">
        <v>477</v>
      </c>
      <c r="BM80" t="s">
        <v>3120</v>
      </c>
      <c r="BN80">
        <v>9.23</v>
      </c>
      <c r="BO80" t="s">
        <v>5</v>
      </c>
      <c r="BP80" t="s">
        <v>5</v>
      </c>
      <c r="BQ80">
        <v>21.59</v>
      </c>
      <c r="BR80">
        <v>-50.96</v>
      </c>
      <c r="BS80">
        <v>-59.41</v>
      </c>
      <c r="BT80" t="s">
        <v>1017</v>
      </c>
      <c r="BU80" t="s">
        <v>107</v>
      </c>
      <c r="BV80">
        <v>5.69</v>
      </c>
      <c r="BW80">
        <v>4.54</v>
      </c>
      <c r="BX80">
        <v>4.38</v>
      </c>
      <c r="BY80">
        <v>1.01</v>
      </c>
      <c r="BZ80">
        <v>-2.31</v>
      </c>
      <c r="CA80">
        <v>-3.77</v>
      </c>
      <c r="CB80">
        <v>-2.36</v>
      </c>
      <c r="CC80">
        <v>-12.54</v>
      </c>
      <c r="CD80" t="s">
        <v>3124</v>
      </c>
      <c r="CE80" t="s">
        <v>1668</v>
      </c>
      <c r="CF80" s="11">
        <v>-0.34164070612668751</v>
      </c>
      <c r="CG80" s="12">
        <v>-0.98455958733205373</v>
      </c>
      <c r="CH80" s="11">
        <v>0.35425803065299988</v>
      </c>
      <c r="CI80" s="11">
        <v>-0.21175181865692139</v>
      </c>
      <c r="CJ80" s="11">
        <v>-1.7691263929009438E-2</v>
      </c>
      <c r="CK80" s="11">
        <v>0.8653334379196167</v>
      </c>
      <c r="CL80" s="11">
        <v>-4.671117290854454E-2</v>
      </c>
      <c r="CM80" s="12">
        <v>15.403020858764648</v>
      </c>
      <c r="CN80" s="12">
        <v>0.51734495162963867</v>
      </c>
      <c r="CO80" s="12">
        <v>-3.029411792755127</v>
      </c>
      <c r="CP80" s="12">
        <v>1.4834122657775879</v>
      </c>
      <c r="CQ80" s="12">
        <v>-4.726038932800293</v>
      </c>
      <c r="CR80">
        <v>18.487351846855695</v>
      </c>
      <c r="CS80">
        <v>0.97978708018826366</v>
      </c>
      <c r="CT80">
        <v>0</v>
      </c>
      <c r="CU80" s="11">
        <v>0.18868744261562825</v>
      </c>
      <c r="CV80" s="12">
        <v>1.9296654701232909</v>
      </c>
      <c r="CW80">
        <v>0.06</v>
      </c>
      <c r="CX80">
        <v>2.5697831486111333</v>
      </c>
      <c r="CY80">
        <v>1613699273.5131028</v>
      </c>
      <c r="CZ80">
        <v>0.18868744261562825</v>
      </c>
      <c r="DA80">
        <v>0.77319824952358829</v>
      </c>
      <c r="DB80">
        <v>5363252183.4537468</v>
      </c>
      <c r="DC80">
        <v>0.17925307048484684</v>
      </c>
      <c r="DD80">
        <v>0.33949400418494485</v>
      </c>
      <c r="DE80">
        <v>12214817195.242519</v>
      </c>
      <c r="DF80">
        <v>0.16604494950175286</v>
      </c>
      <c r="DG80">
        <v>0.17822104721346665</v>
      </c>
      <c r="DH80">
        <v>23268055399.949738</v>
      </c>
      <c r="DI80">
        <v>0.15094995409250261</v>
      </c>
      <c r="DJ80">
        <v>6.7269037143629029E-2</v>
      </c>
      <c r="DK80">
        <v>61645853368.554474</v>
      </c>
      <c r="DL80">
        <v>0.13208120983093977</v>
      </c>
      <c r="DM80">
        <v>1439000000</v>
      </c>
      <c r="DN80">
        <v>0.18868744261562825</v>
      </c>
      <c r="DO80">
        <v>4146857200</v>
      </c>
      <c r="DP80">
        <v>139225390</v>
      </c>
      <c r="DQ80">
        <v>4202</v>
      </c>
      <c r="DR80">
        <v>-0.53032814874231571</v>
      </c>
      <c r="DS80">
        <v>-2.9142250574553445</v>
      </c>
      <c r="DT80" s="13">
        <v>-0.19000000000000003</v>
      </c>
      <c r="DU80">
        <v>-1.4733333333333334</v>
      </c>
      <c r="DV80">
        <v>-1.6633333333333333</v>
      </c>
      <c r="DW80">
        <v>-2.1254</v>
      </c>
      <c r="DX80">
        <v>0.41525833333333323</v>
      </c>
      <c r="DY80">
        <v>-2.0144533949999999</v>
      </c>
      <c r="DZ80">
        <v>1466</v>
      </c>
      <c r="EA80">
        <v>-2.0103068828532287</v>
      </c>
      <c r="EB80">
        <v>2</v>
      </c>
      <c r="EC80">
        <v>0.19104810707268532</v>
      </c>
      <c r="ED80">
        <v>1.6575643734164009</v>
      </c>
      <c r="EE80" s="14">
        <v>-2.0201099999999999</v>
      </c>
      <c r="EF80">
        <v>-2.03471</v>
      </c>
      <c r="EG80">
        <v>30.115258333333333</v>
      </c>
      <c r="EH80" t="s">
        <v>1240</v>
      </c>
      <c r="EI80">
        <v>0</v>
      </c>
      <c r="EJ80">
        <v>1</v>
      </c>
      <c r="EK80" s="10">
        <v>45470</v>
      </c>
      <c r="EL80" s="15">
        <v>-0.7</v>
      </c>
      <c r="EM80" s="15">
        <v>-3.22</v>
      </c>
      <c r="EN80" s="15">
        <v>-0.97</v>
      </c>
      <c r="EO80" s="15">
        <v>1.31</v>
      </c>
      <c r="EP80" s="15">
        <v>-1.46</v>
      </c>
    </row>
    <row r="81" spans="1:146" ht="96" x14ac:dyDescent="0.25">
      <c r="A81" s="7"/>
      <c r="B81" s="7"/>
      <c r="C81" s="7" t="str">
        <f>""&amp;CHAR(10)&amp;Basic_Fundamental_Information_Constructure(F81)&amp;CHAR(10)&amp;Basic_Fundamental_Information_Concatenate("")</f>
        <v xml:space="preserve">
市值11.9752654亿, 利润6.54亿; PE; 平均PE20.62; 平均PEG.09, PB3.44; ROIC.34%; ROE-12.69%; 股利率0%; 毛利4.12%; 净利-24.9033%; 上一年度营收增1259.86%, 利润增453.51%; 当季营收增-93.77%, 利润增-109.38%; 过往5年营收增237.53%, 利润增-44.99%
Income profile:
</v>
      </c>
      <c r="D81" t="s">
        <v>928</v>
      </c>
      <c r="E81" t="s">
        <v>929</v>
      </c>
      <c r="F81">
        <v>12.83</v>
      </c>
      <c r="G81">
        <v>1.66</v>
      </c>
      <c r="H81" t="s">
        <v>3125</v>
      </c>
      <c r="I81">
        <v>1197526540</v>
      </c>
      <c r="K81">
        <v>3.44</v>
      </c>
      <c r="L81" t="s">
        <v>1467</v>
      </c>
      <c r="M81" t="s">
        <v>1458</v>
      </c>
      <c r="N81" t="s">
        <v>1241</v>
      </c>
      <c r="O81" t="s">
        <v>3126</v>
      </c>
      <c r="P81">
        <v>37.11</v>
      </c>
      <c r="Q81" t="s">
        <v>3127</v>
      </c>
      <c r="R81">
        <v>-14439593</v>
      </c>
      <c r="S81" s="5">
        <v>-2.3929999999999998</v>
      </c>
      <c r="T81" t="s">
        <v>336</v>
      </c>
      <c r="U81">
        <v>93338000</v>
      </c>
      <c r="V81">
        <v>93338000</v>
      </c>
      <c r="W81">
        <v>1.85</v>
      </c>
      <c r="X81">
        <v>0.13</v>
      </c>
      <c r="Y81">
        <v>-17.22</v>
      </c>
      <c r="Z81" t="s">
        <v>3128</v>
      </c>
      <c r="AA81" t="s">
        <v>3129</v>
      </c>
      <c r="AB81" t="s">
        <v>3130</v>
      </c>
      <c r="AC81" t="s">
        <v>3131</v>
      </c>
      <c r="AD81" t="s">
        <v>5</v>
      </c>
      <c r="AE81">
        <v>1559535</v>
      </c>
      <c r="AF81" t="s">
        <v>3132</v>
      </c>
      <c r="AG81" t="s">
        <v>5</v>
      </c>
      <c r="AH81" t="s">
        <v>3133</v>
      </c>
      <c r="AI81" t="s">
        <v>3134</v>
      </c>
      <c r="AJ81" t="s">
        <v>3135</v>
      </c>
      <c r="AK81" t="s">
        <v>3136</v>
      </c>
      <c r="AL81" t="s">
        <v>3137</v>
      </c>
      <c r="AM81" t="s">
        <v>5</v>
      </c>
      <c r="AN81">
        <v>0</v>
      </c>
      <c r="AO81" t="s">
        <v>3138</v>
      </c>
      <c r="AP81" t="s">
        <v>5</v>
      </c>
      <c r="AQ81" t="s">
        <v>3139</v>
      </c>
      <c r="AR81" t="s">
        <v>5</v>
      </c>
      <c r="AS81" t="s">
        <v>426</v>
      </c>
      <c r="AT81" t="s">
        <v>3140</v>
      </c>
      <c r="AU81" t="s">
        <v>3141</v>
      </c>
      <c r="AV81">
        <v>-5217.7</v>
      </c>
      <c r="AW81" t="s">
        <v>3142</v>
      </c>
      <c r="AX81" t="s">
        <v>493</v>
      </c>
      <c r="AY81" t="s">
        <v>494</v>
      </c>
      <c r="AZ81" t="s">
        <v>931</v>
      </c>
      <c r="BA81" t="s">
        <v>610</v>
      </c>
      <c r="BB81" t="s">
        <v>932</v>
      </c>
      <c r="BC81" t="s">
        <v>1248</v>
      </c>
      <c r="BD81" t="s">
        <v>930</v>
      </c>
      <c r="BE81" t="s">
        <v>933</v>
      </c>
      <c r="BF81" t="s">
        <v>934</v>
      </c>
      <c r="BG81" t="s">
        <v>935</v>
      </c>
      <c r="BH81" t="s">
        <v>203</v>
      </c>
      <c r="BI81" t="s">
        <v>1221</v>
      </c>
      <c r="BJ81" t="s">
        <v>493</v>
      </c>
      <c r="BK81" t="s">
        <v>3143</v>
      </c>
      <c r="BL81" t="s">
        <v>73</v>
      </c>
      <c r="BM81" t="s">
        <v>1248</v>
      </c>
      <c r="BN81">
        <v>0.34</v>
      </c>
      <c r="BO81" t="s">
        <v>5</v>
      </c>
      <c r="BP81" t="s">
        <v>5</v>
      </c>
      <c r="BQ81">
        <v>0.9</v>
      </c>
      <c r="BR81">
        <v>-30.61</v>
      </c>
      <c r="BS81">
        <v>-8.36</v>
      </c>
      <c r="BT81" t="s">
        <v>1017</v>
      </c>
      <c r="BU81" t="s">
        <v>107</v>
      </c>
      <c r="BV81">
        <v>12.79</v>
      </c>
      <c r="BW81">
        <v>-3.19</v>
      </c>
      <c r="BX81">
        <v>2.76</v>
      </c>
      <c r="BY81">
        <v>-17.88</v>
      </c>
      <c r="BZ81">
        <v>-48.42</v>
      </c>
      <c r="CA81">
        <v>-8.41</v>
      </c>
      <c r="CB81">
        <v>-3.24</v>
      </c>
      <c r="CC81">
        <v>-20.56</v>
      </c>
      <c r="CD81" t="s">
        <v>3144</v>
      </c>
      <c r="CE81" t="s">
        <v>186</v>
      </c>
      <c r="CF81" s="11">
        <v>-0.93771224489795924</v>
      </c>
      <c r="CG81" s="12">
        <v>-1.0937635909090908</v>
      </c>
      <c r="CH81" s="11">
        <v>12.598608016967773</v>
      </c>
      <c r="CI81" s="11">
        <v>-0.41756758093833923</v>
      </c>
      <c r="CJ81" s="11">
        <v>0.1916264146566391</v>
      </c>
      <c r="CK81" s="11">
        <v>-3.4214619547128677E-2</v>
      </c>
      <c r="CL81" s="11">
        <v>-0.46192470192909241</v>
      </c>
      <c r="CM81" s="12">
        <v>4.5351352691650391</v>
      </c>
      <c r="CN81" s="12">
        <v>-1.9355759620666504</v>
      </c>
      <c r="CO81" s="12">
        <v>-1.9134112596511841</v>
      </c>
      <c r="CP81" s="12">
        <v>0.63174253702163696</v>
      </c>
      <c r="CQ81" s="12">
        <v>-3.5673449039459229</v>
      </c>
      <c r="CR81">
        <v>20.618013747333492</v>
      </c>
      <c r="CS81">
        <v>8.6801523831878877E-2</v>
      </c>
      <c r="CT81">
        <v>0</v>
      </c>
      <c r="CU81" s="11">
        <v>2.3753055058419705</v>
      </c>
      <c r="CV81" s="12">
        <v>-0.44989086389541627</v>
      </c>
      <c r="CW81">
        <v>0.06</v>
      </c>
      <c r="CX81">
        <v>0.54094916765766132</v>
      </c>
      <c r="CY81">
        <v>2082499812.0949514</v>
      </c>
      <c r="CZ81">
        <v>2.3753055058419705</v>
      </c>
      <c r="DA81">
        <v>4.1498869389836969E-2</v>
      </c>
      <c r="DB81">
        <v>27145957385.429039</v>
      </c>
      <c r="DC81">
        <v>2.2565402305498719</v>
      </c>
      <c r="DD81">
        <v>1.8462330268479818E-3</v>
      </c>
      <c r="DE81">
        <v>610175705676.37659</v>
      </c>
      <c r="DF81">
        <v>2.0902688451409341</v>
      </c>
      <c r="DG81">
        <v>4.6487451269475398E-5</v>
      </c>
      <c r="DH81">
        <v>24232916824581.867</v>
      </c>
      <c r="DI81">
        <v>1.9002444046735765</v>
      </c>
      <c r="DJ81">
        <v>1.0359111886985029E-8</v>
      </c>
      <c r="DK81">
        <v>1.0874740540406213E+17</v>
      </c>
      <c r="DL81">
        <v>1.6627138540893793</v>
      </c>
      <c r="DM81">
        <v>654000000</v>
      </c>
      <c r="DN81">
        <v>2.3753055058419705</v>
      </c>
      <c r="DO81">
        <v>1126526540</v>
      </c>
      <c r="DP81">
        <v>20723480</v>
      </c>
      <c r="DQ81">
        <v>4285</v>
      </c>
      <c r="DR81">
        <v>-3.3130177507399297</v>
      </c>
      <c r="DS81">
        <v>-0.6438727270136746</v>
      </c>
      <c r="DT81" s="13">
        <v>-0.25666666666666665</v>
      </c>
      <c r="DU81">
        <v>-2.7983333333333333</v>
      </c>
      <c r="DV81">
        <v>-3.0550000000000002</v>
      </c>
      <c r="DW81">
        <v>-8.1575875486381317</v>
      </c>
      <c r="DX81">
        <v>0.31739120000000015</v>
      </c>
      <c r="DY81">
        <v>-8.018499391439688</v>
      </c>
      <c r="DZ81">
        <v>2073</v>
      </c>
      <c r="EA81">
        <v>-8.0109946481022174</v>
      </c>
      <c r="EB81">
        <v>8</v>
      </c>
      <c r="EC81">
        <v>0.15721249651803126</v>
      </c>
      <c r="ED81">
        <v>1.3392187533480469</v>
      </c>
      <c r="EE81" s="14">
        <v>1.0536099999999999</v>
      </c>
      <c r="EF81">
        <v>1.0826100000000001</v>
      </c>
      <c r="EG81">
        <v>20.1173912</v>
      </c>
      <c r="EH81" t="s">
        <v>2217</v>
      </c>
      <c r="EI81">
        <v>0</v>
      </c>
      <c r="EJ81">
        <v>0</v>
      </c>
      <c r="EK81" s="10">
        <v>45470</v>
      </c>
      <c r="EL81" s="15">
        <v>1.92</v>
      </c>
      <c r="EM81" s="15">
        <v>-2.38</v>
      </c>
      <c r="EN81" s="15">
        <v>-1.52</v>
      </c>
      <c r="EO81" s="15">
        <v>2.88</v>
      </c>
      <c r="EP81" s="15">
        <v>-2.9</v>
      </c>
    </row>
    <row r="82" spans="1:146" ht="96" x14ac:dyDescent="0.25">
      <c r="A82" s="7"/>
      <c r="B82" s="7"/>
      <c r="C82" s="7" t="str">
        <f>""&amp;CHAR(10)&amp;Basic_Fundamental_Information_Constructure(F82)&amp;CHAR(10)&amp;Basic_Fundamental_Information_Concatenate("")</f>
        <v xml:space="preserve">
市值22.065614亿, 利润8394.16万; PE; 平均PE67.22; 平均PEG3.48, PB2.42; ROIC8.13%; ROE-9.9133%; 股利率0%; 毛利11.0633%; 净利-6.3%; 上一年度营收增-90.25%, 利润增112.99%; 当季营收增159.5%, 利润增-453.87%; 过往5年营收增-19.32%, 利润增-40.14%
Income profile:
</v>
      </c>
      <c r="D82" t="s">
        <v>936</v>
      </c>
      <c r="E82" t="s">
        <v>937</v>
      </c>
      <c r="F82">
        <v>8.7100000000000009</v>
      </c>
      <c r="G82">
        <v>2.71</v>
      </c>
      <c r="H82" t="s">
        <v>3145</v>
      </c>
      <c r="I82">
        <v>2206561400</v>
      </c>
      <c r="K82">
        <v>2.42</v>
      </c>
      <c r="L82" t="s">
        <v>1467</v>
      </c>
      <c r="M82" t="s">
        <v>3146</v>
      </c>
      <c r="N82" t="s">
        <v>152</v>
      </c>
      <c r="O82" t="s">
        <v>1318</v>
      </c>
      <c r="P82">
        <v>-67.38</v>
      </c>
      <c r="Q82" t="s">
        <v>1257</v>
      </c>
      <c r="R82">
        <v>-47716559</v>
      </c>
      <c r="S82" s="5">
        <v>-15.59</v>
      </c>
      <c r="T82" t="s">
        <v>3147</v>
      </c>
      <c r="U82">
        <v>253336550</v>
      </c>
      <c r="V82">
        <v>253336550</v>
      </c>
      <c r="W82">
        <v>4.07</v>
      </c>
      <c r="X82">
        <v>0.21</v>
      </c>
      <c r="Y82">
        <v>-7.88</v>
      </c>
      <c r="Z82" t="s">
        <v>364</v>
      </c>
      <c r="AA82" t="s">
        <v>490</v>
      </c>
      <c r="AB82" t="s">
        <v>3148</v>
      </c>
      <c r="AC82" t="s">
        <v>3149</v>
      </c>
      <c r="AD82" t="s">
        <v>5</v>
      </c>
      <c r="AE82">
        <v>9036819</v>
      </c>
      <c r="AF82" t="s">
        <v>3150</v>
      </c>
      <c r="AG82" t="s">
        <v>3151</v>
      </c>
      <c r="AH82" t="s">
        <v>3152</v>
      </c>
      <c r="AI82" t="s">
        <v>2353</v>
      </c>
      <c r="AJ82" t="s">
        <v>3153</v>
      </c>
      <c r="AK82" t="s">
        <v>5</v>
      </c>
      <c r="AL82" t="s">
        <v>3154</v>
      </c>
      <c r="AM82" t="s">
        <v>5</v>
      </c>
      <c r="AN82">
        <v>0</v>
      </c>
      <c r="AO82" t="s">
        <v>493</v>
      </c>
      <c r="AP82" t="s">
        <v>5</v>
      </c>
      <c r="AQ82" t="s">
        <v>1364</v>
      </c>
      <c r="AR82" t="s">
        <v>5</v>
      </c>
      <c r="AS82" t="s">
        <v>876</v>
      </c>
      <c r="AT82" t="s">
        <v>3155</v>
      </c>
      <c r="AU82" t="s">
        <v>3156</v>
      </c>
      <c r="AV82" t="s">
        <v>1415</v>
      </c>
      <c r="AW82" t="s">
        <v>3157</v>
      </c>
      <c r="AX82" t="s">
        <v>1130</v>
      </c>
      <c r="AY82" t="s">
        <v>938</v>
      </c>
      <c r="AZ82" t="s">
        <v>939</v>
      </c>
      <c r="BA82" t="s">
        <v>940</v>
      </c>
      <c r="BB82" t="s">
        <v>941</v>
      </c>
      <c r="BC82" t="s">
        <v>3158</v>
      </c>
      <c r="BD82" t="s">
        <v>904</v>
      </c>
      <c r="BE82" t="s">
        <v>334</v>
      </c>
      <c r="BF82" t="s">
        <v>453</v>
      </c>
      <c r="BG82" t="s">
        <v>417</v>
      </c>
      <c r="BH82" t="s">
        <v>3159</v>
      </c>
      <c r="BI82" t="s">
        <v>630</v>
      </c>
      <c r="BJ82" t="s">
        <v>1130</v>
      </c>
      <c r="BK82" t="s">
        <v>3160</v>
      </c>
      <c r="BL82" t="s">
        <v>3161</v>
      </c>
      <c r="BM82" t="s">
        <v>3158</v>
      </c>
      <c r="BN82" t="s">
        <v>5</v>
      </c>
      <c r="BO82" t="s">
        <v>5</v>
      </c>
      <c r="BP82">
        <v>8.1300000000000008</v>
      </c>
      <c r="BQ82">
        <v>-8</v>
      </c>
      <c r="BR82">
        <v>-33.53</v>
      </c>
      <c r="BS82">
        <v>11.79</v>
      </c>
      <c r="BT82" t="s">
        <v>1017</v>
      </c>
      <c r="BU82" t="s">
        <v>107</v>
      </c>
      <c r="BV82">
        <v>10.79</v>
      </c>
      <c r="BW82">
        <v>11.36</v>
      </c>
      <c r="BX82">
        <v>11.04</v>
      </c>
      <c r="BY82">
        <v>-12.78</v>
      </c>
      <c r="BZ82">
        <v>-7.78</v>
      </c>
      <c r="CA82">
        <v>1.66</v>
      </c>
      <c r="CB82">
        <v>-6.04</v>
      </c>
      <c r="CC82">
        <v>-1.02</v>
      </c>
      <c r="CD82" t="s">
        <v>23</v>
      </c>
      <c r="CE82" t="s">
        <v>585</v>
      </c>
      <c r="CF82" s="11">
        <v>1.5950413223140496</v>
      </c>
      <c r="CG82" s="12">
        <v>-4.538727760844254</v>
      </c>
      <c r="CH82" s="11">
        <v>-0.90251642465591431</v>
      </c>
      <c r="CI82" s="11">
        <v>-0.35644015669822693</v>
      </c>
      <c r="CJ82" s="11">
        <v>0.44510054588317871</v>
      </c>
      <c r="CK82" s="11">
        <v>-0.12972298264503479</v>
      </c>
      <c r="CL82" s="11">
        <v>-2.2422816604375839E-2</v>
      </c>
      <c r="CM82" s="12">
        <v>1.1299406290054321</v>
      </c>
      <c r="CN82" s="12">
        <v>-3.8209607601165771</v>
      </c>
      <c r="CO82" s="12">
        <v>9.0476192533969879E-2</v>
      </c>
      <c r="CP82" s="12">
        <v>9.375E-2</v>
      </c>
      <c r="CQ82" s="12">
        <v>0.5</v>
      </c>
      <c r="CR82">
        <v>67.224844319331211</v>
      </c>
      <c r="CS82">
        <v>3.4795401987404437</v>
      </c>
      <c r="CT82">
        <v>0</v>
      </c>
      <c r="CU82" s="11">
        <v>-0.19320036694407464</v>
      </c>
      <c r="CV82" s="12">
        <v>-0.40135878771543504</v>
      </c>
      <c r="CW82">
        <v>0.06</v>
      </c>
      <c r="CX82" t="e">
        <v>#VALUE!</v>
      </c>
      <c r="CY82" t="s">
        <v>187</v>
      </c>
      <c r="CZ82">
        <v>-0.19320036694407464</v>
      </c>
      <c r="DA82">
        <v>15.131795597574186</v>
      </c>
      <c r="DB82" t="s">
        <v>3162</v>
      </c>
      <c r="DC82">
        <v>-0.18354034859687091</v>
      </c>
      <c r="DD82">
        <v>7.565897798787093</v>
      </c>
      <c r="DE82" t="s">
        <v>3163</v>
      </c>
      <c r="DF82">
        <v>-0.17001632291078569</v>
      </c>
      <c r="DG82">
        <v>4.5395386792722556</v>
      </c>
      <c r="DH82" t="s">
        <v>3164</v>
      </c>
      <c r="DI82">
        <v>-0.15456029355525971</v>
      </c>
      <c r="DJ82">
        <v>2.2697693396361278</v>
      </c>
      <c r="DK82" t="s">
        <v>3165</v>
      </c>
      <c r="DL82">
        <v>-0.13524025686085223</v>
      </c>
      <c r="DM82">
        <v>83941600</v>
      </c>
      <c r="DN82">
        <v>-0.19320036694407464</v>
      </c>
      <c r="DO82">
        <v>3810561400</v>
      </c>
      <c r="DP82">
        <v>289595000</v>
      </c>
      <c r="DQ82">
        <v>4327</v>
      </c>
      <c r="DR82">
        <v>1.7882416892581243</v>
      </c>
      <c r="DS82">
        <v>-4.1373689731288188</v>
      </c>
      <c r="DT82" s="13">
        <v>-0.79</v>
      </c>
      <c r="DU82">
        <v>-1.1816666666666666</v>
      </c>
      <c r="DV82">
        <v>-1.9716666666666667</v>
      </c>
      <c r="DW82">
        <v>-5.1688741721854301</v>
      </c>
      <c r="DX82">
        <v>0.46894736842105417</v>
      </c>
      <c r="DY82">
        <v>-5.04710700592541</v>
      </c>
      <c r="DZ82">
        <v>2774</v>
      </c>
      <c r="EA82">
        <v>-5.0215346312801872</v>
      </c>
      <c r="EB82">
        <v>5</v>
      </c>
      <c r="EC82">
        <v>0.41841573985277686</v>
      </c>
      <c r="ED82">
        <v>1.4999809541892002</v>
      </c>
      <c r="EE82" s="14">
        <v>-3.10561</v>
      </c>
      <c r="EF82">
        <v>-3.1430099999999999</v>
      </c>
      <c r="EG82">
        <v>19.278947368421054</v>
      </c>
      <c r="EH82" t="s">
        <v>1445</v>
      </c>
      <c r="EI82">
        <v>0</v>
      </c>
      <c r="EJ82">
        <v>0</v>
      </c>
      <c r="EK82" s="10">
        <v>45470</v>
      </c>
      <c r="EL82" s="15">
        <v>-1.48</v>
      </c>
      <c r="EM82" s="15">
        <v>-6.45</v>
      </c>
      <c r="EN82" s="15">
        <v>-2.31</v>
      </c>
      <c r="EO82" s="15">
        <v>-3.75</v>
      </c>
      <c r="EP82" s="15">
        <v>-3.74</v>
      </c>
    </row>
    <row r="83" spans="1:146" ht="228" x14ac:dyDescent="0.25">
      <c r="A83" s="7" t="s">
        <v>1287</v>
      </c>
      <c r="B83" s="7"/>
      <c r="C83" s="7" t="str">
        <f>"公司主要从事的业务为网络广告、信息服务、网站建设及技术服务和移动互联网业务等。公司主要产品和服务有网络广告展示与发布、多媒体信息服务、大数据智能分析服务、举办论坛、会议活动、中央政府网站及地方政府、企事业单位网站建设、信息发布、运行维护、移动媒体业务、移动增值业务、移动信息化业务、在线教育业务。"&amp;CHAR(10)&amp;Basic_Fundamental_Information_Constructure(F83)&amp;CHAR(10)&amp;Basic_Fundamental_Information_Concatenate("网络广告 6.50亿 33.51% 47.90% 44.34%
信息服务 5.68亿 29.29% 38.19% 40.44%
移动互联网 3.16亿 16.29% 5.13% 9.77%
网络技术服务 2.26亿 11.64% 2.37% 6.31%
数字内容 1.80亿 9.28% 6.41% 21.42%")</f>
        <v>公司主要从事的业务为网络广告、信息服务、网站建设及技术服务和移动互联网业务等。公司主要产品和服务有网络广告展示与发布、多媒体信息服务、大数据智能分析服务、举办论坛、会议活动、中央政府网站及地方政府、企事业单位网站建设、信息发布、运行维护、移动媒体业务、移动增值业务、移动信息化业务、在线教育业务。
市值110.864671亿, 利润4.04亿; PE40.31; 平均PE41.7; 平均PEG1.36, PB3.21; ROIC4.4533%; ROE6.25%; 股利率.9878%; 毛利31.97%; 净利12.61%; 上一年度营收增128.65%, 利润增66.94%; 当季营收增-66.05%, 利润增-69.67%; 过往5年营收增30.58%, 利润增13.57%
Income profile:
网络广告 6.50亿 33.51% 47.90% 44.34%
信息服务 5.68亿 29.29% 38.19% 40.44%
移动互联网 3.16亿 16.29% 5.13% 9.77%
网络技术服务 2.26亿 11.64% 2.37% 6.31%
数字内容 1.80亿 9.28% 6.41% 21.42%</v>
      </c>
      <c r="D83" t="s">
        <v>942</v>
      </c>
      <c r="E83" t="s">
        <v>943</v>
      </c>
      <c r="F83">
        <v>21.36</v>
      </c>
      <c r="G83">
        <v>0.47</v>
      </c>
      <c r="H83" t="s">
        <v>3166</v>
      </c>
      <c r="I83">
        <v>11086467100</v>
      </c>
      <c r="J83">
        <v>40.31</v>
      </c>
      <c r="K83">
        <v>3.21</v>
      </c>
      <c r="L83" t="s">
        <v>1467</v>
      </c>
      <c r="M83" t="s">
        <v>2571</v>
      </c>
      <c r="N83" t="s">
        <v>3167</v>
      </c>
      <c r="O83" t="s">
        <v>1238</v>
      </c>
      <c r="P83">
        <v>2.11</v>
      </c>
      <c r="Q83" t="s">
        <v>3168</v>
      </c>
      <c r="R83">
        <v>27332250</v>
      </c>
      <c r="S83" s="5">
        <v>5.8700000000000002E-2</v>
      </c>
      <c r="T83" t="s">
        <v>1255</v>
      </c>
      <c r="U83">
        <v>519029360</v>
      </c>
      <c r="V83">
        <v>519029360</v>
      </c>
      <c r="W83">
        <v>1.42</v>
      </c>
      <c r="X83">
        <v>7.0000000000000007E-2</v>
      </c>
      <c r="Y83">
        <v>8.24</v>
      </c>
      <c r="Z83" t="s">
        <v>719</v>
      </c>
      <c r="AA83" t="s">
        <v>185</v>
      </c>
      <c r="AB83" t="s">
        <v>3169</v>
      </c>
      <c r="AC83" t="s">
        <v>3170</v>
      </c>
      <c r="AD83" t="s">
        <v>5</v>
      </c>
      <c r="AE83">
        <v>-15975086</v>
      </c>
      <c r="AF83" t="s">
        <v>3171</v>
      </c>
      <c r="AG83" t="s">
        <v>3172</v>
      </c>
      <c r="AH83" t="s">
        <v>3173</v>
      </c>
      <c r="AI83" t="s">
        <v>3174</v>
      </c>
      <c r="AJ83" t="s">
        <v>3175</v>
      </c>
      <c r="AK83" t="s">
        <v>3176</v>
      </c>
      <c r="AL83" t="s">
        <v>3177</v>
      </c>
      <c r="AM83" t="s">
        <v>5</v>
      </c>
      <c r="AN83" t="s">
        <v>135</v>
      </c>
      <c r="AO83" t="s">
        <v>5</v>
      </c>
      <c r="AP83" t="s">
        <v>5</v>
      </c>
      <c r="AQ83" t="s">
        <v>198</v>
      </c>
      <c r="AR83" t="s">
        <v>5</v>
      </c>
      <c r="AS83" t="s">
        <v>1275</v>
      </c>
      <c r="AT83" t="s">
        <v>5</v>
      </c>
      <c r="AU83" t="s">
        <v>2086</v>
      </c>
      <c r="AV83" t="s">
        <v>3178</v>
      </c>
      <c r="AW83" t="s">
        <v>3179</v>
      </c>
      <c r="AX83" t="s">
        <v>564</v>
      </c>
      <c r="AY83" t="s">
        <v>944</v>
      </c>
      <c r="AZ83" t="s">
        <v>945</v>
      </c>
      <c r="BA83" t="s">
        <v>703</v>
      </c>
      <c r="BB83" t="s">
        <v>946</v>
      </c>
      <c r="BC83" t="s">
        <v>630</v>
      </c>
      <c r="BD83" t="s">
        <v>352</v>
      </c>
      <c r="BE83" t="s">
        <v>310</v>
      </c>
      <c r="BF83" t="s">
        <v>176</v>
      </c>
      <c r="BG83" t="s">
        <v>244</v>
      </c>
      <c r="BH83" t="s">
        <v>1120</v>
      </c>
      <c r="BI83" t="s">
        <v>3180</v>
      </c>
      <c r="BJ83" t="s">
        <v>564</v>
      </c>
      <c r="BK83" t="s">
        <v>847</v>
      </c>
      <c r="BL83" t="s">
        <v>3181</v>
      </c>
      <c r="BM83" t="s">
        <v>630</v>
      </c>
      <c r="BN83">
        <v>2.93</v>
      </c>
      <c r="BO83">
        <v>5.39</v>
      </c>
      <c r="BP83">
        <v>5.04</v>
      </c>
      <c r="BQ83">
        <v>4.3899999999999997</v>
      </c>
      <c r="BR83">
        <v>7.54</v>
      </c>
      <c r="BS83">
        <v>6.82</v>
      </c>
      <c r="BT83" t="s">
        <v>3182</v>
      </c>
      <c r="BU83" t="s">
        <v>159</v>
      </c>
      <c r="BV83">
        <v>34.33</v>
      </c>
      <c r="BW83">
        <v>31.01</v>
      </c>
      <c r="BX83">
        <v>30.57</v>
      </c>
      <c r="BY83">
        <v>13.14</v>
      </c>
      <c r="BZ83">
        <v>12.48</v>
      </c>
      <c r="CA83">
        <v>12.21</v>
      </c>
      <c r="CB83">
        <v>-0.7</v>
      </c>
      <c r="CC83">
        <v>-4.6399999999999997</v>
      </c>
      <c r="CD83" t="s">
        <v>3183</v>
      </c>
      <c r="CE83" t="s">
        <v>120</v>
      </c>
      <c r="CF83" s="11">
        <v>-0.66053169734151329</v>
      </c>
      <c r="CG83" s="12">
        <v>-0.69669521543631008</v>
      </c>
      <c r="CH83" s="11">
        <v>1.2864503860473633</v>
      </c>
      <c r="CI83" s="11">
        <v>0.12587003409862518</v>
      </c>
      <c r="CJ83" s="11">
        <v>0.20307053625583649</v>
      </c>
      <c r="CK83" s="11">
        <v>-8.7261185050010681E-2</v>
      </c>
      <c r="CL83" s="11">
        <v>6.37389428447932E-4</v>
      </c>
      <c r="CM83" s="12">
        <v>0.6694214940071106</v>
      </c>
      <c r="CN83" s="12">
        <v>0.14691942930221558</v>
      </c>
      <c r="CO83" s="12">
        <v>0.27878788113594055</v>
      </c>
      <c r="CP83" s="12">
        <v>-0.4270833432674408</v>
      </c>
      <c r="CQ83" s="12">
        <v>1.0526316240429878E-2</v>
      </c>
      <c r="CR83">
        <v>41.704578432601878</v>
      </c>
      <c r="CS83">
        <v>1.3639937952132757</v>
      </c>
      <c r="CT83">
        <v>0.98782771535580516</v>
      </c>
      <c r="CU83" s="11">
        <v>0.30575343215605244</v>
      </c>
      <c r="CV83" s="12">
        <v>0.13571435548365116</v>
      </c>
      <c r="CW83">
        <v>0.06</v>
      </c>
      <c r="CX83">
        <v>18.846967796595077</v>
      </c>
      <c r="CY83">
        <v>497664515.65192938</v>
      </c>
      <c r="CZ83">
        <v>0.30575343215605244</v>
      </c>
      <c r="DA83">
        <v>5.1547693890493482</v>
      </c>
      <c r="DB83">
        <v>1819570652.3604109</v>
      </c>
      <c r="DC83">
        <v>0.2904657605482498</v>
      </c>
      <c r="DD83">
        <v>1.9665435117844061</v>
      </c>
      <c r="DE83">
        <v>4769519231.9895535</v>
      </c>
      <c r="DF83">
        <v>0.26906302029732615</v>
      </c>
      <c r="DG83">
        <v>0.86516046268394553</v>
      </c>
      <c r="DH83">
        <v>10841303439.713984</v>
      </c>
      <c r="DI83">
        <v>0.24460274572484197</v>
      </c>
      <c r="DJ83">
        <v>0.20917456281758609</v>
      </c>
      <c r="DK83">
        <v>44840381037.055206</v>
      </c>
      <c r="DL83">
        <v>0.21402740250923669</v>
      </c>
      <c r="DM83">
        <v>404000000</v>
      </c>
      <c r="DN83">
        <v>0.30575343215605244</v>
      </c>
      <c r="DO83">
        <v>9379467100</v>
      </c>
      <c r="DP83">
        <v>2815265700</v>
      </c>
      <c r="DQ83">
        <v>4360</v>
      </c>
      <c r="DR83">
        <v>-0.96628512949756573</v>
      </c>
      <c r="DS83">
        <v>-0.83240957091996126</v>
      </c>
      <c r="DT83" s="13">
        <v>2.6666666666666616E-2</v>
      </c>
      <c r="DU83">
        <v>-9.0000000000000011E-2</v>
      </c>
      <c r="DV83">
        <v>-6.3333333333333394E-2</v>
      </c>
      <c r="DW83">
        <v>-1.0464</v>
      </c>
      <c r="DX83">
        <v>0.42654189944134213</v>
      </c>
      <c r="DY83">
        <v>-1.0100475441340782</v>
      </c>
      <c r="DZ83">
        <v>1954</v>
      </c>
      <c r="EA83">
        <v>-1.0062054890972898</v>
      </c>
      <c r="EB83">
        <v>1</v>
      </c>
      <c r="EC83">
        <v>7.467978304734052E-2</v>
      </c>
      <c r="ED83">
        <v>0.34487451731054292</v>
      </c>
      <c r="EE83" s="14">
        <v>3.0011100000000002</v>
      </c>
      <c r="EF83">
        <v>3.0053999999999998</v>
      </c>
      <c r="EG83">
        <v>21.216541899441342</v>
      </c>
      <c r="EH83" t="s">
        <v>998</v>
      </c>
      <c r="EI83">
        <v>0</v>
      </c>
      <c r="EJ83">
        <v>0</v>
      </c>
      <c r="EK83" s="10">
        <v>45470</v>
      </c>
      <c r="EL83" s="15">
        <v>1.49</v>
      </c>
      <c r="EM83" s="15">
        <v>-1.47</v>
      </c>
      <c r="EN83">
        <v>4.33</v>
      </c>
      <c r="EO83">
        <v>-0.39</v>
      </c>
      <c r="EP83">
        <v>0.65</v>
      </c>
    </row>
    <row r="84" spans="1:146" ht="108" x14ac:dyDescent="0.25">
      <c r="A84" s="7"/>
      <c r="B84" s="7"/>
      <c r="C84" s="7" t="str">
        <f>""&amp;CHAR(10)&amp;Basic_Fundamental_Information_Constructure(F84)&amp;CHAR(10)&amp;Basic_Fundamental_Information_Concatenate("")</f>
        <v xml:space="preserve">
市值27.7632亿, 利润2.56亿; PE27.97; 平均PE27.37; 平均PEG2.79, PB1.42; ROIC3.4233%; ROE4.34%; 股利率1.0788%; 毛利16.8733%; 净利6.9367%; 上一年度营收增-8.6%, 利润增198.01%; 当季营收增104.88%, 利润增121.59%; 过往5年营收增9.81%, 利润增56.12%
Income profile:
</v>
      </c>
      <c r="D84" t="s">
        <v>947</v>
      </c>
      <c r="E84" t="s">
        <v>948</v>
      </c>
      <c r="F84">
        <v>4.82</v>
      </c>
      <c r="G84">
        <v>1.9</v>
      </c>
      <c r="H84" t="s">
        <v>3184</v>
      </c>
      <c r="I84">
        <v>2776320000</v>
      </c>
      <c r="J84">
        <v>27.97</v>
      </c>
      <c r="K84">
        <v>1.42</v>
      </c>
      <c r="L84" t="s">
        <v>1467</v>
      </c>
      <c r="M84" t="s">
        <v>3185</v>
      </c>
      <c r="N84" t="s">
        <v>3186</v>
      </c>
      <c r="O84" t="s">
        <v>302</v>
      </c>
      <c r="P84">
        <v>13.8</v>
      </c>
      <c r="Q84" t="s">
        <v>563</v>
      </c>
      <c r="R84">
        <v>8696124</v>
      </c>
      <c r="S84" s="5">
        <v>0.14349999999999999</v>
      </c>
      <c r="T84" t="s">
        <v>1405</v>
      </c>
      <c r="U84">
        <v>576000000</v>
      </c>
      <c r="V84">
        <v>576000000</v>
      </c>
      <c r="W84">
        <v>1.3</v>
      </c>
      <c r="X84">
        <v>0.1</v>
      </c>
      <c r="Y84">
        <v>3.15</v>
      </c>
      <c r="Z84" t="s">
        <v>433</v>
      </c>
      <c r="AA84" t="s">
        <v>1374</v>
      </c>
      <c r="AB84" t="s">
        <v>3187</v>
      </c>
      <c r="AC84" t="s">
        <v>3188</v>
      </c>
      <c r="AD84" t="s">
        <v>5</v>
      </c>
      <c r="AE84">
        <v>-311633</v>
      </c>
      <c r="AF84" t="s">
        <v>3189</v>
      </c>
      <c r="AG84" t="s">
        <v>3190</v>
      </c>
      <c r="AH84" t="s">
        <v>3191</v>
      </c>
      <c r="AI84" t="s">
        <v>1273</v>
      </c>
      <c r="AJ84" t="s">
        <v>3192</v>
      </c>
      <c r="AK84" t="s">
        <v>3193</v>
      </c>
      <c r="AL84" t="s">
        <v>3194</v>
      </c>
      <c r="AM84" t="s">
        <v>5</v>
      </c>
      <c r="AN84" t="s">
        <v>3195</v>
      </c>
      <c r="AO84" t="s">
        <v>5</v>
      </c>
      <c r="AP84" t="s">
        <v>5</v>
      </c>
      <c r="AQ84" t="s">
        <v>300</v>
      </c>
      <c r="AR84" t="s">
        <v>3196</v>
      </c>
      <c r="AS84" t="s">
        <v>1409</v>
      </c>
      <c r="AT84" t="s">
        <v>5</v>
      </c>
      <c r="AU84" t="s">
        <v>3197</v>
      </c>
      <c r="AV84" t="s">
        <v>1412</v>
      </c>
      <c r="AW84" t="s">
        <v>3198</v>
      </c>
      <c r="AX84" t="s">
        <v>1047</v>
      </c>
      <c r="AY84" t="s">
        <v>949</v>
      </c>
      <c r="AZ84" t="s">
        <v>952</v>
      </c>
      <c r="BA84" t="s">
        <v>953</v>
      </c>
      <c r="BB84" t="s">
        <v>678</v>
      </c>
      <c r="BC84" t="s">
        <v>3199</v>
      </c>
      <c r="BD84" t="s">
        <v>950</v>
      </c>
      <c r="BE84" t="s">
        <v>954</v>
      </c>
      <c r="BF84" t="s">
        <v>955</v>
      </c>
      <c r="BG84" t="s">
        <v>956</v>
      </c>
      <c r="BH84" t="s">
        <v>699</v>
      </c>
      <c r="BI84" t="s">
        <v>333</v>
      </c>
      <c r="BJ84" t="s">
        <v>1047</v>
      </c>
      <c r="BK84" t="s">
        <v>3200</v>
      </c>
      <c r="BL84" t="s">
        <v>3201</v>
      </c>
      <c r="BM84" t="s">
        <v>3199</v>
      </c>
      <c r="BN84">
        <v>3.18</v>
      </c>
      <c r="BO84">
        <v>3.62</v>
      </c>
      <c r="BP84">
        <v>3.47</v>
      </c>
      <c r="BQ84">
        <v>3.69</v>
      </c>
      <c r="BR84">
        <v>4.62</v>
      </c>
      <c r="BS84">
        <v>4.71</v>
      </c>
      <c r="BT84" t="s">
        <v>3202</v>
      </c>
      <c r="BU84" t="s">
        <v>82</v>
      </c>
      <c r="BV84">
        <v>17.97</v>
      </c>
      <c r="BW84">
        <v>15.87</v>
      </c>
      <c r="BX84">
        <v>16.78</v>
      </c>
      <c r="BY84">
        <v>7.35</v>
      </c>
      <c r="BZ84">
        <v>6.69</v>
      </c>
      <c r="CA84">
        <v>6.77</v>
      </c>
      <c r="CB84">
        <v>1.9</v>
      </c>
      <c r="CC84">
        <v>-11.36</v>
      </c>
      <c r="CD84" t="s">
        <v>3203</v>
      </c>
      <c r="CE84" t="s">
        <v>392</v>
      </c>
      <c r="CF84" s="11">
        <v>1.0487804878048781</v>
      </c>
      <c r="CG84" s="12">
        <v>1.2159181231083225</v>
      </c>
      <c r="CH84" s="11">
        <v>-8.597990870475769E-2</v>
      </c>
      <c r="CI84" s="11">
        <v>5.6464865803718567E-2</v>
      </c>
      <c r="CJ84" s="11">
        <v>0.127306267619133</v>
      </c>
      <c r="CK84" s="11">
        <v>0.11522633582353592</v>
      </c>
      <c r="CL84" s="11">
        <v>0.2772667407989502</v>
      </c>
      <c r="CM84" s="12">
        <v>1.9800602197647095</v>
      </c>
      <c r="CN84" s="12">
        <v>9.9734766408801079E-3</v>
      </c>
      <c r="CO84" s="12">
        <v>0.1426851749420166</v>
      </c>
      <c r="CP84" s="12">
        <v>0.15137077867984772</v>
      </c>
      <c r="CQ84" s="12">
        <v>0.52214258909225464</v>
      </c>
      <c r="CR84">
        <v>27.374608310167734</v>
      </c>
      <c r="CS84">
        <v>2.791707610800263</v>
      </c>
      <c r="CT84">
        <v>1.0788381742738589</v>
      </c>
      <c r="CU84" s="11">
        <v>9.8056860268115997E-2</v>
      </c>
      <c r="CV84" s="12">
        <v>0.56124644782394173</v>
      </c>
      <c r="CW84">
        <v>0.06</v>
      </c>
      <c r="CX84">
        <v>4.9900620571343506</v>
      </c>
      <c r="CY84">
        <v>265191090.78173363</v>
      </c>
      <c r="CZ84">
        <v>9.8056860268115997E-2</v>
      </c>
      <c r="DA84">
        <v>1.6196283635325071</v>
      </c>
      <c r="DB84">
        <v>817051633.44618106</v>
      </c>
      <c r="DC84">
        <v>9.3154017254710189E-2</v>
      </c>
      <c r="DD84">
        <v>0.79004863338289355</v>
      </c>
      <c r="DE84">
        <v>1674985493.4039977</v>
      </c>
      <c r="DF84">
        <v>8.6290037035942083E-2</v>
      </c>
      <c r="DG84">
        <v>0.4695523681827154</v>
      </c>
      <c r="DH84">
        <v>2818258600.465754</v>
      </c>
      <c r="DI84">
        <v>7.8445488214492806E-2</v>
      </c>
      <c r="DJ84">
        <v>0.23708369467545645</v>
      </c>
      <c r="DK84">
        <v>5581657573.7588825</v>
      </c>
      <c r="DL84">
        <v>6.863980218768119E-2</v>
      </c>
      <c r="DM84">
        <v>256000000</v>
      </c>
      <c r="DN84">
        <v>9.8056860268115997E-2</v>
      </c>
      <c r="DO84">
        <v>1323320000</v>
      </c>
      <c r="DP84">
        <v>1253300800</v>
      </c>
      <c r="DQ84">
        <v>4426</v>
      </c>
      <c r="DR84">
        <v>0.95072362753676209</v>
      </c>
      <c r="DS84">
        <v>0.65467167528438075</v>
      </c>
      <c r="DT84" s="13">
        <v>-0.34</v>
      </c>
      <c r="DU84">
        <v>0.73666666666666669</v>
      </c>
      <c r="DV84">
        <v>0.39666666666666667</v>
      </c>
      <c r="DW84">
        <v>-2.1135999999999999</v>
      </c>
      <c r="DX84">
        <v>0.36396379310344895</v>
      </c>
      <c r="DY84">
        <v>-2.0163542868965516</v>
      </c>
      <c r="DZ84">
        <v>3926</v>
      </c>
      <c r="EA84">
        <v>-2.0037893298797491</v>
      </c>
      <c r="EB84">
        <v>2</v>
      </c>
      <c r="EC84">
        <v>4.3489062499999995E-2</v>
      </c>
      <c r="ED84">
        <v>0.30208333333333331</v>
      </c>
      <c r="EE84" s="14">
        <v>-1.0921000000000001</v>
      </c>
      <c r="EF84">
        <v>-1.0819000000000001</v>
      </c>
      <c r="EG84">
        <v>22.143963793103449</v>
      </c>
      <c r="EH84" t="s">
        <v>349</v>
      </c>
      <c r="EI84">
        <v>0</v>
      </c>
      <c r="EJ84">
        <v>0</v>
      </c>
      <c r="EK84" s="10">
        <v>45470</v>
      </c>
      <c r="EL84" s="15">
        <v>0</v>
      </c>
      <c r="EM84" s="15">
        <v>-4.07</v>
      </c>
      <c r="EN84">
        <v>1.06</v>
      </c>
      <c r="EO84">
        <v>2.52</v>
      </c>
      <c r="EP84">
        <v>-1.02</v>
      </c>
    </row>
    <row r="85" spans="1:146" ht="168" x14ac:dyDescent="0.25">
      <c r="A85" s="16" t="s">
        <v>1033</v>
      </c>
      <c r="B85" s="16" t="s">
        <v>987</v>
      </c>
      <c r="C85" s="16" t="str">
        <f>"公司的主营业务是数字营销服务、场景活动服务和校园媒体营销服务。公司的主要服务是数字营销服务、场景活动服务、校园媒体营销服务等。"&amp;CHAR(10)&amp;Basic_Fundamental_Information_Constructure(F85)&amp;CHAR(10)&amp;Basic_Fundamental_Information_Concatenate("数字营销服务 32.09亿 89.86% 81.99% 19.30%
场景活动服务 1.85亿 5.19% 9.09% 37.07%
其他主营业务 1.44亿 4.03% 5.88% 30.88%
校园媒体营销服务 3001.72万 0.84% 2.92% 73.57%")</f>
        <v>公司的主营业务是数字营销服务、场景活动服务和校园媒体营销服务。公司的主要服务是数字营销服务、场景活动服务、校园媒体营销服务等。
市值52.671806亿, 利润1.53亿; PE12.09; 平均PE15.22; 平均PEG.55, PB1.78; ROIC21.7833%; ROE23.97%; 股利率6.9162%; 毛利18.51%; 净利12.3833%; 上一年度营收增-66.69%, 利润增-79.24%; 当季营收增184.5%, 利润增253.42%; 过往5年营收增27.84%, 利润增29.88%
Income profile:
数字营销服务 32.09亿 89.86% 81.99% 19.30%
场景活动服务 1.85亿 5.19% 9.09% 37.07%
其他主营业务 1.44亿 4.03% 5.88% 30.88%
校园媒体营销服务 3001.72万 0.84% 2.92% 73.57%</v>
      </c>
      <c r="D85" t="s">
        <v>957</v>
      </c>
      <c r="E85" t="s">
        <v>958</v>
      </c>
      <c r="F85">
        <v>24.58</v>
      </c>
      <c r="G85">
        <v>-0.08</v>
      </c>
      <c r="H85" t="s">
        <v>3204</v>
      </c>
      <c r="I85">
        <v>5267180600</v>
      </c>
      <c r="J85">
        <v>12.09</v>
      </c>
      <c r="K85">
        <v>1.78</v>
      </c>
      <c r="L85" t="s">
        <v>1467</v>
      </c>
      <c r="M85" t="s">
        <v>1225</v>
      </c>
      <c r="N85" t="s">
        <v>1309</v>
      </c>
      <c r="O85" t="s">
        <v>491</v>
      </c>
      <c r="P85">
        <v>0.6</v>
      </c>
      <c r="Q85" t="s">
        <v>3205</v>
      </c>
      <c r="R85">
        <v>48658416</v>
      </c>
      <c r="S85" s="5">
        <v>-0.65529999999999999</v>
      </c>
      <c r="T85" t="s">
        <v>93</v>
      </c>
      <c r="U85">
        <v>212524940</v>
      </c>
      <c r="V85">
        <v>214287250</v>
      </c>
      <c r="W85">
        <v>1.55</v>
      </c>
      <c r="X85">
        <v>0.2</v>
      </c>
      <c r="Y85">
        <v>5.19</v>
      </c>
      <c r="Z85" t="s">
        <v>543</v>
      </c>
      <c r="AA85" t="s">
        <v>1259</v>
      </c>
      <c r="AB85" t="s">
        <v>3206</v>
      </c>
      <c r="AC85" t="s">
        <v>3207</v>
      </c>
      <c r="AD85" t="s">
        <v>5</v>
      </c>
      <c r="AE85">
        <v>6577011</v>
      </c>
      <c r="AF85" t="s">
        <v>3208</v>
      </c>
      <c r="AG85" t="s">
        <v>5</v>
      </c>
      <c r="AH85" t="s">
        <v>3209</v>
      </c>
      <c r="AI85" t="s">
        <v>1402</v>
      </c>
      <c r="AJ85" t="s">
        <v>3210</v>
      </c>
      <c r="AK85" t="s">
        <v>3211</v>
      </c>
      <c r="AL85" t="s">
        <v>3212</v>
      </c>
      <c r="AM85" t="s">
        <v>5</v>
      </c>
      <c r="AN85" t="s">
        <v>310</v>
      </c>
      <c r="AO85" t="s">
        <v>1222</v>
      </c>
      <c r="AP85" t="s">
        <v>1006</v>
      </c>
      <c r="AQ85" t="s">
        <v>3213</v>
      </c>
      <c r="AR85" t="s">
        <v>5</v>
      </c>
      <c r="AS85" t="s">
        <v>1300</v>
      </c>
      <c r="AT85" t="s">
        <v>212</v>
      </c>
      <c r="AU85" t="s">
        <v>483</v>
      </c>
      <c r="AV85" t="s">
        <v>3214</v>
      </c>
      <c r="AW85" t="s">
        <v>3215</v>
      </c>
      <c r="AX85" t="s">
        <v>1015</v>
      </c>
      <c r="AY85" t="s">
        <v>959</v>
      </c>
      <c r="AZ85" t="s">
        <v>960</v>
      </c>
      <c r="BA85" t="s">
        <v>961</v>
      </c>
      <c r="BB85" t="s">
        <v>962</v>
      </c>
      <c r="BC85" t="s">
        <v>1314</v>
      </c>
      <c r="BD85" t="s">
        <v>490</v>
      </c>
      <c r="BE85" t="s">
        <v>215</v>
      </c>
      <c r="BF85" t="s">
        <v>720</v>
      </c>
      <c r="BG85" t="s">
        <v>253</v>
      </c>
      <c r="BH85" t="s">
        <v>3216</v>
      </c>
      <c r="BI85" t="s">
        <v>535</v>
      </c>
      <c r="BJ85" t="s">
        <v>1015</v>
      </c>
      <c r="BK85" t="s">
        <v>116</v>
      </c>
      <c r="BL85" t="s">
        <v>3217</v>
      </c>
      <c r="BM85" t="s">
        <v>1314</v>
      </c>
      <c r="BN85">
        <v>10.27</v>
      </c>
      <c r="BO85">
        <v>29</v>
      </c>
      <c r="BP85">
        <v>26.08</v>
      </c>
      <c r="BQ85">
        <v>12</v>
      </c>
      <c r="BR85">
        <v>32.299999999999997</v>
      </c>
      <c r="BS85">
        <v>27.61</v>
      </c>
      <c r="BT85" t="s">
        <v>3218</v>
      </c>
      <c r="BU85" t="s">
        <v>107</v>
      </c>
      <c r="BV85">
        <v>17.7</v>
      </c>
      <c r="BW85">
        <v>16.68</v>
      </c>
      <c r="BX85">
        <v>21.15</v>
      </c>
      <c r="BY85">
        <v>9.99</v>
      </c>
      <c r="BZ85">
        <v>13.02</v>
      </c>
      <c r="CA85">
        <v>14.14</v>
      </c>
      <c r="CB85">
        <v>-6.65</v>
      </c>
      <c r="CC85">
        <v>-20.78</v>
      </c>
      <c r="CD85" t="s">
        <v>3219</v>
      </c>
      <c r="CE85" t="s">
        <v>3220</v>
      </c>
      <c r="CF85" s="11">
        <v>1.8449848024316109</v>
      </c>
      <c r="CG85" s="12">
        <v>2.5342186841761212</v>
      </c>
      <c r="CH85" s="11">
        <v>-0.66690260171890259</v>
      </c>
      <c r="CI85" s="11">
        <v>0.58302998542785645</v>
      </c>
      <c r="CJ85" s="11">
        <v>0.27172365784645081</v>
      </c>
      <c r="CK85" s="11">
        <v>0.72164320945739746</v>
      </c>
      <c r="CL85" s="11">
        <v>0.48272719979286194</v>
      </c>
      <c r="CM85" s="12">
        <v>-0.79240161180496216</v>
      </c>
      <c r="CN85" s="12">
        <v>0.45940592885017395</v>
      </c>
      <c r="CO85" s="12">
        <v>0.39118456840515137</v>
      </c>
      <c r="CP85" s="12">
        <v>0.87113404273986816</v>
      </c>
      <c r="CQ85" s="12">
        <v>0.56451612710952759</v>
      </c>
      <c r="CR85">
        <v>15.223065317919076</v>
      </c>
      <c r="CS85">
        <v>0.54671853062993847</v>
      </c>
      <c r="CT85">
        <v>6.9161920260374297</v>
      </c>
      <c r="CU85" s="11">
        <v>0.27844429016113281</v>
      </c>
      <c r="CV85" s="12">
        <v>0.29876781105995176</v>
      </c>
      <c r="CW85">
        <v>0.06</v>
      </c>
      <c r="CX85">
        <v>23.064958336092364</v>
      </c>
      <c r="CY85">
        <v>184530166.41005027</v>
      </c>
      <c r="CZ85">
        <v>0.27844429016113281</v>
      </c>
      <c r="DA85">
        <v>6.4486968528054787</v>
      </c>
      <c r="DB85">
        <v>660006307.80905235</v>
      </c>
      <c r="DC85">
        <v>0.26452207565307617</v>
      </c>
      <c r="DD85">
        <v>2.5430298296374754</v>
      </c>
      <c r="DE85">
        <v>1673665228.1451001</v>
      </c>
      <c r="DF85">
        <v>0.24503097534179688</v>
      </c>
      <c r="DG85">
        <v>1.1673483206693509</v>
      </c>
      <c r="DH85">
        <v>3646024519.5363202</v>
      </c>
      <c r="DI85">
        <v>0.22275543212890625</v>
      </c>
      <c r="DJ85">
        <v>0.31471625357016625</v>
      </c>
      <c r="DK85">
        <v>13523866504.248028</v>
      </c>
      <c r="DL85">
        <v>0.19491100311279297</v>
      </c>
      <c r="DM85">
        <v>153000000</v>
      </c>
      <c r="DN85">
        <v>0.27844429016113281</v>
      </c>
      <c r="DO85">
        <v>4256180600</v>
      </c>
      <c r="DP85">
        <v>1948703800</v>
      </c>
      <c r="DQ85">
        <v>4475</v>
      </c>
      <c r="DR85">
        <v>1.5665405122704781</v>
      </c>
      <c r="DS85">
        <v>2.2354508731161693</v>
      </c>
      <c r="DT85" s="13">
        <v>-0.15666666666666673</v>
      </c>
      <c r="DU85">
        <v>0.5033333333333333</v>
      </c>
      <c r="DV85">
        <v>0.34666666666666657</v>
      </c>
      <c r="DW85">
        <v>-9.3200192492781522</v>
      </c>
      <c r="DX85">
        <v>0.39239613209866531</v>
      </c>
      <c r="DY85">
        <v>-9.0551700807726725</v>
      </c>
      <c r="DZ85">
        <v>2528</v>
      </c>
      <c r="EA85">
        <v>-9.027876545705487</v>
      </c>
      <c r="EB85">
        <v>9</v>
      </c>
      <c r="EC85">
        <v>5.8904577850525407E-2</v>
      </c>
      <c r="ED85">
        <v>0.34168155128221583</v>
      </c>
      <c r="EE85" s="14">
        <v>-4.07151</v>
      </c>
      <c r="EF85">
        <v>-4.0780099999999999</v>
      </c>
      <c r="EG85">
        <v>22.172396132098665</v>
      </c>
      <c r="EH85" t="s">
        <v>2398</v>
      </c>
      <c r="EI85">
        <v>0</v>
      </c>
      <c r="EJ85">
        <v>0</v>
      </c>
      <c r="EK85" s="10">
        <v>45470</v>
      </c>
      <c r="EL85" s="15">
        <v>1.02</v>
      </c>
      <c r="EM85" s="15">
        <v>-5.31</v>
      </c>
      <c r="EN85">
        <v>0.67</v>
      </c>
      <c r="EO85">
        <v>2.52</v>
      </c>
      <c r="EP85">
        <v>-0.65</v>
      </c>
    </row>
    <row r="86" spans="1:146" ht="108" x14ac:dyDescent="0.25">
      <c r="A86" s="7"/>
      <c r="B86" s="7"/>
      <c r="C86" s="7" t="str">
        <f>""&amp;CHAR(10)&amp;Basic_Fundamental_Information_Constructure(F86)&amp;CHAR(10)&amp;Basic_Fundamental_Information_Concatenate("")</f>
        <v xml:space="preserve">
市值65.066667亿, 利润1.36亿; PE19.12; 平均PE24.65; 平均PEG4.16, PB1.72; ROIC12.6933%; ROE13.9%; 股利率.5464%; 毛利43.5167%; 净利23.2933%; 上一年度营收增-56.31%, 利润增-71.55%; 当季营收增234.2%, 利润增410.84%; 过往5年营收增-5.93%, 利润增16.1%
Income profile:
</v>
      </c>
      <c r="D86" t="s">
        <v>963</v>
      </c>
      <c r="E86" t="s">
        <v>3221</v>
      </c>
      <c r="F86">
        <v>14.64</v>
      </c>
      <c r="G86">
        <v>0.34</v>
      </c>
      <c r="H86" t="s">
        <v>3222</v>
      </c>
      <c r="I86">
        <v>6506666700</v>
      </c>
      <c r="J86">
        <v>19.12</v>
      </c>
      <c r="K86">
        <v>1.72</v>
      </c>
      <c r="L86" t="s">
        <v>1467</v>
      </c>
      <c r="M86" t="s">
        <v>3223</v>
      </c>
      <c r="N86" t="s">
        <v>2741</v>
      </c>
      <c r="O86" t="s">
        <v>3224</v>
      </c>
      <c r="P86">
        <v>4.4400000000000004</v>
      </c>
      <c r="Q86" t="s">
        <v>3225</v>
      </c>
      <c r="R86">
        <v>137334770</v>
      </c>
      <c r="S86" s="5">
        <v>-2.9000000000000001E-2</v>
      </c>
      <c r="T86" t="s">
        <v>385</v>
      </c>
      <c r="U86">
        <v>188364450</v>
      </c>
      <c r="V86">
        <v>444444450</v>
      </c>
      <c r="W86">
        <v>1.47</v>
      </c>
      <c r="X86">
        <v>0.12</v>
      </c>
      <c r="Y86">
        <v>21.28</v>
      </c>
      <c r="Z86" t="s">
        <v>1373</v>
      </c>
      <c r="AA86" t="s">
        <v>1238</v>
      </c>
      <c r="AB86" t="s">
        <v>3226</v>
      </c>
      <c r="AC86" t="s">
        <v>3227</v>
      </c>
      <c r="AD86" t="s">
        <v>5</v>
      </c>
      <c r="AE86">
        <v>-8467296</v>
      </c>
      <c r="AF86" t="s">
        <v>3228</v>
      </c>
      <c r="AG86" t="s">
        <v>3229</v>
      </c>
      <c r="AH86" t="s">
        <v>3230</v>
      </c>
      <c r="AI86" t="s">
        <v>57</v>
      </c>
      <c r="AJ86" t="s">
        <v>3231</v>
      </c>
      <c r="AK86" t="s">
        <v>5</v>
      </c>
      <c r="AL86" t="s">
        <v>3232</v>
      </c>
      <c r="AM86" t="s">
        <v>5</v>
      </c>
      <c r="AN86" t="s">
        <v>847</v>
      </c>
      <c r="AO86" t="s">
        <v>5</v>
      </c>
      <c r="AP86" t="s">
        <v>5</v>
      </c>
      <c r="AQ86" t="s">
        <v>529</v>
      </c>
      <c r="AR86" t="s">
        <v>3233</v>
      </c>
      <c r="AS86" t="s">
        <v>3234</v>
      </c>
      <c r="AT86" t="s">
        <v>5</v>
      </c>
      <c r="AU86" t="s">
        <v>3235</v>
      </c>
      <c r="AV86" t="s">
        <v>3236</v>
      </c>
      <c r="AW86" t="s">
        <v>5</v>
      </c>
      <c r="AX86" t="s">
        <v>697</v>
      </c>
      <c r="AY86" t="s">
        <v>964</v>
      </c>
      <c r="AZ86" t="s">
        <v>252</v>
      </c>
      <c r="BA86" t="s">
        <v>819</v>
      </c>
      <c r="BB86" t="s">
        <v>965</v>
      </c>
      <c r="BC86" t="s">
        <v>487</v>
      </c>
      <c r="BD86" t="s">
        <v>669</v>
      </c>
      <c r="BE86" t="s">
        <v>635</v>
      </c>
      <c r="BF86" t="s">
        <v>204</v>
      </c>
      <c r="BG86" t="s">
        <v>521</v>
      </c>
      <c r="BH86" t="s">
        <v>3237</v>
      </c>
      <c r="BI86" t="s">
        <v>505</v>
      </c>
      <c r="BJ86" t="s">
        <v>697</v>
      </c>
      <c r="BK86" t="s">
        <v>548</v>
      </c>
      <c r="BL86" t="s">
        <v>3238</v>
      </c>
      <c r="BM86" t="s">
        <v>487</v>
      </c>
      <c r="BN86">
        <v>9.4700000000000006</v>
      </c>
      <c r="BO86">
        <v>13.45</v>
      </c>
      <c r="BP86">
        <v>15.16</v>
      </c>
      <c r="BQ86">
        <v>9.98</v>
      </c>
      <c r="BR86">
        <v>14.97</v>
      </c>
      <c r="BS86">
        <v>16.75</v>
      </c>
      <c r="BT86" t="s">
        <v>1023</v>
      </c>
      <c r="BU86" t="s">
        <v>82</v>
      </c>
      <c r="BV86">
        <v>43.18</v>
      </c>
      <c r="BW86">
        <v>43.18</v>
      </c>
      <c r="BX86">
        <v>44.19</v>
      </c>
      <c r="BY86">
        <v>18.670000000000002</v>
      </c>
      <c r="BZ86">
        <v>26.47</v>
      </c>
      <c r="CA86">
        <v>24.74</v>
      </c>
      <c r="CB86">
        <v>-5.24</v>
      </c>
      <c r="CC86">
        <v>-12.23</v>
      </c>
      <c r="CD86" t="s">
        <v>3239</v>
      </c>
      <c r="CE86" t="s">
        <v>366</v>
      </c>
      <c r="CF86" s="11">
        <v>2.3419689119170983</v>
      </c>
      <c r="CG86" s="12">
        <v>4.1083632454629653</v>
      </c>
      <c r="CH86" s="11">
        <v>-0.56312292814254761</v>
      </c>
      <c r="CI86" s="11">
        <v>8.3751734346151352E-3</v>
      </c>
      <c r="CJ86" s="11">
        <v>0.16298705339431763</v>
      </c>
      <c r="CK86" s="11">
        <v>1.7845382913947105E-2</v>
      </c>
      <c r="CL86" s="11">
        <v>7.7635280787944794E-2</v>
      </c>
      <c r="CM86" s="12">
        <v>-0.71548116207122803</v>
      </c>
      <c r="CN86" s="12">
        <v>7.9006768763065338E-2</v>
      </c>
      <c r="CO86" s="12">
        <v>1.4475138187408447</v>
      </c>
      <c r="CP86" s="12">
        <v>0.39230769872665405</v>
      </c>
      <c r="CQ86" s="12">
        <v>-0.39814814925193787</v>
      </c>
      <c r="CR86">
        <v>24.646464772727274</v>
      </c>
      <c r="CS86">
        <v>4.1593191649696353</v>
      </c>
      <c r="CT86">
        <v>0.54644808743169404</v>
      </c>
      <c r="CU86" s="11">
        <v>-5.9256007522344591E-2</v>
      </c>
      <c r="CV86" s="12">
        <v>0.16103979498147963</v>
      </c>
      <c r="CW86">
        <v>0.06</v>
      </c>
      <c r="CX86">
        <v>32.357843382352939</v>
      </c>
      <c r="CY86" t="s">
        <v>3240</v>
      </c>
      <c r="CZ86">
        <v>-5.9256007522344591E-2</v>
      </c>
      <c r="DA86">
        <v>10.785947794117646</v>
      </c>
      <c r="DB86" t="s">
        <v>3241</v>
      </c>
      <c r="DC86">
        <v>-5.6293207146227361E-2</v>
      </c>
      <c r="DD86">
        <v>5.3929738970588232</v>
      </c>
      <c r="DE86" t="s">
        <v>3242</v>
      </c>
      <c r="DF86">
        <v>-5.2145286619663243E-2</v>
      </c>
      <c r="DG86">
        <v>3.2357843382352942</v>
      </c>
      <c r="DH86" t="s">
        <v>3243</v>
      </c>
      <c r="DI86">
        <v>-4.7404806017875674E-2</v>
      </c>
      <c r="DJ86">
        <v>1.6178921691176471</v>
      </c>
      <c r="DK86" t="s">
        <v>3244</v>
      </c>
      <c r="DL86">
        <v>-4.1479205265641209E-2</v>
      </c>
      <c r="DM86">
        <v>136000000</v>
      </c>
      <c r="DN86">
        <v>-5.9256007522344591E-2</v>
      </c>
      <c r="DO86">
        <v>4400666700</v>
      </c>
      <c r="DP86">
        <v>2235741300</v>
      </c>
      <c r="DQ86">
        <v>4534</v>
      </c>
      <c r="DR86">
        <v>2.4012249194394428</v>
      </c>
      <c r="DS86">
        <v>3.9473234504814858</v>
      </c>
      <c r="DT86" s="13">
        <v>-0.47333333333333333</v>
      </c>
      <c r="DU86">
        <v>0.17000000000000004</v>
      </c>
      <c r="DV86">
        <v>-0.30333333333333329</v>
      </c>
      <c r="DW86">
        <v>-8.4284546197874075</v>
      </c>
      <c r="DX86">
        <v>0.27423913043478138</v>
      </c>
      <c r="DY86">
        <v>-8.0360926446016574</v>
      </c>
      <c r="DZ86">
        <v>1614</v>
      </c>
      <c r="EA86">
        <v>-8.0246927368938152</v>
      </c>
      <c r="EB86">
        <v>8</v>
      </c>
      <c r="EC86">
        <v>6.5390624182617194E-2</v>
      </c>
      <c r="ED86">
        <v>0.77624999029687514</v>
      </c>
      <c r="EE86" s="14">
        <v>-2.10141</v>
      </c>
      <c r="EF86">
        <v>-2.1225100000000001</v>
      </c>
      <c r="EG86">
        <v>19.084239130434781</v>
      </c>
      <c r="EH86" t="s">
        <v>1240</v>
      </c>
      <c r="EI86">
        <v>0</v>
      </c>
      <c r="EJ86">
        <v>0</v>
      </c>
      <c r="EK86" s="10">
        <v>45470</v>
      </c>
      <c r="EL86" s="15">
        <v>0.33</v>
      </c>
      <c r="EM86" s="15">
        <v>-4.04</v>
      </c>
      <c r="EN86">
        <v>-1.03</v>
      </c>
      <c r="EO86">
        <v>3.8</v>
      </c>
      <c r="EP86">
        <v>-2.11</v>
      </c>
    </row>
    <row r="87" spans="1:146" x14ac:dyDescent="0.25">
      <c r="A87" s="7"/>
      <c r="B87" s="7"/>
      <c r="C87" s="7"/>
      <c r="Q87" s="5"/>
    </row>
    <row r="88" spans="1:146" x14ac:dyDescent="0.25">
      <c r="A88" s="7"/>
      <c r="B88" s="7"/>
      <c r="C88" s="7"/>
      <c r="Q88" s="5"/>
    </row>
    <row r="89" spans="1:146" x14ac:dyDescent="0.25">
      <c r="A89" s="7"/>
      <c r="B89" s="7"/>
      <c r="C89" s="7"/>
    </row>
    <row r="90" spans="1:146" x14ac:dyDescent="0.25">
      <c r="A90" s="7"/>
      <c r="B90" s="7"/>
      <c r="C90" s="7"/>
      <c r="Q90" s="5"/>
    </row>
    <row r="91" spans="1:146" x14ac:dyDescent="0.25">
      <c r="A91" s="7"/>
      <c r="B91" s="7"/>
      <c r="C91" s="7"/>
      <c r="Q91" s="5"/>
    </row>
    <row r="92" spans="1:146" x14ac:dyDescent="0.25">
      <c r="A92" s="7"/>
      <c r="B92" s="7"/>
      <c r="C92" s="7"/>
      <c r="Q92" s="5"/>
    </row>
    <row r="93" spans="1:146" x14ac:dyDescent="0.25">
      <c r="A93" s="7"/>
      <c r="B93" s="7"/>
      <c r="C93" s="7"/>
      <c r="Q93" s="5"/>
    </row>
    <row r="94" spans="1:146" x14ac:dyDescent="0.25">
      <c r="A94" s="7"/>
      <c r="B94" s="7"/>
      <c r="C94" s="7"/>
      <c r="Q94" s="5"/>
    </row>
    <row r="95" spans="1:146" x14ac:dyDescent="0.25">
      <c r="A95" s="7"/>
      <c r="B95" s="7"/>
      <c r="C95" s="7"/>
      <c r="Q95" s="5"/>
    </row>
    <row r="96" spans="1:146" x14ac:dyDescent="0.25">
      <c r="A96" s="7"/>
      <c r="B96" s="7"/>
      <c r="C96" s="7"/>
      <c r="Q96" s="5"/>
    </row>
    <row r="97" spans="1:17" x14ac:dyDescent="0.25">
      <c r="A97" s="7"/>
      <c r="B97" s="7"/>
      <c r="C97" s="7"/>
      <c r="Q97" s="5"/>
    </row>
    <row r="98" spans="1:17" x14ac:dyDescent="0.25">
      <c r="A98" s="7"/>
      <c r="B98" s="7"/>
      <c r="C98" s="7"/>
      <c r="Q98" s="6"/>
    </row>
    <row r="99" spans="1:17" x14ac:dyDescent="0.25">
      <c r="A99" s="7"/>
      <c r="B99" s="7"/>
      <c r="C99" s="7"/>
      <c r="Q99" s="5"/>
    </row>
    <row r="100" spans="1:17" x14ac:dyDescent="0.25">
      <c r="A100" s="7"/>
      <c r="B100" s="7"/>
      <c r="C100" s="7"/>
      <c r="Q100" s="5"/>
    </row>
    <row r="101" spans="1:17" x14ac:dyDescent="0.25">
      <c r="A101" s="7"/>
      <c r="B101" s="7"/>
      <c r="C101" s="7"/>
      <c r="Q101" s="5"/>
    </row>
    <row r="102" spans="1:17" x14ac:dyDescent="0.25">
      <c r="A102" s="7"/>
      <c r="B102" s="7"/>
      <c r="C102" s="7"/>
      <c r="Q102" s="5"/>
    </row>
    <row r="103" spans="1:17" x14ac:dyDescent="0.25">
      <c r="A103" s="7"/>
      <c r="B103" s="7"/>
      <c r="C103" s="7"/>
      <c r="Q103" s="5"/>
    </row>
    <row r="104" spans="1:17" x14ac:dyDescent="0.25">
      <c r="A104" s="7"/>
      <c r="B104" s="7"/>
      <c r="C104" s="7"/>
      <c r="Q104" s="5"/>
    </row>
    <row r="105" spans="1:17" x14ac:dyDescent="0.25">
      <c r="A105" s="7"/>
      <c r="B105" s="7"/>
      <c r="C105" s="7"/>
      <c r="Q105" s="5"/>
    </row>
    <row r="106" spans="1:17" x14ac:dyDescent="0.25">
      <c r="A106" s="7"/>
      <c r="B106" s="7"/>
      <c r="C106" s="7"/>
      <c r="Q106" s="5"/>
    </row>
    <row r="107" spans="1:17" x14ac:dyDescent="0.25">
      <c r="A107" s="7"/>
      <c r="B107" s="7"/>
      <c r="C107" s="7"/>
      <c r="Q107" s="5"/>
    </row>
    <row r="108" spans="1:17" x14ac:dyDescent="0.25">
      <c r="A108" s="7"/>
      <c r="B108" s="7"/>
      <c r="C108" s="7"/>
      <c r="Q108" s="5"/>
    </row>
    <row r="109" spans="1:17" x14ac:dyDescent="0.25">
      <c r="A109" s="7"/>
      <c r="B109" s="7"/>
      <c r="C109" s="7"/>
      <c r="Q109" s="5"/>
    </row>
    <row r="110" spans="1:17" x14ac:dyDescent="0.25">
      <c r="A110" s="7"/>
      <c r="B110" s="7"/>
      <c r="C110" s="7"/>
      <c r="Q110" s="5"/>
    </row>
    <row r="111" spans="1:17" x14ac:dyDescent="0.25">
      <c r="A111" s="7"/>
      <c r="B111" s="7"/>
      <c r="C111" s="7"/>
      <c r="Q111" s="5"/>
    </row>
    <row r="112" spans="1:17" x14ac:dyDescent="0.25">
      <c r="A112" s="7"/>
      <c r="B112" s="7"/>
      <c r="C112" s="7"/>
      <c r="Q112" s="5"/>
    </row>
    <row r="113" spans="1:17" x14ac:dyDescent="0.25">
      <c r="A113" s="7"/>
      <c r="B113" s="7"/>
      <c r="C113" s="7"/>
      <c r="Q113" s="5"/>
    </row>
    <row r="114" spans="1:17" x14ac:dyDescent="0.25">
      <c r="A114" s="7"/>
      <c r="B114" s="7"/>
      <c r="C114" s="7"/>
      <c r="Q114" s="5"/>
    </row>
    <row r="115" spans="1:17" x14ac:dyDescent="0.25">
      <c r="A115" s="7"/>
      <c r="B115" s="7"/>
      <c r="C115" s="7"/>
      <c r="Q115" s="5"/>
    </row>
    <row r="116" spans="1:17" x14ac:dyDescent="0.25">
      <c r="A116" s="7"/>
      <c r="B116" s="7"/>
      <c r="C116" s="7"/>
      <c r="Q116" s="5"/>
    </row>
    <row r="117" spans="1:17" x14ac:dyDescent="0.25">
      <c r="A117" s="7"/>
      <c r="B117" s="7"/>
      <c r="C117" s="7"/>
      <c r="Q117" s="5"/>
    </row>
    <row r="118" spans="1:17" x14ac:dyDescent="0.25">
      <c r="A118" s="7"/>
      <c r="B118" s="7"/>
      <c r="C118" s="7"/>
      <c r="Q118" s="5"/>
    </row>
    <row r="119" spans="1:17" x14ac:dyDescent="0.25">
      <c r="A119" s="7"/>
      <c r="B119" s="7"/>
      <c r="C119" s="7"/>
      <c r="Q119" s="5"/>
    </row>
    <row r="120" spans="1:17" x14ac:dyDescent="0.25">
      <c r="A120" s="7"/>
      <c r="B120" s="7"/>
      <c r="C120" s="7"/>
      <c r="Q120" s="5"/>
    </row>
    <row r="121" spans="1:17" x14ac:dyDescent="0.25">
      <c r="A121" s="7"/>
      <c r="B121" s="7"/>
      <c r="C121" s="7"/>
      <c r="Q121" s="5"/>
    </row>
    <row r="122" spans="1:17" x14ac:dyDescent="0.25">
      <c r="A122" s="7"/>
      <c r="B122" s="7"/>
      <c r="C122" s="7"/>
      <c r="Q122" s="5"/>
    </row>
    <row r="123" spans="1:17" x14ac:dyDescent="0.25">
      <c r="A123" s="7"/>
      <c r="B123" s="7"/>
      <c r="C123" s="7"/>
      <c r="Q123" s="5"/>
    </row>
    <row r="124" spans="1:17" x14ac:dyDescent="0.25">
      <c r="A124" s="7"/>
      <c r="B124" s="7"/>
      <c r="C124" s="7"/>
      <c r="Q124" s="5"/>
    </row>
    <row r="125" spans="1:17" x14ac:dyDescent="0.25">
      <c r="A125" s="7"/>
      <c r="B125" s="7"/>
      <c r="C125" s="7"/>
      <c r="Q125" s="5"/>
    </row>
    <row r="126" spans="1:17" x14ac:dyDescent="0.25">
      <c r="A126" s="7"/>
      <c r="B126" s="7"/>
      <c r="C126" s="7"/>
      <c r="Q126" s="5"/>
    </row>
    <row r="127" spans="1:17" x14ac:dyDescent="0.25">
      <c r="A127" s="7"/>
      <c r="B127" s="7"/>
      <c r="C127" s="7"/>
      <c r="Q127" s="5"/>
    </row>
    <row r="128" spans="1:17" x14ac:dyDescent="0.25">
      <c r="A128" s="7"/>
      <c r="B128" s="7"/>
      <c r="C128" s="7"/>
      <c r="Q128" s="5"/>
    </row>
    <row r="129" spans="1:17" x14ac:dyDescent="0.25">
      <c r="A129" s="7"/>
      <c r="B129" s="7"/>
      <c r="C129" s="7"/>
      <c r="Q129" s="5"/>
    </row>
    <row r="130" spans="1:17" x14ac:dyDescent="0.25">
      <c r="A130" s="7"/>
      <c r="B130" s="7"/>
      <c r="C130" s="7"/>
      <c r="Q130" s="5"/>
    </row>
    <row r="131" spans="1:17" x14ac:dyDescent="0.25">
      <c r="A131" s="7"/>
      <c r="B131" s="7"/>
      <c r="C131" s="7"/>
      <c r="Q131" s="5"/>
    </row>
    <row r="132" spans="1:17" x14ac:dyDescent="0.25">
      <c r="A132" s="7"/>
      <c r="B132" s="7"/>
      <c r="C132" s="7"/>
      <c r="Q132" s="5"/>
    </row>
    <row r="133" spans="1:17" x14ac:dyDescent="0.25">
      <c r="A133" s="7"/>
      <c r="B133" s="7"/>
      <c r="C133" s="7"/>
      <c r="Q133" s="5"/>
    </row>
    <row r="134" spans="1:17" x14ac:dyDescent="0.25">
      <c r="A134" s="7"/>
      <c r="B134" s="7"/>
      <c r="C134" s="7"/>
      <c r="Q134" s="5"/>
    </row>
    <row r="135" spans="1:17" x14ac:dyDescent="0.25">
      <c r="A135" s="7"/>
      <c r="B135" s="7"/>
      <c r="C135" s="7"/>
      <c r="Q135" s="5"/>
    </row>
    <row r="136" spans="1:17" x14ac:dyDescent="0.25">
      <c r="A136" s="7"/>
      <c r="B136" s="7"/>
      <c r="C136" s="7"/>
      <c r="Q136" s="5"/>
    </row>
    <row r="137" spans="1:17" x14ac:dyDescent="0.25">
      <c r="A137" s="7"/>
      <c r="B137" s="7"/>
      <c r="C137" s="7"/>
      <c r="Q137" s="5"/>
    </row>
    <row r="138" spans="1:17" x14ac:dyDescent="0.25">
      <c r="A138" s="7"/>
      <c r="B138" s="7"/>
      <c r="C138" s="7"/>
      <c r="Q138" s="5"/>
    </row>
    <row r="139" spans="1:17" x14ac:dyDescent="0.25">
      <c r="A139" s="7"/>
      <c r="B139" s="7"/>
      <c r="C139" s="7"/>
      <c r="Q139" s="5"/>
    </row>
    <row r="140" spans="1:17" x14ac:dyDescent="0.25">
      <c r="A140" s="7"/>
      <c r="B140" s="7"/>
      <c r="C140" s="7"/>
      <c r="Q140" s="5"/>
    </row>
    <row r="141" spans="1:17" x14ac:dyDescent="0.25">
      <c r="A141" s="7"/>
      <c r="B141" s="7"/>
      <c r="C141" s="7"/>
      <c r="Q141" s="5"/>
    </row>
    <row r="142" spans="1:17" x14ac:dyDescent="0.25">
      <c r="A142" s="7"/>
      <c r="B142" s="7"/>
      <c r="C142" s="7"/>
      <c r="Q142" s="5"/>
    </row>
    <row r="143" spans="1:17" x14ac:dyDescent="0.25">
      <c r="A143" s="7"/>
      <c r="B143" s="7"/>
      <c r="C143" s="7"/>
      <c r="Q143" s="5"/>
    </row>
    <row r="144" spans="1:17" x14ac:dyDescent="0.25">
      <c r="A144" s="7"/>
      <c r="B144" s="7"/>
      <c r="C144" s="7"/>
      <c r="Q144" s="5"/>
    </row>
    <row r="145" spans="1:17" x14ac:dyDescent="0.25">
      <c r="A145" s="7"/>
      <c r="B145" s="7"/>
      <c r="C145" s="7"/>
      <c r="Q145" s="5"/>
    </row>
    <row r="146" spans="1:17" x14ac:dyDescent="0.25">
      <c r="A146" s="7"/>
      <c r="B146" s="7"/>
      <c r="C146" s="7"/>
      <c r="Q146" s="5"/>
    </row>
    <row r="147" spans="1:17" x14ac:dyDescent="0.25">
      <c r="A147" s="7"/>
      <c r="B147" s="7"/>
      <c r="C147" s="7"/>
      <c r="Q147" s="5"/>
    </row>
    <row r="148" spans="1:17" x14ac:dyDescent="0.25">
      <c r="A148" s="7"/>
      <c r="B148" s="7"/>
      <c r="C148" s="7"/>
      <c r="Q148" s="5"/>
    </row>
    <row r="149" spans="1:17" x14ac:dyDescent="0.25">
      <c r="A149" s="7"/>
      <c r="B149" s="7"/>
      <c r="C149" s="7"/>
      <c r="Q149" s="5"/>
    </row>
    <row r="150" spans="1:17" x14ac:dyDescent="0.25">
      <c r="A150" s="7"/>
      <c r="B150" s="7"/>
      <c r="C150" s="7"/>
      <c r="Q150" s="5"/>
    </row>
    <row r="151" spans="1:17" x14ac:dyDescent="0.25">
      <c r="A151" s="8"/>
      <c r="B151" s="8"/>
      <c r="C151" s="7"/>
      <c r="Q151" s="5"/>
    </row>
    <row r="152" spans="1:17" x14ac:dyDescent="0.25">
      <c r="A152" s="7"/>
      <c r="B152" s="7"/>
      <c r="C152" s="7"/>
      <c r="Q152" s="5"/>
    </row>
    <row r="153" spans="1:17" x14ac:dyDescent="0.25">
      <c r="A153" s="7"/>
      <c r="B153" s="7"/>
      <c r="C153" s="7"/>
      <c r="Q153" s="5"/>
    </row>
    <row r="154" spans="1:17" x14ac:dyDescent="0.25">
      <c r="A154" s="7"/>
      <c r="B154" s="7"/>
      <c r="C154" s="7"/>
      <c r="Q154" s="5"/>
    </row>
    <row r="155" spans="1:17" x14ac:dyDescent="0.25">
      <c r="A155" s="7"/>
      <c r="B155" s="7"/>
      <c r="C155" s="7"/>
      <c r="Q155" s="5"/>
    </row>
    <row r="156" spans="1:17" x14ac:dyDescent="0.25">
      <c r="A156" s="7"/>
      <c r="B156" s="7"/>
      <c r="C156" s="7"/>
      <c r="Q156" s="5"/>
    </row>
    <row r="157" spans="1:17" x14ac:dyDescent="0.25">
      <c r="A157" s="8"/>
      <c r="B157" s="8"/>
      <c r="C157" s="8"/>
      <c r="Q157" s="5"/>
    </row>
    <row r="158" spans="1:17" x14ac:dyDescent="0.25">
      <c r="A158" s="8"/>
      <c r="B158" s="8"/>
      <c r="C158" s="8"/>
      <c r="Q158" s="5"/>
    </row>
    <row r="159" spans="1:17" x14ac:dyDescent="0.25">
      <c r="A159" s="8"/>
      <c r="B159" s="8"/>
      <c r="C159" s="8"/>
      <c r="Q159" s="5"/>
    </row>
    <row r="160" spans="1:17" x14ac:dyDescent="0.25">
      <c r="A160" s="8"/>
      <c r="B160" s="8"/>
      <c r="C160" s="8"/>
      <c r="Q160" s="5"/>
    </row>
  </sheetData>
  <autoFilter ref="BU1:BU160"/>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文化传媒&quot;,&quot;&quot;'" altText="更新基本面按钮_x000a_">
                <anchor moveWithCells="1" sizeWithCells="1">
                  <from>
                    <xdr:col>147</xdr:col>
                    <xdr:colOff>152400</xdr:colOff>
                    <xdr:row>0</xdr:row>
                    <xdr:rowOff>50800</xdr:rowOff>
                  </from>
                  <to>
                    <xdr:col>147</xdr:col>
                    <xdr:colOff>1593850</xdr:colOff>
                    <xdr:row>0</xdr:row>
                    <xdr:rowOff>533400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传媒</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2024-07-10T23:12:45Z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