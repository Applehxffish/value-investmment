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传媒\"/>
    </mc:Choice>
  </mc:AlternateContent>
  <bookViews>
    <workbookView xWindow="0" yWindow="0" windowWidth="3800" windowHeight="2950"/>
  </bookViews>
  <sheets>
    <sheet name="传媒" sheetId="18" r:id="rId1"/>
    <sheet name="估值-增速与年化收益" sheetId="14" r:id="rId2"/>
  </sheets>
  <functionGroups builtInGroupCount="18"/>
  <definedNames>
    <definedName name="_xlnm._FilterDatabase" localSheetId="0" hidden="1">传媒!$BU$1:$BU$96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7" i="18"/>
  <c r="C13" i="18"/>
  <c r="C11" i="18"/>
  <c r="C4" i="18"/>
  <c r="C16" i="18"/>
  <c r="C15" i="18"/>
  <c r="C14" i="18"/>
  <c r="C21" i="18"/>
  <c r="C20" i="18"/>
  <c r="C18" i="18"/>
  <c r="C12" i="18"/>
  <c r="C10" i="18"/>
  <c r="C3" i="18"/>
  <c r="C22" i="18"/>
  <c r="C19" i="18"/>
  <c r="C9" i="18"/>
  <c r="C8" i="18"/>
  <c r="C6" i="18"/>
  <c r="C2" i="18"/>
  <c r="C7" i="18"/>
  <c r="C5" i="18"/>
</calcChain>
</file>

<file path=xl/sharedStrings.xml><?xml version="1.0" encoding="utf-8"?>
<sst xmlns="http://schemas.openxmlformats.org/spreadsheetml/2006/main" count="1358" uniqueCount="985">
  <si>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</si>
  <si>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</si>
  <si>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</si>
  <si>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</si>
  <si>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</si>
  <si>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</si>
  <si>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</si>
  <si>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</si>
  <si>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</si>
  <si>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</si>
  <si>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</si>
  <si>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</si>
  <si>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</si>
  <si>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</si>
  <si>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</si>
  <si>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</si>
  <si>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</si>
  <si>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1.69亿</t>
  </si>
  <si>
    <t>1.44亿</t>
  </si>
  <si>
    <t>1.37亿</t>
  </si>
  <si>
    <t>1.06亿</t>
  </si>
  <si>
    <t>2.46亿</t>
  </si>
  <si>
    <t>1.31亿</t>
  </si>
  <si>
    <t>3.15亿</t>
  </si>
  <si>
    <t>2.12亿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</si>
  <si>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</si>
  <si>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</si>
  <si>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</si>
  <si>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</si>
  <si>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</si>
  <si>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</si>
  <si>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</si>
  <si>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2.84亿</t>
  </si>
  <si>
    <t>6.02亿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</si>
  <si>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</si>
  <si>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</si>
  <si>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</si>
  <si>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</si>
  <si>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</si>
  <si>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</si>
  <si>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</si>
  <si>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</si>
  <si>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</si>
  <si>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</si>
  <si>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</si>
  <si>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</si>
  <si>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</si>
  <si>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</si>
  <si>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</si>
  <si>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传媒</t>
  </si>
  <si>
    <t>21.03亿</t>
  </si>
  <si>
    <t>16.57亿</t>
  </si>
  <si>
    <t>9.07亿</t>
  </si>
  <si>
    <t>代码</t>
  </si>
  <si>
    <t>涨幅%</t>
  </si>
  <si>
    <t>流通股本</t>
  </si>
  <si>
    <t>净利润[20201231]</t>
  </si>
  <si>
    <t>投入资本回报率roic%[20201231]</t>
  </si>
  <si>
    <t>净资产收益率%[20201231]</t>
  </si>
  <si>
    <t>1.54亿</t>
  </si>
  <si>
    <t xml:space="preserve">    名称</t>
  </si>
  <si>
    <t>净利润?</t>
  </si>
  <si>
    <t>投入资本回报率roic%[20211231]</t>
  </si>
  <si>
    <t>净资产收益率%[20211231]</t>
  </si>
  <si>
    <t>细分行业</t>
  </si>
  <si>
    <t>单季营收增速</t>
  </si>
  <si>
    <t>单季利润增速</t>
  </si>
  <si>
    <t>1.17亿</t>
  </si>
  <si>
    <t>1.08亿</t>
  </si>
  <si>
    <t>1.04亿</t>
  </si>
  <si>
    <t>1.47亿</t>
  </si>
  <si>
    <t>1.41亿</t>
  </si>
  <si>
    <t>1.20亿</t>
  </si>
  <si>
    <t>5.28亿</t>
  </si>
  <si>
    <t>1.68亿</t>
  </si>
  <si>
    <t>1.79亿</t>
  </si>
  <si>
    <t>1.83亿</t>
  </si>
  <si>
    <t>亏损</t>
  </si>
  <si>
    <t>扭亏</t>
  </si>
  <si>
    <t>2.35亿</t>
  </si>
  <si>
    <t>1.57亿</t>
  </si>
  <si>
    <t>1.58亿</t>
  </si>
  <si>
    <t>3.21亿</t>
  </si>
  <si>
    <t>2.91亿</t>
  </si>
  <si>
    <t>2.15亿</t>
  </si>
  <si>
    <t>4.46亿</t>
  </si>
  <si>
    <t>13.28亿</t>
  </si>
  <si>
    <t>1.05亿</t>
  </si>
  <si>
    <t>1.25亿</t>
  </si>
  <si>
    <t>开始亏损</t>
  </si>
  <si>
    <t>SZ000802</t>
  </si>
  <si>
    <t>北京文化</t>
  </si>
  <si>
    <t>2.98亿</t>
  </si>
  <si>
    <t>-1.33亿</t>
  </si>
  <si>
    <t>4.26亿</t>
  </si>
  <si>
    <t>8.55亿</t>
  </si>
  <si>
    <t>7.41亿</t>
  </si>
  <si>
    <t>13.21亿</t>
  </si>
  <si>
    <t>-7.67亿</t>
  </si>
  <si>
    <t>-23.06亿</t>
  </si>
  <si>
    <t>3.10亿</t>
  </si>
  <si>
    <t>影视院线</t>
  </si>
  <si>
    <t>SZ000892</t>
  </si>
  <si>
    <t>欢瑞世纪</t>
  </si>
  <si>
    <t>3.88亿</t>
  </si>
  <si>
    <t>-3.34亿</t>
  </si>
  <si>
    <t>1.85亿</t>
  </si>
  <si>
    <t>5.40亿</t>
  </si>
  <si>
    <t>-7.85亿</t>
  </si>
  <si>
    <t>-5.51亿</t>
  </si>
  <si>
    <t>3.25亿</t>
  </si>
  <si>
    <t>3.30亿</t>
  </si>
  <si>
    <t>1.30亿</t>
  </si>
  <si>
    <t>2.33亿</t>
  </si>
  <si>
    <t>1.00亿</t>
  </si>
  <si>
    <t>SZ001330</t>
  </si>
  <si>
    <t>博纳影业</t>
  </si>
  <si>
    <t>31.24亿</t>
  </si>
  <si>
    <t>3.63亿</t>
  </si>
  <si>
    <t>16.10亿</t>
  </si>
  <si>
    <t>31.16亿</t>
  </si>
  <si>
    <t>27.84亿</t>
  </si>
  <si>
    <t>1.91亿</t>
  </si>
  <si>
    <t>2.64亿</t>
  </si>
  <si>
    <t>1.99亿</t>
  </si>
  <si>
    <t>3.61亿</t>
  </si>
  <si>
    <t>2.37亿</t>
  </si>
  <si>
    <t>1.27亿</t>
  </si>
  <si>
    <t>2.85亿</t>
  </si>
  <si>
    <t>5.96亿</t>
  </si>
  <si>
    <t>1.22亿</t>
  </si>
  <si>
    <t>4.21亿</t>
  </si>
  <si>
    <t>3.81亿</t>
  </si>
  <si>
    <t>6.47亿</t>
  </si>
  <si>
    <t>1.18亿</t>
  </si>
  <si>
    <t>9.44亿</t>
  </si>
  <si>
    <t>2.63亿</t>
  </si>
  <si>
    <t>1.87亿</t>
  </si>
  <si>
    <t>5.46亿</t>
  </si>
  <si>
    <t>2.32亿</t>
  </si>
  <si>
    <t>6.79亿</t>
  </si>
  <si>
    <t>3.13亿</t>
  </si>
  <si>
    <t>1.43亿</t>
  </si>
  <si>
    <t>2.36亿</t>
  </si>
  <si>
    <t>3.05亿</t>
  </si>
  <si>
    <t>2.73亿</t>
  </si>
  <si>
    <t>5.00亿</t>
  </si>
  <si>
    <t>-3.52亿</t>
  </si>
  <si>
    <t>8.03亿</t>
  </si>
  <si>
    <t>SZ002292</t>
  </si>
  <si>
    <t>奥飞娱乐</t>
  </si>
  <si>
    <t>26.44亿</t>
  </si>
  <si>
    <t>1.66亿</t>
  </si>
  <si>
    <t>7.69亿</t>
  </si>
  <si>
    <t>4.10亿</t>
  </si>
  <si>
    <t>23.68亿</t>
  </si>
  <si>
    <t>27.27亿</t>
  </si>
  <si>
    <t>28.40亿</t>
  </si>
  <si>
    <t>SZ002343</t>
  </si>
  <si>
    <t>慈文传媒</t>
  </si>
  <si>
    <t>4.05亿</t>
  </si>
  <si>
    <t>-2.34亿</t>
  </si>
  <si>
    <t>0亿</t>
  </si>
  <si>
    <t>1.84亿</t>
  </si>
  <si>
    <t>6.74亿</t>
  </si>
  <si>
    <t>11.71亿</t>
  </si>
  <si>
    <t>14.35亿</t>
  </si>
  <si>
    <t>1.65亿</t>
  </si>
  <si>
    <t>3.91亿</t>
  </si>
  <si>
    <t>8.56亿</t>
  </si>
  <si>
    <t>1.07亿</t>
  </si>
  <si>
    <t>6.11亿</t>
  </si>
  <si>
    <t>1.23亿</t>
  </si>
  <si>
    <t>2.10亿</t>
  </si>
  <si>
    <t>6.54亿</t>
  </si>
  <si>
    <t>1.14亿</t>
  </si>
  <si>
    <t>5.77亿</t>
  </si>
  <si>
    <t>1.78亿</t>
  </si>
  <si>
    <t>3.72亿</t>
  </si>
  <si>
    <t>3.41亿</t>
  </si>
  <si>
    <t>-1-0</t>
  </si>
  <si>
    <t>7.01亿</t>
  </si>
  <si>
    <t>1.01亿</t>
  </si>
  <si>
    <t>2.11亿</t>
  </si>
  <si>
    <t>38.07亿</t>
  </si>
  <si>
    <t>1.77亿</t>
  </si>
  <si>
    <t>4.18亿</t>
  </si>
  <si>
    <t>1.59亿</t>
  </si>
  <si>
    <t>4.61亿</t>
  </si>
  <si>
    <t>1.36亿</t>
  </si>
  <si>
    <t>SZ002739</t>
  </si>
  <si>
    <t>万达电影</t>
  </si>
  <si>
    <t>124.90亿</t>
  </si>
  <si>
    <t>62.95亿</t>
  </si>
  <si>
    <t>154.35亿</t>
  </si>
  <si>
    <t>162.87亿</t>
  </si>
  <si>
    <t>132.29亿</t>
  </si>
  <si>
    <t>-66.69亿</t>
  </si>
  <si>
    <t>-47.29亿</t>
  </si>
  <si>
    <t>15.16亿</t>
  </si>
  <si>
    <t>SZ002905</t>
  </si>
  <si>
    <t>金逸影视</t>
  </si>
  <si>
    <t>13.62亿</t>
  </si>
  <si>
    <t>-3.56亿</t>
  </si>
  <si>
    <t>5.89亿</t>
  </si>
  <si>
    <t>20.69亿</t>
  </si>
  <si>
    <t>20.10亿</t>
  </si>
  <si>
    <t>-5.06亿</t>
  </si>
  <si>
    <t>9.48亿</t>
  </si>
  <si>
    <t>SZ300027</t>
  </si>
  <si>
    <t>华谊兄弟</t>
  </si>
  <si>
    <t>13.99亿</t>
  </si>
  <si>
    <t>-2.46亿</t>
  </si>
  <si>
    <t>15.00亿</t>
  </si>
  <si>
    <t>22.44亿</t>
  </si>
  <si>
    <t>38.14亿</t>
  </si>
  <si>
    <t>-10.48亿</t>
  </si>
  <si>
    <t>-39.78亿</t>
  </si>
  <si>
    <t>-11.69亿</t>
  </si>
  <si>
    <t>4.03亿</t>
  </si>
  <si>
    <t>6.62亿</t>
  </si>
  <si>
    <t>20.86亿</t>
  </si>
  <si>
    <t>1.40亿</t>
  </si>
  <si>
    <t>2.38亿</t>
  </si>
  <si>
    <t>4.69亿</t>
  </si>
  <si>
    <t>1.64亿</t>
  </si>
  <si>
    <t>1.92亿</t>
  </si>
  <si>
    <t>2.99亿</t>
  </si>
  <si>
    <t>1.09亿</t>
  </si>
  <si>
    <t>5.21亿</t>
  </si>
  <si>
    <t>3.82亿</t>
  </si>
  <si>
    <t>SZ300133</t>
  </si>
  <si>
    <t>华策影视</t>
  </si>
  <si>
    <t>4.00亿</t>
  </si>
  <si>
    <t>37.32亿</t>
  </si>
  <si>
    <t>26.31亿</t>
  </si>
  <si>
    <t>57.97亿</t>
  </si>
  <si>
    <t>3.99亿</t>
  </si>
  <si>
    <t>-14.67亿</t>
  </si>
  <si>
    <t>7.55亿</t>
  </si>
  <si>
    <t>SZ300182</t>
  </si>
  <si>
    <t>捷成股份</t>
  </si>
  <si>
    <t>37.27亿</t>
  </si>
  <si>
    <t>4.31亿</t>
  </si>
  <si>
    <t>31.84亿</t>
  </si>
  <si>
    <t>36.05亿</t>
  </si>
  <si>
    <t>49.50亿</t>
  </si>
  <si>
    <t>-12.39亿</t>
  </si>
  <si>
    <t>-23.25亿</t>
  </si>
  <si>
    <t>9074.84万</t>
  </si>
  <si>
    <t>27.06亿</t>
  </si>
  <si>
    <t>SZ300251</t>
  </si>
  <si>
    <t>光线传媒</t>
  </si>
  <si>
    <t>11.68亿</t>
  </si>
  <si>
    <t>-3.12亿</t>
  </si>
  <si>
    <t>4.02亿</t>
  </si>
  <si>
    <t>11.59亿</t>
  </si>
  <si>
    <t>28.29亿</t>
  </si>
  <si>
    <t>14.92亿</t>
  </si>
  <si>
    <t>13.73亿</t>
  </si>
  <si>
    <t>3.01亿</t>
  </si>
  <si>
    <t>SZ300291</t>
  </si>
  <si>
    <t>百纳千成</t>
  </si>
  <si>
    <t>6632.77万</t>
  </si>
  <si>
    <t>6.30亿</t>
  </si>
  <si>
    <t>25.75亿</t>
  </si>
  <si>
    <t>1.12亿</t>
  </si>
  <si>
    <t>-34.17亿</t>
  </si>
  <si>
    <t>2.16亿</t>
  </si>
  <si>
    <t>1.29亿</t>
  </si>
  <si>
    <t>-1.71亿</t>
  </si>
  <si>
    <t>5.59亿</t>
  </si>
  <si>
    <t>8.06亿</t>
  </si>
  <si>
    <t>5.17亿</t>
  </si>
  <si>
    <t>SZ300426</t>
  </si>
  <si>
    <t>唐德影视</t>
  </si>
  <si>
    <t>4.76亿</t>
  </si>
  <si>
    <t>1884.60万</t>
  </si>
  <si>
    <t>-1.15亿</t>
  </si>
  <si>
    <t>-7889.05万</t>
  </si>
  <si>
    <t>-1.07亿</t>
  </si>
  <si>
    <t>-9.27亿</t>
  </si>
  <si>
    <t>1.45亿</t>
  </si>
  <si>
    <t>8.42亿</t>
  </si>
  <si>
    <t>2.05亿</t>
  </si>
  <si>
    <t>4.95亿</t>
  </si>
  <si>
    <t>4.57亿</t>
  </si>
  <si>
    <t>7.31亿</t>
  </si>
  <si>
    <t>2.69亿</t>
  </si>
  <si>
    <t>SZ300528</t>
  </si>
  <si>
    <t>幸福蓝海</t>
  </si>
  <si>
    <t>4.23亿</t>
  </si>
  <si>
    <t>2.07亿</t>
  </si>
  <si>
    <t>2.20亿</t>
  </si>
  <si>
    <t>SH600088</t>
  </si>
  <si>
    <t>中视传媒</t>
  </si>
  <si>
    <t>7.78亿</t>
  </si>
  <si>
    <t>8.11亿</t>
  </si>
  <si>
    <t>5.12亿</t>
  </si>
  <si>
    <t>29.34亿</t>
  </si>
  <si>
    <t>3.09亿</t>
  </si>
  <si>
    <t>SH600715</t>
  </si>
  <si>
    <t>7.76亿</t>
  </si>
  <si>
    <t>-7.18亿</t>
  </si>
  <si>
    <t>22.24亿</t>
  </si>
  <si>
    <t>-34.63亿</t>
  </si>
  <si>
    <t>1296.63万</t>
  </si>
  <si>
    <t>-6.58亿</t>
  </si>
  <si>
    <t>14.27亿</t>
  </si>
  <si>
    <t>SH600977</t>
  </si>
  <si>
    <t>中国电影</t>
  </si>
  <si>
    <t>58.16亿</t>
  </si>
  <si>
    <t>29.50亿</t>
  </si>
  <si>
    <t>90.68亿</t>
  </si>
  <si>
    <t>90.38亿</t>
  </si>
  <si>
    <t>-5.56亿</t>
  </si>
  <si>
    <t>10.61亿</t>
  </si>
  <si>
    <t>14.95亿</t>
  </si>
  <si>
    <t>1.70亿</t>
  </si>
  <si>
    <t>SH601595</t>
  </si>
  <si>
    <t>上海电影</t>
  </si>
  <si>
    <t>2187.15万</t>
  </si>
  <si>
    <t>11.07亿</t>
  </si>
  <si>
    <t>10.56亿</t>
  </si>
  <si>
    <t>-4.31亿</t>
  </si>
  <si>
    <t>27.24亿</t>
  </si>
  <si>
    <t>3.36亿</t>
  </si>
  <si>
    <t>94.40亿</t>
  </si>
  <si>
    <t>11.49亿</t>
  </si>
  <si>
    <t>20.12亿</t>
  </si>
  <si>
    <t>SH603103</t>
  </si>
  <si>
    <t>横店影视</t>
  </si>
  <si>
    <t>1366.75万</t>
  </si>
  <si>
    <t>-4.81亿</t>
  </si>
  <si>
    <t>SH603721</t>
  </si>
  <si>
    <t>中广天择</t>
  </si>
  <si>
    <t>2243.58万</t>
  </si>
  <si>
    <t>-2395.50万</t>
  </si>
  <si>
    <t>1934.91万</t>
  </si>
  <si>
    <t>2738.37万</t>
  </si>
  <si>
    <t>11.00亿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</si>
  <si>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</si>
  <si>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</si>
  <si>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</si>
  <si>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7.98亿</t>
  </si>
  <si>
    <t>3-0</t>
  </si>
  <si>
    <t>8.00亿</t>
  </si>
  <si>
    <t>3.68亿</t>
  </si>
  <si>
    <t>6.09亿</t>
  </si>
  <si>
    <t>29.20亿</t>
  </si>
  <si>
    <t>2.92亿</t>
  </si>
  <si>
    <t>不分配不转增</t>
  </si>
  <si>
    <t>10派0.22元(含税)</t>
  </si>
  <si>
    <t>2-0</t>
  </si>
  <si>
    <t>2-1</t>
  </si>
  <si>
    <t>3-1</t>
  </si>
  <si>
    <t>4.79亿</t>
  </si>
  <si>
    <t>1795.06万</t>
  </si>
  <si>
    <t>4.40亿</t>
  </si>
  <si>
    <t>4-0</t>
  </si>
  <si>
    <t>26.57亿</t>
  </si>
  <si>
    <t>4.66亿</t>
  </si>
  <si>
    <t>96.95亿</t>
  </si>
  <si>
    <t>-19.23亿</t>
  </si>
  <si>
    <t>-3.81亿</t>
  </si>
  <si>
    <t>2.27亿</t>
  </si>
  <si>
    <t>24.75亿</t>
  </si>
  <si>
    <t>39.07亿</t>
  </si>
  <si>
    <t>-7.13亿</t>
  </si>
  <si>
    <t>3085.90万</t>
  </si>
  <si>
    <t>4.50亿</t>
  </si>
  <si>
    <t>-2.15亿</t>
  </si>
  <si>
    <t>15.59亿</t>
  </si>
  <si>
    <t>-3.35亿</t>
  </si>
  <si>
    <t>31.96亿</t>
  </si>
  <si>
    <t>-3.17亿</t>
  </si>
  <si>
    <t>22.83亿</t>
  </si>
  <si>
    <t>9.09亿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</si>
  <si>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</si>
  <si>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</si>
  <si>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</si>
  <si>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</si>
  <si>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</si>
  <si>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</si>
  <si>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</si>
  <si>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</si>
  <si>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</si>
  <si>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</si>
  <si>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</si>
  <si>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</si>
  <si>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</si>
  <si>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</si>
  <si>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</si>
  <si>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</si>
  <si>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</si>
  <si>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</si>
  <si>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</si>
  <si>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</si>
  <si>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</si>
  <si>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</si>
  <si>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</si>
  <si>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</si>
  <si>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</si>
  <si>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</si>
  <si>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</si>
  <si>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</si>
  <si>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</si>
  <si>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</si>
  <si>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</si>
  <si>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</si>
  <si>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</si>
  <si>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</si>
  <si>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</si>
  <si>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</si>
  <si>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</si>
  <si>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</si>
  <si>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</si>
  <si>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</si>
  <si>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</si>
  <si>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</si>
  <si>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</si>
  <si>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</si>
  <si>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</si>
  <si>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</si>
  <si>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</si>
  <si>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</si>
  <si>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</si>
  <si>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</si>
  <si>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</si>
  <si>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</si>
  <si>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</si>
  <si>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</si>
  <si>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</si>
  <si>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</si>
  <si>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</si>
  <si>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</si>
  <si>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</si>
  <si>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</si>
  <si>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</si>
  <si>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</si>
  <si>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</si>
  <si>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</si>
  <si>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</si>
  <si>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</si>
  <si>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</si>
  <si>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</si>
  <si>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</si>
  <si>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</si>
  <si>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</si>
  <si>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</si>
  <si>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</si>
  <si>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</si>
  <si>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</si>
  <si>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</si>
  <si>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</si>
  <si>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</si>
  <si>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</si>
  <si>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</si>
  <si>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</si>
  <si>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</si>
  <si>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</si>
  <si>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</si>
  <si>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</si>
  <si>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</si>
  <si>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</si>
  <si>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</si>
  <si>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</si>
  <si>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5-1</t>
  </si>
  <si>
    <t>4-1</t>
  </si>
  <si>
    <t>1.60亿</t>
  </si>
  <si>
    <t>-2-1</t>
  </si>
  <si>
    <t>1.35亿</t>
  </si>
  <si>
    <t>14.55亿</t>
  </si>
  <si>
    <t>5.24亿</t>
  </si>
  <si>
    <t>-1.08亿</t>
  </si>
  <si>
    <t>6.86亿</t>
  </si>
  <si>
    <t>49.38亿</t>
  </si>
  <si>
    <t>-5.81亿</t>
  </si>
  <si>
    <t>7.51亿</t>
  </si>
  <si>
    <t>4.13亿</t>
  </si>
  <si>
    <t>8.53亿</t>
  </si>
  <si>
    <t>5.18亿</t>
  </si>
  <si>
    <t>23.49亿</t>
  </si>
  <si>
    <t>6.88亿</t>
  </si>
  <si>
    <t>8.70亿</t>
  </si>
  <si>
    <t>18.74亿</t>
  </si>
  <si>
    <t>10.07亿</t>
  </si>
  <si>
    <t>12.18亿</t>
  </si>
  <si>
    <t>8.67亿</t>
  </si>
  <si>
    <t>-4.17亿</t>
  </si>
  <si>
    <t>-4.50亿</t>
  </si>
  <si>
    <t>-16.30亿</t>
  </si>
  <si>
    <t>-10.94亿</t>
  </si>
  <si>
    <t>22.67亿</t>
  </si>
  <si>
    <t>6.64亿</t>
  </si>
  <si>
    <t>5.54亿</t>
  </si>
  <si>
    <t>181.45亿</t>
  </si>
  <si>
    <t>82.15亿</t>
  </si>
  <si>
    <t>113.48亿</t>
  </si>
  <si>
    <t>101.70亿</t>
  </si>
  <si>
    <t>80.10亿</t>
  </si>
  <si>
    <t>1060.52万</t>
  </si>
  <si>
    <t>1830199亿</t>
  </si>
  <si>
    <t>824.54万</t>
  </si>
  <si>
    <t>1103790430亿</t>
  </si>
  <si>
    <t>41.99亿</t>
  </si>
  <si>
    <t>1376235700亿</t>
  </si>
  <si>
    <t>1946.00万</t>
  </si>
  <si>
    <t>9094106100亿</t>
  </si>
  <si>
    <t>5031.70万</t>
  </si>
  <si>
    <t>23.82亿</t>
  </si>
  <si>
    <t>13.12亿</t>
  </si>
  <si>
    <t>84.79亿</t>
  </si>
  <si>
    <t>21.64亿</t>
  </si>
  <si>
    <t>37.96亿</t>
  </si>
  <si>
    <t>-3.61亿</t>
  </si>
  <si>
    <t>-20.47亿</t>
  </si>
  <si>
    <t>68.69亿</t>
  </si>
  <si>
    <t>77.21亿</t>
  </si>
  <si>
    <t>-5.33亿</t>
  </si>
  <si>
    <t>-1.39亿</t>
  </si>
  <si>
    <t>13.03亿</t>
  </si>
  <si>
    <t>6.42亿</t>
  </si>
  <si>
    <t>9.94亿</t>
  </si>
  <si>
    <t>5.85亿</t>
  </si>
  <si>
    <t>3.83亿</t>
  </si>
  <si>
    <t>4.77亿</t>
  </si>
  <si>
    <t>6.04亿</t>
  </si>
  <si>
    <t>-1.20亿</t>
  </si>
  <si>
    <t>10.11亿</t>
  </si>
  <si>
    <t>11.83亿</t>
  </si>
  <si>
    <t>15.14亿</t>
  </si>
  <si>
    <t>5.49亿</t>
  </si>
  <si>
    <t>5.32亿</t>
  </si>
  <si>
    <t>-3.00亿</t>
  </si>
  <si>
    <t>12.00亿</t>
  </si>
  <si>
    <t>-3.97亿</t>
  </si>
  <si>
    <t>29.98亿</t>
  </si>
  <si>
    <t>4.32亿</t>
  </si>
  <si>
    <t>-1.41亿</t>
  </si>
  <si>
    <t>-1.10亿</t>
  </si>
  <si>
    <t>6.50亿</t>
  </si>
  <si>
    <t>21.30亿</t>
  </si>
  <si>
    <t>80.52亿</t>
  </si>
  <si>
    <t>999.00万</t>
  </si>
  <si>
    <t>6.76亿</t>
  </si>
  <si>
    <t>5.58亿</t>
  </si>
  <si>
    <t>25.17亿</t>
  </si>
  <si>
    <t>-3.28亿</t>
  </si>
  <si>
    <t>3.33亿</t>
  </si>
  <si>
    <t>7.95亿</t>
  </si>
  <si>
    <t>-4-0</t>
  </si>
  <si>
    <t>-3-1</t>
  </si>
  <si>
    <t>10.95亿</t>
  </si>
  <si>
    <t>5.52亿</t>
  </si>
  <si>
    <t>21.19亿</t>
  </si>
  <si>
    <t>4.30亿</t>
  </si>
  <si>
    <t>330.73万</t>
  </si>
  <si>
    <t>619.94万</t>
  </si>
  <si>
    <t>-2.80亿</t>
  </si>
  <si>
    <t>2624.04万</t>
  </si>
  <si>
    <t>75.00万</t>
  </si>
  <si>
    <t>2094.61万</t>
  </si>
  <si>
    <t>-358148亿</t>
  </si>
  <si>
    <t>-13777131亿</t>
  </si>
  <si>
    <t>28338292亿</t>
  </si>
  <si>
    <t>1394889800亿</t>
  </si>
  <si>
    <t>13.13亿</t>
  </si>
  <si>
    <t>-6380.42万</t>
  </si>
  <si>
    <t>-6098.26万</t>
  </si>
  <si>
    <t>-1176.03万</t>
  </si>
  <si>
    <t>1429.41万</t>
  </si>
  <si>
    <t>859.70万</t>
  </si>
  <si>
    <t>6.78亿</t>
  </si>
  <si>
    <t>11.06亿</t>
  </si>
  <si>
    <t>7184.63万</t>
  </si>
  <si>
    <t>5085.44万</t>
  </si>
  <si>
    <t>2771.56万</t>
  </si>
  <si>
    <t>935.89万</t>
  </si>
  <si>
    <t>1364.09万</t>
  </si>
  <si>
    <t>-697681亿</t>
  </si>
  <si>
    <t>14014207亿</t>
  </si>
  <si>
    <t>196285300亿</t>
  </si>
  <si>
    <t>1521957200亿</t>
  </si>
  <si>
    <t>10000.00万</t>
  </si>
  <si>
    <t>1180.02万</t>
  </si>
  <si>
    <t>-3076.73万</t>
  </si>
  <si>
    <t>-58.59万</t>
  </si>
  <si>
    <t>921.16万</t>
  </si>
  <si>
    <t>5425.92万</t>
  </si>
  <si>
    <t>790.24万</t>
  </si>
  <si>
    <t>4532.27万</t>
  </si>
  <si>
    <t>793.79万</t>
  </si>
  <si>
    <t>93.83亿</t>
  </si>
  <si>
    <t>61.86亿</t>
  </si>
  <si>
    <t>16.08亿</t>
  </si>
  <si>
    <t>-5.53亿</t>
  </si>
  <si>
    <t>-126.99万</t>
  </si>
  <si>
    <t>5442.12万</t>
  </si>
  <si>
    <t>14304481亿</t>
  </si>
  <si>
    <t>51.79万</t>
  </si>
  <si>
    <t>-14201253亿</t>
  </si>
  <si>
    <t>21.12亿</t>
  </si>
  <si>
    <t>613191990亿</t>
  </si>
  <si>
    <t>6058680600亿</t>
  </si>
  <si>
    <t>501.91万</t>
  </si>
  <si>
    <t>10.27亿</t>
  </si>
  <si>
    <t>1900.00万</t>
  </si>
  <si>
    <t>40.62亿</t>
  </si>
  <si>
    <t>-7558.49万</t>
  </si>
  <si>
    <t>-7349.24万</t>
  </si>
  <si>
    <t>-7551.06万</t>
  </si>
  <si>
    <t>3565.57万</t>
  </si>
  <si>
    <t>1632.46万</t>
  </si>
  <si>
    <t>34.02亿</t>
  </si>
  <si>
    <t>27.39亿</t>
  </si>
  <si>
    <t>9364.26万</t>
  </si>
  <si>
    <t>7893.88万</t>
  </si>
  <si>
    <t>9367.96万</t>
  </si>
  <si>
    <t>-9519974亿</t>
  </si>
  <si>
    <t>372.37万</t>
  </si>
  <si>
    <t>41805815亿</t>
  </si>
  <si>
    <t>400593260亿</t>
  </si>
  <si>
    <t>1637436400亿</t>
  </si>
  <si>
    <t>6.59亿</t>
  </si>
  <si>
    <t>7.10万</t>
  </si>
  <si>
    <t>12.79亿</t>
  </si>
  <si>
    <t>8618.68万</t>
  </si>
  <si>
    <t>-1859.68万</t>
  </si>
  <si>
    <t>1667.39万</t>
  </si>
  <si>
    <t>8188.09万</t>
  </si>
  <si>
    <t>093642600</t>
  </si>
  <si>
    <t>0280927800</t>
  </si>
  <si>
    <t>0561855600</t>
  </si>
  <si>
    <t>0936426000</t>
  </si>
  <si>
    <t>01872852000</t>
  </si>
  <si>
    <t>1-1</t>
  </si>
  <si>
    <t>1163.36万</t>
  </si>
  <si>
    <t>2.70亿</t>
  </si>
  <si>
    <t>404.72万</t>
  </si>
  <si>
    <t>2762.78万</t>
  </si>
  <si>
    <t>634.41万</t>
  </si>
  <si>
    <t>107.66万</t>
  </si>
  <si>
    <t>97.43万</t>
  </si>
  <si>
    <t>459.58万</t>
  </si>
  <si>
    <t>6.89万</t>
  </si>
  <si>
    <t>-5344245亿</t>
  </si>
  <si>
    <t>1.21亿</t>
  </si>
  <si>
    <t>169867520亿</t>
  </si>
  <si>
    <t>931671920亿</t>
  </si>
  <si>
    <t>3758.75万</t>
  </si>
  <si>
    <t>2367.92万</t>
  </si>
  <si>
    <t>-5793.83万</t>
  </si>
  <si>
    <t>1.06万</t>
  </si>
  <si>
    <t>163.40万</t>
  </si>
  <si>
    <t>4923.73万</t>
  </si>
  <si>
    <t>1251.33万</t>
  </si>
  <si>
    <t>5649.70万</t>
  </si>
  <si>
    <t>082883400</t>
  </si>
  <si>
    <t>0165766800</t>
  </si>
  <si>
    <t>0276278000</t>
  </si>
  <si>
    <t>0552556000</t>
  </si>
  <si>
    <t>6-1</t>
  </si>
  <si>
    <t>268.65万</t>
  </si>
  <si>
    <t>38.76亿</t>
  </si>
  <si>
    <t>13.66亿</t>
  </si>
  <si>
    <t>1334.81万</t>
  </si>
  <si>
    <t>4084.54万</t>
  </si>
  <si>
    <t>1960.24万</t>
  </si>
  <si>
    <t>-267594亿</t>
  </si>
  <si>
    <t>61.83万</t>
  </si>
  <si>
    <t>-5525483亿</t>
  </si>
  <si>
    <t>5.34亿</t>
  </si>
  <si>
    <t>53093781亿</t>
  </si>
  <si>
    <t>863263020亿</t>
  </si>
  <si>
    <t>605.33万</t>
  </si>
  <si>
    <t>2.26亿</t>
  </si>
  <si>
    <t>732.08万</t>
  </si>
  <si>
    <t>9323.18万</t>
  </si>
  <si>
    <t>-1.11亿</t>
  </si>
  <si>
    <t>-818.63万</t>
  </si>
  <si>
    <t>2043.52万</t>
  </si>
  <si>
    <t>1453.80万</t>
  </si>
  <si>
    <t>4376.55万</t>
  </si>
  <si>
    <t>9521.50万</t>
  </si>
  <si>
    <t>6.66亿</t>
  </si>
  <si>
    <t>-5.39亿</t>
  </si>
  <si>
    <t>5866.10万</t>
  </si>
  <si>
    <t>2020.51万</t>
  </si>
  <si>
    <t>2808.08万</t>
  </si>
  <si>
    <t>30640291亿</t>
  </si>
  <si>
    <t>18.03万</t>
  </si>
  <si>
    <t>-24595137亿</t>
  </si>
  <si>
    <t>218415720亿</t>
  </si>
  <si>
    <t>1221204690亿</t>
  </si>
  <si>
    <t>8038.85万</t>
  </si>
  <si>
    <t>21.82亿</t>
  </si>
  <si>
    <t>3459.89万</t>
  </si>
  <si>
    <t>8600.50万</t>
  </si>
  <si>
    <t>-9.81亿</t>
  </si>
  <si>
    <t>-1049.99万</t>
  </si>
  <si>
    <t>6666.85万</t>
  </si>
  <si>
    <t>27.02亿</t>
  </si>
  <si>
    <t>72.01亿</t>
  </si>
  <si>
    <t>2423.75万</t>
  </si>
  <si>
    <t>3463.69万</t>
  </si>
  <si>
    <t>5456140亿</t>
  </si>
  <si>
    <t>25.40万</t>
  </si>
  <si>
    <t>1440079亿</t>
  </si>
  <si>
    <t>717757990亿</t>
  </si>
  <si>
    <t>1600.00万</t>
  </si>
  <si>
    <t>8332190800亿</t>
  </si>
  <si>
    <t>4648.40万</t>
  </si>
  <si>
    <t>469.94万</t>
  </si>
  <si>
    <t>-938.61万</t>
  </si>
  <si>
    <t>9.64亿</t>
  </si>
  <si>
    <t>10派0.41元(含税)</t>
  </si>
  <si>
    <t>3.07亿</t>
  </si>
  <si>
    <t>26.17亿</t>
  </si>
  <si>
    <t>0382000000</t>
  </si>
  <si>
    <t>01146000000</t>
  </si>
  <si>
    <t>02292000000</t>
  </si>
  <si>
    <t>03820000000</t>
  </si>
  <si>
    <t>07640000000</t>
  </si>
  <si>
    <t>4658.04万</t>
  </si>
  <si>
    <t>28.00亿</t>
  </si>
  <si>
    <t>2159.73万</t>
  </si>
  <si>
    <t>3696.65万</t>
  </si>
  <si>
    <t>-2515462亿</t>
  </si>
  <si>
    <t>20.01万</t>
  </si>
  <si>
    <t>116903295亿</t>
  </si>
  <si>
    <t>1830504200亿</t>
  </si>
  <si>
    <t>9493.78万</t>
  </si>
  <si>
    <t>2842429700亿</t>
  </si>
  <si>
    <t>26.58亿</t>
  </si>
  <si>
    <t>-2.50亿</t>
  </si>
  <si>
    <t>-8333.53万</t>
  </si>
  <si>
    <t>6.70亿</t>
  </si>
  <si>
    <t>19.62亿</t>
  </si>
  <si>
    <t>0450000000</t>
  </si>
  <si>
    <t>01350000000</t>
  </si>
  <si>
    <t>02700000000</t>
  </si>
  <si>
    <t>04500000000</t>
  </si>
  <si>
    <t>09000000000</t>
  </si>
  <si>
    <t>2194.30万</t>
  </si>
  <si>
    <t>12.46亿</t>
  </si>
  <si>
    <t>90.83亿</t>
  </si>
  <si>
    <t>10.70亿</t>
  </si>
  <si>
    <t>15.46亿</t>
  </si>
  <si>
    <t>71.36万</t>
  </si>
  <si>
    <t>2341.09万</t>
  </si>
  <si>
    <t>9045896亿</t>
  </si>
  <si>
    <t>17.59万</t>
  </si>
  <si>
    <t>416136960亿</t>
  </si>
  <si>
    <t>24.88亿</t>
  </si>
  <si>
    <t>1098328920亿</t>
  </si>
  <si>
    <t>4936999600亿</t>
  </si>
  <si>
    <t>25.41万</t>
  </si>
  <si>
    <t>10.82亿</t>
  </si>
  <si>
    <t>-8541.22万</t>
  </si>
  <si>
    <t>9183.88万</t>
  </si>
  <si>
    <t>-21.84万</t>
  </si>
  <si>
    <t>10派0.7元(含税)</t>
  </si>
  <si>
    <t>1282.96万</t>
  </si>
  <si>
    <t>37.04亿</t>
  </si>
  <si>
    <t>4971.34万</t>
  </si>
  <si>
    <t>-1.86亿</t>
  </si>
  <si>
    <t>7321.98万</t>
  </si>
  <si>
    <t>4564.14万</t>
  </si>
  <si>
    <t>1052.43万</t>
  </si>
  <si>
    <t>1691.91万</t>
  </si>
  <si>
    <t>18158361亿</t>
  </si>
  <si>
    <t>20.49万</t>
  </si>
  <si>
    <t>-7569831亿</t>
  </si>
  <si>
    <t>543056610亿</t>
  </si>
  <si>
    <t>3658527200亿</t>
  </si>
  <si>
    <t>235.24万</t>
  </si>
  <si>
    <t>118.81万</t>
  </si>
  <si>
    <t>6.23亿</t>
  </si>
  <si>
    <t>-12.64万</t>
  </si>
  <si>
    <t>2075.28万</t>
  </si>
  <si>
    <t>4284.79万</t>
  </si>
  <si>
    <t>-1417.44万</t>
  </si>
  <si>
    <t>6505.61万</t>
  </si>
  <si>
    <t>460.38万</t>
  </si>
  <si>
    <t>18.93亿</t>
  </si>
  <si>
    <t>4897.20万</t>
  </si>
  <si>
    <t>1705.95万</t>
  </si>
  <si>
    <t>2906.39万</t>
  </si>
  <si>
    <t>307.45万</t>
  </si>
  <si>
    <t>153.28万</t>
  </si>
  <si>
    <t>922.96万</t>
  </si>
  <si>
    <t>16589921亿</t>
  </si>
  <si>
    <t>353139260亿</t>
  </si>
  <si>
    <t>1959547800亿</t>
  </si>
  <si>
    <t>6326.80万</t>
  </si>
  <si>
    <t>190.61万</t>
  </si>
  <si>
    <t>-3066.61万</t>
  </si>
  <si>
    <t>-11.63万</t>
  </si>
  <si>
    <t>-1427.09万</t>
  </si>
  <si>
    <t>3615.67万</t>
  </si>
  <si>
    <t>-1552.80万</t>
  </si>
  <si>
    <t>1862.19万</t>
  </si>
  <si>
    <t>385.42万</t>
  </si>
  <si>
    <t>17.96亿</t>
  </si>
  <si>
    <t>-2204.59万</t>
  </si>
  <si>
    <t>76.49万</t>
  </si>
  <si>
    <t>2645.15万</t>
  </si>
  <si>
    <t>1498695亿</t>
  </si>
  <si>
    <t>2.27万</t>
  </si>
  <si>
    <t>2345559亿</t>
  </si>
  <si>
    <t>152780820亿</t>
  </si>
  <si>
    <t>85.28万</t>
  </si>
  <si>
    <t>992857260亿</t>
  </si>
  <si>
    <t>384.21万</t>
  </si>
  <si>
    <t>-1668.67万</t>
  </si>
  <si>
    <t>-3121.19万</t>
  </si>
  <si>
    <t>15.86亿</t>
  </si>
  <si>
    <t>-1.31亿</t>
  </si>
  <si>
    <t>-3.26亿</t>
  </si>
  <si>
    <t>7717.83万</t>
  </si>
  <si>
    <t>1167.08万</t>
  </si>
  <si>
    <t>1915.79万</t>
  </si>
  <si>
    <t>7-1</t>
  </si>
  <si>
    <t>432.22万</t>
  </si>
  <si>
    <t>981.23亿</t>
  </si>
  <si>
    <t>107.03亿</t>
  </si>
  <si>
    <t>10193666亿</t>
  </si>
  <si>
    <t>2.32万</t>
  </si>
  <si>
    <t>-1261707亿</t>
  </si>
  <si>
    <t>90957468亿</t>
  </si>
  <si>
    <t>730834930亿</t>
  </si>
  <si>
    <t>209.30万</t>
  </si>
  <si>
    <t>4468.49万</t>
  </si>
  <si>
    <t>47.77万</t>
  </si>
  <si>
    <t>-156.08万</t>
  </si>
  <si>
    <t>-152.13万</t>
  </si>
  <si>
    <t>-6490.96万</t>
  </si>
  <si>
    <t>11.15亿</t>
  </si>
  <si>
    <t>264.87亿</t>
  </si>
  <si>
    <t>47.34亿</t>
  </si>
  <si>
    <t>2517.56万</t>
  </si>
  <si>
    <t>SH600136</t>
  </si>
  <si>
    <t>ST明诚</t>
  </si>
  <si>
    <t>369.83万</t>
  </si>
  <si>
    <t>1085.29万</t>
  </si>
  <si>
    <t>2262.52万</t>
  </si>
  <si>
    <t>1262.61万</t>
  </si>
  <si>
    <t>643.17万</t>
  </si>
  <si>
    <t>87.20万</t>
  </si>
  <si>
    <t>508.83万</t>
  </si>
  <si>
    <t>1.76万</t>
  </si>
  <si>
    <t>-1106832亿</t>
  </si>
  <si>
    <t>461192070亿</t>
  </si>
  <si>
    <t>3570.90万</t>
  </si>
  <si>
    <t>917.65万</t>
  </si>
  <si>
    <t>-68.12万</t>
  </si>
  <si>
    <t>7.00亿</t>
  </si>
  <si>
    <t>17.82亿</t>
  </si>
  <si>
    <t>26.68亿</t>
  </si>
  <si>
    <t>-47.24亿</t>
  </si>
  <si>
    <t>-13.36亿</t>
  </si>
  <si>
    <t>-19.61亿</t>
  </si>
  <si>
    <t>323.01万</t>
  </si>
  <si>
    <t>6278.94万</t>
  </si>
  <si>
    <t>28.55亿</t>
  </si>
  <si>
    <t>288.08万</t>
  </si>
  <si>
    <t>2154.64万</t>
  </si>
  <si>
    <t>067875600</t>
  </si>
  <si>
    <t>0135751200</t>
  </si>
  <si>
    <t>0226252000</t>
  </si>
  <si>
    <t>0452504000</t>
  </si>
  <si>
    <t>-4-1</t>
  </si>
  <si>
    <t>*ST文投</t>
  </si>
  <si>
    <t>1161.52万</t>
  </si>
  <si>
    <t>41.54亿</t>
  </si>
  <si>
    <t>-12.29亿</t>
  </si>
  <si>
    <t>767.15万</t>
  </si>
  <si>
    <t>9544.31万</t>
  </si>
  <si>
    <t>430.33万</t>
  </si>
  <si>
    <t>2818.52万</t>
  </si>
  <si>
    <t>513699亿</t>
  </si>
  <si>
    <t>279.12万</t>
  </si>
  <si>
    <t>-45954040亿</t>
  </si>
  <si>
    <t>468869470亿</t>
  </si>
  <si>
    <t>498.86万</t>
  </si>
  <si>
    <t>30.32亿</t>
  </si>
  <si>
    <t>7331.60万</t>
  </si>
  <si>
    <t>1299.42万</t>
  </si>
  <si>
    <t>3843.90万</t>
  </si>
  <si>
    <t>-1166.18万</t>
  </si>
  <si>
    <t>-12.71亿</t>
  </si>
  <si>
    <t>-16.47亿</t>
  </si>
  <si>
    <t>4067.51万</t>
  </si>
  <si>
    <t>8334.05万</t>
  </si>
  <si>
    <t>023014500</t>
  </si>
  <si>
    <t>046029000</t>
  </si>
  <si>
    <t>076715000</t>
  </si>
  <si>
    <t>0153430000</t>
  </si>
  <si>
    <t>520.82万</t>
  </si>
  <si>
    <t>74.30亿</t>
  </si>
  <si>
    <t>116.59亿</t>
  </si>
  <si>
    <t>10.26亿</t>
  </si>
  <si>
    <t>28.28亿</t>
  </si>
  <si>
    <t>7.43亿</t>
  </si>
  <si>
    <t>3393.69万</t>
  </si>
  <si>
    <t>14023512亿</t>
  </si>
  <si>
    <t>130.66万</t>
  </si>
  <si>
    <t>81290797亿</t>
  </si>
  <si>
    <t>2450317200亿</t>
  </si>
  <si>
    <t>448.32万</t>
  </si>
  <si>
    <t>16236009000亿</t>
  </si>
  <si>
    <t>6108.95万</t>
  </si>
  <si>
    <t>67.46亿</t>
  </si>
  <si>
    <t>82.25亿</t>
  </si>
  <si>
    <t>-2.92亿</t>
  </si>
  <si>
    <t>-4793.34万</t>
  </si>
  <si>
    <t>53.34亿</t>
  </si>
  <si>
    <t>6.35亿</t>
  </si>
  <si>
    <t>199.98万</t>
  </si>
  <si>
    <t>10派0.71元(含税)</t>
  </si>
  <si>
    <t>2830.14万</t>
  </si>
  <si>
    <t>0227000000</t>
  </si>
  <si>
    <t>0681000000</t>
  </si>
  <si>
    <t>01362000000</t>
  </si>
  <si>
    <t>02270000000</t>
  </si>
  <si>
    <t>04540000000</t>
  </si>
  <si>
    <t>602.25万</t>
  </si>
  <si>
    <t>18.36亿</t>
  </si>
  <si>
    <t>1017.05亿</t>
  </si>
  <si>
    <t>42.22亿</t>
  </si>
  <si>
    <t>717.73万</t>
  </si>
  <si>
    <t>1516.93万</t>
  </si>
  <si>
    <t>8703830亿</t>
  </si>
  <si>
    <t>47.99万</t>
  </si>
  <si>
    <t>28530687亿</t>
  </si>
  <si>
    <t>173234580亿</t>
  </si>
  <si>
    <t>1498566100亿</t>
  </si>
  <si>
    <t>856.90万</t>
  </si>
  <si>
    <t>170.75万</t>
  </si>
  <si>
    <t>-184.16万</t>
  </si>
  <si>
    <t>-2633.72万</t>
  </si>
  <si>
    <t>224.69亿</t>
  </si>
  <si>
    <t>9.56亿</t>
  </si>
  <si>
    <t>10派1.14元(含税)</t>
  </si>
  <si>
    <t>3624.96万</t>
  </si>
  <si>
    <t>214.21万</t>
  </si>
  <si>
    <t>31.25亿</t>
  </si>
  <si>
    <t>622.27万</t>
  </si>
  <si>
    <t>1619.12万</t>
  </si>
  <si>
    <t>41574805亿</t>
  </si>
  <si>
    <t>1741.52万</t>
  </si>
  <si>
    <t>154807850亿</t>
  </si>
  <si>
    <t>407983920亿</t>
  </si>
  <si>
    <t>2163603800亿</t>
  </si>
  <si>
    <t>1314.75万</t>
  </si>
  <si>
    <t>16.15亿</t>
  </si>
  <si>
    <t>4.60亿</t>
  </si>
  <si>
    <t>2448.29万</t>
  </si>
  <si>
    <t>-6460.66万</t>
  </si>
  <si>
    <t>3020.65万</t>
  </si>
  <si>
    <t>1159.04万</t>
  </si>
  <si>
    <t>7549.15万</t>
  </si>
  <si>
    <t>818.30万</t>
  </si>
  <si>
    <t>8315.78万</t>
  </si>
  <si>
    <t>5.37亿</t>
  </si>
  <si>
    <t>2392.04万</t>
  </si>
  <si>
    <t>9077.23万</t>
  </si>
  <si>
    <t>7710.83万</t>
  </si>
  <si>
    <t>275.64万</t>
  </si>
  <si>
    <t>672.81万</t>
  </si>
  <si>
    <t>333246亿</t>
  </si>
  <si>
    <t>55.82万</t>
  </si>
  <si>
    <t>-5772600亿</t>
  </si>
  <si>
    <t>1.98亿</t>
  </si>
  <si>
    <t>127261188亿</t>
  </si>
  <si>
    <t>417058700亿</t>
  </si>
  <si>
    <t>8802.99万</t>
  </si>
  <si>
    <t>-111.28万</t>
  </si>
  <si>
    <t>-2594.40万</t>
  </si>
  <si>
    <t>-2682.49万</t>
  </si>
  <si>
    <t>1578.77万</t>
  </si>
  <si>
    <t>-867.16万</t>
  </si>
  <si>
    <t>627.31万</t>
  </si>
  <si>
    <t>3984.04万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</si>
</sst>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152400</xdr:colOff>
          <xdr:row>0</xdr:row>
          <xdr:rowOff>50800</xdr:rowOff>
        </xdr:from>
        <xdr:to>
          <xdr:col>147</xdr:col>
          <xdr:colOff>1593850</xdr:colOff>
          <xdr:row>0</xdr:row>
          <xdr:rowOff>533400</xdr:rowOff>
        </xdr:to>
        <xdr:sp macro="" textlink="">
          <xdr:nvSpPr>
            <xdr:cNvPr id="1025" name="Button 1" descr="更新基本面按钮&#10;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96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16" sqref="C16:C17"/>
    </sheetView>
  </sheetViews>
  <sheetFormatPr defaultRowHeight="14" x14ac:dyDescent="0.25"/>
  <cols>
    <col min="1" max="1" width="36.08984375" customWidth="1"/>
    <col min="2" max="2" width="39" customWidth="1"/>
    <col min="3" max="3" width="39.1796875" customWidth="1"/>
    <col min="9" max="9" width="13.1796875" customWidth="1"/>
    <col min="16" max="16" width="12.453125" customWidth="1"/>
    <col min="148" max="148" width="27.36328125" customWidth="1"/>
  </cols>
  <sheetData>
    <row r="1" spans="1:146" ht="28.5" customHeight="1" x14ac:dyDescent="0.25">
      <c r="A1" s="3" t="s">
        <v>341</v>
      </c>
      <c r="B1" s="4" t="s">
        <v>342</v>
      </c>
      <c r="C1" s="3" t="s">
        <v>343</v>
      </c>
      <c r="D1" t="s">
        <v>53</v>
      </c>
      <c r="E1" t="s">
        <v>60</v>
      </c>
      <c r="F1" t="s">
        <v>3</v>
      </c>
      <c r="G1" t="s">
        <v>54</v>
      </c>
      <c r="H1" t="s">
        <v>378</v>
      </c>
      <c r="I1" t="s">
        <v>6</v>
      </c>
      <c r="J1" t="s">
        <v>7</v>
      </c>
      <c r="K1" t="s">
        <v>4</v>
      </c>
      <c r="L1" t="s">
        <v>8</v>
      </c>
      <c r="M1" t="s">
        <v>9</v>
      </c>
      <c r="N1" t="s">
        <v>10</v>
      </c>
      <c r="O1" t="s">
        <v>11</v>
      </c>
      <c r="P1" t="s">
        <v>379</v>
      </c>
      <c r="Q1" t="s">
        <v>380</v>
      </c>
      <c r="R1" t="s">
        <v>61</v>
      </c>
      <c r="S1" t="s">
        <v>12</v>
      </c>
      <c r="T1" t="s">
        <v>381</v>
      </c>
      <c r="U1" t="s">
        <v>55</v>
      </c>
      <c r="V1" t="s">
        <v>13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14</v>
      </c>
      <c r="AF1" t="s">
        <v>15</v>
      </c>
      <c r="AG1" t="s">
        <v>390</v>
      </c>
      <c r="AH1" t="s">
        <v>391</v>
      </c>
      <c r="AI1" t="s">
        <v>392</v>
      </c>
      <c r="AJ1" t="s">
        <v>16</v>
      </c>
      <c r="AK1" t="s">
        <v>393</v>
      </c>
      <c r="AL1" t="s">
        <v>25</v>
      </c>
      <c r="AM1" t="s">
        <v>394</v>
      </c>
      <c r="AN1" t="s">
        <v>395</v>
      </c>
      <c r="AO1" t="s">
        <v>396</v>
      </c>
      <c r="AP1" t="s">
        <v>397</v>
      </c>
      <c r="AQ1" t="s">
        <v>398</v>
      </c>
      <c r="AR1" t="s">
        <v>399</v>
      </c>
      <c r="AS1" t="s">
        <v>400</v>
      </c>
      <c r="AT1" t="s">
        <v>401</v>
      </c>
      <c r="AU1" t="s">
        <v>402</v>
      </c>
      <c r="AV1" t="s">
        <v>403</v>
      </c>
      <c r="AW1" t="s">
        <v>404</v>
      </c>
      <c r="AX1" t="s">
        <v>405</v>
      </c>
      <c r="AY1" t="s">
        <v>406</v>
      </c>
      <c r="AZ1" t="s">
        <v>26</v>
      </c>
      <c r="BA1" t="s">
        <v>27</v>
      </c>
      <c r="BB1" t="s">
        <v>28</v>
      </c>
      <c r="BC1" t="s">
        <v>407</v>
      </c>
      <c r="BD1" t="s">
        <v>56</v>
      </c>
      <c r="BE1" t="s">
        <v>29</v>
      </c>
      <c r="BF1" t="s">
        <v>30</v>
      </c>
      <c r="BG1" t="s">
        <v>31</v>
      </c>
      <c r="BH1" t="s">
        <v>408</v>
      </c>
      <c r="BI1" t="s">
        <v>409</v>
      </c>
      <c r="BJ1" t="s">
        <v>410</v>
      </c>
      <c r="BK1" t="s">
        <v>411</v>
      </c>
      <c r="BL1" t="s">
        <v>412</v>
      </c>
      <c r="BM1" t="s">
        <v>413</v>
      </c>
      <c r="BN1" t="s">
        <v>414</v>
      </c>
      <c r="BO1" t="s">
        <v>62</v>
      </c>
      <c r="BP1" t="s">
        <v>57</v>
      </c>
      <c r="BQ1" t="s">
        <v>415</v>
      </c>
      <c r="BR1" t="s">
        <v>63</v>
      </c>
      <c r="BS1" t="s">
        <v>58</v>
      </c>
      <c r="BT1" t="s">
        <v>416</v>
      </c>
      <c r="BU1" t="s">
        <v>64</v>
      </c>
      <c r="BV1" t="s">
        <v>417</v>
      </c>
      <c r="BW1" t="s">
        <v>418</v>
      </c>
      <c r="BX1" t="s">
        <v>47</v>
      </c>
      <c r="BY1" t="s">
        <v>419</v>
      </c>
      <c r="BZ1" t="s">
        <v>420</v>
      </c>
      <c r="CA1" t="s">
        <v>48</v>
      </c>
      <c r="CB1" t="s">
        <v>421</v>
      </c>
      <c r="CC1" t="s">
        <v>422</v>
      </c>
      <c r="CD1" t="s">
        <v>423</v>
      </c>
      <c r="CE1" t="s">
        <v>424</v>
      </c>
      <c r="CF1" s="1" t="s">
        <v>65</v>
      </c>
      <c r="CG1" s="1" t="s">
        <v>66</v>
      </c>
      <c r="CH1" s="1" t="s">
        <v>34</v>
      </c>
      <c r="CI1" s="1" t="s">
        <v>35</v>
      </c>
      <c r="CJ1" s="1" t="s">
        <v>36</v>
      </c>
      <c r="CK1" s="1" t="s">
        <v>37</v>
      </c>
      <c r="CL1" s="1" t="s">
        <v>38</v>
      </c>
      <c r="CM1" s="1" t="s">
        <v>39</v>
      </c>
      <c r="CN1" s="1" t="s">
        <v>40</v>
      </c>
      <c r="CO1" s="1" t="s">
        <v>41</v>
      </c>
      <c r="CP1" s="1" t="s">
        <v>42</v>
      </c>
      <c r="CQ1" s="1" t="s">
        <v>43</v>
      </c>
      <c r="CR1" s="1" t="s">
        <v>425</v>
      </c>
      <c r="CS1" s="1" t="s">
        <v>426</v>
      </c>
      <c r="CT1" s="1" t="s">
        <v>427</v>
      </c>
      <c r="CU1" s="1" t="s">
        <v>428</v>
      </c>
      <c r="CV1" s="1" t="s">
        <v>429</v>
      </c>
      <c r="CW1" s="1" t="s">
        <v>430</v>
      </c>
      <c r="CX1">
        <v>1</v>
      </c>
      <c r="CY1" t="s">
        <v>431</v>
      </c>
      <c r="CZ1" t="s">
        <v>432</v>
      </c>
      <c r="DA1">
        <v>3</v>
      </c>
      <c r="DB1" t="s">
        <v>433</v>
      </c>
      <c r="DC1" t="s">
        <v>434</v>
      </c>
      <c r="DD1">
        <v>6</v>
      </c>
      <c r="DE1" t="s">
        <v>435</v>
      </c>
      <c r="DF1" t="s">
        <v>436</v>
      </c>
      <c r="DG1">
        <v>10</v>
      </c>
      <c r="DH1" t="s">
        <v>437</v>
      </c>
      <c r="DI1" t="s">
        <v>438</v>
      </c>
      <c r="DJ1">
        <v>20</v>
      </c>
      <c r="DK1" t="s">
        <v>439</v>
      </c>
      <c r="DL1" t="s">
        <v>44</v>
      </c>
      <c r="DM1" t="s">
        <v>45</v>
      </c>
      <c r="DN1" s="2" t="s">
        <v>46</v>
      </c>
      <c r="DO1" t="s">
        <v>440</v>
      </c>
      <c r="DP1" t="s">
        <v>441</v>
      </c>
      <c r="DQ1" s="9" t="s">
        <v>442</v>
      </c>
      <c r="DR1" s="1" t="s">
        <v>443</v>
      </c>
      <c r="DS1" s="1" t="s">
        <v>444</v>
      </c>
      <c r="DT1" t="s">
        <v>445</v>
      </c>
      <c r="DU1" t="s">
        <v>446</v>
      </c>
      <c r="DV1" t="s">
        <v>447</v>
      </c>
      <c r="DW1" t="s">
        <v>448</v>
      </c>
      <c r="DX1" t="s">
        <v>449</v>
      </c>
      <c r="DY1" t="s">
        <v>450</v>
      </c>
      <c r="DZ1" t="s">
        <v>451</v>
      </c>
      <c r="EA1" t="s">
        <v>452</v>
      </c>
      <c r="EB1" t="s">
        <v>453</v>
      </c>
      <c r="EC1" t="s">
        <v>454</v>
      </c>
      <c r="ED1" t="s">
        <v>455</v>
      </c>
      <c r="EE1" t="s">
        <v>456</v>
      </c>
      <c r="EF1" t="s">
        <v>457</v>
      </c>
      <c r="EG1" t="s">
        <v>458</v>
      </c>
      <c r="EH1" t="s">
        <v>459</v>
      </c>
      <c r="EI1" t="s">
        <v>460</v>
      </c>
      <c r="EK1" s="10" t="s">
        <v>461</v>
      </c>
      <c r="EL1" t="s">
        <v>462</v>
      </c>
      <c r="EM1" t="s">
        <v>463</v>
      </c>
      <c r="EN1" t="s">
        <v>464</v>
      </c>
      <c r="EO1" t="s">
        <v>465</v>
      </c>
      <c r="EP1" t="s">
        <v>466</v>
      </c>
    </row>
    <row r="2" spans="1:146" ht="108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市值36.582503亿, 利润-2.80亿; PE; 平均PE-6.41; 平均PEG-.1, PB2.96; ROIC0%; ROE-7.0533%; 股利率0%; 毛利22.0167%; 净利-52.6133%; 上一年度营收增445.37%, 利润增-359.15%; 当季营收增-93.86%, 利润增-16.5%; 过往5年营收增63.35%, 利润增-420.08%
Income profile:
</v>
      </c>
      <c r="D2" t="s">
        <v>90</v>
      </c>
      <c r="E2" t="s">
        <v>91</v>
      </c>
      <c r="F2">
        <v>5.1100000000000003</v>
      </c>
      <c r="G2">
        <v>0.59</v>
      </c>
      <c r="H2" t="s">
        <v>557</v>
      </c>
      <c r="I2">
        <v>3658250300</v>
      </c>
      <c r="K2">
        <v>2.96</v>
      </c>
      <c r="L2" t="s">
        <v>101</v>
      </c>
      <c r="M2" t="s">
        <v>531</v>
      </c>
      <c r="N2" t="s">
        <v>487</v>
      </c>
      <c r="O2" t="s">
        <v>558</v>
      </c>
      <c r="P2">
        <v>-93.84</v>
      </c>
      <c r="Q2" t="s">
        <v>204</v>
      </c>
      <c r="R2">
        <v>-13700994</v>
      </c>
      <c r="S2" s="5">
        <v>-0.16500000000000001</v>
      </c>
      <c r="T2" t="s">
        <v>559</v>
      </c>
      <c r="U2">
        <v>715465260</v>
      </c>
      <c r="V2">
        <v>715900260</v>
      </c>
      <c r="W2">
        <v>2.16</v>
      </c>
      <c r="X2">
        <v>0</v>
      </c>
      <c r="Y2">
        <v>-221.01</v>
      </c>
      <c r="Z2" t="s">
        <v>560</v>
      </c>
      <c r="AA2" t="s">
        <v>561</v>
      </c>
      <c r="AB2" t="s">
        <v>5</v>
      </c>
      <c r="AC2" t="s">
        <v>562</v>
      </c>
      <c r="AD2" t="s">
        <v>5</v>
      </c>
      <c r="AE2">
        <v>4514164</v>
      </c>
      <c r="AF2" t="s">
        <v>563</v>
      </c>
      <c r="AG2" t="s">
        <v>5</v>
      </c>
      <c r="AH2" t="s">
        <v>564</v>
      </c>
      <c r="AI2" t="s">
        <v>167</v>
      </c>
      <c r="AJ2" t="s">
        <v>565</v>
      </c>
      <c r="AK2" t="s">
        <v>5</v>
      </c>
      <c r="AL2" t="s">
        <v>566</v>
      </c>
      <c r="AM2" t="s">
        <v>5</v>
      </c>
      <c r="AN2">
        <v>0</v>
      </c>
      <c r="AO2" t="s">
        <v>222</v>
      </c>
      <c r="AP2" t="s">
        <v>5</v>
      </c>
      <c r="AQ2" t="s">
        <v>226</v>
      </c>
      <c r="AR2" t="s">
        <v>533</v>
      </c>
      <c r="AS2" t="s">
        <v>567</v>
      </c>
      <c r="AT2" t="s">
        <v>5</v>
      </c>
      <c r="AU2" t="s">
        <v>471</v>
      </c>
      <c r="AV2" t="s">
        <v>5</v>
      </c>
      <c r="AW2" t="s">
        <v>568</v>
      </c>
      <c r="AX2" t="s">
        <v>68</v>
      </c>
      <c r="AY2" t="s">
        <v>92</v>
      </c>
      <c r="AZ2" t="s">
        <v>94</v>
      </c>
      <c r="BA2" t="s">
        <v>95</v>
      </c>
      <c r="BB2" t="s">
        <v>96</v>
      </c>
      <c r="BC2" t="s">
        <v>569</v>
      </c>
      <c r="BD2" t="s">
        <v>93</v>
      </c>
      <c r="BE2" t="s">
        <v>98</v>
      </c>
      <c r="BF2" t="s">
        <v>99</v>
      </c>
      <c r="BG2" t="s">
        <v>88</v>
      </c>
      <c r="BH2" t="s">
        <v>204</v>
      </c>
      <c r="BI2" t="s">
        <v>182</v>
      </c>
      <c r="BJ2" t="s">
        <v>68</v>
      </c>
      <c r="BK2" t="s">
        <v>559</v>
      </c>
      <c r="BL2" t="s">
        <v>570</v>
      </c>
      <c r="BM2" t="s">
        <v>569</v>
      </c>
      <c r="BN2" t="s">
        <v>5</v>
      </c>
      <c r="BO2" t="s">
        <v>5</v>
      </c>
      <c r="BP2" t="s">
        <v>5</v>
      </c>
      <c r="BQ2">
        <v>-9.19</v>
      </c>
      <c r="BR2">
        <v>-3.91</v>
      </c>
      <c r="BS2">
        <v>-8.06</v>
      </c>
      <c r="BT2" t="s">
        <v>351</v>
      </c>
      <c r="BU2" t="s">
        <v>101</v>
      </c>
      <c r="BV2">
        <v>-9.91</v>
      </c>
      <c r="BW2">
        <v>28.75</v>
      </c>
      <c r="BX2">
        <v>47.21</v>
      </c>
      <c r="BY2">
        <v>-47.55</v>
      </c>
      <c r="BZ2">
        <v>-65.150000000000006</v>
      </c>
      <c r="CA2">
        <v>-45.14</v>
      </c>
      <c r="CB2">
        <v>-3.77</v>
      </c>
      <c r="CC2">
        <v>-7.26</v>
      </c>
      <c r="CD2" t="s">
        <v>571</v>
      </c>
      <c r="CE2" t="s">
        <v>134</v>
      </c>
      <c r="CF2" s="11">
        <v>-0.93861980198019801</v>
      </c>
      <c r="CG2" s="12">
        <v>-0.16502079028596209</v>
      </c>
      <c r="CH2" s="11">
        <v>4.4537038803100586</v>
      </c>
      <c r="CI2" s="11">
        <v>-0.63758391141891479</v>
      </c>
      <c r="CJ2" s="11">
        <v>-0.30046948790550232</v>
      </c>
      <c r="CK2" s="11">
        <v>-0.50175440311431885</v>
      </c>
      <c r="CL2" s="11">
        <v>0.15384615957736969</v>
      </c>
      <c r="CM2" s="12">
        <v>-3.5914738178253174</v>
      </c>
      <c r="CN2" s="12">
        <v>0.54148423671722412</v>
      </c>
      <c r="CO2" s="12">
        <v>0.82659715414047241</v>
      </c>
      <c r="CP2" s="12">
        <v>0.6673893928527832</v>
      </c>
      <c r="CQ2" s="12">
        <v>-19.447998046875</v>
      </c>
      <c r="CR2">
        <v>-6.4142645845130826</v>
      </c>
      <c r="CS2">
        <v>-0.10124347411674423</v>
      </c>
      <c r="CT2">
        <v>0</v>
      </c>
      <c r="CU2" s="11">
        <v>0.63354844748973849</v>
      </c>
      <c r="CV2" s="12">
        <v>-4.2008002161979672</v>
      </c>
      <c r="CW2">
        <v>0.06</v>
      </c>
      <c r="CX2" t="e">
        <v>#VALUE!</v>
      </c>
      <c r="CY2" t="s">
        <v>77</v>
      </c>
      <c r="CZ2">
        <v>0.63354844748973849</v>
      </c>
      <c r="DA2" t="e">
        <v>#VALUE!</v>
      </c>
      <c r="DB2" t="s">
        <v>78</v>
      </c>
      <c r="DC2">
        <v>0.60187102511525148</v>
      </c>
      <c r="DD2" t="e">
        <v>#VALUE!</v>
      </c>
      <c r="DE2" t="s">
        <v>78</v>
      </c>
      <c r="DF2">
        <v>0.55752263379096989</v>
      </c>
      <c r="DG2" t="e">
        <v>#VALUE!</v>
      </c>
      <c r="DH2" t="s">
        <v>78</v>
      </c>
      <c r="DI2">
        <v>0.50683875799179079</v>
      </c>
      <c r="DJ2" t="e">
        <v>#VALUE!</v>
      </c>
      <c r="DK2" t="s">
        <v>78</v>
      </c>
      <c r="DL2">
        <v>0.44348391324281689</v>
      </c>
      <c r="DM2">
        <v>-280000000</v>
      </c>
      <c r="DN2">
        <v>0.63354844748973849</v>
      </c>
      <c r="DO2">
        <v>3954250300</v>
      </c>
      <c r="DP2">
        <v>81889800</v>
      </c>
      <c r="DQ2">
        <v>295</v>
      </c>
      <c r="DR2">
        <v>-1.5721682494699365</v>
      </c>
      <c r="DS2">
        <v>4.035779425912005</v>
      </c>
      <c r="DT2" s="13">
        <v>-0.59000000000000008</v>
      </c>
      <c r="DU2">
        <v>-2.8650000000000002</v>
      </c>
      <c r="DV2">
        <v>-3.4550000000000001</v>
      </c>
      <c r="DW2">
        <v>-8.5192837465564732</v>
      </c>
      <c r="DX2">
        <v>0.42113644067796513</v>
      </c>
      <c r="DY2">
        <v>-8.0629041847597698</v>
      </c>
      <c r="DZ2">
        <v>5022</v>
      </c>
      <c r="EA2">
        <v>-8.0010832814596586</v>
      </c>
      <c r="EB2">
        <v>8</v>
      </c>
      <c r="EC2">
        <v>1.9966608197627977E-2</v>
      </c>
      <c r="ED2">
        <v>0.16482743001099065</v>
      </c>
      <c r="EE2" s="14">
        <v>3.03851</v>
      </c>
      <c r="EF2">
        <v>3.0422099999999999</v>
      </c>
      <c r="EG2">
        <v>30.121136440677965</v>
      </c>
      <c r="EH2" t="s">
        <v>355</v>
      </c>
      <c r="EI2">
        <v>0</v>
      </c>
      <c r="EJ2">
        <v>0</v>
      </c>
      <c r="EK2" s="10">
        <v>45470</v>
      </c>
      <c r="EL2" s="15">
        <v>0.54</v>
      </c>
      <c r="EM2" s="15">
        <v>-3.07</v>
      </c>
      <c r="EN2" s="15">
        <v>-1.49</v>
      </c>
      <c r="EO2" s="15">
        <v>1.89</v>
      </c>
      <c r="EP2" s="15">
        <v>-0.37</v>
      </c>
    </row>
    <row r="3" spans="1:146" ht="108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市值24.720708亿, 利润-3.97亿; PE; 平均PE-8.6; 平均PEG-8.02, PB2.18; ROIC0%; ROE-7.16%; 股利率0%; 毛利17.3767%; 净利-69.3167%; 上一年度营收增-43.62%, 利润增-2311.63%; 当季营收增32.41%, 利润增88.32%; 过往5年营收增-1.07%, 利润增-492.16%
Income profile:
</v>
      </c>
      <c r="D3" t="s">
        <v>102</v>
      </c>
      <c r="E3" t="s">
        <v>103</v>
      </c>
      <c r="F3">
        <v>2.52</v>
      </c>
      <c r="G3">
        <v>1.61</v>
      </c>
      <c r="H3" t="s">
        <v>572</v>
      </c>
      <c r="I3">
        <v>2472070800</v>
      </c>
      <c r="K3">
        <v>2.1800000000000002</v>
      </c>
      <c r="L3" t="s">
        <v>101</v>
      </c>
      <c r="M3" t="s">
        <v>573</v>
      </c>
      <c r="N3" t="s">
        <v>574</v>
      </c>
      <c r="O3" t="s">
        <v>575</v>
      </c>
      <c r="P3">
        <v>32.409999999999997</v>
      </c>
      <c r="Q3" t="s">
        <v>326</v>
      </c>
      <c r="R3">
        <v>14881834</v>
      </c>
      <c r="S3" s="5">
        <v>0.88319999999999999</v>
      </c>
      <c r="T3" t="s">
        <v>536</v>
      </c>
      <c r="U3">
        <v>706906010</v>
      </c>
      <c r="V3">
        <v>980980470</v>
      </c>
      <c r="W3">
        <v>1.64</v>
      </c>
      <c r="X3">
        <v>0.04</v>
      </c>
      <c r="Y3">
        <v>20.65</v>
      </c>
      <c r="Z3" t="s">
        <v>576</v>
      </c>
      <c r="AA3" t="s">
        <v>577</v>
      </c>
      <c r="AB3" t="s">
        <v>578</v>
      </c>
      <c r="AC3" t="s">
        <v>579</v>
      </c>
      <c r="AD3" t="s">
        <v>5</v>
      </c>
      <c r="AE3">
        <v>-675180</v>
      </c>
      <c r="AF3" t="s">
        <v>580</v>
      </c>
      <c r="AG3" t="s">
        <v>5</v>
      </c>
      <c r="AH3" t="s">
        <v>581</v>
      </c>
      <c r="AI3" t="s">
        <v>554</v>
      </c>
      <c r="AJ3" t="s">
        <v>582</v>
      </c>
      <c r="AK3" t="s">
        <v>5</v>
      </c>
      <c r="AL3" t="s">
        <v>583</v>
      </c>
      <c r="AM3" t="s">
        <v>5</v>
      </c>
      <c r="AN3">
        <v>0</v>
      </c>
      <c r="AO3" t="s">
        <v>584</v>
      </c>
      <c r="AP3" t="s">
        <v>5</v>
      </c>
      <c r="AQ3" t="s">
        <v>112</v>
      </c>
      <c r="AR3" t="s">
        <v>585</v>
      </c>
      <c r="AS3" t="s">
        <v>140</v>
      </c>
      <c r="AT3" t="s">
        <v>5</v>
      </c>
      <c r="AU3" t="s">
        <v>586</v>
      </c>
      <c r="AV3" t="s">
        <v>587</v>
      </c>
      <c r="AW3" t="s">
        <v>588</v>
      </c>
      <c r="AX3" t="s">
        <v>129</v>
      </c>
      <c r="AY3" t="s">
        <v>104</v>
      </c>
      <c r="AZ3" t="s">
        <v>106</v>
      </c>
      <c r="BA3" t="s">
        <v>107</v>
      </c>
      <c r="BB3" t="s">
        <v>86</v>
      </c>
      <c r="BC3" t="s">
        <v>357</v>
      </c>
      <c r="BD3" t="s">
        <v>105</v>
      </c>
      <c r="BE3" t="s">
        <v>108</v>
      </c>
      <c r="BF3" t="s">
        <v>109</v>
      </c>
      <c r="BG3" t="s">
        <v>110</v>
      </c>
      <c r="BH3" t="s">
        <v>326</v>
      </c>
      <c r="BI3" t="s">
        <v>589</v>
      </c>
      <c r="BJ3" t="s">
        <v>129</v>
      </c>
      <c r="BK3" t="s">
        <v>536</v>
      </c>
      <c r="BL3" t="s">
        <v>590</v>
      </c>
      <c r="BM3" t="s">
        <v>357</v>
      </c>
      <c r="BN3" t="s">
        <v>5</v>
      </c>
      <c r="BO3" t="s">
        <v>5</v>
      </c>
      <c r="BP3" t="s">
        <v>5</v>
      </c>
      <c r="BQ3">
        <v>-3.03</v>
      </c>
      <c r="BR3">
        <v>1.19</v>
      </c>
      <c r="BS3">
        <v>-19.64</v>
      </c>
      <c r="BT3" t="s">
        <v>351</v>
      </c>
      <c r="BU3" t="s">
        <v>101</v>
      </c>
      <c r="BV3">
        <v>30.67</v>
      </c>
      <c r="BW3">
        <v>-0.3</v>
      </c>
      <c r="BX3">
        <v>21.76</v>
      </c>
      <c r="BY3">
        <v>-121.92</v>
      </c>
      <c r="BZ3">
        <v>1.28</v>
      </c>
      <c r="CA3">
        <v>-87.31</v>
      </c>
      <c r="CB3">
        <v>0.8</v>
      </c>
      <c r="CC3">
        <v>-17.11</v>
      </c>
      <c r="CD3" t="s">
        <v>591</v>
      </c>
      <c r="CE3" t="s">
        <v>144</v>
      </c>
      <c r="CF3" s="11">
        <v>0.32413120724227412</v>
      </c>
      <c r="CG3" s="12">
        <v>0.88320434298440975</v>
      </c>
      <c r="CH3" s="11">
        <v>-0.43624159693717957</v>
      </c>
      <c r="CI3" s="11">
        <v>0.53608244657516479</v>
      </c>
      <c r="CJ3" s="11">
        <v>1.0972973108291626</v>
      </c>
      <c r="CK3" s="11">
        <v>-0.65740740299224854</v>
      </c>
      <c r="CL3" s="11">
        <v>-0.59337347745895386</v>
      </c>
      <c r="CM3" s="12">
        <v>-23.116250991821289</v>
      </c>
      <c r="CN3" s="12">
        <v>1.0537443161010742</v>
      </c>
      <c r="CO3" s="12">
        <v>0.57452231645584106</v>
      </c>
      <c r="CP3" s="12">
        <v>-0.42468240857124329</v>
      </c>
      <c r="CQ3" s="12">
        <v>-2.6953845024108887</v>
      </c>
      <c r="CR3">
        <v>-8.6032481435856756</v>
      </c>
      <c r="CS3">
        <v>-8.0190267627583136</v>
      </c>
      <c r="CT3">
        <v>0</v>
      </c>
      <c r="CU3" s="11">
        <v>-1.0728543996810913E-2</v>
      </c>
      <c r="CV3" s="12">
        <v>-4.921610254049301</v>
      </c>
      <c r="CW3">
        <v>0.06</v>
      </c>
      <c r="CX3" t="e">
        <v>#VALUE!</v>
      </c>
      <c r="CY3" t="s">
        <v>78</v>
      </c>
      <c r="CZ3">
        <v>-1.0728543996810913E-2</v>
      </c>
      <c r="DA3" t="e">
        <v>#VALUE!</v>
      </c>
      <c r="DB3" t="s">
        <v>78</v>
      </c>
      <c r="DC3">
        <v>-1.0192116796970368E-2</v>
      </c>
      <c r="DD3" t="e">
        <v>#VALUE!</v>
      </c>
      <c r="DE3" t="s">
        <v>78</v>
      </c>
      <c r="DF3">
        <v>-9.4411187171936032E-3</v>
      </c>
      <c r="DG3" t="e">
        <v>#VALUE!</v>
      </c>
      <c r="DH3" t="s">
        <v>78</v>
      </c>
      <c r="DI3">
        <v>-8.5828351974487314E-3</v>
      </c>
      <c r="DJ3" t="e">
        <v>#VALUE!</v>
      </c>
      <c r="DK3" t="s">
        <v>78</v>
      </c>
      <c r="DL3">
        <v>-7.5099807977676387E-3</v>
      </c>
      <c r="DM3">
        <v>-397000000</v>
      </c>
      <c r="DN3">
        <v>-1.0728543996810913E-2</v>
      </c>
      <c r="DO3">
        <v>2044070800</v>
      </c>
      <c r="DP3">
        <v>842957200</v>
      </c>
      <c r="DQ3">
        <v>349</v>
      </c>
      <c r="DR3">
        <v>0.33485975123908501</v>
      </c>
      <c r="DS3">
        <v>5.8048145970337108</v>
      </c>
      <c r="DT3" s="13">
        <v>-0.52333333333333332</v>
      </c>
      <c r="DU3">
        <v>-1.2833333333333334</v>
      </c>
      <c r="DV3">
        <v>-1.8066666666666666</v>
      </c>
      <c r="DW3">
        <v>-3.0125535714285716</v>
      </c>
      <c r="DX3">
        <v>0.37859901639344384</v>
      </c>
      <c r="DY3">
        <v>-3.0018654483665106</v>
      </c>
      <c r="DZ3">
        <v>4258</v>
      </c>
      <c r="EA3">
        <v>-3.0003110297472149</v>
      </c>
      <c r="EB3">
        <v>3</v>
      </c>
      <c r="EC3">
        <v>4.6201429473922154E-2</v>
      </c>
      <c r="ED3">
        <v>0.31091342725711962</v>
      </c>
      <c r="EE3" s="14">
        <v>-4.0136000000000003</v>
      </c>
      <c r="EF3">
        <v>-4.0175000000000001</v>
      </c>
      <c r="EG3">
        <v>23.148599016393444</v>
      </c>
      <c r="EH3" t="s">
        <v>551</v>
      </c>
      <c r="EI3">
        <v>0</v>
      </c>
      <c r="EJ3">
        <v>0</v>
      </c>
      <c r="EK3" s="10">
        <v>45470</v>
      </c>
      <c r="EL3" s="15">
        <v>0</v>
      </c>
      <c r="EM3" s="15">
        <v>-4.74</v>
      </c>
      <c r="EN3" s="15">
        <v>0</v>
      </c>
      <c r="EO3" s="15">
        <v>5.81</v>
      </c>
      <c r="EP3" s="15">
        <v>0.39</v>
      </c>
    </row>
    <row r="4" spans="1:146" ht="108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市值72.986958亿, 利润-5.53亿; PE; 平均PE86.8; 平均PEG221.84, PB1.18; ROIC5.09%; ROE.6333%; 股利率0%; 毛利30.5833%; 净利-8.9967%; 上一年度营收增-20.08%, 利润增-632.35%; 当季营收增-16.03%, 利润增105.14%; 过往5年营收增.39%, 利润增-136.63%
Income profile:
</v>
      </c>
      <c r="D4" t="s">
        <v>115</v>
      </c>
      <c r="E4" t="s">
        <v>116</v>
      </c>
      <c r="F4">
        <v>5.31</v>
      </c>
      <c r="G4">
        <v>2.5099999999999998</v>
      </c>
      <c r="H4" t="s">
        <v>592</v>
      </c>
      <c r="I4">
        <v>7298695800</v>
      </c>
      <c r="K4">
        <v>1.18</v>
      </c>
      <c r="L4" t="s">
        <v>101</v>
      </c>
      <c r="M4" t="s">
        <v>593</v>
      </c>
      <c r="N4" t="s">
        <v>594</v>
      </c>
      <c r="O4" t="s">
        <v>358</v>
      </c>
      <c r="P4">
        <v>-16.100000000000001</v>
      </c>
      <c r="Q4" t="s">
        <v>595</v>
      </c>
      <c r="R4">
        <v>5552035</v>
      </c>
      <c r="S4" s="5">
        <v>1.0509999999999999</v>
      </c>
      <c r="T4" t="s">
        <v>596</v>
      </c>
      <c r="U4">
        <v>1055178090</v>
      </c>
      <c r="V4">
        <v>1374519000</v>
      </c>
      <c r="W4">
        <v>2.48</v>
      </c>
      <c r="X4">
        <v>0.03</v>
      </c>
      <c r="Y4">
        <v>0.97</v>
      </c>
      <c r="Z4" t="s">
        <v>233</v>
      </c>
      <c r="AA4" t="s">
        <v>136</v>
      </c>
      <c r="AB4" t="s">
        <v>597</v>
      </c>
      <c r="AC4" t="s">
        <v>598</v>
      </c>
      <c r="AD4" t="s">
        <v>5</v>
      </c>
      <c r="AE4">
        <v>69445489</v>
      </c>
      <c r="AF4" t="s">
        <v>599</v>
      </c>
      <c r="AG4" t="s">
        <v>600</v>
      </c>
      <c r="AH4" t="s">
        <v>601</v>
      </c>
      <c r="AI4" t="s">
        <v>602</v>
      </c>
      <c r="AJ4" t="s">
        <v>603</v>
      </c>
      <c r="AK4" t="s">
        <v>5</v>
      </c>
      <c r="AL4" t="s">
        <v>604</v>
      </c>
      <c r="AM4" t="s">
        <v>5</v>
      </c>
      <c r="AN4" t="s">
        <v>605</v>
      </c>
      <c r="AO4" t="s">
        <v>606</v>
      </c>
      <c r="AP4" t="s">
        <v>5</v>
      </c>
      <c r="AQ4" t="s">
        <v>486</v>
      </c>
      <c r="AR4" t="s">
        <v>607</v>
      </c>
      <c r="AS4" t="s">
        <v>608</v>
      </c>
      <c r="AT4" t="s">
        <v>542</v>
      </c>
      <c r="AU4" t="s">
        <v>609</v>
      </c>
      <c r="AV4" t="s">
        <v>175</v>
      </c>
      <c r="AW4" t="s">
        <v>610</v>
      </c>
      <c r="AX4" t="s">
        <v>329</v>
      </c>
      <c r="AY4" t="s">
        <v>117</v>
      </c>
      <c r="AZ4" t="s">
        <v>119</v>
      </c>
      <c r="BA4" t="s">
        <v>120</v>
      </c>
      <c r="BB4" t="s">
        <v>121</v>
      </c>
      <c r="BC4" t="s">
        <v>611</v>
      </c>
      <c r="BD4" t="s">
        <v>118</v>
      </c>
      <c r="BE4" t="s">
        <v>122</v>
      </c>
      <c r="BF4" t="s">
        <v>23</v>
      </c>
      <c r="BG4" t="s">
        <v>123</v>
      </c>
      <c r="BH4" t="s">
        <v>595</v>
      </c>
      <c r="BI4" t="s">
        <v>473</v>
      </c>
      <c r="BJ4" t="s">
        <v>329</v>
      </c>
      <c r="BK4" t="s">
        <v>596</v>
      </c>
      <c r="BL4" t="s">
        <v>474</v>
      </c>
      <c r="BM4" t="s">
        <v>611</v>
      </c>
      <c r="BN4" t="s">
        <v>5</v>
      </c>
      <c r="BO4" t="s">
        <v>5</v>
      </c>
      <c r="BP4">
        <v>5.09</v>
      </c>
      <c r="BQ4">
        <v>-3.55</v>
      </c>
      <c r="BR4">
        <v>-1.21</v>
      </c>
      <c r="BS4">
        <v>6.66</v>
      </c>
      <c r="BT4" t="s">
        <v>351</v>
      </c>
      <c r="BU4" t="s">
        <v>101</v>
      </c>
      <c r="BV4">
        <v>15.98</v>
      </c>
      <c r="BW4">
        <v>35.74</v>
      </c>
      <c r="BX4">
        <v>40.03</v>
      </c>
      <c r="BY4">
        <v>-34.49</v>
      </c>
      <c r="BZ4">
        <v>-3.89</v>
      </c>
      <c r="CA4">
        <v>11.39</v>
      </c>
      <c r="CB4">
        <v>-1.85</v>
      </c>
      <c r="CC4">
        <v>-16.64</v>
      </c>
      <c r="CD4" t="s">
        <v>612</v>
      </c>
      <c r="CE4" t="s">
        <v>350</v>
      </c>
      <c r="CF4" s="11">
        <v>-0.16030534351145026</v>
      </c>
      <c r="CG4" s="12">
        <v>1.0514077314814816</v>
      </c>
      <c r="CH4" s="11">
        <v>-0.20079523324966431</v>
      </c>
      <c r="CI4" s="11">
        <v>-0.35595390200614929</v>
      </c>
      <c r="CJ4" s="11">
        <v>0.94037264585494995</v>
      </c>
      <c r="CK4" s="11">
        <v>-0.48331195116043091</v>
      </c>
      <c r="CL4" s="11">
        <v>0.11925287544727325</v>
      </c>
      <c r="CM4" s="12">
        <v>-6.3234753608703613</v>
      </c>
      <c r="CN4" s="12">
        <v>-1.2080181837081909</v>
      </c>
      <c r="CO4" s="12">
        <v>0.90052354335784912</v>
      </c>
      <c r="CP4" s="12">
        <v>-0.39365079998970032</v>
      </c>
      <c r="CQ4" s="12">
        <v>0.19318181276321411</v>
      </c>
      <c r="CR4">
        <v>86.804945356631862</v>
      </c>
      <c r="CS4">
        <v>221.84373293307493</v>
      </c>
      <c r="CT4">
        <v>0</v>
      </c>
      <c r="CU4" s="11">
        <v>3.9128869771957401E-3</v>
      </c>
      <c r="CV4" s="12">
        <v>-1.3662877976894379</v>
      </c>
      <c r="CW4">
        <v>0.06</v>
      </c>
      <c r="CX4" t="e">
        <v>#VALUE!</v>
      </c>
      <c r="CY4" t="s">
        <v>78</v>
      </c>
      <c r="CZ4">
        <v>3.9128869771957401E-3</v>
      </c>
      <c r="DA4" t="e">
        <v>#VALUE!</v>
      </c>
      <c r="DB4" t="s">
        <v>78</v>
      </c>
      <c r="DC4">
        <v>3.7172426283359531E-3</v>
      </c>
      <c r="DD4" t="e">
        <v>#VALUE!</v>
      </c>
      <c r="DE4" t="s">
        <v>78</v>
      </c>
      <c r="DF4">
        <v>3.4433405399322513E-3</v>
      </c>
      <c r="DG4" t="e">
        <v>#VALUE!</v>
      </c>
      <c r="DH4" t="s">
        <v>78</v>
      </c>
      <c r="DI4">
        <v>3.1303095817565921E-3</v>
      </c>
      <c r="DJ4" t="e">
        <v>#VALUE!</v>
      </c>
      <c r="DK4" t="s">
        <v>78</v>
      </c>
      <c r="DL4">
        <v>2.7390208840370181E-3</v>
      </c>
      <c r="DM4">
        <v>-553000000</v>
      </c>
      <c r="DN4">
        <v>3.9128869771957401E-3</v>
      </c>
      <c r="DO4">
        <v>10495695800</v>
      </c>
      <c r="DP4">
        <v>1996680600.0000005</v>
      </c>
      <c r="DQ4">
        <v>495</v>
      </c>
      <c r="DR4">
        <v>-0.16421823048864601</v>
      </c>
      <c r="DS4">
        <v>2.4176955291709197</v>
      </c>
      <c r="DT4" s="13">
        <v>-0.60666666666666669</v>
      </c>
      <c r="DU4">
        <v>-0.77666666666666673</v>
      </c>
      <c r="DV4">
        <v>-1.3833333333333333</v>
      </c>
      <c r="DW4">
        <v>-3.0072380952380953</v>
      </c>
      <c r="DX4">
        <v>0.40210856164383446</v>
      </c>
      <c r="DY4">
        <v>-3.0008838333985648</v>
      </c>
      <c r="DZ4">
        <v>3933</v>
      </c>
      <c r="EA4">
        <v>-3.0002035757162644</v>
      </c>
      <c r="EB4">
        <v>3</v>
      </c>
      <c r="EC4">
        <v>2.59404926377882E-2</v>
      </c>
      <c r="ED4">
        <v>0.21243795102141186</v>
      </c>
      <c r="EE4" s="14">
        <v>5.5110000000000006E-2</v>
      </c>
      <c r="EF4">
        <v>7.1309999999999998E-2</v>
      </c>
      <c r="EG4">
        <v>28.122108561643834</v>
      </c>
      <c r="EH4">
        <v>-1</v>
      </c>
      <c r="EI4">
        <v>0</v>
      </c>
      <c r="EJ4">
        <v>0</v>
      </c>
      <c r="EK4" s="10">
        <v>45470</v>
      </c>
      <c r="EL4" s="15">
        <v>-3.05</v>
      </c>
      <c r="EM4" s="15">
        <v>-4.37</v>
      </c>
      <c r="EN4" s="15">
        <v>-2.56</v>
      </c>
      <c r="EO4" s="15">
        <v>3.94</v>
      </c>
      <c r="EP4" s="15">
        <v>-1.62</v>
      </c>
    </row>
    <row r="5" spans="1:146" ht="108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市值87.539022亿, 利润9364.26万; PE68.68; 平均PE-21.4; 平均PEG-56.01, PB2.59; ROIC2.03%; ROE-5.5333%; 股利率0%; 毛利31.67%; 净利-6.3133%; 上一年度营收增3.09%, 利润增154.76%; 当季营收增7.97%, 利润增202.85%; 过往5年营收增-.38%, 利润增-29.31%
Income profile:
</v>
      </c>
      <c r="D5" t="s">
        <v>149</v>
      </c>
      <c r="E5" t="s">
        <v>150</v>
      </c>
      <c r="F5">
        <v>5.92</v>
      </c>
      <c r="G5">
        <v>0.85</v>
      </c>
      <c r="H5" t="s">
        <v>613</v>
      </c>
      <c r="I5">
        <v>8753902200</v>
      </c>
      <c r="J5">
        <v>68.680000000000007</v>
      </c>
      <c r="K5">
        <v>2.59</v>
      </c>
      <c r="L5" t="s">
        <v>101</v>
      </c>
      <c r="M5" t="s">
        <v>51</v>
      </c>
      <c r="N5" t="s">
        <v>614</v>
      </c>
      <c r="O5" t="s">
        <v>541</v>
      </c>
      <c r="P5">
        <v>7.98</v>
      </c>
      <c r="Q5" t="s">
        <v>615</v>
      </c>
      <c r="R5">
        <v>50497505</v>
      </c>
      <c r="S5" s="5">
        <v>2.0289999999999999</v>
      </c>
      <c r="T5" t="s">
        <v>616</v>
      </c>
      <c r="U5">
        <v>975296640</v>
      </c>
      <c r="V5">
        <v>1478699700</v>
      </c>
      <c r="W5">
        <v>1.42</v>
      </c>
      <c r="X5">
        <v>0.13</v>
      </c>
      <c r="Y5">
        <v>7.76</v>
      </c>
      <c r="Z5" t="s">
        <v>176</v>
      </c>
      <c r="AA5" t="s">
        <v>125</v>
      </c>
      <c r="AB5" t="s">
        <v>617</v>
      </c>
      <c r="AC5" t="s">
        <v>618</v>
      </c>
      <c r="AD5" t="s">
        <v>5</v>
      </c>
      <c r="AE5">
        <v>1860397</v>
      </c>
      <c r="AF5" t="s">
        <v>619</v>
      </c>
      <c r="AG5" t="s">
        <v>620</v>
      </c>
      <c r="AH5" t="s">
        <v>621</v>
      </c>
      <c r="AI5" t="s">
        <v>138</v>
      </c>
      <c r="AJ5" t="s">
        <v>622</v>
      </c>
      <c r="AK5" t="s">
        <v>5</v>
      </c>
      <c r="AL5" t="s">
        <v>623</v>
      </c>
      <c r="AM5" t="s">
        <v>5</v>
      </c>
      <c r="AN5">
        <v>0</v>
      </c>
      <c r="AO5" t="s">
        <v>624</v>
      </c>
      <c r="AP5" t="s">
        <v>5</v>
      </c>
      <c r="AQ5" t="s">
        <v>100</v>
      </c>
      <c r="AR5" t="s">
        <v>625</v>
      </c>
      <c r="AS5" t="s">
        <v>626</v>
      </c>
      <c r="AT5" t="s">
        <v>5</v>
      </c>
      <c r="AU5" t="s">
        <v>627</v>
      </c>
      <c r="AV5" t="s">
        <v>628</v>
      </c>
      <c r="AW5" t="s">
        <v>474</v>
      </c>
      <c r="AX5" t="s">
        <v>360</v>
      </c>
      <c r="AY5" t="s">
        <v>151</v>
      </c>
      <c r="AZ5" t="s">
        <v>155</v>
      </c>
      <c r="BA5" t="s">
        <v>156</v>
      </c>
      <c r="BB5" t="s">
        <v>157</v>
      </c>
      <c r="BC5" t="s">
        <v>270</v>
      </c>
      <c r="BD5" t="s">
        <v>489</v>
      </c>
      <c r="BE5" t="s">
        <v>490</v>
      </c>
      <c r="BF5" t="s">
        <v>72</v>
      </c>
      <c r="BG5" t="s">
        <v>491</v>
      </c>
      <c r="BH5" t="s">
        <v>615</v>
      </c>
      <c r="BI5" t="s">
        <v>33</v>
      </c>
      <c r="BJ5" t="s">
        <v>360</v>
      </c>
      <c r="BK5" t="s">
        <v>616</v>
      </c>
      <c r="BL5" t="s">
        <v>629</v>
      </c>
      <c r="BM5" t="s">
        <v>270</v>
      </c>
      <c r="BN5">
        <v>2.0299999999999998</v>
      </c>
      <c r="BO5" t="s">
        <v>5</v>
      </c>
      <c r="BP5" t="s">
        <v>5</v>
      </c>
      <c r="BQ5">
        <v>2.44</v>
      </c>
      <c r="BR5">
        <v>-5.37</v>
      </c>
      <c r="BS5">
        <v>-13.67</v>
      </c>
      <c r="BT5" t="s">
        <v>351</v>
      </c>
      <c r="BU5" t="s">
        <v>101</v>
      </c>
      <c r="BV5">
        <v>37.72</v>
      </c>
      <c r="BW5">
        <v>31.03</v>
      </c>
      <c r="BX5">
        <v>26.26</v>
      </c>
      <c r="BY5">
        <v>3.08</v>
      </c>
      <c r="BZ5">
        <v>-6.58</v>
      </c>
      <c r="CA5">
        <v>-15.44</v>
      </c>
      <c r="CB5">
        <v>-1</v>
      </c>
      <c r="CC5">
        <v>-12.04</v>
      </c>
      <c r="CD5" t="s">
        <v>630</v>
      </c>
      <c r="CE5" t="s">
        <v>478</v>
      </c>
      <c r="CF5" s="11">
        <v>7.9734219269102985E-2</v>
      </c>
      <c r="CG5" s="12">
        <v>2.0285359154127107</v>
      </c>
      <c r="CH5" s="11">
        <v>3.0861923471093178E-2</v>
      </c>
      <c r="CI5" s="11">
        <v>4.9167685210704803E-3</v>
      </c>
      <c r="CJ5" s="11">
        <v>0.11655405163764954</v>
      </c>
      <c r="CK5" s="11">
        <v>-0.13164651393890381</v>
      </c>
      <c r="CL5" s="11">
        <v>-3.9788708090782166E-2</v>
      </c>
      <c r="CM5" s="12">
        <v>1.5476175546646118</v>
      </c>
      <c r="CN5" s="12">
        <v>0.5899280309677124</v>
      </c>
      <c r="CO5" s="12">
        <v>7.3333330452442169E-2</v>
      </c>
      <c r="CP5" s="12">
        <v>-4.75</v>
      </c>
      <c r="CQ5" s="12">
        <v>1.0736196041107178</v>
      </c>
      <c r="CR5">
        <v>-21.400067162182655</v>
      </c>
      <c r="CS5">
        <v>-56.013849915739669</v>
      </c>
      <c r="CT5">
        <v>0</v>
      </c>
      <c r="CU5" s="11">
        <v>-3.820495679974556E-3</v>
      </c>
      <c r="CV5" s="12">
        <v>-0.29310029596090315</v>
      </c>
      <c r="CW5">
        <v>0.06</v>
      </c>
      <c r="CX5">
        <v>74.847368612148742</v>
      </c>
      <c r="CY5" t="s">
        <v>631</v>
      </c>
      <c r="CZ5">
        <v>-3.820495679974556E-3</v>
      </c>
      <c r="DA5">
        <v>24.949122870716248</v>
      </c>
      <c r="DB5" t="s">
        <v>632</v>
      </c>
      <c r="DC5">
        <v>-3.6294708959758279E-3</v>
      </c>
      <c r="DD5">
        <v>12.474561435358124</v>
      </c>
      <c r="DE5" t="s">
        <v>633</v>
      </c>
      <c r="DF5">
        <v>-3.3620361983776091E-3</v>
      </c>
      <c r="DG5">
        <v>7.4847368612148744</v>
      </c>
      <c r="DH5" t="s">
        <v>634</v>
      </c>
      <c r="DI5">
        <v>-3.056396543979645E-3</v>
      </c>
      <c r="DJ5">
        <v>3.7423684306074372</v>
      </c>
      <c r="DK5" t="s">
        <v>635</v>
      </c>
      <c r="DL5">
        <v>-2.6743469759821889E-3</v>
      </c>
      <c r="DM5">
        <v>93642600</v>
      </c>
      <c r="DN5">
        <v>-3.820495679974556E-3</v>
      </c>
      <c r="DO5">
        <v>7008902200</v>
      </c>
      <c r="DP5">
        <v>358436400</v>
      </c>
      <c r="DQ5">
        <v>799</v>
      </c>
      <c r="DR5">
        <v>8.3554714949077541E-2</v>
      </c>
      <c r="DS5">
        <v>2.321636211373614</v>
      </c>
      <c r="DT5" s="13">
        <v>-0.44</v>
      </c>
      <c r="DU5">
        <v>-0.35999999999999993</v>
      </c>
      <c r="DV5">
        <v>-0.79999999999999993</v>
      </c>
      <c r="DW5">
        <v>-2.1204000000000001</v>
      </c>
      <c r="DX5">
        <v>0.34902915579227822</v>
      </c>
      <c r="DY5">
        <v>-2.0131271103573902</v>
      </c>
      <c r="DZ5">
        <v>3342</v>
      </c>
      <c r="EA5">
        <v>-2.0045418260492887</v>
      </c>
      <c r="EB5">
        <v>2</v>
      </c>
      <c r="EC5">
        <v>5.5373582614509219E-2</v>
      </c>
      <c r="ED5">
        <v>0.50787864500141577</v>
      </c>
      <c r="EE5" s="14">
        <v>1.0215000000000001</v>
      </c>
      <c r="EF5">
        <v>1.0014099999999999</v>
      </c>
      <c r="EG5">
        <v>24.109029155792278</v>
      </c>
      <c r="EH5" t="s">
        <v>636</v>
      </c>
      <c r="EI5">
        <v>0</v>
      </c>
      <c r="EJ5">
        <v>0</v>
      </c>
      <c r="EK5" s="10">
        <v>45470</v>
      </c>
      <c r="EL5" s="15">
        <v>-0.65</v>
      </c>
      <c r="EM5" s="15">
        <v>-3.94</v>
      </c>
      <c r="EN5" s="15">
        <v>-1.2</v>
      </c>
      <c r="EO5" s="15">
        <v>5.88</v>
      </c>
      <c r="EP5" s="15">
        <v>-2.29</v>
      </c>
    </row>
    <row r="6" spans="1:146" ht="108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市值23.984959亿, 利润2762.78万; PE220.2; 平均PE-10.01; 平均PEG-.58, PB2.49; ROIC3.685%; ROE-5.1433%; 股利率0%; 毛利16.5433%; 净利-14.5933%; 上一年度营收增-1.07%, 利润增-43.89%; 当季营收增-98.3%, 利润增-133.72%; 过往5年营收增-17.35%, 利润增-17.52%
Income profile:
</v>
      </c>
      <c r="D6" t="s">
        <v>158</v>
      </c>
      <c r="E6" t="s">
        <v>159</v>
      </c>
      <c r="F6">
        <v>5.05</v>
      </c>
      <c r="G6">
        <v>2.02</v>
      </c>
      <c r="H6" t="s">
        <v>637</v>
      </c>
      <c r="I6">
        <v>2398495900</v>
      </c>
      <c r="J6">
        <v>220.2</v>
      </c>
      <c r="K6">
        <v>2.4900000000000002</v>
      </c>
      <c r="L6" t="s">
        <v>101</v>
      </c>
      <c r="M6" t="s">
        <v>638</v>
      </c>
      <c r="N6" t="s">
        <v>523</v>
      </c>
      <c r="O6" t="s">
        <v>639</v>
      </c>
      <c r="P6">
        <v>-98.3</v>
      </c>
      <c r="Q6" t="s">
        <v>188</v>
      </c>
      <c r="R6">
        <v>-4219995</v>
      </c>
      <c r="S6" s="5">
        <v>-1.337</v>
      </c>
      <c r="T6" t="s">
        <v>640</v>
      </c>
      <c r="U6">
        <v>474949690</v>
      </c>
      <c r="V6">
        <v>474949690</v>
      </c>
      <c r="W6">
        <v>1.27</v>
      </c>
      <c r="X6">
        <v>0</v>
      </c>
      <c r="Y6">
        <v>-105.16</v>
      </c>
      <c r="Z6" t="s">
        <v>641</v>
      </c>
      <c r="AA6" t="s">
        <v>642</v>
      </c>
      <c r="AB6" t="s">
        <v>643</v>
      </c>
      <c r="AC6" t="s">
        <v>644</v>
      </c>
      <c r="AD6" t="s">
        <v>5</v>
      </c>
      <c r="AE6">
        <v>-356641</v>
      </c>
      <c r="AF6" t="s">
        <v>162</v>
      </c>
      <c r="AG6" t="s">
        <v>645</v>
      </c>
      <c r="AH6" t="s">
        <v>646</v>
      </c>
      <c r="AI6" t="s">
        <v>647</v>
      </c>
      <c r="AJ6" t="s">
        <v>648</v>
      </c>
      <c r="AK6" t="s">
        <v>5</v>
      </c>
      <c r="AL6" t="s">
        <v>649</v>
      </c>
      <c r="AM6" t="s">
        <v>5</v>
      </c>
      <c r="AN6">
        <v>0</v>
      </c>
      <c r="AO6" t="s">
        <v>650</v>
      </c>
      <c r="AP6" t="s">
        <v>5</v>
      </c>
      <c r="AQ6" t="s">
        <v>20</v>
      </c>
      <c r="AR6" t="s">
        <v>651</v>
      </c>
      <c r="AS6" t="s">
        <v>123</v>
      </c>
      <c r="AT6" t="s">
        <v>5</v>
      </c>
      <c r="AU6" t="s">
        <v>652</v>
      </c>
      <c r="AV6" t="s">
        <v>653</v>
      </c>
      <c r="AW6" t="s">
        <v>654</v>
      </c>
      <c r="AX6" t="s">
        <v>361</v>
      </c>
      <c r="AY6" t="s">
        <v>160</v>
      </c>
      <c r="AZ6" t="s">
        <v>164</v>
      </c>
      <c r="BA6" t="s">
        <v>165</v>
      </c>
      <c r="BB6" t="s">
        <v>166</v>
      </c>
      <c r="BC6" t="s">
        <v>655</v>
      </c>
      <c r="BD6" t="s">
        <v>161</v>
      </c>
      <c r="BE6" t="s">
        <v>147</v>
      </c>
      <c r="BF6" t="s">
        <v>167</v>
      </c>
      <c r="BG6" t="s">
        <v>492</v>
      </c>
      <c r="BH6" t="s">
        <v>188</v>
      </c>
      <c r="BI6" t="s">
        <v>223</v>
      </c>
      <c r="BJ6" t="s">
        <v>361</v>
      </c>
      <c r="BK6" t="s">
        <v>640</v>
      </c>
      <c r="BL6" t="s">
        <v>656</v>
      </c>
      <c r="BM6" t="s">
        <v>655</v>
      </c>
      <c r="BN6">
        <v>2.1800000000000002</v>
      </c>
      <c r="BO6">
        <v>5.19</v>
      </c>
      <c r="BP6" t="s">
        <v>5</v>
      </c>
      <c r="BQ6">
        <v>2.5299999999999998</v>
      </c>
      <c r="BR6">
        <v>5.38</v>
      </c>
      <c r="BS6">
        <v>-23.34</v>
      </c>
      <c r="BT6" t="s">
        <v>351</v>
      </c>
      <c r="BU6" t="s">
        <v>101</v>
      </c>
      <c r="BV6">
        <v>7.85</v>
      </c>
      <c r="BW6">
        <v>22.96</v>
      </c>
      <c r="BX6">
        <v>18.82</v>
      </c>
      <c r="BY6">
        <v>5.93</v>
      </c>
      <c r="BZ6">
        <v>11.71</v>
      </c>
      <c r="CA6">
        <v>-61.42</v>
      </c>
      <c r="CB6">
        <v>-2.88</v>
      </c>
      <c r="CC6">
        <v>-26.17</v>
      </c>
      <c r="CD6" t="s">
        <v>657</v>
      </c>
      <c r="CE6" t="s">
        <v>273</v>
      </c>
      <c r="CF6" s="11">
        <v>-0.98299495798319325</v>
      </c>
      <c r="CG6" s="12">
        <v>-1.3372407758145333</v>
      </c>
      <c r="CH6" s="11">
        <v>-1.0729613713920116E-2</v>
      </c>
      <c r="CI6" s="11">
        <v>0.15061728656291962</v>
      </c>
      <c r="CJ6" s="11">
        <v>-0.39910978078842163</v>
      </c>
      <c r="CK6" s="11">
        <v>-0.42442360520362854</v>
      </c>
      <c r="CL6" s="11">
        <v>-0.18397212028503418</v>
      </c>
      <c r="CM6" s="12">
        <v>-0.43888473510742188</v>
      </c>
      <c r="CN6" s="12">
        <v>1.2104158401489258</v>
      </c>
      <c r="CO6" s="12">
        <v>0.33522728085517883</v>
      </c>
      <c r="CP6" s="12">
        <v>-3.1333334445953369</v>
      </c>
      <c r="CQ6" s="12">
        <v>1.1508227586746216</v>
      </c>
      <c r="CR6">
        <v>-10.006693669696771</v>
      </c>
      <c r="CS6">
        <v>-0.57667634782003396</v>
      </c>
      <c r="CT6">
        <v>0</v>
      </c>
      <c r="CU6" s="11">
        <v>-0.17352356668561697</v>
      </c>
      <c r="CV6" s="12">
        <v>-0.17515046000480652</v>
      </c>
      <c r="CW6">
        <v>0.06</v>
      </c>
      <c r="CX6" t="e">
        <v>#VALUE!</v>
      </c>
      <c r="CY6" t="s">
        <v>89</v>
      </c>
      <c r="CZ6">
        <v>-0.17352356668561697</v>
      </c>
      <c r="DA6">
        <v>20.203031005002209</v>
      </c>
      <c r="DB6" t="s">
        <v>658</v>
      </c>
      <c r="DC6">
        <v>-0.16484738835133611</v>
      </c>
      <c r="DD6">
        <v>10.101515502501105</v>
      </c>
      <c r="DE6" t="s">
        <v>659</v>
      </c>
      <c r="DF6">
        <v>-0.15270073868334294</v>
      </c>
      <c r="DG6">
        <v>6.0609093015006623</v>
      </c>
      <c r="DH6" t="s">
        <v>660</v>
      </c>
      <c r="DI6">
        <v>-0.13881885334849359</v>
      </c>
      <c r="DJ6">
        <v>3.0304546507503312</v>
      </c>
      <c r="DK6" t="s">
        <v>661</v>
      </c>
      <c r="DL6">
        <v>-0.12146649667993187</v>
      </c>
      <c r="DM6">
        <v>27627800.000000004</v>
      </c>
      <c r="DN6">
        <v>-0.17352356668561697</v>
      </c>
      <c r="DO6">
        <v>1674495900</v>
      </c>
      <c r="DP6">
        <v>667671920</v>
      </c>
      <c r="DQ6">
        <v>850</v>
      </c>
      <c r="DR6">
        <v>-0.80947139129757628</v>
      </c>
      <c r="DS6">
        <v>-1.1620903158097267</v>
      </c>
      <c r="DT6" s="13">
        <v>-0.64</v>
      </c>
      <c r="DU6">
        <v>-1.4983333333333333</v>
      </c>
      <c r="DV6">
        <v>-2.1383333333333332</v>
      </c>
      <c r="DW6">
        <v>-8.1100496752006119</v>
      </c>
      <c r="DX6">
        <v>0.35927852998065646</v>
      </c>
      <c r="DY6">
        <v>-8.0120260667307708</v>
      </c>
      <c r="DZ6">
        <v>4483</v>
      </c>
      <c r="EA6">
        <v>-8.0014756054481779</v>
      </c>
      <c r="EB6">
        <v>8</v>
      </c>
      <c r="EC6">
        <v>0.11895365170150969</v>
      </c>
      <c r="ED6">
        <v>1.0885363458180171</v>
      </c>
      <c r="EE6" s="14">
        <v>6.0281099999999999</v>
      </c>
      <c r="EF6">
        <v>6.0611100000000002</v>
      </c>
      <c r="EG6">
        <v>25.109278529980656</v>
      </c>
      <c r="EH6" t="s">
        <v>662</v>
      </c>
      <c r="EI6">
        <v>0</v>
      </c>
      <c r="EJ6">
        <v>0</v>
      </c>
      <c r="EK6" s="10">
        <v>45470</v>
      </c>
      <c r="EL6" s="15">
        <v>-1.1299999999999999</v>
      </c>
      <c r="EM6" s="15">
        <v>-4.5599999999999996</v>
      </c>
      <c r="EN6" s="15">
        <v>1.79</v>
      </c>
      <c r="EO6" s="15">
        <v>6.85</v>
      </c>
      <c r="EP6" s="15">
        <v>-3.3</v>
      </c>
    </row>
    <row r="7" spans="1:146" ht="108" x14ac:dyDescent="0.25">
      <c r="A7" s="7"/>
      <c r="B7" s="7"/>
      <c r="C7" s="16" t="str">
        <f>""&amp;CHAR(10)&amp;Basic_Fundamental_Information_Constructure(F7)&amp;CHAR(10)&amp;Basic_Fundamental_Information_Concatenate("")</f>
        <v xml:space="preserve">
市值341.50709亿, 利润-19.23亿; PE; 平均PE-21.35; 平均PEG-3.08, PB4.23; ROIC5.875%; ROE-18.32%; 股利率0%; 毛利14.9367%; 净利-33.84%; 上一年度营收增-22.38%, 利润增-1914.15%; 当季营收增60.94%, 利润增1341.56%; 过往5年营收增6.94%, 利润增-427.95%
Income profile:
</v>
      </c>
      <c r="D7" t="s">
        <v>190</v>
      </c>
      <c r="E7" t="s">
        <v>191</v>
      </c>
      <c r="F7">
        <v>15.67</v>
      </c>
      <c r="G7">
        <v>3.36</v>
      </c>
      <c r="H7" t="s">
        <v>114</v>
      </c>
      <c r="I7">
        <v>34150709000</v>
      </c>
      <c r="K7">
        <v>4.2300000000000004</v>
      </c>
      <c r="L7" t="s">
        <v>49</v>
      </c>
      <c r="M7" t="s">
        <v>496</v>
      </c>
      <c r="N7" t="s">
        <v>497</v>
      </c>
      <c r="O7" t="s">
        <v>498</v>
      </c>
      <c r="P7">
        <v>46.98</v>
      </c>
      <c r="Q7" t="s">
        <v>362</v>
      </c>
      <c r="R7">
        <v>1114948400</v>
      </c>
      <c r="S7" s="5">
        <v>3.0910000000000002</v>
      </c>
      <c r="T7" t="s">
        <v>363</v>
      </c>
      <c r="U7">
        <v>2107838700</v>
      </c>
      <c r="V7">
        <v>2179368800</v>
      </c>
      <c r="W7">
        <v>3.21</v>
      </c>
      <c r="X7">
        <v>0.43</v>
      </c>
      <c r="Y7">
        <v>9.94</v>
      </c>
      <c r="Z7" t="s">
        <v>499</v>
      </c>
      <c r="AA7" t="s">
        <v>500</v>
      </c>
      <c r="AB7" t="s">
        <v>481</v>
      </c>
      <c r="AC7" t="s">
        <v>480</v>
      </c>
      <c r="AD7" t="s">
        <v>501</v>
      </c>
      <c r="AE7">
        <v>602125730</v>
      </c>
      <c r="AF7" t="s">
        <v>502</v>
      </c>
      <c r="AG7" t="s">
        <v>503</v>
      </c>
      <c r="AH7" t="s">
        <v>504</v>
      </c>
      <c r="AI7" t="s">
        <v>505</v>
      </c>
      <c r="AJ7" t="s">
        <v>506</v>
      </c>
      <c r="AK7" t="s">
        <v>507</v>
      </c>
      <c r="AL7" t="s">
        <v>508</v>
      </c>
      <c r="AM7" t="s">
        <v>5</v>
      </c>
      <c r="AN7" t="s">
        <v>509</v>
      </c>
      <c r="AO7" t="s">
        <v>510</v>
      </c>
      <c r="AP7" t="s">
        <v>5</v>
      </c>
      <c r="AQ7" t="s">
        <v>511</v>
      </c>
      <c r="AR7" t="s">
        <v>59</v>
      </c>
      <c r="AS7" t="s">
        <v>512</v>
      </c>
      <c r="AT7" t="s">
        <v>513</v>
      </c>
      <c r="AU7" t="s">
        <v>514</v>
      </c>
      <c r="AV7" t="s">
        <v>515</v>
      </c>
      <c r="AW7" t="s">
        <v>516</v>
      </c>
      <c r="AX7" t="s">
        <v>192</v>
      </c>
      <c r="AY7" t="s">
        <v>193</v>
      </c>
      <c r="AZ7" t="s">
        <v>194</v>
      </c>
      <c r="BA7" t="s">
        <v>195</v>
      </c>
      <c r="BB7" t="s">
        <v>196</v>
      </c>
      <c r="BC7" t="s">
        <v>20</v>
      </c>
      <c r="BD7" t="s">
        <v>197</v>
      </c>
      <c r="BE7" t="s">
        <v>198</v>
      </c>
      <c r="BF7" t="s">
        <v>50</v>
      </c>
      <c r="BG7" t="s">
        <v>199</v>
      </c>
      <c r="BH7" t="s">
        <v>517</v>
      </c>
      <c r="BI7" t="s">
        <v>518</v>
      </c>
      <c r="BJ7" t="s">
        <v>476</v>
      </c>
      <c r="BK7" t="s">
        <v>291</v>
      </c>
      <c r="BL7" t="s">
        <v>519</v>
      </c>
      <c r="BM7" t="s">
        <v>477</v>
      </c>
      <c r="BN7">
        <v>3.76</v>
      </c>
      <c r="BO7">
        <v>7.99</v>
      </c>
      <c r="BP7" t="s">
        <v>5</v>
      </c>
      <c r="BQ7">
        <v>4.37</v>
      </c>
      <c r="BR7">
        <v>1.18</v>
      </c>
      <c r="BS7">
        <v>-60.51</v>
      </c>
      <c r="BT7" t="s">
        <v>351</v>
      </c>
      <c r="BU7" t="s">
        <v>101</v>
      </c>
      <c r="BV7">
        <v>28.26</v>
      </c>
      <c r="BW7">
        <v>27.15</v>
      </c>
      <c r="BX7">
        <v>-10.6</v>
      </c>
      <c r="BY7">
        <v>6.22</v>
      </c>
      <c r="BZ7">
        <v>0.93</v>
      </c>
      <c r="CA7">
        <v>-108.67</v>
      </c>
      <c r="CB7">
        <v>19.8</v>
      </c>
      <c r="CC7">
        <v>30.91</v>
      </c>
      <c r="CD7" t="s">
        <v>549</v>
      </c>
      <c r="CE7" t="s">
        <v>553</v>
      </c>
      <c r="CF7" s="11">
        <v>0.60941430111390638</v>
      </c>
      <c r="CG7" s="12">
        <v>13.415591666666666</v>
      </c>
      <c r="CH7" s="11">
        <v>-0.22377908229827881</v>
      </c>
      <c r="CI7" s="11">
        <v>0.98411440849304199</v>
      </c>
      <c r="CJ7" s="11">
        <v>-0.59216064214706421</v>
      </c>
      <c r="CK7" s="11">
        <v>-5.2311643958091736E-2</v>
      </c>
      <c r="CL7" s="11">
        <v>0.23115880787372589</v>
      </c>
      <c r="CM7" s="12">
        <v>-19.141510009765625</v>
      </c>
      <c r="CN7" s="12">
        <v>1.0158944129943848</v>
      </c>
      <c r="CO7" s="12">
        <v>-0.41023477911949158</v>
      </c>
      <c r="CP7" s="12">
        <v>-3.2486922740936279</v>
      </c>
      <c r="CQ7" s="12">
        <v>0.38720321655273438</v>
      </c>
      <c r="CR7">
        <v>-21.353090245935807</v>
      </c>
      <c r="CS7">
        <v>-3.0766204449744046</v>
      </c>
      <c r="CT7">
        <v>0</v>
      </c>
      <c r="CU7" s="11">
        <v>6.9404369592666632E-2</v>
      </c>
      <c r="CV7" s="12">
        <v>-4.2794678866863247</v>
      </c>
      <c r="CW7">
        <v>0.06</v>
      </c>
      <c r="CX7" t="e">
        <v>#VALUE!</v>
      </c>
      <c r="CY7" t="s">
        <v>78</v>
      </c>
      <c r="CZ7">
        <v>6.9404369592666632E-2</v>
      </c>
      <c r="DA7" t="e">
        <v>#VALUE!</v>
      </c>
      <c r="DB7" t="s">
        <v>78</v>
      </c>
      <c r="DC7">
        <v>6.5934151113033301E-2</v>
      </c>
      <c r="DD7" t="e">
        <v>#VALUE!</v>
      </c>
      <c r="DE7" t="s">
        <v>78</v>
      </c>
      <c r="DF7">
        <v>6.1075845241546634E-2</v>
      </c>
      <c r="DG7" t="e">
        <v>#VALUE!</v>
      </c>
      <c r="DH7" t="s">
        <v>78</v>
      </c>
      <c r="DI7">
        <v>5.5523495674133311E-2</v>
      </c>
      <c r="DJ7" t="e">
        <v>#VALUE!</v>
      </c>
      <c r="DK7" t="s">
        <v>78</v>
      </c>
      <c r="DL7">
        <v>4.8583058714866637E-2</v>
      </c>
      <c r="DM7">
        <v>-1923000000</v>
      </c>
      <c r="DN7">
        <v>6.9404369592666632E-2</v>
      </c>
      <c r="DO7">
        <v>44080709000</v>
      </c>
      <c r="DP7">
        <v>615106099.99999905</v>
      </c>
      <c r="DQ7">
        <v>1230</v>
      </c>
      <c r="DR7">
        <v>0.54000993152123977</v>
      </c>
      <c r="DS7">
        <v>17.695059553352991</v>
      </c>
      <c r="DT7" s="13">
        <v>-0.34</v>
      </c>
      <c r="DU7">
        <v>-0.95000000000000018</v>
      </c>
      <c r="DV7">
        <v>-1.2900000000000003</v>
      </c>
      <c r="DW7">
        <v>9.6405693950177938</v>
      </c>
      <c r="DX7">
        <v>0.72410957126665743</v>
      </c>
      <c r="DY7">
        <v>9.1948032840854026</v>
      </c>
      <c r="DZ7">
        <v>4078</v>
      </c>
      <c r="EA7">
        <v>9.0395545460552533</v>
      </c>
      <c r="EB7">
        <v>9</v>
      </c>
      <c r="EC7">
        <v>0.15279653448282823</v>
      </c>
      <c r="ED7">
        <v>0.50243905483092166</v>
      </c>
      <c r="EE7" s="14">
        <v>2.0924999999999998</v>
      </c>
      <c r="EF7">
        <v>2.1261000000000001</v>
      </c>
      <c r="EG7">
        <v>42.304109571266657</v>
      </c>
      <c r="EH7" t="s">
        <v>353</v>
      </c>
      <c r="EI7">
        <v>1</v>
      </c>
      <c r="EJ7">
        <v>0</v>
      </c>
      <c r="EK7" s="10">
        <v>45370</v>
      </c>
      <c r="EL7" s="15">
        <v>1.53</v>
      </c>
      <c r="EM7" s="15">
        <v>1.28</v>
      </c>
      <c r="EN7" s="15">
        <v>2.97</v>
      </c>
      <c r="EO7" s="15">
        <v>9.4600000000000009</v>
      </c>
      <c r="EP7" s="15">
        <v>3.36</v>
      </c>
    </row>
    <row r="8" spans="1:146" ht="108" x14ac:dyDescent="0.25">
      <c r="A8" s="7"/>
      <c r="B8" s="7"/>
      <c r="C8" s="16" t="str">
        <f>""&amp;CHAR(10)&amp;Basic_Fundamental_Information_Constructure(F8)&amp;CHAR(10)&amp;Basic_Fundamental_Information_Concatenate("")</f>
        <v xml:space="preserve">
市值23.181312亿, 利润1334.81万; PE213.5; 平均PE-14.42; 平均PEG-.85, PB13.29; ROIC22.51%; ROE-32.9467%; 股利率0%; 毛利8.48%; 净利-23.2267%; 上一年度营收增59.58%, 利润增103.5%; 当季营收增-3.41%, 利润增-12.18%; 过往5年营收增17.01%, 利润增-95.81%
Income profile:
</v>
      </c>
      <c r="D8" t="s">
        <v>200</v>
      </c>
      <c r="E8" t="s">
        <v>201</v>
      </c>
      <c r="F8">
        <v>6.16</v>
      </c>
      <c r="G8">
        <v>1.32</v>
      </c>
      <c r="H8" t="s">
        <v>663</v>
      </c>
      <c r="I8">
        <v>2318131200</v>
      </c>
      <c r="J8">
        <v>213.5</v>
      </c>
      <c r="K8">
        <v>13.29</v>
      </c>
      <c r="L8" t="s">
        <v>101</v>
      </c>
      <c r="M8" t="s">
        <v>664</v>
      </c>
      <c r="N8" t="s">
        <v>163</v>
      </c>
      <c r="O8" t="s">
        <v>347</v>
      </c>
      <c r="P8">
        <v>-3.21</v>
      </c>
      <c r="Q8" t="s">
        <v>665</v>
      </c>
      <c r="R8">
        <v>17946942</v>
      </c>
      <c r="S8" s="5">
        <v>-0.12180000000000001</v>
      </c>
      <c r="T8" t="s">
        <v>666</v>
      </c>
      <c r="U8">
        <v>349440000</v>
      </c>
      <c r="V8">
        <v>376320000</v>
      </c>
      <c r="W8">
        <v>20.9</v>
      </c>
      <c r="X8">
        <v>0.09</v>
      </c>
      <c r="Y8">
        <v>4.92</v>
      </c>
      <c r="Z8" t="s">
        <v>525</v>
      </c>
      <c r="AA8" t="s">
        <v>128</v>
      </c>
      <c r="AB8" t="s">
        <v>667</v>
      </c>
      <c r="AC8" t="s">
        <v>668</v>
      </c>
      <c r="AD8" t="s">
        <v>5</v>
      </c>
      <c r="AE8">
        <v>35881852</v>
      </c>
      <c r="AF8" t="s">
        <v>669</v>
      </c>
      <c r="AG8" t="s">
        <v>670</v>
      </c>
      <c r="AH8" t="s">
        <v>671</v>
      </c>
      <c r="AI8" t="s">
        <v>672</v>
      </c>
      <c r="AJ8" t="s">
        <v>673</v>
      </c>
      <c r="AK8" t="s">
        <v>5</v>
      </c>
      <c r="AL8" t="s">
        <v>674</v>
      </c>
      <c r="AM8" t="s">
        <v>5</v>
      </c>
      <c r="AN8" t="s">
        <v>675</v>
      </c>
      <c r="AO8" t="s">
        <v>676</v>
      </c>
      <c r="AP8" t="s">
        <v>677</v>
      </c>
      <c r="AQ8" t="s">
        <v>75</v>
      </c>
      <c r="AR8" t="s">
        <v>5</v>
      </c>
      <c r="AS8" t="s">
        <v>535</v>
      </c>
      <c r="AT8" t="s">
        <v>5</v>
      </c>
      <c r="AU8" t="s">
        <v>678</v>
      </c>
      <c r="AV8" t="s">
        <v>679</v>
      </c>
      <c r="AW8" t="s">
        <v>680</v>
      </c>
      <c r="AX8" t="s">
        <v>169</v>
      </c>
      <c r="AY8" t="s">
        <v>202</v>
      </c>
      <c r="AZ8" t="s">
        <v>204</v>
      </c>
      <c r="BA8" t="s">
        <v>205</v>
      </c>
      <c r="BB8" t="s">
        <v>206</v>
      </c>
      <c r="BC8" t="s">
        <v>364</v>
      </c>
      <c r="BD8" t="s">
        <v>203</v>
      </c>
      <c r="BE8" t="s">
        <v>207</v>
      </c>
      <c r="BF8" t="s">
        <v>170</v>
      </c>
      <c r="BG8" t="s">
        <v>81</v>
      </c>
      <c r="BH8" t="s">
        <v>665</v>
      </c>
      <c r="BI8" t="s">
        <v>132</v>
      </c>
      <c r="BJ8" t="s">
        <v>169</v>
      </c>
      <c r="BK8" t="s">
        <v>666</v>
      </c>
      <c r="BL8" t="s">
        <v>681</v>
      </c>
      <c r="BM8" t="s">
        <v>364</v>
      </c>
      <c r="BN8">
        <v>22.51</v>
      </c>
      <c r="BO8" t="s">
        <v>5</v>
      </c>
      <c r="BP8" t="s">
        <v>5</v>
      </c>
      <c r="BQ8">
        <v>46.4</v>
      </c>
      <c r="BR8">
        <v>-117.67</v>
      </c>
      <c r="BS8">
        <v>-27.57</v>
      </c>
      <c r="BT8" t="s">
        <v>351</v>
      </c>
      <c r="BU8" t="s">
        <v>101</v>
      </c>
      <c r="BV8">
        <v>24.18</v>
      </c>
      <c r="BW8">
        <v>-8.58</v>
      </c>
      <c r="BX8">
        <v>9.84</v>
      </c>
      <c r="BY8">
        <v>0.99</v>
      </c>
      <c r="BZ8">
        <v>-44.79</v>
      </c>
      <c r="CA8">
        <v>-25.88</v>
      </c>
      <c r="CB8">
        <v>-0.65</v>
      </c>
      <c r="CC8">
        <v>-14.09</v>
      </c>
      <c r="CD8" t="s">
        <v>682</v>
      </c>
      <c r="CE8" t="s">
        <v>172</v>
      </c>
      <c r="CF8" s="11">
        <v>-3.4120734908136482E-2</v>
      </c>
      <c r="CG8" s="12">
        <v>-0.12176332994049484</v>
      </c>
      <c r="CH8" s="11">
        <v>0.59579437971115112</v>
      </c>
      <c r="CI8" s="11">
        <v>-0.37151247262954712</v>
      </c>
      <c r="CJ8" s="11">
        <v>1.3123939037322998</v>
      </c>
      <c r="CK8" s="11">
        <v>-0.71532136201858521</v>
      </c>
      <c r="CL8" s="11">
        <v>2.9353266581892967E-2</v>
      </c>
      <c r="CM8" s="12">
        <v>1.0350344181060791</v>
      </c>
      <c r="CN8" s="12">
        <v>-7.0224717259407043E-2</v>
      </c>
      <c r="CO8" s="12">
        <v>0.29644268751144409</v>
      </c>
      <c r="CP8" s="12">
        <v>-5.7289719581604004</v>
      </c>
      <c r="CQ8" s="12">
        <v>-0.32278481125831604</v>
      </c>
      <c r="CR8">
        <v>-14.418452086187775</v>
      </c>
      <c r="CS8">
        <v>-0.84743865757668024</v>
      </c>
      <c r="CT8">
        <v>0</v>
      </c>
      <c r="CU8" s="11">
        <v>0.17014154307544233</v>
      </c>
      <c r="CV8" s="12">
        <v>-0.95810087621212003</v>
      </c>
      <c r="CW8">
        <v>0.06</v>
      </c>
      <c r="CX8">
        <v>407.87958441191711</v>
      </c>
      <c r="CY8">
        <v>14735062.576533312</v>
      </c>
      <c r="CZ8">
        <v>0.17014154307544233</v>
      </c>
      <c r="DA8">
        <v>124.62445471736173</v>
      </c>
      <c r="DB8">
        <v>48225937.787495203</v>
      </c>
      <c r="DC8">
        <v>0.16163446592167019</v>
      </c>
      <c r="DD8">
        <v>55.928413255303958</v>
      </c>
      <c r="DE8">
        <v>107461142.73910731</v>
      </c>
      <c r="DF8">
        <v>0.14972455790638925</v>
      </c>
      <c r="DG8">
        <v>30.147271745872107</v>
      </c>
      <c r="DH8">
        <v>199359041.52994981</v>
      </c>
      <c r="DI8">
        <v>0.13611323446035387</v>
      </c>
      <c r="DJ8">
        <v>12.133284059371288</v>
      </c>
      <c r="DK8">
        <v>495342495.12257999</v>
      </c>
      <c r="DL8">
        <v>0.11909908015280962</v>
      </c>
      <c r="DM8">
        <v>13348100</v>
      </c>
      <c r="DN8">
        <v>0.17014154307544233</v>
      </c>
      <c r="DO8">
        <v>6010131200</v>
      </c>
      <c r="DP8">
        <v>-336736980</v>
      </c>
      <c r="DQ8">
        <v>1370</v>
      </c>
      <c r="DR8">
        <v>-0.20426227798357882</v>
      </c>
      <c r="DS8">
        <v>0.83633754627162515</v>
      </c>
      <c r="DT8" s="13">
        <v>-0.38999999999999996</v>
      </c>
      <c r="DU8">
        <v>-1.5566666666666666</v>
      </c>
      <c r="DV8">
        <v>-1.9466666666666665</v>
      </c>
      <c r="DW8">
        <v>-2.1408999999999998</v>
      </c>
      <c r="DX8">
        <v>0.3381951219512207</v>
      </c>
      <c r="DY8">
        <v>-2.0166536926829268</v>
      </c>
      <c r="DZ8">
        <v>4347</v>
      </c>
      <c r="EA8">
        <v>-2.0024866472636149</v>
      </c>
      <c r="EB8">
        <v>2</v>
      </c>
      <c r="EC8">
        <v>3.8632015306122446E-2</v>
      </c>
      <c r="ED8">
        <v>0.32684948979591838</v>
      </c>
      <c r="EE8" s="14">
        <v>-3.0678100000000001</v>
      </c>
      <c r="EF8">
        <v>-3.0742099999999999</v>
      </c>
      <c r="EG8">
        <v>22.118195121951221</v>
      </c>
      <c r="EH8" t="s">
        <v>552</v>
      </c>
      <c r="EI8">
        <v>0</v>
      </c>
      <c r="EJ8">
        <v>0</v>
      </c>
      <c r="EK8" s="10">
        <v>45470</v>
      </c>
      <c r="EL8" s="15">
        <v>-0.48</v>
      </c>
      <c r="EM8" s="15">
        <v>-5.64</v>
      </c>
      <c r="EN8" s="15">
        <v>1.02</v>
      </c>
      <c r="EO8" s="15">
        <v>5.91</v>
      </c>
      <c r="EP8" s="15">
        <v>-0.64</v>
      </c>
    </row>
    <row r="9" spans="1:146" ht="108" x14ac:dyDescent="0.25">
      <c r="A9" s="7"/>
      <c r="B9" s="7"/>
      <c r="C9" s="16" t="str">
        <f>""&amp;CHAR(10)&amp;Basic_Fundamental_Information_Constructure(F9)&amp;CHAR(10)&amp;Basic_Fundamental_Information_Concatenate("")</f>
        <v xml:space="preserve">
市值46.88915亿, 利润-5.39亿; PE; 平均PE-3.53; 平均PEG-.2, PB7.18; ROIC0%; ROE-28.9367%; 股利率0%; 毛利20.5767%; 净利-113.83%; 上一年度营收增65.67%, 利润增45.06%; 当季营收增-59.14%, 利润增-76.76%; 过往5年营收增-17.33%, 利润增-68.77%
Income profile:
</v>
      </c>
      <c r="D9" t="s">
        <v>209</v>
      </c>
      <c r="E9" t="s">
        <v>210</v>
      </c>
      <c r="F9">
        <v>1.69</v>
      </c>
      <c r="G9">
        <v>3.68</v>
      </c>
      <c r="H9" t="s">
        <v>683</v>
      </c>
      <c r="I9">
        <v>4688915000</v>
      </c>
      <c r="K9">
        <v>7.18</v>
      </c>
      <c r="L9" t="s">
        <v>101</v>
      </c>
      <c r="M9" t="s">
        <v>374</v>
      </c>
      <c r="N9" t="s">
        <v>344</v>
      </c>
      <c r="O9" t="s">
        <v>684</v>
      </c>
      <c r="P9">
        <v>-59.2</v>
      </c>
      <c r="Q9" t="s">
        <v>685</v>
      </c>
      <c r="R9">
        <v>-18559977</v>
      </c>
      <c r="S9" s="5">
        <v>-0.76759999999999995</v>
      </c>
      <c r="T9" t="s">
        <v>686</v>
      </c>
      <c r="U9">
        <v>2484745500</v>
      </c>
      <c r="V9">
        <v>2774505900</v>
      </c>
      <c r="W9">
        <v>4.95</v>
      </c>
      <c r="X9">
        <v>0.02</v>
      </c>
      <c r="Y9">
        <v>-20.329999999999998</v>
      </c>
      <c r="Z9" t="s">
        <v>269</v>
      </c>
      <c r="AA9" t="s">
        <v>687</v>
      </c>
      <c r="AB9" t="s">
        <v>688</v>
      </c>
      <c r="AC9" t="s">
        <v>689</v>
      </c>
      <c r="AD9" t="s">
        <v>5</v>
      </c>
      <c r="AE9">
        <v>21716456</v>
      </c>
      <c r="AF9" t="s">
        <v>690</v>
      </c>
      <c r="AG9" t="s">
        <v>691</v>
      </c>
      <c r="AH9" t="s">
        <v>692</v>
      </c>
      <c r="AI9" t="s">
        <v>638</v>
      </c>
      <c r="AJ9" t="s">
        <v>693</v>
      </c>
      <c r="AK9" t="s">
        <v>5</v>
      </c>
      <c r="AL9" t="s">
        <v>694</v>
      </c>
      <c r="AM9" t="s">
        <v>5</v>
      </c>
      <c r="AN9">
        <v>0</v>
      </c>
      <c r="AO9" t="s">
        <v>85</v>
      </c>
      <c r="AP9" t="s">
        <v>5</v>
      </c>
      <c r="AQ9" t="s">
        <v>146</v>
      </c>
      <c r="AR9" t="s">
        <v>695</v>
      </c>
      <c r="AS9" t="s">
        <v>696</v>
      </c>
      <c r="AT9" t="s">
        <v>80</v>
      </c>
      <c r="AU9" t="s">
        <v>697</v>
      </c>
      <c r="AV9" t="s">
        <v>698</v>
      </c>
      <c r="AW9" t="s">
        <v>528</v>
      </c>
      <c r="AX9" t="s">
        <v>255</v>
      </c>
      <c r="AY9" t="s">
        <v>211</v>
      </c>
      <c r="AZ9" t="s">
        <v>213</v>
      </c>
      <c r="BA9" t="s">
        <v>214</v>
      </c>
      <c r="BB9" t="s">
        <v>215</v>
      </c>
      <c r="BC9" t="s">
        <v>699</v>
      </c>
      <c r="BD9" t="s">
        <v>212</v>
      </c>
      <c r="BE9" t="s">
        <v>216</v>
      </c>
      <c r="BF9" t="s">
        <v>217</v>
      </c>
      <c r="BG9" t="s">
        <v>218</v>
      </c>
      <c r="BH9" t="s">
        <v>685</v>
      </c>
      <c r="BI9" t="s">
        <v>113</v>
      </c>
      <c r="BJ9" t="s">
        <v>255</v>
      </c>
      <c r="BK9" t="s">
        <v>686</v>
      </c>
      <c r="BL9" t="s">
        <v>700</v>
      </c>
      <c r="BM9" t="s">
        <v>699</v>
      </c>
      <c r="BN9" t="s">
        <v>5</v>
      </c>
      <c r="BO9" t="s">
        <v>5</v>
      </c>
      <c r="BP9" t="s">
        <v>5</v>
      </c>
      <c r="BQ9">
        <v>-24.99</v>
      </c>
      <c r="BR9">
        <v>-53.46</v>
      </c>
      <c r="BS9">
        <v>-8.36</v>
      </c>
      <c r="BT9" t="s">
        <v>351</v>
      </c>
      <c r="BU9" t="s">
        <v>101</v>
      </c>
      <c r="BV9">
        <v>34.22</v>
      </c>
      <c r="BW9">
        <v>-7.3</v>
      </c>
      <c r="BX9">
        <v>34.81</v>
      </c>
      <c r="BY9">
        <v>-78.650000000000006</v>
      </c>
      <c r="BZ9">
        <v>-246.69</v>
      </c>
      <c r="CA9">
        <v>-16.149999999999999</v>
      </c>
      <c r="CB9">
        <v>1.81</v>
      </c>
      <c r="CC9">
        <v>-11.98</v>
      </c>
      <c r="CD9" t="s">
        <v>17</v>
      </c>
      <c r="CE9" t="s">
        <v>52</v>
      </c>
      <c r="CF9" s="11">
        <v>-0.59135193133047215</v>
      </c>
      <c r="CG9" s="12">
        <v>-0.76763369174944518</v>
      </c>
      <c r="CH9" s="11">
        <v>0.65671640634536743</v>
      </c>
      <c r="CI9" s="11">
        <v>-0.71265190839767456</v>
      </c>
      <c r="CJ9" s="11">
        <v>-6.7333288490772247E-2</v>
      </c>
      <c r="CK9" s="11">
        <v>-0.33155080676078796</v>
      </c>
      <c r="CL9" s="11">
        <v>-0.41164132952690125</v>
      </c>
      <c r="CM9" s="12">
        <v>0.45056065917015076</v>
      </c>
      <c r="CN9" s="12">
        <v>-2.9878048896789551</v>
      </c>
      <c r="CO9" s="12">
        <v>0.76526719331741333</v>
      </c>
      <c r="CP9" s="12">
        <v>0.73655104637145996</v>
      </c>
      <c r="CQ9" s="12">
        <v>-2.4029085636138916</v>
      </c>
      <c r="CR9">
        <v>-3.5339140811455851</v>
      </c>
      <c r="CS9">
        <v>-0.20392806944402503</v>
      </c>
      <c r="CT9">
        <v>0</v>
      </c>
      <c r="CU9" s="11">
        <v>-0.17329218536615371</v>
      </c>
      <c r="CV9" s="12">
        <v>-0.68766691088676457</v>
      </c>
      <c r="CW9">
        <v>0.06</v>
      </c>
      <c r="CX9" t="e">
        <v>#VALUE!</v>
      </c>
      <c r="CY9" t="s">
        <v>77</v>
      </c>
      <c r="CZ9">
        <v>-0.17329218536615371</v>
      </c>
      <c r="DA9" t="e">
        <v>#VALUE!</v>
      </c>
      <c r="DB9" t="s">
        <v>78</v>
      </c>
      <c r="DC9">
        <v>-0.16462757609784601</v>
      </c>
      <c r="DD9" t="e">
        <v>#VALUE!</v>
      </c>
      <c r="DE9" t="s">
        <v>78</v>
      </c>
      <c r="DF9">
        <v>-0.15249712312221525</v>
      </c>
      <c r="DG9" t="e">
        <v>#VALUE!</v>
      </c>
      <c r="DH9" t="s">
        <v>78</v>
      </c>
      <c r="DI9">
        <v>-0.13863374829292296</v>
      </c>
      <c r="DJ9" t="e">
        <v>#VALUE!</v>
      </c>
      <c r="DK9" t="s">
        <v>78</v>
      </c>
      <c r="DL9">
        <v>-0.12130452975630758</v>
      </c>
      <c r="DM9">
        <v>-539000000</v>
      </c>
      <c r="DN9">
        <v>-0.17329218536615371</v>
      </c>
      <c r="DO9">
        <v>7086915000</v>
      </c>
      <c r="DP9">
        <v>-960795310</v>
      </c>
      <c r="DQ9">
        <v>1524</v>
      </c>
      <c r="DR9">
        <v>-0.41805974596431844</v>
      </c>
      <c r="DS9">
        <v>-7.9966780862680609E-2</v>
      </c>
      <c r="DT9" s="13">
        <v>-0.62333333333333329</v>
      </c>
      <c r="DU9">
        <v>-2.8149999999999999</v>
      </c>
      <c r="DV9">
        <v>-3.4383333333333335</v>
      </c>
      <c r="DW9">
        <v>-2.1198000000000001</v>
      </c>
      <c r="DX9">
        <v>0.5263285556780597</v>
      </c>
      <c r="DY9">
        <v>-2.0223221609702313</v>
      </c>
      <c r="DZ9">
        <v>5019</v>
      </c>
      <c r="EA9">
        <v>-2.0003975179350864</v>
      </c>
      <c r="EB9">
        <v>2</v>
      </c>
      <c r="EC9">
        <v>6.0911746484301942E-2</v>
      </c>
      <c r="ED9">
        <v>0.32690505361693412</v>
      </c>
      <c r="EE9" s="14">
        <v>-1.0483</v>
      </c>
      <c r="EF9">
        <v>-1.0188999999999999</v>
      </c>
      <c r="EG9">
        <v>34.18632855567806</v>
      </c>
      <c r="EH9" t="s">
        <v>180</v>
      </c>
      <c r="EI9">
        <v>0</v>
      </c>
      <c r="EJ9">
        <v>0</v>
      </c>
      <c r="EK9" s="10">
        <v>45470</v>
      </c>
      <c r="EL9" s="15">
        <v>-1.18</v>
      </c>
      <c r="EM9" s="15">
        <v>-2.4</v>
      </c>
      <c r="EN9" s="15">
        <v>0</v>
      </c>
      <c r="EO9" s="15">
        <v>4.29</v>
      </c>
      <c r="EP9" s="15">
        <v>-2.94</v>
      </c>
    </row>
    <row r="10" spans="1:146" ht="108" x14ac:dyDescent="0.25">
      <c r="A10" s="7"/>
      <c r="B10" s="7"/>
      <c r="C10" s="16" t="str">
        <f>""&amp;CHAR(10)&amp;Basic_Fundamental_Information_Constructure(F10)&amp;CHAR(10)&amp;Basic_Fundamental_Information_Concatenate("")</f>
        <v xml:space="preserve">
市值111.783134亿, 利润3.82亿; PE42.14; 平均PE204.48; 平均PEG18.88, PB1.58; ROIC4.77%; ROE5.72%; 股利率.6973%; 毛利28.3467%; 净利15.0567%; 上一年度营收增-8.4%, 利润增-5.21%; 当季营收增-81.64%, 利润增-79.58%; 过往5年营收增-10.83%, 利润增-134.45%
Income profile:
</v>
      </c>
      <c r="D10" t="s">
        <v>231</v>
      </c>
      <c r="E10" t="s">
        <v>232</v>
      </c>
      <c r="F10">
        <v>5.88</v>
      </c>
      <c r="G10">
        <v>1.73</v>
      </c>
      <c r="H10" t="s">
        <v>701</v>
      </c>
      <c r="I10">
        <v>11178313400</v>
      </c>
      <c r="J10">
        <v>42.14</v>
      </c>
      <c r="K10">
        <v>1.58</v>
      </c>
      <c r="L10" t="s">
        <v>101</v>
      </c>
      <c r="M10" t="s">
        <v>702</v>
      </c>
      <c r="N10" t="s">
        <v>703</v>
      </c>
      <c r="O10" t="s">
        <v>185</v>
      </c>
      <c r="P10">
        <v>-81.69</v>
      </c>
      <c r="Q10" t="s">
        <v>493</v>
      </c>
      <c r="R10">
        <v>30013763</v>
      </c>
      <c r="S10" s="5">
        <v>-0.79579999999999995</v>
      </c>
      <c r="T10" t="s">
        <v>230</v>
      </c>
      <c r="U10">
        <v>1624070000</v>
      </c>
      <c r="V10">
        <v>1901073700</v>
      </c>
      <c r="W10">
        <v>1.39</v>
      </c>
      <c r="X10">
        <v>0.02</v>
      </c>
      <c r="Y10">
        <v>17.78</v>
      </c>
      <c r="Z10" t="s">
        <v>469</v>
      </c>
      <c r="AA10" t="s">
        <v>68</v>
      </c>
      <c r="AB10" t="s">
        <v>704</v>
      </c>
      <c r="AC10" t="s">
        <v>705</v>
      </c>
      <c r="AD10" t="s">
        <v>5</v>
      </c>
      <c r="AE10">
        <v>-11802828</v>
      </c>
      <c r="AF10" t="s">
        <v>706</v>
      </c>
      <c r="AG10" t="s">
        <v>707</v>
      </c>
      <c r="AH10" t="s">
        <v>708</v>
      </c>
      <c r="AI10" t="s">
        <v>537</v>
      </c>
      <c r="AJ10" t="s">
        <v>709</v>
      </c>
      <c r="AK10" t="s">
        <v>710</v>
      </c>
      <c r="AL10" t="s">
        <v>711</v>
      </c>
      <c r="AM10" t="s">
        <v>5</v>
      </c>
      <c r="AN10">
        <v>0</v>
      </c>
      <c r="AO10" t="s">
        <v>181</v>
      </c>
      <c r="AP10" t="s">
        <v>5</v>
      </c>
      <c r="AQ10" t="s">
        <v>168</v>
      </c>
      <c r="AR10" t="s">
        <v>712</v>
      </c>
      <c r="AS10" t="s">
        <v>265</v>
      </c>
      <c r="AT10" t="s">
        <v>5</v>
      </c>
      <c r="AU10" t="s">
        <v>539</v>
      </c>
      <c r="AV10" t="s">
        <v>713</v>
      </c>
      <c r="AW10" t="s">
        <v>714</v>
      </c>
      <c r="AX10" t="s">
        <v>366</v>
      </c>
      <c r="AY10" t="s">
        <v>184</v>
      </c>
      <c r="AZ10" t="s">
        <v>234</v>
      </c>
      <c r="BA10" t="s">
        <v>235</v>
      </c>
      <c r="BB10" t="s">
        <v>236</v>
      </c>
      <c r="BC10" t="s">
        <v>219</v>
      </c>
      <c r="BD10" t="s">
        <v>233</v>
      </c>
      <c r="BE10" t="s">
        <v>237</v>
      </c>
      <c r="BF10" t="s">
        <v>238</v>
      </c>
      <c r="BG10" t="s">
        <v>183</v>
      </c>
      <c r="BH10" t="s">
        <v>493</v>
      </c>
      <c r="BI10" t="s">
        <v>715</v>
      </c>
      <c r="BJ10" t="s">
        <v>366</v>
      </c>
      <c r="BK10" t="s">
        <v>230</v>
      </c>
      <c r="BL10" t="s">
        <v>70</v>
      </c>
      <c r="BM10" t="s">
        <v>219</v>
      </c>
      <c r="BN10">
        <v>3.7</v>
      </c>
      <c r="BO10">
        <v>5</v>
      </c>
      <c r="BP10">
        <v>5.61</v>
      </c>
      <c r="BQ10">
        <v>4.72</v>
      </c>
      <c r="BR10">
        <v>6</v>
      </c>
      <c r="BS10">
        <v>6.44</v>
      </c>
      <c r="BT10" t="s">
        <v>716</v>
      </c>
      <c r="BU10" t="s">
        <v>101</v>
      </c>
      <c r="BV10">
        <v>28.5</v>
      </c>
      <c r="BW10">
        <v>33.67</v>
      </c>
      <c r="BX10">
        <v>22.87</v>
      </c>
      <c r="BY10">
        <v>17.510000000000002</v>
      </c>
      <c r="BZ10">
        <v>16.809999999999999</v>
      </c>
      <c r="CA10">
        <v>10.85</v>
      </c>
      <c r="CB10">
        <v>-4.2300000000000004</v>
      </c>
      <c r="CC10">
        <v>-26.58</v>
      </c>
      <c r="CD10" t="s">
        <v>717</v>
      </c>
      <c r="CE10" t="s">
        <v>718</v>
      </c>
      <c r="CF10" s="11">
        <v>-0.81639004149377592</v>
      </c>
      <c r="CG10" s="12">
        <v>-0.79582474149659865</v>
      </c>
      <c r="CH10" s="11">
        <v>-8.4040403366088867E-2</v>
      </c>
      <c r="CI10" s="11">
        <v>-0.34988179802894592</v>
      </c>
      <c r="CJ10" s="11">
        <v>2.0096480846405029E-2</v>
      </c>
      <c r="CK10" s="11">
        <v>0.41847202181816101</v>
      </c>
      <c r="CL10" s="11">
        <v>-0.54614454507827759</v>
      </c>
      <c r="CM10" s="12">
        <v>-5.2109181880950928E-2</v>
      </c>
      <c r="CN10" s="12">
        <v>7.4999998323619366E-3</v>
      </c>
      <c r="CO10" s="12">
        <v>2.5062656495720148E-3</v>
      </c>
      <c r="CP10" s="12">
        <v>1.2719836235046387</v>
      </c>
      <c r="CQ10" s="12">
        <v>-7.9526071548461914</v>
      </c>
      <c r="CR10">
        <v>204.48134268292685</v>
      </c>
      <c r="CS10">
        <v>18.881071639740011</v>
      </c>
      <c r="CT10">
        <v>0.69727891156462585</v>
      </c>
      <c r="CU10" s="11">
        <v>-0.10829964876174927</v>
      </c>
      <c r="CV10" s="12">
        <v>-1.344545289548114</v>
      </c>
      <c r="CW10">
        <v>0.06</v>
      </c>
      <c r="CX10">
        <v>17.485113612565442</v>
      </c>
      <c r="CY10" t="s">
        <v>719</v>
      </c>
      <c r="CZ10">
        <v>-0.10829964876174927</v>
      </c>
      <c r="DA10">
        <v>5.828371204188481</v>
      </c>
      <c r="DB10" t="s">
        <v>720</v>
      </c>
      <c r="DC10">
        <v>-0.10288466632366181</v>
      </c>
      <c r="DD10">
        <v>2.9141856020942405</v>
      </c>
      <c r="DE10" t="s">
        <v>721</v>
      </c>
      <c r="DF10">
        <v>-9.5303690910339356E-2</v>
      </c>
      <c r="DG10">
        <v>1.7485113612565442</v>
      </c>
      <c r="DH10" t="s">
        <v>722</v>
      </c>
      <c r="DI10">
        <v>-8.663971900939943E-2</v>
      </c>
      <c r="DJ10">
        <v>0.87425568062827208</v>
      </c>
      <c r="DK10" t="s">
        <v>723</v>
      </c>
      <c r="DL10">
        <v>-7.580975413322448E-2</v>
      </c>
      <c r="DM10">
        <v>382000000</v>
      </c>
      <c r="DN10">
        <v>-0.10829964876174927</v>
      </c>
      <c r="DO10">
        <v>6679313399.999999</v>
      </c>
      <c r="DP10">
        <v>5757190800</v>
      </c>
      <c r="DQ10">
        <v>1623</v>
      </c>
      <c r="DR10">
        <v>-0.70809039273202667</v>
      </c>
      <c r="DS10">
        <v>0.54872054805151538</v>
      </c>
      <c r="DT10" s="13">
        <v>-0.57333333333333336</v>
      </c>
      <c r="DU10">
        <v>-0.82333333333333336</v>
      </c>
      <c r="DV10">
        <v>-1.3966666666666667</v>
      </c>
      <c r="DW10">
        <v>-8.1591422121896162</v>
      </c>
      <c r="DX10">
        <v>0.38730989969730034</v>
      </c>
      <c r="DY10">
        <v>-8.0186689569495702</v>
      </c>
      <c r="DZ10">
        <v>3948</v>
      </c>
      <c r="EA10">
        <v>-8.0042452696625048</v>
      </c>
      <c r="EB10">
        <v>8</v>
      </c>
      <c r="EC10">
        <v>0.16148768982496575</v>
      </c>
      <c r="ED10">
        <v>1.3765905025144476</v>
      </c>
      <c r="EE10" s="14">
        <v>5.0179</v>
      </c>
      <c r="EF10">
        <v>5.01891</v>
      </c>
      <c r="EG10">
        <v>27.1173098996973</v>
      </c>
      <c r="EH10" t="s">
        <v>467</v>
      </c>
      <c r="EI10">
        <v>0</v>
      </c>
      <c r="EJ10">
        <v>0</v>
      </c>
      <c r="EK10" s="10">
        <v>45470</v>
      </c>
      <c r="EL10" s="15">
        <v>-0.99</v>
      </c>
      <c r="EM10" s="15">
        <v>-3.83</v>
      </c>
      <c r="EN10" s="15">
        <v>0</v>
      </c>
      <c r="EO10" s="15">
        <v>13.17</v>
      </c>
      <c r="EP10" s="15">
        <v>-3.68</v>
      </c>
    </row>
    <row r="11" spans="1:146" ht="96" x14ac:dyDescent="0.25">
      <c r="A11" s="7"/>
      <c r="B11" s="7"/>
      <c r="C11" s="16" t="str">
        <f>""&amp;CHAR(10)&amp;Basic_Fundamental_Information_Constructure(F11)&amp;CHAR(10)&amp;Basic_Fundamental_Information_Concatenate("")</f>
        <v xml:space="preserve">
市值99.094314亿, 利润4.50亿; PE24.2; 平均PE-28.71; 平均PEG-3.17, PB1.23; ROIC6.8467%; ROE6.6167%; 股利率0%; 毛利28.75%; 净利13.8967%; 上一年度营收增-28.33%, 利润增-13.63%; 当季营收增.9%, 利润增-25.77%; 过往5年营收增-9.06%, 利润增-494.66%
Income profile:
</v>
      </c>
      <c r="D11" t="s">
        <v>240</v>
      </c>
      <c r="E11" t="s">
        <v>241</v>
      </c>
      <c r="F11">
        <v>3.72</v>
      </c>
      <c r="G11">
        <v>2.48</v>
      </c>
      <c r="H11" t="s">
        <v>724</v>
      </c>
      <c r="I11">
        <v>9909431400</v>
      </c>
      <c r="J11">
        <v>24.2</v>
      </c>
      <c r="K11">
        <v>1.23</v>
      </c>
      <c r="L11" t="s">
        <v>101</v>
      </c>
      <c r="M11" t="s">
        <v>250</v>
      </c>
      <c r="N11" t="s">
        <v>543</v>
      </c>
      <c r="O11" t="s">
        <v>545</v>
      </c>
      <c r="P11">
        <v>0.93</v>
      </c>
      <c r="Q11" t="s">
        <v>725</v>
      </c>
      <c r="R11">
        <v>117283883</v>
      </c>
      <c r="S11" s="5">
        <v>-0.25729999999999997</v>
      </c>
      <c r="T11" t="s">
        <v>370</v>
      </c>
      <c r="U11">
        <v>2239391600</v>
      </c>
      <c r="V11">
        <v>2663825600</v>
      </c>
      <c r="W11">
        <v>1.33</v>
      </c>
      <c r="X11">
        <v>0.06</v>
      </c>
      <c r="Y11">
        <v>17.28</v>
      </c>
      <c r="Z11" t="s">
        <v>546</v>
      </c>
      <c r="AA11" t="s">
        <v>356</v>
      </c>
      <c r="AB11" t="s">
        <v>726</v>
      </c>
      <c r="AC11" t="s">
        <v>727</v>
      </c>
      <c r="AD11" t="s">
        <v>5</v>
      </c>
      <c r="AE11">
        <v>16320972</v>
      </c>
      <c r="AF11" t="s">
        <v>728</v>
      </c>
      <c r="AG11" t="s">
        <v>729</v>
      </c>
      <c r="AH11" t="s">
        <v>730</v>
      </c>
      <c r="AI11" t="s">
        <v>67</v>
      </c>
      <c r="AJ11" t="s">
        <v>731</v>
      </c>
      <c r="AK11" t="s">
        <v>732</v>
      </c>
      <c r="AL11" t="s">
        <v>733</v>
      </c>
      <c r="AM11" t="s">
        <v>5</v>
      </c>
      <c r="AN11">
        <v>0</v>
      </c>
      <c r="AO11" t="s">
        <v>483</v>
      </c>
      <c r="AP11" t="s">
        <v>5</v>
      </c>
      <c r="AQ11" t="s">
        <v>529</v>
      </c>
      <c r="AR11" t="s">
        <v>5</v>
      </c>
      <c r="AS11" t="s">
        <v>734</v>
      </c>
      <c r="AT11" t="s">
        <v>5</v>
      </c>
      <c r="AU11" t="s">
        <v>292</v>
      </c>
      <c r="AV11" t="s">
        <v>735</v>
      </c>
      <c r="AW11" t="s">
        <v>736</v>
      </c>
      <c r="AX11" t="s">
        <v>367</v>
      </c>
      <c r="AY11" t="s">
        <v>242</v>
      </c>
      <c r="AZ11" t="s">
        <v>244</v>
      </c>
      <c r="BA11" t="s">
        <v>245</v>
      </c>
      <c r="BB11" t="s">
        <v>246</v>
      </c>
      <c r="BC11" t="s">
        <v>229</v>
      </c>
      <c r="BD11" t="s">
        <v>243</v>
      </c>
      <c r="BE11" t="s">
        <v>247</v>
      </c>
      <c r="BF11" t="s">
        <v>248</v>
      </c>
      <c r="BG11" t="s">
        <v>249</v>
      </c>
      <c r="BH11" t="s">
        <v>725</v>
      </c>
      <c r="BI11" t="s">
        <v>737</v>
      </c>
      <c r="BJ11" t="s">
        <v>367</v>
      </c>
      <c r="BK11" t="s">
        <v>370</v>
      </c>
      <c r="BL11" t="s">
        <v>81</v>
      </c>
      <c r="BM11" t="s">
        <v>229</v>
      </c>
      <c r="BN11">
        <v>5.78</v>
      </c>
      <c r="BO11">
        <v>7.49</v>
      </c>
      <c r="BP11">
        <v>7.27</v>
      </c>
      <c r="BQ11">
        <v>5.66</v>
      </c>
      <c r="BR11">
        <v>7.48</v>
      </c>
      <c r="BS11">
        <v>6.71</v>
      </c>
      <c r="BT11" t="s">
        <v>351</v>
      </c>
      <c r="BU11" t="s">
        <v>101</v>
      </c>
      <c r="BV11">
        <v>31.5</v>
      </c>
      <c r="BW11">
        <v>31.79</v>
      </c>
      <c r="BX11">
        <v>22.96</v>
      </c>
      <c r="BY11">
        <v>16.07</v>
      </c>
      <c r="BZ11">
        <v>13.46</v>
      </c>
      <c r="CA11">
        <v>12.16</v>
      </c>
      <c r="CB11">
        <v>0.27</v>
      </c>
      <c r="CC11">
        <v>-20.51</v>
      </c>
      <c r="CD11" t="s">
        <v>268</v>
      </c>
      <c r="CE11" t="s">
        <v>738</v>
      </c>
      <c r="CF11" s="11">
        <v>8.9552238805970154E-3</v>
      </c>
      <c r="CG11" s="12">
        <v>-0.25769694303797469</v>
      </c>
      <c r="CH11" s="11">
        <v>-0.28333762288093567</v>
      </c>
      <c r="CI11" s="11">
        <v>4.8296216875314713E-2</v>
      </c>
      <c r="CJ11" s="11">
        <v>0.1705402284860611</v>
      </c>
      <c r="CK11" s="11">
        <v>-0.11678223311901093</v>
      </c>
      <c r="CL11" s="11">
        <v>-0.27171719074249268</v>
      </c>
      <c r="CM11" s="12">
        <v>-0.13627639412879944</v>
      </c>
      <c r="CN11" s="12">
        <v>0.20881670713424683</v>
      </c>
      <c r="CO11" s="12">
        <v>1.3478611707687378</v>
      </c>
      <c r="CP11" s="12">
        <v>0.46709674596786499</v>
      </c>
      <c r="CQ11" s="12">
        <v>-26.620285034179688</v>
      </c>
      <c r="CR11">
        <v>-28.705633057809106</v>
      </c>
      <c r="CS11">
        <v>-3.1683879635362744</v>
      </c>
      <c r="CT11">
        <v>0</v>
      </c>
      <c r="CU11" s="11">
        <v>-9.0600120276212698E-2</v>
      </c>
      <c r="CV11" s="12">
        <v>-4.9465573608875273</v>
      </c>
      <c r="CW11">
        <v>0.06</v>
      </c>
      <c r="CX11">
        <v>10.140958666666666</v>
      </c>
      <c r="CY11" t="s">
        <v>739</v>
      </c>
      <c r="CZ11">
        <v>-9.0600120276212698E-2</v>
      </c>
      <c r="DA11">
        <v>3.3803195555555554</v>
      </c>
      <c r="DB11" t="s">
        <v>740</v>
      </c>
      <c r="DC11">
        <v>-8.6070114262402062E-2</v>
      </c>
      <c r="DD11">
        <v>1.6901597777777777</v>
      </c>
      <c r="DE11" t="s">
        <v>741</v>
      </c>
      <c r="DF11">
        <v>-7.9728105843067179E-2</v>
      </c>
      <c r="DG11">
        <v>1.0140958666666666</v>
      </c>
      <c r="DH11" t="s">
        <v>742</v>
      </c>
      <c r="DI11">
        <v>-7.2480096220970167E-2</v>
      </c>
      <c r="DJ11">
        <v>0.50704793333333331</v>
      </c>
      <c r="DK11" t="s">
        <v>743</v>
      </c>
      <c r="DL11">
        <v>-6.342008419334888E-2</v>
      </c>
      <c r="DM11">
        <v>450000000</v>
      </c>
      <c r="DN11">
        <v>-9.0600120276212698E-2</v>
      </c>
      <c r="DO11">
        <v>4563431400</v>
      </c>
      <c r="DP11">
        <v>184429700</v>
      </c>
      <c r="DQ11">
        <v>1670</v>
      </c>
      <c r="DR11">
        <v>9.9555344156809708E-2</v>
      </c>
      <c r="DS11">
        <v>4.6888604178495523</v>
      </c>
      <c r="DT11" s="13">
        <v>-0.57333333333333336</v>
      </c>
      <c r="DU11">
        <v>-0.94</v>
      </c>
      <c r="DV11">
        <v>-1.5133333333333332</v>
      </c>
      <c r="DW11">
        <v>-3.0510059523809523</v>
      </c>
      <c r="DX11">
        <v>0.3800917431192663</v>
      </c>
      <c r="DY11">
        <v>-3.0056153342070773</v>
      </c>
      <c r="DZ11">
        <v>4031</v>
      </c>
      <c r="EA11">
        <v>-3.0011857036417684</v>
      </c>
      <c r="EB11">
        <v>3</v>
      </c>
      <c r="EC11">
        <v>8.108638943930864E-2</v>
      </c>
      <c r="ED11">
        <v>0.73653470407372013</v>
      </c>
      <c r="EE11" s="14">
        <v>1.0344100000000001</v>
      </c>
      <c r="EF11">
        <v>1.0502100000000001</v>
      </c>
      <c r="EG11">
        <v>27.110091743119266</v>
      </c>
      <c r="EH11" t="s">
        <v>636</v>
      </c>
      <c r="EI11">
        <v>0</v>
      </c>
      <c r="EJ11">
        <v>0</v>
      </c>
      <c r="EK11" s="10">
        <v>45470</v>
      </c>
      <c r="EL11" s="15">
        <v>-1.07</v>
      </c>
      <c r="EM11" s="15">
        <v>-3.52</v>
      </c>
      <c r="EN11" s="15">
        <v>-0.56000000000000005</v>
      </c>
      <c r="EO11" s="15">
        <v>7.06</v>
      </c>
      <c r="EP11" s="15">
        <v>-1.58</v>
      </c>
    </row>
    <row r="12" spans="1:146" ht="108" x14ac:dyDescent="0.25">
      <c r="A12" s="7"/>
      <c r="B12" s="7"/>
      <c r="C12" s="16" t="str">
        <f>""&amp;CHAR(10)&amp;Basic_Fundamental_Information_Constructure(F12)&amp;CHAR(10)&amp;Basic_Fundamental_Information_Concatenate("")</f>
        <v xml:space="preserve">
市值232.04843亿, 利润4.18亿; PE32.21; 平均PE69.44; 平均PEG3.45, PB2.56; ROIC4.06%; ROE-2.31%; 股利率.885%; 毛利32.42%; 净利-31.89%; 上一年度营收增104.77%, 利润增158.63%; 当季营收增159.08%, 利润增248.01%; 过往5年营收增20.15%, 利润增-55.47%
Income profile:
</v>
      </c>
      <c r="D12" t="s">
        <v>251</v>
      </c>
      <c r="E12" t="s">
        <v>252</v>
      </c>
      <c r="F12">
        <v>7.91</v>
      </c>
      <c r="G12">
        <v>2.33</v>
      </c>
      <c r="H12" t="s">
        <v>744</v>
      </c>
      <c r="I12">
        <v>23204843000</v>
      </c>
      <c r="J12">
        <v>32.21</v>
      </c>
      <c r="K12">
        <v>2.56</v>
      </c>
      <c r="L12" t="s">
        <v>101</v>
      </c>
      <c r="M12" t="s">
        <v>745</v>
      </c>
      <c r="N12" t="s">
        <v>746</v>
      </c>
      <c r="O12" t="s">
        <v>747</v>
      </c>
      <c r="P12">
        <v>159.33000000000001</v>
      </c>
      <c r="Q12" t="s">
        <v>748</v>
      </c>
      <c r="R12">
        <v>424566740</v>
      </c>
      <c r="S12" s="5">
        <v>2.48</v>
      </c>
      <c r="T12" t="s">
        <v>186</v>
      </c>
      <c r="U12">
        <v>2787223400</v>
      </c>
      <c r="V12">
        <v>2933608400</v>
      </c>
      <c r="W12">
        <v>1.1399999999999999</v>
      </c>
      <c r="X12">
        <v>0.11</v>
      </c>
      <c r="Y12">
        <v>39.72</v>
      </c>
      <c r="Z12" t="s">
        <v>176</v>
      </c>
      <c r="AA12" t="s">
        <v>495</v>
      </c>
      <c r="AB12" t="s">
        <v>749</v>
      </c>
      <c r="AC12" t="s">
        <v>750</v>
      </c>
      <c r="AD12" t="s">
        <v>5</v>
      </c>
      <c r="AE12">
        <v>-9991838</v>
      </c>
      <c r="AF12" t="s">
        <v>751</v>
      </c>
      <c r="AG12" t="s">
        <v>752</v>
      </c>
      <c r="AH12" t="s">
        <v>753</v>
      </c>
      <c r="AI12" t="s">
        <v>754</v>
      </c>
      <c r="AJ12" t="s">
        <v>755</v>
      </c>
      <c r="AK12" t="s">
        <v>5</v>
      </c>
      <c r="AL12" t="s">
        <v>756</v>
      </c>
      <c r="AM12" t="s">
        <v>5</v>
      </c>
      <c r="AN12">
        <v>0</v>
      </c>
      <c r="AO12" t="s">
        <v>5</v>
      </c>
      <c r="AP12" t="s">
        <v>5</v>
      </c>
      <c r="AQ12" t="s">
        <v>153</v>
      </c>
      <c r="AR12" t="s">
        <v>757</v>
      </c>
      <c r="AS12" t="s">
        <v>758</v>
      </c>
      <c r="AT12" t="s">
        <v>5</v>
      </c>
      <c r="AU12" t="s">
        <v>759</v>
      </c>
      <c r="AV12" t="s">
        <v>760</v>
      </c>
      <c r="AW12" t="s">
        <v>761</v>
      </c>
      <c r="AX12" t="s">
        <v>239</v>
      </c>
      <c r="AY12" t="s">
        <v>253</v>
      </c>
      <c r="AZ12" t="s">
        <v>256</v>
      </c>
      <c r="BA12" t="s">
        <v>257</v>
      </c>
      <c r="BB12" t="s">
        <v>258</v>
      </c>
      <c r="BC12" t="s">
        <v>368</v>
      </c>
      <c r="BD12" t="s">
        <v>254</v>
      </c>
      <c r="BE12" t="s">
        <v>83</v>
      </c>
      <c r="BF12" t="s">
        <v>208</v>
      </c>
      <c r="BG12" t="s">
        <v>259</v>
      </c>
      <c r="BH12" t="s">
        <v>748</v>
      </c>
      <c r="BI12" t="s">
        <v>479</v>
      </c>
      <c r="BJ12" t="s">
        <v>239</v>
      </c>
      <c r="BK12" t="s">
        <v>186</v>
      </c>
      <c r="BL12" t="s">
        <v>130</v>
      </c>
      <c r="BM12" t="s">
        <v>368</v>
      </c>
      <c r="BN12">
        <v>4.0599999999999996</v>
      </c>
      <c r="BO12" t="s">
        <v>5</v>
      </c>
      <c r="BP12" t="s">
        <v>5</v>
      </c>
      <c r="BQ12">
        <v>4.3899999999999997</v>
      </c>
      <c r="BR12">
        <v>-8.09</v>
      </c>
      <c r="BS12">
        <v>-3.23</v>
      </c>
      <c r="BT12" t="s">
        <v>762</v>
      </c>
      <c r="BU12" t="s">
        <v>101</v>
      </c>
      <c r="BV12">
        <v>39.89</v>
      </c>
      <c r="BW12">
        <v>19.100000000000001</v>
      </c>
      <c r="BX12">
        <v>38.270000000000003</v>
      </c>
      <c r="BY12">
        <v>27.13</v>
      </c>
      <c r="BZ12">
        <v>-95.87</v>
      </c>
      <c r="CA12">
        <v>-26.93</v>
      </c>
      <c r="CB12">
        <v>-5.95</v>
      </c>
      <c r="CC12">
        <v>-12.4</v>
      </c>
      <c r="CD12" t="s">
        <v>187</v>
      </c>
      <c r="CE12" t="s">
        <v>488</v>
      </c>
      <c r="CF12" s="11">
        <v>1.5907990314769973</v>
      </c>
      <c r="CG12" s="12">
        <v>2.4800552459016392</v>
      </c>
      <c r="CH12" s="11">
        <v>1.0476821660995483</v>
      </c>
      <c r="CI12" s="11">
        <v>-0.35359588265419006</v>
      </c>
      <c r="CJ12" s="11">
        <v>7.7652591280639172E-3</v>
      </c>
      <c r="CK12" s="11">
        <v>-0.59031456708908081</v>
      </c>
      <c r="CL12" s="11">
        <v>0.89611256122589111</v>
      </c>
      <c r="CM12" s="12">
        <v>1.5862553119659424</v>
      </c>
      <c r="CN12" s="12">
        <v>-1.2852563858032227</v>
      </c>
      <c r="CO12" s="12">
        <v>-2.0721650123596191</v>
      </c>
      <c r="CP12" s="12">
        <v>-0.69303798675537109</v>
      </c>
      <c r="CQ12" s="12">
        <v>-0.30954110622406006</v>
      </c>
      <c r="CR12">
        <v>69.440926683291764</v>
      </c>
      <c r="CS12">
        <v>3.445688414148536</v>
      </c>
      <c r="CT12">
        <v>0.88495575221238931</v>
      </c>
      <c r="CU12" s="11">
        <v>0.20152990734204651</v>
      </c>
      <c r="CV12" s="12">
        <v>-0.55474903583526614</v>
      </c>
      <c r="CW12">
        <v>0.06</v>
      </c>
      <c r="CX12">
        <v>32.434552716067437</v>
      </c>
      <c r="CY12">
        <v>473810850.25375032</v>
      </c>
      <c r="CZ12">
        <v>0.20152990734204651</v>
      </c>
      <c r="DA12">
        <v>9.6559889066931941</v>
      </c>
      <c r="DB12">
        <v>1591534864.8906946</v>
      </c>
      <c r="DC12">
        <v>0.19145341197494417</v>
      </c>
      <c r="DD12">
        <v>4.1757340454977179</v>
      </c>
      <c r="DE12">
        <v>3680273416.0164313</v>
      </c>
      <c r="DF12">
        <v>0.17734631846100093</v>
      </c>
      <c r="DG12">
        <v>2.1517002005370904</v>
      </c>
      <c r="DH12">
        <v>7142185977.4721403</v>
      </c>
      <c r="DI12">
        <v>0.16122392587363721</v>
      </c>
      <c r="DJ12">
        <v>0.77590371900307409</v>
      </c>
      <c r="DK12">
        <v>19806378837.499958</v>
      </c>
      <c r="DL12">
        <v>0.14107093513943256</v>
      </c>
      <c r="DM12">
        <v>418000000</v>
      </c>
      <c r="DN12">
        <v>0.20152990734204651</v>
      </c>
      <c r="DO12">
        <v>15367843000</v>
      </c>
      <c r="DP12">
        <v>3854999600</v>
      </c>
      <c r="DQ12">
        <v>1736</v>
      </c>
      <c r="DR12">
        <v>1.3892691241349509</v>
      </c>
      <c r="DS12">
        <v>3.0348042817369052</v>
      </c>
      <c r="DT12" s="13">
        <v>-0.17333333333333334</v>
      </c>
      <c r="DU12">
        <v>-0.80000000000000016</v>
      </c>
      <c r="DV12">
        <v>-0.97333333333333349</v>
      </c>
      <c r="DW12">
        <v>-8.4798387096774199</v>
      </c>
      <c r="DX12">
        <v>0.34339100346020845</v>
      </c>
      <c r="DY12">
        <v>-8.0879981024667931</v>
      </c>
      <c r="DZ12">
        <v>3538</v>
      </c>
      <c r="EA12">
        <v>-8.0270710405240315</v>
      </c>
      <c r="EB12">
        <v>8</v>
      </c>
      <c r="EC12">
        <v>5.4199463023081061E-2</v>
      </c>
      <c r="ED12">
        <v>0.29554046818246088</v>
      </c>
      <c r="EE12" s="14">
        <v>2.0017100000000001</v>
      </c>
      <c r="EF12">
        <v>2.0222099999999998</v>
      </c>
      <c r="EG12">
        <v>16.183391003460208</v>
      </c>
      <c r="EH12" t="s">
        <v>354</v>
      </c>
      <c r="EI12">
        <v>0</v>
      </c>
      <c r="EJ12">
        <v>0</v>
      </c>
      <c r="EK12" s="10">
        <v>45470</v>
      </c>
      <c r="EL12" s="15">
        <v>0.11</v>
      </c>
      <c r="EM12" s="15">
        <v>-3.06</v>
      </c>
      <c r="EN12" s="15">
        <v>-1.64</v>
      </c>
      <c r="EO12" s="15">
        <v>4.6399999999999997</v>
      </c>
      <c r="EP12" s="15">
        <v>-2.0499999999999998</v>
      </c>
    </row>
    <row r="13" spans="1:146" ht="108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市值39.559365亿, 利润-1.86亿; PE; 平均PE-7.21; 平均PEG-.47, PB1.1; ROIC.43%; ROE.5133%; 股利率0%; 毛利13.2267%; 净利-14.96%; 上一年度营收增-7.89%, 利润增-996.26%; 当季营收增16.02%, 利润增124.86%; 过往5年营收增15.35%, 利润增-200.83%
Income profile:
</v>
      </c>
      <c r="D13" t="s">
        <v>261</v>
      </c>
      <c r="E13" t="s">
        <v>262</v>
      </c>
      <c r="F13">
        <v>4.2</v>
      </c>
      <c r="G13">
        <v>1.94</v>
      </c>
      <c r="H13" t="s">
        <v>763</v>
      </c>
      <c r="I13">
        <v>3955936500</v>
      </c>
      <c r="K13">
        <v>1.1000000000000001</v>
      </c>
      <c r="L13" t="s">
        <v>101</v>
      </c>
      <c r="M13" t="s">
        <v>522</v>
      </c>
      <c r="N13" t="s">
        <v>764</v>
      </c>
      <c r="O13" t="s">
        <v>765</v>
      </c>
      <c r="P13">
        <v>16.02</v>
      </c>
      <c r="Q13" t="s">
        <v>538</v>
      </c>
      <c r="R13">
        <v>3523995</v>
      </c>
      <c r="S13" s="5">
        <v>1.2490000000000001</v>
      </c>
      <c r="T13" t="s">
        <v>766</v>
      </c>
      <c r="U13">
        <v>928753220</v>
      </c>
      <c r="V13">
        <v>941889650</v>
      </c>
      <c r="W13">
        <v>1.18</v>
      </c>
      <c r="X13">
        <v>0.01</v>
      </c>
      <c r="Y13">
        <v>-40.32</v>
      </c>
      <c r="Z13" t="s">
        <v>767</v>
      </c>
      <c r="AA13" t="s">
        <v>768</v>
      </c>
      <c r="AB13" t="s">
        <v>769</v>
      </c>
      <c r="AC13" t="s">
        <v>770</v>
      </c>
      <c r="AD13" t="s">
        <v>5</v>
      </c>
      <c r="AE13">
        <v>-395977</v>
      </c>
      <c r="AF13" t="s">
        <v>771</v>
      </c>
      <c r="AG13" t="s">
        <v>772</v>
      </c>
      <c r="AH13" t="s">
        <v>773</v>
      </c>
      <c r="AI13" t="s">
        <v>298</v>
      </c>
      <c r="AJ13" t="s">
        <v>774</v>
      </c>
      <c r="AK13" t="s">
        <v>5</v>
      </c>
      <c r="AL13" t="s">
        <v>775</v>
      </c>
      <c r="AM13" t="s">
        <v>5</v>
      </c>
      <c r="AN13">
        <v>0</v>
      </c>
      <c r="AO13" t="s">
        <v>5</v>
      </c>
      <c r="AP13" t="s">
        <v>5</v>
      </c>
      <c r="AQ13" t="s">
        <v>776</v>
      </c>
      <c r="AR13" t="s">
        <v>777</v>
      </c>
      <c r="AS13" t="s">
        <v>778</v>
      </c>
      <c r="AT13" t="s">
        <v>5</v>
      </c>
      <c r="AU13" t="s">
        <v>540</v>
      </c>
      <c r="AV13" t="s">
        <v>70</v>
      </c>
      <c r="AW13" t="s">
        <v>779</v>
      </c>
      <c r="AX13" t="s">
        <v>224</v>
      </c>
      <c r="AY13" t="s">
        <v>148</v>
      </c>
      <c r="AZ13" t="s">
        <v>32</v>
      </c>
      <c r="BA13" t="s">
        <v>171</v>
      </c>
      <c r="BB13" t="s">
        <v>264</v>
      </c>
      <c r="BC13" t="s">
        <v>780</v>
      </c>
      <c r="BD13" t="s">
        <v>263</v>
      </c>
      <c r="BE13" t="s">
        <v>266</v>
      </c>
      <c r="BF13" t="s">
        <v>175</v>
      </c>
      <c r="BG13" t="s">
        <v>267</v>
      </c>
      <c r="BH13" t="s">
        <v>538</v>
      </c>
      <c r="BI13" t="s">
        <v>781</v>
      </c>
      <c r="BJ13" t="s">
        <v>224</v>
      </c>
      <c r="BK13" t="s">
        <v>766</v>
      </c>
      <c r="BL13" t="s">
        <v>782</v>
      </c>
      <c r="BM13" t="s">
        <v>780</v>
      </c>
      <c r="BN13" t="s">
        <v>5</v>
      </c>
      <c r="BO13">
        <v>-0.09</v>
      </c>
      <c r="BP13">
        <v>0.95</v>
      </c>
      <c r="BQ13">
        <v>-0.84</v>
      </c>
      <c r="BR13">
        <v>0.56000000000000005</v>
      </c>
      <c r="BS13">
        <v>1.82</v>
      </c>
      <c r="BT13" t="s">
        <v>351</v>
      </c>
      <c r="BU13" t="s">
        <v>101</v>
      </c>
      <c r="BV13">
        <v>2.4700000000000002</v>
      </c>
      <c r="BW13">
        <v>18.670000000000002</v>
      </c>
      <c r="BX13">
        <v>18.54</v>
      </c>
      <c r="BY13">
        <v>-53.27</v>
      </c>
      <c r="BZ13">
        <v>1.17</v>
      </c>
      <c r="CA13">
        <v>7.22</v>
      </c>
      <c r="CB13">
        <v>-1.41</v>
      </c>
      <c r="CC13">
        <v>-10.64</v>
      </c>
      <c r="CD13" t="s">
        <v>783</v>
      </c>
      <c r="CE13" t="s">
        <v>243</v>
      </c>
      <c r="CF13" s="11">
        <v>0.16022955617428158</v>
      </c>
      <c r="CG13" s="12">
        <v>1.2486168726718592</v>
      </c>
      <c r="CH13" s="11">
        <v>-7.8891254961490631E-2</v>
      </c>
      <c r="CI13" s="11">
        <v>-0.41594022512435913</v>
      </c>
      <c r="CJ13" s="11">
        <v>1.8274648189544678</v>
      </c>
      <c r="CK13" s="11">
        <v>-0.53518819808959961</v>
      </c>
      <c r="CL13" s="11">
        <v>-3.015873022377491E-2</v>
      </c>
      <c r="CM13" s="12">
        <v>-9.9626455307006836</v>
      </c>
      <c r="CN13" s="12">
        <v>-0.68711715936660767</v>
      </c>
      <c r="CO13" s="12">
        <v>-0.40778839588165283</v>
      </c>
      <c r="CP13" s="12">
        <v>-1.7543859779834747E-2</v>
      </c>
      <c r="CQ13" s="12">
        <v>1.0333625078201294</v>
      </c>
      <c r="CR13">
        <v>-7.2146503888620988</v>
      </c>
      <c r="CS13">
        <v>-0.47014063390235522</v>
      </c>
      <c r="CT13">
        <v>0</v>
      </c>
      <c r="CU13" s="11">
        <v>0.1534572821110487</v>
      </c>
      <c r="CV13" s="12">
        <v>-2.0083464875817301</v>
      </c>
      <c r="CW13">
        <v>0.06</v>
      </c>
      <c r="CX13" t="e">
        <v>#VALUE!</v>
      </c>
      <c r="CY13" t="s">
        <v>78</v>
      </c>
      <c r="CZ13">
        <v>0.1534572821110487</v>
      </c>
      <c r="DA13" t="e">
        <v>#VALUE!</v>
      </c>
      <c r="DB13" t="s">
        <v>78</v>
      </c>
      <c r="DC13">
        <v>0.14578441800549627</v>
      </c>
      <c r="DD13" t="e">
        <v>#VALUE!</v>
      </c>
      <c r="DE13" t="s">
        <v>78</v>
      </c>
      <c r="DF13">
        <v>0.13504240825772285</v>
      </c>
      <c r="DG13" t="e">
        <v>#VALUE!</v>
      </c>
      <c r="DH13" t="s">
        <v>78</v>
      </c>
      <c r="DI13">
        <v>0.12276582568883897</v>
      </c>
      <c r="DJ13" t="e">
        <v>#VALUE!</v>
      </c>
      <c r="DK13" t="s">
        <v>78</v>
      </c>
      <c r="DL13">
        <v>0.10742009747773408</v>
      </c>
      <c r="DM13">
        <v>-186000000</v>
      </c>
      <c r="DN13">
        <v>0.1534572821110487</v>
      </c>
      <c r="DO13">
        <v>893936500</v>
      </c>
      <c r="DP13">
        <v>3035527200</v>
      </c>
      <c r="DQ13">
        <v>1775</v>
      </c>
      <c r="DR13">
        <v>6.7722740632328859E-3</v>
      </c>
      <c r="DS13">
        <v>3.2569633602535895</v>
      </c>
      <c r="DT13" s="13">
        <v>-0.32166666666666666</v>
      </c>
      <c r="DU13">
        <v>-1.4233333333333336</v>
      </c>
      <c r="DV13">
        <v>-1.7450000000000001</v>
      </c>
      <c r="DW13">
        <v>-2.1063999999999998</v>
      </c>
      <c r="DX13">
        <v>0.39094222737819151</v>
      </c>
      <c r="DY13">
        <v>-2.0160602529930394</v>
      </c>
      <c r="DZ13">
        <v>4215</v>
      </c>
      <c r="EA13">
        <v>-2.0028129014537712</v>
      </c>
      <c r="EB13">
        <v>2</v>
      </c>
      <c r="EC13">
        <v>6.9069768417138883E-2</v>
      </c>
      <c r="ED13">
        <v>0.45759075917226605</v>
      </c>
      <c r="EE13" s="14">
        <v>3.1044999999999998</v>
      </c>
      <c r="EF13">
        <v>3.1021999999999998</v>
      </c>
      <c r="EG13">
        <v>24.150942227378192</v>
      </c>
      <c r="EH13" t="s">
        <v>345</v>
      </c>
      <c r="EI13">
        <v>0</v>
      </c>
      <c r="EJ13">
        <v>0</v>
      </c>
      <c r="EK13" s="10">
        <v>45470</v>
      </c>
      <c r="EL13" s="15">
        <v>0.24</v>
      </c>
      <c r="EM13" s="15">
        <v>-4.75</v>
      </c>
      <c r="EN13" s="15">
        <v>0</v>
      </c>
      <c r="EO13" s="15">
        <v>6.73</v>
      </c>
      <c r="EP13" s="15">
        <v>-0.23</v>
      </c>
    </row>
    <row r="14" spans="1:146" ht="108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市值26.882664亿, 利润1705.95万; PE54.59; 平均PE-15.42; 平均PEG-.31, PB17.45; ROIC14.46%; ROE16.6833%; 股利率0%; 毛利38.6667%; 净利3.7933%; 上一年度营收增-16.83%, 利润增-44.72%; 当季营收增35.44%, 利润增207.24%; 过往5年营收增50.13%, 利润增51.53%
Income profile:
</v>
      </c>
      <c r="D14" t="s">
        <v>274</v>
      </c>
      <c r="E14" t="s">
        <v>275</v>
      </c>
      <c r="F14">
        <v>6.64</v>
      </c>
      <c r="G14">
        <v>0.3</v>
      </c>
      <c r="H14" t="s">
        <v>784</v>
      </c>
      <c r="I14">
        <v>2688266400</v>
      </c>
      <c r="J14">
        <v>54.59</v>
      </c>
      <c r="K14">
        <v>17.45</v>
      </c>
      <c r="L14" t="s">
        <v>101</v>
      </c>
      <c r="M14" t="s">
        <v>785</v>
      </c>
      <c r="N14" t="s">
        <v>87</v>
      </c>
      <c r="O14" t="s">
        <v>786</v>
      </c>
      <c r="P14">
        <v>35.44</v>
      </c>
      <c r="Q14" t="s">
        <v>179</v>
      </c>
      <c r="R14">
        <v>16652613</v>
      </c>
      <c r="S14" s="5">
        <v>2.0720000000000001</v>
      </c>
      <c r="T14" t="s">
        <v>787</v>
      </c>
      <c r="U14">
        <v>396360800</v>
      </c>
      <c r="V14">
        <v>404859400</v>
      </c>
      <c r="W14">
        <v>19.07</v>
      </c>
      <c r="X14">
        <v>0.02</v>
      </c>
      <c r="Y14">
        <v>32.33</v>
      </c>
      <c r="Z14" t="s">
        <v>788</v>
      </c>
      <c r="AA14" t="s">
        <v>789</v>
      </c>
      <c r="AB14" t="s">
        <v>790</v>
      </c>
      <c r="AC14" t="s">
        <v>791</v>
      </c>
      <c r="AD14" t="s">
        <v>5</v>
      </c>
      <c r="AE14">
        <v>14937900</v>
      </c>
      <c r="AF14" t="s">
        <v>162</v>
      </c>
      <c r="AG14" t="s">
        <v>5</v>
      </c>
      <c r="AH14" t="s">
        <v>792</v>
      </c>
      <c r="AI14" t="s">
        <v>163</v>
      </c>
      <c r="AJ14" t="s">
        <v>793</v>
      </c>
      <c r="AK14" t="s">
        <v>5</v>
      </c>
      <c r="AL14" t="s">
        <v>794</v>
      </c>
      <c r="AM14" t="s">
        <v>5</v>
      </c>
      <c r="AN14">
        <v>0</v>
      </c>
      <c r="AO14" t="s">
        <v>131</v>
      </c>
      <c r="AP14" t="s">
        <v>5</v>
      </c>
      <c r="AQ14" t="s">
        <v>795</v>
      </c>
      <c r="AR14" t="s">
        <v>796</v>
      </c>
      <c r="AS14" t="s">
        <v>485</v>
      </c>
      <c r="AT14" t="s">
        <v>5</v>
      </c>
      <c r="AU14" t="s">
        <v>797</v>
      </c>
      <c r="AV14" t="s">
        <v>798</v>
      </c>
      <c r="AW14" t="s">
        <v>799</v>
      </c>
      <c r="AX14" t="s">
        <v>154</v>
      </c>
      <c r="AY14" t="s">
        <v>276</v>
      </c>
      <c r="AZ14" t="s">
        <v>124</v>
      </c>
      <c r="BA14" t="s">
        <v>278</v>
      </c>
      <c r="BB14" t="s">
        <v>178</v>
      </c>
      <c r="BC14" t="s">
        <v>369</v>
      </c>
      <c r="BD14" t="s">
        <v>277</v>
      </c>
      <c r="BE14" t="s">
        <v>279</v>
      </c>
      <c r="BF14" t="s">
        <v>280</v>
      </c>
      <c r="BG14" t="s">
        <v>281</v>
      </c>
      <c r="BH14" t="s">
        <v>179</v>
      </c>
      <c r="BI14" t="s">
        <v>800</v>
      </c>
      <c r="BJ14" t="s">
        <v>154</v>
      </c>
      <c r="BK14" t="s">
        <v>787</v>
      </c>
      <c r="BL14" t="s">
        <v>801</v>
      </c>
      <c r="BM14" t="s">
        <v>369</v>
      </c>
      <c r="BN14">
        <v>1.59</v>
      </c>
      <c r="BO14">
        <v>23.17</v>
      </c>
      <c r="BP14">
        <v>18.62</v>
      </c>
      <c r="BQ14">
        <v>1.95</v>
      </c>
      <c r="BR14">
        <v>27.97</v>
      </c>
      <c r="BS14">
        <v>20.13</v>
      </c>
      <c r="BT14" t="s">
        <v>351</v>
      </c>
      <c r="BU14" t="s">
        <v>101</v>
      </c>
      <c r="BV14">
        <v>50.84</v>
      </c>
      <c r="BW14">
        <v>33.119999999999997</v>
      </c>
      <c r="BX14">
        <v>32.04</v>
      </c>
      <c r="BY14">
        <v>3.49</v>
      </c>
      <c r="BZ14">
        <v>6.27</v>
      </c>
      <c r="CA14">
        <v>1.62</v>
      </c>
      <c r="CB14">
        <v>-2.06</v>
      </c>
      <c r="CC14">
        <v>-17</v>
      </c>
      <c r="CD14" t="s">
        <v>802</v>
      </c>
      <c r="CE14" t="s">
        <v>18</v>
      </c>
      <c r="CF14" s="11">
        <v>0.35443776672096733</v>
      </c>
      <c r="CG14" s="12">
        <v>2.0724248454404948</v>
      </c>
      <c r="CH14" s="11">
        <v>-0.16829268634319305</v>
      </c>
      <c r="CI14" s="11">
        <v>-0.13865546882152557</v>
      </c>
      <c r="CJ14" s="11">
        <v>1.3919597864151001</v>
      </c>
      <c r="CK14" s="11">
        <v>2.7304348945617676</v>
      </c>
      <c r="CL14" s="11">
        <v>-1.3091397285461426</v>
      </c>
      <c r="CM14" s="12">
        <v>-0.44717910885810852</v>
      </c>
      <c r="CN14" s="12">
        <v>0.63742971420288086</v>
      </c>
      <c r="CO14" s="12">
        <v>1.238888144493103</v>
      </c>
      <c r="CP14" s="12">
        <v>0.26270565390586853</v>
      </c>
      <c r="CQ14" s="12">
        <v>0.88457387685775757</v>
      </c>
      <c r="CR14">
        <v>-15.418408872353808</v>
      </c>
      <c r="CS14">
        <v>-0.30759220876655863</v>
      </c>
      <c r="CT14">
        <v>0</v>
      </c>
      <c r="CU14" s="11">
        <v>0.50126135945320127</v>
      </c>
      <c r="CV14" s="12">
        <v>0.51528365612030025</v>
      </c>
      <c r="CW14">
        <v>0.06</v>
      </c>
      <c r="CX14">
        <v>185.26747632332928</v>
      </c>
      <c r="CY14">
        <v>24161102.03923763</v>
      </c>
      <c r="CZ14">
        <v>0.50126135945320127</v>
      </c>
      <c r="DA14">
        <v>43.492437309451915</v>
      </c>
      <c r="DB14">
        <v>102920569.1129939</v>
      </c>
      <c r="DC14">
        <v>0.47619829148054116</v>
      </c>
      <c r="DD14">
        <v>13.056602343277232</v>
      </c>
      <c r="DE14">
        <v>342835469.92643178</v>
      </c>
      <c r="DF14">
        <v>0.44110999631881714</v>
      </c>
      <c r="DG14">
        <v>4.1828729637997224</v>
      </c>
      <c r="DH14">
        <v>1070141608.1098859</v>
      </c>
      <c r="DI14">
        <v>0.40100908756256104</v>
      </c>
      <c r="DJ14">
        <v>0.44588922800325398</v>
      </c>
      <c r="DK14">
        <v>10038965103.609396</v>
      </c>
      <c r="DL14">
        <v>0.35088295161724087</v>
      </c>
      <c r="DM14">
        <v>17059500</v>
      </c>
      <c r="DN14">
        <v>0.50126135945320127</v>
      </c>
      <c r="DO14">
        <v>4476266400</v>
      </c>
      <c r="DP14">
        <v>85547800.000000238</v>
      </c>
      <c r="DQ14">
        <v>1898</v>
      </c>
      <c r="DR14">
        <v>-0.14682359273223394</v>
      </c>
      <c r="DS14">
        <v>1.5571411893201945</v>
      </c>
      <c r="DT14" s="13">
        <v>-0.49666666666666665</v>
      </c>
      <c r="DU14">
        <v>0.32333333333333342</v>
      </c>
      <c r="DV14">
        <v>-0.17333333333333323</v>
      </c>
      <c r="DW14">
        <v>-3.011309523809524</v>
      </c>
      <c r="DX14">
        <v>0.44931875000000304</v>
      </c>
      <c r="DY14">
        <v>-3.001462533482143</v>
      </c>
      <c r="DZ14">
        <v>2125</v>
      </c>
      <c r="EA14">
        <v>-3.0008543370732284</v>
      </c>
      <c r="EB14">
        <v>3</v>
      </c>
      <c r="EC14">
        <v>4.5995967982959025E-2</v>
      </c>
      <c r="ED14">
        <v>0.3556790332643876</v>
      </c>
      <c r="EE14" s="14">
        <v>4.0552000000000001</v>
      </c>
      <c r="EF14">
        <v>4.048</v>
      </c>
      <c r="EG14">
        <v>32.129318750000003</v>
      </c>
      <c r="EH14" t="s">
        <v>359</v>
      </c>
      <c r="EI14">
        <v>0</v>
      </c>
      <c r="EJ14">
        <v>0</v>
      </c>
      <c r="EK14" s="10">
        <v>45470</v>
      </c>
      <c r="EL14" s="15">
        <v>-0.99</v>
      </c>
      <c r="EM14" s="15">
        <v>-3.43</v>
      </c>
      <c r="EN14" s="15">
        <v>-2.67</v>
      </c>
      <c r="EO14" s="15">
        <v>6.24</v>
      </c>
      <c r="EP14" s="15">
        <v>-0.72</v>
      </c>
    </row>
    <row r="15" spans="1:146" ht="108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市值23.58609亿, 利润-2204.59万; PE; 平均PE-23.32; 平均PEG-1.66, PB3.21; ROIC8.93%; ROE-36.16%; 股利率0%; 毛利4.8433%; 净利-23.42%; 上一年度营收增74.6%, 利润增93.42%; 当季营收增-13.19%, 利润增-23.89%; 过往5年营收增14.04%, 利润增-56.96%
Income profile:
</v>
      </c>
      <c r="D15" t="s">
        <v>289</v>
      </c>
      <c r="E15" t="s">
        <v>290</v>
      </c>
      <c r="F15">
        <v>6.33</v>
      </c>
      <c r="G15">
        <v>2.76</v>
      </c>
      <c r="H15" t="s">
        <v>803</v>
      </c>
      <c r="I15">
        <v>2358609000</v>
      </c>
      <c r="K15">
        <v>3.21</v>
      </c>
      <c r="L15" t="s">
        <v>101</v>
      </c>
      <c r="M15" t="s">
        <v>804</v>
      </c>
      <c r="N15" t="s">
        <v>96</v>
      </c>
      <c r="O15" t="s">
        <v>126</v>
      </c>
      <c r="P15">
        <v>-13.44</v>
      </c>
      <c r="Q15" t="s">
        <v>340</v>
      </c>
      <c r="R15">
        <v>8882184</v>
      </c>
      <c r="S15" s="5">
        <v>-0.2389</v>
      </c>
      <c r="T15" t="s">
        <v>805</v>
      </c>
      <c r="U15">
        <v>372608050</v>
      </c>
      <c r="V15">
        <v>372608050</v>
      </c>
      <c r="W15">
        <v>3.35</v>
      </c>
      <c r="X15">
        <v>0.09</v>
      </c>
      <c r="Y15">
        <v>4.3099999999999996</v>
      </c>
      <c r="Z15" t="s">
        <v>113</v>
      </c>
      <c r="AA15" t="s">
        <v>137</v>
      </c>
      <c r="AB15" t="s">
        <v>806</v>
      </c>
      <c r="AC15" t="s">
        <v>807</v>
      </c>
      <c r="AD15" t="s">
        <v>5</v>
      </c>
      <c r="AE15">
        <v>8363766</v>
      </c>
      <c r="AF15" t="s">
        <v>808</v>
      </c>
      <c r="AG15" t="s">
        <v>809</v>
      </c>
      <c r="AH15" t="s">
        <v>810</v>
      </c>
      <c r="AI15" t="s">
        <v>285</v>
      </c>
      <c r="AJ15" t="s">
        <v>811</v>
      </c>
      <c r="AK15" t="s">
        <v>812</v>
      </c>
      <c r="AL15" t="s">
        <v>813</v>
      </c>
      <c r="AM15" t="s">
        <v>5</v>
      </c>
      <c r="AN15" t="s">
        <v>814</v>
      </c>
      <c r="AO15" t="s">
        <v>5</v>
      </c>
      <c r="AP15" t="s">
        <v>5</v>
      </c>
      <c r="AQ15" t="s">
        <v>225</v>
      </c>
      <c r="AR15" t="s">
        <v>5</v>
      </c>
      <c r="AS15" t="s">
        <v>527</v>
      </c>
      <c r="AT15" t="s">
        <v>5</v>
      </c>
      <c r="AU15" t="s">
        <v>69</v>
      </c>
      <c r="AV15" t="s">
        <v>815</v>
      </c>
      <c r="AW15" t="s">
        <v>816</v>
      </c>
      <c r="AX15" t="s">
        <v>264</v>
      </c>
      <c r="AY15" t="s">
        <v>135</v>
      </c>
      <c r="AZ15" t="s">
        <v>271</v>
      </c>
      <c r="BA15" t="s">
        <v>555</v>
      </c>
      <c r="BB15" t="s">
        <v>817</v>
      </c>
      <c r="BC15" t="s">
        <v>373</v>
      </c>
      <c r="BD15" t="s">
        <v>818</v>
      </c>
      <c r="BE15" t="s">
        <v>819</v>
      </c>
      <c r="BF15" t="s">
        <v>112</v>
      </c>
      <c r="BG15" t="s">
        <v>820</v>
      </c>
      <c r="BH15" t="s">
        <v>340</v>
      </c>
      <c r="BI15" t="s">
        <v>145</v>
      </c>
      <c r="BJ15" t="s">
        <v>264</v>
      </c>
      <c r="BK15" t="s">
        <v>805</v>
      </c>
      <c r="BL15" t="s">
        <v>821</v>
      </c>
      <c r="BM15" t="s">
        <v>373</v>
      </c>
      <c r="BN15">
        <v>8.93</v>
      </c>
      <c r="BO15" t="s">
        <v>5</v>
      </c>
      <c r="BP15" t="s">
        <v>5</v>
      </c>
      <c r="BQ15">
        <v>7.74</v>
      </c>
      <c r="BR15">
        <v>-90.51</v>
      </c>
      <c r="BS15">
        <v>-25.71</v>
      </c>
      <c r="BT15" t="s">
        <v>351</v>
      </c>
      <c r="BU15" t="s">
        <v>101</v>
      </c>
      <c r="BV15">
        <v>15.26</v>
      </c>
      <c r="BW15">
        <v>-15.59</v>
      </c>
      <c r="BX15">
        <v>14.86</v>
      </c>
      <c r="BY15">
        <v>-1.89</v>
      </c>
      <c r="BZ15">
        <v>-54.1</v>
      </c>
      <c r="CA15">
        <v>-14.27</v>
      </c>
      <c r="CB15">
        <v>0.8</v>
      </c>
      <c r="CC15">
        <v>-13.29</v>
      </c>
      <c r="CD15" t="s">
        <v>822</v>
      </c>
      <c r="CE15" t="s">
        <v>282</v>
      </c>
      <c r="CF15" s="11">
        <v>-0.13186813186813187</v>
      </c>
      <c r="CG15" s="12">
        <v>-0.238939575693183</v>
      </c>
      <c r="CH15" s="11">
        <v>0.74603176116943359</v>
      </c>
      <c r="CI15" s="11">
        <v>-0.33262711763381958</v>
      </c>
      <c r="CJ15" s="11">
        <v>0.68872988224029541</v>
      </c>
      <c r="CK15" s="11">
        <v>-0.73619627952575684</v>
      </c>
      <c r="CL15" s="11">
        <v>0.3360656201839447</v>
      </c>
      <c r="CM15" s="12">
        <v>0.93419140577316284</v>
      </c>
      <c r="CN15" s="12">
        <v>-1.5572519302368164</v>
      </c>
      <c r="CO15" s="12">
        <v>0.59815949201583862</v>
      </c>
      <c r="CP15" s="12">
        <v>-3.5076923370361328</v>
      </c>
      <c r="CQ15" s="12">
        <v>0.68441122770309448</v>
      </c>
      <c r="CR15">
        <v>-23.319178680819341</v>
      </c>
      <c r="CS15">
        <v>-1.6609010146391052</v>
      </c>
      <c r="CT15">
        <v>0</v>
      </c>
      <c r="CU15" s="11">
        <v>0.14040077328681946</v>
      </c>
      <c r="CV15" s="12">
        <v>-0.56963642835617068</v>
      </c>
      <c r="CW15">
        <v>0.06</v>
      </c>
      <c r="CX15" t="e">
        <v>#VALUE!</v>
      </c>
      <c r="CY15" t="s">
        <v>78</v>
      </c>
      <c r="CZ15">
        <v>0.14040077328681946</v>
      </c>
      <c r="DA15" t="e">
        <v>#VALUE!</v>
      </c>
      <c r="DB15" t="s">
        <v>78</v>
      </c>
      <c r="DC15">
        <v>0.13338073462247849</v>
      </c>
      <c r="DD15" t="e">
        <v>#VALUE!</v>
      </c>
      <c r="DE15" t="s">
        <v>78</v>
      </c>
      <c r="DF15">
        <v>0.12355268049240113</v>
      </c>
      <c r="DG15" t="e">
        <v>#VALUE!</v>
      </c>
      <c r="DH15" t="s">
        <v>78</v>
      </c>
      <c r="DI15">
        <v>0.11232061862945558</v>
      </c>
      <c r="DJ15" t="e">
        <v>#VALUE!</v>
      </c>
      <c r="DK15" t="s">
        <v>78</v>
      </c>
      <c r="DL15">
        <v>9.8280541300773613E-2</v>
      </c>
      <c r="DM15">
        <v>-22045900</v>
      </c>
      <c r="DN15">
        <v>0.14040077328681946</v>
      </c>
      <c r="DO15">
        <v>3413609000</v>
      </c>
      <c r="DP15">
        <v>388857260</v>
      </c>
      <c r="DQ15">
        <v>1997</v>
      </c>
      <c r="DR15">
        <v>-0.27226890515495134</v>
      </c>
      <c r="DS15">
        <v>0.33069685266298765</v>
      </c>
      <c r="DT15" s="13">
        <v>-0.12333333333333334</v>
      </c>
      <c r="DU15">
        <v>-1.7533333333333336</v>
      </c>
      <c r="DV15">
        <v>-1.8766666666666669</v>
      </c>
      <c r="DW15">
        <v>-2.1328999999999998</v>
      </c>
      <c r="DX15">
        <v>0.38212344827586264</v>
      </c>
      <c r="DY15">
        <v>-2.017559206275862</v>
      </c>
      <c r="DZ15">
        <v>4458</v>
      </c>
      <c r="EA15">
        <v>-2.0022404310160198</v>
      </c>
      <c r="EB15">
        <v>2</v>
      </c>
      <c r="EC15">
        <v>5.1415690026020637E-2</v>
      </c>
      <c r="ED15">
        <v>0.38914886567802282</v>
      </c>
      <c r="EE15" s="14">
        <v>7.0050999999999997</v>
      </c>
      <c r="EF15">
        <v>7.0120100000000001</v>
      </c>
      <c r="EG15">
        <v>25.132123448275863</v>
      </c>
      <c r="EH15" t="s">
        <v>823</v>
      </c>
      <c r="EI15">
        <v>0</v>
      </c>
      <c r="EJ15">
        <v>0</v>
      </c>
      <c r="EK15" s="10">
        <v>45470</v>
      </c>
      <c r="EL15" s="15">
        <v>-1.1100000000000001</v>
      </c>
      <c r="EM15" s="15">
        <v>-3.22</v>
      </c>
      <c r="EN15" s="15">
        <v>0.67</v>
      </c>
      <c r="EO15" s="15">
        <v>6.28</v>
      </c>
      <c r="EP15" s="15">
        <v>-1.71</v>
      </c>
    </row>
    <row r="16" spans="1:146" ht="108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市值63.155776亿, 利润107.03亿; PE25.9; 平均PE1.19; 平均PEG0, PB5.03; ROIC12.55%; ROE6.7233%; 股利率.1385%; 毛利8.3433%; 净利5.4033%; 上一年度营收增8439.86%, 利润增16589.09%; 当季营收增-99.59%, 利润增-99.78%; 过往5年营收增2812.1%, 利润增16589.09%
Income profile:
</v>
      </c>
      <c r="D16" t="s">
        <v>294</v>
      </c>
      <c r="E16" t="s">
        <v>295</v>
      </c>
      <c r="F16">
        <v>15.88</v>
      </c>
      <c r="G16">
        <v>1.28</v>
      </c>
      <c r="H16" t="s">
        <v>824</v>
      </c>
      <c r="I16">
        <v>6315577600</v>
      </c>
      <c r="J16">
        <v>25.9</v>
      </c>
      <c r="K16">
        <v>5.03</v>
      </c>
      <c r="L16" t="s">
        <v>101</v>
      </c>
      <c r="M16" t="s">
        <v>160</v>
      </c>
      <c r="N16" t="s">
        <v>521</v>
      </c>
      <c r="O16" t="s">
        <v>228</v>
      </c>
      <c r="P16">
        <v>-28.14</v>
      </c>
      <c r="Q16" t="s">
        <v>825</v>
      </c>
      <c r="R16">
        <v>10383981</v>
      </c>
      <c r="S16" s="5">
        <v>1.734</v>
      </c>
      <c r="T16" t="s">
        <v>826</v>
      </c>
      <c r="U16">
        <v>397706400</v>
      </c>
      <c r="V16">
        <v>397706400</v>
      </c>
      <c r="W16">
        <v>1.26</v>
      </c>
      <c r="X16" t="s">
        <v>5</v>
      </c>
      <c r="Y16">
        <v>8.8000000000000007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>
        <v>-1508331</v>
      </c>
      <c r="AF16" t="s">
        <v>827</v>
      </c>
      <c r="AG16" t="s">
        <v>828</v>
      </c>
      <c r="AH16" t="s">
        <v>829</v>
      </c>
      <c r="AI16" t="s">
        <v>526</v>
      </c>
      <c r="AJ16" t="s">
        <v>830</v>
      </c>
      <c r="AK16" t="s">
        <v>5</v>
      </c>
      <c r="AL16" t="s">
        <v>831</v>
      </c>
      <c r="AM16" t="s">
        <v>5</v>
      </c>
      <c r="AN16" t="s">
        <v>832</v>
      </c>
      <c r="AO16" t="s">
        <v>5</v>
      </c>
      <c r="AP16" t="s">
        <v>5</v>
      </c>
      <c r="AQ16" t="s">
        <v>833</v>
      </c>
      <c r="AR16" t="s">
        <v>834</v>
      </c>
      <c r="AS16" t="s">
        <v>5</v>
      </c>
      <c r="AT16" t="s">
        <v>5</v>
      </c>
      <c r="AU16" t="s">
        <v>520</v>
      </c>
      <c r="AV16" t="s">
        <v>835</v>
      </c>
      <c r="AW16" t="s">
        <v>836</v>
      </c>
      <c r="AX16" t="s">
        <v>328</v>
      </c>
      <c r="AY16" t="s">
        <v>5</v>
      </c>
      <c r="AZ16" t="s">
        <v>296</v>
      </c>
      <c r="BA16" t="s">
        <v>169</v>
      </c>
      <c r="BB16" t="s">
        <v>297</v>
      </c>
      <c r="BC16" t="s">
        <v>837</v>
      </c>
      <c r="BD16" t="s">
        <v>5</v>
      </c>
      <c r="BE16" t="s">
        <v>5</v>
      </c>
      <c r="BF16" t="s">
        <v>5</v>
      </c>
      <c r="BG16" t="s">
        <v>5</v>
      </c>
      <c r="BH16" t="s">
        <v>838</v>
      </c>
      <c r="BI16" t="s">
        <v>839</v>
      </c>
      <c r="BJ16" t="s">
        <v>328</v>
      </c>
      <c r="BK16" t="s">
        <v>126</v>
      </c>
      <c r="BL16" t="s">
        <v>840</v>
      </c>
      <c r="BM16" t="s">
        <v>837</v>
      </c>
      <c r="BN16">
        <v>24.53</v>
      </c>
      <c r="BO16" t="s">
        <v>5</v>
      </c>
      <c r="BP16">
        <v>0.56999999999999995</v>
      </c>
      <c r="BQ16">
        <v>26.68</v>
      </c>
      <c r="BR16">
        <v>-6.32</v>
      </c>
      <c r="BS16">
        <v>-0.19</v>
      </c>
      <c r="BT16" t="s">
        <v>352</v>
      </c>
      <c r="BU16" t="s">
        <v>101</v>
      </c>
      <c r="BV16">
        <v>13.51</v>
      </c>
      <c r="BW16">
        <v>0.67</v>
      </c>
      <c r="BX16">
        <v>10.85</v>
      </c>
      <c r="BY16">
        <v>21.5</v>
      </c>
      <c r="BZ16">
        <v>-5.82</v>
      </c>
      <c r="CA16">
        <v>0.53</v>
      </c>
      <c r="CB16">
        <v>-2.99</v>
      </c>
      <c r="CC16">
        <v>-13.03</v>
      </c>
      <c r="CD16" t="s">
        <v>841</v>
      </c>
      <c r="CE16" t="s">
        <v>284</v>
      </c>
      <c r="CF16" s="11">
        <v>-0.99588477366255146</v>
      </c>
      <c r="CG16" s="12">
        <v>-0.99780651013941701</v>
      </c>
      <c r="CH16" s="11">
        <v>84.398605346679688</v>
      </c>
      <c r="CI16" s="11" t="s">
        <v>5</v>
      </c>
      <c r="CJ16" s="11" t="s">
        <v>5</v>
      </c>
      <c r="CK16" s="11">
        <v>-9.1121494770050049E-2</v>
      </c>
      <c r="CL16" s="11">
        <v>5.5487051606178284E-2</v>
      </c>
      <c r="CM16" s="12">
        <v>165.89085388183594</v>
      </c>
      <c r="CN16" s="12" t="s">
        <v>5</v>
      </c>
      <c r="CO16" s="12" t="s">
        <v>5</v>
      </c>
      <c r="CP16" s="12" t="s">
        <v>5</v>
      </c>
      <c r="CQ16" s="12" t="s">
        <v>5</v>
      </c>
      <c r="CR16">
        <v>1.1873517450086719</v>
      </c>
      <c r="CS16">
        <v>4.2222970538814523E-4</v>
      </c>
      <c r="CT16">
        <v>0.1385390428211587</v>
      </c>
      <c r="CU16" s="11">
        <v>28.12099030117194</v>
      </c>
      <c r="CV16" s="12">
        <v>165.89085388183594</v>
      </c>
      <c r="CW16">
        <v>0.06</v>
      </c>
      <c r="CX16">
        <v>1.842465399941828E-2</v>
      </c>
      <c r="CY16">
        <v>294039584144.75781</v>
      </c>
      <c r="CZ16">
        <v>28.12099030117194</v>
      </c>
      <c r="DA16">
        <v>2.7237259662306414E-5</v>
      </c>
      <c r="DB16">
        <v>198903181420169.59</v>
      </c>
      <c r="DC16">
        <v>26.714940786113342</v>
      </c>
      <c r="DD16">
        <v>2.3635772653740589E-9</v>
      </c>
      <c r="DE16">
        <v>2.2921093714034419E+18</v>
      </c>
      <c r="DF16">
        <v>24.746471465031306</v>
      </c>
      <c r="DG16">
        <v>1.687425815612618E-14</v>
      </c>
      <c r="DH16">
        <v>3.2105574952538902E+23</v>
      </c>
      <c r="DI16">
        <v>22.496792240937552</v>
      </c>
      <c r="DJ16">
        <v>7.4918493165090751E-27</v>
      </c>
      <c r="DK16">
        <v>7.2312954667438386E+35</v>
      </c>
      <c r="DL16">
        <v>19.684693210820356</v>
      </c>
      <c r="DM16">
        <v>10703000000</v>
      </c>
      <c r="DN16">
        <v>28.12099030117194</v>
      </c>
      <c r="DO16">
        <v>5417577600</v>
      </c>
      <c r="DP16">
        <v>730834930</v>
      </c>
      <c r="DQ16">
        <v>2910</v>
      </c>
      <c r="DR16">
        <v>-29.116875074834493</v>
      </c>
      <c r="DS16">
        <v>-166.88866039197535</v>
      </c>
      <c r="DT16" s="13">
        <v>-0.21000000000000008</v>
      </c>
      <c r="DU16">
        <v>-0.42000000000000015</v>
      </c>
      <c r="DV16">
        <v>-0.63000000000000023</v>
      </c>
      <c r="DW16">
        <v>-8.2294704528012286</v>
      </c>
      <c r="DX16">
        <v>0.32280780487805033</v>
      </c>
      <c r="DY16">
        <v>-8.0281807625928909</v>
      </c>
      <c r="DZ16">
        <v>1306</v>
      </c>
      <c r="EA16">
        <v>-8.0209783993940036</v>
      </c>
      <c r="EB16">
        <v>8</v>
      </c>
      <c r="EC16">
        <v>6.3301973516141558E-2</v>
      </c>
      <c r="ED16">
        <v>0.51545562253964228</v>
      </c>
      <c r="EE16" s="14">
        <v>-2.1019100000000002</v>
      </c>
      <c r="EF16">
        <v>-2.1247099999999999</v>
      </c>
      <c r="EG16">
        <v>20.12280780487805</v>
      </c>
      <c r="EH16" t="s">
        <v>470</v>
      </c>
      <c r="EI16">
        <v>0</v>
      </c>
      <c r="EJ16">
        <v>1</v>
      </c>
      <c r="EK16" s="10">
        <v>45470</v>
      </c>
      <c r="EL16" s="15">
        <v>-0.51</v>
      </c>
      <c r="EM16" s="15">
        <v>-6.45</v>
      </c>
      <c r="EN16" s="15">
        <v>0.34</v>
      </c>
      <c r="EO16" s="15">
        <v>2.79</v>
      </c>
      <c r="EP16" s="15">
        <v>-2.2799999999999998</v>
      </c>
    </row>
    <row r="17" spans="1:146" ht="108" x14ac:dyDescent="0.25">
      <c r="C17" s="7" t="str">
        <f>""&amp;CHAR(10)&amp;Basic_Fundamental_Information_Constructure(F17)&amp;CHAR(10)&amp;Basic_Fundamental_Information_Concatenate("")</f>
        <v xml:space="preserve">
市值30.000141亿, 利润2262.52万; PE.983; 平均PE-2.3; 平均PEG-.14, PB8.04; ROIC0%; ROE-93.24%; 股利率0%; 毛利-28.9%; 净利-17.72%; 上一年度营收增-47.64%, 利润增100.48%; 当季营收增-82.72%, 利润增-125.82%; 过往5年营收增-16.56%, 利润增-12205.92%
Income profile:
</v>
      </c>
      <c r="D17" t="s">
        <v>842</v>
      </c>
      <c r="E17" t="s">
        <v>843</v>
      </c>
      <c r="F17">
        <v>1.47</v>
      </c>
      <c r="G17">
        <v>2.8</v>
      </c>
      <c r="H17" t="s">
        <v>844</v>
      </c>
      <c r="I17">
        <v>3000014100</v>
      </c>
      <c r="J17">
        <v>0.98299999999999998</v>
      </c>
      <c r="K17">
        <v>8.0399999999999991</v>
      </c>
      <c r="L17" t="s">
        <v>101</v>
      </c>
      <c r="M17" t="s">
        <v>137</v>
      </c>
      <c r="N17" t="s">
        <v>168</v>
      </c>
      <c r="O17" t="s">
        <v>845</v>
      </c>
      <c r="P17" s="5">
        <v>-91.5</v>
      </c>
      <c r="Q17" t="s">
        <v>104</v>
      </c>
      <c r="R17">
        <v>-743871</v>
      </c>
      <c r="S17">
        <v>0.99619999999999997</v>
      </c>
      <c r="T17" t="s">
        <v>846</v>
      </c>
      <c r="U17">
        <v>1943089500</v>
      </c>
      <c r="V17">
        <v>2040825900</v>
      </c>
      <c r="W17">
        <v>1.48</v>
      </c>
      <c r="X17">
        <v>0.02</v>
      </c>
      <c r="Y17">
        <v>7.0000000000000007E-2</v>
      </c>
      <c r="Z17" t="s">
        <v>847</v>
      </c>
      <c r="AA17" t="s">
        <v>848</v>
      </c>
      <c r="AB17" t="s">
        <v>849</v>
      </c>
      <c r="AC17" t="s">
        <v>850</v>
      </c>
      <c r="AD17" t="s">
        <v>5</v>
      </c>
      <c r="AE17">
        <v>223068</v>
      </c>
      <c r="AF17" t="s">
        <v>162</v>
      </c>
      <c r="AG17" t="s">
        <v>851</v>
      </c>
      <c r="AH17" t="s">
        <v>852</v>
      </c>
      <c r="AI17" t="s">
        <v>177</v>
      </c>
      <c r="AJ17" t="s">
        <v>5</v>
      </c>
      <c r="AK17" t="s">
        <v>5</v>
      </c>
      <c r="AL17" t="s">
        <v>853</v>
      </c>
      <c r="AM17" t="s">
        <v>5</v>
      </c>
      <c r="AN17">
        <v>0</v>
      </c>
      <c r="AO17" t="s">
        <v>5</v>
      </c>
      <c r="AP17" t="s">
        <v>5</v>
      </c>
      <c r="AQ17" t="s">
        <v>854</v>
      </c>
      <c r="AR17" t="s">
        <v>5</v>
      </c>
      <c r="AS17" t="s">
        <v>74</v>
      </c>
      <c r="AT17" t="s">
        <v>5</v>
      </c>
      <c r="AU17" t="s">
        <v>855</v>
      </c>
      <c r="AV17" t="s">
        <v>856</v>
      </c>
      <c r="AW17" t="s">
        <v>5</v>
      </c>
      <c r="AX17" t="s">
        <v>96</v>
      </c>
      <c r="AY17" t="s">
        <v>472</v>
      </c>
      <c r="AZ17" t="s">
        <v>857</v>
      </c>
      <c r="BA17" t="s">
        <v>858</v>
      </c>
      <c r="BB17" t="s">
        <v>859</v>
      </c>
      <c r="BC17" t="s">
        <v>860</v>
      </c>
      <c r="BD17" t="s">
        <v>861</v>
      </c>
      <c r="BE17" t="s">
        <v>862</v>
      </c>
      <c r="BF17" t="s">
        <v>863</v>
      </c>
      <c r="BG17" t="s">
        <v>177</v>
      </c>
      <c r="BH17" t="s">
        <v>233</v>
      </c>
      <c r="BI17" t="s">
        <v>864</v>
      </c>
      <c r="BJ17" t="s">
        <v>96</v>
      </c>
      <c r="BK17" t="s">
        <v>865</v>
      </c>
      <c r="BL17" t="s">
        <v>866</v>
      </c>
      <c r="BM17" t="s">
        <v>860</v>
      </c>
      <c r="BN17" t="s">
        <v>5</v>
      </c>
      <c r="BO17" t="s">
        <v>5</v>
      </c>
      <c r="BP17" t="s">
        <v>5</v>
      </c>
      <c r="BQ17" t="s">
        <v>5</v>
      </c>
      <c r="BR17" t="s">
        <v>5</v>
      </c>
      <c r="BS17">
        <v>-93.24</v>
      </c>
      <c r="BT17" t="s">
        <v>351</v>
      </c>
      <c r="BU17" t="s">
        <v>101</v>
      </c>
      <c r="BV17">
        <v>14.34</v>
      </c>
      <c r="BW17">
        <v>-118.17</v>
      </c>
      <c r="BX17">
        <v>17.13</v>
      </c>
      <c r="BY17">
        <v>709.17</v>
      </c>
      <c r="BZ17">
        <v>-662.76</v>
      </c>
      <c r="CA17">
        <v>-99.57</v>
      </c>
      <c r="CB17">
        <v>-2.65</v>
      </c>
      <c r="CC17" s="11">
        <v>-14.04</v>
      </c>
      <c r="CD17" s="12" t="s">
        <v>867</v>
      </c>
      <c r="CE17" s="11" t="s">
        <v>471</v>
      </c>
      <c r="CF17" s="11">
        <v>-0.82715394636674344</v>
      </c>
      <c r="CG17" s="11">
        <v>-1.2582168147736741</v>
      </c>
      <c r="CH17" s="11">
        <v>-0.4763832688331604</v>
      </c>
      <c r="CI17" s="11">
        <v>-0.49072167277336121</v>
      </c>
      <c r="CJ17" s="12">
        <v>1.0785715579986572</v>
      </c>
      <c r="CK17" s="12">
        <v>-0.60718291997909546</v>
      </c>
      <c r="CL17" s="12">
        <v>-0.33208397030830383</v>
      </c>
      <c r="CM17" s="12">
        <v>1.0047894716262817</v>
      </c>
      <c r="CN17" s="12">
        <v>-2.5359280109405518</v>
      </c>
      <c r="CO17">
        <v>0.31871491670608521</v>
      </c>
      <c r="CP17">
        <v>-608.1019287109375</v>
      </c>
      <c r="CQ17">
        <v>-0.98185336589813232</v>
      </c>
      <c r="CR17" s="11">
        <v>-2.3026418584780708</v>
      </c>
      <c r="CS17" s="12">
        <v>-0.13908197007732626</v>
      </c>
      <c r="CT17">
        <v>0</v>
      </c>
      <c r="CU17">
        <v>-0.16556005477905272</v>
      </c>
      <c r="CV17">
        <v>-122.05924113988877</v>
      </c>
      <c r="CW17">
        <v>0.06</v>
      </c>
      <c r="CX17" t="e">
        <v>#VALUE!</v>
      </c>
      <c r="CY17" t="s">
        <v>89</v>
      </c>
      <c r="CZ17">
        <v>-0.16556005477905272</v>
      </c>
      <c r="DA17">
        <v>41.193213761646305</v>
      </c>
      <c r="DB17" t="s">
        <v>868</v>
      </c>
      <c r="DC17">
        <v>-0.15728205204010007</v>
      </c>
      <c r="DD17">
        <v>20.596606880823153</v>
      </c>
      <c r="DE17" t="s">
        <v>869</v>
      </c>
      <c r="DF17">
        <v>-0.14569284820556641</v>
      </c>
      <c r="DG17">
        <v>12.357964128493892</v>
      </c>
      <c r="DH17" t="s">
        <v>870</v>
      </c>
      <c r="DI17">
        <v>-0.13244804382324218</v>
      </c>
      <c r="DJ17">
        <v>6.178982064246946</v>
      </c>
      <c r="DK17" t="s">
        <v>871</v>
      </c>
      <c r="DL17">
        <v>-0.1158920383453369</v>
      </c>
      <c r="DM17">
        <v>22625200</v>
      </c>
      <c r="DN17">
        <v>-0.16556005477905272</v>
      </c>
      <c r="DO17">
        <v>2796014100</v>
      </c>
      <c r="DP17">
        <v>293192070</v>
      </c>
      <c r="DQ17" s="13">
        <v>2950</v>
      </c>
      <c r="DR17">
        <v>-0.66159389158769066</v>
      </c>
      <c r="DS17">
        <v>120.80102432511509</v>
      </c>
      <c r="DT17">
        <v>-0.82333333333333325</v>
      </c>
      <c r="DU17">
        <v>-2.4150000000000005</v>
      </c>
      <c r="DV17">
        <v>-3.2383333333333337</v>
      </c>
      <c r="DW17">
        <v>-8.1887464387464384</v>
      </c>
      <c r="DX17">
        <v>0.35960296296296407</v>
      </c>
      <c r="DY17">
        <v>-8.0301244908726392</v>
      </c>
      <c r="DZ17">
        <v>4366</v>
      </c>
      <c r="EA17">
        <v>-8.0043860315477975</v>
      </c>
      <c r="EB17" s="14">
        <v>8</v>
      </c>
      <c r="EC17" s="14">
        <v>1.0557686473892752E-2</v>
      </c>
      <c r="ED17">
        <v>6.6149689691805652E-2</v>
      </c>
      <c r="EE17">
        <v>-4.0713100000000004</v>
      </c>
      <c r="EF17">
        <v>-4.09321</v>
      </c>
      <c r="EG17">
        <v>20.159602962962964</v>
      </c>
      <c r="EH17" s="10" t="s">
        <v>872</v>
      </c>
      <c r="EI17">
        <v>0</v>
      </c>
      <c r="EJ17">
        <v>0</v>
      </c>
      <c r="EK17">
        <v>45470</v>
      </c>
      <c r="EL17">
        <v>0</v>
      </c>
      <c r="EM17">
        <v>-4.5999999999999996</v>
      </c>
      <c r="EN17" s="15">
        <v>1.47</v>
      </c>
      <c r="EO17" s="15">
        <v>3.93</v>
      </c>
      <c r="EP17" s="15">
        <v>-2.19</v>
      </c>
    </row>
    <row r="18" spans="1:146" ht="108" x14ac:dyDescent="0.25">
      <c r="A18" s="7"/>
      <c r="B18" s="7"/>
      <c r="C18" s="7" t="str">
        <f>""&amp;CHAR(10)&amp;Basic_Fundamental_Information_Constructure(F18)&amp;CHAR(10)&amp;Basic_Fundamental_Information_Concatenate("")</f>
        <v xml:space="preserve">
市值27.822803亿, 利润767.15万; PE; 平均PE-2.74; 平均PEG-.35, PB; ROIC0%; ROE-43.46%; 股利率0%; 毛利4.74%; 净利-178.13%; 上一年度营收增-19.12%, 利润增100.6%; 当季营收增-37.04%, 利润增-297.98%; 过往5年营收增-7.74%, 利润增-5320.58%
Income profile:
</v>
      </c>
      <c r="D18" t="s">
        <v>301</v>
      </c>
      <c r="E18" t="s">
        <v>873</v>
      </c>
      <c r="F18">
        <v>1.5</v>
      </c>
      <c r="G18">
        <v>2.04</v>
      </c>
      <c r="H18" t="s">
        <v>874</v>
      </c>
      <c r="I18">
        <v>2782280300</v>
      </c>
      <c r="L18" t="s">
        <v>101</v>
      </c>
      <c r="M18" t="s">
        <v>875</v>
      </c>
      <c r="N18" t="s">
        <v>876</v>
      </c>
      <c r="O18" t="s">
        <v>189</v>
      </c>
      <c r="P18">
        <v>-15.76</v>
      </c>
      <c r="Q18" t="s">
        <v>133</v>
      </c>
      <c r="R18">
        <v>-80527485</v>
      </c>
      <c r="S18" s="5">
        <v>-0.47639999999999999</v>
      </c>
      <c r="T18" t="s">
        <v>877</v>
      </c>
      <c r="U18">
        <v>1854853500</v>
      </c>
      <c r="V18">
        <v>1854853500</v>
      </c>
      <c r="W18" t="s">
        <v>5</v>
      </c>
      <c r="X18">
        <v>0.05</v>
      </c>
      <c r="Y18">
        <v>-59.65</v>
      </c>
      <c r="Z18" t="s">
        <v>163</v>
      </c>
      <c r="AA18" t="s">
        <v>878</v>
      </c>
      <c r="AB18" t="s">
        <v>879</v>
      </c>
      <c r="AC18" t="s">
        <v>880</v>
      </c>
      <c r="AD18" t="s">
        <v>5</v>
      </c>
      <c r="AE18">
        <v>38645414</v>
      </c>
      <c r="AF18" t="s">
        <v>881</v>
      </c>
      <c r="AG18" t="s">
        <v>882</v>
      </c>
      <c r="AH18" t="s">
        <v>883</v>
      </c>
      <c r="AI18" t="s">
        <v>71</v>
      </c>
      <c r="AJ18" t="s">
        <v>5</v>
      </c>
      <c r="AK18" t="s">
        <v>5</v>
      </c>
      <c r="AL18" t="s">
        <v>884</v>
      </c>
      <c r="AM18" t="s">
        <v>5</v>
      </c>
      <c r="AN18" t="s">
        <v>885</v>
      </c>
      <c r="AO18" t="s">
        <v>5</v>
      </c>
      <c r="AP18" t="s">
        <v>5</v>
      </c>
      <c r="AQ18" t="s">
        <v>22</v>
      </c>
      <c r="AR18" t="s">
        <v>5</v>
      </c>
      <c r="AS18" t="s">
        <v>886</v>
      </c>
      <c r="AT18" t="s">
        <v>887</v>
      </c>
      <c r="AU18" t="s">
        <v>888</v>
      </c>
      <c r="AV18" t="s">
        <v>889</v>
      </c>
      <c r="AW18" t="s">
        <v>890</v>
      </c>
      <c r="AX18" t="s">
        <v>346</v>
      </c>
      <c r="AY18" t="s">
        <v>302</v>
      </c>
      <c r="AZ18" t="s">
        <v>73</v>
      </c>
      <c r="BA18" t="s">
        <v>304</v>
      </c>
      <c r="BB18" t="s">
        <v>221</v>
      </c>
      <c r="BC18" t="s">
        <v>891</v>
      </c>
      <c r="BD18" t="s">
        <v>303</v>
      </c>
      <c r="BE18" t="s">
        <v>305</v>
      </c>
      <c r="BF18" t="s">
        <v>306</v>
      </c>
      <c r="BG18" t="s">
        <v>307</v>
      </c>
      <c r="BH18" t="s">
        <v>348</v>
      </c>
      <c r="BI18" t="s">
        <v>268</v>
      </c>
      <c r="BJ18" t="s">
        <v>346</v>
      </c>
      <c r="BK18" t="s">
        <v>892</v>
      </c>
      <c r="BL18" t="s">
        <v>893</v>
      </c>
      <c r="BM18" t="s">
        <v>891</v>
      </c>
      <c r="BN18" t="s">
        <v>5</v>
      </c>
      <c r="BO18" t="s">
        <v>5</v>
      </c>
      <c r="BP18" t="s">
        <v>5</v>
      </c>
      <c r="BQ18">
        <v>-17.899999999999999</v>
      </c>
      <c r="BR18">
        <v>-84.67</v>
      </c>
      <c r="BS18">
        <v>-27.81</v>
      </c>
      <c r="BT18" t="s">
        <v>351</v>
      </c>
      <c r="BU18" t="s">
        <v>101</v>
      </c>
      <c r="BV18">
        <v>16.39</v>
      </c>
      <c r="BW18">
        <v>-0.28000000000000003</v>
      </c>
      <c r="BX18">
        <v>-1.89</v>
      </c>
      <c r="BY18">
        <v>-281.13</v>
      </c>
      <c r="BZ18">
        <v>-162.29</v>
      </c>
      <c r="CA18">
        <v>-90.97</v>
      </c>
      <c r="CB18">
        <v>0.67</v>
      </c>
      <c r="CC18">
        <v>-19.350000000000001</v>
      </c>
      <c r="CD18" t="s">
        <v>894</v>
      </c>
      <c r="CE18" t="s">
        <v>272</v>
      </c>
      <c r="CF18" s="11">
        <v>-0.37037037037037035</v>
      </c>
      <c r="CG18" s="12">
        <v>-2.9797734977910317</v>
      </c>
      <c r="CH18" s="11">
        <v>-0.19124999642372131</v>
      </c>
      <c r="CI18" s="11">
        <v>3.0927835032343864E-2</v>
      </c>
      <c r="CJ18" s="11">
        <v>0.46969696879386902</v>
      </c>
      <c r="CK18" s="11">
        <v>-0.76258993148803711</v>
      </c>
      <c r="CL18" s="11">
        <v>6.6155321896076202E-2</v>
      </c>
      <c r="CM18" s="12">
        <v>1.0060358047485352</v>
      </c>
      <c r="CN18" s="12">
        <v>-0.77019506692886353</v>
      </c>
      <c r="CO18" s="12">
        <v>0.79266530275344849</v>
      </c>
      <c r="CP18" s="12">
        <v>-268.07696533203125</v>
      </c>
      <c r="CQ18" s="12">
        <v>1.0197055339813232</v>
      </c>
      <c r="CR18">
        <v>-2.7414499666319734</v>
      </c>
      <c r="CS18">
        <v>-0.35413777808035057</v>
      </c>
      <c r="CT18">
        <v>0</v>
      </c>
      <c r="CU18" s="11">
        <v>-7.7411960437893862E-2</v>
      </c>
      <c r="CV18" s="12">
        <v>-53.205750751495358</v>
      </c>
      <c r="CW18">
        <v>0.06</v>
      </c>
      <c r="CX18" t="e">
        <v>#VALUE!</v>
      </c>
      <c r="CY18" t="s">
        <v>89</v>
      </c>
      <c r="CZ18">
        <v>-7.7411960437893862E-2</v>
      </c>
      <c r="DA18">
        <v>354.7885159356058</v>
      </c>
      <c r="DB18" t="s">
        <v>895</v>
      </c>
      <c r="DC18">
        <v>-7.3541362415999165E-2</v>
      </c>
      <c r="DD18">
        <v>177.3942579678029</v>
      </c>
      <c r="DE18" t="s">
        <v>896</v>
      </c>
      <c r="DF18">
        <v>-6.8122525185346602E-2</v>
      </c>
      <c r="DG18">
        <v>106.43655478068175</v>
      </c>
      <c r="DH18" t="s">
        <v>897</v>
      </c>
      <c r="DI18">
        <v>-6.1929568350315094E-2</v>
      </c>
      <c r="DJ18">
        <v>53.218277390340873</v>
      </c>
      <c r="DK18" t="s">
        <v>898</v>
      </c>
      <c r="DL18">
        <v>-5.4188372306525699E-2</v>
      </c>
      <c r="DM18">
        <v>7671500</v>
      </c>
      <c r="DN18">
        <v>-7.7411960437893862E-2</v>
      </c>
      <c r="DO18">
        <v>8165280300</v>
      </c>
      <c r="DP18">
        <v>-2563130530</v>
      </c>
      <c r="DQ18">
        <v>3400</v>
      </c>
      <c r="DR18">
        <v>-0.29295840993247646</v>
      </c>
      <c r="DS18">
        <v>50.225977253704329</v>
      </c>
      <c r="DT18" s="13">
        <v>-0.70666666666666667</v>
      </c>
      <c r="DU18">
        <v>-1.8816666666666668</v>
      </c>
      <c r="DV18">
        <v>-2.5883333333333334</v>
      </c>
      <c r="DW18">
        <v>-3.0378869047619048</v>
      </c>
      <c r="DX18">
        <v>0.26340011910669847</v>
      </c>
      <c r="DY18">
        <v>-3.0039175104649654</v>
      </c>
      <c r="DZ18">
        <v>3637</v>
      </c>
      <c r="EA18">
        <v>-3.0011292549735606</v>
      </c>
      <c r="EB18">
        <v>3</v>
      </c>
      <c r="EC18">
        <v>4.4931041723780339E-2</v>
      </c>
      <c r="ED18">
        <v>0.43453566548517175</v>
      </c>
      <c r="EE18" s="14">
        <v>-3.0066099999999998</v>
      </c>
      <c r="EF18">
        <v>-3.0218099999999999</v>
      </c>
      <c r="EG18">
        <v>16.103400119106698</v>
      </c>
      <c r="EH18" t="s">
        <v>552</v>
      </c>
      <c r="EI18">
        <v>0</v>
      </c>
      <c r="EJ18">
        <v>0</v>
      </c>
      <c r="EK18" s="10">
        <v>45470</v>
      </c>
      <c r="EL18" s="15">
        <v>-0.27</v>
      </c>
      <c r="EM18" s="15">
        <v>-5.16</v>
      </c>
      <c r="EN18" s="15">
        <v>0.56999999999999995</v>
      </c>
      <c r="EO18" s="15">
        <v>2.85</v>
      </c>
      <c r="EP18" s="15">
        <v>-1.52</v>
      </c>
    </row>
    <row r="19" spans="1:146" ht="108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市值201.2626亿, 利润2.27亿; PE112.9; 平均PE53.72; 平均PEG11.71, PB1.8; ROIC2.93%; ROE1.4833%; 股利率.6586%; 毛利19.9467%; 净利-.16%; 上一年度营收增-3.15%, 利润增205.58%; 当季营收增61.57%, 利润增4745.85%; 过往5年营收增-4.59%, 利润增-4.9%
Income profile:
</v>
      </c>
      <c r="D19" t="s">
        <v>309</v>
      </c>
      <c r="E19" t="s">
        <v>310</v>
      </c>
      <c r="F19">
        <v>10.78</v>
      </c>
      <c r="G19">
        <v>1.03</v>
      </c>
      <c r="H19" t="s">
        <v>899</v>
      </c>
      <c r="I19">
        <v>20126260000</v>
      </c>
      <c r="J19">
        <v>112.9</v>
      </c>
      <c r="K19">
        <v>1.8</v>
      </c>
      <c r="L19" t="s">
        <v>101</v>
      </c>
      <c r="M19" t="s">
        <v>900</v>
      </c>
      <c r="N19" t="s">
        <v>901</v>
      </c>
      <c r="O19" t="s">
        <v>902</v>
      </c>
      <c r="P19">
        <v>-28.99</v>
      </c>
      <c r="Q19" t="s">
        <v>903</v>
      </c>
      <c r="R19">
        <v>96907299</v>
      </c>
      <c r="S19" s="5">
        <v>-0.46660000000000001</v>
      </c>
      <c r="T19" t="s">
        <v>365</v>
      </c>
      <c r="U19">
        <v>1867000000</v>
      </c>
      <c r="V19">
        <v>1867000000</v>
      </c>
      <c r="W19">
        <v>1.89</v>
      </c>
      <c r="X19">
        <v>0.05</v>
      </c>
      <c r="Y19">
        <v>9.2100000000000009</v>
      </c>
      <c r="Z19" t="s">
        <v>484</v>
      </c>
      <c r="AA19" t="s">
        <v>904</v>
      </c>
      <c r="AB19" t="s">
        <v>905</v>
      </c>
      <c r="AC19" t="s">
        <v>69</v>
      </c>
      <c r="AD19" t="s">
        <v>5</v>
      </c>
      <c r="AE19">
        <v>-34774620</v>
      </c>
      <c r="AF19" t="s">
        <v>906</v>
      </c>
      <c r="AG19" t="s">
        <v>907</v>
      </c>
      <c r="AH19" t="s">
        <v>908</v>
      </c>
      <c r="AI19" t="s">
        <v>327</v>
      </c>
      <c r="AJ19" t="s">
        <v>909</v>
      </c>
      <c r="AK19" t="s">
        <v>910</v>
      </c>
      <c r="AL19" t="s">
        <v>911</v>
      </c>
      <c r="AM19" t="s">
        <v>5</v>
      </c>
      <c r="AN19" t="s">
        <v>912</v>
      </c>
      <c r="AO19" t="s">
        <v>5</v>
      </c>
      <c r="AP19" t="s">
        <v>5</v>
      </c>
      <c r="AQ19" t="s">
        <v>913</v>
      </c>
      <c r="AR19" t="s">
        <v>638</v>
      </c>
      <c r="AS19" t="s">
        <v>914</v>
      </c>
      <c r="AT19" t="s">
        <v>5</v>
      </c>
      <c r="AU19" t="s">
        <v>547</v>
      </c>
      <c r="AV19" t="s">
        <v>915</v>
      </c>
      <c r="AW19" t="s">
        <v>916</v>
      </c>
      <c r="AX19" t="s">
        <v>349</v>
      </c>
      <c r="AY19" t="s">
        <v>311</v>
      </c>
      <c r="AZ19" t="s">
        <v>312</v>
      </c>
      <c r="BA19" t="s">
        <v>313</v>
      </c>
      <c r="BB19" t="s">
        <v>314</v>
      </c>
      <c r="BC19" t="s">
        <v>371</v>
      </c>
      <c r="BD19" t="s">
        <v>143</v>
      </c>
      <c r="BE19" t="s">
        <v>315</v>
      </c>
      <c r="BF19" t="s">
        <v>316</v>
      </c>
      <c r="BG19" t="s">
        <v>317</v>
      </c>
      <c r="BH19" t="s">
        <v>917</v>
      </c>
      <c r="BI19" t="s">
        <v>918</v>
      </c>
      <c r="BJ19" t="s">
        <v>349</v>
      </c>
      <c r="BK19" t="s">
        <v>136</v>
      </c>
      <c r="BL19" t="s">
        <v>919</v>
      </c>
      <c r="BM19" t="s">
        <v>371</v>
      </c>
      <c r="BN19">
        <v>4.03</v>
      </c>
      <c r="BO19" t="s">
        <v>5</v>
      </c>
      <c r="BP19">
        <v>1.83</v>
      </c>
      <c r="BQ19">
        <v>4.26</v>
      </c>
      <c r="BR19">
        <v>-1.96</v>
      </c>
      <c r="BS19">
        <v>2.15</v>
      </c>
      <c r="BT19" t="s">
        <v>920</v>
      </c>
      <c r="BU19" t="s">
        <v>101</v>
      </c>
      <c r="BV19">
        <v>24.49</v>
      </c>
      <c r="BW19">
        <v>17.86</v>
      </c>
      <c r="BX19">
        <v>17.489999999999998</v>
      </c>
      <c r="BY19">
        <v>5.61</v>
      </c>
      <c r="BZ19">
        <v>-9.9600000000000009</v>
      </c>
      <c r="CA19">
        <v>3.87</v>
      </c>
      <c r="CB19">
        <v>0.19</v>
      </c>
      <c r="CC19">
        <v>-6.99</v>
      </c>
      <c r="CD19" t="s">
        <v>921</v>
      </c>
      <c r="CE19" t="s">
        <v>152</v>
      </c>
      <c r="CF19" s="11">
        <v>0.61574803149606294</v>
      </c>
      <c r="CG19" s="12">
        <v>47.458495349534957</v>
      </c>
      <c r="CH19" s="11">
        <v>-3.1506847590208054E-2</v>
      </c>
      <c r="CI19" s="11">
        <v>-0.49793672561645508</v>
      </c>
      <c r="CJ19" s="11">
        <v>0.97152531147003174</v>
      </c>
      <c r="CK19" s="11">
        <v>-0.67468017339706421</v>
      </c>
      <c r="CL19" s="11">
        <v>3.3193326089531183E-3</v>
      </c>
      <c r="CM19" s="12">
        <v>2.0558140277862549</v>
      </c>
      <c r="CN19" s="12">
        <v>-1.9110169410705566</v>
      </c>
      <c r="CO19" s="12">
        <v>1.4244604110717773</v>
      </c>
      <c r="CP19" s="12">
        <v>-1.5240339040756226</v>
      </c>
      <c r="CQ19" s="12">
        <v>-0.29030102491378784</v>
      </c>
      <c r="CR19">
        <v>53.717775800711742</v>
      </c>
      <c r="CS19">
        <v>11.714494519821061</v>
      </c>
      <c r="CT19">
        <v>0.65862708719851581</v>
      </c>
      <c r="CU19" s="11">
        <v>-4.5855820504948498E-2</v>
      </c>
      <c r="CV19" s="12">
        <v>-4.9015486240386964E-2</v>
      </c>
      <c r="CW19">
        <v>0.06</v>
      </c>
      <c r="CX19">
        <v>70.031982378854622</v>
      </c>
      <c r="CY19" t="s">
        <v>922</v>
      </c>
      <c r="CZ19">
        <v>-4.5855820504948498E-2</v>
      </c>
      <c r="DA19">
        <v>23.343994126284876</v>
      </c>
      <c r="DB19" t="s">
        <v>923</v>
      </c>
      <c r="DC19">
        <v>-4.3563029479701074E-2</v>
      </c>
      <c r="DD19">
        <v>11.671997063142438</v>
      </c>
      <c r="DE19" t="s">
        <v>924</v>
      </c>
      <c r="DF19">
        <v>-4.0353122044354678E-2</v>
      </c>
      <c r="DG19">
        <v>7.0031982378854627</v>
      </c>
      <c r="DH19" t="s">
        <v>925</v>
      </c>
      <c r="DI19">
        <v>-3.66846564039588E-2</v>
      </c>
      <c r="DJ19">
        <v>3.5015991189427313</v>
      </c>
      <c r="DK19" t="s">
        <v>926</v>
      </c>
      <c r="DL19">
        <v>-3.2099074353463944E-2</v>
      </c>
      <c r="DM19">
        <v>227000000</v>
      </c>
      <c r="DN19">
        <v>-4.5855820504948498E-2</v>
      </c>
      <c r="DO19">
        <v>15897260000</v>
      </c>
      <c r="DP19">
        <v>8011009000</v>
      </c>
      <c r="DQ19">
        <v>3599</v>
      </c>
      <c r="DR19">
        <v>0.66160385200101146</v>
      </c>
      <c r="DS19">
        <v>47.507510835775342</v>
      </c>
      <c r="DT19" s="13">
        <v>-0.55666666666666664</v>
      </c>
      <c r="DU19">
        <v>-0.9</v>
      </c>
      <c r="DV19">
        <v>-1.4566666666666666</v>
      </c>
      <c r="DW19">
        <v>-2.0699000000000001</v>
      </c>
      <c r="DX19">
        <v>0.39049036144578264</v>
      </c>
      <c r="DY19">
        <v>-2.0119172762650601</v>
      </c>
      <c r="DZ19">
        <v>483</v>
      </c>
      <c r="EA19">
        <v>-2.0107908487824724</v>
      </c>
      <c r="EB19">
        <v>2</v>
      </c>
      <c r="EC19">
        <v>1.5158757364756293E-2</v>
      </c>
      <c r="ED19">
        <v>8.8912694161756831E-2</v>
      </c>
      <c r="EE19" s="14">
        <v>-1.12971</v>
      </c>
      <c r="EF19">
        <v>-2.01491</v>
      </c>
      <c r="EG19">
        <v>22.170490361445783</v>
      </c>
      <c r="EH19" t="s">
        <v>470</v>
      </c>
      <c r="EI19">
        <v>0</v>
      </c>
      <c r="EJ19">
        <v>1</v>
      </c>
      <c r="EK19" s="10">
        <v>45470</v>
      </c>
      <c r="EL19" s="15">
        <v>-2.88</v>
      </c>
      <c r="EM19" s="15">
        <v>-2.87</v>
      </c>
      <c r="EN19" s="15">
        <v>-1.42</v>
      </c>
      <c r="EO19" s="15">
        <v>0.88</v>
      </c>
      <c r="EP19" s="15">
        <v>-3.52</v>
      </c>
    </row>
    <row r="20" spans="1:146" ht="108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市值85.74066亿, 利润42.22亿; PE62.53; 平均PE13.34; 平均PEG0, PB5.07; ROIC4.38%; ROE-3.4333%; 股利率.5959%; 毛利7.4367%; 净利-24.6933%; 上一年度营收增23552.33%, 利润增1387.2%; 当季营收增-99.07%, 利润增-95.18%; 过往5年营收增4716.09%, 利润增-112.74%
Income profile:
</v>
      </c>
      <c r="D20" t="s">
        <v>319</v>
      </c>
      <c r="E20" t="s">
        <v>320</v>
      </c>
      <c r="F20">
        <v>19.13</v>
      </c>
      <c r="G20">
        <v>0.63</v>
      </c>
      <c r="H20" t="s">
        <v>927</v>
      </c>
      <c r="I20">
        <v>8574066000</v>
      </c>
      <c r="J20">
        <v>62.53</v>
      </c>
      <c r="K20">
        <v>5.07</v>
      </c>
      <c r="L20" t="s">
        <v>101</v>
      </c>
      <c r="M20" t="s">
        <v>530</v>
      </c>
      <c r="N20" t="s">
        <v>928</v>
      </c>
      <c r="O20" t="s">
        <v>173</v>
      </c>
      <c r="P20">
        <v>18.260000000000002</v>
      </c>
      <c r="Q20" t="s">
        <v>929</v>
      </c>
      <c r="R20">
        <v>46112631</v>
      </c>
      <c r="S20" s="5">
        <v>0.28179999999999999</v>
      </c>
      <c r="T20" t="s">
        <v>930</v>
      </c>
      <c r="U20">
        <v>448200000</v>
      </c>
      <c r="V20">
        <v>448200000</v>
      </c>
      <c r="W20">
        <v>1.59</v>
      </c>
      <c r="X20">
        <v>7.0000000000000007E-2</v>
      </c>
      <c r="Y20">
        <v>24.68</v>
      </c>
      <c r="Z20" t="s">
        <v>318</v>
      </c>
      <c r="AA20" t="s">
        <v>282</v>
      </c>
      <c r="AB20" t="s">
        <v>931</v>
      </c>
      <c r="AC20" t="s">
        <v>932</v>
      </c>
      <c r="AD20" t="s">
        <v>5</v>
      </c>
      <c r="AE20">
        <v>1854698</v>
      </c>
      <c r="AF20" t="s">
        <v>933</v>
      </c>
      <c r="AG20" t="s">
        <v>934</v>
      </c>
      <c r="AH20" t="s">
        <v>935</v>
      </c>
      <c r="AI20" t="s">
        <v>286</v>
      </c>
      <c r="AJ20" t="s">
        <v>936</v>
      </c>
      <c r="AK20" t="s">
        <v>5</v>
      </c>
      <c r="AL20" t="s">
        <v>937</v>
      </c>
      <c r="AM20" t="s">
        <v>5</v>
      </c>
      <c r="AN20" t="s">
        <v>938</v>
      </c>
      <c r="AO20" t="s">
        <v>544</v>
      </c>
      <c r="AP20" t="s">
        <v>5</v>
      </c>
      <c r="AQ20" t="s">
        <v>84</v>
      </c>
      <c r="AR20" t="s">
        <v>939</v>
      </c>
      <c r="AS20" t="s">
        <v>174</v>
      </c>
      <c r="AT20" t="s">
        <v>5</v>
      </c>
      <c r="AU20" t="s">
        <v>940</v>
      </c>
      <c r="AV20" t="s">
        <v>534</v>
      </c>
      <c r="AW20" t="s">
        <v>941</v>
      </c>
      <c r="AX20" t="s">
        <v>556</v>
      </c>
      <c r="AY20" t="s">
        <v>287</v>
      </c>
      <c r="AZ20" t="s">
        <v>300</v>
      </c>
      <c r="BA20" t="s">
        <v>322</v>
      </c>
      <c r="BB20" t="s">
        <v>323</v>
      </c>
      <c r="BC20" t="s">
        <v>548</v>
      </c>
      <c r="BD20" t="s">
        <v>321</v>
      </c>
      <c r="BE20" t="s">
        <v>324</v>
      </c>
      <c r="BF20" t="s">
        <v>19</v>
      </c>
      <c r="BG20" t="s">
        <v>79</v>
      </c>
      <c r="BH20" t="s">
        <v>550</v>
      </c>
      <c r="BI20" t="s">
        <v>942</v>
      </c>
      <c r="BJ20" t="s">
        <v>556</v>
      </c>
      <c r="BK20" t="s">
        <v>127</v>
      </c>
      <c r="BL20" t="s">
        <v>943</v>
      </c>
      <c r="BM20" t="s">
        <v>548</v>
      </c>
      <c r="BN20">
        <v>7.57</v>
      </c>
      <c r="BO20" t="s">
        <v>5</v>
      </c>
      <c r="BP20">
        <v>1.19</v>
      </c>
      <c r="BQ20">
        <v>7.65</v>
      </c>
      <c r="BR20">
        <v>-19.100000000000001</v>
      </c>
      <c r="BS20">
        <v>1.1499999999999999</v>
      </c>
      <c r="BT20" t="s">
        <v>944</v>
      </c>
      <c r="BU20" t="s">
        <v>101</v>
      </c>
      <c r="BV20">
        <v>22.83</v>
      </c>
      <c r="BW20">
        <v>-10.65</v>
      </c>
      <c r="BX20">
        <v>10.130000000000001</v>
      </c>
      <c r="BY20">
        <v>18.16</v>
      </c>
      <c r="BZ20">
        <v>-94.17</v>
      </c>
      <c r="CA20">
        <v>1.93</v>
      </c>
      <c r="CB20">
        <v>-3.29</v>
      </c>
      <c r="CC20">
        <v>-26.73</v>
      </c>
      <c r="CD20" t="s">
        <v>945</v>
      </c>
      <c r="CE20" t="s">
        <v>92</v>
      </c>
      <c r="CF20" s="11">
        <v>-0.99065378966576167</v>
      </c>
      <c r="CG20" s="12">
        <v>-0.95176503033472803</v>
      </c>
      <c r="CH20" s="11">
        <v>235.52325439453125</v>
      </c>
      <c r="CI20" s="11">
        <v>-0.4117647111415863</v>
      </c>
      <c r="CJ20" s="11">
        <v>1.3656958341598511</v>
      </c>
      <c r="CK20" s="11">
        <v>-0.72086721658706665</v>
      </c>
      <c r="CL20" s="11">
        <v>4.8295516520738602E-2</v>
      </c>
      <c r="CM20" s="12">
        <v>13.871952056884766</v>
      </c>
      <c r="CN20" s="12">
        <v>-15.996685028076172</v>
      </c>
      <c r="CO20" s="12">
        <v>1.050745964050293</v>
      </c>
      <c r="CP20" s="12">
        <v>-4.1459856033325195</v>
      </c>
      <c r="CQ20" s="12">
        <v>-0.41702127456665039</v>
      </c>
      <c r="CR20">
        <v>13.33837437933828</v>
      </c>
      <c r="CS20">
        <v>2.828268319987668E-3</v>
      </c>
      <c r="CT20">
        <v>0.5959226346053319</v>
      </c>
      <c r="CU20" s="11">
        <v>47.160922763496636</v>
      </c>
      <c r="CV20" s="12">
        <v>-1.1273987770080567</v>
      </c>
      <c r="CW20">
        <v>0.06</v>
      </c>
      <c r="CX20">
        <v>4.1293003102914026E-2</v>
      </c>
      <c r="CY20">
        <v>191825864063.66299</v>
      </c>
      <c r="CZ20">
        <v>47.160922763496636</v>
      </c>
      <c r="DA20">
        <v>2.2716492005365472E-5</v>
      </c>
      <c r="DB20">
        <v>348692306810800.75</v>
      </c>
      <c r="DC20">
        <v>44.802876625321801</v>
      </c>
      <c r="DD20">
        <v>4.4025005318533416E-10</v>
      </c>
      <c r="DE20">
        <v>1.7992197712842594E+19</v>
      </c>
      <c r="DF20">
        <v>41.501612031877038</v>
      </c>
      <c r="DG20">
        <v>4.3046545254644946E-16</v>
      </c>
      <c r="DH20">
        <v>1.8401165420226786E+25</v>
      </c>
      <c r="DI20">
        <v>37.72873821079731</v>
      </c>
      <c r="DJ20">
        <v>1.3577637784302616E-30</v>
      </c>
      <c r="DK20">
        <v>5.833905813246621E+39</v>
      </c>
      <c r="DL20">
        <v>33.01264593444764</v>
      </c>
      <c r="DM20">
        <v>4222000000</v>
      </c>
      <c r="DN20">
        <v>47.160922763496636</v>
      </c>
      <c r="DO20">
        <v>7921066000</v>
      </c>
      <c r="DP20">
        <v>844566100</v>
      </c>
      <c r="DQ20">
        <v>3741</v>
      </c>
      <c r="DR20">
        <v>-48.1515765531624</v>
      </c>
      <c r="DS20">
        <v>0.17563374667332865</v>
      </c>
      <c r="DT20" s="13">
        <v>-0.25666666666666665</v>
      </c>
      <c r="DU20">
        <v>-1.34</v>
      </c>
      <c r="DV20">
        <v>-1.5966666666666667</v>
      </c>
      <c r="DW20">
        <v>-8.1230826786382337</v>
      </c>
      <c r="DX20">
        <v>0.31164295302013528</v>
      </c>
      <c r="DY20">
        <v>-8.0149721404951837</v>
      </c>
      <c r="DZ20">
        <v>4285</v>
      </c>
      <c r="EA20">
        <v>-8.0024172242482443</v>
      </c>
      <c r="EB20">
        <v>8</v>
      </c>
      <c r="EC20">
        <v>8.0878179384203483E-2</v>
      </c>
      <c r="ED20">
        <v>0.66488174921909859</v>
      </c>
      <c r="EE20" s="14">
        <v>4.0096999999999996</v>
      </c>
      <c r="EF20">
        <v>4.0117099999999999</v>
      </c>
      <c r="EG20">
        <v>19.121642953020135</v>
      </c>
      <c r="EH20" t="s">
        <v>468</v>
      </c>
      <c r="EI20">
        <v>0</v>
      </c>
      <c r="EJ20">
        <v>0</v>
      </c>
      <c r="EK20" s="10">
        <v>45470</v>
      </c>
      <c r="EL20" s="15">
        <v>-5.16</v>
      </c>
      <c r="EM20" s="15">
        <v>-8.16</v>
      </c>
      <c r="EN20" s="15">
        <v>1.48</v>
      </c>
      <c r="EO20" s="15">
        <v>2.19</v>
      </c>
      <c r="EP20" s="15">
        <v>-2.14</v>
      </c>
    </row>
    <row r="21" spans="1:146" ht="108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市值87.96354亿, 利润2.20亿; PE37.4; 平均PE915.21; 平均PEG10784.12, PB5.64; ROIC11.445%; ROE-1.5467%; 股利率0%; 毛利5.63%; 净利-4.8633%; 上一年度营收增-51.93%, 利润增169.4%; 当季营收增562.99%, 利润增623.96%; 过往5年营收增.08%, 利润增-482.63%
Income profile:
</v>
      </c>
      <c r="D21" t="s">
        <v>330</v>
      </c>
      <c r="E21" t="s">
        <v>331</v>
      </c>
      <c r="F21">
        <v>13.87</v>
      </c>
      <c r="G21">
        <v>2.97</v>
      </c>
      <c r="H21" t="s">
        <v>946</v>
      </c>
      <c r="I21">
        <v>8796354000</v>
      </c>
      <c r="J21">
        <v>37.4</v>
      </c>
      <c r="K21">
        <v>5.64</v>
      </c>
      <c r="L21" t="s">
        <v>101</v>
      </c>
      <c r="M21" t="s">
        <v>947</v>
      </c>
      <c r="N21" t="s">
        <v>372</v>
      </c>
      <c r="O21" t="s">
        <v>283</v>
      </c>
      <c r="P21">
        <v>13.5</v>
      </c>
      <c r="Q21" t="s">
        <v>475</v>
      </c>
      <c r="R21">
        <v>218684420</v>
      </c>
      <c r="S21" s="5">
        <v>0.46429999999999999</v>
      </c>
      <c r="T21" t="s">
        <v>293</v>
      </c>
      <c r="U21">
        <v>634200000</v>
      </c>
      <c r="V21">
        <v>634200000</v>
      </c>
      <c r="W21">
        <v>3.23</v>
      </c>
      <c r="X21">
        <v>0.18</v>
      </c>
      <c r="Y21">
        <v>25.96</v>
      </c>
      <c r="Z21" t="s">
        <v>494</v>
      </c>
      <c r="AA21" t="s">
        <v>524</v>
      </c>
      <c r="AB21" t="s">
        <v>948</v>
      </c>
      <c r="AC21" t="s">
        <v>949</v>
      </c>
      <c r="AD21" t="s">
        <v>5</v>
      </c>
      <c r="AE21">
        <v>24939567</v>
      </c>
      <c r="AF21" t="s">
        <v>950</v>
      </c>
      <c r="AG21" t="s">
        <v>951</v>
      </c>
      <c r="AH21" t="s">
        <v>952</v>
      </c>
      <c r="AI21" t="s">
        <v>97</v>
      </c>
      <c r="AJ21" t="s">
        <v>953</v>
      </c>
      <c r="AK21" t="s">
        <v>5</v>
      </c>
      <c r="AL21" t="s">
        <v>954</v>
      </c>
      <c r="AM21" t="s">
        <v>5</v>
      </c>
      <c r="AN21" t="s">
        <v>955</v>
      </c>
      <c r="AO21" t="s">
        <v>5</v>
      </c>
      <c r="AP21" t="s">
        <v>5</v>
      </c>
      <c r="AQ21" t="s">
        <v>220</v>
      </c>
      <c r="AR21" t="s">
        <v>5</v>
      </c>
      <c r="AS21" t="s">
        <v>956</v>
      </c>
      <c r="AT21" t="s">
        <v>5</v>
      </c>
      <c r="AU21" t="s">
        <v>957</v>
      </c>
      <c r="AV21" t="s">
        <v>958</v>
      </c>
      <c r="AW21" t="s">
        <v>959</v>
      </c>
      <c r="AX21" t="s">
        <v>308</v>
      </c>
      <c r="AY21" t="s">
        <v>376</v>
      </c>
      <c r="AZ21" t="s">
        <v>377</v>
      </c>
      <c r="BA21" t="s">
        <v>299</v>
      </c>
      <c r="BB21" t="s">
        <v>325</v>
      </c>
      <c r="BC21" t="s">
        <v>375</v>
      </c>
      <c r="BD21" t="s">
        <v>332</v>
      </c>
      <c r="BE21" t="s">
        <v>333</v>
      </c>
      <c r="BF21" t="s">
        <v>260</v>
      </c>
      <c r="BG21" t="s">
        <v>82</v>
      </c>
      <c r="BH21" t="s">
        <v>482</v>
      </c>
      <c r="BI21" t="s">
        <v>127</v>
      </c>
      <c r="BJ21" t="s">
        <v>308</v>
      </c>
      <c r="BK21" t="s">
        <v>152</v>
      </c>
      <c r="BL21" t="s">
        <v>960</v>
      </c>
      <c r="BM21" t="s">
        <v>375</v>
      </c>
      <c r="BN21">
        <v>19.22</v>
      </c>
      <c r="BO21" t="s">
        <v>5</v>
      </c>
      <c r="BP21">
        <v>3.67</v>
      </c>
      <c r="BQ21">
        <v>18.25</v>
      </c>
      <c r="BR21">
        <v>-23.81</v>
      </c>
      <c r="BS21">
        <v>0.92</v>
      </c>
      <c r="BT21" t="s">
        <v>351</v>
      </c>
      <c r="BU21" t="s">
        <v>101</v>
      </c>
      <c r="BV21">
        <v>14.01</v>
      </c>
      <c r="BW21">
        <v>-9.93</v>
      </c>
      <c r="BX21">
        <v>12.81</v>
      </c>
      <c r="BY21">
        <v>7.06</v>
      </c>
      <c r="BZ21">
        <v>-22.25</v>
      </c>
      <c r="CA21">
        <v>0.6</v>
      </c>
      <c r="CB21">
        <v>0.22</v>
      </c>
      <c r="CC21">
        <v>-8.33</v>
      </c>
      <c r="CD21" t="s">
        <v>961</v>
      </c>
      <c r="CE21" t="s">
        <v>962</v>
      </c>
      <c r="CF21" s="11">
        <v>5.6299212598425195</v>
      </c>
      <c r="CG21" s="12">
        <v>6.2396477579328948</v>
      </c>
      <c r="CH21" s="11">
        <v>-0.51927119493484497</v>
      </c>
      <c r="CI21" s="11">
        <v>-0.37494522333145142</v>
      </c>
      <c r="CJ21" s="11">
        <v>1.5115512609481812</v>
      </c>
      <c r="CK21" s="11">
        <v>-0.69018405675888062</v>
      </c>
      <c r="CL21" s="11">
        <v>7.7092558145523071E-2</v>
      </c>
      <c r="CM21" s="12">
        <v>1.6940063238143921</v>
      </c>
      <c r="CN21" s="12">
        <v>-24.193706512451172</v>
      </c>
      <c r="CO21" s="12">
        <v>1.0284147262573242</v>
      </c>
      <c r="CP21" s="12">
        <v>-2.5980067253112793</v>
      </c>
      <c r="CQ21" s="12">
        <v>-6.2305297702550888E-2</v>
      </c>
      <c r="CR21">
        <v>915.21435817401425</v>
      </c>
      <c r="CS21">
        <v>10784.11676491351</v>
      </c>
      <c r="CT21">
        <v>0</v>
      </c>
      <c r="CU21" s="11">
        <v>8.4866881370544429E-4</v>
      </c>
      <c r="CV21" s="12">
        <v>-4.8263194970786572</v>
      </c>
      <c r="CW21">
        <v>0.06</v>
      </c>
      <c r="CX21">
        <v>49.885369479026608</v>
      </c>
      <c r="CY21">
        <v>207723308.62171248</v>
      </c>
      <c r="CZ21">
        <v>8.4866881370544429E-4</v>
      </c>
      <c r="DA21">
        <v>17.593341517379315</v>
      </c>
      <c r="DB21">
        <v>588992943.14065957</v>
      </c>
      <c r="DC21">
        <v>8.0623537302017202E-4</v>
      </c>
      <c r="DD21">
        <v>9.5549132365051577</v>
      </c>
      <c r="DE21">
        <v>1084505295.1825836</v>
      </c>
      <c r="DF21">
        <v>7.46828556060791E-4</v>
      </c>
      <c r="DG21">
        <v>6.3778118962187351</v>
      </c>
      <c r="DH21">
        <v>1624750646.2433634</v>
      </c>
      <c r="DI21">
        <v>6.7893505096435543E-4</v>
      </c>
      <c r="DJ21">
        <v>4.0855774912850507</v>
      </c>
      <c r="DK21">
        <v>2536325408.6121111</v>
      </c>
      <c r="DL21">
        <v>5.94068169593811E-4</v>
      </c>
      <c r="DM21">
        <v>220000000.00000003</v>
      </c>
      <c r="DN21">
        <v>8.4866881370544429E-4</v>
      </c>
      <c r="DO21">
        <v>10362354000</v>
      </c>
      <c r="DP21">
        <v>548603800.00000024</v>
      </c>
      <c r="DQ21">
        <v>3932</v>
      </c>
      <c r="DR21">
        <v>5.6290725910288142</v>
      </c>
      <c r="DS21">
        <v>11.065967255011552</v>
      </c>
      <c r="DT21" s="13">
        <v>-0.72333333333333327</v>
      </c>
      <c r="DU21">
        <v>-0.16666666666666663</v>
      </c>
      <c r="DV21">
        <v>-0.8899999999999999</v>
      </c>
      <c r="DW21">
        <v>-2.0832999999999999</v>
      </c>
      <c r="DX21">
        <v>0.37353250877078747</v>
      </c>
      <c r="DY21">
        <v>-2.0127892579806068</v>
      </c>
      <c r="DZ21">
        <v>1357</v>
      </c>
      <c r="EA21">
        <v>-2.0093929716636434</v>
      </c>
      <c r="EB21">
        <v>2</v>
      </c>
      <c r="EC21">
        <v>1.8275622831914223E-2</v>
      </c>
      <c r="ED21">
        <v>0.11903421633554084</v>
      </c>
      <c r="EE21" s="14">
        <v>-1.0707</v>
      </c>
      <c r="EF21">
        <v>-1.0399</v>
      </c>
      <c r="EG21">
        <v>22.153532508770788</v>
      </c>
      <c r="EH21" t="s">
        <v>180</v>
      </c>
      <c r="EI21">
        <v>0</v>
      </c>
      <c r="EJ21">
        <v>1</v>
      </c>
      <c r="EK21" s="10">
        <v>45470</v>
      </c>
      <c r="EL21" s="15">
        <v>-0.39</v>
      </c>
      <c r="EM21" s="15">
        <v>-4.1399999999999997</v>
      </c>
      <c r="EN21" s="15">
        <v>1.96</v>
      </c>
      <c r="EO21" s="15">
        <v>3.7</v>
      </c>
      <c r="EP21" s="15">
        <v>-3.08</v>
      </c>
    </row>
    <row r="22" spans="1:146" ht="108" x14ac:dyDescent="0.25">
      <c r="A22" s="7"/>
      <c r="B22" s="7"/>
      <c r="C22" s="7" t="str">
        <f>""&amp;CHAR(10)&amp;Basic_Fundamental_Information_Constructure(F22)&amp;CHAR(10)&amp;Basic_Fundamental_Information_Concatenate("")</f>
        <v xml:space="preserve">
市值27.352亿, 利润2392.04万; PE; 平均PE193.25; 平均PEG8.1, PB5.37; ROIC0%; ROE2.1933%; 股利率0%; 毛利24.9767%; 净利3.2333%; 上一年度营收增153.3%, 利润增51.51%; 当季营收增-41.85%, 利润增-179.06%; 过往5年营收增23.87%, 利润增-7.52%
Income profile:
</v>
      </c>
      <c r="D22" t="s">
        <v>334</v>
      </c>
      <c r="E22" t="s">
        <v>335</v>
      </c>
      <c r="F22">
        <v>21.04</v>
      </c>
      <c r="G22">
        <v>1.2</v>
      </c>
      <c r="H22" t="s">
        <v>963</v>
      </c>
      <c r="I22">
        <v>2735200000</v>
      </c>
      <c r="K22">
        <v>5.37</v>
      </c>
      <c r="L22" t="s">
        <v>101</v>
      </c>
      <c r="M22" t="s">
        <v>111</v>
      </c>
      <c r="N22" t="s">
        <v>532</v>
      </c>
      <c r="O22" t="s">
        <v>964</v>
      </c>
      <c r="P22">
        <v>156.26</v>
      </c>
      <c r="Q22" t="s">
        <v>965</v>
      </c>
      <c r="R22">
        <v>-4959497</v>
      </c>
      <c r="S22" s="5">
        <v>-31.72</v>
      </c>
      <c r="T22" t="s">
        <v>966</v>
      </c>
      <c r="U22">
        <v>130000000</v>
      </c>
      <c r="V22">
        <v>130000000</v>
      </c>
      <c r="W22">
        <v>1.54</v>
      </c>
      <c r="X22">
        <v>0.1</v>
      </c>
      <c r="Y22">
        <v>-7.11</v>
      </c>
      <c r="Z22" t="s">
        <v>967</v>
      </c>
      <c r="AA22" t="s">
        <v>968</v>
      </c>
      <c r="AB22" t="s">
        <v>969</v>
      </c>
      <c r="AC22" t="s">
        <v>970</v>
      </c>
      <c r="AD22" t="s">
        <v>5</v>
      </c>
      <c r="AE22">
        <v>1105210</v>
      </c>
      <c r="AF22" t="s">
        <v>971</v>
      </c>
      <c r="AG22" t="s">
        <v>972</v>
      </c>
      <c r="AH22" t="s">
        <v>973</v>
      </c>
      <c r="AI22" t="s">
        <v>974</v>
      </c>
      <c r="AJ22" t="s">
        <v>975</v>
      </c>
      <c r="AK22" t="s">
        <v>5</v>
      </c>
      <c r="AL22" t="s">
        <v>976</v>
      </c>
      <c r="AM22" t="s">
        <v>5</v>
      </c>
      <c r="AN22">
        <v>0</v>
      </c>
      <c r="AO22" t="s">
        <v>5</v>
      </c>
      <c r="AP22" t="s">
        <v>5</v>
      </c>
      <c r="AQ22" t="s">
        <v>977</v>
      </c>
      <c r="AR22" t="s">
        <v>5</v>
      </c>
      <c r="AS22" t="s">
        <v>170</v>
      </c>
      <c r="AT22" t="s">
        <v>76</v>
      </c>
      <c r="AU22" t="s">
        <v>978</v>
      </c>
      <c r="AV22" t="s">
        <v>979</v>
      </c>
      <c r="AW22" t="s">
        <v>980</v>
      </c>
      <c r="AX22" t="s">
        <v>24</v>
      </c>
      <c r="AY22" t="s">
        <v>145</v>
      </c>
      <c r="AZ22" t="s">
        <v>227</v>
      </c>
      <c r="BA22" t="s">
        <v>288</v>
      </c>
      <c r="BB22" t="s">
        <v>141</v>
      </c>
      <c r="BC22" t="s">
        <v>981</v>
      </c>
      <c r="BD22" t="s">
        <v>336</v>
      </c>
      <c r="BE22" t="s">
        <v>337</v>
      </c>
      <c r="BF22" t="s">
        <v>338</v>
      </c>
      <c r="BG22" t="s">
        <v>339</v>
      </c>
      <c r="BH22" t="s">
        <v>139</v>
      </c>
      <c r="BI22" t="s">
        <v>142</v>
      </c>
      <c r="BJ22" t="s">
        <v>24</v>
      </c>
      <c r="BK22" t="s">
        <v>982</v>
      </c>
      <c r="BL22" t="s">
        <v>983</v>
      </c>
      <c r="BM22" t="s">
        <v>981</v>
      </c>
      <c r="BN22" t="s">
        <v>5</v>
      </c>
      <c r="BO22" t="s">
        <v>5</v>
      </c>
      <c r="BP22" t="s">
        <v>5</v>
      </c>
      <c r="BQ22">
        <v>-0.55000000000000004</v>
      </c>
      <c r="BR22">
        <v>2.9</v>
      </c>
      <c r="BS22">
        <v>4.2300000000000004</v>
      </c>
      <c r="BT22" t="s">
        <v>351</v>
      </c>
      <c r="BU22" t="s">
        <v>101</v>
      </c>
      <c r="BV22">
        <v>22.34</v>
      </c>
      <c r="BW22">
        <v>28.13</v>
      </c>
      <c r="BX22">
        <v>24.46</v>
      </c>
      <c r="BY22">
        <v>-4.25</v>
      </c>
      <c r="BZ22">
        <v>5.74</v>
      </c>
      <c r="CA22">
        <v>8.2100000000000009</v>
      </c>
      <c r="CB22">
        <v>-6.41</v>
      </c>
      <c r="CC22">
        <v>-23.63</v>
      </c>
      <c r="CD22" t="s">
        <v>984</v>
      </c>
      <c r="CE22" t="s">
        <v>21</v>
      </c>
      <c r="CF22" s="11">
        <v>-0.41847692307692308</v>
      </c>
      <c r="CG22" s="12">
        <v>-1.7905974717444328</v>
      </c>
      <c r="CH22" s="11">
        <v>1.5330188274383545</v>
      </c>
      <c r="CI22" s="11">
        <v>-0.22344322502613068</v>
      </c>
      <c r="CJ22" s="11">
        <v>-8.6956523358821869E-2</v>
      </c>
      <c r="CK22" s="11">
        <v>0.11152416467666626</v>
      </c>
      <c r="CL22" s="11">
        <v>-0.14057508111000061</v>
      </c>
      <c r="CM22" s="12">
        <v>0.51512885093688965</v>
      </c>
      <c r="CN22" s="12">
        <v>-0.29631659388542175</v>
      </c>
      <c r="CO22" s="12">
        <v>1.9365811347961426</v>
      </c>
      <c r="CP22" s="12">
        <v>-2.2380421161651611</v>
      </c>
      <c r="CQ22" s="12">
        <v>-0.29340812563896179</v>
      </c>
      <c r="CR22">
        <v>193.25095941320063</v>
      </c>
      <c r="CS22">
        <v>8.0955141677449216</v>
      </c>
      <c r="CT22">
        <v>0</v>
      </c>
      <c r="CU22" s="11">
        <v>0.23871363252401351</v>
      </c>
      <c r="CV22" s="12">
        <v>-7.5211369991302485E-2</v>
      </c>
      <c r="CW22">
        <v>0.06</v>
      </c>
      <c r="CX22">
        <v>90.014333131231567</v>
      </c>
      <c r="CY22">
        <v>27953326.014554162</v>
      </c>
      <c r="CZ22">
        <v>0.23871363252401351</v>
      </c>
      <c r="DA22">
        <v>25.99260324730151</v>
      </c>
      <c r="DB22">
        <v>96804463.02588895</v>
      </c>
      <c r="DC22">
        <v>0.22677795089781283</v>
      </c>
      <c r="DD22">
        <v>10.752699913651758</v>
      </c>
      <c r="DE22">
        <v>234006344.47218245</v>
      </c>
      <c r="DF22">
        <v>0.21006799662113187</v>
      </c>
      <c r="DG22">
        <v>5.2439720206985765</v>
      </c>
      <c r="DH22">
        <v>479827121.51557285</v>
      </c>
      <c r="DI22">
        <v>0.19097090601921082</v>
      </c>
      <c r="DJ22">
        <v>1.6485064560673457</v>
      </c>
      <c r="DK22">
        <v>1526351316.8171704</v>
      </c>
      <c r="DL22">
        <v>0.16709954276680944</v>
      </c>
      <c r="DM22">
        <v>23920400</v>
      </c>
      <c r="DN22">
        <v>0.23871363252401351</v>
      </c>
      <c r="DO22">
        <v>2516200000</v>
      </c>
      <c r="DP22">
        <v>310058700</v>
      </c>
      <c r="DQ22">
        <v>4279</v>
      </c>
      <c r="DR22">
        <v>-0.65719055560093653</v>
      </c>
      <c r="DS22">
        <v>-1.7153861017531304</v>
      </c>
      <c r="DT22" s="13">
        <v>-0.25666666666666665</v>
      </c>
      <c r="DU22">
        <v>-1.23</v>
      </c>
      <c r="DV22">
        <v>-1.4866666666666666</v>
      </c>
      <c r="DW22">
        <v>-9.2712653406686414</v>
      </c>
      <c r="DX22">
        <v>0.41195284552845379</v>
      </c>
      <c r="DY22">
        <v>-9.0439321938145323</v>
      </c>
      <c r="DZ22">
        <v>2926</v>
      </c>
      <c r="EA22">
        <v>-9.018776499274157</v>
      </c>
      <c r="EB22">
        <v>9</v>
      </c>
      <c r="EC22">
        <v>0.30646461538461539</v>
      </c>
      <c r="ED22">
        <v>1.8923076923076922</v>
      </c>
      <c r="EE22" s="14">
        <v>3.0213100000000002</v>
      </c>
      <c r="EF22">
        <v>3.0341100000000001</v>
      </c>
      <c r="EG22">
        <v>25.161952845528454</v>
      </c>
      <c r="EH22" t="s">
        <v>355</v>
      </c>
      <c r="EI22">
        <v>0</v>
      </c>
      <c r="EJ22">
        <v>0</v>
      </c>
      <c r="EK22" s="10">
        <v>45470</v>
      </c>
      <c r="EL22" s="15">
        <v>-0.85</v>
      </c>
      <c r="EM22" s="15">
        <v>-1.1299999999999999</v>
      </c>
      <c r="EN22">
        <v>1.1599999999999999</v>
      </c>
      <c r="EO22">
        <v>3.87</v>
      </c>
      <c r="EP22">
        <v>-1.28</v>
      </c>
    </row>
    <row r="23" spans="1:146" x14ac:dyDescent="0.25">
      <c r="A23" s="7"/>
      <c r="B23" s="7"/>
      <c r="C23" s="7"/>
      <c r="Q23" s="5"/>
    </row>
    <row r="24" spans="1:146" x14ac:dyDescent="0.25">
      <c r="A24" s="7"/>
      <c r="B24" s="7"/>
      <c r="C24" s="7"/>
      <c r="Q24" s="5"/>
    </row>
    <row r="25" spans="1:146" x14ac:dyDescent="0.25">
      <c r="A25" s="7"/>
      <c r="B25" s="7"/>
      <c r="C25" s="7"/>
    </row>
    <row r="26" spans="1:146" x14ac:dyDescent="0.25">
      <c r="A26" s="7"/>
      <c r="B26" s="7"/>
      <c r="C26" s="7"/>
      <c r="Q26" s="5"/>
    </row>
    <row r="27" spans="1:146" x14ac:dyDescent="0.25">
      <c r="A27" s="7"/>
      <c r="B27" s="7"/>
      <c r="C27" s="7"/>
      <c r="Q27" s="5"/>
    </row>
    <row r="28" spans="1:146" x14ac:dyDescent="0.25">
      <c r="A28" s="7"/>
      <c r="B28" s="7"/>
      <c r="C28" s="7"/>
      <c r="Q28" s="5"/>
    </row>
    <row r="29" spans="1:146" x14ac:dyDescent="0.25">
      <c r="A29" s="7"/>
      <c r="B29" s="7"/>
      <c r="C29" s="7"/>
      <c r="Q29" s="5"/>
    </row>
    <row r="30" spans="1:146" x14ac:dyDescent="0.25">
      <c r="A30" s="7"/>
      <c r="B30" s="7"/>
      <c r="C30" s="7"/>
      <c r="Q30" s="5"/>
    </row>
    <row r="31" spans="1:146" x14ac:dyDescent="0.25">
      <c r="A31" s="7"/>
      <c r="B31" s="7"/>
      <c r="C31" s="7"/>
      <c r="Q31" s="5"/>
    </row>
    <row r="32" spans="1:146" x14ac:dyDescent="0.25">
      <c r="A32" s="7"/>
      <c r="B32" s="7"/>
      <c r="C32" s="7"/>
      <c r="Q32" s="5"/>
    </row>
    <row r="33" spans="1:17" x14ac:dyDescent="0.25">
      <c r="A33" s="7"/>
      <c r="B33" s="7"/>
      <c r="C33" s="7"/>
      <c r="Q33" s="5"/>
    </row>
    <row r="34" spans="1:17" x14ac:dyDescent="0.25">
      <c r="A34" s="7"/>
      <c r="B34" s="7"/>
      <c r="C34" s="7"/>
      <c r="Q34" s="6"/>
    </row>
    <row r="35" spans="1:17" x14ac:dyDescent="0.25">
      <c r="A35" s="7"/>
      <c r="B35" s="7"/>
      <c r="C35" s="7"/>
      <c r="Q35" s="5"/>
    </row>
    <row r="36" spans="1:17" x14ac:dyDescent="0.25">
      <c r="A36" s="7"/>
      <c r="B36" s="7"/>
      <c r="C36" s="7"/>
      <c r="Q36" s="5"/>
    </row>
    <row r="37" spans="1:17" x14ac:dyDescent="0.25">
      <c r="A37" s="7"/>
      <c r="B37" s="7"/>
      <c r="C37" s="7"/>
      <c r="Q37" s="5"/>
    </row>
    <row r="38" spans="1:17" x14ac:dyDescent="0.25">
      <c r="A38" s="7"/>
      <c r="B38" s="7"/>
      <c r="C38" s="7"/>
      <c r="Q38" s="5"/>
    </row>
    <row r="39" spans="1:17" x14ac:dyDescent="0.25">
      <c r="A39" s="7"/>
      <c r="B39" s="7"/>
      <c r="C39" s="7"/>
      <c r="Q39" s="5"/>
    </row>
    <row r="40" spans="1:17" x14ac:dyDescent="0.25">
      <c r="A40" s="7"/>
      <c r="B40" s="7"/>
      <c r="C40" s="7"/>
      <c r="Q40" s="5"/>
    </row>
    <row r="41" spans="1:17" x14ac:dyDescent="0.25">
      <c r="A41" s="7"/>
      <c r="B41" s="7"/>
      <c r="C41" s="7"/>
      <c r="Q41" s="5"/>
    </row>
    <row r="42" spans="1:17" x14ac:dyDescent="0.25">
      <c r="A42" s="7"/>
      <c r="B42" s="7"/>
      <c r="C42" s="7"/>
      <c r="Q42" s="5"/>
    </row>
    <row r="43" spans="1:17" x14ac:dyDescent="0.25">
      <c r="A43" s="7"/>
      <c r="B43" s="7"/>
      <c r="C43" s="7"/>
      <c r="Q43" s="5"/>
    </row>
    <row r="44" spans="1:17" x14ac:dyDescent="0.25">
      <c r="A44" s="7"/>
      <c r="B44" s="7"/>
      <c r="C44" s="7"/>
      <c r="Q44" s="5"/>
    </row>
    <row r="45" spans="1:17" x14ac:dyDescent="0.25">
      <c r="A45" s="7"/>
      <c r="B45" s="7"/>
      <c r="C45" s="7"/>
      <c r="Q45" s="5"/>
    </row>
    <row r="46" spans="1:17" x14ac:dyDescent="0.25">
      <c r="A46" s="7"/>
      <c r="B46" s="7"/>
      <c r="C46" s="7"/>
      <c r="Q46" s="5"/>
    </row>
    <row r="47" spans="1:17" x14ac:dyDescent="0.25">
      <c r="A47" s="7"/>
      <c r="B47" s="7"/>
      <c r="C47" s="7"/>
      <c r="Q47" s="5"/>
    </row>
    <row r="48" spans="1:17" x14ac:dyDescent="0.25">
      <c r="A48" s="7"/>
      <c r="B48" s="7"/>
      <c r="C48" s="7"/>
      <c r="Q48" s="5"/>
    </row>
    <row r="49" spans="1:17" x14ac:dyDescent="0.25">
      <c r="A49" s="7"/>
      <c r="B49" s="7"/>
      <c r="C49" s="7"/>
      <c r="Q49" s="5"/>
    </row>
    <row r="50" spans="1:17" x14ac:dyDescent="0.25">
      <c r="A50" s="7"/>
      <c r="B50" s="7"/>
      <c r="C50" s="7"/>
      <c r="Q50" s="5"/>
    </row>
    <row r="51" spans="1:17" x14ac:dyDescent="0.25">
      <c r="A51" s="7"/>
      <c r="B51" s="7"/>
      <c r="C51" s="7"/>
      <c r="Q51" s="5"/>
    </row>
    <row r="52" spans="1:17" x14ac:dyDescent="0.25">
      <c r="A52" s="7"/>
      <c r="B52" s="7"/>
      <c r="C52" s="7"/>
      <c r="Q52" s="5"/>
    </row>
    <row r="53" spans="1:17" x14ac:dyDescent="0.25">
      <c r="A53" s="7"/>
      <c r="B53" s="7"/>
      <c r="C53" s="7"/>
      <c r="Q53" s="5"/>
    </row>
    <row r="54" spans="1:17" x14ac:dyDescent="0.25">
      <c r="A54" s="7"/>
      <c r="B54" s="7"/>
      <c r="C54" s="7"/>
      <c r="Q54" s="5"/>
    </row>
    <row r="55" spans="1:17" x14ac:dyDescent="0.25">
      <c r="A55" s="7"/>
      <c r="B55" s="7"/>
      <c r="C55" s="7"/>
      <c r="Q55" s="5"/>
    </row>
    <row r="56" spans="1:17" x14ac:dyDescent="0.25">
      <c r="A56" s="7"/>
      <c r="B56" s="7"/>
      <c r="C56" s="7"/>
      <c r="Q56" s="5"/>
    </row>
    <row r="57" spans="1:17" x14ac:dyDescent="0.25">
      <c r="A57" s="7"/>
      <c r="B57" s="7"/>
      <c r="C57" s="7"/>
      <c r="Q57" s="5"/>
    </row>
    <row r="58" spans="1:17" x14ac:dyDescent="0.25">
      <c r="A58" s="7"/>
      <c r="B58" s="7"/>
      <c r="C58" s="7"/>
      <c r="Q58" s="5"/>
    </row>
    <row r="59" spans="1:17" x14ac:dyDescent="0.25">
      <c r="A59" s="7"/>
      <c r="B59" s="7"/>
      <c r="C59" s="7"/>
      <c r="Q59" s="5"/>
    </row>
    <row r="60" spans="1:17" x14ac:dyDescent="0.25">
      <c r="A60" s="7"/>
      <c r="B60" s="7"/>
      <c r="C60" s="7"/>
      <c r="Q60" s="5"/>
    </row>
    <row r="61" spans="1:17" x14ac:dyDescent="0.25">
      <c r="A61" s="7"/>
      <c r="B61" s="7"/>
      <c r="C61" s="7"/>
      <c r="Q61" s="5"/>
    </row>
    <row r="62" spans="1:17" x14ac:dyDescent="0.25">
      <c r="A62" s="7"/>
      <c r="B62" s="7"/>
      <c r="C62" s="7"/>
      <c r="Q62" s="5"/>
    </row>
    <row r="63" spans="1:17" x14ac:dyDescent="0.25">
      <c r="A63" s="7"/>
      <c r="B63" s="7"/>
      <c r="C63" s="7"/>
      <c r="Q63" s="5"/>
    </row>
    <row r="64" spans="1:17" x14ac:dyDescent="0.25">
      <c r="A64" s="7"/>
      <c r="B64" s="7"/>
      <c r="C64" s="7"/>
      <c r="Q64" s="5"/>
    </row>
    <row r="65" spans="1:17" x14ac:dyDescent="0.25">
      <c r="A65" s="7"/>
      <c r="B65" s="7"/>
      <c r="C65" s="7"/>
      <c r="Q65" s="5"/>
    </row>
    <row r="66" spans="1:17" x14ac:dyDescent="0.25">
      <c r="A66" s="7"/>
      <c r="B66" s="7"/>
      <c r="C66" s="7"/>
      <c r="Q66" s="5"/>
    </row>
    <row r="67" spans="1:17" x14ac:dyDescent="0.25">
      <c r="A67" s="7"/>
      <c r="B67" s="7"/>
      <c r="C67" s="7"/>
      <c r="Q67" s="5"/>
    </row>
    <row r="68" spans="1:17" x14ac:dyDescent="0.25">
      <c r="A68" s="7"/>
      <c r="B68" s="7"/>
      <c r="C68" s="7"/>
      <c r="Q68" s="5"/>
    </row>
    <row r="69" spans="1:17" x14ac:dyDescent="0.25">
      <c r="A69" s="7"/>
      <c r="B69" s="7"/>
      <c r="C69" s="7"/>
      <c r="Q69" s="5"/>
    </row>
    <row r="70" spans="1:17" x14ac:dyDescent="0.25">
      <c r="A70" s="7"/>
      <c r="B70" s="7"/>
      <c r="C70" s="7"/>
      <c r="Q70" s="5"/>
    </row>
    <row r="71" spans="1:17" x14ac:dyDescent="0.25">
      <c r="A71" s="7"/>
      <c r="B71" s="7"/>
      <c r="C71" s="7"/>
      <c r="Q71" s="5"/>
    </row>
    <row r="72" spans="1:17" x14ac:dyDescent="0.25">
      <c r="A72" s="7"/>
      <c r="B72" s="7"/>
      <c r="C72" s="7"/>
      <c r="Q72" s="5"/>
    </row>
    <row r="73" spans="1:17" x14ac:dyDescent="0.25">
      <c r="A73" s="7"/>
      <c r="B73" s="7"/>
      <c r="C73" s="7"/>
      <c r="Q73" s="5"/>
    </row>
    <row r="74" spans="1:17" x14ac:dyDescent="0.25">
      <c r="A74" s="7"/>
      <c r="B74" s="7"/>
      <c r="C74" s="7"/>
      <c r="Q74" s="5"/>
    </row>
    <row r="75" spans="1:17" x14ac:dyDescent="0.25">
      <c r="A75" s="7"/>
      <c r="B75" s="7"/>
      <c r="C75" s="7"/>
      <c r="Q75" s="5"/>
    </row>
    <row r="76" spans="1:17" x14ac:dyDescent="0.25">
      <c r="A76" s="7"/>
      <c r="B76" s="7"/>
      <c r="C76" s="7"/>
      <c r="Q76" s="5"/>
    </row>
    <row r="77" spans="1:17" x14ac:dyDescent="0.25">
      <c r="A77" s="7"/>
      <c r="B77" s="7"/>
      <c r="C77" s="7"/>
      <c r="Q77" s="5"/>
    </row>
    <row r="78" spans="1:17" x14ac:dyDescent="0.25">
      <c r="A78" s="7"/>
      <c r="B78" s="7"/>
      <c r="C78" s="7"/>
      <c r="Q78" s="5"/>
    </row>
    <row r="79" spans="1:17" x14ac:dyDescent="0.25">
      <c r="A79" s="7"/>
      <c r="B79" s="7"/>
      <c r="C79" s="7"/>
      <c r="Q79" s="5"/>
    </row>
    <row r="80" spans="1:17" x14ac:dyDescent="0.25">
      <c r="A80" s="7"/>
      <c r="B80" s="7"/>
      <c r="C80" s="7"/>
      <c r="Q80" s="5"/>
    </row>
    <row r="81" spans="1:17" x14ac:dyDescent="0.25">
      <c r="A81" s="7"/>
      <c r="B81" s="7"/>
      <c r="C81" s="7"/>
      <c r="Q81" s="5"/>
    </row>
    <row r="82" spans="1:17" x14ac:dyDescent="0.25">
      <c r="A82" s="7"/>
      <c r="B82" s="7"/>
      <c r="C82" s="7"/>
      <c r="Q82" s="5"/>
    </row>
    <row r="83" spans="1:17" x14ac:dyDescent="0.25">
      <c r="A83" s="7"/>
      <c r="B83" s="7"/>
      <c r="C83" s="7"/>
      <c r="Q83" s="5"/>
    </row>
    <row r="84" spans="1:17" x14ac:dyDescent="0.25">
      <c r="A84" s="7"/>
      <c r="B84" s="7"/>
      <c r="C84" s="7"/>
      <c r="Q84" s="5"/>
    </row>
    <row r="85" spans="1:17" x14ac:dyDescent="0.25">
      <c r="A85" s="7"/>
      <c r="B85" s="7"/>
      <c r="C85" s="7"/>
      <c r="Q85" s="5"/>
    </row>
    <row r="86" spans="1:17" x14ac:dyDescent="0.25">
      <c r="A86" s="7"/>
      <c r="B86" s="7"/>
      <c r="C86" s="7"/>
      <c r="Q86" s="5"/>
    </row>
    <row r="87" spans="1:17" x14ac:dyDescent="0.25">
      <c r="A87" s="8"/>
      <c r="B87" s="8"/>
      <c r="C87" s="7"/>
      <c r="Q87" s="5"/>
    </row>
    <row r="88" spans="1:17" x14ac:dyDescent="0.25">
      <c r="A88" s="7"/>
      <c r="B88" s="7"/>
      <c r="C88" s="7"/>
      <c r="Q88" s="5"/>
    </row>
    <row r="89" spans="1:17" x14ac:dyDescent="0.25">
      <c r="A89" s="7"/>
      <c r="B89" s="7"/>
      <c r="C89" s="7"/>
      <c r="Q89" s="5"/>
    </row>
    <row r="90" spans="1:17" x14ac:dyDescent="0.25">
      <c r="A90" s="7"/>
      <c r="B90" s="7"/>
      <c r="C90" s="7"/>
      <c r="Q90" s="5"/>
    </row>
    <row r="91" spans="1:17" x14ac:dyDescent="0.25">
      <c r="A91" s="7"/>
      <c r="B91" s="7"/>
      <c r="C91" s="7"/>
      <c r="Q91" s="5"/>
    </row>
    <row r="92" spans="1:17" x14ac:dyDescent="0.25">
      <c r="A92" s="7"/>
      <c r="B92" s="7"/>
      <c r="C92" s="7"/>
      <c r="Q92" s="5"/>
    </row>
    <row r="93" spans="1:17" x14ac:dyDescent="0.25">
      <c r="A93" s="8"/>
      <c r="B93" s="8"/>
      <c r="C93" s="8"/>
      <c r="Q93" s="5"/>
    </row>
    <row r="94" spans="1:17" x14ac:dyDescent="0.25">
      <c r="A94" s="8"/>
      <c r="B94" s="8"/>
      <c r="C94" s="8"/>
      <c r="Q94" s="5"/>
    </row>
    <row r="95" spans="1:17" x14ac:dyDescent="0.25">
      <c r="A95" s="8"/>
      <c r="B95" s="8"/>
      <c r="C95" s="8"/>
      <c r="Q95" s="5"/>
    </row>
    <row r="96" spans="1:17" x14ac:dyDescent="0.25">
      <c r="A96" s="8"/>
      <c r="B96" s="8"/>
      <c r="C96" s="8"/>
      <c r="Q96" s="5"/>
    </row>
  </sheetData>
  <autoFilter ref="BU1:BU9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'Basic_Fundamental_Tabel_Update_Buttom &quot;影视院线&quot;,&quot;&quot;'" altText="更新基本面按钮_x000a_">
                <anchor moveWithCells="1" sizeWithCells="1">
                  <from>
                    <xdr:col>147</xdr:col>
                    <xdr:colOff>152400</xdr:colOff>
                    <xdr:row>0</xdr:row>
                    <xdr:rowOff>50800</xdr:rowOff>
                  </from>
                  <to>
                    <xdr:col>147</xdr:col>
                    <xdr:colOff>1593850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传媒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2024-07-10T23:10:26Z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