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New-传媒\"/>
    </mc:Choice>
  </mc:AlternateContent>
  <bookViews>
    <workbookView xWindow="0" yWindow="0" windowWidth="3800" windowHeight="2950"/>
  </bookViews>
  <sheets>
    <sheet name="传媒" sheetId="18" r:id="rId1"/>
    <sheet name="估值-增速与年化收益" sheetId="14" r:id="rId2"/>
  </sheets>
  <functionGroups builtInGroupCount="18"/>
  <definedNames>
    <definedName name="_xlnm._FilterDatabase" localSheetId="0" hidden="1">传媒!$BU$1:$BU$100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7" i="18"/>
  <c r="C25" i="18"/>
  <c r="C22" i="18"/>
  <c r="C19" i="18"/>
  <c r="C11" i="18"/>
  <c r="C9" i="18"/>
  <c r="C3" i="18"/>
  <c r="C23" i="18"/>
  <c r="C17" i="18"/>
  <c r="C15" i="18"/>
  <c r="C13" i="18"/>
  <c r="C8" i="18"/>
  <c r="C2" i="18"/>
  <c r="C5" i="18"/>
  <c r="C6" i="18"/>
  <c r="C24" i="18"/>
  <c r="C21" i="18"/>
  <c r="C18" i="18"/>
  <c r="C16" i="18"/>
  <c r="C12" i="18"/>
  <c r="C26" i="18"/>
  <c r="C20" i="18"/>
  <c r="C14" i="18"/>
  <c r="C4" i="18"/>
  <c r="C10" i="18"/>
</calcChain>
</file>

<file path=xl/sharedStrings.xml><?xml version="1.0" encoding="utf-8"?>
<sst xmlns="http://schemas.openxmlformats.org/spreadsheetml/2006/main" count="1523" uniqueCount="1148">
  <si>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</si>
  <si>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</si>
  <si>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</si>
  <si>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</si>
  <si>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</si>
  <si>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--</t>
  </si>
  <si>
    <t>总市值</t>
  </si>
  <si>
    <t>TTM市盈率</t>
  </si>
  <si>
    <t>所属行业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</si>
  <si>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</si>
  <si>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</si>
  <si>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</si>
  <si>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</si>
  <si>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</si>
  <si>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</si>
  <si>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</si>
  <si>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</si>
  <si>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1.69亿</t>
  </si>
  <si>
    <t>1.37亿</t>
  </si>
  <si>
    <t>3.31亿</t>
  </si>
  <si>
    <t>1.06亿</t>
  </si>
  <si>
    <t>2.46亿</t>
  </si>
  <si>
    <t>1.31亿</t>
  </si>
  <si>
    <t>2.45亿</t>
  </si>
  <si>
    <t>2.12亿</t>
  </si>
  <si>
    <t>流动资产</t>
  </si>
  <si>
    <t>营业收入[20191231]</t>
  </si>
  <si>
    <t>营业收入[20181231]</t>
  </si>
  <si>
    <t>营业收入[20171231]</t>
  </si>
  <si>
    <t>净利润[20191231]</t>
  </si>
  <si>
    <t>净利润[20181231]</t>
  </si>
  <si>
    <t>净利润[20171231]</t>
  </si>
  <si>
    <t>6.02亿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</si>
  <si>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</si>
  <si>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</si>
  <si>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</si>
  <si>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</si>
  <si>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</si>
  <si>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</si>
  <si>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</si>
  <si>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</si>
  <si>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</si>
  <si>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</si>
  <si>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</si>
  <si>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</si>
  <si>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</si>
  <si>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销售毛利率%[20201231]</t>
  </si>
  <si>
    <t>销售净利率%[20201231]</t>
  </si>
  <si>
    <t>传媒</t>
  </si>
  <si>
    <t>28.20亿</t>
  </si>
  <si>
    <t>34.36亿</t>
  </si>
  <si>
    <t>代码</t>
  </si>
  <si>
    <t>涨幅%</t>
  </si>
  <si>
    <t>流通股本</t>
  </si>
  <si>
    <t>净利润[20201231]</t>
  </si>
  <si>
    <t>投入资本回报率roic%[20201231]</t>
  </si>
  <si>
    <t>净资产收益率%[20201231]</t>
  </si>
  <si>
    <t>1.54亿</t>
  </si>
  <si>
    <t xml:space="preserve">    名称</t>
  </si>
  <si>
    <t>净利润?</t>
  </si>
  <si>
    <t>投入资本回报率roic%[20211231]</t>
  </si>
  <si>
    <t>净资产收益率%[20211231]</t>
  </si>
  <si>
    <t>细分行业</t>
  </si>
  <si>
    <t>单季营收增速</t>
  </si>
  <si>
    <t>单季利润增速</t>
  </si>
  <si>
    <t/>
  </si>
  <si>
    <t>1-0</t>
  </si>
  <si>
    <t>1.17亿</t>
  </si>
  <si>
    <t>1.02亿</t>
  </si>
  <si>
    <t>1.34亿</t>
  </si>
  <si>
    <t>1.53亿</t>
  </si>
  <si>
    <t>2.00亿</t>
  </si>
  <si>
    <t>2.19亿</t>
  </si>
  <si>
    <t>1.08亿</t>
  </si>
  <si>
    <t>2.25亿</t>
  </si>
  <si>
    <t>1.68亿</t>
  </si>
  <si>
    <t>1.79亿</t>
  </si>
  <si>
    <t>3.35亿</t>
  </si>
  <si>
    <t>5.41亿</t>
  </si>
  <si>
    <t>1.10亿</t>
  </si>
  <si>
    <t>亏损</t>
  </si>
  <si>
    <t>扭亏</t>
  </si>
  <si>
    <t>1.33亿</t>
  </si>
  <si>
    <t>2.35亿</t>
  </si>
  <si>
    <t>2.94亿</t>
  </si>
  <si>
    <t>2.78亿</t>
  </si>
  <si>
    <t>1.58亿</t>
  </si>
  <si>
    <t>1.42亿</t>
  </si>
  <si>
    <t>3.21亿</t>
  </si>
  <si>
    <t>2.91亿</t>
  </si>
  <si>
    <t>1.39亿</t>
  </si>
  <si>
    <t>2.88亿</t>
  </si>
  <si>
    <t>1.05亿</t>
  </si>
  <si>
    <t>2.77亿</t>
  </si>
  <si>
    <t>2.14亿</t>
  </si>
  <si>
    <t>1.25亿</t>
  </si>
  <si>
    <t>开始亏损</t>
  </si>
  <si>
    <t>8.55亿</t>
  </si>
  <si>
    <t>2.28亿</t>
  </si>
  <si>
    <t>1.85亿</t>
  </si>
  <si>
    <t>1.82亿</t>
  </si>
  <si>
    <t>1.30亿</t>
  </si>
  <si>
    <t>12.40亿</t>
  </si>
  <si>
    <t>1.91亿</t>
  </si>
  <si>
    <t>8.96亿</t>
  </si>
  <si>
    <t>2.41亿</t>
  </si>
  <si>
    <t>2.37亿</t>
  </si>
  <si>
    <t>2.02亿</t>
  </si>
  <si>
    <t>3.86亿</t>
  </si>
  <si>
    <t>1.27亿</t>
  </si>
  <si>
    <t>4.35亿</t>
  </si>
  <si>
    <t>6.31亿</t>
  </si>
  <si>
    <t>2.06亿</t>
  </si>
  <si>
    <t>游戏</t>
  </si>
  <si>
    <t>2.60亿</t>
  </si>
  <si>
    <t>4.12亿</t>
  </si>
  <si>
    <t>4.21亿</t>
  </si>
  <si>
    <t>2.31亿</t>
  </si>
  <si>
    <t>15.47亿</t>
  </si>
  <si>
    <t>SZ002174</t>
  </si>
  <si>
    <t>游族网络</t>
  </si>
  <si>
    <t>32.04亿</t>
  </si>
  <si>
    <t>1.24亿</t>
  </si>
  <si>
    <t>1.18亿</t>
  </si>
  <si>
    <t>47.03亿</t>
  </si>
  <si>
    <t>32.21亿</t>
  </si>
  <si>
    <t>35.81亿</t>
  </si>
  <si>
    <t>-1.88亿</t>
  </si>
  <si>
    <t>2.57亿</t>
  </si>
  <si>
    <t>10.09亿</t>
  </si>
  <si>
    <t>1.87亿</t>
  </si>
  <si>
    <t>5.46亿</t>
  </si>
  <si>
    <t>2.32亿</t>
  </si>
  <si>
    <t>5.07亿</t>
  </si>
  <si>
    <t>3.13亿</t>
  </si>
  <si>
    <t>8.04亿</t>
  </si>
  <si>
    <t>1.43亿</t>
  </si>
  <si>
    <t>1.88亿</t>
  </si>
  <si>
    <t>3.05亿</t>
  </si>
  <si>
    <t>3.39亿</t>
  </si>
  <si>
    <t>2.73亿</t>
  </si>
  <si>
    <t>5.00亿</t>
  </si>
  <si>
    <t>-1-1</t>
  </si>
  <si>
    <t>1.66亿</t>
  </si>
  <si>
    <t>4.85亿</t>
  </si>
  <si>
    <t>3.17亿</t>
  </si>
  <si>
    <t>2.72亿</t>
  </si>
  <si>
    <t>4.05亿</t>
  </si>
  <si>
    <t>0亿</t>
  </si>
  <si>
    <t>1.84亿</t>
  </si>
  <si>
    <t>9.96亿</t>
  </si>
  <si>
    <t>4.97亿</t>
  </si>
  <si>
    <t>1.07亿</t>
  </si>
  <si>
    <t>6.11亿</t>
  </si>
  <si>
    <t>7.23亿</t>
  </si>
  <si>
    <t>SZ002425</t>
  </si>
  <si>
    <t>凯撒文化</t>
  </si>
  <si>
    <t>9.33亿</t>
  </si>
  <si>
    <t>5.90亿</t>
  </si>
  <si>
    <t>7.45亿</t>
  </si>
  <si>
    <t>7.04亿</t>
  </si>
  <si>
    <t>1.23亿</t>
  </si>
  <si>
    <t>2.10亿</t>
  </si>
  <si>
    <t>2.55亿</t>
  </si>
  <si>
    <t>1.14亿</t>
  </si>
  <si>
    <t>1.51亿</t>
  </si>
  <si>
    <t>SZ002517</t>
  </si>
  <si>
    <t>恺英网络</t>
  </si>
  <si>
    <t>23.75亿</t>
  </si>
  <si>
    <t>5.77亿</t>
  </si>
  <si>
    <t>3.95亿</t>
  </si>
  <si>
    <t>15.43亿</t>
  </si>
  <si>
    <t>20.37亿</t>
  </si>
  <si>
    <t>22.84亿</t>
  </si>
  <si>
    <t>1.78亿</t>
  </si>
  <si>
    <t>-18.94亿</t>
  </si>
  <si>
    <t>2.18亿</t>
  </si>
  <si>
    <t>10.29亿</t>
  </si>
  <si>
    <t>4.48亿</t>
  </si>
  <si>
    <t>SZ002555</t>
  </si>
  <si>
    <t>三七互娱</t>
  </si>
  <si>
    <t>162.16亿</t>
  </si>
  <si>
    <t>28.76亿</t>
  </si>
  <si>
    <t>3.41亿</t>
  </si>
  <si>
    <t>144.00亿</t>
  </si>
  <si>
    <t>132.27亿</t>
  </si>
  <si>
    <t>76.33亿</t>
  </si>
  <si>
    <t>27.61亿</t>
  </si>
  <si>
    <t>21.15亿</t>
  </si>
  <si>
    <t>-1-0</t>
  </si>
  <si>
    <t>SZ002558</t>
  </si>
  <si>
    <t>巨人网络</t>
  </si>
  <si>
    <t>21.24亿</t>
  </si>
  <si>
    <t>9.95亿</t>
  </si>
  <si>
    <t>7.01亿</t>
  </si>
  <si>
    <t>1.01亿</t>
  </si>
  <si>
    <t>22.17亿</t>
  </si>
  <si>
    <t>25.71亿</t>
  </si>
  <si>
    <t>37.80亿</t>
  </si>
  <si>
    <t>8.20亿</t>
  </si>
  <si>
    <t>10.78亿</t>
  </si>
  <si>
    <t>2.71亿</t>
  </si>
  <si>
    <t>5.74亿</t>
  </si>
  <si>
    <t>SZ002602</t>
  </si>
  <si>
    <t>世纪华通</t>
  </si>
  <si>
    <t>139.29亿</t>
  </si>
  <si>
    <t>23.27亿</t>
  </si>
  <si>
    <t>149.83亿</t>
  </si>
  <si>
    <t>146.90亿</t>
  </si>
  <si>
    <t>125.24亿</t>
  </si>
  <si>
    <t>29.46亿</t>
  </si>
  <si>
    <t>22.85亿</t>
  </si>
  <si>
    <t>13.46亿</t>
  </si>
  <si>
    <t>SZ002605</t>
  </si>
  <si>
    <t>姚记科技</t>
  </si>
  <si>
    <t>38.07亿</t>
  </si>
  <si>
    <t>25.62亿</t>
  </si>
  <si>
    <t>17.37亿</t>
  </si>
  <si>
    <t>9.80亿</t>
  </si>
  <si>
    <t>6.63亿</t>
  </si>
  <si>
    <t>10.93亿</t>
  </si>
  <si>
    <t>3.45亿</t>
  </si>
  <si>
    <t>SZ002624</t>
  </si>
  <si>
    <t>完美世界</t>
  </si>
  <si>
    <t>85.18亿</t>
  </si>
  <si>
    <t>3.69亿</t>
  </si>
  <si>
    <t>3.51亿</t>
  </si>
  <si>
    <t>10.52亿</t>
  </si>
  <si>
    <t>102.25亿</t>
  </si>
  <si>
    <t>80.39亿</t>
  </si>
  <si>
    <t>80.34亿</t>
  </si>
  <si>
    <t>15.49亿</t>
  </si>
  <si>
    <t>15.03亿</t>
  </si>
  <si>
    <t>17.06亿</t>
  </si>
  <si>
    <t>4.64亿</t>
  </si>
  <si>
    <t>13.80亿</t>
  </si>
  <si>
    <t>10.46亿</t>
  </si>
  <si>
    <t>5.55亿</t>
  </si>
  <si>
    <t>20.69亿</t>
  </si>
  <si>
    <t>3.66亿</t>
  </si>
  <si>
    <t>SZ300002</t>
  </si>
  <si>
    <t>神州泰岳</t>
  </si>
  <si>
    <t>43.14亿</t>
  </si>
  <si>
    <t>3.85亿</t>
  </si>
  <si>
    <t>35.96亿</t>
  </si>
  <si>
    <t>17.77亿</t>
  </si>
  <si>
    <t>20.19亿</t>
  </si>
  <si>
    <t>-14.74亿</t>
  </si>
  <si>
    <t>8024.76万</t>
  </si>
  <si>
    <t>1.28亿</t>
  </si>
  <si>
    <t>SZ300031</t>
  </si>
  <si>
    <t>宝通科技</t>
  </si>
  <si>
    <t>27.60亿</t>
  </si>
  <si>
    <t>4.03亿</t>
  </si>
  <si>
    <t>4.33亿</t>
  </si>
  <si>
    <t>2.22亿</t>
  </si>
  <si>
    <t>26.38亿</t>
  </si>
  <si>
    <t>24.76亿</t>
  </si>
  <si>
    <t>21.66亿</t>
  </si>
  <si>
    <t>4.37亿</t>
  </si>
  <si>
    <t>SZ300043</t>
  </si>
  <si>
    <t>星辉娱乐</t>
  </si>
  <si>
    <t>14.07亿</t>
  </si>
  <si>
    <t>-6.63亿</t>
  </si>
  <si>
    <t>17.43亿</t>
  </si>
  <si>
    <t>25.94亿</t>
  </si>
  <si>
    <t>2601.40万</t>
  </si>
  <si>
    <t>2.59亿</t>
  </si>
  <si>
    <t>2.38亿</t>
  </si>
  <si>
    <t>2.30亿</t>
  </si>
  <si>
    <t>2.01亿</t>
  </si>
  <si>
    <t>2.54亿</t>
  </si>
  <si>
    <t>SZ300052</t>
  </si>
  <si>
    <t>中青宝</t>
  </si>
  <si>
    <t>1.73亿</t>
  </si>
  <si>
    <t>3.34亿</t>
  </si>
  <si>
    <t>3636.19万</t>
  </si>
  <si>
    <t>5029.67万</t>
  </si>
  <si>
    <t>1.64亿</t>
  </si>
  <si>
    <t>2.51亿</t>
  </si>
  <si>
    <t>1.92亿</t>
  </si>
  <si>
    <t>2.99亿</t>
  </si>
  <si>
    <t>1.09亿</t>
  </si>
  <si>
    <t>-3.10亿</t>
  </si>
  <si>
    <t>4.78亿</t>
  </si>
  <si>
    <t>7.55亿</t>
  </si>
  <si>
    <t>SZ300148</t>
  </si>
  <si>
    <t>天舟文化</t>
  </si>
  <si>
    <t>5.05亿</t>
  </si>
  <si>
    <t>-6.78亿</t>
  </si>
  <si>
    <t>8.48亿</t>
  </si>
  <si>
    <t>11.26亿</t>
  </si>
  <si>
    <t>-9.23亿</t>
  </si>
  <si>
    <t>3127.77万</t>
  </si>
  <si>
    <t>-10.86亿</t>
  </si>
  <si>
    <t>4.31亿</t>
  </si>
  <si>
    <t>3.62亿</t>
  </si>
  <si>
    <t>3.01亿</t>
  </si>
  <si>
    <t>1.12亿</t>
  </si>
  <si>
    <t>2.16亿</t>
  </si>
  <si>
    <t>SZ300299</t>
  </si>
  <si>
    <t>富春股份</t>
  </si>
  <si>
    <t>4.01亿</t>
  </si>
  <si>
    <t>5.66亿</t>
  </si>
  <si>
    <t>7504.06万</t>
  </si>
  <si>
    <t>1.29亿</t>
  </si>
  <si>
    <t>4.86亿</t>
  </si>
  <si>
    <t>4.68亿</t>
  </si>
  <si>
    <t>3671.17万</t>
  </si>
  <si>
    <t>-5.61亿</t>
  </si>
  <si>
    <t>5799.40万</t>
  </si>
  <si>
    <t>SZ300315</t>
  </si>
  <si>
    <t>掌趣科技</t>
  </si>
  <si>
    <t>14.72亿</t>
  </si>
  <si>
    <t>-12.45亿</t>
  </si>
  <si>
    <t>17.89亿</t>
  </si>
  <si>
    <t>16.17亿</t>
  </si>
  <si>
    <t>19.70亿</t>
  </si>
  <si>
    <t>3.64亿</t>
  </si>
  <si>
    <t>-31.50亿</t>
  </si>
  <si>
    <t>5.17亿</t>
  </si>
  <si>
    <t>1.71亿</t>
  </si>
  <si>
    <t>19.82亿</t>
  </si>
  <si>
    <t>4.76亿</t>
  </si>
  <si>
    <t>3.70亿</t>
  </si>
  <si>
    <t>SZ300459</t>
  </si>
  <si>
    <t>汤姆猫</t>
  </si>
  <si>
    <t>19.41亿</t>
  </si>
  <si>
    <t>7.08亿</t>
  </si>
  <si>
    <t>18.07亿</t>
  </si>
  <si>
    <t>18.31亿</t>
  </si>
  <si>
    <t>27.25亿</t>
  </si>
  <si>
    <t>7.53亿</t>
  </si>
  <si>
    <t>-28.23亿</t>
  </si>
  <si>
    <t>8.42亿</t>
  </si>
  <si>
    <t>SZ300467</t>
  </si>
  <si>
    <t>迅游科技</t>
  </si>
  <si>
    <t>4.73亿</t>
  </si>
  <si>
    <t>-1.74亿</t>
  </si>
  <si>
    <t>4.57亿</t>
  </si>
  <si>
    <t>4.84亿</t>
  </si>
  <si>
    <t>7.31亿</t>
  </si>
  <si>
    <t>3358.05万</t>
  </si>
  <si>
    <t>-11.86亿</t>
  </si>
  <si>
    <t>-7.90亿</t>
  </si>
  <si>
    <t>SZ300494</t>
  </si>
  <si>
    <t>盛天网络</t>
  </si>
  <si>
    <t>12.21亿</t>
  </si>
  <si>
    <t>6.61亿</t>
  </si>
  <si>
    <t>6047.10万</t>
  </si>
  <si>
    <t>5258.80万</t>
  </si>
  <si>
    <t>5344.15万</t>
  </si>
  <si>
    <t>2.69亿</t>
  </si>
  <si>
    <t>16.55亿</t>
  </si>
  <si>
    <t>SZ300533</t>
  </si>
  <si>
    <t>冰川网络</t>
  </si>
  <si>
    <t>-6307.37万</t>
  </si>
  <si>
    <t>8571.67万</t>
  </si>
  <si>
    <t>1.61亿</t>
  </si>
  <si>
    <t>9988.83万</t>
  </si>
  <si>
    <t>2.13亿</t>
  </si>
  <si>
    <t>2.75亿</t>
  </si>
  <si>
    <t>5.08亿</t>
  </si>
  <si>
    <t>2.42亿</t>
  </si>
  <si>
    <t>2.08亿</t>
  </si>
  <si>
    <t>8.09亿</t>
  </si>
  <si>
    <t>2.68亿</t>
  </si>
  <si>
    <t>11.88亿</t>
  </si>
  <si>
    <t>3.49亿</t>
  </si>
  <si>
    <t>21.70亿</t>
  </si>
  <si>
    <t>12.95亿</t>
  </si>
  <si>
    <t>51.68亿</t>
  </si>
  <si>
    <t>3.59亿</t>
  </si>
  <si>
    <t>-1.13亿</t>
  </si>
  <si>
    <t>8.51亿</t>
  </si>
  <si>
    <t>SH600633</t>
  </si>
  <si>
    <t>浙数文化</t>
  </si>
  <si>
    <t>30.64亿</t>
  </si>
  <si>
    <t>35.39亿</t>
  </si>
  <si>
    <t>28.42亿</t>
  </si>
  <si>
    <t>19.20亿</t>
  </si>
  <si>
    <t>5.12亿</t>
  </si>
  <si>
    <t>3.56亿</t>
  </si>
  <si>
    <t>6.97亿</t>
  </si>
  <si>
    <t>SH600892</t>
  </si>
  <si>
    <t>大晟文化</t>
  </si>
  <si>
    <t>2334.76万</t>
  </si>
  <si>
    <t>-5.68亿</t>
  </si>
  <si>
    <t>-11.29亿</t>
  </si>
  <si>
    <t>10.61亿</t>
  </si>
  <si>
    <t>14.02亿</t>
  </si>
  <si>
    <t>12.76亿</t>
  </si>
  <si>
    <t>12.38亿</t>
  </si>
  <si>
    <t>3.71亿</t>
  </si>
  <si>
    <t>3.36亿</t>
  </si>
  <si>
    <t>1.46亿</t>
  </si>
  <si>
    <t>2.29亿</t>
  </si>
  <si>
    <t>SH603258</t>
  </si>
  <si>
    <t>电魂网络</t>
  </si>
  <si>
    <t>10.24亿</t>
  </si>
  <si>
    <t>SH603444</t>
  </si>
  <si>
    <t>吉比特</t>
  </si>
  <si>
    <t>46.19亿</t>
  </si>
  <si>
    <t>14.68亿</t>
  </si>
  <si>
    <t>27.42亿</t>
  </si>
  <si>
    <t>4.39亿</t>
  </si>
  <si>
    <t>17.08亿</t>
  </si>
  <si>
    <t>3.92亿</t>
  </si>
  <si>
    <t>6.21亿</t>
  </si>
  <si>
    <t>12.97亿</t>
  </si>
  <si>
    <t>SZ300418</t>
  </si>
  <si>
    <t>昆仑万维</t>
  </si>
  <si>
    <t>48.50亿</t>
  </si>
  <si>
    <t>3.06亿</t>
  </si>
  <si>
    <t>36.88亿</t>
  </si>
  <si>
    <t>35.77亿</t>
  </si>
  <si>
    <t>50.42亿</t>
  </si>
  <si>
    <t>10.06亿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</si>
  <si>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</si>
  <si>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</si>
  <si>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</si>
  <si>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1、（中期）年轻人领队，贴近且长留客户打造游戏；2. 2017年4月后股价也表现出了很大跌幅；长期横盘；3. （中短期）通过子公司收购Playtika，大数据及AI分析用于游戏，并表后会增加归母净利润；4. 回购1.21%股份；5. 子公司持有蚂蚁金服1417万股（0.06%）</t>
    <phoneticPr fontId="1" type="noConversion"/>
  </si>
  <si>
    <t>1. 半年报总营收增12%，利润增36%，扣非增135%；2. 腾讯等战略入股（腾讯游戏部门）3. 开启多方面合作，包括5G, 云服务基建（腾讯云部门)，猜测作为虚拟化云计算平台出租？比如渲染，游戏加速都在云端做，自己提供平台和API，其他游戏公司租用，利用5G更大带宽和延迟完成游戏显示；4. 中手游的间接持有</t>
    <phoneticPr fontId="1" type="noConversion"/>
  </si>
  <si>
    <t>1. 商誉高150亿，占比总资产40%；2.高毅买入导致反身性；3大股东权力交替；4.汽车业务拖后腿；5.龙之谷2排名不理想;</t>
    <phoneticPr fontId="1" type="noConversion"/>
  </si>
  <si>
    <t>1.游戏近年吸引客户拉动营收上表现疲软；2.征途和球球大作战为代表；2.财务数字持续不好，股价基本在底部徘徊；</t>
    <phoneticPr fontId="1" type="noConversion"/>
  </si>
  <si>
    <t>3.02亿</t>
  </si>
  <si>
    <t>2.66亿</t>
  </si>
  <si>
    <t>4.07亿</t>
  </si>
  <si>
    <t>13.77亿</t>
  </si>
  <si>
    <t>3.68亿</t>
  </si>
  <si>
    <t>6.06亿</t>
  </si>
  <si>
    <t>2.92亿</t>
  </si>
  <si>
    <t>10.25亿</t>
  </si>
  <si>
    <t>12.13亿</t>
  </si>
  <si>
    <t>不分配不转增</t>
  </si>
  <si>
    <t>10派1.3元(含税)</t>
  </si>
  <si>
    <t>10派1元(含税)</t>
  </si>
  <si>
    <t>10派0.8元(含税)</t>
  </si>
  <si>
    <t>10派5元(含税)</t>
  </si>
  <si>
    <t>10派0.6元(含税)</t>
  </si>
  <si>
    <t>2-0</t>
  </si>
  <si>
    <t>2-1</t>
  </si>
  <si>
    <t>3-1</t>
  </si>
  <si>
    <t>20.38亿</t>
  </si>
  <si>
    <t>7.91亿</t>
  </si>
  <si>
    <t>37.26亿</t>
  </si>
  <si>
    <t>4.40亿</t>
  </si>
  <si>
    <t>10派0.5元(含税)</t>
  </si>
  <si>
    <t>-6.56亿</t>
  </si>
  <si>
    <t>164.06亿</t>
  </si>
  <si>
    <t>29.54亿</t>
  </si>
  <si>
    <t>114.75亿</t>
  </si>
  <si>
    <t>-70.92亿</t>
  </si>
  <si>
    <t>39.15亿</t>
  </si>
  <si>
    <t>76.70亿</t>
  </si>
  <si>
    <t>9.79亿</t>
  </si>
  <si>
    <t>-3.81亿</t>
  </si>
  <si>
    <t>48.06亿</t>
  </si>
  <si>
    <t>32.59亿</t>
  </si>
  <si>
    <t>-3.96亿</t>
  </si>
  <si>
    <t>2.27亿</t>
  </si>
  <si>
    <t>16.06亿</t>
  </si>
  <si>
    <t>-5869.83万</t>
  </si>
  <si>
    <t>-4037.33万</t>
  </si>
  <si>
    <t>-1.42亿</t>
  </si>
  <si>
    <t>4512.11万</t>
  </si>
  <si>
    <t>12.14亿</t>
  </si>
  <si>
    <t>-3.29亿</t>
  </si>
  <si>
    <t>4053.27万</t>
  </si>
  <si>
    <t>47.36亿</t>
  </si>
  <si>
    <t>11.53亿</t>
  </si>
  <si>
    <t>46.30亿</t>
  </si>
  <si>
    <t>16.33亿</t>
  </si>
  <si>
    <t>16.58亿</t>
  </si>
  <si>
    <t>20.46亿</t>
  </si>
  <si>
    <t>16.13亿</t>
  </si>
  <si>
    <t>51.86亿</t>
  </si>
  <si>
    <t>7.29亿</t>
  </si>
  <si>
    <t>14.61亿</t>
  </si>
  <si>
    <t>10派0.35元(含税)</t>
  </si>
  <si>
    <t>4.14亿</t>
  </si>
  <si>
    <t>成交量[20230505]</t>
  </si>
  <si>
    <t>当季营业收入(同比增长率) %</t>
  </si>
  <si>
    <t>LYear营业总收入[20221231]</t>
  </si>
  <si>
    <t>LYear净利润[20221231]</t>
  </si>
  <si>
    <t>权益乘数[20220930]</t>
  </si>
  <si>
    <t>总资产周转率[20220930]</t>
  </si>
  <si>
    <t>净利润／营业总收入%[20220930]</t>
  </si>
  <si>
    <t>营业总成本[20220930]</t>
  </si>
  <si>
    <t>营业成本[20220930]</t>
  </si>
  <si>
    <t>销售费用[20230331]</t>
  </si>
  <si>
    <t>管理费用[20220930]</t>
  </si>
  <si>
    <t>研发费用总额</t>
  </si>
  <si>
    <t>其他收入[20230331]</t>
  </si>
  <si>
    <t>扣除非经常性损益后的净利润[20230331]</t>
  </si>
  <si>
    <t>货币资金[20230331]</t>
  </si>
  <si>
    <t>应收票据[20230331]</t>
  </si>
  <si>
    <t>固定资产[20230331]</t>
  </si>
  <si>
    <t>在建工程[20230331]</t>
  </si>
  <si>
    <t>短期借款[20230331]</t>
  </si>
  <si>
    <t>应付票据[20230331]</t>
  </si>
  <si>
    <t>应付账款[20230331]</t>
  </si>
  <si>
    <t>预收款项[20230331]</t>
  </si>
  <si>
    <t>流动负债[20230331]</t>
  </si>
  <si>
    <t>长期借款[20230331]</t>
  </si>
  <si>
    <t>经营活动产生的现金流量净额[20230331]</t>
  </si>
  <si>
    <t>投资活动产生的现金流量净额[20230331]</t>
  </si>
  <si>
    <t>筹资活动产生的现金流量净额[20230331]</t>
  </si>
  <si>
    <t>营业收入[20211231]</t>
  </si>
  <si>
    <t>营业收入[20201231]</t>
  </si>
  <si>
    <t>净利润[20211231]</t>
  </si>
  <si>
    <t>CYLQ营业收入[20221231]</t>
  </si>
  <si>
    <t>LYCQ营业收入[20220331]</t>
  </si>
  <si>
    <t>LYLQ营业收入[20211231]</t>
  </si>
  <si>
    <t>CYLQ净利润[20221231]</t>
  </si>
  <si>
    <t>LYCQ净利润[20220331]</t>
  </si>
  <si>
    <t>LYLQ净利润[20211231]</t>
  </si>
  <si>
    <t>投入资本回报率roic%[20221231]</t>
  </si>
  <si>
    <t>净资产收益率%[20221231]</t>
  </si>
  <si>
    <t>分红明细[20221231]</t>
  </si>
  <si>
    <t>销售毛利率%[20230331]</t>
  </si>
  <si>
    <t>销售毛利率%[20211231]</t>
  </si>
  <si>
    <t>销售净利率%[20230331]</t>
  </si>
  <si>
    <t>销售净利率%[20211231]</t>
  </si>
  <si>
    <t>区间涨跌幅:前复权%[20230426-20230505]</t>
  </si>
  <si>
    <t>区间涨跌幅:前复权%[20230321-20230505]</t>
  </si>
  <si>
    <t>区间成交量[20230426-20230505]</t>
  </si>
  <si>
    <t>区间成交量[20230321-20230505]</t>
  </si>
  <si>
    <t>6年PE</t>
    <phoneticPr fontId="1" type="noConversion"/>
  </si>
  <si>
    <t>5年营收增速PEG</t>
    <phoneticPr fontId="1" type="noConversion"/>
  </si>
  <si>
    <t>股利率</t>
    <phoneticPr fontId="1" type="noConversion"/>
  </si>
  <si>
    <t>过往营收增速均值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</si>
  <si>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</si>
  <si>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</si>
  <si>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</si>
  <si>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</si>
  <si>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</si>
  <si>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</si>
  <si>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</si>
  <si>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</si>
  <si>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</si>
  <si>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</si>
  <si>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</si>
  <si>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</si>
  <si>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清算价格</t>
    <phoneticPr fontId="1" type="noConversion"/>
  </si>
  <si>
    <t>原始顺序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</si>
  <si>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</si>
  <si>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</si>
  <si>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</si>
  <si>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</si>
  <si>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</si>
  <si>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价格变动策略</t>
    <phoneticPr fontId="1" type="noConversion"/>
  </si>
  <si>
    <t>成交量综合策略</t>
    <phoneticPr fontId="1" type="noConversion"/>
  </si>
  <si>
    <t>量价齐升策略</t>
    <phoneticPr fontId="1" type="noConversion"/>
  </si>
  <si>
    <t>基本面排序</t>
    <phoneticPr fontId="1" type="noConversion"/>
  </si>
  <si>
    <t>综合策略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</si>
  <si>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</si>
  <si>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</si>
  <si>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</si>
  <si>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</si>
  <si>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</si>
  <si>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</si>
  <si>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</si>
  <si>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</si>
  <si>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N日期</t>
    <phoneticPr fontId="1" type="noConversion"/>
  </si>
  <si>
    <t>N-4</t>
    <phoneticPr fontId="1" type="noConversion"/>
  </si>
  <si>
    <t>N-3</t>
    <phoneticPr fontId="1" type="noConversion"/>
  </si>
  <si>
    <t>N-2</t>
    <phoneticPr fontId="1" type="noConversion"/>
  </si>
  <si>
    <t>N-1</t>
    <phoneticPr fontId="1" type="noConversion"/>
  </si>
  <si>
    <t>N</t>
    <phoneticPr fontId="1" type="noConversion"/>
  </si>
  <si>
    <t>13.72亿</t>
  </si>
  <si>
    <t>19.81亿</t>
  </si>
  <si>
    <t>-6.35亿</t>
  </si>
  <si>
    <t>5-0</t>
  </si>
  <si>
    <t>9.84亿</t>
  </si>
  <si>
    <t>4-1</t>
  </si>
  <si>
    <t>1.60亿</t>
  </si>
  <si>
    <t>2.39亿</t>
  </si>
  <si>
    <t>6.90亿</t>
  </si>
  <si>
    <t>-1.28亿</t>
  </si>
  <si>
    <t>2.47亿</t>
  </si>
  <si>
    <t>-2-1</t>
  </si>
  <si>
    <t>1.35亿</t>
  </si>
  <si>
    <t>5.73亿</t>
  </si>
  <si>
    <t>4.91亿</t>
  </si>
  <si>
    <t>2966.07万</t>
  </si>
  <si>
    <t>5.24亿</t>
  </si>
  <si>
    <t>9.55亿</t>
  </si>
  <si>
    <t>4.80亿</t>
  </si>
  <si>
    <t>9568.03万</t>
  </si>
  <si>
    <t>-4860.32万</t>
  </si>
  <si>
    <t>7.75亿</t>
  </si>
  <si>
    <t>11.37亿</t>
  </si>
  <si>
    <t>12.12亿</t>
  </si>
  <si>
    <t>2830.04万</t>
  </si>
  <si>
    <t>1162.98万</t>
  </si>
  <si>
    <t>4.52亿</t>
  </si>
  <si>
    <t>4.04亿</t>
  </si>
  <si>
    <t>5.23亿</t>
  </si>
  <si>
    <t>6.48亿</t>
  </si>
  <si>
    <t>12.17亿</t>
  </si>
  <si>
    <t>10.04亿</t>
  </si>
  <si>
    <t>8.68亿</t>
  </si>
  <si>
    <t>14.70亿</t>
  </si>
  <si>
    <t>5.06亿</t>
  </si>
  <si>
    <t>17.51亿</t>
  </si>
  <si>
    <t>14.62亿</t>
  </si>
  <si>
    <t>10.16亿</t>
  </si>
  <si>
    <t>13.10亿</t>
  </si>
  <si>
    <t>43.53亿</t>
  </si>
  <si>
    <t>1165.06万</t>
  </si>
  <si>
    <t>6372.66万</t>
  </si>
  <si>
    <t>-791435亿</t>
  </si>
  <si>
    <t>-138797960亿</t>
  </si>
  <si>
    <t>331048170亿</t>
  </si>
  <si>
    <t>909698240亿</t>
  </si>
  <si>
    <t>99.41万</t>
  </si>
  <si>
    <t>-540.85万</t>
  </si>
  <si>
    <t>-37.01万</t>
  </si>
  <si>
    <t>-558.42万</t>
  </si>
  <si>
    <t>8151.11万</t>
  </si>
  <si>
    <t>5.16亿</t>
  </si>
  <si>
    <t>-9661.03万</t>
  </si>
  <si>
    <t>-7511.99万</t>
  </si>
  <si>
    <t>4.87亿</t>
  </si>
  <si>
    <t>13.88亿</t>
  </si>
  <si>
    <t>4.96亿</t>
  </si>
  <si>
    <t>68.69亿</t>
  </si>
  <si>
    <t>-2.88亿</t>
  </si>
  <si>
    <t>SZ002919</t>
  </si>
  <si>
    <t>名臣健康</t>
  </si>
  <si>
    <t>9.45亿</t>
  </si>
  <si>
    <t>7.44亿</t>
  </si>
  <si>
    <t>6.81亿</t>
  </si>
  <si>
    <t>2307.67万</t>
  </si>
  <si>
    <t>1.96亿</t>
  </si>
  <si>
    <t>3245.92万</t>
  </si>
  <si>
    <t>2946.38万</t>
  </si>
  <si>
    <t>1886854亿</t>
  </si>
  <si>
    <t>1321.83万</t>
  </si>
  <si>
    <t>-13847427亿</t>
  </si>
  <si>
    <t>5713.39万</t>
  </si>
  <si>
    <t>79579356亿</t>
  </si>
  <si>
    <t>242832120亿</t>
  </si>
  <si>
    <t>6505.99万</t>
  </si>
  <si>
    <t>5694.24万</t>
  </si>
  <si>
    <t>2.50亿</t>
  </si>
  <si>
    <t>3049.90万</t>
  </si>
  <si>
    <t>-6316.99万</t>
  </si>
  <si>
    <t>3013.13万</t>
  </si>
  <si>
    <t>580.75万</t>
  </si>
  <si>
    <t>705.16万</t>
  </si>
  <si>
    <t>14.88亿</t>
  </si>
  <si>
    <t>8.87亿</t>
  </si>
  <si>
    <t>3.11亿</t>
  </si>
  <si>
    <t>9.82亿</t>
  </si>
  <si>
    <t>15.14亿</t>
  </si>
  <si>
    <t>3.24亿</t>
  </si>
  <si>
    <t>5.49亿</t>
  </si>
  <si>
    <t>6.77亿</t>
  </si>
  <si>
    <t>8.39亿</t>
  </si>
  <si>
    <t>6.53亿</t>
  </si>
  <si>
    <t>2.56亿</t>
  </si>
  <si>
    <t>5.62亿</t>
  </si>
  <si>
    <t>-3.09亿</t>
  </si>
  <si>
    <t>37.38亿</t>
  </si>
  <si>
    <t>18.15亿</t>
  </si>
  <si>
    <t>10.57亿</t>
  </si>
  <si>
    <t>11.67亿</t>
  </si>
  <si>
    <t>26.45亿</t>
  </si>
  <si>
    <t>500.00万</t>
  </si>
  <si>
    <t>2.97亿</t>
  </si>
  <si>
    <t>-2-0</t>
  </si>
  <si>
    <t xml:space="preserve">1.
</t>
    <phoneticPr fontId="1" type="noConversion"/>
  </si>
  <si>
    <r>
      <t>1.2022 年公司通过战略投资上海超旺公司，完成
对卡牌交易及发行平台 Card Hobby 的 A 轮亿元级融资，进入</t>
    </r>
    <r>
      <rPr>
        <sz val="9"/>
        <color rgb="FFFF0000"/>
        <rFont val="宋体"/>
        <family val="3"/>
        <charset val="134"/>
        <scheme val="minor"/>
      </rPr>
      <t>球星卡</t>
    </r>
    <r>
      <rPr>
        <sz val="9"/>
        <color theme="1"/>
        <rFont val="宋体"/>
        <family val="2"/>
        <charset val="134"/>
        <scheme val="minor"/>
      </rPr>
      <t>领域；2.</t>
    </r>
    <r>
      <rPr>
        <b/>
        <sz val="9"/>
        <color rgb="FFFF0000"/>
        <rFont val="宋体"/>
        <family val="3"/>
        <charset val="134"/>
        <scheme val="minor"/>
      </rPr>
      <t>短剧方面</t>
    </r>
    <r>
      <rPr>
        <sz val="9"/>
        <color theme="1"/>
        <rFont val="宋体"/>
        <family val="2"/>
        <charset val="134"/>
        <scheme val="minor"/>
      </rPr>
      <t>，据公司2023年4月20日公告：公司短视频中心位于上海市嘉定区姚记科技园，占地面积近250亩，是上海市嘉定区特色产业园区之一。3.2023Q3财务增长的原因：a、公司</t>
    </r>
    <r>
      <rPr>
        <b/>
        <sz val="9"/>
        <color theme="1"/>
        <rFont val="宋体"/>
        <family val="3"/>
        <charset val="134"/>
        <scheme val="minor"/>
      </rPr>
      <t>扑克</t>
    </r>
    <r>
      <rPr>
        <sz val="9"/>
        <color theme="1"/>
        <rFont val="宋体"/>
        <family val="2"/>
        <charset val="134"/>
        <scheme val="minor"/>
      </rPr>
      <t>板块业务经营</t>
    </r>
    <r>
      <rPr>
        <b/>
        <sz val="9"/>
        <color theme="1"/>
        <rFont val="宋体"/>
        <family val="3"/>
        <charset val="134"/>
        <scheme val="minor"/>
      </rPr>
      <t>稳定</t>
    </r>
    <r>
      <rPr>
        <sz val="9"/>
        <color theme="1"/>
        <rFont val="宋体"/>
        <family val="2"/>
        <charset val="134"/>
        <scheme val="minor"/>
      </rPr>
      <t>，且受益于</t>
    </r>
    <r>
      <rPr>
        <b/>
        <sz val="9"/>
        <color theme="1"/>
        <rFont val="宋体"/>
        <family val="3"/>
        <charset val="134"/>
        <scheme val="minor"/>
      </rPr>
      <t>单价上升</t>
    </r>
    <r>
      <rPr>
        <sz val="9"/>
        <color theme="1"/>
        <rFont val="宋体"/>
        <family val="2"/>
        <charset val="134"/>
        <scheme val="minor"/>
      </rPr>
      <t>，利润较上年同期增长；b、公司</t>
    </r>
    <r>
      <rPr>
        <b/>
        <sz val="9"/>
        <color theme="1"/>
        <rFont val="宋体"/>
        <family val="3"/>
        <charset val="134"/>
        <scheme val="minor"/>
      </rPr>
      <t>游戏</t>
    </r>
    <r>
      <rPr>
        <sz val="9"/>
        <color theme="1"/>
        <rFont val="宋体"/>
        <family val="2"/>
        <charset val="134"/>
        <scheme val="minor"/>
      </rPr>
      <t>板块业务前期投放效果显现，本报告期实现</t>
    </r>
    <r>
      <rPr>
        <b/>
        <sz val="9"/>
        <color theme="1"/>
        <rFont val="宋体"/>
        <family val="3"/>
        <charset val="134"/>
        <scheme val="minor"/>
      </rPr>
      <t>收入和利润的双增长</t>
    </r>
    <r>
      <rPr>
        <sz val="9"/>
        <color theme="1"/>
        <rFont val="宋体"/>
        <family val="2"/>
        <charset val="134"/>
        <scheme val="minor"/>
      </rPr>
      <t>，同时公司优化了投放推广策略，采用平稳且有针对性的投放策略，效果明显；c、公司</t>
    </r>
    <r>
      <rPr>
        <b/>
        <sz val="9"/>
        <color theme="1"/>
        <rFont val="宋体"/>
        <family val="3"/>
        <charset val="134"/>
        <scheme val="minor"/>
      </rPr>
      <t>数字营销板块业务稳定增长</t>
    </r>
    <r>
      <rPr>
        <sz val="9"/>
        <color theme="1"/>
        <rFont val="宋体"/>
        <family val="2"/>
        <charset val="134"/>
        <scheme val="minor"/>
      </rPr>
      <t>，本期实现收入和利润的双增长。</t>
    </r>
    <phoneticPr fontId="1" type="noConversion"/>
  </si>
  <si>
    <t>-3-1</t>
  </si>
  <si>
    <t>9-1</t>
  </si>
  <si>
    <t>5.20亿</t>
  </si>
  <si>
    <t>5777.45万</t>
  </si>
  <si>
    <t>14.75亿</t>
  </si>
  <si>
    <t>账面净赚</t>
  </si>
  <si>
    <t>13.92亿</t>
  </si>
  <si>
    <t>1097.55万</t>
  </si>
  <si>
    <t>6641.58万</t>
  </si>
  <si>
    <t>-5-1</t>
  </si>
  <si>
    <t>4.29亿</t>
  </si>
  <si>
    <t>-6-1</t>
  </si>
  <si>
    <t>-3-0</t>
  </si>
  <si>
    <t>8.78亿</t>
  </si>
  <si>
    <t>2.90亿</t>
  </si>
  <si>
    <t>7.52亿</t>
  </si>
  <si>
    <t>769.02万</t>
  </si>
  <si>
    <t>46.31亿</t>
  </si>
  <si>
    <t>16.25亿</t>
  </si>
  <si>
    <t>9136.52万</t>
  </si>
  <si>
    <t>2631.62万</t>
  </si>
  <si>
    <t>6141.57万</t>
  </si>
  <si>
    <t>9709895亿</t>
  </si>
  <si>
    <t>17.38万</t>
  </si>
  <si>
    <t>23042910亿</t>
  </si>
  <si>
    <t>230888030亿</t>
  </si>
  <si>
    <t>2391960800亿</t>
  </si>
  <si>
    <t>3.23亿</t>
  </si>
  <si>
    <t>9.33万</t>
  </si>
  <si>
    <t>1990.00万</t>
  </si>
  <si>
    <t>852.40万</t>
  </si>
  <si>
    <t>154.96万</t>
  </si>
  <si>
    <t>4.74亿</t>
  </si>
  <si>
    <t>4284.98万</t>
  </si>
  <si>
    <t>4533.52万</t>
  </si>
  <si>
    <t>091365200</t>
  </si>
  <si>
    <t>0274095600</t>
  </si>
  <si>
    <t>0548191200</t>
  </si>
  <si>
    <t>0913652000</t>
  </si>
  <si>
    <t>01827304000</t>
  </si>
  <si>
    <t>3704.88万</t>
  </si>
  <si>
    <t>56.77亿</t>
  </si>
  <si>
    <t>13.08亿</t>
  </si>
  <si>
    <t>42.95亿</t>
  </si>
  <si>
    <t>8.69亿</t>
  </si>
  <si>
    <t>4982.15万</t>
  </si>
  <si>
    <t>3778260亿</t>
  </si>
  <si>
    <t>192.62万</t>
  </si>
  <si>
    <t>423983460亿</t>
  </si>
  <si>
    <t>1144600010亿</t>
  </si>
  <si>
    <t>4697010700亿</t>
  </si>
  <si>
    <t>-5.45亿</t>
  </si>
  <si>
    <t>4704.52万</t>
  </si>
  <si>
    <t>1922.19万</t>
  </si>
  <si>
    <t>63.22亿</t>
  </si>
  <si>
    <t>133.55亿</t>
  </si>
  <si>
    <t>47.50亿</t>
  </si>
  <si>
    <t>165.47亿</t>
  </si>
  <si>
    <t>26.59亿</t>
  </si>
  <si>
    <t>40.97亿</t>
  </si>
  <si>
    <t>28.91亿</t>
  </si>
  <si>
    <t>29083195亿</t>
  </si>
  <si>
    <t>124.58万</t>
  </si>
  <si>
    <t>615975010亿</t>
  </si>
  <si>
    <t>1527930900亿</t>
  </si>
  <si>
    <t>12672109100亿</t>
  </si>
  <si>
    <t>6.45亿</t>
  </si>
  <si>
    <t>23.43亿</t>
  </si>
  <si>
    <t>69.06亿</t>
  </si>
  <si>
    <t>11.70亿</t>
  </si>
  <si>
    <t>-9.56亿</t>
  </si>
  <si>
    <t>7.48亿</t>
  </si>
  <si>
    <t>37.65亿</t>
  </si>
  <si>
    <t>10派3.7元(含税)</t>
  </si>
  <si>
    <t>1942.59万</t>
  </si>
  <si>
    <t>16.39亿</t>
  </si>
  <si>
    <t>121.09亿</t>
  </si>
  <si>
    <t>6.96亿</t>
  </si>
  <si>
    <t>29.24亿</t>
  </si>
  <si>
    <t>10.86亿</t>
  </si>
  <si>
    <t>9160.62万</t>
  </si>
  <si>
    <t>4179.00万</t>
  </si>
  <si>
    <t>139691380亿</t>
  </si>
  <si>
    <t>404618540亿</t>
  </si>
  <si>
    <t>20.58亿</t>
  </si>
  <si>
    <t>178384770亿</t>
  </si>
  <si>
    <t>2526088800亿</t>
  </si>
  <si>
    <t>5556.17万</t>
  </si>
  <si>
    <t>16.36亿</t>
  </si>
  <si>
    <t>-6006.76万</t>
  </si>
  <si>
    <t>-3613.44万</t>
  </si>
  <si>
    <t>8.95亿</t>
  </si>
  <si>
    <t>01086000000</t>
  </si>
  <si>
    <t>03258000000</t>
  </si>
  <si>
    <t>06516000000</t>
  </si>
  <si>
    <t>010860000000</t>
  </si>
  <si>
    <t>021720000000</t>
  </si>
  <si>
    <t>4831.58万</t>
  </si>
  <si>
    <t>113.58亿</t>
  </si>
  <si>
    <t>263.39亿</t>
  </si>
  <si>
    <t>42.62亿</t>
  </si>
  <si>
    <t>132.85亿</t>
  </si>
  <si>
    <t>15.74亿</t>
  </si>
  <si>
    <t>11.69亿</t>
  </si>
  <si>
    <t>-5088809亿</t>
  </si>
  <si>
    <t>310.87万</t>
  </si>
  <si>
    <t>647457300亿</t>
  </si>
  <si>
    <t>2787651600亿</t>
  </si>
  <si>
    <t>8810447600亿</t>
  </si>
  <si>
    <t>86.84亿</t>
  </si>
  <si>
    <t>8.72亿</t>
  </si>
  <si>
    <t>-5.65亿</t>
  </si>
  <si>
    <t>-1.56亿</t>
  </si>
  <si>
    <t>30.23亿</t>
  </si>
  <si>
    <t>22.62亿</t>
  </si>
  <si>
    <t>369.15万</t>
  </si>
  <si>
    <t>34.82亿</t>
  </si>
  <si>
    <t>43.07亿</t>
  </si>
  <si>
    <t>8.01亿</t>
  </si>
  <si>
    <t>7159.75万</t>
  </si>
  <si>
    <t>5830.60万</t>
  </si>
  <si>
    <t>1961917亿</t>
  </si>
  <si>
    <t>4.48万</t>
  </si>
  <si>
    <t>149644910亿</t>
  </si>
  <si>
    <t>716343470亿</t>
  </si>
  <si>
    <t>2472260900亿</t>
  </si>
  <si>
    <t>243.99万</t>
  </si>
  <si>
    <t>11.19亿</t>
  </si>
  <si>
    <t>3619.36万</t>
  </si>
  <si>
    <t>-4518.46万</t>
  </si>
  <si>
    <t>1.98亿</t>
  </si>
  <si>
    <t>10派9元(含税)</t>
  </si>
  <si>
    <t>2170.63万</t>
  </si>
  <si>
    <t>1686.59万</t>
  </si>
  <si>
    <t>50.64亿</t>
  </si>
  <si>
    <t>94.06亿</t>
  </si>
  <si>
    <t>13.29亿</t>
  </si>
  <si>
    <t>77.91亿</t>
  </si>
  <si>
    <t>14.30亿</t>
  </si>
  <si>
    <t>343524640亿</t>
  </si>
  <si>
    <t>709.39万</t>
  </si>
  <si>
    <t>-158409190亿</t>
  </si>
  <si>
    <t>42.58亿</t>
  </si>
  <si>
    <t>850568770亿</t>
  </si>
  <si>
    <t>3500.00万</t>
  </si>
  <si>
    <t>8040639900亿</t>
  </si>
  <si>
    <t>183.64万</t>
  </si>
  <si>
    <t>9.23万</t>
  </si>
  <si>
    <t>37.42亿</t>
  </si>
  <si>
    <t>-3.55亿</t>
  </si>
  <si>
    <t>15.24亿</t>
  </si>
  <si>
    <t>7329.21万</t>
  </si>
  <si>
    <t>19.04亿</t>
  </si>
  <si>
    <t>10派4.6元(含税)</t>
  </si>
  <si>
    <t>8883.95万</t>
  </si>
  <si>
    <t>448.30万</t>
  </si>
  <si>
    <t>16.38亿</t>
  </si>
  <si>
    <t>7036.47万</t>
  </si>
  <si>
    <t>3.07亿</t>
  </si>
  <si>
    <t>2490.65万</t>
  </si>
  <si>
    <t>1.84万</t>
  </si>
  <si>
    <t>44986539亿</t>
  </si>
  <si>
    <t>385040480亿</t>
  </si>
  <si>
    <t>884917570亿</t>
  </si>
  <si>
    <t>105.25万</t>
  </si>
  <si>
    <t>-3095.43万</t>
  </si>
  <si>
    <t>-2217.42万</t>
  </si>
  <si>
    <t>-581.67万</t>
  </si>
  <si>
    <t>2538.89万</t>
  </si>
  <si>
    <t>3410.42万</t>
  </si>
  <si>
    <t>10转2股派1.5元(含税)</t>
  </si>
  <si>
    <t>2021.83万</t>
  </si>
  <si>
    <t>3141.76万</t>
  </si>
  <si>
    <t>61.13亿</t>
  </si>
  <si>
    <t>59.62亿</t>
  </si>
  <si>
    <t>11.62亿</t>
  </si>
  <si>
    <t>4616867亿</t>
  </si>
  <si>
    <t>15.36万</t>
  </si>
  <si>
    <t>286802340亿</t>
  </si>
  <si>
    <t>751761160亿</t>
  </si>
  <si>
    <t>1094.43万</t>
  </si>
  <si>
    <t>4051697400亿</t>
  </si>
  <si>
    <t>3502.53万</t>
  </si>
  <si>
    <t>311.83万</t>
  </si>
  <si>
    <t>1051.33万</t>
  </si>
  <si>
    <t>7-1</t>
  </si>
  <si>
    <t>957.05万</t>
  </si>
  <si>
    <t>20.22亿</t>
  </si>
  <si>
    <t>39.04亿</t>
  </si>
  <si>
    <t>36.55亿</t>
  </si>
  <si>
    <t>8486.36万</t>
  </si>
  <si>
    <t>-53670亿</t>
  </si>
  <si>
    <t>7.66万</t>
  </si>
  <si>
    <t>99138340亿</t>
  </si>
  <si>
    <t>13.38亿</t>
  </si>
  <si>
    <t>705648580亿</t>
  </si>
  <si>
    <t>2809194300亿</t>
  </si>
  <si>
    <t>5290.43万</t>
  </si>
  <si>
    <t>5.35亿</t>
  </si>
  <si>
    <t>187.98万</t>
  </si>
  <si>
    <t>8323.56万</t>
  </si>
  <si>
    <t>5932.60万</t>
  </si>
  <si>
    <t>5006.23万</t>
  </si>
  <si>
    <t>23.87亿</t>
  </si>
  <si>
    <t>17.33亿</t>
  </si>
  <si>
    <t>2770.85万</t>
  </si>
  <si>
    <t>4.28亿</t>
  </si>
  <si>
    <t>6368.68万</t>
  </si>
  <si>
    <t>-607584亿</t>
  </si>
  <si>
    <t>7.25万</t>
  </si>
  <si>
    <t>-97802657亿</t>
  </si>
  <si>
    <t>362879320亿</t>
  </si>
  <si>
    <t>885.64万</t>
  </si>
  <si>
    <t>615678590亿</t>
  </si>
  <si>
    <t>355.30万</t>
  </si>
  <si>
    <t>16.40亿</t>
  </si>
  <si>
    <t>948.86万</t>
  </si>
  <si>
    <t>-3853.92万</t>
  </si>
  <si>
    <t>3291.03万</t>
  </si>
  <si>
    <t>-4142.36万</t>
  </si>
  <si>
    <t>2.26亿</t>
  </si>
  <si>
    <t>083125500</t>
  </si>
  <si>
    <t>0166251000</t>
  </si>
  <si>
    <t>0277085000</t>
  </si>
  <si>
    <t>0554170000</t>
  </si>
  <si>
    <t>3919.22万</t>
  </si>
  <si>
    <t>4893.44万</t>
  </si>
  <si>
    <t>-5982.62万</t>
  </si>
  <si>
    <t>5216.92万</t>
  </si>
  <si>
    <t>2580.68万</t>
  </si>
  <si>
    <t>960.10万</t>
  </si>
  <si>
    <t>1547.74万</t>
  </si>
  <si>
    <t>-2589437亿</t>
  </si>
  <si>
    <t>96.89万</t>
  </si>
  <si>
    <t>-2903694亿</t>
  </si>
  <si>
    <t>24252160亿</t>
  </si>
  <si>
    <t>706693860亿</t>
  </si>
  <si>
    <t>8116.22万</t>
  </si>
  <si>
    <t>-7826.68万</t>
  </si>
  <si>
    <t>-6831.73万</t>
  </si>
  <si>
    <t>-3889.15万</t>
  </si>
  <si>
    <t>5252.83万</t>
  </si>
  <si>
    <t>-407.73万</t>
  </si>
  <si>
    <t>9838.50万</t>
  </si>
  <si>
    <t>4.92亿</t>
  </si>
  <si>
    <t>1641.97万</t>
  </si>
  <si>
    <t>5.72亿</t>
  </si>
  <si>
    <t>5097.17万</t>
  </si>
  <si>
    <t>860.13万</t>
  </si>
  <si>
    <t>6854.66万</t>
  </si>
  <si>
    <t>3472.79万</t>
  </si>
  <si>
    <t>85.33万</t>
  </si>
  <si>
    <t>1213.63万</t>
  </si>
  <si>
    <t>-1563203亿</t>
  </si>
  <si>
    <t>6.19万</t>
  </si>
  <si>
    <t>-14211017亿</t>
  </si>
  <si>
    <t>7837.13万</t>
  </si>
  <si>
    <t>137694850亿</t>
  </si>
  <si>
    <t>473135410亿</t>
  </si>
  <si>
    <t>4958.39万</t>
  </si>
  <si>
    <t>-932.38万</t>
  </si>
  <si>
    <t>-52.55万</t>
  </si>
  <si>
    <t>1712.64万</t>
  </si>
  <si>
    <t>7907.26万</t>
  </si>
  <si>
    <t>844.82万</t>
  </si>
  <si>
    <t>5274.98万</t>
  </si>
  <si>
    <t>4.06亿</t>
  </si>
  <si>
    <t>025803900</t>
  </si>
  <si>
    <t>051607800</t>
  </si>
  <si>
    <t>086013000</t>
  </si>
  <si>
    <t>0172026000</t>
  </si>
  <si>
    <t>3692.87万</t>
  </si>
  <si>
    <t>48.16亿</t>
  </si>
  <si>
    <t>5717.36万</t>
  </si>
  <si>
    <t>9404.11万</t>
  </si>
  <si>
    <t>3056.23万</t>
  </si>
  <si>
    <t>22809398亿</t>
  </si>
  <si>
    <t>56981520亿</t>
  </si>
  <si>
    <t>25.47亿</t>
  </si>
  <si>
    <t>197624560亿</t>
  </si>
  <si>
    <t>2890722800亿</t>
  </si>
  <si>
    <t>82.48万</t>
  </si>
  <si>
    <t>-644.71万</t>
  </si>
  <si>
    <t>-9483.93万</t>
  </si>
  <si>
    <t>-50.06万</t>
  </si>
  <si>
    <t>9617.16万</t>
  </si>
  <si>
    <t>7914.57万</t>
  </si>
  <si>
    <t>17.21亿</t>
  </si>
  <si>
    <t>0187000000</t>
  </si>
  <si>
    <t>0561000000</t>
  </si>
  <si>
    <t>01122000000</t>
  </si>
  <si>
    <t>01870000000</t>
  </si>
  <si>
    <t>03740000000</t>
  </si>
  <si>
    <t>6-1</t>
  </si>
  <si>
    <t>3210.77万</t>
  </si>
  <si>
    <t>35.86亿</t>
  </si>
  <si>
    <t>177.02亿</t>
  </si>
  <si>
    <t>12.08亿</t>
  </si>
  <si>
    <t>49.15亿</t>
  </si>
  <si>
    <t>12.58亿</t>
  </si>
  <si>
    <t>-14709040亿</t>
  </si>
  <si>
    <t>3.87万</t>
  </si>
  <si>
    <t>-193531070亿</t>
  </si>
  <si>
    <t>9.81亿</t>
  </si>
  <si>
    <t>636648720亿</t>
  </si>
  <si>
    <t>3510107800亿</t>
  </si>
  <si>
    <t>11.98亿</t>
  </si>
  <si>
    <t>700.00万</t>
  </si>
  <si>
    <t>30.10亿</t>
  </si>
  <si>
    <t>-2196.67万</t>
  </si>
  <si>
    <t>-2.05亿</t>
  </si>
  <si>
    <t>10派0.493305元(含税)</t>
  </si>
  <si>
    <t>11.40亿</t>
  </si>
  <si>
    <t>5639.25万</t>
  </si>
  <si>
    <t>31.58亿</t>
  </si>
  <si>
    <t>13.48亿</t>
  </si>
  <si>
    <t>-8.65亿</t>
  </si>
  <si>
    <t>3087.64万</t>
  </si>
  <si>
    <t>7183.84万</t>
  </si>
  <si>
    <t>6132.27万</t>
  </si>
  <si>
    <t>-955636亿</t>
  </si>
  <si>
    <t>326.43万</t>
  </si>
  <si>
    <t>55783556亿</t>
  </si>
  <si>
    <t>177473480亿</t>
  </si>
  <si>
    <t>15.00万</t>
  </si>
  <si>
    <t>899762310亿</t>
  </si>
  <si>
    <t>5803.94万</t>
  </si>
  <si>
    <t>165.75万</t>
  </si>
  <si>
    <t>16.00亿</t>
  </si>
  <si>
    <t>5935.51万</t>
  </si>
  <si>
    <t>27.79亿</t>
  </si>
  <si>
    <t>237.59万</t>
  </si>
  <si>
    <t>7865.05万</t>
  </si>
  <si>
    <t>2938.78万</t>
  </si>
  <si>
    <t>6764.28万</t>
  </si>
  <si>
    <t>2951.58万</t>
  </si>
  <si>
    <t>1434.67万</t>
  </si>
  <si>
    <t>937.90万</t>
  </si>
  <si>
    <t>1148207亿</t>
  </si>
  <si>
    <t>9359063亿</t>
  </si>
  <si>
    <t>15746730亿</t>
  </si>
  <si>
    <t>821131880亿</t>
  </si>
  <si>
    <t>3261.04万</t>
  </si>
  <si>
    <t>-877.64万</t>
  </si>
  <si>
    <t>2797.69万</t>
  </si>
  <si>
    <t>-213.11万</t>
  </si>
  <si>
    <t>-2083.08万</t>
  </si>
  <si>
    <t>1234.55万</t>
  </si>
  <si>
    <t>1817.29万</t>
  </si>
  <si>
    <t>029387800</t>
  </si>
  <si>
    <t>088163400</t>
  </si>
  <si>
    <t>0176326800</t>
  </si>
  <si>
    <t>0293878000</t>
  </si>
  <si>
    <t>0587756000</t>
  </si>
  <si>
    <t>1006.18万</t>
  </si>
  <si>
    <t>17.31亿</t>
  </si>
  <si>
    <t>942.53万</t>
  </si>
  <si>
    <t>1414.81万</t>
  </si>
  <si>
    <t>551426亿</t>
  </si>
  <si>
    <t>102.95万</t>
  </si>
  <si>
    <t>9843608亿</t>
  </si>
  <si>
    <t>113745610亿</t>
  </si>
  <si>
    <t>1409130200亿</t>
  </si>
  <si>
    <t>9242.06万</t>
  </si>
  <si>
    <t>-8436.44万</t>
  </si>
  <si>
    <t>-116.10万</t>
  </si>
  <si>
    <t>7351.13万</t>
  </si>
  <si>
    <t>5064.18万</t>
  </si>
  <si>
    <t>4.15亿</t>
  </si>
  <si>
    <t>324.57万</t>
  </si>
  <si>
    <t>5.60亿</t>
  </si>
  <si>
    <t>27.83亿</t>
  </si>
  <si>
    <t>3711.19万</t>
  </si>
  <si>
    <t>2361.85万</t>
  </si>
  <si>
    <t>432314亿</t>
  </si>
  <si>
    <t>3.26万</t>
  </si>
  <si>
    <t>-449598360亿</t>
  </si>
  <si>
    <t>284482670亿</t>
  </si>
  <si>
    <t>2261105900亿</t>
  </si>
  <si>
    <t>826.63万</t>
  </si>
  <si>
    <t>372.79万</t>
  </si>
  <si>
    <t>588.48万</t>
  </si>
  <si>
    <t>-548.27万</t>
  </si>
  <si>
    <t>1753.69万</t>
  </si>
  <si>
    <t>1-1</t>
  </si>
  <si>
    <t>493.33万</t>
  </si>
  <si>
    <t>21.59亿</t>
  </si>
  <si>
    <t>108.64亿</t>
  </si>
  <si>
    <t>6.78亿</t>
  </si>
  <si>
    <t>63.03亿</t>
  </si>
  <si>
    <t>25499426亿</t>
  </si>
  <si>
    <t>6.71万</t>
  </si>
  <si>
    <t>71200940亿</t>
  </si>
  <si>
    <t>751725080亿</t>
  </si>
  <si>
    <t>2803648800亿</t>
  </si>
  <si>
    <t>3.19亿</t>
  </si>
  <si>
    <t>3.22亿</t>
  </si>
  <si>
    <t>67.93万</t>
  </si>
  <si>
    <t>7518.76万</t>
  </si>
  <si>
    <t>-2.38亿</t>
  </si>
  <si>
    <t>4908.13万</t>
  </si>
  <si>
    <t>-3.25亿</t>
  </si>
  <si>
    <t>30.78亿</t>
  </si>
  <si>
    <t>21.46亿</t>
  </si>
  <si>
    <t>3007.60万</t>
  </si>
  <si>
    <t>317.30万</t>
  </si>
  <si>
    <t>4059.22万</t>
  </si>
  <si>
    <t>437.34亿</t>
  </si>
  <si>
    <t>14.21亿</t>
  </si>
  <si>
    <t>4921.49万</t>
  </si>
  <si>
    <t>290.25万</t>
  </si>
  <si>
    <t>1914.16万</t>
  </si>
  <si>
    <t>1040.54万</t>
  </si>
  <si>
    <t>-229229亿</t>
  </si>
  <si>
    <t>-10334725亿</t>
  </si>
  <si>
    <t>7688.65万</t>
  </si>
  <si>
    <t>12195011亿</t>
  </si>
  <si>
    <t>128439396亿</t>
  </si>
  <si>
    <t>1001.53万</t>
  </si>
  <si>
    <t>4660.61万</t>
  </si>
  <si>
    <t>13.75万</t>
  </si>
  <si>
    <t>-33.65万</t>
  </si>
  <si>
    <t>-100.11万</t>
  </si>
  <si>
    <t>-128.70万</t>
  </si>
  <si>
    <t>2373.12万</t>
  </si>
  <si>
    <t>61.50亿</t>
  </si>
  <si>
    <t>-1927.23万</t>
  </si>
  <si>
    <t>8796.80万</t>
  </si>
  <si>
    <t>1717.82万</t>
  </si>
  <si>
    <t>210.58万</t>
  </si>
  <si>
    <t>23.26亿</t>
  </si>
  <si>
    <t>403.41亿</t>
  </si>
  <si>
    <t>96.07亿</t>
  </si>
  <si>
    <t>3721.02万</t>
  </si>
  <si>
    <t>1982.85万</t>
  </si>
  <si>
    <t>2593.14万</t>
  </si>
  <si>
    <t>-772795亿</t>
  </si>
  <si>
    <t>30554288亿</t>
  </si>
  <si>
    <t>40170749亿</t>
  </si>
  <si>
    <t>1624643500亿</t>
  </si>
  <si>
    <t>3470.80万</t>
  </si>
  <si>
    <t>320.85万</t>
  </si>
  <si>
    <t>215.86万</t>
  </si>
  <si>
    <t>2390.23万</t>
  </si>
  <si>
    <t>-354.86万</t>
  </si>
  <si>
    <t>89.64亿</t>
  </si>
  <si>
    <t>5683.79万</t>
  </si>
  <si>
    <t>21.68亿</t>
  </si>
  <si>
    <t>10派2.08元(含税)</t>
  </si>
  <si>
    <t>1284.03万</t>
  </si>
  <si>
    <t>7959.49万</t>
  </si>
  <si>
    <t>50.49万</t>
  </si>
  <si>
    <t>13.89亿</t>
  </si>
  <si>
    <t>55.36亿</t>
  </si>
  <si>
    <t>9.27亿</t>
  </si>
  <si>
    <t>55.23亿</t>
  </si>
  <si>
    <t>10.33亿</t>
  </si>
  <si>
    <t>9973.57万</t>
  </si>
  <si>
    <t>9342.76万</t>
  </si>
  <si>
    <t>58507258亿</t>
  </si>
  <si>
    <t>50.88万</t>
  </si>
  <si>
    <t>197973090亿</t>
  </si>
  <si>
    <t>23.32亿</t>
  </si>
  <si>
    <t>313455340亿</t>
  </si>
  <si>
    <t>4174894900亿</t>
  </si>
  <si>
    <t>539.84万</t>
  </si>
  <si>
    <t>10.90万</t>
  </si>
  <si>
    <t>-1783.14万</t>
  </si>
  <si>
    <t>41.85亿</t>
  </si>
  <si>
    <t>11.25亿</t>
  </si>
  <si>
    <t>2.81亿</t>
  </si>
  <si>
    <t>323.77万</t>
  </si>
  <si>
    <t>2817.07万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</si>
</sst>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9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b/>
      <sz val="9"/>
      <color rgb="FFFF0000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17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5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NumberFormat="1">
      <alignment vertical="center"/>
    </xf>
    <xf numFmtId="0" fontId="7" fillId="0" borderId="0" xfId="0" applyFont="1" applyAlignment="1">
      <alignment vertical="center" wrapText="1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152400</xdr:colOff>
          <xdr:row>0</xdr:row>
          <xdr:rowOff>50800</xdr:rowOff>
        </xdr:from>
        <xdr:to>
          <xdr:col>147</xdr:col>
          <xdr:colOff>1593850</xdr:colOff>
          <xdr:row>0</xdr:row>
          <xdr:rowOff>533400</xdr:rowOff>
        </xdr:to>
        <xdr:sp macro="" textlink="">
          <xdr:nvSpPr>
            <xdr:cNvPr id="1025" name="Button 1" descr="更新基本面按钮&#10;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100"/>
  <sheetViews>
    <sheetView tabSelected="1" zoomScale="85" zoomScaleNormal="85" workbookViewId="0">
      <pane xSplit="5" ySplit="1" topLeftCell="F19" activePane="bottomRight" state="frozen"/>
      <selection pane="topRight" activeCell="F1" sqref="F1"/>
      <selection pane="bottomLeft" activeCell="A2" sqref="A2"/>
      <selection pane="bottomRight" activeCell="D26" sqref="D26:EP26"/>
    </sheetView>
  </sheetViews>
  <sheetFormatPr defaultRowHeight="14" x14ac:dyDescent="0.25"/>
  <cols>
    <col min="1" max="1" width="36.08984375" customWidth="1"/>
    <col min="2" max="2" width="39" customWidth="1"/>
    <col min="3" max="3" width="39.1796875" customWidth="1"/>
    <col min="9" max="9" width="13.1796875" customWidth="1"/>
    <col min="16" max="16" width="12.453125" customWidth="1"/>
    <col min="148" max="148" width="27.36328125" customWidth="1"/>
  </cols>
  <sheetData>
    <row r="1" spans="1:146" ht="28.5" customHeight="1" x14ac:dyDescent="0.25">
      <c r="A1" s="3" t="s">
        <v>418</v>
      </c>
      <c r="B1" s="4" t="s">
        <v>419</v>
      </c>
      <c r="C1" s="3" t="s">
        <v>420</v>
      </c>
      <c r="D1" t="s">
        <v>51</v>
      </c>
      <c r="E1" t="s">
        <v>58</v>
      </c>
      <c r="F1" t="s">
        <v>3</v>
      </c>
      <c r="G1" t="s">
        <v>52</v>
      </c>
      <c r="H1" t="s">
        <v>481</v>
      </c>
      <c r="I1" t="s">
        <v>6</v>
      </c>
      <c r="J1" t="s">
        <v>7</v>
      </c>
      <c r="K1" t="s">
        <v>4</v>
      </c>
      <c r="L1" t="s">
        <v>8</v>
      </c>
      <c r="M1" t="s">
        <v>9</v>
      </c>
      <c r="N1" t="s">
        <v>10</v>
      </c>
      <c r="O1" t="s">
        <v>11</v>
      </c>
      <c r="P1" t="s">
        <v>482</v>
      </c>
      <c r="Q1" t="s">
        <v>483</v>
      </c>
      <c r="R1" t="s">
        <v>59</v>
      </c>
      <c r="S1" t="s">
        <v>12</v>
      </c>
      <c r="T1" t="s">
        <v>484</v>
      </c>
      <c r="U1" t="s">
        <v>53</v>
      </c>
      <c r="V1" t="s">
        <v>13</v>
      </c>
      <c r="W1" t="s">
        <v>485</v>
      </c>
      <c r="X1" t="s">
        <v>486</v>
      </c>
      <c r="Y1" t="s">
        <v>487</v>
      </c>
      <c r="Z1" t="s">
        <v>488</v>
      </c>
      <c r="AA1" t="s">
        <v>489</v>
      </c>
      <c r="AB1" t="s">
        <v>490</v>
      </c>
      <c r="AC1" t="s">
        <v>491</v>
      </c>
      <c r="AD1" t="s">
        <v>492</v>
      </c>
      <c r="AE1" t="s">
        <v>14</v>
      </c>
      <c r="AF1" t="s">
        <v>15</v>
      </c>
      <c r="AG1" t="s">
        <v>493</v>
      </c>
      <c r="AH1" t="s">
        <v>494</v>
      </c>
      <c r="AI1" t="s">
        <v>495</v>
      </c>
      <c r="AJ1" t="s">
        <v>16</v>
      </c>
      <c r="AK1" t="s">
        <v>496</v>
      </c>
      <c r="AL1" t="s">
        <v>25</v>
      </c>
      <c r="AM1" t="s">
        <v>497</v>
      </c>
      <c r="AN1" t="s">
        <v>498</v>
      </c>
      <c r="AO1" t="s">
        <v>499</v>
      </c>
      <c r="AP1" t="s">
        <v>500</v>
      </c>
      <c r="AQ1" t="s">
        <v>501</v>
      </c>
      <c r="AR1" t="s">
        <v>502</v>
      </c>
      <c r="AS1" t="s">
        <v>503</v>
      </c>
      <c r="AT1" t="s">
        <v>504</v>
      </c>
      <c r="AU1" t="s">
        <v>505</v>
      </c>
      <c r="AV1" t="s">
        <v>506</v>
      </c>
      <c r="AW1" t="s">
        <v>507</v>
      </c>
      <c r="AX1" t="s">
        <v>508</v>
      </c>
      <c r="AY1" t="s">
        <v>509</v>
      </c>
      <c r="AZ1" t="s">
        <v>26</v>
      </c>
      <c r="BA1" t="s">
        <v>27</v>
      </c>
      <c r="BB1" t="s">
        <v>28</v>
      </c>
      <c r="BC1" t="s">
        <v>510</v>
      </c>
      <c r="BD1" t="s">
        <v>54</v>
      </c>
      <c r="BE1" t="s">
        <v>29</v>
      </c>
      <c r="BF1" t="s">
        <v>30</v>
      </c>
      <c r="BG1" t="s">
        <v>31</v>
      </c>
      <c r="BH1" t="s">
        <v>511</v>
      </c>
      <c r="BI1" t="s">
        <v>512</v>
      </c>
      <c r="BJ1" t="s">
        <v>513</v>
      </c>
      <c r="BK1" t="s">
        <v>514</v>
      </c>
      <c r="BL1" t="s">
        <v>515</v>
      </c>
      <c r="BM1" t="s">
        <v>516</v>
      </c>
      <c r="BN1" t="s">
        <v>517</v>
      </c>
      <c r="BO1" t="s">
        <v>60</v>
      </c>
      <c r="BP1" t="s">
        <v>55</v>
      </c>
      <c r="BQ1" t="s">
        <v>518</v>
      </c>
      <c r="BR1" t="s">
        <v>61</v>
      </c>
      <c r="BS1" t="s">
        <v>56</v>
      </c>
      <c r="BT1" t="s">
        <v>519</v>
      </c>
      <c r="BU1" t="s">
        <v>62</v>
      </c>
      <c r="BV1" t="s">
        <v>520</v>
      </c>
      <c r="BW1" t="s">
        <v>521</v>
      </c>
      <c r="BX1" t="s">
        <v>46</v>
      </c>
      <c r="BY1" t="s">
        <v>522</v>
      </c>
      <c r="BZ1" t="s">
        <v>523</v>
      </c>
      <c r="CA1" t="s">
        <v>47</v>
      </c>
      <c r="CB1" t="s">
        <v>524</v>
      </c>
      <c r="CC1" t="s">
        <v>525</v>
      </c>
      <c r="CD1" t="s">
        <v>526</v>
      </c>
      <c r="CE1" t="s">
        <v>527</v>
      </c>
      <c r="CF1" s="1" t="s">
        <v>63</v>
      </c>
      <c r="CG1" s="1" t="s">
        <v>64</v>
      </c>
      <c r="CH1" s="1" t="s">
        <v>33</v>
      </c>
      <c r="CI1" s="1" t="s">
        <v>34</v>
      </c>
      <c r="CJ1" s="1" t="s">
        <v>35</v>
      </c>
      <c r="CK1" s="1" t="s">
        <v>36</v>
      </c>
      <c r="CL1" s="1" t="s">
        <v>37</v>
      </c>
      <c r="CM1" s="1" t="s">
        <v>38</v>
      </c>
      <c r="CN1" s="1" t="s">
        <v>39</v>
      </c>
      <c r="CO1" s="1" t="s">
        <v>40</v>
      </c>
      <c r="CP1" s="1" t="s">
        <v>41</v>
      </c>
      <c r="CQ1" s="1" t="s">
        <v>42</v>
      </c>
      <c r="CR1" s="1" t="s">
        <v>528</v>
      </c>
      <c r="CS1" s="1" t="s">
        <v>529</v>
      </c>
      <c r="CT1" s="1" t="s">
        <v>530</v>
      </c>
      <c r="CU1" s="1" t="s">
        <v>531</v>
      </c>
      <c r="CV1" s="1" t="s">
        <v>532</v>
      </c>
      <c r="CW1" s="1" t="s">
        <v>533</v>
      </c>
      <c r="CX1">
        <v>1</v>
      </c>
      <c r="CY1" t="s">
        <v>534</v>
      </c>
      <c r="CZ1" t="s">
        <v>535</v>
      </c>
      <c r="DA1">
        <v>3</v>
      </c>
      <c r="DB1" t="s">
        <v>536</v>
      </c>
      <c r="DC1" t="s">
        <v>537</v>
      </c>
      <c r="DD1">
        <v>6</v>
      </c>
      <c r="DE1" t="s">
        <v>538</v>
      </c>
      <c r="DF1" t="s">
        <v>539</v>
      </c>
      <c r="DG1">
        <v>10</v>
      </c>
      <c r="DH1" t="s">
        <v>540</v>
      </c>
      <c r="DI1" t="s">
        <v>541</v>
      </c>
      <c r="DJ1">
        <v>20</v>
      </c>
      <c r="DK1" t="s">
        <v>542</v>
      </c>
      <c r="DL1" t="s">
        <v>43</v>
      </c>
      <c r="DM1" t="s">
        <v>44</v>
      </c>
      <c r="DN1" s="2" t="s">
        <v>45</v>
      </c>
      <c r="DO1" t="s">
        <v>543</v>
      </c>
      <c r="DP1" t="s">
        <v>544</v>
      </c>
      <c r="DQ1" s="9" t="s">
        <v>545</v>
      </c>
      <c r="DR1" s="1" t="s">
        <v>546</v>
      </c>
      <c r="DS1" s="1" t="s">
        <v>547</v>
      </c>
      <c r="DT1" t="s">
        <v>548</v>
      </c>
      <c r="DU1" t="s">
        <v>549</v>
      </c>
      <c r="DV1" t="s">
        <v>550</v>
      </c>
      <c r="DW1" t="s">
        <v>551</v>
      </c>
      <c r="DX1" t="s">
        <v>552</v>
      </c>
      <c r="DY1" t="s">
        <v>553</v>
      </c>
      <c r="DZ1" t="s">
        <v>554</v>
      </c>
      <c r="EA1" t="s">
        <v>555</v>
      </c>
      <c r="EB1" t="s">
        <v>556</v>
      </c>
      <c r="EC1" t="s">
        <v>557</v>
      </c>
      <c r="ED1" t="s">
        <v>558</v>
      </c>
      <c r="EE1" t="s">
        <v>559</v>
      </c>
      <c r="EF1" t="s">
        <v>560</v>
      </c>
      <c r="EG1" t="s">
        <v>561</v>
      </c>
      <c r="EH1" t="s">
        <v>562</v>
      </c>
      <c r="EI1" t="s">
        <v>563</v>
      </c>
      <c r="EK1" s="10" t="s">
        <v>564</v>
      </c>
      <c r="EL1" t="s">
        <v>565</v>
      </c>
      <c r="EM1" t="s">
        <v>566</v>
      </c>
      <c r="EN1" t="s">
        <v>567</v>
      </c>
      <c r="EO1" t="s">
        <v>568</v>
      </c>
      <c r="EP1" t="s">
        <v>569</v>
      </c>
    </row>
    <row r="2" spans="1:146" ht="108" x14ac:dyDescent="0.25">
      <c r="A2" s="7"/>
      <c r="B2" s="7"/>
      <c r="C2" s="7" t="str">
        <f>""&amp;CHAR(10)&amp;Basic_Fundamental_Information_Constructure(F2)&amp;CHAR(10)&amp;Basic_Fundamental_Information_Concatenate("")</f>
        <v xml:space="preserve">
市值69.242833亿, 利润9136.52万; PE105.4; 平均PE59.15; 平均PEG5.68, PB1.53; ROIC1.795%; ROE-3.2%; 股利率.6614%; 毛利43.7767%; 净利-7.01%; 上一年度营收增-17.97%, 利润增114.39%; 当季营收增-29.32%, 利润增-59.89%; 过往5年营收增-10.41%, 利润增-84.38%
Income profile:
</v>
      </c>
      <c r="D2" t="s">
        <v>119</v>
      </c>
      <c r="E2" t="s">
        <v>120</v>
      </c>
      <c r="F2">
        <v>7.56</v>
      </c>
      <c r="G2">
        <v>0.4</v>
      </c>
      <c r="H2" t="s">
        <v>691</v>
      </c>
      <c r="I2">
        <v>6924283300</v>
      </c>
      <c r="J2">
        <v>105.4</v>
      </c>
      <c r="K2">
        <v>1.53</v>
      </c>
      <c r="L2" t="s">
        <v>113</v>
      </c>
      <c r="M2" t="s">
        <v>390</v>
      </c>
      <c r="N2" t="s">
        <v>692</v>
      </c>
      <c r="O2" t="s">
        <v>77</v>
      </c>
      <c r="P2">
        <v>-29.31</v>
      </c>
      <c r="Q2" t="s">
        <v>693</v>
      </c>
      <c r="R2">
        <v>17186242</v>
      </c>
      <c r="S2" s="5">
        <v>-0.59889999999999999</v>
      </c>
      <c r="T2" t="s">
        <v>694</v>
      </c>
      <c r="U2">
        <v>914494190</v>
      </c>
      <c r="V2">
        <v>915910490</v>
      </c>
      <c r="W2">
        <v>1.31</v>
      </c>
      <c r="X2">
        <v>0.06</v>
      </c>
      <c r="Y2">
        <v>5.13</v>
      </c>
      <c r="Z2" t="s">
        <v>654</v>
      </c>
      <c r="AA2" t="s">
        <v>321</v>
      </c>
      <c r="AB2" t="s">
        <v>695</v>
      </c>
      <c r="AC2" t="s">
        <v>696</v>
      </c>
      <c r="AD2" t="s">
        <v>5</v>
      </c>
      <c r="AE2">
        <v>8037510</v>
      </c>
      <c r="AF2" t="s">
        <v>697</v>
      </c>
      <c r="AG2" t="s">
        <v>698</v>
      </c>
      <c r="AH2" t="s">
        <v>699</v>
      </c>
      <c r="AI2" t="s">
        <v>475</v>
      </c>
      <c r="AJ2" t="s">
        <v>700</v>
      </c>
      <c r="AK2" t="s">
        <v>5</v>
      </c>
      <c r="AL2" t="s">
        <v>701</v>
      </c>
      <c r="AM2" t="s">
        <v>5</v>
      </c>
      <c r="AN2">
        <v>0</v>
      </c>
      <c r="AO2" t="s">
        <v>702</v>
      </c>
      <c r="AP2" t="s">
        <v>5</v>
      </c>
      <c r="AQ2" t="s">
        <v>366</v>
      </c>
      <c r="AR2" t="s">
        <v>703</v>
      </c>
      <c r="AS2" t="s">
        <v>690</v>
      </c>
      <c r="AT2" t="s">
        <v>704</v>
      </c>
      <c r="AU2" t="s">
        <v>705</v>
      </c>
      <c r="AV2" t="s">
        <v>706</v>
      </c>
      <c r="AW2" t="s">
        <v>282</v>
      </c>
      <c r="AX2" t="s">
        <v>571</v>
      </c>
      <c r="AY2" t="s">
        <v>121</v>
      </c>
      <c r="AZ2" t="s">
        <v>124</v>
      </c>
      <c r="BA2" t="s">
        <v>125</v>
      </c>
      <c r="BB2" t="s">
        <v>126</v>
      </c>
      <c r="BC2" t="s">
        <v>572</v>
      </c>
      <c r="BD2" t="s">
        <v>75</v>
      </c>
      <c r="BE2" t="s">
        <v>127</v>
      </c>
      <c r="BF2" t="s">
        <v>128</v>
      </c>
      <c r="BG2" t="s">
        <v>129</v>
      </c>
      <c r="BH2" t="s">
        <v>693</v>
      </c>
      <c r="BI2" t="s">
        <v>707</v>
      </c>
      <c r="BJ2" t="s">
        <v>571</v>
      </c>
      <c r="BK2" t="s">
        <v>694</v>
      </c>
      <c r="BL2" t="s">
        <v>708</v>
      </c>
      <c r="BM2" t="s">
        <v>572</v>
      </c>
      <c r="BN2">
        <v>0.64</v>
      </c>
      <c r="BO2" t="s">
        <v>5</v>
      </c>
      <c r="BP2">
        <v>2.95</v>
      </c>
      <c r="BQ2">
        <v>0.23</v>
      </c>
      <c r="BR2">
        <v>-13.12</v>
      </c>
      <c r="BS2">
        <v>3.29</v>
      </c>
      <c r="BT2" t="s">
        <v>447</v>
      </c>
      <c r="BU2" t="s">
        <v>113</v>
      </c>
      <c r="BV2">
        <v>52.01</v>
      </c>
      <c r="BW2">
        <v>40.07</v>
      </c>
      <c r="BX2">
        <v>39.25</v>
      </c>
      <c r="BY2">
        <v>5.62</v>
      </c>
      <c r="BZ2">
        <v>-31.81</v>
      </c>
      <c r="CA2">
        <v>5.16</v>
      </c>
      <c r="CB2">
        <v>-0.4</v>
      </c>
      <c r="CC2">
        <v>-16.09</v>
      </c>
      <c r="CD2" t="s">
        <v>709</v>
      </c>
      <c r="CE2" t="s">
        <v>368</v>
      </c>
      <c r="CF2" s="11">
        <v>-0.29324894514767935</v>
      </c>
      <c r="CG2" s="12">
        <v>-0.59891896811653722</v>
      </c>
      <c r="CH2" s="11">
        <v>-0.17970722913742065</v>
      </c>
      <c r="CI2" s="11">
        <v>-0.38171038031578064</v>
      </c>
      <c r="CJ2" s="11">
        <v>-0.31873273849487305</v>
      </c>
      <c r="CK2" s="11">
        <v>0.46010559797286987</v>
      </c>
      <c r="CL2" s="11">
        <v>-0.10053057968616486</v>
      </c>
      <c r="CM2" s="12">
        <v>1.143882155418396</v>
      </c>
      <c r="CN2" s="12">
        <v>-4.779761791229248</v>
      </c>
      <c r="CO2" s="12">
        <v>1.8936170339584351</v>
      </c>
      <c r="CP2" s="12">
        <v>-1.7315175533294678</v>
      </c>
      <c r="CQ2" s="12">
        <v>-0.74529236555099487</v>
      </c>
      <c r="CR2">
        <v>59.151136474301403</v>
      </c>
      <c r="CS2">
        <v>5.6813234419674492</v>
      </c>
      <c r="CT2">
        <v>0.66137566137566139</v>
      </c>
      <c r="CU2" s="11">
        <v>-0.10411506593227386</v>
      </c>
      <c r="CV2" s="12">
        <v>-0.84381450414657588</v>
      </c>
      <c r="CW2">
        <v>0.06</v>
      </c>
      <c r="CX2">
        <v>40.44519466930516</v>
      </c>
      <c r="CY2" t="s">
        <v>710</v>
      </c>
      <c r="CZ2">
        <v>-0.10411506593227386</v>
      </c>
      <c r="DA2">
        <v>13.481731556435054</v>
      </c>
      <c r="DB2" t="s">
        <v>711</v>
      </c>
      <c r="DC2">
        <v>-9.8909312635660163E-2</v>
      </c>
      <c r="DD2">
        <v>6.7408657782175272</v>
      </c>
      <c r="DE2" t="s">
        <v>712</v>
      </c>
      <c r="DF2">
        <v>-9.1621258020400997E-2</v>
      </c>
      <c r="DG2">
        <v>4.0445194669305158</v>
      </c>
      <c r="DH2" t="s">
        <v>713</v>
      </c>
      <c r="DI2">
        <v>-8.3292052745819092E-2</v>
      </c>
      <c r="DJ2">
        <v>2.0222597334652579</v>
      </c>
      <c r="DK2" t="s">
        <v>714</v>
      </c>
      <c r="DL2">
        <v>-7.2880546152591694E-2</v>
      </c>
      <c r="DM2">
        <v>91365200</v>
      </c>
      <c r="DN2">
        <v>-0.10411506593227386</v>
      </c>
      <c r="DO2">
        <v>3695283300</v>
      </c>
      <c r="DP2">
        <v>1639960800</v>
      </c>
      <c r="DQ2">
        <v>684</v>
      </c>
      <c r="DR2">
        <v>-0.18913387921540548</v>
      </c>
      <c r="DS2">
        <v>0.24489553603003866</v>
      </c>
      <c r="DT2" s="13">
        <v>-0.77333333333333332</v>
      </c>
      <c r="DU2">
        <v>-1.3116666666666665</v>
      </c>
      <c r="DV2">
        <v>-2.085</v>
      </c>
      <c r="DW2">
        <v>-3.0010178571428572</v>
      </c>
      <c r="DX2">
        <v>0.32990028653295128</v>
      </c>
      <c r="DY2">
        <v>-3.0001322199345068</v>
      </c>
      <c r="DZ2">
        <v>4445</v>
      </c>
      <c r="EA2">
        <v>-3.0000172067038058</v>
      </c>
      <c r="EB2">
        <v>3</v>
      </c>
      <c r="EC2">
        <v>4.9497413224298813E-2</v>
      </c>
      <c r="ED2">
        <v>0.38104160156523592</v>
      </c>
      <c r="EE2" s="14">
        <v>-3.0129000000000001</v>
      </c>
      <c r="EF2">
        <v>-3.00251</v>
      </c>
      <c r="EG2">
        <v>20.129900286532951</v>
      </c>
      <c r="EH2" t="s">
        <v>675</v>
      </c>
      <c r="EI2">
        <v>0</v>
      </c>
      <c r="EJ2">
        <v>0</v>
      </c>
      <c r="EK2" s="10">
        <v>45470</v>
      </c>
      <c r="EL2" s="15">
        <v>0</v>
      </c>
      <c r="EM2" s="15">
        <v>-4.84</v>
      </c>
      <c r="EN2" s="15">
        <v>-1.07</v>
      </c>
      <c r="EO2" s="15">
        <v>5.68</v>
      </c>
      <c r="EP2" s="15">
        <v>-1.54</v>
      </c>
    </row>
    <row r="3" spans="1:146" ht="96" x14ac:dyDescent="0.25">
      <c r="A3" s="7"/>
      <c r="B3" s="7"/>
      <c r="C3" s="7" t="str">
        <f>""&amp;CHAR(10)&amp;Basic_Fundamental_Information_Constructure(F3)&amp;CHAR(10)&amp;Basic_Fundamental_Information_Concatenate("")</f>
        <v xml:space="preserve">
市值37.214271亿, 利润-6.56亿; PE; 平均PE76.6; 平均PEG32.4, PB.881; ROIC2.5%; ROE1.4533%; 股利率0%; 毛利48.8133%; 净利-9.3233%; 上一年度营收增-33.44%, 利润增-904.8%; 当季营收增-39.33%, 利润增-28.25%; 过往5年营收增2.36%, 利润增-199.08%
Income profile:
</v>
      </c>
      <c r="D3" t="s">
        <v>155</v>
      </c>
      <c r="E3" t="s">
        <v>156</v>
      </c>
      <c r="F3">
        <v>3.89</v>
      </c>
      <c r="G3">
        <v>-2.99</v>
      </c>
      <c r="H3" t="s">
        <v>678</v>
      </c>
      <c r="I3">
        <v>3721427100</v>
      </c>
      <c r="K3">
        <v>0.88100000000000001</v>
      </c>
      <c r="L3" t="s">
        <v>48</v>
      </c>
      <c r="M3" t="s">
        <v>588</v>
      </c>
      <c r="N3" t="s">
        <v>609</v>
      </c>
      <c r="O3" t="s">
        <v>352</v>
      </c>
      <c r="P3">
        <v>-47.95</v>
      </c>
      <c r="Q3" t="s">
        <v>408</v>
      </c>
      <c r="R3">
        <v>-130619251</v>
      </c>
      <c r="S3" s="5">
        <v>-0.73880000000000001</v>
      </c>
      <c r="T3" t="s">
        <v>448</v>
      </c>
      <c r="U3">
        <v>955985900</v>
      </c>
      <c r="V3">
        <v>956665070</v>
      </c>
      <c r="W3">
        <v>1.1100000000000001</v>
      </c>
      <c r="X3">
        <v>0.05</v>
      </c>
      <c r="Y3">
        <v>-51.91</v>
      </c>
      <c r="Z3" t="s">
        <v>324</v>
      </c>
      <c r="AA3" t="s">
        <v>396</v>
      </c>
      <c r="AB3" t="s">
        <v>610</v>
      </c>
      <c r="AC3" t="s">
        <v>611</v>
      </c>
      <c r="AD3" t="s">
        <v>589</v>
      </c>
      <c r="AE3">
        <v>3304652</v>
      </c>
      <c r="AF3" t="s">
        <v>612</v>
      </c>
      <c r="AG3">
        <v>8.23</v>
      </c>
      <c r="AH3" t="s">
        <v>613</v>
      </c>
      <c r="AI3" t="s">
        <v>23</v>
      </c>
      <c r="AJ3" t="s">
        <v>614</v>
      </c>
      <c r="AK3" t="s">
        <v>5</v>
      </c>
      <c r="AL3" t="s">
        <v>615</v>
      </c>
      <c r="AM3" t="s">
        <v>5</v>
      </c>
      <c r="AN3">
        <v>0</v>
      </c>
      <c r="AO3" t="s">
        <v>70</v>
      </c>
      <c r="AP3" t="s">
        <v>5</v>
      </c>
      <c r="AQ3" t="s">
        <v>92</v>
      </c>
      <c r="AR3" t="s">
        <v>616</v>
      </c>
      <c r="AS3" t="s">
        <v>480</v>
      </c>
      <c r="AT3" t="s">
        <v>5</v>
      </c>
      <c r="AU3" t="s">
        <v>617</v>
      </c>
      <c r="AV3" t="s">
        <v>618</v>
      </c>
      <c r="AW3" t="s">
        <v>619</v>
      </c>
      <c r="AX3" t="s">
        <v>157</v>
      </c>
      <c r="AY3" t="s">
        <v>158</v>
      </c>
      <c r="AZ3" t="s">
        <v>135</v>
      </c>
      <c r="BA3" t="s">
        <v>159</v>
      </c>
      <c r="BB3" t="s">
        <v>160</v>
      </c>
      <c r="BC3" t="s">
        <v>620</v>
      </c>
      <c r="BD3" t="s">
        <v>161</v>
      </c>
      <c r="BE3" t="s">
        <v>162</v>
      </c>
      <c r="BF3" t="s">
        <v>85</v>
      </c>
      <c r="BG3" t="s">
        <v>163</v>
      </c>
      <c r="BH3" t="s">
        <v>174</v>
      </c>
      <c r="BI3" t="s">
        <v>621</v>
      </c>
      <c r="BJ3" t="s">
        <v>239</v>
      </c>
      <c r="BK3" t="s">
        <v>622</v>
      </c>
      <c r="BL3" t="s">
        <v>623</v>
      </c>
      <c r="BM3" t="s">
        <v>590</v>
      </c>
      <c r="BN3" t="s">
        <v>5</v>
      </c>
      <c r="BO3">
        <v>1.69</v>
      </c>
      <c r="BP3">
        <v>3.31</v>
      </c>
      <c r="BQ3">
        <v>-0.52</v>
      </c>
      <c r="BR3">
        <v>1.89</v>
      </c>
      <c r="BS3">
        <v>2.99</v>
      </c>
      <c r="BT3" t="s">
        <v>434</v>
      </c>
      <c r="BU3" t="s">
        <v>113</v>
      </c>
      <c r="BV3">
        <v>22.83</v>
      </c>
      <c r="BW3">
        <v>55.84</v>
      </c>
      <c r="BX3">
        <v>67.77</v>
      </c>
      <c r="BY3">
        <v>-57.65</v>
      </c>
      <c r="BZ3">
        <v>8.59</v>
      </c>
      <c r="CA3">
        <v>21.09</v>
      </c>
      <c r="CB3">
        <v>2.91</v>
      </c>
      <c r="CC3">
        <v>-1.52</v>
      </c>
      <c r="CD3" t="s">
        <v>362</v>
      </c>
      <c r="CE3" t="s">
        <v>679</v>
      </c>
      <c r="CF3" s="11">
        <v>-0.39333333333333331</v>
      </c>
      <c r="CG3" s="12">
        <v>-0.28254839403093146</v>
      </c>
      <c r="CH3" s="11">
        <v>-0.33440515398979187</v>
      </c>
      <c r="CI3" s="11">
        <v>0.58135592937469482</v>
      </c>
      <c r="CJ3" s="11">
        <v>-0.26616916060447693</v>
      </c>
      <c r="CK3" s="11">
        <v>7.9194627702236176E-2</v>
      </c>
      <c r="CL3" s="11">
        <v>5.8238636702299118E-2</v>
      </c>
      <c r="CM3" s="12">
        <v>-9.0479831695556641</v>
      </c>
      <c r="CN3" s="12">
        <v>-0.33730810880661011</v>
      </c>
      <c r="CO3" s="12">
        <v>-0.41428571939468384</v>
      </c>
      <c r="CP3" s="12">
        <v>-0.24460431933403015</v>
      </c>
      <c r="CQ3" s="12">
        <v>9.0196080505847931E-2</v>
      </c>
      <c r="CR3">
        <v>76.595925849821839</v>
      </c>
      <c r="CS3">
        <v>32.396905693224262</v>
      </c>
      <c r="CT3">
        <v>0</v>
      </c>
      <c r="CU3" s="11">
        <v>2.3642975836992264E-2</v>
      </c>
      <c r="CV3" s="12">
        <v>-1.990797047317028</v>
      </c>
      <c r="CW3">
        <v>0.06</v>
      </c>
      <c r="CX3" t="s">
        <v>680</v>
      </c>
      <c r="CY3" t="s">
        <v>80</v>
      </c>
      <c r="CZ3">
        <v>2.3642975836992264E-2</v>
      </c>
      <c r="DA3" t="s">
        <v>680</v>
      </c>
      <c r="DB3" t="s">
        <v>81</v>
      </c>
      <c r="DC3">
        <v>2.2460827045142649E-2</v>
      </c>
      <c r="DD3" t="s">
        <v>680</v>
      </c>
      <c r="DE3" t="s">
        <v>81</v>
      </c>
      <c r="DF3">
        <v>2.0805818736553194E-2</v>
      </c>
      <c r="DG3" t="s">
        <v>680</v>
      </c>
      <c r="DH3" t="s">
        <v>81</v>
      </c>
      <c r="DI3">
        <v>1.8914380669593812E-2</v>
      </c>
      <c r="DJ3" t="s">
        <v>680</v>
      </c>
      <c r="DK3" t="s">
        <v>81</v>
      </c>
      <c r="DL3">
        <v>1.6550083085894583E-2</v>
      </c>
      <c r="DM3">
        <v>-656000000</v>
      </c>
      <c r="DN3">
        <v>2.3642975836992264E-2</v>
      </c>
      <c r="DO3">
        <v>-151572900</v>
      </c>
      <c r="DP3">
        <v>495698240.00000006</v>
      </c>
      <c r="DQ3">
        <v>935</v>
      </c>
      <c r="DR3">
        <v>-0.41697630917032558</v>
      </c>
      <c r="DS3">
        <v>1.7082486532860965</v>
      </c>
      <c r="DT3" s="13">
        <v>-0.59</v>
      </c>
      <c r="DU3">
        <v>-2.0483333333333333</v>
      </c>
      <c r="DV3">
        <v>-2.6383333333333332</v>
      </c>
      <c r="DW3">
        <v>4.5223367697594501</v>
      </c>
      <c r="DX3">
        <v>0.46440676471726661</v>
      </c>
      <c r="DY3">
        <v>4.1798963169657197</v>
      </c>
      <c r="DZ3">
        <v>4761</v>
      </c>
      <c r="EA3">
        <v>4.012515749235841</v>
      </c>
      <c r="EB3">
        <v>4</v>
      </c>
      <c r="EC3">
        <v>0.53101133921404697</v>
      </c>
      <c r="ED3">
        <v>1.5418144199620458</v>
      </c>
      <c r="EE3" s="14">
        <v>-2.0032100000000002</v>
      </c>
      <c r="EF3">
        <v>-2.0331100000000002</v>
      </c>
      <c r="EG3">
        <v>12.344406764717267</v>
      </c>
      <c r="EH3" t="s">
        <v>581</v>
      </c>
      <c r="EI3">
        <v>0</v>
      </c>
      <c r="EJ3">
        <v>0</v>
      </c>
      <c r="EK3" s="10">
        <v>45370</v>
      </c>
      <c r="EL3" s="15">
        <v>10.050000000000001</v>
      </c>
      <c r="EM3" s="15">
        <v>-6.01</v>
      </c>
      <c r="EN3" s="15">
        <v>2.56</v>
      </c>
      <c r="EO3" s="15">
        <v>0</v>
      </c>
      <c r="EP3" s="15">
        <v>-2.99</v>
      </c>
    </row>
    <row r="4" spans="1:146" ht="108" x14ac:dyDescent="0.25">
      <c r="A4" s="7"/>
      <c r="B4" s="7"/>
      <c r="C4" s="7" t="str">
        <f>""&amp;CHAR(10)&amp;Basic_Fundamental_Information_Constructure(F4)&amp;CHAR(10)&amp;Basic_Fundamental_Information_Concatenate("")</f>
        <v xml:space="preserve">
市值205.35018亿, 利润14.62亿; PE12.85; 平均PE78.68; 平均PEG4.32, PB3.61; ROIC26.92%; ROE22.1633%; 股利率1.0482%; 毛利76.4233%; 净利36.2967%; 上一年度营收增15.27%, 利润增42.63%; 当季营收增36.96%, 利润增46.96%; 过往5年营收增18.2%, 利润增-102.99%
Income profile:
</v>
      </c>
      <c r="D4" t="s">
        <v>166</v>
      </c>
      <c r="E4" t="s">
        <v>167</v>
      </c>
      <c r="F4">
        <v>9.5399999999999991</v>
      </c>
      <c r="G4">
        <v>0.85</v>
      </c>
      <c r="H4" t="s">
        <v>715</v>
      </c>
      <c r="I4">
        <v>20535018000</v>
      </c>
      <c r="J4">
        <v>12.85</v>
      </c>
      <c r="K4">
        <v>3.61</v>
      </c>
      <c r="L4" t="s">
        <v>113</v>
      </c>
      <c r="M4" t="s">
        <v>570</v>
      </c>
      <c r="N4" t="s">
        <v>716</v>
      </c>
      <c r="O4" t="s">
        <v>717</v>
      </c>
      <c r="P4">
        <v>36.93</v>
      </c>
      <c r="Q4" t="s">
        <v>718</v>
      </c>
      <c r="R4">
        <v>426189900</v>
      </c>
      <c r="S4" s="5">
        <v>0.47060000000000002</v>
      </c>
      <c r="T4" t="s">
        <v>606</v>
      </c>
      <c r="U4">
        <v>1907465300</v>
      </c>
      <c r="V4">
        <v>2152517600</v>
      </c>
      <c r="W4">
        <v>1.27</v>
      </c>
      <c r="X4">
        <v>0.19</v>
      </c>
      <c r="Y4">
        <v>32.590000000000003</v>
      </c>
      <c r="Z4" t="s">
        <v>719</v>
      </c>
      <c r="AA4" t="s">
        <v>83</v>
      </c>
      <c r="AB4" t="s">
        <v>144</v>
      </c>
      <c r="AC4" t="s">
        <v>720</v>
      </c>
      <c r="AD4" t="s">
        <v>5</v>
      </c>
      <c r="AE4">
        <v>-16323102</v>
      </c>
      <c r="AF4" t="s">
        <v>721</v>
      </c>
      <c r="AG4" t="s">
        <v>722</v>
      </c>
      <c r="AH4" t="s">
        <v>723</v>
      </c>
      <c r="AI4" t="s">
        <v>669</v>
      </c>
      <c r="AJ4" t="s">
        <v>724</v>
      </c>
      <c r="AK4" t="s">
        <v>5</v>
      </c>
      <c r="AL4" t="s">
        <v>725</v>
      </c>
      <c r="AM4" t="s">
        <v>5</v>
      </c>
      <c r="AN4">
        <v>0</v>
      </c>
      <c r="AO4" t="s">
        <v>5</v>
      </c>
      <c r="AP4" t="s">
        <v>5</v>
      </c>
      <c r="AQ4" t="s">
        <v>111</v>
      </c>
      <c r="AR4" t="s">
        <v>5</v>
      </c>
      <c r="AS4" t="s">
        <v>656</v>
      </c>
      <c r="AT4" t="s">
        <v>5</v>
      </c>
      <c r="AU4" t="s">
        <v>275</v>
      </c>
      <c r="AV4" t="s">
        <v>726</v>
      </c>
      <c r="AW4" t="s">
        <v>727</v>
      </c>
      <c r="AX4" t="s">
        <v>445</v>
      </c>
      <c r="AY4" t="s">
        <v>168</v>
      </c>
      <c r="AZ4" t="s">
        <v>171</v>
      </c>
      <c r="BA4" t="s">
        <v>172</v>
      </c>
      <c r="BB4" t="s">
        <v>173</v>
      </c>
      <c r="BC4" t="s">
        <v>432</v>
      </c>
      <c r="BD4" t="s">
        <v>169</v>
      </c>
      <c r="BE4" t="s">
        <v>174</v>
      </c>
      <c r="BF4" t="s">
        <v>175</v>
      </c>
      <c r="BG4" t="s">
        <v>176</v>
      </c>
      <c r="BH4" t="s">
        <v>718</v>
      </c>
      <c r="BI4" t="s">
        <v>587</v>
      </c>
      <c r="BJ4" t="s">
        <v>445</v>
      </c>
      <c r="BK4" t="s">
        <v>606</v>
      </c>
      <c r="BL4" t="s">
        <v>689</v>
      </c>
      <c r="BM4" t="s">
        <v>432</v>
      </c>
      <c r="BN4">
        <v>24.2</v>
      </c>
      <c r="BO4">
        <v>31.9</v>
      </c>
      <c r="BP4">
        <v>24.66</v>
      </c>
      <c r="BQ4">
        <v>21.84</v>
      </c>
      <c r="BR4">
        <v>26.19</v>
      </c>
      <c r="BS4">
        <v>18.46</v>
      </c>
      <c r="BT4" t="s">
        <v>436</v>
      </c>
      <c r="BU4" t="s">
        <v>113</v>
      </c>
      <c r="BV4">
        <v>83.47</v>
      </c>
      <c r="BW4">
        <v>75.02</v>
      </c>
      <c r="BX4">
        <v>70.78</v>
      </c>
      <c r="BY4">
        <v>36.799999999999997</v>
      </c>
      <c r="BZ4">
        <v>36.54</v>
      </c>
      <c r="CA4">
        <v>35.549999999999997</v>
      </c>
      <c r="CB4">
        <v>-0.1</v>
      </c>
      <c r="CC4">
        <v>-12.8</v>
      </c>
      <c r="CD4" t="s">
        <v>107</v>
      </c>
      <c r="CE4" t="s">
        <v>455</v>
      </c>
      <c r="CF4" s="11">
        <v>0.36963350785340299</v>
      </c>
      <c r="CG4" s="12">
        <v>0.46962034482758619</v>
      </c>
      <c r="CH4" s="11">
        <v>0.15271066129207611</v>
      </c>
      <c r="CI4" s="11">
        <v>0.56884211301803589</v>
      </c>
      <c r="CJ4" s="11">
        <v>0.53920930624008179</v>
      </c>
      <c r="CK4" s="11">
        <v>-0.24251344799995422</v>
      </c>
      <c r="CL4" s="11">
        <v>-0.1081436350941658</v>
      </c>
      <c r="CM4" s="12">
        <v>0.4263414740562439</v>
      </c>
      <c r="CN4" s="12">
        <v>0.77642983198165894</v>
      </c>
      <c r="CO4" s="12">
        <v>2.2415730953216553</v>
      </c>
      <c r="CP4" s="12">
        <v>1.0939810276031494</v>
      </c>
      <c r="CQ4" s="12">
        <v>-9.6880731582641602</v>
      </c>
      <c r="CR4">
        <v>78.678229885057476</v>
      </c>
      <c r="CS4">
        <v>4.3224809282983241</v>
      </c>
      <c r="CT4">
        <v>1.0482180293501049</v>
      </c>
      <c r="CU4" s="11">
        <v>0.18202099949121475</v>
      </c>
      <c r="CV4" s="12">
        <v>-1.0299495458602905</v>
      </c>
      <c r="CW4">
        <v>0.06</v>
      </c>
      <c r="CX4">
        <v>9.9552530092444957</v>
      </c>
      <c r="CY4">
        <v>1630296887.9775057</v>
      </c>
      <c r="CZ4">
        <v>0.18202099949121475</v>
      </c>
      <c r="DA4">
        <v>3.0119185261186341</v>
      </c>
      <c r="DB4">
        <v>5388597951.5239811</v>
      </c>
      <c r="DC4">
        <v>0.17291994951665401</v>
      </c>
      <c r="DD4">
        <v>1.3329138718281766</v>
      </c>
      <c r="DE4">
        <v>12176344130.727285</v>
      </c>
      <c r="DF4">
        <v>0.16017847955226899</v>
      </c>
      <c r="DG4">
        <v>0.70645298971773696</v>
      </c>
      <c r="DH4">
        <v>22973953307.897667</v>
      </c>
      <c r="DI4">
        <v>0.1456167995929718</v>
      </c>
      <c r="DJ4">
        <v>0.27293917811343105</v>
      </c>
      <c r="DK4">
        <v>59463863385.911385</v>
      </c>
      <c r="DL4">
        <v>0.12741469964385033</v>
      </c>
      <c r="DM4">
        <v>1462000000</v>
      </c>
      <c r="DN4">
        <v>0.18202099949121475</v>
      </c>
      <c r="DO4">
        <v>16230018000</v>
      </c>
      <c r="DP4">
        <v>3183010700</v>
      </c>
      <c r="DQ4">
        <v>1011</v>
      </c>
      <c r="DR4">
        <v>0.18761250836218824</v>
      </c>
      <c r="DS4">
        <v>1.4995698906878767</v>
      </c>
      <c r="DT4" s="13">
        <v>-0.10666666666666669</v>
      </c>
      <c r="DU4">
        <v>0.75</v>
      </c>
      <c r="DV4">
        <v>0.64333333333333331</v>
      </c>
      <c r="DW4">
        <v>-2.1280000000000001</v>
      </c>
      <c r="DX4">
        <v>0.42633299284984827</v>
      </c>
      <c r="DY4">
        <v>-2.0264106230847805</v>
      </c>
      <c r="DZ4">
        <v>529</v>
      </c>
      <c r="EA4">
        <v>-2.0236765292272758</v>
      </c>
      <c r="EB4">
        <v>2</v>
      </c>
      <c r="EC4">
        <v>9.3843599699254487E-2</v>
      </c>
      <c r="ED4">
        <v>0.454816257948367</v>
      </c>
      <c r="EE4" s="14">
        <v>2.0817000000000001</v>
      </c>
      <c r="EF4">
        <v>2.044</v>
      </c>
      <c r="EG4">
        <v>22.206332992849848</v>
      </c>
      <c r="EH4" t="s">
        <v>440</v>
      </c>
      <c r="EI4">
        <v>0</v>
      </c>
      <c r="EJ4">
        <v>1</v>
      </c>
      <c r="EK4" s="10">
        <v>45470</v>
      </c>
      <c r="EL4" s="15">
        <v>-0.4</v>
      </c>
      <c r="EM4" s="15">
        <v>-3.94</v>
      </c>
      <c r="EN4" s="15">
        <v>-0.74</v>
      </c>
      <c r="EO4" s="15">
        <v>4.03</v>
      </c>
      <c r="EP4" s="15">
        <v>-3.77</v>
      </c>
    </row>
    <row r="5" spans="1:146" ht="108" x14ac:dyDescent="0.25">
      <c r="A5" s="7"/>
      <c r="B5" s="7"/>
      <c r="C5" s="7" t="str">
        <f>""&amp;CHAR(10)&amp;Basic_Fundamental_Information_Constructure(F5)&amp;CHAR(10)&amp;Basic_Fundamental_Information_Concatenate("")</f>
        <v xml:space="preserve">
市值284.77377亿, 利润26.59亿; PE11.39; 平均PE11.89; 平均PEG.61, PB2.15; ROIC22.59%; ROE24.1767%; 股利率2.8816%; 毛利81.9033%; 净利17.0767%; 上一年度营收增.86%, 利润增-9.99%; 当季营收增26.16%, 利润增-20.5%; 过往5年营收增19.36%, 利润增27.41%
Income profile:
</v>
      </c>
      <c r="D5" t="s">
        <v>179</v>
      </c>
      <c r="E5" t="s">
        <v>180</v>
      </c>
      <c r="F5">
        <v>12.84</v>
      </c>
      <c r="G5">
        <v>0.47</v>
      </c>
      <c r="H5" t="s">
        <v>728</v>
      </c>
      <c r="I5">
        <v>28477377000</v>
      </c>
      <c r="J5">
        <v>11.39</v>
      </c>
      <c r="K5">
        <v>2.15</v>
      </c>
      <c r="L5" t="s">
        <v>113</v>
      </c>
      <c r="M5" t="s">
        <v>729</v>
      </c>
      <c r="N5" t="s">
        <v>730</v>
      </c>
      <c r="O5" t="s">
        <v>731</v>
      </c>
      <c r="P5">
        <v>26.17</v>
      </c>
      <c r="Q5" t="s">
        <v>732</v>
      </c>
      <c r="R5">
        <v>616151760</v>
      </c>
      <c r="S5" s="5">
        <v>-0.20449999999999999</v>
      </c>
      <c r="T5" t="s">
        <v>733</v>
      </c>
      <c r="U5">
        <v>1607348500</v>
      </c>
      <c r="V5">
        <v>2217864300</v>
      </c>
      <c r="W5">
        <v>1.55</v>
      </c>
      <c r="X5">
        <v>0.24</v>
      </c>
      <c r="Y5">
        <v>12.97</v>
      </c>
      <c r="Z5" t="s">
        <v>734</v>
      </c>
      <c r="AA5" t="s">
        <v>602</v>
      </c>
      <c r="AB5" t="s">
        <v>735</v>
      </c>
      <c r="AC5" t="s">
        <v>137</v>
      </c>
      <c r="AD5" t="s">
        <v>5</v>
      </c>
      <c r="AE5">
        <v>-36422228</v>
      </c>
      <c r="AF5" t="s">
        <v>736</v>
      </c>
      <c r="AG5" t="s">
        <v>737</v>
      </c>
      <c r="AH5" t="s">
        <v>738</v>
      </c>
      <c r="AI5" t="s">
        <v>627</v>
      </c>
      <c r="AJ5" t="s">
        <v>739</v>
      </c>
      <c r="AK5" t="s">
        <v>5</v>
      </c>
      <c r="AL5" t="s">
        <v>740</v>
      </c>
      <c r="AM5" t="s">
        <v>5</v>
      </c>
      <c r="AN5" t="s">
        <v>741</v>
      </c>
      <c r="AO5" t="s">
        <v>742</v>
      </c>
      <c r="AP5" t="s">
        <v>409</v>
      </c>
      <c r="AQ5" t="s">
        <v>238</v>
      </c>
      <c r="AR5" t="s">
        <v>5</v>
      </c>
      <c r="AS5" t="s">
        <v>743</v>
      </c>
      <c r="AT5" t="s">
        <v>413</v>
      </c>
      <c r="AU5" t="s">
        <v>744</v>
      </c>
      <c r="AV5" t="s">
        <v>745</v>
      </c>
      <c r="AW5" t="s">
        <v>746</v>
      </c>
      <c r="AX5" t="s">
        <v>449</v>
      </c>
      <c r="AY5" t="s">
        <v>181</v>
      </c>
      <c r="AZ5" t="s">
        <v>184</v>
      </c>
      <c r="BA5" t="s">
        <v>185</v>
      </c>
      <c r="BB5" t="s">
        <v>186</v>
      </c>
      <c r="BC5" t="s">
        <v>450</v>
      </c>
      <c r="BD5" t="s">
        <v>182</v>
      </c>
      <c r="BE5" t="s">
        <v>187</v>
      </c>
      <c r="BF5" t="s">
        <v>188</v>
      </c>
      <c r="BG5" t="s">
        <v>129</v>
      </c>
      <c r="BH5" t="s">
        <v>732</v>
      </c>
      <c r="BI5" t="s">
        <v>747</v>
      </c>
      <c r="BJ5" t="s">
        <v>449</v>
      </c>
      <c r="BK5" t="s">
        <v>733</v>
      </c>
      <c r="BL5" t="s">
        <v>591</v>
      </c>
      <c r="BM5" t="s">
        <v>450</v>
      </c>
      <c r="BN5">
        <v>14.45</v>
      </c>
      <c r="BO5">
        <v>22.64</v>
      </c>
      <c r="BP5">
        <v>30.68</v>
      </c>
      <c r="BQ5">
        <v>16.88</v>
      </c>
      <c r="BR5">
        <v>25.41</v>
      </c>
      <c r="BS5">
        <v>30.24</v>
      </c>
      <c r="BT5" t="s">
        <v>748</v>
      </c>
      <c r="BU5" t="s">
        <v>113</v>
      </c>
      <c r="BV5">
        <v>79.5</v>
      </c>
      <c r="BW5">
        <v>81.42</v>
      </c>
      <c r="BX5">
        <v>84.79</v>
      </c>
      <c r="BY5">
        <v>15.92</v>
      </c>
      <c r="BZ5">
        <v>17.739999999999998</v>
      </c>
      <c r="CA5">
        <v>17.57</v>
      </c>
      <c r="CB5">
        <v>-1.61</v>
      </c>
      <c r="CC5">
        <v>-15.64</v>
      </c>
      <c r="CD5" t="s">
        <v>298</v>
      </c>
      <c r="CE5" t="s">
        <v>389</v>
      </c>
      <c r="CF5" s="11">
        <v>0.26162018592297476</v>
      </c>
      <c r="CG5" s="12">
        <v>-0.20496547096774193</v>
      </c>
      <c r="CH5" s="11">
        <v>8.5944598540663719E-3</v>
      </c>
      <c r="CI5" s="11">
        <v>1.1716767214238644E-2</v>
      </c>
      <c r="CJ5" s="11">
        <v>0.12611114978790283</v>
      </c>
      <c r="CK5" s="11">
        <v>8.8682256639003754E-2</v>
      </c>
      <c r="CL5" s="11">
        <v>0.73287039995193481</v>
      </c>
      <c r="CM5" s="12">
        <v>-9.9864527583122253E-2</v>
      </c>
      <c r="CN5" s="12">
        <v>2.7120957151055336E-2</v>
      </c>
      <c r="CO5" s="12">
        <v>4.1651599109172821E-2</v>
      </c>
      <c r="CP5" s="12">
        <v>0.3054373562335968</v>
      </c>
      <c r="CQ5" s="12">
        <v>1.0961346626281738</v>
      </c>
      <c r="CR5">
        <v>11.887036454709893</v>
      </c>
      <c r="CS5">
        <v>0.61401565350181897</v>
      </c>
      <c r="CT5">
        <v>2.8816199376947043</v>
      </c>
      <c r="CU5" s="11">
        <v>0.19359500668942928</v>
      </c>
      <c r="CV5" s="12">
        <v>0.2740960095077753</v>
      </c>
      <c r="CW5">
        <v>0.06</v>
      </c>
      <c r="CX5">
        <v>7.1621591680360446</v>
      </c>
      <c r="CY5">
        <v>2994121813.950181</v>
      </c>
      <c r="CZ5">
        <v>0.19359500668942928</v>
      </c>
      <c r="DA5">
        <v>2.1462319944981747</v>
      </c>
      <c r="DB5">
        <v>9991639792.4233055</v>
      </c>
      <c r="DC5">
        <v>0.18391525635495781</v>
      </c>
      <c r="DD5">
        <v>0.93690831424071619</v>
      </c>
      <c r="DE5">
        <v>22888447753.160168</v>
      </c>
      <c r="DF5">
        <v>0.17036360588669777</v>
      </c>
      <c r="DG5">
        <v>0.48836955847041896</v>
      </c>
      <c r="DH5">
        <v>43910142694.323784</v>
      </c>
      <c r="DI5">
        <v>0.15487600535154344</v>
      </c>
      <c r="DJ5">
        <v>0.18116578842554659</v>
      </c>
      <c r="DK5">
        <v>118368800127.03371</v>
      </c>
      <c r="DL5">
        <v>0.13551650468260049</v>
      </c>
      <c r="DM5">
        <v>2659000000</v>
      </c>
      <c r="DN5">
        <v>0.19359500668942928</v>
      </c>
      <c r="DO5">
        <v>21444377000</v>
      </c>
      <c r="DP5">
        <v>5766109100</v>
      </c>
      <c r="DQ5">
        <v>1048</v>
      </c>
      <c r="DR5">
        <v>6.802517923354548E-2</v>
      </c>
      <c r="DS5">
        <v>-0.47906148047551722</v>
      </c>
      <c r="DT5" s="13">
        <v>-0.24000000000000002</v>
      </c>
      <c r="DU5">
        <v>9.6666666666666637E-2</v>
      </c>
      <c r="DV5">
        <v>-0.14333333333333337</v>
      </c>
      <c r="DW5">
        <v>-2.1564000000000001</v>
      </c>
      <c r="DX5">
        <v>0.30556079170593692</v>
      </c>
      <c r="DY5">
        <v>-2.0165097078228085</v>
      </c>
      <c r="DZ5">
        <v>2052</v>
      </c>
      <c r="EA5">
        <v>-2.0098799777929841</v>
      </c>
      <c r="EB5">
        <v>2</v>
      </c>
      <c r="EC5">
        <v>5.0499031883961529E-2</v>
      </c>
      <c r="ED5">
        <v>0.4783881502578855</v>
      </c>
      <c r="EE5" s="14">
        <v>3.0192999999999999</v>
      </c>
      <c r="EF5">
        <v>3.0009100000000002</v>
      </c>
      <c r="EG5">
        <v>20.105560791705937</v>
      </c>
      <c r="EH5" t="s">
        <v>442</v>
      </c>
      <c r="EI5">
        <v>0</v>
      </c>
      <c r="EJ5">
        <v>0</v>
      </c>
      <c r="EK5" s="10">
        <v>45470</v>
      </c>
      <c r="EL5" s="15">
        <v>0.23</v>
      </c>
      <c r="EM5" s="15">
        <v>-2.96</v>
      </c>
      <c r="EN5" s="15">
        <v>-1.41</v>
      </c>
      <c r="EO5" s="15">
        <v>5.79</v>
      </c>
      <c r="EP5" s="15">
        <v>-2.02</v>
      </c>
    </row>
    <row r="6" spans="1:146" ht="144" x14ac:dyDescent="0.25">
      <c r="A6" s="16" t="s">
        <v>421</v>
      </c>
      <c r="B6" s="16" t="s">
        <v>424</v>
      </c>
      <c r="C6" s="7" t="str">
        <f>"公司现主营业务为互联网游戏的研发和运营;"&amp;CHAR(10)&amp;Basic_Fundamental_Information_Constructure(C6)&amp;CHAR(10)&amp;"移动端网络游戏收入 5.98亿 56.23% 58.34% 87.81%
电脑端网络游戏收入 4.18亿 39.33% 41.37% 89.01%
其他游戏相关业务收入 3700.28万 3.48% - - - -
其他业务收入 624.81万 0.59% 0.29% 42.29%
互联网社区工具收入 393.64万 0.37% - - - -"</f>
        <v>公司现主营业务为互联网游戏的研发和运营;
市值181.5659亿, 利润10.86亿; PE15.21; 平均PE18.59; 平均PEG8.83, PB1.5; ROIC8.1233%; ROE8.7633%; 股利率.8696%; 毛利85.9367%; 净利41.6133%; 上一年度营收增43.47%, 利润增27.61%; 当季营收增37.01%, 利润增43.84%; 过往5年营收增-2.1%, 利润增2.28%
移动端网络游戏收入 5.98亿 56.23% 58.34% 87.81%
电脑端网络游戏收入 4.18亿 39.33% 41.37% 89.01%
其他游戏相关业务收入 3700.28万 3.48% - - - -
其他业务收入 624.81万 0.59% 0.29% 42.29%
互联网社区工具收入 393.64万 0.37% - - - -</v>
      </c>
      <c r="D6" t="s">
        <v>190</v>
      </c>
      <c r="E6" t="s">
        <v>191</v>
      </c>
      <c r="F6">
        <v>9.1999999999999993</v>
      </c>
      <c r="G6">
        <v>0.66</v>
      </c>
      <c r="H6" t="s">
        <v>749</v>
      </c>
      <c r="I6">
        <v>18156590000</v>
      </c>
      <c r="J6">
        <v>15.21</v>
      </c>
      <c r="K6">
        <v>1.5</v>
      </c>
      <c r="L6" t="s">
        <v>113</v>
      </c>
      <c r="M6" t="s">
        <v>750</v>
      </c>
      <c r="N6" t="s">
        <v>751</v>
      </c>
      <c r="O6" t="s">
        <v>752</v>
      </c>
      <c r="P6">
        <v>37.21</v>
      </c>
      <c r="Q6" t="s">
        <v>753</v>
      </c>
      <c r="R6">
        <v>352409050</v>
      </c>
      <c r="S6" s="5">
        <v>0.43969999999999998</v>
      </c>
      <c r="T6" t="s">
        <v>754</v>
      </c>
      <c r="U6">
        <v>1973542400</v>
      </c>
      <c r="V6">
        <v>1973542400</v>
      </c>
      <c r="W6">
        <v>1.1399999999999999</v>
      </c>
      <c r="X6">
        <v>0.05</v>
      </c>
      <c r="Y6">
        <v>50.87</v>
      </c>
      <c r="Z6" t="s">
        <v>626</v>
      </c>
      <c r="AA6" t="s">
        <v>755</v>
      </c>
      <c r="AB6" t="s">
        <v>107</v>
      </c>
      <c r="AC6" t="s">
        <v>756</v>
      </c>
      <c r="AD6" t="s">
        <v>5</v>
      </c>
      <c r="AE6">
        <v>-1489247</v>
      </c>
      <c r="AF6" t="s">
        <v>757</v>
      </c>
      <c r="AG6">
        <v>14.72</v>
      </c>
      <c r="AH6" t="s">
        <v>758</v>
      </c>
      <c r="AI6" t="s">
        <v>759</v>
      </c>
      <c r="AJ6" t="s">
        <v>760</v>
      </c>
      <c r="AK6" t="s">
        <v>5</v>
      </c>
      <c r="AL6" t="s">
        <v>761</v>
      </c>
      <c r="AM6" t="s">
        <v>5</v>
      </c>
      <c r="AN6" t="s">
        <v>431</v>
      </c>
      <c r="AO6" t="s">
        <v>5</v>
      </c>
      <c r="AP6" t="s">
        <v>5</v>
      </c>
      <c r="AQ6" t="s">
        <v>762</v>
      </c>
      <c r="AR6" t="s">
        <v>5</v>
      </c>
      <c r="AS6" t="s">
        <v>763</v>
      </c>
      <c r="AT6" t="s">
        <v>5</v>
      </c>
      <c r="AU6" t="s">
        <v>426</v>
      </c>
      <c r="AV6" t="s">
        <v>764</v>
      </c>
      <c r="AW6" t="s">
        <v>765</v>
      </c>
      <c r="AX6" t="s">
        <v>443</v>
      </c>
      <c r="AY6" t="s">
        <v>192</v>
      </c>
      <c r="AZ6" t="s">
        <v>196</v>
      </c>
      <c r="BA6" t="s">
        <v>197</v>
      </c>
      <c r="BB6" t="s">
        <v>198</v>
      </c>
      <c r="BC6" t="s">
        <v>374</v>
      </c>
      <c r="BD6" t="s">
        <v>193</v>
      </c>
      <c r="BE6" t="s">
        <v>177</v>
      </c>
      <c r="BF6" t="s">
        <v>199</v>
      </c>
      <c r="BG6" t="s">
        <v>200</v>
      </c>
      <c r="BH6" t="s">
        <v>753</v>
      </c>
      <c r="BI6" t="s">
        <v>362</v>
      </c>
      <c r="BJ6" t="s">
        <v>443</v>
      </c>
      <c r="BK6" t="s">
        <v>754</v>
      </c>
      <c r="BL6" t="s">
        <v>23</v>
      </c>
      <c r="BM6" t="s">
        <v>374</v>
      </c>
      <c r="BN6">
        <v>8.39</v>
      </c>
      <c r="BO6">
        <v>6.92</v>
      </c>
      <c r="BP6">
        <v>9.06</v>
      </c>
      <c r="BQ6">
        <v>8.74</v>
      </c>
      <c r="BR6">
        <v>7.58</v>
      </c>
      <c r="BS6">
        <v>9.9700000000000006</v>
      </c>
      <c r="BT6" t="s">
        <v>437</v>
      </c>
      <c r="BU6" t="s">
        <v>113</v>
      </c>
      <c r="BV6">
        <v>88.92</v>
      </c>
      <c r="BW6">
        <v>84.04</v>
      </c>
      <c r="BX6">
        <v>84.85</v>
      </c>
      <c r="BY6">
        <v>37.340000000000003</v>
      </c>
      <c r="BZ6">
        <v>40.92</v>
      </c>
      <c r="CA6">
        <v>46.58</v>
      </c>
      <c r="CB6">
        <v>-2.54</v>
      </c>
      <c r="CC6">
        <v>-11.28</v>
      </c>
      <c r="CD6" t="s">
        <v>161</v>
      </c>
      <c r="CE6" t="s">
        <v>766</v>
      </c>
      <c r="CF6" s="11">
        <v>0.37007874015748032</v>
      </c>
      <c r="CG6" s="12">
        <v>0.43840428571428552</v>
      </c>
      <c r="CH6" s="11">
        <v>0.43473994731903076</v>
      </c>
      <c r="CI6" s="11">
        <v>-4.0489643812179565E-2</v>
      </c>
      <c r="CJ6" s="11">
        <v>-4.1948553174734116E-2</v>
      </c>
      <c r="CK6" s="11">
        <v>-0.13768966495990753</v>
      </c>
      <c r="CL6" s="11">
        <v>-0.31984126567840576</v>
      </c>
      <c r="CM6" s="12">
        <v>0.27614569664001465</v>
      </c>
      <c r="CN6" s="12">
        <v>-0.14472362399101257</v>
      </c>
      <c r="CO6" s="12">
        <v>-3.3041786402463913E-2</v>
      </c>
      <c r="CP6" s="12">
        <v>0.25487804412841797</v>
      </c>
      <c r="CQ6" s="12">
        <v>-0.23933209478855133</v>
      </c>
      <c r="CR6">
        <v>18.593538146441372</v>
      </c>
      <c r="CS6">
        <v>8.8347823732627369</v>
      </c>
      <c r="CT6">
        <v>0.86956521739130443</v>
      </c>
      <c r="CU6" s="11">
        <v>-2.1045836061239241E-2</v>
      </c>
      <c r="CV6" s="12">
        <v>2.2785247117280961E-2</v>
      </c>
      <c r="CW6">
        <v>0.06</v>
      </c>
      <c r="CX6">
        <v>7.0778913443830573</v>
      </c>
      <c r="CY6" t="s">
        <v>767</v>
      </c>
      <c r="CZ6">
        <v>-2.1045836061239241E-2</v>
      </c>
      <c r="DA6">
        <v>2.3592971147943524</v>
      </c>
      <c r="DB6" t="s">
        <v>768</v>
      </c>
      <c r="DC6">
        <v>-1.9993544258177277E-2</v>
      </c>
      <c r="DD6">
        <v>1.1796485573971762</v>
      </c>
      <c r="DE6" t="s">
        <v>769</v>
      </c>
      <c r="DF6">
        <v>-1.8520335733890534E-2</v>
      </c>
      <c r="DG6">
        <v>0.70778913443830571</v>
      </c>
      <c r="DH6" t="s">
        <v>770</v>
      </c>
      <c r="DI6">
        <v>-1.6836668848991394E-2</v>
      </c>
      <c r="DJ6">
        <v>0.35389456721915286</v>
      </c>
      <c r="DK6" t="s">
        <v>771</v>
      </c>
      <c r="DL6">
        <v>-1.4732085242867468E-2</v>
      </c>
      <c r="DM6">
        <v>1086000000</v>
      </c>
      <c r="DN6">
        <v>-2.1045836061239241E-2</v>
      </c>
      <c r="DO6">
        <v>7686590000</v>
      </c>
      <c r="DP6">
        <v>890088800</v>
      </c>
      <c r="DQ6">
        <v>1051</v>
      </c>
      <c r="DR6">
        <v>0.39112457621871954</v>
      </c>
      <c r="DS6">
        <v>0.41561903859700455</v>
      </c>
      <c r="DT6" s="13">
        <v>-0.37333333333333335</v>
      </c>
      <c r="DU6">
        <v>0.40333333333333332</v>
      </c>
      <c r="DV6">
        <v>2.9999999999999971E-2</v>
      </c>
      <c r="DW6">
        <v>-8.2251773049645394</v>
      </c>
      <c r="DX6">
        <v>0.31743016759776693</v>
      </c>
      <c r="DY6">
        <v>-8.030946154760489</v>
      </c>
      <c r="DZ6">
        <v>1638</v>
      </c>
      <c r="EA6">
        <v>-8.0210264284400044</v>
      </c>
      <c r="EB6">
        <v>8</v>
      </c>
      <c r="EC6">
        <v>6.2324478055297929E-2</v>
      </c>
      <c r="ED6">
        <v>0.4534992508901759</v>
      </c>
      <c r="EE6" s="14">
        <v>-6.0538100000000004</v>
      </c>
      <c r="EF6">
        <v>-6.0796099999999997</v>
      </c>
      <c r="EG6">
        <v>18.137430167597767</v>
      </c>
      <c r="EH6" t="s">
        <v>686</v>
      </c>
      <c r="EI6">
        <v>0</v>
      </c>
      <c r="EJ6">
        <v>0</v>
      </c>
      <c r="EK6" s="10">
        <v>45470</v>
      </c>
      <c r="EL6" s="15">
        <v>0.42</v>
      </c>
      <c r="EM6" s="15">
        <v>-3.55</v>
      </c>
      <c r="EN6" s="15">
        <v>-0.43</v>
      </c>
      <c r="EO6" s="15">
        <v>5.22</v>
      </c>
      <c r="EP6" s="15">
        <v>-2.58</v>
      </c>
    </row>
    <row r="7" spans="1:146" ht="180" x14ac:dyDescent="0.25">
      <c r="A7" s="16" t="s">
        <v>422</v>
      </c>
      <c r="B7" s="16" t="s">
        <v>423</v>
      </c>
      <c r="C7" s="16" t="str">
        <f>"公司主要分为互联网游戏与汽车零部件制造，自2020年第三季度始公司增加了IDC数据中心业务板块。主要产品和服务为铜杆加工件、汽车零部件、游戏运营收入、游戏授权收入、游戏开发收入、游戏软件销售等。"&amp;CHAR(10)&amp;Basic_Fundamental_Information_Constructure(C7)&amp;CHAR(10)&amp;Basic_Fundamental_Information_Concatenate("移动端游戏 34.92亿 54.14% 64.74% 60.50%
电脑端游戏 15.08亿 23.38% 32.67% 70.70%
汽车零部件 7.20亿 11.16% 2.58% 11.72%")</f>
        <v>公司主要分为互联网游戏与汽车零部件制造，自2020年第三季度始公司增加了IDC数据中心业务板块。主要产品和服务为铜杆加工件、汽车零部件、游戏运营收入、游戏授权收入、游戏开发收入、游戏软件销售等。
市值251.15117亿, 利润5.24亿; PE33.84; 平均PE64.51; 平均PEG30.98, PB.993; ROIC6.645%; ROE-4.0733%; 股利率0%; 毛利55.4933%; 净利-13.0433%; 上一年度营收增15.77%, 利润增107.39%; 当季营收增40.99%, 利润增50.46%; 过往5年营收增2.08%, 利润增-43.94%
Income profile:
移动端游戏 34.92亿 54.14% 64.74% 60.50%
电脑端游戏 15.08亿 23.38% 32.67% 70.70%
汽车零部件 7.20亿 11.16% 2.58% 11.72%</v>
      </c>
      <c r="D7" t="s">
        <v>203</v>
      </c>
      <c r="E7" t="s">
        <v>204</v>
      </c>
      <c r="F7">
        <v>3.37</v>
      </c>
      <c r="G7">
        <v>0.3</v>
      </c>
      <c r="H7" t="s">
        <v>772</v>
      </c>
      <c r="I7">
        <v>25115117000</v>
      </c>
      <c r="J7">
        <v>33.840000000000003</v>
      </c>
      <c r="K7">
        <v>0.99299999999999999</v>
      </c>
      <c r="L7" t="s">
        <v>113</v>
      </c>
      <c r="M7" t="s">
        <v>773</v>
      </c>
      <c r="N7" t="s">
        <v>774</v>
      </c>
      <c r="O7" t="s">
        <v>775</v>
      </c>
      <c r="P7">
        <v>40.99</v>
      </c>
      <c r="Q7" t="s">
        <v>776</v>
      </c>
      <c r="R7">
        <v>651511700</v>
      </c>
      <c r="S7" s="5">
        <v>0.50319999999999998</v>
      </c>
      <c r="T7" t="s">
        <v>586</v>
      </c>
      <c r="U7">
        <v>6881073500</v>
      </c>
      <c r="V7">
        <v>7452557000</v>
      </c>
      <c r="W7">
        <v>1.44</v>
      </c>
      <c r="X7">
        <v>0.11</v>
      </c>
      <c r="Y7">
        <v>16.600000000000001</v>
      </c>
      <c r="Z7" t="s">
        <v>50</v>
      </c>
      <c r="AA7" t="s">
        <v>777</v>
      </c>
      <c r="AB7" t="s">
        <v>778</v>
      </c>
      <c r="AC7" t="s">
        <v>105</v>
      </c>
      <c r="AD7" t="s">
        <v>5</v>
      </c>
      <c r="AE7">
        <v>8505120</v>
      </c>
      <c r="AF7" t="s">
        <v>779</v>
      </c>
      <c r="AG7" t="s">
        <v>780</v>
      </c>
      <c r="AH7" t="s">
        <v>781</v>
      </c>
      <c r="AI7" t="s">
        <v>665</v>
      </c>
      <c r="AJ7" t="s">
        <v>782</v>
      </c>
      <c r="AK7" t="s">
        <v>100</v>
      </c>
      <c r="AL7" t="s">
        <v>783</v>
      </c>
      <c r="AM7" t="s">
        <v>5</v>
      </c>
      <c r="AN7" t="s">
        <v>130</v>
      </c>
      <c r="AO7" t="s">
        <v>340</v>
      </c>
      <c r="AP7" t="s">
        <v>90</v>
      </c>
      <c r="AQ7" t="s">
        <v>592</v>
      </c>
      <c r="AR7" t="s">
        <v>5</v>
      </c>
      <c r="AS7" t="s">
        <v>784</v>
      </c>
      <c r="AT7" t="s">
        <v>658</v>
      </c>
      <c r="AU7" t="s">
        <v>785</v>
      </c>
      <c r="AV7" t="s">
        <v>786</v>
      </c>
      <c r="AW7" t="s">
        <v>787</v>
      </c>
      <c r="AX7" t="s">
        <v>451</v>
      </c>
      <c r="AY7" t="s">
        <v>205</v>
      </c>
      <c r="AZ7" t="s">
        <v>207</v>
      </c>
      <c r="BA7" t="s">
        <v>208</v>
      </c>
      <c r="BB7" t="s">
        <v>209</v>
      </c>
      <c r="BC7" t="s">
        <v>452</v>
      </c>
      <c r="BD7" t="s">
        <v>206</v>
      </c>
      <c r="BE7" t="s">
        <v>210</v>
      </c>
      <c r="BF7" t="s">
        <v>211</v>
      </c>
      <c r="BG7" t="s">
        <v>212</v>
      </c>
      <c r="BH7" t="s">
        <v>776</v>
      </c>
      <c r="BI7" t="s">
        <v>788</v>
      </c>
      <c r="BJ7" t="s">
        <v>451</v>
      </c>
      <c r="BK7" t="s">
        <v>586</v>
      </c>
      <c r="BL7" t="s">
        <v>254</v>
      </c>
      <c r="BM7" t="s">
        <v>452</v>
      </c>
      <c r="BN7">
        <v>5.58</v>
      </c>
      <c r="BO7" t="s">
        <v>5</v>
      </c>
      <c r="BP7">
        <v>7.71</v>
      </c>
      <c r="BQ7">
        <v>5.77</v>
      </c>
      <c r="BR7">
        <v>-25.71</v>
      </c>
      <c r="BS7">
        <v>7.72</v>
      </c>
      <c r="BT7" t="s">
        <v>434</v>
      </c>
      <c r="BU7" t="s">
        <v>113</v>
      </c>
      <c r="BV7">
        <v>60.51</v>
      </c>
      <c r="BW7">
        <v>51.52</v>
      </c>
      <c r="BX7">
        <v>54.45</v>
      </c>
      <c r="BY7">
        <v>4.42</v>
      </c>
      <c r="BZ7">
        <v>-61.74</v>
      </c>
      <c r="CA7">
        <v>18.190000000000001</v>
      </c>
      <c r="CB7">
        <v>-1.75</v>
      </c>
      <c r="CC7">
        <v>-14.9</v>
      </c>
      <c r="CD7" t="s">
        <v>201</v>
      </c>
      <c r="CE7" t="s">
        <v>789</v>
      </c>
      <c r="CF7" s="11">
        <v>0.40985775719483941</v>
      </c>
      <c r="CG7" s="12">
        <v>0.50464595842956117</v>
      </c>
      <c r="CH7" s="11">
        <v>0.15773418545722961</v>
      </c>
      <c r="CI7" s="11">
        <v>-0.17617917060852051</v>
      </c>
      <c r="CJ7" s="11">
        <v>-7.0346400141716003E-2</v>
      </c>
      <c r="CK7" s="11">
        <v>1.9945554435253143E-2</v>
      </c>
      <c r="CL7" s="11">
        <v>0.17294789850711823</v>
      </c>
      <c r="CM7" s="12">
        <v>1.0738861560821533</v>
      </c>
      <c r="CN7" s="12">
        <v>-4.0477008819580078</v>
      </c>
      <c r="CO7" s="12">
        <v>-0.21011535823345184</v>
      </c>
      <c r="CP7" s="12">
        <v>0.28927788138389587</v>
      </c>
      <c r="CQ7" s="12">
        <v>0.69762253761291504</v>
      </c>
      <c r="CR7">
        <v>64.50800599315069</v>
      </c>
      <c r="CS7">
        <v>30.983057037073415</v>
      </c>
      <c r="CT7">
        <v>0</v>
      </c>
      <c r="CU7" s="11">
        <v>2.0820413529872895E-2</v>
      </c>
      <c r="CV7" s="12">
        <v>-0.43940593302249908</v>
      </c>
      <c r="CW7">
        <v>0.06</v>
      </c>
      <c r="CX7">
        <v>20.082193443192999</v>
      </c>
      <c r="CY7">
        <v>504631978.00910693</v>
      </c>
      <c r="CZ7">
        <v>2.0820413529872895E-2</v>
      </c>
      <c r="DA7">
        <v>6.9617119304132862</v>
      </c>
      <c r="DB7">
        <v>1455693240.5846305</v>
      </c>
      <c r="DC7">
        <v>1.9779392853379249E-2</v>
      </c>
      <c r="DD7">
        <v>3.7004747562915012</v>
      </c>
      <c r="DE7">
        <v>2738599144.0071573</v>
      </c>
      <c r="DF7">
        <v>1.8321963906288149E-2</v>
      </c>
      <c r="DG7">
        <v>2.41579969288312</v>
      </c>
      <c r="DH7">
        <v>4194932646.8807955</v>
      </c>
      <c r="DI7">
        <v>1.6656330823898318E-2</v>
      </c>
      <c r="DJ7">
        <v>1.4838575248845116</v>
      </c>
      <c r="DK7">
        <v>6829575501.7239523</v>
      </c>
      <c r="DL7">
        <v>1.4574289470911026E-2</v>
      </c>
      <c r="DM7">
        <v>524000000</v>
      </c>
      <c r="DN7">
        <v>2.0820413529872895E-2</v>
      </c>
      <c r="DO7">
        <v>10134117000</v>
      </c>
      <c r="DP7">
        <v>126447600</v>
      </c>
      <c r="DQ7">
        <v>1095</v>
      </c>
      <c r="DR7">
        <v>0.38903734366496651</v>
      </c>
      <c r="DS7">
        <v>0.94405189145206025</v>
      </c>
      <c r="DT7" s="13">
        <v>-0.32333333333333336</v>
      </c>
      <c r="DU7">
        <v>0.39999999999999991</v>
      </c>
      <c r="DV7">
        <v>7.666666666666655E-2</v>
      </c>
      <c r="DW7">
        <v>-2.149</v>
      </c>
      <c r="DX7">
        <v>0.3298054750950028</v>
      </c>
      <c r="DY7">
        <v>-2.0178510157891556</v>
      </c>
      <c r="DZ7">
        <v>1536</v>
      </c>
      <c r="EA7">
        <v>-2.0124852310040002</v>
      </c>
      <c r="EB7">
        <v>2</v>
      </c>
      <c r="EC7">
        <v>3.6363358240668268E-2</v>
      </c>
      <c r="ED7">
        <v>0.30351998649591005</v>
      </c>
      <c r="EE7" s="14">
        <v>1.0900000000000001</v>
      </c>
      <c r="EF7">
        <v>1.0727</v>
      </c>
      <c r="EG7">
        <v>21.119805475095003</v>
      </c>
      <c r="EH7" t="s">
        <v>66</v>
      </c>
      <c r="EI7">
        <v>0</v>
      </c>
      <c r="EJ7">
        <v>0</v>
      </c>
      <c r="EK7" s="10">
        <v>45470</v>
      </c>
      <c r="EL7" s="15">
        <v>-1.42</v>
      </c>
      <c r="EM7" s="15">
        <v>-3.47</v>
      </c>
      <c r="EN7" s="15">
        <v>-1.8</v>
      </c>
      <c r="EO7" s="15">
        <v>5.79</v>
      </c>
      <c r="EP7" s="15">
        <v>-1.73</v>
      </c>
    </row>
    <row r="8" spans="1:146" ht="192" x14ac:dyDescent="0.25">
      <c r="A8" s="7" t="s">
        <v>674</v>
      </c>
      <c r="B8" s="7" t="s">
        <v>673</v>
      </c>
      <c r="C8" s="16" t="str">
        <f>"公司的主营业务是精品手机游戏的研发与运营。公司的主要产品为扑克牌、游戏。国内游戏产品主要有《指尖捕鱼》、《捕鱼炸翻天》、《姚记捕鱼 3D 版》、《大神捕鱼》、《捕鱼新纪元》、《小美斗地主》、《齐齐来麻将》等休闲、养成类游戏。"&amp;CHAR(10)&amp;Basic_Fundamental_Information_Constructure(F8)&amp;CHAR(10)&amp;Basic_Fundamental_Information_Concatenate("数字营销 11.02亿 46.98% 5.46% 4.33%
游戏 7.06亿 30.09% 77.39% 95.63%
扑克牌 5.15亿 21.96% 15.38% 26.03%
其他业务收入 2270.12万 0.97% 1.77% 67.97%")</f>
        <v>公司的主营业务是精品手机游戏的研发与运营。公司的主要产品为扑克牌、游戏。国内游戏产品主要有《指尖捕鱼》、《捕鱼炸翻天》、《姚记捕鱼 3D 版》、《大神捕鱼》、《捕鱼新纪元》、《小美斗地主》、《齐齐来麻将》等休闲、养成类游戏。
市值81.449811亿, 利润5.62亿; PE15.82; 平均PE15.97; 平均PEG.43, PB2.4; ROIC15.64%; ROE19.23%; 股利率4.5732%; 毛利39.0033%; 净利12.6133%; 上一年度营收增10.01%, 利润增61.03%; 当季营收增-17.34%, 利润增-23.82%; 过往5年营收增37.24%, 利润增68.6%
Income profile:
数字营销 11.02亿 46.98% 5.46% 4.33%
游戏 7.06亿 30.09% 77.39% 95.63%
扑克牌 5.15亿 21.96% 15.38% 26.03%
其他业务收入 2270.12万 0.97% 1.77% 67.97%</v>
      </c>
      <c r="D8" t="s">
        <v>213</v>
      </c>
      <c r="E8" t="s">
        <v>214</v>
      </c>
      <c r="F8">
        <v>19.68</v>
      </c>
      <c r="G8">
        <v>0.46</v>
      </c>
      <c r="H8" t="s">
        <v>790</v>
      </c>
      <c r="I8">
        <v>8144981100</v>
      </c>
      <c r="J8">
        <v>15.82</v>
      </c>
      <c r="K8">
        <v>2.4</v>
      </c>
      <c r="L8" t="s">
        <v>113</v>
      </c>
      <c r="M8" t="s">
        <v>603</v>
      </c>
      <c r="N8" t="s">
        <v>791</v>
      </c>
      <c r="O8" t="s">
        <v>655</v>
      </c>
      <c r="P8">
        <v>-17.38</v>
      </c>
      <c r="Q8" t="s">
        <v>792</v>
      </c>
      <c r="R8">
        <v>150839070</v>
      </c>
      <c r="S8" s="5">
        <v>-0.2394</v>
      </c>
      <c r="T8" t="s">
        <v>663</v>
      </c>
      <c r="U8">
        <v>332511810</v>
      </c>
      <c r="V8">
        <v>413870990</v>
      </c>
      <c r="W8">
        <v>1.51</v>
      </c>
      <c r="X8">
        <v>0.2</v>
      </c>
      <c r="Y8">
        <v>15.98</v>
      </c>
      <c r="Z8" t="s">
        <v>793</v>
      </c>
      <c r="AA8" t="s">
        <v>153</v>
      </c>
      <c r="AB8" t="s">
        <v>794</v>
      </c>
      <c r="AC8" t="s">
        <v>795</v>
      </c>
      <c r="AD8" t="s">
        <v>5</v>
      </c>
      <c r="AE8">
        <v>5731591</v>
      </c>
      <c r="AF8" t="s">
        <v>796</v>
      </c>
      <c r="AG8" t="s">
        <v>797</v>
      </c>
      <c r="AH8" t="s">
        <v>798</v>
      </c>
      <c r="AI8" t="s">
        <v>466</v>
      </c>
      <c r="AJ8" t="s">
        <v>799</v>
      </c>
      <c r="AK8" t="s">
        <v>670</v>
      </c>
      <c r="AL8" t="s">
        <v>800</v>
      </c>
      <c r="AM8" t="s">
        <v>5</v>
      </c>
      <c r="AN8" t="s">
        <v>117</v>
      </c>
      <c r="AO8" t="s">
        <v>372</v>
      </c>
      <c r="AP8" t="s">
        <v>297</v>
      </c>
      <c r="AQ8" t="s">
        <v>106</v>
      </c>
      <c r="AR8" t="s">
        <v>801</v>
      </c>
      <c r="AS8" t="s">
        <v>802</v>
      </c>
      <c r="AT8" t="s">
        <v>5</v>
      </c>
      <c r="AU8" t="s">
        <v>803</v>
      </c>
      <c r="AV8" t="s">
        <v>804</v>
      </c>
      <c r="AW8" t="s">
        <v>604</v>
      </c>
      <c r="AX8" t="s">
        <v>453</v>
      </c>
      <c r="AY8" t="s">
        <v>215</v>
      </c>
      <c r="AZ8" t="s">
        <v>216</v>
      </c>
      <c r="BA8" t="s">
        <v>217</v>
      </c>
      <c r="BB8" t="s">
        <v>218</v>
      </c>
      <c r="BC8" t="s">
        <v>368</v>
      </c>
      <c r="BD8" t="s">
        <v>202</v>
      </c>
      <c r="BE8" t="s">
        <v>220</v>
      </c>
      <c r="BF8" t="s">
        <v>221</v>
      </c>
      <c r="BG8" t="s">
        <v>18</v>
      </c>
      <c r="BH8" t="s">
        <v>792</v>
      </c>
      <c r="BI8" t="s">
        <v>367</v>
      </c>
      <c r="BJ8" t="s">
        <v>453</v>
      </c>
      <c r="BK8" t="s">
        <v>663</v>
      </c>
      <c r="BL8" t="s">
        <v>805</v>
      </c>
      <c r="BM8" t="s">
        <v>368</v>
      </c>
      <c r="BN8">
        <v>17.02</v>
      </c>
      <c r="BO8">
        <v>11.38</v>
      </c>
      <c r="BP8">
        <v>18.52</v>
      </c>
      <c r="BQ8">
        <v>18.77</v>
      </c>
      <c r="BR8">
        <v>13.38</v>
      </c>
      <c r="BS8">
        <v>25.54</v>
      </c>
      <c r="BT8" t="s">
        <v>806</v>
      </c>
      <c r="BU8" t="s">
        <v>113</v>
      </c>
      <c r="BV8">
        <v>37.630000000000003</v>
      </c>
      <c r="BW8">
        <v>38.700000000000003</v>
      </c>
      <c r="BX8">
        <v>40.68</v>
      </c>
      <c r="BY8">
        <v>13.79</v>
      </c>
      <c r="BZ8">
        <v>9.15</v>
      </c>
      <c r="CA8">
        <v>14.9</v>
      </c>
      <c r="CB8">
        <v>-3.62</v>
      </c>
      <c r="CC8">
        <v>-12.22</v>
      </c>
      <c r="CD8" t="s">
        <v>807</v>
      </c>
      <c r="CE8" t="s">
        <v>321</v>
      </c>
      <c r="CF8" s="11">
        <v>-0.17340067340067339</v>
      </c>
      <c r="CG8" s="12">
        <v>-0.23818651515151515</v>
      </c>
      <c r="CH8" s="11">
        <v>0.10012764483690262</v>
      </c>
      <c r="CI8" s="11">
        <v>2.8368793427944183E-2</v>
      </c>
      <c r="CJ8" s="11">
        <v>0.48594856262207031</v>
      </c>
      <c r="CK8" s="11">
        <v>0.47495681047439575</v>
      </c>
      <c r="CL8" s="11">
        <v>0.77244889736175537</v>
      </c>
      <c r="CM8" s="12">
        <v>0.61031520366668701</v>
      </c>
      <c r="CN8" s="12">
        <v>-0.39198607206344604</v>
      </c>
      <c r="CO8" s="12">
        <v>-0.47483986616134644</v>
      </c>
      <c r="CP8" s="12">
        <v>2.1681158542633057</v>
      </c>
      <c r="CQ8" s="12">
        <v>1.5182482004165649</v>
      </c>
      <c r="CR8">
        <v>15.970551176470588</v>
      </c>
      <c r="CS8">
        <v>0.42888914512978948</v>
      </c>
      <c r="CT8">
        <v>4.5731707317073171</v>
      </c>
      <c r="CU8" s="11">
        <v>0.37237014174461364</v>
      </c>
      <c r="CV8" s="12">
        <v>0.68597066402435303</v>
      </c>
      <c r="CW8">
        <v>0.06</v>
      </c>
      <c r="CX8">
        <v>8.4288808621137772</v>
      </c>
      <c r="CY8">
        <v>727615112.8872385</v>
      </c>
      <c r="CZ8">
        <v>0.37237014174461364</v>
      </c>
      <c r="DA8">
        <v>2.1863953490764421</v>
      </c>
      <c r="DB8">
        <v>2805065013.7865691</v>
      </c>
      <c r="DC8">
        <v>0.35375163465738296</v>
      </c>
      <c r="DD8">
        <v>0.76894950742840829</v>
      </c>
      <c r="DE8">
        <v>7975791701.2138805</v>
      </c>
      <c r="DF8">
        <v>0.32768572473525998</v>
      </c>
      <c r="DG8">
        <v>0.30425331784012111</v>
      </c>
      <c r="DH8">
        <v>20157483058.977703</v>
      </c>
      <c r="DI8">
        <v>0.29789611339569094</v>
      </c>
      <c r="DJ8">
        <v>5.5940549660826046E-2</v>
      </c>
      <c r="DK8">
        <v>109633908447.18127</v>
      </c>
      <c r="DL8">
        <v>0.26065909922122954</v>
      </c>
      <c r="DM8">
        <v>562000000</v>
      </c>
      <c r="DN8">
        <v>0.37237014174461364</v>
      </c>
      <c r="DO8">
        <v>6132981100</v>
      </c>
      <c r="DP8">
        <v>1353260900</v>
      </c>
      <c r="DQ8">
        <v>1097</v>
      </c>
      <c r="DR8">
        <v>-0.54577081514528702</v>
      </c>
      <c r="DS8">
        <v>-0.92415717917586815</v>
      </c>
      <c r="DT8" s="13">
        <v>1.0000000000000011E-2</v>
      </c>
      <c r="DU8">
        <v>0.48499999999999993</v>
      </c>
      <c r="DV8">
        <v>0.49499999999999994</v>
      </c>
      <c r="DW8">
        <v>-8.2962356792144032</v>
      </c>
      <c r="DX8">
        <v>0.32693742690058586</v>
      </c>
      <c r="DY8">
        <v>-8.0376033948756227</v>
      </c>
      <c r="DZ8">
        <v>719</v>
      </c>
      <c r="EA8">
        <v>-8.0323124279645519</v>
      </c>
      <c r="EB8">
        <v>8</v>
      </c>
      <c r="EC8">
        <v>5.2447019782662224E-2</v>
      </c>
      <c r="ED8">
        <v>0.41317223031263922</v>
      </c>
      <c r="EE8" s="14">
        <v>2.0079099999999999</v>
      </c>
      <c r="EF8">
        <v>2.0350100000000002</v>
      </c>
      <c r="EG8">
        <v>20.126937426900586</v>
      </c>
      <c r="EH8" t="s">
        <v>441</v>
      </c>
      <c r="EI8">
        <v>0</v>
      </c>
      <c r="EJ8">
        <v>1</v>
      </c>
      <c r="EK8" s="10">
        <v>45470</v>
      </c>
      <c r="EL8" s="15">
        <v>1.88</v>
      </c>
      <c r="EM8" s="15">
        <v>-4.53</v>
      </c>
      <c r="EN8" s="15">
        <v>0.15</v>
      </c>
      <c r="EO8" s="15">
        <v>4.0999999999999996</v>
      </c>
      <c r="EP8" s="15">
        <v>-2.71</v>
      </c>
    </row>
    <row r="9" spans="1:146" ht="108" x14ac:dyDescent="0.25">
      <c r="A9" s="7"/>
      <c r="B9" s="7"/>
      <c r="C9" s="16" t="str">
        <f>""&amp;CHAR(10)&amp;Basic_Fundamental_Information_Constructure(F9)&amp;CHAR(10)&amp;Basic_Fundamental_Information_Concatenate("")</f>
        <v xml:space="preserve">
市值144.13965亿, 利润4.91亿; PE65.4; 平均PE12.36; 平均PEG28.32, PB1.63; ROIC7.6267%; ROE8.2533%; 股利率6.1911%; 毛利63.2033%; 净利9.27%; 上一年度营收增1.58%, 利润增-64.34%; 当季营收增-30.2%, 利润增-112.35%; 过往5年营收增.44%, 利润增24.76%
Income profile:
</v>
      </c>
      <c r="D9" t="s">
        <v>222</v>
      </c>
      <c r="E9" t="s">
        <v>223</v>
      </c>
      <c r="F9">
        <v>7.43</v>
      </c>
      <c r="G9">
        <v>1.36</v>
      </c>
      <c r="H9" t="s">
        <v>808</v>
      </c>
      <c r="I9">
        <v>14413965000</v>
      </c>
      <c r="J9">
        <v>65.400000000000006</v>
      </c>
      <c r="K9">
        <v>1.63</v>
      </c>
      <c r="L9" t="s">
        <v>113</v>
      </c>
      <c r="M9" t="s">
        <v>809</v>
      </c>
      <c r="N9" t="s">
        <v>810</v>
      </c>
      <c r="O9" t="s">
        <v>811</v>
      </c>
      <c r="P9">
        <v>-30.19</v>
      </c>
      <c r="Q9" t="s">
        <v>812</v>
      </c>
      <c r="R9">
        <v>-29764071</v>
      </c>
      <c r="S9" s="5">
        <v>-1.123</v>
      </c>
      <c r="T9" t="s">
        <v>584</v>
      </c>
      <c r="U9">
        <v>1827355300</v>
      </c>
      <c r="V9">
        <v>1939968400</v>
      </c>
      <c r="W9">
        <v>1.56</v>
      </c>
      <c r="X9">
        <v>0.09</v>
      </c>
      <c r="Y9">
        <v>2.88</v>
      </c>
      <c r="Z9" t="s">
        <v>813</v>
      </c>
      <c r="AA9" t="s">
        <v>405</v>
      </c>
      <c r="AB9" t="s">
        <v>269</v>
      </c>
      <c r="AC9" t="s">
        <v>267</v>
      </c>
      <c r="AD9" t="s">
        <v>5</v>
      </c>
      <c r="AE9">
        <v>-1132301</v>
      </c>
      <c r="AF9" t="s">
        <v>814</v>
      </c>
      <c r="AG9" t="s">
        <v>815</v>
      </c>
      <c r="AH9" t="s">
        <v>816</v>
      </c>
      <c r="AI9" t="s">
        <v>817</v>
      </c>
      <c r="AJ9" t="s">
        <v>818</v>
      </c>
      <c r="AK9" t="s">
        <v>819</v>
      </c>
      <c r="AL9" t="s">
        <v>820</v>
      </c>
      <c r="AM9" t="s">
        <v>5</v>
      </c>
      <c r="AN9" t="s">
        <v>821</v>
      </c>
      <c r="AO9" t="s">
        <v>78</v>
      </c>
      <c r="AP9" t="s">
        <v>5</v>
      </c>
      <c r="AQ9" t="s">
        <v>108</v>
      </c>
      <c r="AR9" t="s">
        <v>822</v>
      </c>
      <c r="AS9" t="s">
        <v>823</v>
      </c>
      <c r="AT9" t="s">
        <v>5</v>
      </c>
      <c r="AU9" t="s">
        <v>824</v>
      </c>
      <c r="AV9" t="s">
        <v>825</v>
      </c>
      <c r="AW9" t="s">
        <v>826</v>
      </c>
      <c r="AX9" t="s">
        <v>454</v>
      </c>
      <c r="AY9" t="s">
        <v>224</v>
      </c>
      <c r="AZ9" t="s">
        <v>228</v>
      </c>
      <c r="BA9" t="s">
        <v>229</v>
      </c>
      <c r="BB9" t="s">
        <v>230</v>
      </c>
      <c r="BC9" t="s">
        <v>428</v>
      </c>
      <c r="BD9" t="s">
        <v>225</v>
      </c>
      <c r="BE9" t="s">
        <v>231</v>
      </c>
      <c r="BF9" t="s">
        <v>232</v>
      </c>
      <c r="BG9" t="s">
        <v>233</v>
      </c>
      <c r="BH9" t="s">
        <v>812</v>
      </c>
      <c r="BI9" t="s">
        <v>827</v>
      </c>
      <c r="BJ9" t="s">
        <v>454</v>
      </c>
      <c r="BK9" t="s">
        <v>584</v>
      </c>
      <c r="BL9" t="s">
        <v>105</v>
      </c>
      <c r="BM9" t="s">
        <v>428</v>
      </c>
      <c r="BN9">
        <v>6.36</v>
      </c>
      <c r="BO9">
        <v>14.05</v>
      </c>
      <c r="BP9">
        <v>2.4700000000000002</v>
      </c>
      <c r="BQ9">
        <v>6.71</v>
      </c>
      <c r="BR9">
        <v>14.54</v>
      </c>
      <c r="BS9">
        <v>3.51</v>
      </c>
      <c r="BT9" t="s">
        <v>828</v>
      </c>
      <c r="BU9" t="s">
        <v>113</v>
      </c>
      <c r="BV9">
        <v>59.7</v>
      </c>
      <c r="BW9">
        <v>68.45</v>
      </c>
      <c r="BX9">
        <v>61.46</v>
      </c>
      <c r="BY9">
        <v>7.48</v>
      </c>
      <c r="BZ9">
        <v>18.25</v>
      </c>
      <c r="CA9">
        <v>2.08</v>
      </c>
      <c r="CB9">
        <v>-2.2400000000000002</v>
      </c>
      <c r="CC9">
        <v>-18.89</v>
      </c>
      <c r="CD9" t="s">
        <v>829</v>
      </c>
      <c r="CE9" t="s">
        <v>194</v>
      </c>
      <c r="CF9" s="11">
        <v>-0.30199579831932771</v>
      </c>
      <c r="CG9" s="12">
        <v>-1.1235023692946058</v>
      </c>
      <c r="CH9" s="11">
        <v>1.5775740146636963E-2</v>
      </c>
      <c r="CI9" s="11">
        <v>-9.9553883075714111E-2</v>
      </c>
      <c r="CJ9" s="11">
        <v>-0.16694378852844238</v>
      </c>
      <c r="CK9" s="11">
        <v>0.27192440629005432</v>
      </c>
      <c r="CL9" s="11">
        <v>6.2237889505922794E-4</v>
      </c>
      <c r="CM9" s="12">
        <v>-0.64342772960662842</v>
      </c>
      <c r="CN9" s="12">
        <v>2.7317070960998535</v>
      </c>
      <c r="CO9" s="12">
        <v>-0.76178181171417236</v>
      </c>
      <c r="CP9" s="12">
        <v>3.0605370178818703E-2</v>
      </c>
      <c r="CQ9" s="12">
        <v>-0.11899175494909286</v>
      </c>
      <c r="CR9">
        <v>12.363658327376699</v>
      </c>
      <c r="CS9">
        <v>28.324722084494063</v>
      </c>
      <c r="CT9">
        <v>6.1911170928667563</v>
      </c>
      <c r="CU9" s="11">
        <v>4.3649707455188039E-3</v>
      </c>
      <c r="CV9" s="12">
        <v>0.2476222340017557</v>
      </c>
      <c r="CW9">
        <v>0.06</v>
      </c>
      <c r="CX9">
        <v>21.649457776625262</v>
      </c>
      <c r="CY9">
        <v>465229434.56231111</v>
      </c>
      <c r="CZ9">
        <v>4.3649707455188039E-3</v>
      </c>
      <c r="DA9">
        <v>7.6121048935165421</v>
      </c>
      <c r="DB9">
        <v>1323151104.8381104</v>
      </c>
      <c r="DC9">
        <v>4.1467222082428633E-3</v>
      </c>
      <c r="DD9">
        <v>4.1185986222135673</v>
      </c>
      <c r="DE9">
        <v>2445483506.3744955</v>
      </c>
      <c r="DF9">
        <v>3.8411742560565476E-3</v>
      </c>
      <c r="DG9">
        <v>2.7385804988193514</v>
      </c>
      <c r="DH9">
        <v>3677804981.2091317</v>
      </c>
      <c r="DI9">
        <v>3.4919765964150432E-3</v>
      </c>
      <c r="DJ9">
        <v>1.7418383388715342</v>
      </c>
      <c r="DK9">
        <v>5782376455.5126362</v>
      </c>
      <c r="DL9">
        <v>3.0554795218631628E-3</v>
      </c>
      <c r="DM9">
        <v>491000000</v>
      </c>
      <c r="DN9">
        <v>4.3649707455188039E-3</v>
      </c>
      <c r="DO9">
        <v>10071965000</v>
      </c>
      <c r="DP9">
        <v>4298639900</v>
      </c>
      <c r="DQ9">
        <v>1114</v>
      </c>
      <c r="DR9">
        <v>-0.30636076906484649</v>
      </c>
      <c r="DS9">
        <v>-1.3711246032963615</v>
      </c>
      <c r="DT9" s="13">
        <v>-0.45666666666666672</v>
      </c>
      <c r="DU9">
        <v>-1.1816666666666669</v>
      </c>
      <c r="DV9">
        <v>-1.6383333333333336</v>
      </c>
      <c r="DW9">
        <v>-3.0326845238095239</v>
      </c>
      <c r="DX9">
        <v>0.35673253067046984</v>
      </c>
      <c r="DY9">
        <v>-3.0041421924161402</v>
      </c>
      <c r="DZ9">
        <v>4123</v>
      </c>
      <c r="EA9">
        <v>-3.0008000673022956</v>
      </c>
      <c r="EB9">
        <v>3</v>
      </c>
      <c r="EC9">
        <v>4.5794302628846942E-2</v>
      </c>
      <c r="ED9">
        <v>0.36134609202912787</v>
      </c>
      <c r="EE9" s="14">
        <v>-3.0384000000000002</v>
      </c>
      <c r="EF9">
        <v>-3.0230000000000001</v>
      </c>
      <c r="EG9">
        <v>23.12673253067047</v>
      </c>
      <c r="EH9" t="s">
        <v>687</v>
      </c>
      <c r="EI9">
        <v>0</v>
      </c>
      <c r="EJ9">
        <v>0</v>
      </c>
      <c r="EK9" s="10">
        <v>45470</v>
      </c>
      <c r="EL9" s="15">
        <v>-0.12</v>
      </c>
      <c r="EM9" s="15">
        <v>-3.96</v>
      </c>
      <c r="EN9" s="15">
        <v>-5.67</v>
      </c>
      <c r="EO9" s="15">
        <v>6.28</v>
      </c>
      <c r="EP9" s="15">
        <v>-1.54</v>
      </c>
    </row>
    <row r="10" spans="1:146" ht="108" x14ac:dyDescent="0.25">
      <c r="C10" s="16" t="str">
        <f>""&amp;CHAR(10)&amp;Basic_Fundamental_Information_Constructure(F10)&amp;CHAR(10)&amp;Basic_Fundamental_Information_Concatenate("")</f>
        <v xml:space="preserve">
市值30.277361亿, 利润7036.47万; PE37.35; 平均PE47.37; 平均PEG1.74, PB3.54; ROIC13.3733%; ROE14.1767%; 股利率1.3204%; 毛利54.3833%; 净利8.3067%; 上一年度营收增73.33%, 利润增177.15%; 当季营收增-11.06%, 利润增31.34%; 过往5年营收增27.2%, 利润增89.29%
Income profile:
</v>
      </c>
      <c r="D10" t="s">
        <v>629</v>
      </c>
      <c r="E10" t="s">
        <v>630</v>
      </c>
      <c r="F10">
        <v>11.36</v>
      </c>
      <c r="G10">
        <v>2.99</v>
      </c>
      <c r="H10" t="s">
        <v>830</v>
      </c>
      <c r="I10">
        <v>3027736100</v>
      </c>
      <c r="J10">
        <v>37.35</v>
      </c>
      <c r="K10">
        <v>3.54</v>
      </c>
      <c r="L10" t="s">
        <v>113</v>
      </c>
      <c r="M10" t="s">
        <v>234</v>
      </c>
      <c r="N10" t="s">
        <v>97</v>
      </c>
      <c r="O10" t="s">
        <v>296</v>
      </c>
      <c r="P10" s="6">
        <v>-11.06</v>
      </c>
      <c r="Q10" t="s">
        <v>831</v>
      </c>
      <c r="R10">
        <v>44792609</v>
      </c>
      <c r="S10">
        <v>0.31340000000000001</v>
      </c>
      <c r="T10" t="s">
        <v>832</v>
      </c>
      <c r="U10">
        <v>264388170</v>
      </c>
      <c r="V10">
        <v>266526070</v>
      </c>
      <c r="W10">
        <v>1.49</v>
      </c>
      <c r="X10">
        <v>0.28000000000000003</v>
      </c>
      <c r="Y10">
        <v>12.38</v>
      </c>
      <c r="Z10" t="s">
        <v>833</v>
      </c>
      <c r="AA10" t="s">
        <v>122</v>
      </c>
      <c r="AB10" t="s">
        <v>18</v>
      </c>
      <c r="AC10" t="s">
        <v>834</v>
      </c>
      <c r="AD10" t="s">
        <v>5</v>
      </c>
      <c r="AE10">
        <v>538078</v>
      </c>
      <c r="AF10" t="s">
        <v>148</v>
      </c>
      <c r="AG10" t="s">
        <v>835</v>
      </c>
      <c r="AH10" t="s">
        <v>836</v>
      </c>
      <c r="AI10" t="s">
        <v>79</v>
      </c>
      <c r="AJ10" t="s">
        <v>837</v>
      </c>
      <c r="AK10" t="s">
        <v>5</v>
      </c>
      <c r="AL10" t="s">
        <v>838</v>
      </c>
      <c r="AM10" t="s">
        <v>5</v>
      </c>
      <c r="AN10" t="s">
        <v>839</v>
      </c>
      <c r="AO10" t="s">
        <v>5</v>
      </c>
      <c r="AP10" t="s">
        <v>5</v>
      </c>
      <c r="AQ10" t="s">
        <v>274</v>
      </c>
      <c r="AR10" t="s">
        <v>5</v>
      </c>
      <c r="AS10" t="s">
        <v>302</v>
      </c>
      <c r="AT10" t="s">
        <v>5</v>
      </c>
      <c r="AU10" t="s">
        <v>840</v>
      </c>
      <c r="AV10" t="s">
        <v>841</v>
      </c>
      <c r="AW10" t="s">
        <v>842</v>
      </c>
      <c r="AX10" t="s">
        <v>631</v>
      </c>
      <c r="AY10" t="s">
        <v>632</v>
      </c>
      <c r="AZ10" t="s">
        <v>633</v>
      </c>
      <c r="BA10" t="s">
        <v>320</v>
      </c>
      <c r="BB10" t="s">
        <v>131</v>
      </c>
      <c r="BC10" t="s">
        <v>843</v>
      </c>
      <c r="BD10" t="s">
        <v>82</v>
      </c>
      <c r="BE10" t="s">
        <v>68</v>
      </c>
      <c r="BF10" t="s">
        <v>634</v>
      </c>
      <c r="BG10" t="s">
        <v>585</v>
      </c>
      <c r="BH10" t="s">
        <v>831</v>
      </c>
      <c r="BI10" t="s">
        <v>427</v>
      </c>
      <c r="BJ10" t="s">
        <v>631</v>
      </c>
      <c r="BK10" t="s">
        <v>832</v>
      </c>
      <c r="BL10" t="s">
        <v>844</v>
      </c>
      <c r="BM10" t="s">
        <v>843</v>
      </c>
      <c r="BN10">
        <v>19.579999999999998</v>
      </c>
      <c r="BO10">
        <v>2.4300000000000002</v>
      </c>
      <c r="BP10">
        <v>18.11</v>
      </c>
      <c r="BQ10">
        <v>20.170000000000002</v>
      </c>
      <c r="BR10">
        <v>3.4</v>
      </c>
      <c r="BS10">
        <v>18.96</v>
      </c>
      <c r="BT10" t="s">
        <v>845</v>
      </c>
      <c r="BU10" t="s">
        <v>113</v>
      </c>
      <c r="BV10">
        <v>60.27</v>
      </c>
      <c r="BW10">
        <v>52.5</v>
      </c>
      <c r="BX10">
        <v>50.38</v>
      </c>
      <c r="BY10">
        <v>4.3</v>
      </c>
      <c r="BZ10">
        <v>2.68</v>
      </c>
      <c r="CA10">
        <v>17.940000000000001</v>
      </c>
      <c r="CB10">
        <v>-2.15</v>
      </c>
      <c r="CC10" s="11">
        <v>-23.2</v>
      </c>
      <c r="CD10" s="12" t="s">
        <v>846</v>
      </c>
      <c r="CE10" s="11" t="s">
        <v>57</v>
      </c>
      <c r="CF10" s="11">
        <v>-0.11056511056511056</v>
      </c>
      <c r="CG10" s="11">
        <v>0.31340447804082783</v>
      </c>
      <c r="CH10" s="11">
        <v>0.73333334922790527</v>
      </c>
      <c r="CI10" s="11">
        <v>0.27016130089759827</v>
      </c>
      <c r="CJ10" s="12">
        <v>9.2511013150215149E-2</v>
      </c>
      <c r="CK10" s="12">
        <v>0.31721469759941101</v>
      </c>
      <c r="CL10" s="12">
        <v>-5.3113553673028946E-2</v>
      </c>
      <c r="CM10" s="12">
        <v>1.771475076675415</v>
      </c>
      <c r="CN10" s="12">
        <v>-0.80910605192184448</v>
      </c>
      <c r="CO10">
        <v>0.30392158031463623</v>
      </c>
      <c r="CP10">
        <v>3.4200425148010254</v>
      </c>
      <c r="CQ10">
        <v>-0.22197723388671875</v>
      </c>
      <c r="CR10" s="11">
        <v>47.371168032626585</v>
      </c>
      <c r="CS10" s="12">
        <v>1.741450295733562</v>
      </c>
      <c r="CT10">
        <v>1.3204225352112677</v>
      </c>
      <c r="CU10">
        <v>0.27202136144042016</v>
      </c>
      <c r="CV10">
        <v>0.89287117719650266</v>
      </c>
      <c r="CW10">
        <v>0.06</v>
      </c>
      <c r="CX10">
        <v>31.226498283125533</v>
      </c>
      <c r="CY10">
        <v>84439058.010704458</v>
      </c>
      <c r="CZ10">
        <v>0.27202136144042016</v>
      </c>
      <c r="DA10">
        <v>8.7760490786501393</v>
      </c>
      <c r="DB10">
        <v>300446827.08241659</v>
      </c>
      <c r="DC10">
        <v>0.25842029336839917</v>
      </c>
      <c r="DD10">
        <v>3.487797862064038</v>
      </c>
      <c r="DE10">
        <v>755988794.15552211</v>
      </c>
      <c r="DF10">
        <v>0.23937879806756973</v>
      </c>
      <c r="DG10">
        <v>1.6169559921017642</v>
      </c>
      <c r="DH10">
        <v>1630678950.3731003</v>
      </c>
      <c r="DI10">
        <v>0.21761708915233613</v>
      </c>
      <c r="DJ10">
        <v>0.44707936070462673</v>
      </c>
      <c r="DK10">
        <v>5897691398.3332376</v>
      </c>
      <c r="DL10">
        <v>0.19041495300829411</v>
      </c>
      <c r="DM10">
        <v>70364700</v>
      </c>
      <c r="DN10">
        <v>0.27202136144042016</v>
      </c>
      <c r="DO10">
        <v>2636736100</v>
      </c>
      <c r="DP10">
        <v>483917570</v>
      </c>
      <c r="DQ10" s="13">
        <v>1383</v>
      </c>
      <c r="DR10">
        <v>-0.38258647200553075</v>
      </c>
      <c r="DS10">
        <v>-0.57946669915567484</v>
      </c>
      <c r="DT10">
        <v>0.16</v>
      </c>
      <c r="DU10">
        <v>0.75333333333333341</v>
      </c>
      <c r="DV10">
        <v>0.91333333333333344</v>
      </c>
      <c r="DW10">
        <v>-3.0814285714285714</v>
      </c>
      <c r="DX10">
        <v>0.41128766233766245</v>
      </c>
      <c r="DY10">
        <v>-3.0106905667903523</v>
      </c>
      <c r="DZ10">
        <v>264</v>
      </c>
      <c r="EA10">
        <v>-3.0101382557076413</v>
      </c>
      <c r="EB10" s="14">
        <v>3</v>
      </c>
      <c r="EC10" s="14">
        <v>7.5858620509430846E-2</v>
      </c>
      <c r="ED10">
        <v>0.57780464027402645</v>
      </c>
      <c r="EE10">
        <v>5.9400000000000001E-2</v>
      </c>
      <c r="EF10">
        <v>4.07E-2</v>
      </c>
      <c r="EG10">
        <v>28.131287662337662</v>
      </c>
      <c r="EH10" s="10" t="s">
        <v>65</v>
      </c>
      <c r="EI10">
        <v>0</v>
      </c>
      <c r="EJ10">
        <v>1</v>
      </c>
      <c r="EK10">
        <v>45470</v>
      </c>
      <c r="EL10">
        <v>-0.09</v>
      </c>
      <c r="EM10">
        <v>-4.13</v>
      </c>
      <c r="EN10" s="15">
        <v>-0.72</v>
      </c>
      <c r="EO10" s="15">
        <v>6.24</v>
      </c>
      <c r="EP10" s="15">
        <v>-1.87</v>
      </c>
    </row>
    <row r="11" spans="1:146" ht="108" x14ac:dyDescent="0.25">
      <c r="A11" s="7"/>
      <c r="B11" s="7"/>
      <c r="C11" s="16" t="str">
        <f>""&amp;CHAR(10)&amp;Basic_Fundamental_Information_Constructure(F11)&amp;CHAR(10)&amp;Basic_Fundamental_Information_Concatenate("")</f>
        <v xml:space="preserve">
市值166.10449亿, 利润8.87亿; PE16.54; 平均PE129.39; 平均PEG4.44, PB2.73; ROIC9.8433%; ROE10.7167%; 股利率.7084%; 毛利61.7833%; 净利11.4367%; 上一年度营收增24.05%, 利润增63.96%; 当季营收增22.77%, 利润增65.74%; 过往5年营收增29.16%, 利润增-339.77%
Income profile:
</v>
      </c>
      <c r="D11" t="s">
        <v>240</v>
      </c>
      <c r="E11" t="s">
        <v>241</v>
      </c>
      <c r="F11">
        <v>8.4700000000000006</v>
      </c>
      <c r="G11">
        <v>0.95</v>
      </c>
      <c r="H11" t="s">
        <v>847</v>
      </c>
      <c r="I11">
        <v>16610449000</v>
      </c>
      <c r="J11">
        <v>16.54</v>
      </c>
      <c r="K11">
        <v>2.73</v>
      </c>
      <c r="L11" t="s">
        <v>113</v>
      </c>
      <c r="M11" t="s">
        <v>607</v>
      </c>
      <c r="N11" t="s">
        <v>848</v>
      </c>
      <c r="O11" t="s">
        <v>652</v>
      </c>
      <c r="P11">
        <v>22.79</v>
      </c>
      <c r="Q11" t="s">
        <v>849</v>
      </c>
      <c r="R11">
        <v>295017220</v>
      </c>
      <c r="S11" s="5">
        <v>0.65620000000000001</v>
      </c>
      <c r="T11" t="s">
        <v>653</v>
      </c>
      <c r="U11">
        <v>1819194000</v>
      </c>
      <c r="V11">
        <v>1961092000</v>
      </c>
      <c r="W11">
        <v>1.1499999999999999</v>
      </c>
      <c r="X11">
        <v>0.22</v>
      </c>
      <c r="Y11">
        <v>19.46</v>
      </c>
      <c r="Z11" t="s">
        <v>850</v>
      </c>
      <c r="AA11" t="s">
        <v>78</v>
      </c>
      <c r="AB11" t="s">
        <v>91</v>
      </c>
      <c r="AC11" t="s">
        <v>128</v>
      </c>
      <c r="AD11" t="s">
        <v>5</v>
      </c>
      <c r="AE11">
        <v>-20162242</v>
      </c>
      <c r="AF11" t="s">
        <v>851</v>
      </c>
      <c r="AG11" t="s">
        <v>852</v>
      </c>
      <c r="AH11" t="s">
        <v>853</v>
      </c>
      <c r="AI11" t="s">
        <v>759</v>
      </c>
      <c r="AJ11" t="s">
        <v>854</v>
      </c>
      <c r="AK11" t="s">
        <v>855</v>
      </c>
      <c r="AL11" t="s">
        <v>856</v>
      </c>
      <c r="AM11" t="s">
        <v>5</v>
      </c>
      <c r="AN11">
        <v>0</v>
      </c>
      <c r="AO11" t="s">
        <v>857</v>
      </c>
      <c r="AP11" t="s">
        <v>5</v>
      </c>
      <c r="AQ11" t="s">
        <v>226</v>
      </c>
      <c r="AR11" t="s">
        <v>858</v>
      </c>
      <c r="AS11" t="s">
        <v>688</v>
      </c>
      <c r="AT11" t="s">
        <v>5</v>
      </c>
      <c r="AU11" t="s">
        <v>98</v>
      </c>
      <c r="AV11" t="s">
        <v>664</v>
      </c>
      <c r="AW11" t="s">
        <v>859</v>
      </c>
      <c r="AX11" t="s">
        <v>457</v>
      </c>
      <c r="AY11" t="s">
        <v>242</v>
      </c>
      <c r="AZ11" t="s">
        <v>244</v>
      </c>
      <c r="BA11" t="s">
        <v>245</v>
      </c>
      <c r="BB11" t="s">
        <v>246</v>
      </c>
      <c r="BC11" t="s">
        <v>78</v>
      </c>
      <c r="BD11" t="s">
        <v>243</v>
      </c>
      <c r="BE11" t="s">
        <v>226</v>
      </c>
      <c r="BF11" t="s">
        <v>247</v>
      </c>
      <c r="BG11" t="s">
        <v>248</v>
      </c>
      <c r="BH11" t="s">
        <v>849</v>
      </c>
      <c r="BI11" t="s">
        <v>593</v>
      </c>
      <c r="BJ11" t="s">
        <v>457</v>
      </c>
      <c r="BK11" t="s">
        <v>653</v>
      </c>
      <c r="BL11" t="s">
        <v>174</v>
      </c>
      <c r="BM11" t="s">
        <v>78</v>
      </c>
      <c r="BN11">
        <v>9.69</v>
      </c>
      <c r="BO11">
        <v>11.25</v>
      </c>
      <c r="BP11">
        <v>8.59</v>
      </c>
      <c r="BQ11">
        <v>10.97</v>
      </c>
      <c r="BR11">
        <v>11.83</v>
      </c>
      <c r="BS11">
        <v>9.35</v>
      </c>
      <c r="BT11" t="s">
        <v>439</v>
      </c>
      <c r="BU11" t="s">
        <v>113</v>
      </c>
      <c r="BV11">
        <v>62.73</v>
      </c>
      <c r="BW11">
        <v>60.39</v>
      </c>
      <c r="BX11">
        <v>62.23</v>
      </c>
      <c r="BY11">
        <v>14.76</v>
      </c>
      <c r="BZ11">
        <v>11.08</v>
      </c>
      <c r="CA11">
        <v>8.4700000000000006</v>
      </c>
      <c r="CB11">
        <v>4.3099999999999996</v>
      </c>
      <c r="CC11">
        <v>-2.87</v>
      </c>
      <c r="CD11" t="s">
        <v>83</v>
      </c>
      <c r="CE11" t="s">
        <v>406</v>
      </c>
      <c r="CF11" s="11">
        <v>0.22772277227722773</v>
      </c>
      <c r="CG11" s="12">
        <v>0.65740011235955054</v>
      </c>
      <c r="CH11" s="11">
        <v>0.24053260684013367</v>
      </c>
      <c r="CI11" s="11">
        <v>0.1140473484992981</v>
      </c>
      <c r="CJ11" s="11">
        <v>0.19966626167297363</v>
      </c>
      <c r="CK11" s="11">
        <v>1.0236353874206543</v>
      </c>
      <c r="CL11" s="11">
        <v>-0.11986137926578522</v>
      </c>
      <c r="CM11" s="12">
        <v>0.63955634832382202</v>
      </c>
      <c r="CN11" s="12">
        <v>0.40519481897354126</v>
      </c>
      <c r="CO11" s="12">
        <v>9.6866093575954437E-2</v>
      </c>
      <c r="CP11" s="12">
        <v>1.2381274700164795</v>
      </c>
      <c r="CQ11" s="12">
        <v>-19.36815071105957</v>
      </c>
      <c r="CR11">
        <v>129.3904635340636</v>
      </c>
      <c r="CS11">
        <v>4.4371971424202634</v>
      </c>
      <c r="CT11">
        <v>0.70838252656434464</v>
      </c>
      <c r="CU11" s="11">
        <v>0.29160404503345488</v>
      </c>
      <c r="CV11" s="12">
        <v>-3.3976811960339548</v>
      </c>
      <c r="CW11">
        <v>0.06</v>
      </c>
      <c r="CX11">
        <v>10.652665509499347</v>
      </c>
      <c r="CY11">
        <v>1080804516.9289379</v>
      </c>
      <c r="CZ11">
        <v>0.29160404503345488</v>
      </c>
      <c r="DA11">
        <v>2.9469058354922253</v>
      </c>
      <c r="DB11">
        <v>3906961960.3494711</v>
      </c>
      <c r="DC11">
        <v>0.2770238427817821</v>
      </c>
      <c r="DD11">
        <v>1.1437271620225526</v>
      </c>
      <c r="DE11">
        <v>10066604503.507429</v>
      </c>
      <c r="DF11">
        <v>0.25661155962944032</v>
      </c>
      <c r="DG11">
        <v>0.51441482993114473</v>
      </c>
      <c r="DH11">
        <v>22381642849.48996</v>
      </c>
      <c r="DI11">
        <v>0.23328323602676393</v>
      </c>
      <c r="DJ11">
        <v>0.13163329639079219</v>
      </c>
      <c r="DK11">
        <v>87466084309.086487</v>
      </c>
      <c r="DL11">
        <v>0.2041228315234184</v>
      </c>
      <c r="DM11">
        <v>886999999.99999988</v>
      </c>
      <c r="DN11">
        <v>0.29160404503345488</v>
      </c>
      <c r="DO11">
        <v>11513449000</v>
      </c>
      <c r="DP11">
        <v>3173697400</v>
      </c>
      <c r="DQ11">
        <v>1500</v>
      </c>
      <c r="DR11">
        <v>-6.3881272756227153E-2</v>
      </c>
      <c r="DS11">
        <v>4.0550813083935058</v>
      </c>
      <c r="DT11" s="13">
        <v>9.3333333333333338E-2</v>
      </c>
      <c r="DU11">
        <v>0.31999999999999995</v>
      </c>
      <c r="DV11">
        <v>0.41333333333333327</v>
      </c>
      <c r="DW11">
        <v>4.6658932714617167</v>
      </c>
      <c r="DX11">
        <v>0.28758782201405142</v>
      </c>
      <c r="DY11">
        <v>4.091618804914229</v>
      </c>
      <c r="DZ11">
        <v>848</v>
      </c>
      <c r="EA11">
        <v>4.0764147449206352</v>
      </c>
      <c r="EB11">
        <v>4</v>
      </c>
      <c r="EC11">
        <v>0.11983119608870976</v>
      </c>
      <c r="ED11">
        <v>0.87094333157240955</v>
      </c>
      <c r="EE11" s="14">
        <v>7.0498099999999999</v>
      </c>
      <c r="EF11">
        <v>7.0762099999999997</v>
      </c>
      <c r="EG11">
        <v>15.137587822014051</v>
      </c>
      <c r="EH11" t="s">
        <v>860</v>
      </c>
      <c r="EI11">
        <v>0</v>
      </c>
      <c r="EJ11">
        <v>1</v>
      </c>
      <c r="EK11" s="10">
        <v>45470</v>
      </c>
      <c r="EL11" s="15">
        <v>-0.12</v>
      </c>
      <c r="EM11" s="15">
        <v>-3.35</v>
      </c>
      <c r="EN11" s="15">
        <v>-2.6</v>
      </c>
      <c r="EO11" s="15">
        <v>5.71</v>
      </c>
      <c r="EP11" s="15">
        <v>-2.64</v>
      </c>
    </row>
    <row r="12" spans="1:146" ht="96" x14ac:dyDescent="0.25">
      <c r="A12" s="7"/>
      <c r="B12" s="7"/>
      <c r="C12" s="16" t="str">
        <f>""&amp;CHAR(10)&amp;Basic_Fundamental_Information_Constructure(F12)&amp;CHAR(10)&amp;Basic_Fundamental_Information_Concatenate("")</f>
        <v xml:space="preserve">
市值58.867067亿, 利润1.06亿; PE54.16; 平均PE31.34; 平均PEG2.81, PB1.6; ROIC6.435%; ROE1.55%; 股利率.4205%; 毛利40.0333%; 净利.85%; 上一年度营收增12.15%, 利润增126.77%; 当季营收增11.13%, 利润增127.02%; 过往5年营收增11.14%, 利润增-4.77%
Income profile:
</v>
      </c>
      <c r="D12" t="s">
        <v>250</v>
      </c>
      <c r="E12" t="s">
        <v>251</v>
      </c>
      <c r="F12">
        <v>14.27</v>
      </c>
      <c r="G12">
        <v>1.64</v>
      </c>
      <c r="H12" t="s">
        <v>861</v>
      </c>
      <c r="I12">
        <v>5886706700</v>
      </c>
      <c r="J12">
        <v>54.16</v>
      </c>
      <c r="K12">
        <v>1.6</v>
      </c>
      <c r="L12" t="s">
        <v>113</v>
      </c>
      <c r="M12" t="s">
        <v>862</v>
      </c>
      <c r="N12" t="s">
        <v>863</v>
      </c>
      <c r="O12" t="s">
        <v>660</v>
      </c>
      <c r="P12">
        <v>11.15</v>
      </c>
      <c r="Q12" t="s">
        <v>864</v>
      </c>
      <c r="R12">
        <v>188958850</v>
      </c>
      <c r="S12" s="5">
        <v>3.1600000000000003E-2</v>
      </c>
      <c r="T12" t="s">
        <v>20</v>
      </c>
      <c r="U12">
        <v>345762810</v>
      </c>
      <c r="V12">
        <v>412523240</v>
      </c>
      <c r="W12">
        <v>1.51</v>
      </c>
      <c r="X12">
        <v>0.14000000000000001</v>
      </c>
      <c r="Y12">
        <v>13.28</v>
      </c>
      <c r="Z12" t="s">
        <v>328</v>
      </c>
      <c r="AA12" t="s">
        <v>234</v>
      </c>
      <c r="AB12" t="s">
        <v>22</v>
      </c>
      <c r="AC12" t="s">
        <v>865</v>
      </c>
      <c r="AD12" t="s">
        <v>5</v>
      </c>
      <c r="AE12">
        <v>-3147188</v>
      </c>
      <c r="AF12" t="s">
        <v>866</v>
      </c>
      <c r="AG12" t="s">
        <v>867</v>
      </c>
      <c r="AH12" t="s">
        <v>868</v>
      </c>
      <c r="AI12" t="s">
        <v>869</v>
      </c>
      <c r="AJ12" t="s">
        <v>870</v>
      </c>
      <c r="AK12" t="s">
        <v>79</v>
      </c>
      <c r="AL12" t="s">
        <v>871</v>
      </c>
      <c r="AM12" t="s">
        <v>5</v>
      </c>
      <c r="AN12" t="s">
        <v>872</v>
      </c>
      <c r="AO12" t="s">
        <v>661</v>
      </c>
      <c r="AP12" t="s">
        <v>279</v>
      </c>
      <c r="AQ12" t="s">
        <v>873</v>
      </c>
      <c r="AR12" t="s">
        <v>5</v>
      </c>
      <c r="AS12" t="s">
        <v>264</v>
      </c>
      <c r="AT12" t="s">
        <v>152</v>
      </c>
      <c r="AU12" t="s">
        <v>576</v>
      </c>
      <c r="AV12" t="s">
        <v>874</v>
      </c>
      <c r="AW12" t="s">
        <v>582</v>
      </c>
      <c r="AX12" t="s">
        <v>458</v>
      </c>
      <c r="AY12" t="s">
        <v>252</v>
      </c>
      <c r="AZ12" t="s">
        <v>256</v>
      </c>
      <c r="BA12" t="s">
        <v>257</v>
      </c>
      <c r="BB12" t="s">
        <v>258</v>
      </c>
      <c r="BC12" t="s">
        <v>459</v>
      </c>
      <c r="BD12" t="s">
        <v>253</v>
      </c>
      <c r="BE12" t="s">
        <v>259</v>
      </c>
      <c r="BF12" t="s">
        <v>138</v>
      </c>
      <c r="BG12" t="s">
        <v>146</v>
      </c>
      <c r="BH12" t="s">
        <v>864</v>
      </c>
      <c r="BI12" t="s">
        <v>285</v>
      </c>
      <c r="BJ12" t="s">
        <v>458</v>
      </c>
      <c r="BK12" t="s">
        <v>20</v>
      </c>
      <c r="BL12" t="s">
        <v>875</v>
      </c>
      <c r="BM12" t="s">
        <v>459</v>
      </c>
      <c r="BN12">
        <v>3.25</v>
      </c>
      <c r="BO12" t="s">
        <v>5</v>
      </c>
      <c r="BP12">
        <v>9.6199999999999992</v>
      </c>
      <c r="BQ12">
        <v>3.01</v>
      </c>
      <c r="BR12">
        <v>-10.92</v>
      </c>
      <c r="BS12">
        <v>12.56</v>
      </c>
      <c r="BT12" t="s">
        <v>439</v>
      </c>
      <c r="BU12" t="s">
        <v>113</v>
      </c>
      <c r="BV12">
        <v>39.33</v>
      </c>
      <c r="BW12">
        <v>39.54</v>
      </c>
      <c r="BX12">
        <v>41.23</v>
      </c>
      <c r="BY12">
        <v>3.04</v>
      </c>
      <c r="BZ12">
        <v>-14.38</v>
      </c>
      <c r="CA12">
        <v>13.89</v>
      </c>
      <c r="CB12">
        <v>-0.7</v>
      </c>
      <c r="CC12">
        <v>-0.97</v>
      </c>
      <c r="CD12" t="s">
        <v>876</v>
      </c>
      <c r="CE12" t="s">
        <v>147</v>
      </c>
      <c r="CF12" s="11">
        <v>0.11125827814569536</v>
      </c>
      <c r="CG12" s="12">
        <v>1.2701686537971733</v>
      </c>
      <c r="CH12" s="11">
        <v>0.12150966376066208</v>
      </c>
      <c r="CI12" s="11">
        <v>0.18079712986946106</v>
      </c>
      <c r="CJ12" s="11">
        <v>4.6247106045484543E-2</v>
      </c>
      <c r="CK12" s="11">
        <v>6.5428160130977631E-2</v>
      </c>
      <c r="CL12" s="11">
        <v>0.1431208997964859</v>
      </c>
      <c r="CM12" s="12">
        <v>1.2676767110824585</v>
      </c>
      <c r="CN12" s="12">
        <v>-1.9826302528381348</v>
      </c>
      <c r="CO12" s="12">
        <v>-7.7803201973438263E-2</v>
      </c>
      <c r="CP12" s="12">
        <v>0.43278688192367554</v>
      </c>
      <c r="CQ12" s="12">
        <v>0.12132352590560913</v>
      </c>
      <c r="CR12">
        <v>31.340053416149068</v>
      </c>
      <c r="CS12">
        <v>2.8127703215289377</v>
      </c>
      <c r="CT12">
        <v>0.42046250875963559</v>
      </c>
      <c r="CU12" s="11">
        <v>0.11142059192061424</v>
      </c>
      <c r="CV12" s="12">
        <v>-4.7729267179965972E-2</v>
      </c>
      <c r="CW12">
        <v>0.06</v>
      </c>
      <c r="CX12">
        <v>36.0323241184472</v>
      </c>
      <c r="CY12">
        <v>111142059.19206139</v>
      </c>
      <c r="CZ12">
        <v>0.11142059192061424</v>
      </c>
      <c r="DA12">
        <v>11.563882912133442</v>
      </c>
      <c r="DB12">
        <v>346311591.91330522</v>
      </c>
      <c r="DC12">
        <v>0.10584956232458352</v>
      </c>
      <c r="DD12">
        <v>5.5554484196174405</v>
      </c>
      <c r="DE12">
        <v>720861107.42357898</v>
      </c>
      <c r="DF12">
        <v>9.8050120890140535E-2</v>
      </c>
      <c r="DG12">
        <v>3.2447258799884007</v>
      </c>
      <c r="DH12">
        <v>1234220346.531805</v>
      </c>
      <c r="DI12">
        <v>8.9136473536491401E-2</v>
      </c>
      <c r="DJ12">
        <v>1.5755387579787301</v>
      </c>
      <c r="DK12">
        <v>2541801450.278295</v>
      </c>
      <c r="DL12">
        <v>7.7994414344429955E-2</v>
      </c>
      <c r="DM12">
        <v>106000000</v>
      </c>
      <c r="DN12">
        <v>0.11142059192061424</v>
      </c>
      <c r="DO12">
        <v>4004706700</v>
      </c>
      <c r="DP12">
        <v>1066194300</v>
      </c>
      <c r="DQ12">
        <v>1527</v>
      </c>
      <c r="DR12">
        <v>-1.6231377491887633E-4</v>
      </c>
      <c r="DS12">
        <v>1.3178979209771393</v>
      </c>
      <c r="DT12" s="13">
        <v>-0.28999999999999998</v>
      </c>
      <c r="DU12">
        <v>0.33333333333333331</v>
      </c>
      <c r="DV12">
        <v>4.3333333333333335E-2</v>
      </c>
      <c r="DW12">
        <v>-9.7000000000000003E-3</v>
      </c>
      <c r="DX12">
        <v>0.33648395061728437</v>
      </c>
      <c r="DY12">
        <v>-1.4208943209876542E-3</v>
      </c>
      <c r="DZ12">
        <v>1604</v>
      </c>
      <c r="EA12">
        <v>-9.7488365741344731E-4</v>
      </c>
      <c r="EB12">
        <v>0</v>
      </c>
      <c r="EC12">
        <v>0.14381250375130381</v>
      </c>
      <c r="ED12">
        <v>0.9817628698930998</v>
      </c>
      <c r="EE12" s="14">
        <v>4.03261</v>
      </c>
      <c r="EF12">
        <v>4.0540099999999999</v>
      </c>
      <c r="EG12">
        <v>19.146483950617284</v>
      </c>
      <c r="EH12" t="s">
        <v>575</v>
      </c>
      <c r="EI12">
        <v>0</v>
      </c>
      <c r="EJ12">
        <v>0</v>
      </c>
      <c r="EK12" s="10">
        <v>45470</v>
      </c>
      <c r="EL12" s="15">
        <v>0</v>
      </c>
      <c r="EM12" s="15">
        <v>-2.86</v>
      </c>
      <c r="EN12" s="15">
        <v>-3.37</v>
      </c>
      <c r="EO12" s="15">
        <v>7.27</v>
      </c>
      <c r="EP12" s="15">
        <v>-2.14</v>
      </c>
    </row>
    <row r="13" spans="1:146" ht="96" x14ac:dyDescent="0.25">
      <c r="A13" s="7"/>
      <c r="B13" s="7"/>
      <c r="C13" s="16" t="str">
        <f>""&amp;CHAR(10)&amp;Basic_Fundamental_Information_Constructure(F13)&amp;CHAR(10)&amp;Basic_Fundamental_Information_Concatenate("")</f>
        <v xml:space="preserve">
市值29.363082亿, 利润2770.85万; PE; 平均PE-41.72; 平均PEG-5.48, PB1.62; ROIC3.77%; ROE-12.73%; 股利率0%; 毛利26.33%; 净利-21.6633%; 上一年度营收增7.91%, 利润增108.94%; 当季营收增-5.92%, 利润增-133.54%; 过往5年营收增-7.61%, 利润增-513.52%
Income profile:
</v>
      </c>
      <c r="D13" t="s">
        <v>260</v>
      </c>
      <c r="E13" t="s">
        <v>261</v>
      </c>
      <c r="F13">
        <v>2.36</v>
      </c>
      <c r="G13">
        <v>4.8899999999999997</v>
      </c>
      <c r="H13" t="s">
        <v>877</v>
      </c>
      <c r="I13">
        <v>2936308200</v>
      </c>
      <c r="K13">
        <v>1.62</v>
      </c>
      <c r="L13" t="s">
        <v>113</v>
      </c>
      <c r="M13" t="s">
        <v>878</v>
      </c>
      <c r="N13" t="s">
        <v>666</v>
      </c>
      <c r="O13" t="s">
        <v>425</v>
      </c>
      <c r="P13">
        <v>-6</v>
      </c>
      <c r="Q13" t="s">
        <v>879</v>
      </c>
      <c r="R13">
        <v>-96740009</v>
      </c>
      <c r="S13" s="5">
        <v>-1.335</v>
      </c>
      <c r="T13" t="s">
        <v>880</v>
      </c>
      <c r="U13">
        <v>1243539500</v>
      </c>
      <c r="V13">
        <v>1244198400</v>
      </c>
      <c r="W13">
        <v>2.3199999999999998</v>
      </c>
      <c r="X13">
        <v>7.0000000000000007E-2</v>
      </c>
      <c r="Y13">
        <v>-32.090000000000003</v>
      </c>
      <c r="Z13" t="s">
        <v>881</v>
      </c>
      <c r="AA13" t="s">
        <v>72</v>
      </c>
      <c r="AB13" t="s">
        <v>68</v>
      </c>
      <c r="AC13" t="s">
        <v>882</v>
      </c>
      <c r="AD13" t="s">
        <v>5</v>
      </c>
      <c r="AE13">
        <v>19604935</v>
      </c>
      <c r="AF13" t="s">
        <v>883</v>
      </c>
      <c r="AG13" t="s">
        <v>884</v>
      </c>
      <c r="AH13" t="s">
        <v>885</v>
      </c>
      <c r="AI13" t="s">
        <v>164</v>
      </c>
      <c r="AJ13" t="s">
        <v>886</v>
      </c>
      <c r="AK13" t="s">
        <v>887</v>
      </c>
      <c r="AL13" t="s">
        <v>888</v>
      </c>
      <c r="AM13" t="s">
        <v>5</v>
      </c>
      <c r="AN13" t="s">
        <v>889</v>
      </c>
      <c r="AO13" t="s">
        <v>574</v>
      </c>
      <c r="AP13" t="s">
        <v>5</v>
      </c>
      <c r="AQ13" t="s">
        <v>426</v>
      </c>
      <c r="AR13" t="s">
        <v>5</v>
      </c>
      <c r="AS13" t="s">
        <v>890</v>
      </c>
      <c r="AT13" t="s">
        <v>116</v>
      </c>
      <c r="AU13" t="s">
        <v>891</v>
      </c>
      <c r="AV13" t="s">
        <v>892</v>
      </c>
      <c r="AW13" t="s">
        <v>893</v>
      </c>
      <c r="AX13" t="s">
        <v>461</v>
      </c>
      <c r="AY13" t="s">
        <v>262</v>
      </c>
      <c r="AZ13" t="s">
        <v>264</v>
      </c>
      <c r="BA13" t="s">
        <v>265</v>
      </c>
      <c r="BB13" t="s">
        <v>49</v>
      </c>
      <c r="BC13" t="s">
        <v>283</v>
      </c>
      <c r="BD13" t="s">
        <v>263</v>
      </c>
      <c r="BE13" t="s">
        <v>266</v>
      </c>
      <c r="BF13" t="s">
        <v>267</v>
      </c>
      <c r="BG13" t="s">
        <v>268</v>
      </c>
      <c r="BH13" t="s">
        <v>879</v>
      </c>
      <c r="BI13" t="s">
        <v>88</v>
      </c>
      <c r="BJ13" t="s">
        <v>461</v>
      </c>
      <c r="BK13" t="s">
        <v>880</v>
      </c>
      <c r="BL13" t="s">
        <v>894</v>
      </c>
      <c r="BM13" t="s">
        <v>283</v>
      </c>
      <c r="BN13">
        <v>3.77</v>
      </c>
      <c r="BO13" t="s">
        <v>5</v>
      </c>
      <c r="BP13" t="s">
        <v>5</v>
      </c>
      <c r="BQ13">
        <v>3.04</v>
      </c>
      <c r="BR13">
        <v>-15.74</v>
      </c>
      <c r="BS13">
        <v>-25.49</v>
      </c>
      <c r="BT13" t="s">
        <v>434</v>
      </c>
      <c r="BU13" t="s">
        <v>113</v>
      </c>
      <c r="BV13">
        <v>36.19</v>
      </c>
      <c r="BW13">
        <v>21.38</v>
      </c>
      <c r="BX13">
        <v>21.42</v>
      </c>
      <c r="BY13">
        <v>1.59</v>
      </c>
      <c r="BZ13">
        <v>-19.37</v>
      </c>
      <c r="CA13">
        <v>-47.21</v>
      </c>
      <c r="CB13">
        <v>3.51</v>
      </c>
      <c r="CC13">
        <v>-8.8800000000000008</v>
      </c>
      <c r="CD13" t="s">
        <v>895</v>
      </c>
      <c r="CE13" t="s">
        <v>608</v>
      </c>
      <c r="CF13" s="11">
        <v>-5.9190031152647975E-2</v>
      </c>
      <c r="CG13" s="12">
        <v>-1.3353839115866317</v>
      </c>
      <c r="CH13" s="11">
        <v>7.9078413546085358E-2</v>
      </c>
      <c r="CI13" s="11">
        <v>0.14143562316894531</v>
      </c>
      <c r="CJ13" s="11">
        <v>-0.19277107715606689</v>
      </c>
      <c r="CK13" s="11">
        <v>-0.32806470990180969</v>
      </c>
      <c r="CL13" s="11">
        <v>-8.0141887068748474E-2</v>
      </c>
      <c r="CM13" s="12">
        <v>1.0893822908401489</v>
      </c>
      <c r="CN13" s="12">
        <v>0.53242838382720947</v>
      </c>
      <c r="CO13" s="12">
        <v>-26.486276626586914</v>
      </c>
      <c r="CP13" s="12">
        <v>-0.89955985546112061</v>
      </c>
      <c r="CQ13" s="12">
        <v>8.8235296308994293E-2</v>
      </c>
      <c r="CR13">
        <v>-41.721022787148264</v>
      </c>
      <c r="CS13">
        <v>-5.4829185610205231</v>
      </c>
      <c r="CT13">
        <v>0</v>
      </c>
      <c r="CU13" s="11">
        <v>-7.6092727482318878E-2</v>
      </c>
      <c r="CV13" s="12">
        <v>-5.1351581022143362</v>
      </c>
      <c r="CW13">
        <v>0.06</v>
      </c>
      <c r="CX13" t="e">
        <v>#VALUE!</v>
      </c>
      <c r="CY13" t="s">
        <v>96</v>
      </c>
      <c r="CZ13">
        <v>-7.6092727482318878E-2</v>
      </c>
      <c r="DA13">
        <v>42.204957564165028</v>
      </c>
      <c r="DB13" t="s">
        <v>896</v>
      </c>
      <c r="DC13">
        <v>-7.2288091108202931E-2</v>
      </c>
      <c r="DD13">
        <v>21.102478782082514</v>
      </c>
      <c r="DE13" t="s">
        <v>897</v>
      </c>
      <c r="DF13">
        <v>-6.6961600184440612E-2</v>
      </c>
      <c r="DG13">
        <v>12.661487269249509</v>
      </c>
      <c r="DH13" t="s">
        <v>898</v>
      </c>
      <c r="DI13">
        <v>-6.0874181985855105E-2</v>
      </c>
      <c r="DJ13">
        <v>6.3307436346247545</v>
      </c>
      <c r="DK13" t="s">
        <v>899</v>
      </c>
      <c r="DL13">
        <v>-5.3264909237623212E-2</v>
      </c>
      <c r="DM13">
        <v>27708500</v>
      </c>
      <c r="DN13">
        <v>-7.6092727482318878E-2</v>
      </c>
      <c r="DO13">
        <v>3508308200</v>
      </c>
      <c r="DP13">
        <v>-1024321409.9999998</v>
      </c>
      <c r="DQ13">
        <v>1538</v>
      </c>
      <c r="DR13">
        <v>1.6902696329670903E-2</v>
      </c>
      <c r="DS13">
        <v>3.7997741906277045</v>
      </c>
      <c r="DT13" s="13">
        <v>-0.69</v>
      </c>
      <c r="DU13">
        <v>-1.7483333333333333</v>
      </c>
      <c r="DV13">
        <v>-2.4383333333333335</v>
      </c>
      <c r="DW13">
        <v>6.2832929782082321</v>
      </c>
      <c r="DX13">
        <v>0.4525190839694655</v>
      </c>
      <c r="DY13">
        <v>6.0488734450954658</v>
      </c>
      <c r="DZ13">
        <v>4640</v>
      </c>
      <c r="EA13">
        <v>6.0044952092357864</v>
      </c>
      <c r="EB13">
        <v>6</v>
      </c>
      <c r="EC13">
        <v>0.18164305628427105</v>
      </c>
      <c r="ED13">
        <v>1.0528867421787393</v>
      </c>
      <c r="EE13" s="14">
        <v>-1.0634999999999999</v>
      </c>
      <c r="EF13">
        <v>-1.0187999999999999</v>
      </c>
      <c r="EG13">
        <v>28.172519083969465</v>
      </c>
      <c r="EH13" t="s">
        <v>189</v>
      </c>
      <c r="EI13">
        <v>0</v>
      </c>
      <c r="EJ13">
        <v>0</v>
      </c>
      <c r="EK13" s="10">
        <v>45470</v>
      </c>
      <c r="EL13" s="15">
        <v>1.37</v>
      </c>
      <c r="EM13" s="15">
        <v>19.82</v>
      </c>
      <c r="EN13" s="15">
        <v>-7.52</v>
      </c>
      <c r="EO13" s="15">
        <v>0</v>
      </c>
      <c r="EP13" s="15">
        <v>-4.47</v>
      </c>
    </row>
    <row r="14" spans="1:146" ht="108" x14ac:dyDescent="0.25">
      <c r="A14" s="7"/>
      <c r="B14" s="7"/>
      <c r="C14" s="16" t="str">
        <f>""&amp;CHAR(10)&amp;Basic_Fundamental_Information_Constructure(F14)&amp;CHAR(10)&amp;Basic_Fundamental_Information_Concatenate("")</f>
        <v xml:space="preserve">
市值44.018449亿, 利润-5869.83万; PE; 平均PE-241.66; 平均PEG-193.04, PB7.74; ROIC.07%; ROE-8.0767%; 股利率0%; 毛利42.9367%; 净利-20.33%; 上一年度营收增-18.15%, 利润增-45.39%; 当季营收增6.25%, 利润增-46.19%; 过往5年营收增1.25%, 利润增-78.43%
Income profile:
</v>
      </c>
      <c r="D14" t="s">
        <v>272</v>
      </c>
      <c r="E14" t="s">
        <v>273</v>
      </c>
      <c r="F14">
        <v>16.809999999999999</v>
      </c>
      <c r="G14">
        <v>-1.1200000000000001</v>
      </c>
      <c r="H14" t="s">
        <v>682</v>
      </c>
      <c r="I14">
        <v>4401844900</v>
      </c>
      <c r="K14">
        <v>7.74</v>
      </c>
      <c r="L14" t="s">
        <v>48</v>
      </c>
      <c r="M14" t="s">
        <v>407</v>
      </c>
      <c r="N14" t="s">
        <v>131</v>
      </c>
      <c r="O14" t="s">
        <v>635</v>
      </c>
      <c r="P14">
        <v>-13.04</v>
      </c>
      <c r="Q14" t="s">
        <v>361</v>
      </c>
      <c r="R14">
        <v>-885195</v>
      </c>
      <c r="S14" s="5">
        <v>-1.1259999999999999</v>
      </c>
      <c r="T14" t="s">
        <v>462</v>
      </c>
      <c r="U14">
        <v>261213530</v>
      </c>
      <c r="V14">
        <v>261858710</v>
      </c>
      <c r="W14">
        <v>1.72</v>
      </c>
      <c r="X14">
        <v>0.21</v>
      </c>
      <c r="Y14">
        <v>0.28999999999999998</v>
      </c>
      <c r="Z14" t="s">
        <v>74</v>
      </c>
      <c r="AA14" t="s">
        <v>67</v>
      </c>
      <c r="AB14" t="s">
        <v>636</v>
      </c>
      <c r="AC14" t="s">
        <v>637</v>
      </c>
      <c r="AD14" t="s">
        <v>594</v>
      </c>
      <c r="AE14">
        <v>4080971</v>
      </c>
      <c r="AF14" t="s">
        <v>638</v>
      </c>
      <c r="AG14" t="s">
        <v>639</v>
      </c>
      <c r="AH14" t="s">
        <v>640</v>
      </c>
      <c r="AI14" t="s">
        <v>641</v>
      </c>
      <c r="AJ14" t="s">
        <v>642</v>
      </c>
      <c r="AK14" t="s">
        <v>5</v>
      </c>
      <c r="AL14" t="s">
        <v>643</v>
      </c>
      <c r="AM14" t="s">
        <v>5</v>
      </c>
      <c r="AN14">
        <v>0</v>
      </c>
      <c r="AO14" t="s">
        <v>644</v>
      </c>
      <c r="AP14" t="s">
        <v>5</v>
      </c>
      <c r="AQ14" t="s">
        <v>645</v>
      </c>
      <c r="AR14" t="s">
        <v>5</v>
      </c>
      <c r="AS14" t="s">
        <v>646</v>
      </c>
      <c r="AT14" t="s">
        <v>5</v>
      </c>
      <c r="AU14" t="s">
        <v>647</v>
      </c>
      <c r="AV14" t="s">
        <v>648</v>
      </c>
      <c r="AW14" t="s">
        <v>649</v>
      </c>
      <c r="AX14" t="s">
        <v>394</v>
      </c>
      <c r="AY14" t="s">
        <v>426</v>
      </c>
      <c r="AZ14" t="s">
        <v>110</v>
      </c>
      <c r="BA14" t="s">
        <v>275</v>
      </c>
      <c r="BB14" t="s">
        <v>134</v>
      </c>
      <c r="BC14" t="s">
        <v>463</v>
      </c>
      <c r="BD14" t="s">
        <v>464</v>
      </c>
      <c r="BE14" t="s">
        <v>465</v>
      </c>
      <c r="BF14" t="s">
        <v>276</v>
      </c>
      <c r="BG14" t="s">
        <v>277</v>
      </c>
      <c r="BH14" t="s">
        <v>249</v>
      </c>
      <c r="BI14" t="s">
        <v>74</v>
      </c>
      <c r="BJ14" t="s">
        <v>358</v>
      </c>
      <c r="BK14" t="s">
        <v>650</v>
      </c>
      <c r="BL14" t="s">
        <v>651</v>
      </c>
      <c r="BM14" t="s">
        <v>595</v>
      </c>
      <c r="BN14">
        <v>7.0000000000000007E-2</v>
      </c>
      <c r="BO14" t="s">
        <v>5</v>
      </c>
      <c r="BP14" t="s">
        <v>5</v>
      </c>
      <c r="BQ14">
        <v>0.3</v>
      </c>
      <c r="BR14">
        <v>-6.86</v>
      </c>
      <c r="BS14">
        <v>-17.670000000000002</v>
      </c>
      <c r="BT14" t="s">
        <v>434</v>
      </c>
      <c r="BU14" t="s">
        <v>113</v>
      </c>
      <c r="BV14">
        <v>42.79</v>
      </c>
      <c r="BW14">
        <v>54.1</v>
      </c>
      <c r="BX14">
        <v>31.92</v>
      </c>
      <c r="BY14">
        <v>6.47</v>
      </c>
      <c r="BZ14">
        <v>-13.06</v>
      </c>
      <c r="CA14">
        <v>-54.4</v>
      </c>
      <c r="CB14">
        <v>2.19</v>
      </c>
      <c r="CC14">
        <v>2</v>
      </c>
      <c r="CD14" t="s">
        <v>683</v>
      </c>
      <c r="CE14" t="s">
        <v>624</v>
      </c>
      <c r="CF14" s="11">
        <v>6.25E-2</v>
      </c>
      <c r="CG14" s="12">
        <v>-0.46186164868288848</v>
      </c>
      <c r="CH14" s="11">
        <v>-0.181547611951828</v>
      </c>
      <c r="CI14" s="11">
        <v>0.26315790414810181</v>
      </c>
      <c r="CJ14" s="11">
        <v>-0.38850575685501099</v>
      </c>
      <c r="CK14" s="11">
        <v>0.30239519476890564</v>
      </c>
      <c r="CL14" s="11">
        <v>6.7092649638652802E-2</v>
      </c>
      <c r="CM14" s="12">
        <v>-0.45388907194137573</v>
      </c>
      <c r="CN14" s="12">
        <v>0.71568101644515991</v>
      </c>
      <c r="CO14" s="12">
        <v>-4.1470866203308105</v>
      </c>
      <c r="CP14" s="12">
        <v>0.24088950455188751</v>
      </c>
      <c r="CQ14" s="12">
        <v>-0.27705198526382446</v>
      </c>
      <c r="CR14">
        <v>-241.65623801946896</v>
      </c>
      <c r="CS14">
        <v>-193.03966312610109</v>
      </c>
      <c r="CT14">
        <v>0</v>
      </c>
      <c r="CU14" s="11">
        <v>1.2518475949764251E-2</v>
      </c>
      <c r="CV14" s="12">
        <v>-0.78429143130779266</v>
      </c>
      <c r="CW14">
        <v>0.06</v>
      </c>
      <c r="CX14" t="e">
        <v>#VALUE!</v>
      </c>
      <c r="CY14" t="s">
        <v>80</v>
      </c>
      <c r="CZ14">
        <v>1.2518475949764251E-2</v>
      </c>
      <c r="DA14" t="e">
        <v>#VALUE!</v>
      </c>
      <c r="DB14" t="s">
        <v>81</v>
      </c>
      <c r="DC14">
        <v>1.1892552152276038E-2</v>
      </c>
      <c r="DD14" t="e">
        <v>#VALUE!</v>
      </c>
      <c r="DE14" t="s">
        <v>81</v>
      </c>
      <c r="DF14">
        <v>1.101625883579254E-2</v>
      </c>
      <c r="DG14" t="e">
        <v>#VALUE!</v>
      </c>
      <c r="DH14" t="s">
        <v>81</v>
      </c>
      <c r="DI14">
        <v>1.0014780759811402E-2</v>
      </c>
      <c r="DJ14" t="e">
        <v>#VALUE!</v>
      </c>
      <c r="DK14" t="s">
        <v>81</v>
      </c>
      <c r="DL14">
        <v>8.7629331648349743E-3</v>
      </c>
      <c r="DM14">
        <v>-58698300</v>
      </c>
      <c r="DN14">
        <v>1.2518475949764251E-2</v>
      </c>
      <c r="DO14">
        <v>4247844900</v>
      </c>
      <c r="DP14">
        <v>-7167880</v>
      </c>
      <c r="DQ14">
        <v>1555</v>
      </c>
      <c r="DR14">
        <v>4.9981524050235746E-2</v>
      </c>
      <c r="DS14">
        <v>0.32242978262490418</v>
      </c>
      <c r="DT14" s="13">
        <v>-0.47333333333333338</v>
      </c>
      <c r="DU14">
        <v>-2.2650000000000001</v>
      </c>
      <c r="DV14">
        <v>-2.7383333333333333</v>
      </c>
      <c r="DW14">
        <v>0.02</v>
      </c>
      <c r="DX14">
        <v>0.32637741273100446</v>
      </c>
      <c r="DY14">
        <v>2.7275482546201229E-3</v>
      </c>
      <c r="DZ14">
        <v>4799</v>
      </c>
      <c r="EA14">
        <v>1.6950563708602678E-4</v>
      </c>
      <c r="EB14">
        <v>0</v>
      </c>
      <c r="EC14">
        <v>0.25363219730212527</v>
      </c>
      <c r="ED14">
        <v>1.8597815592996696</v>
      </c>
      <c r="EE14" s="14">
        <v>5.7600000000000005E-2</v>
      </c>
      <c r="EF14">
        <v>4.6399999999999997E-2</v>
      </c>
      <c r="EG14">
        <v>19.136377412731004</v>
      </c>
      <c r="EH14" t="s">
        <v>65</v>
      </c>
      <c r="EI14">
        <v>0</v>
      </c>
      <c r="EJ14">
        <v>0</v>
      </c>
      <c r="EK14" s="10">
        <v>45370</v>
      </c>
      <c r="EL14" s="15">
        <v>2.13</v>
      </c>
      <c r="EM14" s="15">
        <v>-2.98</v>
      </c>
      <c r="EN14" s="15">
        <v>2.4500000000000002</v>
      </c>
      <c r="EO14" s="15">
        <v>1.8</v>
      </c>
      <c r="EP14" s="15">
        <v>-1.1200000000000001</v>
      </c>
    </row>
    <row r="15" spans="1:146" ht="96" x14ac:dyDescent="0.25">
      <c r="C15" s="16" t="str">
        <f>""&amp;CHAR(10)&amp;Basic_Fundamental_Information_Constructure(F15)&amp;CHAR(10)&amp;Basic_Fundamental_Information_Concatenate("")</f>
        <v xml:space="preserve">
市值20.38228亿, 利润-5982.62万; PE; 平均PE-4.02; 平均PEG-.3, PB2.2; ROIC0%; ROE-21.0733%; 股利率0%; 毛利34.1567%; 净利-66.4633%; 上一年度营收增-26.07%, 利润增81.82%; 当季营收增-6.84%, 利润增86.88%; 过往5年营收增-13.6%, 利润增-557.65%
Income profile:
</v>
      </c>
      <c r="D15" t="s">
        <v>286</v>
      </c>
      <c r="E15" t="s">
        <v>287</v>
      </c>
      <c r="F15">
        <v>2.44</v>
      </c>
      <c r="G15">
        <v>6.55</v>
      </c>
      <c r="H15" t="s">
        <v>900</v>
      </c>
      <c r="I15">
        <v>2038228000</v>
      </c>
      <c r="K15">
        <v>2.2000000000000002</v>
      </c>
      <c r="L15" t="s">
        <v>113</v>
      </c>
      <c r="M15" t="s">
        <v>429</v>
      </c>
      <c r="N15" t="s">
        <v>667</v>
      </c>
      <c r="O15" t="s">
        <v>901</v>
      </c>
      <c r="P15">
        <v>-6.84</v>
      </c>
      <c r="Q15" t="s">
        <v>178</v>
      </c>
      <c r="R15">
        <v>-534784</v>
      </c>
      <c r="S15" s="5">
        <v>0.86880000000000002</v>
      </c>
      <c r="T15" t="s">
        <v>902</v>
      </c>
      <c r="U15">
        <v>801629340</v>
      </c>
      <c r="V15">
        <v>835339340</v>
      </c>
      <c r="W15">
        <v>1.28</v>
      </c>
      <c r="X15">
        <v>0.03</v>
      </c>
      <c r="Y15">
        <v>-9.17</v>
      </c>
      <c r="Z15" t="s">
        <v>903</v>
      </c>
      <c r="AA15" t="s">
        <v>904</v>
      </c>
      <c r="AB15" t="s">
        <v>905</v>
      </c>
      <c r="AC15" t="s">
        <v>906</v>
      </c>
      <c r="AD15" t="s">
        <v>5</v>
      </c>
      <c r="AE15">
        <v>-2049104</v>
      </c>
      <c r="AF15" t="s">
        <v>907</v>
      </c>
      <c r="AG15" t="s">
        <v>908</v>
      </c>
      <c r="AH15" t="s">
        <v>909</v>
      </c>
      <c r="AI15" t="s">
        <v>115</v>
      </c>
      <c r="AJ15" t="s">
        <v>910</v>
      </c>
      <c r="AK15" t="s">
        <v>5</v>
      </c>
      <c r="AL15" t="s">
        <v>911</v>
      </c>
      <c r="AM15" t="s">
        <v>5</v>
      </c>
      <c r="AN15">
        <v>0</v>
      </c>
      <c r="AO15" t="s">
        <v>5</v>
      </c>
      <c r="AP15" t="s">
        <v>5</v>
      </c>
      <c r="AQ15" t="s">
        <v>164</v>
      </c>
      <c r="AR15" t="s">
        <v>5</v>
      </c>
      <c r="AS15" t="s">
        <v>70</v>
      </c>
      <c r="AT15" t="s">
        <v>912</v>
      </c>
      <c r="AU15" t="s">
        <v>913</v>
      </c>
      <c r="AV15" t="s">
        <v>914</v>
      </c>
      <c r="AW15" t="s">
        <v>915</v>
      </c>
      <c r="AX15" t="s">
        <v>430</v>
      </c>
      <c r="AY15" t="s">
        <v>288</v>
      </c>
      <c r="AZ15" t="s">
        <v>290</v>
      </c>
      <c r="BA15" t="s">
        <v>102</v>
      </c>
      <c r="BB15" t="s">
        <v>291</v>
      </c>
      <c r="BC15" t="s">
        <v>467</v>
      </c>
      <c r="BD15" t="s">
        <v>289</v>
      </c>
      <c r="BE15" t="s">
        <v>292</v>
      </c>
      <c r="BF15" t="s">
        <v>293</v>
      </c>
      <c r="BG15" t="s">
        <v>294</v>
      </c>
      <c r="BH15" t="s">
        <v>178</v>
      </c>
      <c r="BI15" t="s">
        <v>916</v>
      </c>
      <c r="BJ15" t="s">
        <v>430</v>
      </c>
      <c r="BK15" t="s">
        <v>902</v>
      </c>
      <c r="BL15" t="s">
        <v>917</v>
      </c>
      <c r="BM15" t="s">
        <v>467</v>
      </c>
      <c r="BN15" t="s">
        <v>5</v>
      </c>
      <c r="BO15" t="s">
        <v>5</v>
      </c>
      <c r="BP15" t="s">
        <v>5</v>
      </c>
      <c r="BQ15">
        <v>-1.4</v>
      </c>
      <c r="BR15">
        <v>-25.61</v>
      </c>
      <c r="BS15">
        <v>-36.21</v>
      </c>
      <c r="BT15" t="s">
        <v>434</v>
      </c>
      <c r="BU15" t="s">
        <v>113</v>
      </c>
      <c r="BV15">
        <v>31.61</v>
      </c>
      <c r="BW15">
        <v>31.26</v>
      </c>
      <c r="BX15">
        <v>39.6</v>
      </c>
      <c r="BY15">
        <v>-12.05</v>
      </c>
      <c r="BZ15">
        <v>-50.27</v>
      </c>
      <c r="CA15">
        <v>-137.07</v>
      </c>
      <c r="CB15">
        <v>5.63</v>
      </c>
      <c r="CC15">
        <v>-11.91</v>
      </c>
      <c r="CD15" t="s">
        <v>918</v>
      </c>
      <c r="CE15" t="s">
        <v>919</v>
      </c>
      <c r="CF15" s="11">
        <v>-6.8418357342613548E-2</v>
      </c>
      <c r="CG15" s="12">
        <v>0.86883869227184651</v>
      </c>
      <c r="CH15" s="11">
        <v>-0.26072606444358826</v>
      </c>
      <c r="CI15" s="11">
        <v>0.20000000298023224</v>
      </c>
      <c r="CJ15" s="11">
        <v>-0.40448114275932312</v>
      </c>
      <c r="CK15" s="11">
        <v>-0.31612902879714966</v>
      </c>
      <c r="CL15" s="11">
        <v>0.10124333947896957</v>
      </c>
      <c r="CM15" s="12">
        <v>0.81815743446350098</v>
      </c>
      <c r="CN15" s="12">
        <v>0.51474928855895996</v>
      </c>
      <c r="CO15" s="12">
        <v>0.26543879508972168</v>
      </c>
      <c r="CP15" s="12">
        <v>-30.509841918945313</v>
      </c>
      <c r="CQ15" s="12">
        <v>1.0288008451461792</v>
      </c>
      <c r="CR15">
        <v>-4.0168084036105842</v>
      </c>
      <c r="CS15">
        <v>-0.29531321689727802</v>
      </c>
      <c r="CT15">
        <v>0</v>
      </c>
      <c r="CU15" s="11">
        <v>-0.13601857870817186</v>
      </c>
      <c r="CV15" s="12">
        <v>-5.5765391111373903</v>
      </c>
      <c r="CW15">
        <v>0.06</v>
      </c>
      <c r="CX15" t="e">
        <v>#VALUE!</v>
      </c>
      <c r="CY15" t="s">
        <v>80</v>
      </c>
      <c r="CZ15">
        <v>-0.13601857870817186</v>
      </c>
      <c r="DA15" t="e">
        <v>#VALUE!</v>
      </c>
      <c r="DB15" t="s">
        <v>81</v>
      </c>
      <c r="DC15">
        <v>-0.12921764977276326</v>
      </c>
      <c r="DD15" t="e">
        <v>#VALUE!</v>
      </c>
      <c r="DE15" t="s">
        <v>81</v>
      </c>
      <c r="DF15">
        <v>-0.11969634926319124</v>
      </c>
      <c r="DG15" t="e">
        <v>#VALUE!</v>
      </c>
      <c r="DH15" t="s">
        <v>81</v>
      </c>
      <c r="DI15">
        <v>-0.10881486296653749</v>
      </c>
      <c r="DJ15" t="e">
        <v>#VALUE!</v>
      </c>
      <c r="DK15" t="s">
        <v>81</v>
      </c>
      <c r="DL15">
        <v>-9.5213005095720296E-2</v>
      </c>
      <c r="DM15">
        <v>-59826200</v>
      </c>
      <c r="DN15">
        <v>-0.13601857870817186</v>
      </c>
      <c r="DO15">
        <v>1349228000</v>
      </c>
      <c r="DP15">
        <v>553693860</v>
      </c>
      <c r="DQ15">
        <v>1638</v>
      </c>
      <c r="DR15">
        <v>6.7600221365558308E-2</v>
      </c>
      <c r="DS15">
        <v>6.4453778034092366</v>
      </c>
      <c r="DT15" s="13">
        <v>-0.70666666666666667</v>
      </c>
      <c r="DU15">
        <v>-1.1016666666666668</v>
      </c>
      <c r="DV15">
        <v>-1.8083333333333336</v>
      </c>
      <c r="DW15">
        <v>6.3209806157354613</v>
      </c>
      <c r="DX15">
        <v>0.85996951219512485</v>
      </c>
      <c r="DY15">
        <v>6.0641863371527105</v>
      </c>
      <c r="DZ15">
        <v>4261</v>
      </c>
      <c r="EA15">
        <v>6.0106642270533568</v>
      </c>
      <c r="EB15">
        <v>6</v>
      </c>
      <c r="EC15">
        <v>0.11777848269423059</v>
      </c>
      <c r="ED15">
        <v>0.58898219734269908</v>
      </c>
      <c r="EE15" s="14">
        <v>-2.0939999999999999</v>
      </c>
      <c r="EF15">
        <v>-2.0855000000000001</v>
      </c>
      <c r="EG15">
        <v>66.199969512195125</v>
      </c>
      <c r="EH15" t="s">
        <v>672</v>
      </c>
      <c r="EI15">
        <v>0</v>
      </c>
      <c r="EJ15">
        <v>0</v>
      </c>
      <c r="EK15" s="10">
        <v>45470</v>
      </c>
      <c r="EL15" s="15">
        <v>-0.87</v>
      </c>
      <c r="EM15" s="15">
        <v>-3.07</v>
      </c>
      <c r="EN15" s="15">
        <v>0.9</v>
      </c>
      <c r="EO15" s="15">
        <v>4.93</v>
      </c>
      <c r="EP15" s="15">
        <v>-0.85</v>
      </c>
    </row>
    <row r="16" spans="1:146" ht="108" x14ac:dyDescent="0.25">
      <c r="A16" s="7"/>
      <c r="B16" s="7"/>
      <c r="C16" s="7" t="str">
        <f>""&amp;CHAR(10)&amp;Basic_Fundamental_Information_Constructure(F16)&amp;CHAR(10)&amp;Basic_Fundamental_Information_Concatenate("")</f>
        <v xml:space="preserve">
市值24.676893亿, 利润860.13万; PE; 平均PE-43.28; 平均PEG-5.15, PB4.36; ROIC5.9533%; ROE8.0367%; 股利率0%; 毛利48.7767%; 净利8.1033%; 上一年度营收增-17.87%, 利润增-78.78%; 当季营收增-35.54%, 利润增-266.06%; 过往5年营收增-8.41%, 利润增-196.23%
Income profile:
</v>
      </c>
      <c r="D16" t="s">
        <v>300</v>
      </c>
      <c r="E16" t="s">
        <v>301</v>
      </c>
      <c r="F16">
        <v>3.57</v>
      </c>
      <c r="G16">
        <v>2.88</v>
      </c>
      <c r="H16" t="s">
        <v>920</v>
      </c>
      <c r="I16">
        <v>2467689300</v>
      </c>
      <c r="K16">
        <v>4.3600000000000003</v>
      </c>
      <c r="L16" t="s">
        <v>113</v>
      </c>
      <c r="M16" t="s">
        <v>596</v>
      </c>
      <c r="N16" t="s">
        <v>921</v>
      </c>
      <c r="O16" t="s">
        <v>922</v>
      </c>
      <c r="P16">
        <v>-35.54</v>
      </c>
      <c r="Q16" t="s">
        <v>19</v>
      </c>
      <c r="R16">
        <v>-14028777</v>
      </c>
      <c r="S16" s="5">
        <v>-2.661</v>
      </c>
      <c r="T16" t="s">
        <v>923</v>
      </c>
      <c r="U16">
        <v>633535910</v>
      </c>
      <c r="V16">
        <v>691229490</v>
      </c>
      <c r="W16">
        <v>1.8</v>
      </c>
      <c r="X16">
        <v>0.05</v>
      </c>
      <c r="Y16">
        <v>-27.82</v>
      </c>
      <c r="Z16" t="s">
        <v>924</v>
      </c>
      <c r="AA16" t="s">
        <v>925</v>
      </c>
      <c r="AB16" t="s">
        <v>926</v>
      </c>
      <c r="AC16" t="s">
        <v>927</v>
      </c>
      <c r="AD16" t="s">
        <v>5</v>
      </c>
      <c r="AE16">
        <v>1164836</v>
      </c>
      <c r="AF16" t="s">
        <v>928</v>
      </c>
      <c r="AG16" t="s">
        <v>929</v>
      </c>
      <c r="AH16" t="s">
        <v>930</v>
      </c>
      <c r="AI16" t="s">
        <v>931</v>
      </c>
      <c r="AJ16" t="s">
        <v>932</v>
      </c>
      <c r="AK16" t="s">
        <v>5</v>
      </c>
      <c r="AL16" t="s">
        <v>933</v>
      </c>
      <c r="AM16" t="s">
        <v>5</v>
      </c>
      <c r="AN16">
        <v>0</v>
      </c>
      <c r="AO16" t="s">
        <v>278</v>
      </c>
      <c r="AP16" t="s">
        <v>5</v>
      </c>
      <c r="AQ16" t="s">
        <v>123</v>
      </c>
      <c r="AR16">
        <v>9200</v>
      </c>
      <c r="AS16" t="s">
        <v>427</v>
      </c>
      <c r="AT16" t="s">
        <v>934</v>
      </c>
      <c r="AU16" t="s">
        <v>935</v>
      </c>
      <c r="AV16" t="s">
        <v>936</v>
      </c>
      <c r="AW16" t="s">
        <v>937</v>
      </c>
      <c r="AX16" t="s">
        <v>253</v>
      </c>
      <c r="AY16" t="s">
        <v>303</v>
      </c>
      <c r="AZ16" t="s">
        <v>306</v>
      </c>
      <c r="BA16" t="s">
        <v>307</v>
      </c>
      <c r="BB16" t="s">
        <v>237</v>
      </c>
      <c r="BC16" t="s">
        <v>468</v>
      </c>
      <c r="BD16" t="s">
        <v>304</v>
      </c>
      <c r="BE16" t="s">
        <v>308</v>
      </c>
      <c r="BF16" t="s">
        <v>309</v>
      </c>
      <c r="BG16" t="s">
        <v>310</v>
      </c>
      <c r="BH16" t="s">
        <v>19</v>
      </c>
      <c r="BI16" t="s">
        <v>938</v>
      </c>
      <c r="BJ16" t="s">
        <v>253</v>
      </c>
      <c r="BK16" t="s">
        <v>923</v>
      </c>
      <c r="BL16" t="s">
        <v>939</v>
      </c>
      <c r="BM16" t="s">
        <v>468</v>
      </c>
      <c r="BN16">
        <v>1.52</v>
      </c>
      <c r="BO16">
        <v>5.92</v>
      </c>
      <c r="BP16">
        <v>10.42</v>
      </c>
      <c r="BQ16">
        <v>1.08</v>
      </c>
      <c r="BR16">
        <v>7.61</v>
      </c>
      <c r="BS16">
        <v>15.42</v>
      </c>
      <c r="BT16" t="s">
        <v>434</v>
      </c>
      <c r="BU16" t="s">
        <v>113</v>
      </c>
      <c r="BV16">
        <v>43.42</v>
      </c>
      <c r="BW16">
        <v>47.17</v>
      </c>
      <c r="BX16">
        <v>55.74</v>
      </c>
      <c r="BY16">
        <v>2.2200000000000002</v>
      </c>
      <c r="BZ16">
        <v>9.4700000000000006</v>
      </c>
      <c r="CA16">
        <v>12.62</v>
      </c>
      <c r="CB16">
        <v>2.88</v>
      </c>
      <c r="CC16">
        <v>-12.07</v>
      </c>
      <c r="CD16" t="s">
        <v>940</v>
      </c>
      <c r="CE16" t="s">
        <v>941</v>
      </c>
      <c r="CF16" s="11">
        <v>-0.355381004292258</v>
      </c>
      <c r="CG16" s="12">
        <v>-2.660564025472882</v>
      </c>
      <c r="CH16" s="11">
        <v>-0.17866005003452301</v>
      </c>
      <c r="CI16" s="11">
        <v>-0.28798586130142212</v>
      </c>
      <c r="CJ16" s="11">
        <v>0.16460905969142914</v>
      </c>
      <c r="CK16" s="11">
        <v>3.8461539894342422E-2</v>
      </c>
      <c r="CL16" s="11">
        <v>-0.15675675868988037</v>
      </c>
      <c r="CM16" s="12">
        <v>-0.78779357671737671</v>
      </c>
      <c r="CN16" s="12">
        <v>-0.45985639095306396</v>
      </c>
      <c r="CO16" s="12">
        <v>1.0440514087677002</v>
      </c>
      <c r="CP16" s="12">
        <v>1.0654397010803223</v>
      </c>
      <c r="CQ16" s="12">
        <v>-10.67341423034668</v>
      </c>
      <c r="CR16">
        <v>-43.277647560196037</v>
      </c>
      <c r="CS16">
        <v>-5.148030640974862</v>
      </c>
      <c r="CT16">
        <v>0</v>
      </c>
      <c r="CU16" s="11">
        <v>-8.4066414088010785E-2</v>
      </c>
      <c r="CV16" s="12">
        <v>-1.9623146176338195</v>
      </c>
      <c r="CW16">
        <v>0.06</v>
      </c>
      <c r="CX16" t="e">
        <v>#VALUE!</v>
      </c>
      <c r="CY16" t="s">
        <v>96</v>
      </c>
      <c r="CZ16">
        <v>-8.4066414088010785E-2</v>
      </c>
      <c r="DA16">
        <v>90.981956215920846</v>
      </c>
      <c r="DB16" t="s">
        <v>942</v>
      </c>
      <c r="DC16">
        <v>-7.9863093383610237E-2</v>
      </c>
      <c r="DD16">
        <v>45.490978107960423</v>
      </c>
      <c r="DE16" t="s">
        <v>943</v>
      </c>
      <c r="DF16">
        <v>-7.3978444397449494E-2</v>
      </c>
      <c r="DG16">
        <v>27.294586864776253</v>
      </c>
      <c r="DH16" t="s">
        <v>944</v>
      </c>
      <c r="DI16">
        <v>-6.7253131270408634E-2</v>
      </c>
      <c r="DJ16">
        <v>13.647293432388127</v>
      </c>
      <c r="DK16" t="s">
        <v>945</v>
      </c>
      <c r="DL16">
        <v>-5.8846489861607544E-2</v>
      </c>
      <c r="DM16">
        <v>8601300</v>
      </c>
      <c r="DN16">
        <v>-8.4066414088010785E-2</v>
      </c>
      <c r="DO16">
        <v>2347689300</v>
      </c>
      <c r="DP16">
        <v>66135410</v>
      </c>
      <c r="DQ16">
        <v>1782</v>
      </c>
      <c r="DR16">
        <v>-0.2713145902042472</v>
      </c>
      <c r="DS16">
        <v>-0.69824940783906242</v>
      </c>
      <c r="DT16" s="13">
        <v>-0.72333333333333327</v>
      </c>
      <c r="DU16">
        <v>-1.4983333333333333</v>
      </c>
      <c r="DV16">
        <v>-2.2216666666666667</v>
      </c>
      <c r="DW16">
        <v>6.1926421404682275</v>
      </c>
      <c r="DX16">
        <v>0.57992561576354684</v>
      </c>
      <c r="DY16">
        <v>6.025029148722342</v>
      </c>
      <c r="DZ16">
        <v>4542</v>
      </c>
      <c r="EA16">
        <v>6.0027821049851839</v>
      </c>
      <c r="EB16">
        <v>6</v>
      </c>
      <c r="EC16">
        <v>7.6313005684986029E-2</v>
      </c>
      <c r="ED16">
        <v>0.58735919961979621</v>
      </c>
      <c r="EE16" s="14">
        <v>-2.0499000000000001</v>
      </c>
      <c r="EF16">
        <v>-2.0499000000000001</v>
      </c>
      <c r="EG16">
        <v>45.129925615763547</v>
      </c>
      <c r="EH16" t="s">
        <v>672</v>
      </c>
      <c r="EI16">
        <v>0</v>
      </c>
      <c r="EJ16">
        <v>0</v>
      </c>
      <c r="EK16" s="10">
        <v>45470</v>
      </c>
      <c r="EL16" s="15">
        <v>-1.1299999999999999</v>
      </c>
      <c r="EM16" s="15">
        <v>-4.29</v>
      </c>
      <c r="EN16" s="15">
        <v>0.3</v>
      </c>
      <c r="EO16" s="15">
        <v>4.76</v>
      </c>
      <c r="EP16" s="15">
        <v>0</v>
      </c>
    </row>
    <row r="17" spans="1:146" ht="144" x14ac:dyDescent="0.25">
      <c r="A17" s="7"/>
      <c r="B17" s="7"/>
      <c r="C17" s="7" t="str">
        <f>"公司的主营业务为移动游戏产品的开发、发行和运营。主要产品是移动终端游戏。"&amp;CHAR(10)&amp;Basic_Fundamental_Information_Constructure(F17)&amp;CHAR(10)&amp;Basic_Fundamental_Information_Concatenate("移动终端游戏 4.26亿 93.00% 91.96% 78.47%
互联网页面游戏 3024.14万 6.60% 7.93% 95.34%
其他业务 183.63万 0.40% 0.12% 23.71%")</f>
        <v>公司的主营业务为移动游戏产品的开发、发行和运营。主要产品是移动终端游戏。
市值113.049083亿, 利润1.87亿; PE69.12; 平均PE-19.77; 平均PEG-1.6, PB2.35; ROIC1.765%; ROE-6.56%; 股利率0%; 毛利77.4633%; 净利-19.1867%; 上一年度营收增-19.04%, 利润增94.44%; 当季营收增4.07%, 利润增-29.54%; 过往5年营收增-12.33%, 利润增-38.39%
Income profile:
移动终端游戏 4.26亿 93.00% 91.96% 78.47%
互联网页面游戏 3024.14万 6.60% 7.93% 95.34%
其他业务 183.63万 0.40% 0.12% 23.71%</v>
      </c>
      <c r="D17" t="s">
        <v>311</v>
      </c>
      <c r="E17" t="s">
        <v>312</v>
      </c>
      <c r="F17">
        <v>4.12</v>
      </c>
      <c r="G17">
        <v>0.98</v>
      </c>
      <c r="H17" t="s">
        <v>946</v>
      </c>
      <c r="I17">
        <v>11304908300</v>
      </c>
      <c r="J17">
        <v>69.12</v>
      </c>
      <c r="K17">
        <v>2.35</v>
      </c>
      <c r="L17" t="s">
        <v>113</v>
      </c>
      <c r="M17" t="s">
        <v>323</v>
      </c>
      <c r="N17" t="s">
        <v>947</v>
      </c>
      <c r="O17" t="s">
        <v>662</v>
      </c>
      <c r="P17">
        <v>4</v>
      </c>
      <c r="Q17" t="s">
        <v>655</v>
      </c>
      <c r="R17">
        <v>55769709</v>
      </c>
      <c r="S17" s="5">
        <v>-0.2954</v>
      </c>
      <c r="T17" t="s">
        <v>130</v>
      </c>
      <c r="U17">
        <v>2594237000</v>
      </c>
      <c r="V17">
        <v>2743909800</v>
      </c>
      <c r="W17">
        <v>1.1100000000000001</v>
      </c>
      <c r="X17">
        <v>0.05</v>
      </c>
      <c r="Y17">
        <v>21.81</v>
      </c>
      <c r="Z17" t="s">
        <v>299</v>
      </c>
      <c r="AA17" t="s">
        <v>948</v>
      </c>
      <c r="AB17" t="s">
        <v>949</v>
      </c>
      <c r="AC17" t="s">
        <v>950</v>
      </c>
      <c r="AD17" t="s">
        <v>5</v>
      </c>
      <c r="AE17">
        <v>-30911409</v>
      </c>
      <c r="AF17" t="s">
        <v>951</v>
      </c>
      <c r="AG17">
        <v>7.09</v>
      </c>
      <c r="AH17" t="s">
        <v>952</v>
      </c>
      <c r="AI17" t="s">
        <v>953</v>
      </c>
      <c r="AJ17" t="s">
        <v>954</v>
      </c>
      <c r="AK17" t="s">
        <v>5</v>
      </c>
      <c r="AL17" t="s">
        <v>955</v>
      </c>
      <c r="AM17" t="s">
        <v>5</v>
      </c>
      <c r="AN17">
        <v>0</v>
      </c>
      <c r="AO17" t="s">
        <v>5</v>
      </c>
      <c r="AP17" t="s">
        <v>5</v>
      </c>
      <c r="AQ17" t="s">
        <v>109</v>
      </c>
      <c r="AR17" t="s">
        <v>956</v>
      </c>
      <c r="AS17" t="s">
        <v>234</v>
      </c>
      <c r="AT17" t="s">
        <v>5</v>
      </c>
      <c r="AU17" t="s">
        <v>957</v>
      </c>
      <c r="AV17" t="s">
        <v>958</v>
      </c>
      <c r="AW17" t="s">
        <v>959</v>
      </c>
      <c r="AX17" t="s">
        <v>433</v>
      </c>
      <c r="AY17" t="s">
        <v>313</v>
      </c>
      <c r="AZ17" t="s">
        <v>315</v>
      </c>
      <c r="BA17" t="s">
        <v>316</v>
      </c>
      <c r="BB17" t="s">
        <v>317</v>
      </c>
      <c r="BC17" t="s">
        <v>960</v>
      </c>
      <c r="BD17" t="s">
        <v>314</v>
      </c>
      <c r="BE17" t="s">
        <v>145</v>
      </c>
      <c r="BF17" t="s">
        <v>318</v>
      </c>
      <c r="BG17" t="s">
        <v>319</v>
      </c>
      <c r="BH17" t="s">
        <v>655</v>
      </c>
      <c r="BI17" t="s">
        <v>21</v>
      </c>
      <c r="BJ17" t="s">
        <v>433</v>
      </c>
      <c r="BK17" t="s">
        <v>130</v>
      </c>
      <c r="BL17" t="s">
        <v>961</v>
      </c>
      <c r="BM17" t="s">
        <v>960</v>
      </c>
      <c r="BN17">
        <v>2.02</v>
      </c>
      <c r="BO17">
        <v>1.51</v>
      </c>
      <c r="BP17" t="s">
        <v>5</v>
      </c>
      <c r="BQ17">
        <v>3.72</v>
      </c>
      <c r="BR17">
        <v>2.2000000000000002</v>
      </c>
      <c r="BS17">
        <v>-25.6</v>
      </c>
      <c r="BT17" t="s">
        <v>434</v>
      </c>
      <c r="BU17" t="s">
        <v>113</v>
      </c>
      <c r="BV17">
        <v>78.42</v>
      </c>
      <c r="BW17">
        <v>78.900000000000006</v>
      </c>
      <c r="BX17">
        <v>75.069999999999993</v>
      </c>
      <c r="BY17">
        <v>19.04</v>
      </c>
      <c r="BZ17">
        <v>7.93</v>
      </c>
      <c r="CA17">
        <v>-84.53</v>
      </c>
      <c r="CB17">
        <v>-1.2</v>
      </c>
      <c r="CC17">
        <v>-12.9</v>
      </c>
      <c r="CD17" t="s">
        <v>149</v>
      </c>
      <c r="CE17" t="s">
        <v>962</v>
      </c>
      <c r="CF17" s="11">
        <v>4.065040650406504E-2</v>
      </c>
      <c r="CG17" s="12">
        <v>-0.29535389793760114</v>
      </c>
      <c r="CH17" s="11">
        <v>-0.19043688476085663</v>
      </c>
      <c r="CI17" s="11">
        <v>-0.17595112323760986</v>
      </c>
      <c r="CJ17" s="11">
        <v>-0.17719393968582153</v>
      </c>
      <c r="CK17" s="11">
        <v>0.1063697338104248</v>
      </c>
      <c r="CL17" s="11">
        <v>-0.17918778955936432</v>
      </c>
      <c r="CM17" s="12">
        <v>0.94444096088409424</v>
      </c>
      <c r="CN17" s="12">
        <v>1.0772463083267212</v>
      </c>
      <c r="CO17" s="12">
        <v>-4.9274444580078125</v>
      </c>
      <c r="CP17" s="12">
        <v>-0.12912088632583618</v>
      </c>
      <c r="CQ17" s="12">
        <v>1.1155555248260498</v>
      </c>
      <c r="CR17">
        <v>-19.770574885062743</v>
      </c>
      <c r="CS17">
        <v>-1.6037130738923187</v>
      </c>
      <c r="CT17">
        <v>0</v>
      </c>
      <c r="CU17" s="11">
        <v>-0.12328000068664551</v>
      </c>
      <c r="CV17" s="12">
        <v>-0.38386451005935668</v>
      </c>
      <c r="CW17">
        <v>0.06</v>
      </c>
      <c r="CX17">
        <v>37.245498930481283</v>
      </c>
      <c r="CY17" t="s">
        <v>963</v>
      </c>
      <c r="CZ17">
        <v>-0.12328000068664551</v>
      </c>
      <c r="DA17">
        <v>12.415166310160428</v>
      </c>
      <c r="DB17" t="s">
        <v>964</v>
      </c>
      <c r="DC17">
        <v>-0.11711600065231323</v>
      </c>
      <c r="DD17">
        <v>6.2075831550802141</v>
      </c>
      <c r="DE17" t="s">
        <v>965</v>
      </c>
      <c r="DF17">
        <v>-0.10848640060424805</v>
      </c>
      <c r="DG17">
        <v>3.7245498930481284</v>
      </c>
      <c r="DH17" t="s">
        <v>966</v>
      </c>
      <c r="DI17">
        <v>-9.8624000549316415E-2</v>
      </c>
      <c r="DJ17">
        <v>1.8622749465240642</v>
      </c>
      <c r="DK17" t="s">
        <v>967</v>
      </c>
      <c r="DL17">
        <v>-8.6296000480651849E-2</v>
      </c>
      <c r="DM17">
        <v>187000000</v>
      </c>
      <c r="DN17">
        <v>-0.12328000068664551</v>
      </c>
      <c r="DO17">
        <v>6964908300</v>
      </c>
      <c r="DP17">
        <v>2426722800</v>
      </c>
      <c r="DQ17">
        <v>1796</v>
      </c>
      <c r="DR17">
        <v>0.16393040719071056</v>
      </c>
      <c r="DS17">
        <v>8.8510612121755539E-2</v>
      </c>
      <c r="DT17" s="13">
        <v>-0.98999999999999988</v>
      </c>
      <c r="DU17">
        <v>-7.0000000000000062E-2</v>
      </c>
      <c r="DV17">
        <v>-1.06</v>
      </c>
      <c r="DW17">
        <v>-2.129</v>
      </c>
      <c r="DX17">
        <v>0.35691458851977487</v>
      </c>
      <c r="DY17">
        <v>-2.0137919819190508</v>
      </c>
      <c r="DZ17">
        <v>3620</v>
      </c>
      <c r="EA17">
        <v>-2.0040215368022283</v>
      </c>
      <c r="EB17">
        <v>2</v>
      </c>
      <c r="EC17">
        <v>6.7057597884595185E-2</v>
      </c>
      <c r="ED17">
        <v>0.62720720630102345</v>
      </c>
      <c r="EE17" s="14">
        <v>6.0948099999999998</v>
      </c>
      <c r="EF17">
        <v>6.1136099999999995</v>
      </c>
      <c r="EG17">
        <v>25.106914588519775</v>
      </c>
      <c r="EH17" t="s">
        <v>968</v>
      </c>
      <c r="EI17">
        <v>0</v>
      </c>
      <c r="EJ17">
        <v>0</v>
      </c>
      <c r="EK17" s="10">
        <v>45470</v>
      </c>
      <c r="EL17" s="15">
        <v>-1.61</v>
      </c>
      <c r="EM17" s="15">
        <v>-4.67</v>
      </c>
      <c r="EN17" s="15">
        <v>-0.74</v>
      </c>
      <c r="EO17" s="15">
        <v>5.19</v>
      </c>
      <c r="EP17" s="15">
        <v>-1.88</v>
      </c>
    </row>
    <row r="18" spans="1:146" ht="216" x14ac:dyDescent="0.25">
      <c r="A18" s="7"/>
      <c r="B18" s="7"/>
      <c r="C18" s="7" t="str">
        <f>"公司的主营业务为综合性互联网增值服务,主要产品有互联网上运营有作为一家全球化的互联网公司,旗下包括平台昆仑在线、快乐游、软件门户Brothersoft.com、手机门户1mobile.com等。"&amp;CHAR(10)&amp;Basic_Fundamental_Information_Constructure(F18)&amp;CHAR(10)&amp;Basic_Fundamental_Information_Concatenate("广告业务 7.24亿 29.85% 21.87% 56.54%
搜索业务 5.31亿 21.90% 27.01% 95.17%
增值服务业务-社交网络-海外 5.06亿 20.86% 23.52% 87.00%
增值服务业务-游戏 2.95亿 12.18% 13.53% 85.74%
增值服务业务-社交网络-国内 2.48亿 10.23% 12.97% 97.87%")</f>
        <v>公司的主营业务为综合性互联网增值服务,主要产品有互联网上运营有作为一家全球化的互联网公司,旗下包括平台昆仑在线、快乐游、软件门户Brothersoft.com、手机门户1mobile.com等。
市值377.57638亿, 利润12.58亿; PE43.96; 平均PE20.05; 平均PEG2.88, PB2.48; ROIC7.1833%; ROE9.5433%; 股利率.1609%; 毛利76.47%; 净利29.26%; 上一年度营收增3.78%, 利润增9.11%; 当季营收增-.74%, 利润增-188.4%; 过往5年营收增6.97%, 利润增46.48%
Income profile:
广告业务 7.24亿 29.85% 21.87% 56.54%
搜索业务 5.31亿 21.90% 27.01% 95.17%
增值服务业务-社交网络-海外 5.06亿 20.86% 23.52% 87.00%
增值服务业务-游戏 2.95亿 12.18% 13.53% 85.74%
增值服务业务-社交网络-国内 2.48亿 10.23% 12.97% 97.87%</v>
      </c>
      <c r="D18" t="s">
        <v>410</v>
      </c>
      <c r="E18" t="s">
        <v>411</v>
      </c>
      <c r="F18">
        <v>30.66</v>
      </c>
      <c r="G18">
        <v>-0.23</v>
      </c>
      <c r="H18" t="s">
        <v>969</v>
      </c>
      <c r="I18">
        <v>37757638000</v>
      </c>
      <c r="J18">
        <v>43.96</v>
      </c>
      <c r="K18">
        <v>2.48</v>
      </c>
      <c r="L18" t="s">
        <v>113</v>
      </c>
      <c r="M18" t="s">
        <v>970</v>
      </c>
      <c r="N18" t="s">
        <v>971</v>
      </c>
      <c r="O18" t="s">
        <v>972</v>
      </c>
      <c r="P18">
        <v>-0.79</v>
      </c>
      <c r="Q18" t="s">
        <v>973</v>
      </c>
      <c r="R18">
        <v>-187413700</v>
      </c>
      <c r="S18" s="5">
        <v>-1.8839999999999999</v>
      </c>
      <c r="T18" t="s">
        <v>974</v>
      </c>
      <c r="U18">
        <v>1231495050</v>
      </c>
      <c r="V18">
        <v>1231495050</v>
      </c>
      <c r="W18">
        <v>1.21</v>
      </c>
      <c r="X18">
        <v>0.06</v>
      </c>
      <c r="Y18">
        <v>-17.010000000000002</v>
      </c>
      <c r="Z18" t="s">
        <v>392</v>
      </c>
      <c r="AA18" t="s">
        <v>114</v>
      </c>
      <c r="AB18" t="s">
        <v>596</v>
      </c>
      <c r="AC18" t="s">
        <v>576</v>
      </c>
      <c r="AD18" t="s">
        <v>5</v>
      </c>
      <c r="AE18">
        <v>16110013</v>
      </c>
      <c r="AF18" t="s">
        <v>975</v>
      </c>
      <c r="AG18" t="s">
        <v>976</v>
      </c>
      <c r="AH18" t="s">
        <v>977</v>
      </c>
      <c r="AI18" t="s">
        <v>978</v>
      </c>
      <c r="AJ18" t="s">
        <v>979</v>
      </c>
      <c r="AK18" t="s">
        <v>5</v>
      </c>
      <c r="AL18" t="s">
        <v>980</v>
      </c>
      <c r="AM18" t="s">
        <v>5</v>
      </c>
      <c r="AN18">
        <v>0</v>
      </c>
      <c r="AO18" t="s">
        <v>597</v>
      </c>
      <c r="AP18" t="s">
        <v>5</v>
      </c>
      <c r="AQ18" t="s">
        <v>981</v>
      </c>
      <c r="AR18" t="s">
        <v>982</v>
      </c>
      <c r="AS18" t="s">
        <v>983</v>
      </c>
      <c r="AT18" t="s">
        <v>5</v>
      </c>
      <c r="AU18" t="s">
        <v>152</v>
      </c>
      <c r="AV18" t="s">
        <v>984</v>
      </c>
      <c r="AW18" t="s">
        <v>985</v>
      </c>
      <c r="AX18" t="s">
        <v>469</v>
      </c>
      <c r="AY18" t="s">
        <v>412</v>
      </c>
      <c r="AZ18" t="s">
        <v>471</v>
      </c>
      <c r="BA18" t="s">
        <v>414</v>
      </c>
      <c r="BB18" t="s">
        <v>415</v>
      </c>
      <c r="BC18" t="s">
        <v>470</v>
      </c>
      <c r="BD18" t="s">
        <v>118</v>
      </c>
      <c r="BE18" t="s">
        <v>416</v>
      </c>
      <c r="BF18" t="s">
        <v>370</v>
      </c>
      <c r="BG18" t="s">
        <v>417</v>
      </c>
      <c r="BH18" t="s">
        <v>973</v>
      </c>
      <c r="BI18" t="s">
        <v>600</v>
      </c>
      <c r="BJ18" t="s">
        <v>469</v>
      </c>
      <c r="BK18" t="s">
        <v>974</v>
      </c>
      <c r="BL18" t="s">
        <v>24</v>
      </c>
      <c r="BM18" t="s">
        <v>470</v>
      </c>
      <c r="BN18">
        <v>2.82</v>
      </c>
      <c r="BO18">
        <v>8.3699999999999992</v>
      </c>
      <c r="BP18">
        <v>10.36</v>
      </c>
      <c r="BQ18">
        <v>2.4700000000000002</v>
      </c>
      <c r="BR18">
        <v>10.039999999999999</v>
      </c>
      <c r="BS18">
        <v>16.12</v>
      </c>
      <c r="BT18" t="s">
        <v>986</v>
      </c>
      <c r="BU18" t="s">
        <v>113</v>
      </c>
      <c r="BV18">
        <v>78.84</v>
      </c>
      <c r="BW18">
        <v>78.849999999999994</v>
      </c>
      <c r="BX18">
        <v>71.72</v>
      </c>
      <c r="BY18">
        <v>31.19</v>
      </c>
      <c r="BZ18">
        <v>26.05</v>
      </c>
      <c r="CA18">
        <v>30.54</v>
      </c>
      <c r="CB18">
        <v>-4.9000000000000004</v>
      </c>
      <c r="CC18">
        <v>-13.81</v>
      </c>
      <c r="CD18" t="s">
        <v>76</v>
      </c>
      <c r="CE18" t="s">
        <v>987</v>
      </c>
      <c r="CF18" s="11">
        <v>-7.3952341824157766E-3</v>
      </c>
      <c r="CG18" s="12">
        <v>-1.8840268867924528</v>
      </c>
      <c r="CH18" s="11">
        <v>3.7795566022396088E-2</v>
      </c>
      <c r="CI18" s="11">
        <v>-2.3505128920078278E-2</v>
      </c>
      <c r="CJ18" s="11">
        <v>4.7516141086816788E-2</v>
      </c>
      <c r="CK18" s="11">
        <v>0.25542303919792175</v>
      </c>
      <c r="CL18" s="11">
        <v>3.1031608581542969E-2</v>
      </c>
      <c r="CM18" s="12">
        <v>9.1066844761371613E-2</v>
      </c>
      <c r="CN18" s="12">
        <v>-0.25468656420707703</v>
      </c>
      <c r="CO18" s="12">
        <v>-0.69317728281021118</v>
      </c>
      <c r="CP18" s="12">
        <v>2.8934359550476074</v>
      </c>
      <c r="CQ18" s="12">
        <v>0.28727641701698303</v>
      </c>
      <c r="CR18">
        <v>20.046529333687285</v>
      </c>
      <c r="CS18">
        <v>2.8780880326158909</v>
      </c>
      <c r="CT18">
        <v>0.16089530332681018</v>
      </c>
      <c r="CU18" s="11">
        <v>6.9652245193719861E-2</v>
      </c>
      <c r="CV18" s="12">
        <v>0.46478307396173479</v>
      </c>
      <c r="CW18">
        <v>0.06</v>
      </c>
      <c r="CX18">
        <v>18.623451840756012</v>
      </c>
      <c r="CY18">
        <v>1269455211.7487731</v>
      </c>
      <c r="CZ18">
        <v>6.9652245193719861E-2</v>
      </c>
      <c r="DA18">
        <v>6.1919851310706031</v>
      </c>
      <c r="DB18">
        <v>3818103160.7083859</v>
      </c>
      <c r="DC18">
        <v>6.616963293403387E-2</v>
      </c>
      <c r="DD18">
        <v>3.1188200014896768</v>
      </c>
      <c r="DE18">
        <v>7580314987.3053846</v>
      </c>
      <c r="DF18">
        <v>6.1293975770473477E-2</v>
      </c>
      <c r="DG18">
        <v>1.9214438470195763</v>
      </c>
      <c r="DH18">
        <v>12304100396.517668</v>
      </c>
      <c r="DI18">
        <v>5.572179615497589E-2</v>
      </c>
      <c r="DJ18">
        <v>1.0489951841032406</v>
      </c>
      <c r="DK18">
        <v>22537413286.802299</v>
      </c>
      <c r="DL18">
        <v>4.8756571635603901E-2</v>
      </c>
      <c r="DM18">
        <v>1258000000</v>
      </c>
      <c r="DN18">
        <v>6.9652245193719861E-2</v>
      </c>
      <c r="DO18">
        <v>23641638000</v>
      </c>
      <c r="DP18">
        <v>500107800</v>
      </c>
      <c r="DQ18">
        <v>1890</v>
      </c>
      <c r="DR18">
        <v>-7.7047479376135639E-2</v>
      </c>
      <c r="DS18">
        <v>-2.3488099607541875</v>
      </c>
      <c r="DT18" s="13">
        <v>-0.32333333333333336</v>
      </c>
      <c r="DU18">
        <v>-0.80666666666666675</v>
      </c>
      <c r="DV18">
        <v>-1.1300000000000001</v>
      </c>
      <c r="DW18">
        <v>-8.3548153511947856</v>
      </c>
      <c r="DX18">
        <v>0.36701754385964858</v>
      </c>
      <c r="DY18">
        <v>-8.0557122349683041</v>
      </c>
      <c r="DZ18">
        <v>3692</v>
      </c>
      <c r="EA18">
        <v>-8.0154598726389548</v>
      </c>
      <c r="EB18">
        <v>8</v>
      </c>
      <c r="EC18">
        <v>0.1453517819661557</v>
      </c>
      <c r="ED18">
        <v>0.92570408626490219</v>
      </c>
      <c r="EE18" s="14">
        <v>9.0323999999999991</v>
      </c>
      <c r="EF18">
        <v>9.0163100000000007</v>
      </c>
      <c r="EG18">
        <v>21.157017543859649</v>
      </c>
      <c r="EH18" t="s">
        <v>676</v>
      </c>
      <c r="EI18">
        <v>0</v>
      </c>
      <c r="EJ18">
        <v>0</v>
      </c>
      <c r="EK18" s="10">
        <v>45470</v>
      </c>
      <c r="EL18" s="15">
        <v>0.44</v>
      </c>
      <c r="EM18" s="15">
        <v>-4.26</v>
      </c>
      <c r="EN18" s="15">
        <v>-2.09</v>
      </c>
      <c r="EO18" s="15">
        <v>14.35</v>
      </c>
      <c r="EP18" s="15">
        <v>-4.87</v>
      </c>
    </row>
    <row r="19" spans="1:146" ht="108" x14ac:dyDescent="0.25">
      <c r="A19" s="7"/>
      <c r="B19" s="7"/>
      <c r="C19" s="7" t="str">
        <f>""&amp;CHAR(10)&amp;Basic_Fundamental_Information_Constructure(F19)&amp;CHAR(10)&amp;Basic_Fundamental_Information_Concatenate("")</f>
        <v xml:space="preserve">
市值119.889153亿, 利润-8.65亿; PE; 平均PE-76.12; 平均PEG-6.34, PB3.92; ROIC9.33%; ROE13.0867%; 股利率0%; 毛利92.76%; 净利-.3167%; 上一年度营收增-17.45%, 利润增-296.59%; 当季营收增-12.9%, 利润增-39.1%; 过往5年营收增-12%, 利润增-129.8%
Income profile:
</v>
      </c>
      <c r="D19" t="s">
        <v>325</v>
      </c>
      <c r="E19" t="s">
        <v>326</v>
      </c>
      <c r="F19">
        <v>3.41</v>
      </c>
      <c r="G19">
        <v>1.49</v>
      </c>
      <c r="H19" t="s">
        <v>988</v>
      </c>
      <c r="I19">
        <v>11988915300</v>
      </c>
      <c r="K19">
        <v>3.92</v>
      </c>
      <c r="L19" t="s">
        <v>113</v>
      </c>
      <c r="M19" t="s">
        <v>322</v>
      </c>
      <c r="N19" t="s">
        <v>989</v>
      </c>
      <c r="O19" t="s">
        <v>671</v>
      </c>
      <c r="P19">
        <v>-12.94</v>
      </c>
      <c r="Q19" t="s">
        <v>990</v>
      </c>
      <c r="R19">
        <v>62118907</v>
      </c>
      <c r="S19" s="5">
        <v>-0.39219999999999999</v>
      </c>
      <c r="T19" t="s">
        <v>991</v>
      </c>
      <c r="U19">
        <v>3061268600</v>
      </c>
      <c r="V19">
        <v>3515810900</v>
      </c>
      <c r="W19">
        <v>1.65</v>
      </c>
      <c r="X19">
        <v>0.06</v>
      </c>
      <c r="Y19">
        <v>20.85</v>
      </c>
      <c r="Z19" t="s">
        <v>269</v>
      </c>
      <c r="AA19" t="s">
        <v>992</v>
      </c>
      <c r="AB19" t="s">
        <v>993</v>
      </c>
      <c r="AC19" t="s">
        <v>994</v>
      </c>
      <c r="AD19" t="s">
        <v>5</v>
      </c>
      <c r="AE19">
        <v>24665887</v>
      </c>
      <c r="AF19" t="s">
        <v>995</v>
      </c>
      <c r="AG19" t="s">
        <v>996</v>
      </c>
      <c r="AH19" t="s">
        <v>997</v>
      </c>
      <c r="AI19" t="s">
        <v>32</v>
      </c>
      <c r="AJ19" t="s">
        <v>998</v>
      </c>
      <c r="AK19" t="s">
        <v>999</v>
      </c>
      <c r="AL19" t="s">
        <v>1000</v>
      </c>
      <c r="AM19" t="s">
        <v>5</v>
      </c>
      <c r="AN19" t="s">
        <v>99</v>
      </c>
      <c r="AO19" t="s">
        <v>778</v>
      </c>
      <c r="AP19" t="s">
        <v>5</v>
      </c>
      <c r="AQ19" t="s">
        <v>1001</v>
      </c>
      <c r="AR19" t="s">
        <v>1002</v>
      </c>
      <c r="AS19" t="s">
        <v>1003</v>
      </c>
      <c r="AT19" t="s">
        <v>881</v>
      </c>
      <c r="AU19" t="s">
        <v>1004</v>
      </c>
      <c r="AV19" t="s">
        <v>73</v>
      </c>
      <c r="AW19" t="s">
        <v>787</v>
      </c>
      <c r="AX19" t="s">
        <v>472</v>
      </c>
      <c r="AY19" t="s">
        <v>327</v>
      </c>
      <c r="AZ19" t="s">
        <v>329</v>
      </c>
      <c r="BA19" t="s">
        <v>330</v>
      </c>
      <c r="BB19" t="s">
        <v>331</v>
      </c>
      <c r="BC19" t="s">
        <v>446</v>
      </c>
      <c r="BD19" t="s">
        <v>328</v>
      </c>
      <c r="BE19" t="s">
        <v>332</v>
      </c>
      <c r="BF19" t="s">
        <v>333</v>
      </c>
      <c r="BG19" t="s">
        <v>334</v>
      </c>
      <c r="BH19" t="s">
        <v>990</v>
      </c>
      <c r="BI19" t="s">
        <v>183</v>
      </c>
      <c r="BJ19" t="s">
        <v>472</v>
      </c>
      <c r="BK19" t="s">
        <v>991</v>
      </c>
      <c r="BL19" t="s">
        <v>68</v>
      </c>
      <c r="BM19" t="s">
        <v>446</v>
      </c>
      <c r="BN19">
        <v>4.63</v>
      </c>
      <c r="BO19">
        <v>9.25</v>
      </c>
      <c r="BP19">
        <v>14.11</v>
      </c>
      <c r="BQ19">
        <v>5.04</v>
      </c>
      <c r="BR19">
        <v>11.82</v>
      </c>
      <c r="BS19">
        <v>22.4</v>
      </c>
      <c r="BT19" t="s">
        <v>434</v>
      </c>
      <c r="BU19" t="s">
        <v>113</v>
      </c>
      <c r="BV19">
        <v>90.2</v>
      </c>
      <c r="BW19">
        <v>92.78</v>
      </c>
      <c r="BX19">
        <v>95.3</v>
      </c>
      <c r="BY19">
        <v>-64.290000000000006</v>
      </c>
      <c r="BZ19">
        <v>26.87</v>
      </c>
      <c r="CA19">
        <v>36.47</v>
      </c>
      <c r="CB19">
        <v>0.59</v>
      </c>
      <c r="CC19">
        <v>-19.190000000000001</v>
      </c>
      <c r="CD19" t="s">
        <v>657</v>
      </c>
      <c r="CE19" t="s">
        <v>1005</v>
      </c>
      <c r="CF19" s="11">
        <v>-0.12903225806451613</v>
      </c>
      <c r="CG19" s="12">
        <v>-0.39099110784313723</v>
      </c>
      <c r="CH19" s="11">
        <v>-0.17452538013458252</v>
      </c>
      <c r="CI19" s="11">
        <v>-0.15868109464645386</v>
      </c>
      <c r="CJ19" s="11">
        <v>7.4155986309051514E-2</v>
      </c>
      <c r="CK19" s="11">
        <v>-1.3107522390782833E-2</v>
      </c>
      <c r="CL19" s="11">
        <v>-0.3280734121799469</v>
      </c>
      <c r="CM19" s="12">
        <v>-2.9659090042114258</v>
      </c>
      <c r="CN19" s="12">
        <v>-0.3785310685634613</v>
      </c>
      <c r="CO19" s="12">
        <v>-5.9760957956314087E-2</v>
      </c>
      <c r="CP19" s="12">
        <v>1.2667374610900879</v>
      </c>
      <c r="CQ19" s="12">
        <v>-4.3527317047119141</v>
      </c>
      <c r="CR19">
        <v>-76.120097142857148</v>
      </c>
      <c r="CS19">
        <v>-6.3408957129390551</v>
      </c>
      <c r="CT19">
        <v>0</v>
      </c>
      <c r="CU19" s="11">
        <v>-0.12004628460854291</v>
      </c>
      <c r="CV19" s="12">
        <v>-1.2980390548706056</v>
      </c>
      <c r="CW19">
        <v>0.06</v>
      </c>
      <c r="CX19" t="e">
        <v>#VALUE!</v>
      </c>
      <c r="CY19" t="s">
        <v>81</v>
      </c>
      <c r="CZ19">
        <v>-0.12004628460854291</v>
      </c>
      <c r="DA19" t="e">
        <v>#VALUE!</v>
      </c>
      <c r="DB19" t="s">
        <v>81</v>
      </c>
      <c r="DC19">
        <v>-0.11404397037811577</v>
      </c>
      <c r="DD19" t="e">
        <v>#VALUE!</v>
      </c>
      <c r="DE19" t="s">
        <v>81</v>
      </c>
      <c r="DF19">
        <v>-0.10564073045551776</v>
      </c>
      <c r="DG19" t="e">
        <v>#VALUE!</v>
      </c>
      <c r="DH19" t="s">
        <v>81</v>
      </c>
      <c r="DI19">
        <v>-9.6037027686834336E-2</v>
      </c>
      <c r="DJ19" t="e">
        <v>#VALUE!</v>
      </c>
      <c r="DK19" t="s">
        <v>81</v>
      </c>
      <c r="DL19">
        <v>-8.4032399225980034E-2</v>
      </c>
      <c r="DM19">
        <v>-865000000</v>
      </c>
      <c r="DN19">
        <v>-0.12004628460854291</v>
      </c>
      <c r="DO19">
        <v>10812915300</v>
      </c>
      <c r="DP19">
        <v>-700237690</v>
      </c>
      <c r="DQ19">
        <v>1930</v>
      </c>
      <c r="DR19">
        <v>-8.9859734559732118E-3</v>
      </c>
      <c r="DS19">
        <v>0.90704794702746838</v>
      </c>
      <c r="DT19" s="13">
        <v>-0.85666666666666658</v>
      </c>
      <c r="DU19">
        <v>-1.7233333333333334</v>
      </c>
      <c r="DV19">
        <v>-2.58</v>
      </c>
      <c r="DW19">
        <v>-3.0360773809523809</v>
      </c>
      <c r="DX19">
        <v>0.32658869828654868</v>
      </c>
      <c r="DY19">
        <v>-3.0042062148828261</v>
      </c>
      <c r="DZ19">
        <v>4722</v>
      </c>
      <c r="EA19">
        <v>-3.0003193760028446</v>
      </c>
      <c r="EB19">
        <v>3</v>
      </c>
      <c r="EC19">
        <v>9.2155127000715542E-2</v>
      </c>
      <c r="ED19">
        <v>0.79042931461416199</v>
      </c>
      <c r="EE19" s="14">
        <v>5.0397999999999996</v>
      </c>
      <c r="EF19">
        <v>5.0111999999999997</v>
      </c>
      <c r="EG19">
        <v>21.116588698286549</v>
      </c>
      <c r="EH19" t="s">
        <v>573</v>
      </c>
      <c r="EI19">
        <v>0</v>
      </c>
      <c r="EJ19">
        <v>0</v>
      </c>
      <c r="EK19" s="10">
        <v>45470</v>
      </c>
      <c r="EL19" s="15">
        <v>0.3</v>
      </c>
      <c r="EM19" s="15">
        <v>-4.42</v>
      </c>
      <c r="EN19" s="15">
        <v>0</v>
      </c>
      <c r="EO19" s="15">
        <v>8.02</v>
      </c>
      <c r="EP19" s="15">
        <v>-2.86</v>
      </c>
    </row>
    <row r="20" spans="1:146" ht="108" x14ac:dyDescent="0.25">
      <c r="A20" s="7"/>
      <c r="B20" s="7"/>
      <c r="C20" s="7" t="str">
        <f>""&amp;CHAR(10)&amp;Basic_Fundamental_Information_Constructure(F20)&amp;CHAR(10)&amp;Basic_Fundamental_Information_Concatenate("")</f>
        <v xml:space="preserve">
市值26.436957亿, 利润2938.78万; PE94.9; 平均PE-7.53; 平均PEG-.67, PB4.33; ROIC5.75%; ROE-8.3067%; 股利率0%; 毛利69.7433%; 净利3.1633%; 上一年度营收增4.21%, 利润增241.08%; 当季营收增-26.49%, 利润增-12.4%; 过往5年营收增-11.28%, 利润增-47.27%
Income profile:
</v>
      </c>
      <c r="D20" t="s">
        <v>335</v>
      </c>
      <c r="E20" t="s">
        <v>336</v>
      </c>
      <c r="F20">
        <v>13.01</v>
      </c>
      <c r="G20">
        <v>1.25</v>
      </c>
      <c r="H20" t="s">
        <v>1006</v>
      </c>
      <c r="I20">
        <v>2643695700</v>
      </c>
      <c r="J20">
        <v>94.9</v>
      </c>
      <c r="K20">
        <v>4.33</v>
      </c>
      <c r="L20" t="s">
        <v>113</v>
      </c>
      <c r="M20" t="s">
        <v>106</v>
      </c>
      <c r="N20" t="s">
        <v>477</v>
      </c>
      <c r="O20" t="s">
        <v>1007</v>
      </c>
      <c r="P20">
        <v>-26.25</v>
      </c>
      <c r="Q20" t="s">
        <v>393</v>
      </c>
      <c r="R20">
        <v>10814322</v>
      </c>
      <c r="S20" s="5">
        <v>-0.124</v>
      </c>
      <c r="T20" t="s">
        <v>1008</v>
      </c>
      <c r="U20">
        <v>164806010</v>
      </c>
      <c r="V20">
        <v>203204900</v>
      </c>
      <c r="W20">
        <v>1.29</v>
      </c>
      <c r="X20">
        <v>0.08</v>
      </c>
      <c r="Y20">
        <v>17.43</v>
      </c>
      <c r="Z20" t="s">
        <v>1009</v>
      </c>
      <c r="AA20" t="s">
        <v>1010</v>
      </c>
      <c r="AB20" t="s">
        <v>1011</v>
      </c>
      <c r="AC20" t="s">
        <v>1012</v>
      </c>
      <c r="AD20" t="s">
        <v>5</v>
      </c>
      <c r="AE20">
        <v>-3437706</v>
      </c>
      <c r="AF20" t="s">
        <v>1013</v>
      </c>
      <c r="AG20">
        <v>1.83</v>
      </c>
      <c r="AH20" t="s">
        <v>1014</v>
      </c>
      <c r="AI20" t="s">
        <v>598</v>
      </c>
      <c r="AJ20" t="s">
        <v>1015</v>
      </c>
      <c r="AK20" t="s">
        <v>5</v>
      </c>
      <c r="AL20" t="s">
        <v>1016</v>
      </c>
      <c r="AM20" t="s">
        <v>5</v>
      </c>
      <c r="AN20">
        <v>0</v>
      </c>
      <c r="AO20" t="s">
        <v>5</v>
      </c>
      <c r="AP20" t="s">
        <v>5</v>
      </c>
      <c r="AQ20" t="s">
        <v>1017</v>
      </c>
      <c r="AR20" t="s">
        <v>5</v>
      </c>
      <c r="AS20" t="s">
        <v>165</v>
      </c>
      <c r="AT20" t="s">
        <v>5</v>
      </c>
      <c r="AU20" t="s">
        <v>1018</v>
      </c>
      <c r="AV20" t="s">
        <v>1019</v>
      </c>
      <c r="AW20" t="s">
        <v>1020</v>
      </c>
      <c r="AX20" t="s">
        <v>382</v>
      </c>
      <c r="AY20" t="s">
        <v>337</v>
      </c>
      <c r="AZ20" t="s">
        <v>339</v>
      </c>
      <c r="BA20" t="s">
        <v>340</v>
      </c>
      <c r="BB20" t="s">
        <v>341</v>
      </c>
      <c r="BC20" t="s">
        <v>1021</v>
      </c>
      <c r="BD20" t="s">
        <v>338</v>
      </c>
      <c r="BE20" t="s">
        <v>342</v>
      </c>
      <c r="BF20" t="s">
        <v>343</v>
      </c>
      <c r="BG20" t="s">
        <v>344</v>
      </c>
      <c r="BH20" t="s">
        <v>393</v>
      </c>
      <c r="BI20" t="s">
        <v>152</v>
      </c>
      <c r="BJ20" t="s">
        <v>382</v>
      </c>
      <c r="BK20" t="s">
        <v>1008</v>
      </c>
      <c r="BL20" t="s">
        <v>1022</v>
      </c>
      <c r="BM20" t="s">
        <v>1021</v>
      </c>
      <c r="BN20">
        <v>8.6</v>
      </c>
      <c r="BO20">
        <v>2.9</v>
      </c>
      <c r="BP20" t="s">
        <v>5</v>
      </c>
      <c r="BQ20">
        <v>5.14</v>
      </c>
      <c r="BR20">
        <v>-3.65</v>
      </c>
      <c r="BS20">
        <v>-26.41</v>
      </c>
      <c r="BT20" t="s">
        <v>434</v>
      </c>
      <c r="BU20" t="s">
        <v>113</v>
      </c>
      <c r="BV20">
        <v>67</v>
      </c>
      <c r="BW20">
        <v>68.69</v>
      </c>
      <c r="BX20">
        <v>73.540000000000006</v>
      </c>
      <c r="BY20">
        <v>19.329999999999998</v>
      </c>
      <c r="BZ20">
        <v>7.26</v>
      </c>
      <c r="CA20">
        <v>-17.100000000000001</v>
      </c>
      <c r="CB20">
        <v>-5.04</v>
      </c>
      <c r="CC20">
        <v>-13.38</v>
      </c>
      <c r="CD20" t="s">
        <v>1023</v>
      </c>
      <c r="CE20" t="s">
        <v>87</v>
      </c>
      <c r="CF20" s="11">
        <v>-0.2649485981308411</v>
      </c>
      <c r="CG20" s="12">
        <v>-0.12402721639463772</v>
      </c>
      <c r="CH20" s="11">
        <v>4.2134832590818405E-2</v>
      </c>
      <c r="CI20" s="11">
        <v>-0.24735729396343231</v>
      </c>
      <c r="CJ20" s="11">
        <v>3.5010941326618195E-2</v>
      </c>
      <c r="CK20" s="11">
        <v>-5.5785123258829117E-2</v>
      </c>
      <c r="CL20" s="11">
        <v>-0.33789330720901489</v>
      </c>
      <c r="CM20" s="12">
        <v>2.4107859134674072</v>
      </c>
      <c r="CN20" s="12">
        <v>0.88028275966644287</v>
      </c>
      <c r="CO20" s="12">
        <v>-6.1815786361694336</v>
      </c>
      <c r="CP20" s="12">
        <v>1.0283141136169434</v>
      </c>
      <c r="CQ20" s="12">
        <v>-0.50126582384109497</v>
      </c>
      <c r="CR20">
        <v>-7.5252414234799465</v>
      </c>
      <c r="CS20">
        <v>-0.66726153007538413</v>
      </c>
      <c r="CT20">
        <v>0</v>
      </c>
      <c r="CU20" s="11">
        <v>-0.11277799010276794</v>
      </c>
      <c r="CV20" s="12">
        <v>-0.47269233465194704</v>
      </c>
      <c r="CW20">
        <v>0.06</v>
      </c>
      <c r="CX20">
        <v>73.217311265218896</v>
      </c>
      <c r="CY20" t="s">
        <v>1024</v>
      </c>
      <c r="CZ20">
        <v>-0.11277799010276794</v>
      </c>
      <c r="DA20">
        <v>24.405770421739632</v>
      </c>
      <c r="DB20" t="s">
        <v>1025</v>
      </c>
      <c r="DC20">
        <v>-0.10713909059762954</v>
      </c>
      <c r="DD20">
        <v>12.202885210869816</v>
      </c>
      <c r="DE20" t="s">
        <v>1026</v>
      </c>
      <c r="DF20">
        <v>-9.9244631290435786E-2</v>
      </c>
      <c r="DG20">
        <v>7.3217311265218896</v>
      </c>
      <c r="DH20" t="s">
        <v>1027</v>
      </c>
      <c r="DI20">
        <v>-9.0222392082214359E-2</v>
      </c>
      <c r="DJ20">
        <v>3.6608655632609448</v>
      </c>
      <c r="DK20" t="s">
        <v>1028</v>
      </c>
      <c r="DL20">
        <v>-7.894459307193756E-2</v>
      </c>
      <c r="DM20">
        <v>29387800.000000004</v>
      </c>
      <c r="DN20">
        <v>-0.11277799010276794</v>
      </c>
      <c r="DO20">
        <v>2151695700</v>
      </c>
      <c r="DP20">
        <v>670131880</v>
      </c>
      <c r="DQ20">
        <v>1938</v>
      </c>
      <c r="DR20">
        <v>-0.15217060802807314</v>
      </c>
      <c r="DS20">
        <v>0.34866511825730934</v>
      </c>
      <c r="DT20" s="13">
        <v>-0.69</v>
      </c>
      <c r="DU20">
        <v>-1.0033333333333336</v>
      </c>
      <c r="DV20">
        <v>-1.6933333333333336</v>
      </c>
      <c r="DW20">
        <v>-8.376681614349776</v>
      </c>
      <c r="DX20">
        <v>0.27797816901408512</v>
      </c>
      <c r="DY20">
        <v>-8.0482070233057534</v>
      </c>
      <c r="DZ20">
        <v>4175</v>
      </c>
      <c r="EA20">
        <v>-8.0088206588631863</v>
      </c>
      <c r="EB20">
        <v>8</v>
      </c>
      <c r="EC20">
        <v>8.9431406427699325E-2</v>
      </c>
      <c r="ED20">
        <v>0.6988020466041911</v>
      </c>
      <c r="EE20" s="14">
        <v>3.3099999999999997E-2</v>
      </c>
      <c r="EF20">
        <v>6.4000000000000001E-2</v>
      </c>
      <c r="EG20">
        <v>15.127978169014085</v>
      </c>
      <c r="EH20" t="s">
        <v>65</v>
      </c>
      <c r="EI20">
        <v>0</v>
      </c>
      <c r="EJ20">
        <v>0</v>
      </c>
      <c r="EK20" s="10">
        <v>45470</v>
      </c>
      <c r="EL20" s="15">
        <v>-2.16</v>
      </c>
      <c r="EM20" s="15">
        <v>-3.45</v>
      </c>
      <c r="EN20" s="15">
        <v>0.08</v>
      </c>
      <c r="EO20" s="15">
        <v>3.34</v>
      </c>
      <c r="EP20" s="15">
        <v>3.09</v>
      </c>
    </row>
    <row r="21" spans="1:146" ht="108" x14ac:dyDescent="0.25">
      <c r="A21" s="7"/>
      <c r="B21" s="7"/>
      <c r="C21" s="7" t="str">
        <f>""&amp;CHAR(10)&amp;Basic_Fundamental_Information_Constructure(F21)&amp;CHAR(10)&amp;Basic_Fundamental_Information_Concatenate("")</f>
        <v xml:space="preserve">
市值47.506582亿, 利润1.69亿; PE43.16; 平均PE41.76; 平均PEG1.73, PB2.74; ROIC10.99%; ROE13.76%; 股利率.3608%; 毛利26.08%; 净利12.1267%; 上一年度营收增-19.84%, 利润增-23.87%; 当季营收增-40.79%, 利润增-80.63%; 过往5年营收增24.15%, 利润增34.77%
Income profile:
</v>
      </c>
      <c r="D21" t="s">
        <v>345</v>
      </c>
      <c r="E21" t="s">
        <v>346</v>
      </c>
      <c r="F21">
        <v>9.6999999999999993</v>
      </c>
      <c r="G21">
        <v>0.94</v>
      </c>
      <c r="H21" t="s">
        <v>1029</v>
      </c>
      <c r="I21">
        <v>4750658200</v>
      </c>
      <c r="J21">
        <v>43.16</v>
      </c>
      <c r="K21">
        <v>2.74</v>
      </c>
      <c r="L21" t="s">
        <v>113</v>
      </c>
      <c r="M21" t="s">
        <v>93</v>
      </c>
      <c r="N21" t="s">
        <v>1030</v>
      </c>
      <c r="O21" t="s">
        <v>271</v>
      </c>
      <c r="P21">
        <v>-40.96</v>
      </c>
      <c r="Q21" t="s">
        <v>811</v>
      </c>
      <c r="R21">
        <v>14242085</v>
      </c>
      <c r="S21" s="5">
        <v>-0.80630000000000002</v>
      </c>
      <c r="T21" t="s">
        <v>17</v>
      </c>
      <c r="U21">
        <v>397483010</v>
      </c>
      <c r="V21">
        <v>489758580</v>
      </c>
      <c r="W21">
        <v>1.1299999999999999</v>
      </c>
      <c r="X21">
        <v>0.13</v>
      </c>
      <c r="Y21">
        <v>5.62</v>
      </c>
      <c r="Z21" t="s">
        <v>363</v>
      </c>
      <c r="AA21" t="s">
        <v>112</v>
      </c>
      <c r="AB21" t="s">
        <v>1031</v>
      </c>
      <c r="AC21" t="s">
        <v>1032</v>
      </c>
      <c r="AD21" t="s">
        <v>5</v>
      </c>
      <c r="AE21">
        <v>-3608850</v>
      </c>
      <c r="AF21" t="s">
        <v>1033</v>
      </c>
      <c r="AG21" t="s">
        <v>1034</v>
      </c>
      <c r="AH21" t="s">
        <v>1035</v>
      </c>
      <c r="AI21" t="s">
        <v>660</v>
      </c>
      <c r="AJ21" t="s">
        <v>1036</v>
      </c>
      <c r="AK21" t="s">
        <v>5</v>
      </c>
      <c r="AL21" t="s">
        <v>1037</v>
      </c>
      <c r="AM21" t="s">
        <v>5</v>
      </c>
      <c r="AN21">
        <v>0</v>
      </c>
      <c r="AO21" t="s">
        <v>5</v>
      </c>
      <c r="AP21" t="s">
        <v>5</v>
      </c>
      <c r="AQ21" t="s">
        <v>1038</v>
      </c>
      <c r="AR21" t="s">
        <v>5</v>
      </c>
      <c r="AS21" t="s">
        <v>132</v>
      </c>
      <c r="AT21" t="s">
        <v>5</v>
      </c>
      <c r="AU21" t="s">
        <v>1039</v>
      </c>
      <c r="AV21" t="s">
        <v>456</v>
      </c>
      <c r="AW21" t="s">
        <v>1040</v>
      </c>
      <c r="AX21" t="s">
        <v>473</v>
      </c>
      <c r="AY21" t="s">
        <v>347</v>
      </c>
      <c r="AZ21" t="s">
        <v>104</v>
      </c>
      <c r="BA21" t="s">
        <v>348</v>
      </c>
      <c r="BB21" t="s">
        <v>151</v>
      </c>
      <c r="BC21" t="s">
        <v>255</v>
      </c>
      <c r="BD21" t="s">
        <v>95</v>
      </c>
      <c r="BE21" t="s">
        <v>349</v>
      </c>
      <c r="BF21" t="s">
        <v>350</v>
      </c>
      <c r="BG21" t="s">
        <v>351</v>
      </c>
      <c r="BH21" t="s">
        <v>811</v>
      </c>
      <c r="BI21" t="s">
        <v>685</v>
      </c>
      <c r="BJ21" t="s">
        <v>473</v>
      </c>
      <c r="BK21" t="s">
        <v>17</v>
      </c>
      <c r="BL21" t="s">
        <v>1041</v>
      </c>
      <c r="BM21" t="s">
        <v>255</v>
      </c>
      <c r="BN21">
        <v>9.65</v>
      </c>
      <c r="BO21">
        <v>14.03</v>
      </c>
      <c r="BP21">
        <v>9.2899999999999991</v>
      </c>
      <c r="BQ21">
        <v>11.03</v>
      </c>
      <c r="BR21">
        <v>15.71</v>
      </c>
      <c r="BS21">
        <v>14.54</v>
      </c>
      <c r="BT21" t="s">
        <v>479</v>
      </c>
      <c r="BU21" t="s">
        <v>113</v>
      </c>
      <c r="BV21">
        <v>27.42</v>
      </c>
      <c r="BW21">
        <v>27.29</v>
      </c>
      <c r="BX21">
        <v>23.53</v>
      </c>
      <c r="BY21">
        <v>12.74</v>
      </c>
      <c r="BZ21">
        <v>13.4</v>
      </c>
      <c r="CA21">
        <v>10.24</v>
      </c>
      <c r="CB21">
        <v>-3.48</v>
      </c>
      <c r="CC21">
        <v>-17.55</v>
      </c>
      <c r="CD21" t="s">
        <v>1042</v>
      </c>
      <c r="CE21" t="s">
        <v>1043</v>
      </c>
      <c r="CF21" s="11">
        <v>-0.40792540792540793</v>
      </c>
      <c r="CG21" s="12">
        <v>-0.80625992194397322</v>
      </c>
      <c r="CH21" s="11">
        <v>-0.19843187928199768</v>
      </c>
      <c r="CI21" s="11">
        <v>0.35790342092514038</v>
      </c>
      <c r="CJ21" s="11">
        <v>0.36272314190864563</v>
      </c>
      <c r="CK21" s="11">
        <v>0.35552194714546204</v>
      </c>
      <c r="CL21" s="11">
        <v>0.32997986674308777</v>
      </c>
      <c r="CM21" s="12">
        <v>-0.23873874545097351</v>
      </c>
      <c r="CN21" s="12">
        <v>0.77600002288818359</v>
      </c>
      <c r="CO21" s="12">
        <v>1.0671066045761108</v>
      </c>
      <c r="CP21" s="12">
        <v>0.1499011218547821</v>
      </c>
      <c r="CQ21" s="12">
        <v>-1.5970734879374504E-2</v>
      </c>
      <c r="CR21">
        <v>41.763997535532944</v>
      </c>
      <c r="CS21">
        <v>1.7290767019714794</v>
      </c>
      <c r="CT21">
        <v>0.36082474226804123</v>
      </c>
      <c r="CU21" s="11">
        <v>0.24153929948806763</v>
      </c>
      <c r="CV21" s="12">
        <v>0.34765965379774572</v>
      </c>
      <c r="CW21">
        <v>0.06</v>
      </c>
      <c r="CX21">
        <v>16.654538811804137</v>
      </c>
      <c r="CY21">
        <v>197943529.82404095</v>
      </c>
      <c r="CZ21">
        <v>0.24153929948806763</v>
      </c>
      <c r="DA21">
        <v>4.7980957646382825</v>
      </c>
      <c r="DB21">
        <v>687076365.64826417</v>
      </c>
      <c r="DC21">
        <v>0.22946233451366424</v>
      </c>
      <c r="DD21">
        <v>1.9781739597061572</v>
      </c>
      <c r="DE21">
        <v>1666515820.7267544</v>
      </c>
      <c r="DF21">
        <v>0.21255458354949952</v>
      </c>
      <c r="DG21">
        <v>0.96064161657533698</v>
      </c>
      <c r="DH21">
        <v>3431725362.6305542</v>
      </c>
      <c r="DI21">
        <v>0.19323143959045411</v>
      </c>
      <c r="DJ21">
        <v>0.29877373531228008</v>
      </c>
      <c r="DK21">
        <v>11033962528.715294</v>
      </c>
      <c r="DL21">
        <v>0.16907750964164733</v>
      </c>
      <c r="DM21">
        <v>169000000</v>
      </c>
      <c r="DN21">
        <v>0.24153929948806763</v>
      </c>
      <c r="DO21">
        <v>3296658200</v>
      </c>
      <c r="DP21">
        <v>1177130200</v>
      </c>
      <c r="DQ21">
        <v>1965</v>
      </c>
      <c r="DR21">
        <v>-0.64946470741347562</v>
      </c>
      <c r="DS21">
        <v>-1.1539195757417189</v>
      </c>
      <c r="DT21" s="13">
        <v>-0.10666666666666676</v>
      </c>
      <c r="DU21">
        <v>-3.9999999999999959E-2</v>
      </c>
      <c r="DV21">
        <v>-0.14666666666666672</v>
      </c>
      <c r="DW21">
        <v>-8.1982905982905976</v>
      </c>
      <c r="DX21">
        <v>0.36202843373493976</v>
      </c>
      <c r="DY21">
        <v>-8.0241970911337663</v>
      </c>
      <c r="DZ21">
        <v>2063</v>
      </c>
      <c r="EA21">
        <v>-8.0144282850654776</v>
      </c>
      <c r="EB21">
        <v>8</v>
      </c>
      <c r="EC21">
        <v>0.10340155755923663</v>
      </c>
      <c r="ED21">
        <v>0.84735626275296705</v>
      </c>
      <c r="EE21" s="14">
        <v>-1.0310999999999999</v>
      </c>
      <c r="EF21">
        <v>-1.0184</v>
      </c>
      <c r="EG21">
        <v>24.12202843373494</v>
      </c>
      <c r="EH21" t="s">
        <v>189</v>
      </c>
      <c r="EI21">
        <v>0</v>
      </c>
      <c r="EJ21">
        <v>0</v>
      </c>
      <c r="EK21" s="10">
        <v>45470</v>
      </c>
      <c r="EL21" s="15">
        <v>-0.78</v>
      </c>
      <c r="EM21" s="15">
        <v>-5.53</v>
      </c>
      <c r="EN21" s="15">
        <v>0.21</v>
      </c>
      <c r="EO21" s="15">
        <v>6.68</v>
      </c>
      <c r="EP21" s="15">
        <v>-1.27</v>
      </c>
    </row>
    <row r="22" spans="1:146" ht="108" x14ac:dyDescent="0.25">
      <c r="A22" s="7"/>
      <c r="B22" s="7"/>
      <c r="C22" s="7" t="str">
        <f>""&amp;CHAR(10)&amp;Basic_Fundamental_Information_Constructure(F22)&amp;CHAR(10)&amp;Basic_Fundamental_Information_Concatenate("")</f>
        <v xml:space="preserve">
市值32.427581亿, 利润2.73亿; PE; 平均PE28.38; 平均PEG.35, PB2.69; ROIC8.14%; ROE5.2833%; 股利率3.6127%; 毛利93.2333%; 净利.85%; 上一年度营收增36.02%, 利润增111.63%; 当季营收增-18.84%, 利润增-333.25%; 过往5年营收增81.24%, 利润增51.4%
Income profile:
</v>
      </c>
      <c r="D22" t="s">
        <v>354</v>
      </c>
      <c r="E22" t="s">
        <v>355</v>
      </c>
      <c r="F22">
        <v>13.84</v>
      </c>
      <c r="G22">
        <v>1.84</v>
      </c>
      <c r="H22" t="s">
        <v>1044</v>
      </c>
      <c r="I22">
        <v>3242758100</v>
      </c>
      <c r="K22">
        <v>2.69</v>
      </c>
      <c r="L22" t="s">
        <v>113</v>
      </c>
      <c r="M22" t="s">
        <v>227</v>
      </c>
      <c r="N22" t="s">
        <v>668</v>
      </c>
      <c r="O22" t="s">
        <v>1045</v>
      </c>
      <c r="P22">
        <v>-18.760000000000002</v>
      </c>
      <c r="Q22" t="s">
        <v>1046</v>
      </c>
      <c r="R22">
        <v>-445500830</v>
      </c>
      <c r="S22" s="6">
        <v>-3.3290000000000002</v>
      </c>
      <c r="T22" t="s">
        <v>140</v>
      </c>
      <c r="U22">
        <v>164737560</v>
      </c>
      <c r="V22">
        <v>234303330</v>
      </c>
      <c r="W22">
        <v>2.2400000000000002</v>
      </c>
      <c r="X22">
        <v>0.21</v>
      </c>
      <c r="Y22">
        <v>-79.290000000000006</v>
      </c>
      <c r="Z22" t="s">
        <v>601</v>
      </c>
      <c r="AA22" t="s">
        <v>1047</v>
      </c>
      <c r="AB22" t="s">
        <v>97</v>
      </c>
      <c r="AC22" t="s">
        <v>1048</v>
      </c>
      <c r="AD22" t="s">
        <v>5</v>
      </c>
      <c r="AE22">
        <v>-6623896</v>
      </c>
      <c r="AF22" t="s">
        <v>1049</v>
      </c>
      <c r="AG22" t="s">
        <v>1050</v>
      </c>
      <c r="AH22" t="s">
        <v>1051</v>
      </c>
      <c r="AI22" t="s">
        <v>677</v>
      </c>
      <c r="AJ22" t="s">
        <v>1052</v>
      </c>
      <c r="AK22" t="s">
        <v>5</v>
      </c>
      <c r="AL22" t="s">
        <v>1053</v>
      </c>
      <c r="AM22" t="s">
        <v>5</v>
      </c>
      <c r="AN22">
        <v>0</v>
      </c>
      <c r="AO22" t="s">
        <v>5</v>
      </c>
      <c r="AP22" t="s">
        <v>5</v>
      </c>
      <c r="AQ22" t="s">
        <v>1054</v>
      </c>
      <c r="AR22" t="s">
        <v>1055</v>
      </c>
      <c r="AS22" t="s">
        <v>625</v>
      </c>
      <c r="AT22" t="s">
        <v>5</v>
      </c>
      <c r="AU22" t="s">
        <v>579</v>
      </c>
      <c r="AV22" t="s">
        <v>1056</v>
      </c>
      <c r="AW22" t="s">
        <v>1057</v>
      </c>
      <c r="AX22" t="s">
        <v>474</v>
      </c>
      <c r="AY22" t="s">
        <v>133</v>
      </c>
      <c r="AZ22" t="s">
        <v>108</v>
      </c>
      <c r="BA22" t="s">
        <v>115</v>
      </c>
      <c r="BB22" t="s">
        <v>89</v>
      </c>
      <c r="BC22" t="s">
        <v>305</v>
      </c>
      <c r="BD22" t="s">
        <v>356</v>
      </c>
      <c r="BE22" t="s">
        <v>357</v>
      </c>
      <c r="BF22" t="s">
        <v>358</v>
      </c>
      <c r="BG22" t="s">
        <v>359</v>
      </c>
      <c r="BH22" t="s">
        <v>1046</v>
      </c>
      <c r="BI22" t="s">
        <v>578</v>
      </c>
      <c r="BJ22" t="s">
        <v>474</v>
      </c>
      <c r="BK22" t="s">
        <v>140</v>
      </c>
      <c r="BL22" t="s">
        <v>103</v>
      </c>
      <c r="BM22" t="s">
        <v>305</v>
      </c>
      <c r="BN22">
        <v>11.34</v>
      </c>
      <c r="BO22">
        <v>4.9400000000000004</v>
      </c>
      <c r="BP22" t="s">
        <v>5</v>
      </c>
      <c r="BQ22">
        <v>12.16</v>
      </c>
      <c r="BR22">
        <v>7.49</v>
      </c>
      <c r="BS22">
        <v>-3.8</v>
      </c>
      <c r="BT22" t="s">
        <v>438</v>
      </c>
      <c r="BU22" t="s">
        <v>113</v>
      </c>
      <c r="BV22">
        <v>94.97</v>
      </c>
      <c r="BW22">
        <v>94.03</v>
      </c>
      <c r="BX22">
        <v>90.7</v>
      </c>
      <c r="BY22">
        <v>10.42</v>
      </c>
      <c r="BZ22">
        <v>4.46</v>
      </c>
      <c r="CA22">
        <v>-12.33</v>
      </c>
      <c r="CB22">
        <v>-0.28999999999999998</v>
      </c>
      <c r="CC22">
        <v>-17.62</v>
      </c>
      <c r="CD22" t="s">
        <v>1058</v>
      </c>
      <c r="CE22" t="s">
        <v>82</v>
      </c>
      <c r="CF22" s="11">
        <v>-0.18840579710144928</v>
      </c>
      <c r="CG22" s="12">
        <v>-3.3324650785340313</v>
      </c>
      <c r="CH22" s="11">
        <v>0.36021509766578674</v>
      </c>
      <c r="CI22" s="11">
        <v>3.0355031490325928</v>
      </c>
      <c r="CJ22" s="11">
        <v>0.31347149610519409</v>
      </c>
      <c r="CK22" s="11">
        <v>-6.3106797635555267E-2</v>
      </c>
      <c r="CL22" s="11">
        <v>0.4158075749874115</v>
      </c>
      <c r="CM22" s="12">
        <v>1.116279125213623</v>
      </c>
      <c r="CN22" s="12">
        <v>3.0452263355255127</v>
      </c>
      <c r="CO22" s="12">
        <v>-1.7358390092849731</v>
      </c>
      <c r="CP22" s="12">
        <v>-0.46759811043739319</v>
      </c>
      <c r="CQ22" s="12">
        <v>0.61180031299591064</v>
      </c>
      <c r="CR22">
        <v>28.381707151810573</v>
      </c>
      <c r="CS22">
        <v>0.34936573266780879</v>
      </c>
      <c r="CT22">
        <v>3.6127167630057806</v>
      </c>
      <c r="CU22" s="11">
        <v>0.81237810403108601</v>
      </c>
      <c r="CV22" s="12">
        <v>0.51397373080253606</v>
      </c>
      <c r="CW22">
        <v>0.06</v>
      </c>
      <c r="CX22">
        <v>6.700814092222358</v>
      </c>
      <c r="CY22">
        <v>466772851.32121366</v>
      </c>
      <c r="CZ22">
        <v>0.81237810403108601</v>
      </c>
      <c r="DA22">
        <v>1.2541768540303804</v>
      </c>
      <c r="DB22">
        <v>2493873244.3903284</v>
      </c>
      <c r="DC22">
        <v>0.7717591988295317</v>
      </c>
      <c r="DD22">
        <v>0.25842832678398792</v>
      </c>
      <c r="DE22">
        <v>12103000235.784502</v>
      </c>
      <c r="DF22">
        <v>0.71489273154735566</v>
      </c>
      <c r="DG22">
        <v>4.9670993284041856E-2</v>
      </c>
      <c r="DH22">
        <v>62969509832.711082</v>
      </c>
      <c r="DI22">
        <v>0.64990248322486888</v>
      </c>
      <c r="DJ22">
        <v>1.464394560647089E-3</v>
      </c>
      <c r="DK22">
        <v>2135871153890.3157</v>
      </c>
      <c r="DL22">
        <v>0.56866467282176014</v>
      </c>
      <c r="DM22">
        <v>273000000</v>
      </c>
      <c r="DN22">
        <v>0.81237810403108601</v>
      </c>
      <c r="DO22">
        <v>3127758100</v>
      </c>
      <c r="DP22">
        <v>873105900</v>
      </c>
      <c r="DQ22">
        <v>2002</v>
      </c>
      <c r="DR22">
        <v>-1.0007839011325352</v>
      </c>
      <c r="DS22">
        <v>-3.8464388093365676</v>
      </c>
      <c r="DT22" s="13">
        <v>0.32666666666666661</v>
      </c>
      <c r="DU22">
        <v>-0.78166666666666673</v>
      </c>
      <c r="DV22">
        <v>-0.45500000000000013</v>
      </c>
      <c r="DW22">
        <v>-3.0183214285714284</v>
      </c>
      <c r="DX22">
        <v>0.35185639097744326</v>
      </c>
      <c r="DY22">
        <v>-3.0024157974489798</v>
      </c>
      <c r="DZ22">
        <v>2792</v>
      </c>
      <c r="EA22">
        <v>-3.0010958548897722</v>
      </c>
      <c r="EB22">
        <v>3</v>
      </c>
      <c r="EC22">
        <v>7.4846994278741155E-2</v>
      </c>
      <c r="ED22">
        <v>0.56764024651292833</v>
      </c>
      <c r="EE22" s="14">
        <v>1.05871</v>
      </c>
      <c r="EF22">
        <v>1.06721</v>
      </c>
      <c r="EG22">
        <v>22.131856390977443</v>
      </c>
      <c r="EH22" t="s">
        <v>1059</v>
      </c>
      <c r="EI22">
        <v>0</v>
      </c>
      <c r="EJ22">
        <v>0</v>
      </c>
      <c r="EK22" s="10">
        <v>45470</v>
      </c>
      <c r="EL22" s="15">
        <v>-1.95</v>
      </c>
      <c r="EM22" s="15">
        <v>-4.7699999999999996</v>
      </c>
      <c r="EN22" s="15">
        <v>-1.79</v>
      </c>
      <c r="EO22" s="15">
        <v>7.53</v>
      </c>
      <c r="EP22" s="15">
        <v>-0.85</v>
      </c>
    </row>
    <row r="23" spans="1:146" ht="108" x14ac:dyDescent="0.25">
      <c r="A23" s="7"/>
      <c r="B23" s="7"/>
      <c r="C23" s="7" t="str">
        <f>""&amp;CHAR(10)&amp;Basic_Fundamental_Information_Constructure(F23)&amp;CHAR(10)&amp;Basic_Fundamental_Information_Concatenate("")</f>
        <v xml:space="preserve">
市值109.359117亿, 利润2.13亿; PE22.26; 平均PE24.2; 平均PEG.81, PB1.1; ROIC5.9367%; ROE6.1767%; 股利率1.5046%; 毛利67.3733%; 净利17.92%; 上一年度营收增21.54%, 利润增-56.62%; 当季营收增-68.41%, 利润增-61.83%; 过往5年营收增29.98%, 利润增-10.73%
Income profile:
</v>
      </c>
      <c r="D23" t="s">
        <v>375</v>
      </c>
      <c r="E23" t="s">
        <v>376</v>
      </c>
      <c r="F23">
        <v>8.64</v>
      </c>
      <c r="G23">
        <v>0.7</v>
      </c>
      <c r="H23" t="s">
        <v>1060</v>
      </c>
      <c r="I23">
        <v>10935911700</v>
      </c>
      <c r="J23">
        <v>22.26</v>
      </c>
      <c r="K23">
        <v>1.1000000000000001</v>
      </c>
      <c r="L23" t="s">
        <v>113</v>
      </c>
      <c r="M23" t="s">
        <v>1061</v>
      </c>
      <c r="N23" t="s">
        <v>1062</v>
      </c>
      <c r="O23" t="s">
        <v>1063</v>
      </c>
      <c r="P23">
        <v>-26.58</v>
      </c>
      <c r="Q23" t="s">
        <v>1064</v>
      </c>
      <c r="R23">
        <v>99235247</v>
      </c>
      <c r="S23" s="5">
        <v>-0.63370000000000004</v>
      </c>
      <c r="T23" t="s">
        <v>360</v>
      </c>
      <c r="U23">
        <v>1265730520</v>
      </c>
      <c r="V23">
        <v>1265730520</v>
      </c>
      <c r="W23">
        <v>1.1499999999999999</v>
      </c>
      <c r="X23">
        <v>0.05</v>
      </c>
      <c r="Y23">
        <v>15.29</v>
      </c>
      <c r="Z23" t="s">
        <v>583</v>
      </c>
      <c r="AA23" t="s">
        <v>580</v>
      </c>
      <c r="AB23" t="s">
        <v>395</v>
      </c>
      <c r="AC23" t="s">
        <v>195</v>
      </c>
      <c r="AD23" t="s">
        <v>5</v>
      </c>
      <c r="AE23">
        <v>-3953113</v>
      </c>
      <c r="AF23" t="s">
        <v>1065</v>
      </c>
      <c r="AG23" t="s">
        <v>1066</v>
      </c>
      <c r="AH23" t="s">
        <v>1067</v>
      </c>
      <c r="AI23" t="s">
        <v>235</v>
      </c>
      <c r="AJ23" t="s">
        <v>1068</v>
      </c>
      <c r="AK23" t="s">
        <v>5</v>
      </c>
      <c r="AL23" t="s">
        <v>1069</v>
      </c>
      <c r="AM23" t="s">
        <v>5</v>
      </c>
      <c r="AN23" t="s">
        <v>1070</v>
      </c>
      <c r="AO23" t="s">
        <v>5</v>
      </c>
      <c r="AP23" t="s">
        <v>5</v>
      </c>
      <c r="AQ23" t="s">
        <v>1071</v>
      </c>
      <c r="AR23" t="s">
        <v>1072</v>
      </c>
      <c r="AS23" t="s">
        <v>391</v>
      </c>
      <c r="AT23" t="s">
        <v>1073</v>
      </c>
      <c r="AU23" t="s">
        <v>1074</v>
      </c>
      <c r="AV23" t="s">
        <v>1075</v>
      </c>
      <c r="AW23" t="s">
        <v>1076</v>
      </c>
      <c r="AX23" t="s">
        <v>476</v>
      </c>
      <c r="AY23" t="s">
        <v>377</v>
      </c>
      <c r="AZ23" t="s">
        <v>378</v>
      </c>
      <c r="BA23" t="s">
        <v>379</v>
      </c>
      <c r="BB23" t="s">
        <v>380</v>
      </c>
      <c r="BC23" t="s">
        <v>584</v>
      </c>
      <c r="BD23" t="s">
        <v>320</v>
      </c>
      <c r="BE23" t="s">
        <v>381</v>
      </c>
      <c r="BF23" t="s">
        <v>141</v>
      </c>
      <c r="BG23" t="s">
        <v>284</v>
      </c>
      <c r="BH23" t="s">
        <v>1077</v>
      </c>
      <c r="BI23" t="s">
        <v>1078</v>
      </c>
      <c r="BJ23" t="s">
        <v>476</v>
      </c>
      <c r="BK23" t="s">
        <v>219</v>
      </c>
      <c r="BL23" t="s">
        <v>114</v>
      </c>
      <c r="BM23" t="s">
        <v>584</v>
      </c>
      <c r="BN23">
        <v>6.36</v>
      </c>
      <c r="BO23">
        <v>5.27</v>
      </c>
      <c r="BP23">
        <v>6.18</v>
      </c>
      <c r="BQ23">
        <v>7.2</v>
      </c>
      <c r="BR23">
        <v>5.39</v>
      </c>
      <c r="BS23">
        <v>5.94</v>
      </c>
      <c r="BT23" t="s">
        <v>435</v>
      </c>
      <c r="BU23" t="s">
        <v>113</v>
      </c>
      <c r="BV23">
        <v>68.27</v>
      </c>
      <c r="BW23">
        <v>61.39</v>
      </c>
      <c r="BX23">
        <v>72.459999999999994</v>
      </c>
      <c r="BY23">
        <v>22.44</v>
      </c>
      <c r="BZ23">
        <v>10.72</v>
      </c>
      <c r="CA23">
        <v>20.6</v>
      </c>
      <c r="CB23">
        <v>-1.93</v>
      </c>
      <c r="CC23">
        <v>-10.93</v>
      </c>
      <c r="CD23" t="s">
        <v>1079</v>
      </c>
      <c r="CE23" t="s">
        <v>577</v>
      </c>
      <c r="CF23" s="11">
        <v>-0.68406337371854609</v>
      </c>
      <c r="CG23" s="12">
        <v>-0.61832597307692305</v>
      </c>
      <c r="CH23" s="11">
        <v>0.21538762748241425</v>
      </c>
      <c r="CI23" s="11">
        <v>0.69255870580673218</v>
      </c>
      <c r="CJ23" s="11">
        <v>-0.1342187225818634</v>
      </c>
      <c r="CK23" s="11">
        <v>0.24524989724159241</v>
      </c>
      <c r="CL23" s="11">
        <v>0.48020827770233154</v>
      </c>
      <c r="CM23" s="12">
        <v>-0.56619143486022949</v>
      </c>
      <c r="CN23" s="12">
        <v>-5.029013380408287E-2</v>
      </c>
      <c r="CO23" s="12">
        <v>9.765625E-3</v>
      </c>
      <c r="CP23" s="12">
        <v>2.4000000208616257E-2</v>
      </c>
      <c r="CQ23" s="12">
        <v>4.6025104820728302E-2</v>
      </c>
      <c r="CR23">
        <v>24.203419476208044</v>
      </c>
      <c r="CS23">
        <v>0.80721881530162432</v>
      </c>
      <c r="CT23">
        <v>1.5046296296296295</v>
      </c>
      <c r="CU23" s="11">
        <v>0.29983715713024139</v>
      </c>
      <c r="CV23" s="12">
        <v>-0.10733816772699356</v>
      </c>
      <c r="CW23">
        <v>0.06</v>
      </c>
      <c r="CX23">
        <v>8.5412158129579865</v>
      </c>
      <c r="CY23">
        <v>261193692.89503908</v>
      </c>
      <c r="CZ23">
        <v>0.29983715713024139</v>
      </c>
      <c r="DA23">
        <v>2.3472040212703478</v>
      </c>
      <c r="DB23">
        <v>950454958.23264289</v>
      </c>
      <c r="DC23">
        <v>0.28484529927372931</v>
      </c>
      <c r="DD23">
        <v>0.90191854982672326</v>
      </c>
      <c r="DE23">
        <v>2473517925.1259475</v>
      </c>
      <c r="DF23">
        <v>0.26385669827461244</v>
      </c>
      <c r="DG23">
        <v>0.40048160265705224</v>
      </c>
      <c r="DH23">
        <v>5570572244.0149527</v>
      </c>
      <c r="DI23">
        <v>0.23986972570419313</v>
      </c>
      <c r="DJ23">
        <v>9.9158422642776453E-2</v>
      </c>
      <c r="DK23">
        <v>22498458936.130714</v>
      </c>
      <c r="DL23">
        <v>0.20988600999116896</v>
      </c>
      <c r="DM23">
        <v>213000000</v>
      </c>
      <c r="DN23">
        <v>0.29983715713024139</v>
      </c>
      <c r="DO23">
        <v>2230911700</v>
      </c>
      <c r="DP23">
        <v>1527648800</v>
      </c>
      <c r="DQ23">
        <v>3334</v>
      </c>
      <c r="DR23">
        <v>-0.98390053084878748</v>
      </c>
      <c r="DS23">
        <v>-0.51098780534992949</v>
      </c>
      <c r="DT23" s="13">
        <v>0.24333333333333326</v>
      </c>
      <c r="DU23">
        <v>-0.60666666666666669</v>
      </c>
      <c r="DV23">
        <v>-0.3633333333333334</v>
      </c>
      <c r="DW23">
        <v>-2.1093000000000002</v>
      </c>
      <c r="DX23">
        <v>0.31584100418409961</v>
      </c>
      <c r="DY23">
        <v>-2.013754421757322</v>
      </c>
      <c r="DZ23">
        <v>4271</v>
      </c>
      <c r="EA23">
        <v>-2.0022583091691573</v>
      </c>
      <c r="EB23">
        <v>2</v>
      </c>
      <c r="EC23">
        <v>2.3761771976549953E-2</v>
      </c>
      <c r="ED23">
        <v>0.18882376321304159</v>
      </c>
      <c r="EE23" s="14">
        <v>3.0560100000000001</v>
      </c>
      <c r="EF23">
        <v>3.07321</v>
      </c>
      <c r="EG23">
        <v>19.1258410041841</v>
      </c>
      <c r="EH23" t="s">
        <v>442</v>
      </c>
      <c r="EI23">
        <v>0</v>
      </c>
      <c r="EJ23">
        <v>0</v>
      </c>
      <c r="EK23" s="10">
        <v>45470</v>
      </c>
      <c r="EL23" s="15">
        <v>-0.36</v>
      </c>
      <c r="EM23" s="15">
        <v>-4.37</v>
      </c>
      <c r="EN23" s="15">
        <v>1.02</v>
      </c>
      <c r="EO23" s="15">
        <v>2.39</v>
      </c>
      <c r="EP23" s="15">
        <v>-1.72</v>
      </c>
    </row>
    <row r="24" spans="1:146" ht="108" x14ac:dyDescent="0.25">
      <c r="A24" s="7"/>
      <c r="B24" s="7"/>
      <c r="C24" s="7" t="str">
        <f>""&amp;CHAR(10)&amp;Basic_Fundamental_Information_Constructure(F24)&amp;CHAR(10)&amp;Basic_Fundamental_Information_Concatenate("")</f>
        <v xml:space="preserve">
市值22.49046亿, 利润14.21亿; PE; 平均PE-39.47; 平均PEG-.01, PB17.04; ROIC6.495%; ROE-11.1467%; 股利率0%; 毛利90.4467%; 净利-16.9567%; 上一年度营收增20925.96%, 利润增5887.9%; 当季营收增-99.34%, 利润增-109.83%; 过往5年营收增4189.29%, 利润增1115.74%
Income profile:
</v>
      </c>
      <c r="D24" t="s">
        <v>384</v>
      </c>
      <c r="E24" t="s">
        <v>385</v>
      </c>
      <c r="F24">
        <v>4.0199999999999996</v>
      </c>
      <c r="G24">
        <v>1.52</v>
      </c>
      <c r="H24" t="s">
        <v>1080</v>
      </c>
      <c r="I24">
        <v>2249046000</v>
      </c>
      <c r="K24">
        <v>17.04</v>
      </c>
      <c r="L24" t="s">
        <v>113</v>
      </c>
      <c r="M24" t="s">
        <v>136</v>
      </c>
      <c r="N24" t="s">
        <v>86</v>
      </c>
      <c r="O24" t="s">
        <v>1081</v>
      </c>
      <c r="P24">
        <v>-7.47</v>
      </c>
      <c r="Q24" t="s">
        <v>1082</v>
      </c>
      <c r="R24">
        <v>-8647038</v>
      </c>
      <c r="S24" s="5">
        <v>-61.14</v>
      </c>
      <c r="T24" t="s">
        <v>1083</v>
      </c>
      <c r="U24">
        <v>559319540</v>
      </c>
      <c r="V24">
        <v>559464190</v>
      </c>
      <c r="W24">
        <v>1.91</v>
      </c>
      <c r="X24">
        <v>0.13</v>
      </c>
      <c r="Y24">
        <v>-19.739999999999998</v>
      </c>
      <c r="Z24" t="s">
        <v>1084</v>
      </c>
      <c r="AA24" t="s">
        <v>1085</v>
      </c>
      <c r="AB24" t="s">
        <v>1086</v>
      </c>
      <c r="AC24" t="s">
        <v>1087</v>
      </c>
      <c r="AD24" t="s">
        <v>5</v>
      </c>
      <c r="AE24">
        <v>372377</v>
      </c>
      <c r="AF24" t="s">
        <v>1088</v>
      </c>
      <c r="AG24">
        <v>5239.38</v>
      </c>
      <c r="AH24" t="s">
        <v>1089</v>
      </c>
      <c r="AI24" t="s">
        <v>1090</v>
      </c>
      <c r="AJ24" t="s">
        <v>1091</v>
      </c>
      <c r="AK24" t="s">
        <v>5</v>
      </c>
      <c r="AL24" t="s">
        <v>1092</v>
      </c>
      <c r="AM24" t="s">
        <v>5</v>
      </c>
      <c r="AN24">
        <v>0</v>
      </c>
      <c r="AO24" t="s">
        <v>1093</v>
      </c>
      <c r="AP24" t="s">
        <v>5</v>
      </c>
      <c r="AQ24" t="s">
        <v>1094</v>
      </c>
      <c r="AR24" t="s">
        <v>1095</v>
      </c>
      <c r="AS24" t="s">
        <v>69</v>
      </c>
      <c r="AT24" t="s">
        <v>5</v>
      </c>
      <c r="AU24" t="s">
        <v>1096</v>
      </c>
      <c r="AV24" t="s">
        <v>1097</v>
      </c>
      <c r="AW24" t="s">
        <v>1098</v>
      </c>
      <c r="AX24" t="s">
        <v>364</v>
      </c>
      <c r="AY24" t="s">
        <v>94</v>
      </c>
      <c r="AZ24" t="s">
        <v>281</v>
      </c>
      <c r="BA24" t="s">
        <v>280</v>
      </c>
      <c r="BB24" t="s">
        <v>71</v>
      </c>
      <c r="BC24" t="s">
        <v>1099</v>
      </c>
      <c r="BD24" t="s">
        <v>373</v>
      </c>
      <c r="BE24" t="s">
        <v>386</v>
      </c>
      <c r="BF24" t="s">
        <v>387</v>
      </c>
      <c r="BG24" t="s">
        <v>388</v>
      </c>
      <c r="BH24" t="s">
        <v>460</v>
      </c>
      <c r="BI24" t="s">
        <v>1100</v>
      </c>
      <c r="BJ24" t="s">
        <v>364</v>
      </c>
      <c r="BK24" t="s">
        <v>1101</v>
      </c>
      <c r="BL24" t="s">
        <v>1102</v>
      </c>
      <c r="BM24" t="s">
        <v>1099</v>
      </c>
      <c r="BN24">
        <v>1.43</v>
      </c>
      <c r="BO24">
        <v>11.56</v>
      </c>
      <c r="BP24" t="s">
        <v>5</v>
      </c>
      <c r="BQ24">
        <v>5.47</v>
      </c>
      <c r="BR24">
        <v>14.83</v>
      </c>
      <c r="BS24">
        <v>-53.74</v>
      </c>
      <c r="BT24" t="s">
        <v>434</v>
      </c>
      <c r="BU24" t="s">
        <v>113</v>
      </c>
      <c r="BV24">
        <v>85.88</v>
      </c>
      <c r="BW24">
        <v>90.94</v>
      </c>
      <c r="BX24">
        <v>94.52</v>
      </c>
      <c r="BY24">
        <v>-12.88</v>
      </c>
      <c r="BZ24">
        <v>12.98</v>
      </c>
      <c r="CA24">
        <v>-50.97</v>
      </c>
      <c r="CB24">
        <v>-0.5</v>
      </c>
      <c r="CC24">
        <v>-16.600000000000001</v>
      </c>
      <c r="CD24" t="s">
        <v>1103</v>
      </c>
      <c r="CE24" t="s">
        <v>143</v>
      </c>
      <c r="CF24" s="11">
        <v>-0.99339964227642275</v>
      </c>
      <c r="CG24" s="12">
        <v>-1.0982975400145507</v>
      </c>
      <c r="CH24" s="11">
        <v>209.25961303710937</v>
      </c>
      <c r="CI24" s="11">
        <v>-2.8037382289767265E-2</v>
      </c>
      <c r="CJ24" s="11">
        <v>-0.284280925989151</v>
      </c>
      <c r="CK24" s="11">
        <v>0.55729168653488159</v>
      </c>
      <c r="CL24" s="11">
        <v>-3.9999999105930328E-2</v>
      </c>
      <c r="CM24" s="12">
        <v>58.878974914550781</v>
      </c>
      <c r="CN24" s="12">
        <v>1.2100106477737427</v>
      </c>
      <c r="CO24" s="12">
        <v>-5.8398981094360352</v>
      </c>
      <c r="CP24" s="12">
        <v>1.0411049127578735</v>
      </c>
      <c r="CQ24" s="12">
        <v>0.49689987301826477</v>
      </c>
      <c r="CR24">
        <v>-39.466040713474335</v>
      </c>
      <c r="CS24">
        <v>-9.4206952565827218E-3</v>
      </c>
      <c r="CT24">
        <v>0</v>
      </c>
      <c r="CU24" s="11">
        <v>41.892917283251883</v>
      </c>
      <c r="CV24" s="12">
        <v>11.157418447732926</v>
      </c>
      <c r="CW24">
        <v>0.06</v>
      </c>
      <c r="CX24">
        <v>3.8852441351250849E-2</v>
      </c>
      <c r="CY24">
        <v>57500788169.340492</v>
      </c>
      <c r="CZ24">
        <v>41.892917283251883</v>
      </c>
      <c r="DA24">
        <v>2.685747414169978E-5</v>
      </c>
      <c r="DB24">
        <v>83181537780254.187</v>
      </c>
      <c r="DC24">
        <v>39.798271419089289</v>
      </c>
      <c r="DD24">
        <v>7.3539686763791522E-10</v>
      </c>
      <c r="DE24">
        <v>3.0378780469594947E+18</v>
      </c>
      <c r="DF24">
        <v>36.865767209261655</v>
      </c>
      <c r="DG24">
        <v>1.1376655924144214E-15</v>
      </c>
      <c r="DH24">
        <v>1.9637106148730183E+24</v>
      </c>
      <c r="DI24">
        <v>33.514333826601508</v>
      </c>
      <c r="DJ24">
        <v>1.1249541714922666E-29</v>
      </c>
      <c r="DK24">
        <v>1.9858995651676267E+38</v>
      </c>
      <c r="DL24">
        <v>29.325042098276317</v>
      </c>
      <c r="DM24">
        <v>1421000000</v>
      </c>
      <c r="DN24">
        <v>41.892917283251883</v>
      </c>
      <c r="DO24">
        <v>2234046000</v>
      </c>
      <c r="DP24">
        <v>-5560604.0000000149</v>
      </c>
      <c r="DQ24">
        <v>3553</v>
      </c>
      <c r="DR24">
        <v>-42.886316925528305</v>
      </c>
      <c r="DS24">
        <v>-12.255715987747477</v>
      </c>
      <c r="DT24" s="13">
        <v>-0.15666666666666673</v>
      </c>
      <c r="DU24">
        <v>-1.0649999999999999</v>
      </c>
      <c r="DV24">
        <v>-1.2216666666666667</v>
      </c>
      <c r="DW24">
        <v>-3.0067857142857144</v>
      </c>
      <c r="DX24">
        <v>0.32348313253011907</v>
      </c>
      <c r="DY24">
        <v>-3.0007022069707401</v>
      </c>
      <c r="DZ24">
        <v>4776</v>
      </c>
      <c r="EA24">
        <v>-3.000045897676757</v>
      </c>
      <c r="EB24">
        <v>3</v>
      </c>
      <c r="EC24">
        <v>3.0704735543484921E-2</v>
      </c>
      <c r="ED24">
        <v>0.29671246697666209</v>
      </c>
      <c r="EE24" s="14">
        <v>2.0709</v>
      </c>
      <c r="EF24">
        <v>2.0640999999999998</v>
      </c>
      <c r="EG24">
        <v>22.103483132530119</v>
      </c>
      <c r="EH24" t="s">
        <v>440</v>
      </c>
      <c r="EI24">
        <v>0</v>
      </c>
      <c r="EJ24">
        <v>0</v>
      </c>
      <c r="EK24" s="10">
        <v>45470</v>
      </c>
      <c r="EL24" s="15">
        <v>9.9700000000000006</v>
      </c>
      <c r="EM24" s="15">
        <v>-10</v>
      </c>
      <c r="EN24" s="15">
        <v>9.1999999999999993</v>
      </c>
      <c r="EO24" s="15">
        <v>-6.36</v>
      </c>
      <c r="EP24" s="15">
        <v>-0.68</v>
      </c>
    </row>
    <row r="25" spans="1:146" ht="108" x14ac:dyDescent="0.25">
      <c r="A25" s="7"/>
      <c r="B25" s="7"/>
      <c r="C25" s="7" t="str">
        <f>""&amp;CHAR(10)&amp;Basic_Fundamental_Information_Constructure(F25)&amp;CHAR(10)&amp;Basic_Fundamental_Information_Concatenate("")</f>
        <v xml:space="preserve">
市值39.064989亿, 利润96.07亿; PE69.91; 平均PE2.15; 平均PEG0, PB1.69; ROIC8.53%; ROE9.17%; 股利率1.3033%; 毛利81.1467%; 净利23.4167%; 上一年度营收增5000%, 利润增4679.6%; 当季营收增-98.47%, 利润增-97.86%; 过往5年营收增1015.84%, 利润增954.67%
Income profile:
</v>
      </c>
      <c r="D25" t="s">
        <v>397</v>
      </c>
      <c r="E25" t="s">
        <v>398</v>
      </c>
      <c r="F25">
        <v>15.96</v>
      </c>
      <c r="G25">
        <v>1.85</v>
      </c>
      <c r="H25" t="s">
        <v>1104</v>
      </c>
      <c r="I25">
        <v>3906498900</v>
      </c>
      <c r="J25">
        <v>69.91</v>
      </c>
      <c r="K25">
        <v>1.69</v>
      </c>
      <c r="L25" t="s">
        <v>113</v>
      </c>
      <c r="M25" t="s">
        <v>295</v>
      </c>
      <c r="N25" t="s">
        <v>1105</v>
      </c>
      <c r="O25" t="s">
        <v>18</v>
      </c>
      <c r="P25">
        <v>-11.7</v>
      </c>
      <c r="Q25" t="s">
        <v>1106</v>
      </c>
      <c r="R25">
        <v>46373345</v>
      </c>
      <c r="S25" s="5">
        <v>-2.0299999999999999E-2</v>
      </c>
      <c r="T25" t="s">
        <v>1107</v>
      </c>
      <c r="U25">
        <v>241296100</v>
      </c>
      <c r="V25">
        <v>244768100</v>
      </c>
      <c r="W25">
        <v>1.1599999999999999</v>
      </c>
      <c r="X25">
        <v>0.05</v>
      </c>
      <c r="Y25">
        <v>33</v>
      </c>
      <c r="Z25" t="s">
        <v>92</v>
      </c>
      <c r="AA25" t="s">
        <v>1108</v>
      </c>
      <c r="AB25" t="s">
        <v>1109</v>
      </c>
      <c r="AC25" t="s">
        <v>1110</v>
      </c>
      <c r="AD25" t="s">
        <v>5</v>
      </c>
      <c r="AE25">
        <v>-13108310</v>
      </c>
      <c r="AF25" t="s">
        <v>1111</v>
      </c>
      <c r="AG25">
        <v>4223.99</v>
      </c>
      <c r="AH25" t="s">
        <v>1112</v>
      </c>
      <c r="AI25" t="s">
        <v>403</v>
      </c>
      <c r="AJ25" t="s">
        <v>1113</v>
      </c>
      <c r="AK25" t="s">
        <v>5</v>
      </c>
      <c r="AL25" t="s">
        <v>1114</v>
      </c>
      <c r="AM25" t="s">
        <v>5</v>
      </c>
      <c r="AN25">
        <v>0</v>
      </c>
      <c r="AO25" t="s">
        <v>5</v>
      </c>
      <c r="AP25" t="s">
        <v>5</v>
      </c>
      <c r="AQ25" t="s">
        <v>1115</v>
      </c>
      <c r="AR25" t="s">
        <v>1116</v>
      </c>
      <c r="AS25" t="s">
        <v>239</v>
      </c>
      <c r="AT25" t="s">
        <v>5</v>
      </c>
      <c r="AU25" t="s">
        <v>1117</v>
      </c>
      <c r="AV25" t="s">
        <v>1118</v>
      </c>
      <c r="AW25" t="s">
        <v>1119</v>
      </c>
      <c r="AX25" t="s">
        <v>444</v>
      </c>
      <c r="AY25" t="s">
        <v>150</v>
      </c>
      <c r="AZ25" t="s">
        <v>399</v>
      </c>
      <c r="BA25" t="s">
        <v>383</v>
      </c>
      <c r="BB25" t="s">
        <v>178</v>
      </c>
      <c r="BC25" t="s">
        <v>270</v>
      </c>
      <c r="BD25" t="s">
        <v>139</v>
      </c>
      <c r="BE25" t="s">
        <v>170</v>
      </c>
      <c r="BF25" t="s">
        <v>98</v>
      </c>
      <c r="BG25" t="s">
        <v>101</v>
      </c>
      <c r="BH25" t="s">
        <v>659</v>
      </c>
      <c r="BI25" t="s">
        <v>1120</v>
      </c>
      <c r="BJ25" t="s">
        <v>444</v>
      </c>
      <c r="BK25" t="s">
        <v>1121</v>
      </c>
      <c r="BL25" t="s">
        <v>1122</v>
      </c>
      <c r="BM25" t="s">
        <v>270</v>
      </c>
      <c r="BN25">
        <v>3.61</v>
      </c>
      <c r="BO25">
        <v>7.79</v>
      </c>
      <c r="BP25">
        <v>14.19</v>
      </c>
      <c r="BQ25">
        <v>4.84</v>
      </c>
      <c r="BR25">
        <v>8.07</v>
      </c>
      <c r="BS25">
        <v>14.6</v>
      </c>
      <c r="BT25" t="s">
        <v>1123</v>
      </c>
      <c r="BU25" t="s">
        <v>113</v>
      </c>
      <c r="BV25">
        <v>78.75</v>
      </c>
      <c r="BW25">
        <v>81.88</v>
      </c>
      <c r="BX25">
        <v>82.81</v>
      </c>
      <c r="BY25">
        <v>8.19</v>
      </c>
      <c r="BZ25">
        <v>26.21</v>
      </c>
      <c r="CA25">
        <v>35.85</v>
      </c>
      <c r="CB25">
        <v>-1.18</v>
      </c>
      <c r="CC25">
        <v>-11.38</v>
      </c>
      <c r="CD25" t="s">
        <v>1124</v>
      </c>
      <c r="CE25" t="s">
        <v>1125</v>
      </c>
      <c r="CF25" s="11">
        <v>-0.98471664435519857</v>
      </c>
      <c r="CG25" s="12">
        <v>-0.97861008071955724</v>
      </c>
      <c r="CH25" s="11">
        <v>50</v>
      </c>
      <c r="CI25" s="11">
        <v>-0.20582328736782074</v>
      </c>
      <c r="CJ25" s="11">
        <v>-2.734375E-2</v>
      </c>
      <c r="CK25" s="11">
        <v>0.46915352344512939</v>
      </c>
      <c r="CL25" s="11">
        <v>0.55580359697341919</v>
      </c>
      <c r="CM25" s="12">
        <v>46.7960205078125</v>
      </c>
      <c r="CN25" s="12">
        <v>-0.40707963705062866</v>
      </c>
      <c r="CO25" s="12">
        <v>-0.14177215099334717</v>
      </c>
      <c r="CP25" s="12">
        <v>0.73245614767074585</v>
      </c>
      <c r="CQ25" s="12">
        <v>0.75384616851806641</v>
      </c>
      <c r="CR25">
        <v>2.1503663669724769</v>
      </c>
      <c r="CS25">
        <v>2.116844438300331E-3</v>
      </c>
      <c r="CT25">
        <v>1.3032581453634084</v>
      </c>
      <c r="CU25" s="11">
        <v>10.158358016610146</v>
      </c>
      <c r="CV25" s="12">
        <v>9.546694207191468</v>
      </c>
      <c r="CW25">
        <v>0.06</v>
      </c>
      <c r="CX25">
        <v>1.9890128198711277E-2</v>
      </c>
      <c r="CY25">
        <v>101130514590.16383</v>
      </c>
      <c r="CZ25">
        <v>10.158358016610146</v>
      </c>
      <c r="DA25">
        <v>1.8605711717495325E-4</v>
      </c>
      <c r="DB25">
        <v>10811190297593.115</v>
      </c>
      <c r="DC25">
        <v>9.650440115779638</v>
      </c>
      <c r="DD25">
        <v>2.7519581680799404E-7</v>
      </c>
      <c r="DE25">
        <v>7309336760025812</v>
      </c>
      <c r="DF25">
        <v>8.9393550546169287</v>
      </c>
      <c r="DG25">
        <v>8.2649726346656884E-11</v>
      </c>
      <c r="DH25">
        <v>2.4337635330614297E+19</v>
      </c>
      <c r="DI25">
        <v>8.1266864132881178</v>
      </c>
      <c r="DJ25">
        <v>3.8450002724383984E-19</v>
      </c>
      <c r="DK25">
        <v>5.2314662092971975E+27</v>
      </c>
      <c r="DL25">
        <v>7.110850611627102</v>
      </c>
      <c r="DM25">
        <v>9607000000</v>
      </c>
      <c r="DN25">
        <v>10.158358016610146</v>
      </c>
      <c r="DO25">
        <v>2011498900</v>
      </c>
      <c r="DP25">
        <v>1258643500</v>
      </c>
      <c r="DQ25">
        <v>4040</v>
      </c>
      <c r="DR25">
        <v>-11.143074660965345</v>
      </c>
      <c r="DS25">
        <v>-10.525304287911025</v>
      </c>
      <c r="DT25" s="13">
        <v>-7.3333333333333403E-2</v>
      </c>
      <c r="DU25">
        <v>0.14333333333333323</v>
      </c>
      <c r="DV25">
        <v>6.9999999999999826E-2</v>
      </c>
      <c r="DW25">
        <v>-2.1137999999999999</v>
      </c>
      <c r="DX25">
        <v>0.35132064548460434</v>
      </c>
      <c r="DY25">
        <v>-2.018358289456148</v>
      </c>
      <c r="DZ25">
        <v>4546</v>
      </c>
      <c r="EA25">
        <v>-2.0020262378186433</v>
      </c>
      <c r="EB25">
        <v>2</v>
      </c>
      <c r="EC25">
        <v>5.2459041844096513E-2</v>
      </c>
      <c r="ED25">
        <v>0.32518494035783257</v>
      </c>
      <c r="EE25" s="14">
        <v>-5.0639099999999999</v>
      </c>
      <c r="EF25">
        <v>-5.0956099999999998</v>
      </c>
      <c r="EG25">
        <v>19.161320645484604</v>
      </c>
      <c r="EH25" t="s">
        <v>684</v>
      </c>
      <c r="EI25">
        <v>0</v>
      </c>
      <c r="EJ25">
        <v>0</v>
      </c>
      <c r="EK25" s="10">
        <v>45470</v>
      </c>
      <c r="EL25" s="15">
        <v>-1.17</v>
      </c>
      <c r="EM25" s="15">
        <v>-5.61</v>
      </c>
      <c r="EN25" s="15">
        <v>0.63</v>
      </c>
      <c r="EO25" s="15">
        <v>3.11</v>
      </c>
      <c r="EP25" s="15">
        <v>-3.17</v>
      </c>
    </row>
    <row r="26" spans="1:146" ht="108" x14ac:dyDescent="0.25">
      <c r="A26" s="7"/>
      <c r="B26" s="7"/>
      <c r="C26" s="7" t="str">
        <f>""&amp;CHAR(10)&amp;Basic_Fundamental_Information_Constructure(F26)&amp;CHAR(10)&amp;Basic_Fundamental_Information_Concatenate("")</f>
        <v xml:space="preserve">
市值123.997143亿, 利润10.33亿; PE11.57; 平均PE11.38; 平均PEG.39, PB2.63; ROIC32.5633%; ROE29.43%; 股利率0%; 毛利87.38%; 净利36.9233%; 上一年度营收增6.87%, 利润增-29.3%; 当季营收增-47.06%, 利润增-9.84%; 过往5年营收增28.94%, 利润增10.35%
Income profile:
</v>
      </c>
      <c r="D26" t="s">
        <v>400</v>
      </c>
      <c r="E26" t="s">
        <v>401</v>
      </c>
      <c r="F26">
        <v>172.12</v>
      </c>
      <c r="G26">
        <v>0.02</v>
      </c>
      <c r="H26" t="s">
        <v>1126</v>
      </c>
      <c r="I26">
        <v>12399714300</v>
      </c>
      <c r="J26">
        <v>11.57</v>
      </c>
      <c r="K26">
        <v>2.63</v>
      </c>
      <c r="L26" t="s">
        <v>113</v>
      </c>
      <c r="M26" t="s">
        <v>1127</v>
      </c>
      <c r="N26" t="s">
        <v>1128</v>
      </c>
      <c r="O26" t="s">
        <v>1129</v>
      </c>
      <c r="P26">
        <v>-18.97</v>
      </c>
      <c r="Q26" t="s">
        <v>1130</v>
      </c>
      <c r="R26">
        <v>253363010</v>
      </c>
      <c r="S26" s="5">
        <v>-0.17349999999999999</v>
      </c>
      <c r="T26" t="s">
        <v>1131</v>
      </c>
      <c r="U26">
        <v>72041101</v>
      </c>
      <c r="V26">
        <v>72041101</v>
      </c>
      <c r="W26">
        <v>1.27</v>
      </c>
      <c r="X26">
        <v>0.14000000000000001</v>
      </c>
      <c r="Y26">
        <v>32.24</v>
      </c>
      <c r="Z26" t="s">
        <v>599</v>
      </c>
      <c r="AA26" t="s">
        <v>1132</v>
      </c>
      <c r="AB26" t="s">
        <v>84</v>
      </c>
      <c r="AC26" t="s">
        <v>1133</v>
      </c>
      <c r="AD26" t="s">
        <v>5</v>
      </c>
      <c r="AE26">
        <v>-30828478</v>
      </c>
      <c r="AF26" t="s">
        <v>1134</v>
      </c>
      <c r="AG26" t="s">
        <v>1135</v>
      </c>
      <c r="AH26" t="s">
        <v>1136</v>
      </c>
      <c r="AI26" t="s">
        <v>1137</v>
      </c>
      <c r="AJ26" t="s">
        <v>1138</v>
      </c>
      <c r="AK26" t="s">
        <v>5</v>
      </c>
      <c r="AL26" t="s">
        <v>1139</v>
      </c>
      <c r="AM26" t="s">
        <v>5</v>
      </c>
      <c r="AN26" t="s">
        <v>1140</v>
      </c>
      <c r="AO26" t="s">
        <v>5</v>
      </c>
      <c r="AP26" t="s">
        <v>5</v>
      </c>
      <c r="AQ26" t="s">
        <v>93</v>
      </c>
      <c r="AR26" t="s">
        <v>1141</v>
      </c>
      <c r="AS26" t="s">
        <v>681</v>
      </c>
      <c r="AT26" t="s">
        <v>5</v>
      </c>
      <c r="AU26" t="s">
        <v>117</v>
      </c>
      <c r="AV26" t="s">
        <v>628</v>
      </c>
      <c r="AW26" t="s">
        <v>1142</v>
      </c>
      <c r="AX26" t="s">
        <v>371</v>
      </c>
      <c r="AY26" t="s">
        <v>402</v>
      </c>
      <c r="AZ26" t="s">
        <v>404</v>
      </c>
      <c r="BA26" t="s">
        <v>369</v>
      </c>
      <c r="BB26" t="s">
        <v>353</v>
      </c>
      <c r="BC26" t="s">
        <v>478</v>
      </c>
      <c r="BD26" t="s">
        <v>403</v>
      </c>
      <c r="BE26" t="s">
        <v>236</v>
      </c>
      <c r="BF26" t="s">
        <v>365</v>
      </c>
      <c r="BG26" t="s">
        <v>154</v>
      </c>
      <c r="BH26" t="s">
        <v>1143</v>
      </c>
      <c r="BI26" t="s">
        <v>605</v>
      </c>
      <c r="BJ26" t="s">
        <v>371</v>
      </c>
      <c r="BK26" t="s">
        <v>1144</v>
      </c>
      <c r="BL26" t="s">
        <v>1145</v>
      </c>
      <c r="BM26" t="s">
        <v>478</v>
      </c>
      <c r="BN26">
        <v>21.09</v>
      </c>
      <c r="BO26">
        <v>39.32</v>
      </c>
      <c r="BP26">
        <v>37.28</v>
      </c>
      <c r="BQ26">
        <v>19.829999999999998</v>
      </c>
      <c r="BR26">
        <v>32.49</v>
      </c>
      <c r="BS26">
        <v>35.97</v>
      </c>
      <c r="BT26" t="s">
        <v>434</v>
      </c>
      <c r="BU26" t="s">
        <v>113</v>
      </c>
      <c r="BV26">
        <v>88.53</v>
      </c>
      <c r="BW26">
        <v>88.73</v>
      </c>
      <c r="BX26">
        <v>84.88</v>
      </c>
      <c r="BY26">
        <v>34.909999999999997</v>
      </c>
      <c r="BZ26">
        <v>37.92</v>
      </c>
      <c r="CA26">
        <v>37.94</v>
      </c>
      <c r="CB26">
        <v>-3.31</v>
      </c>
      <c r="CC26">
        <v>-8.5299999999999994</v>
      </c>
      <c r="CD26" t="s">
        <v>1146</v>
      </c>
      <c r="CE26" t="s">
        <v>1147</v>
      </c>
      <c r="CF26" s="11">
        <v>-0.4705882352941177</v>
      </c>
      <c r="CG26" s="12">
        <v>-9.8352277580071173E-2</v>
      </c>
      <c r="CH26" s="11">
        <v>6.8691916763782501E-2</v>
      </c>
      <c r="CI26" s="11">
        <v>0.11885694414377213</v>
      </c>
      <c r="CJ26" s="11">
        <v>0.68453669548034668</v>
      </c>
      <c r="CK26" s="11">
        <v>0.26359459757804871</v>
      </c>
      <c r="CL26" s="11">
        <v>0.31117811799049377</v>
      </c>
      <c r="CM26" s="12">
        <v>-0.29295000433921814</v>
      </c>
      <c r="CN26" s="12">
        <v>-4.7684358432888985E-3</v>
      </c>
      <c r="CO26" s="12">
        <v>0.40344169735908508</v>
      </c>
      <c r="CP26" s="12">
        <v>0.29295426607131958</v>
      </c>
      <c r="CQ26" s="12">
        <v>0.11894882470369339</v>
      </c>
      <c r="CR26">
        <v>11.375884678899082</v>
      </c>
      <c r="CS26">
        <v>0.39312367007158877</v>
      </c>
      <c r="CT26">
        <v>0</v>
      </c>
      <c r="CU26" s="11">
        <v>0.28937165439128876</v>
      </c>
      <c r="CV26" s="12">
        <v>0.1035252695903182</v>
      </c>
      <c r="CW26">
        <v>0.06</v>
      </c>
      <c r="CX26">
        <v>6.5678652788624223</v>
      </c>
      <c r="CY26">
        <v>1256529168.8549068</v>
      </c>
      <c r="CZ26">
        <v>0.28937165439128876</v>
      </c>
      <c r="DA26">
        <v>1.8201757751071048</v>
      </c>
      <c r="DB26">
        <v>4534020512.1202564</v>
      </c>
      <c r="DC26">
        <v>0.27490307167172429</v>
      </c>
      <c r="DD26">
        <v>0.70834549730611318</v>
      </c>
      <c r="DE26">
        <v>11650690703.033537</v>
      </c>
      <c r="DF26">
        <v>0.25464705586433412</v>
      </c>
      <c r="DG26">
        <v>0.31970072531864302</v>
      </c>
      <c r="DH26">
        <v>25813874184.28466</v>
      </c>
      <c r="DI26">
        <v>0.23149732351303101</v>
      </c>
      <c r="DJ26">
        <v>8.2538899413770087E-2</v>
      </c>
      <c r="DK26">
        <v>99985756517.40744</v>
      </c>
      <c r="DL26">
        <v>0.20256015807390212</v>
      </c>
      <c r="DM26">
        <v>1033000000</v>
      </c>
      <c r="DN26">
        <v>0.28937165439128876</v>
      </c>
      <c r="DO26">
        <v>8252714300</v>
      </c>
      <c r="DP26">
        <v>2782894900</v>
      </c>
      <c r="DQ26">
        <v>4148</v>
      </c>
      <c r="DR26">
        <v>-0.75995988968540651</v>
      </c>
      <c r="DS26">
        <v>-0.20187754717038936</v>
      </c>
      <c r="DT26" s="13">
        <v>4.33333333333333E-2</v>
      </c>
      <c r="DU26">
        <v>8.3333333333333329E-2</v>
      </c>
      <c r="DV26">
        <v>0.12666666666666662</v>
      </c>
      <c r="DW26">
        <v>-8.3880422039859326</v>
      </c>
      <c r="DX26">
        <v>0.29493147135143999</v>
      </c>
      <c r="DY26">
        <v>-8.0445982614505578</v>
      </c>
      <c r="DZ26">
        <v>727</v>
      </c>
      <c r="EA26">
        <v>-8.0382532641756939</v>
      </c>
      <c r="EB26">
        <v>8</v>
      </c>
      <c r="EC26">
        <v>4.4942400311177917E-2</v>
      </c>
      <c r="ED26">
        <v>0.39103650012233987</v>
      </c>
      <c r="EE26" s="14">
        <v>-1.0210999999999999</v>
      </c>
      <c r="EF26">
        <v>-1.0016100000000001</v>
      </c>
      <c r="EG26">
        <v>18.11493147135144</v>
      </c>
      <c r="EH26" t="s">
        <v>142</v>
      </c>
      <c r="EI26">
        <v>0</v>
      </c>
      <c r="EJ26">
        <v>1</v>
      </c>
      <c r="EK26" s="10">
        <v>45470</v>
      </c>
      <c r="EL26" s="15">
        <v>0.28000000000000003</v>
      </c>
      <c r="EM26" s="15">
        <v>-2.82</v>
      </c>
      <c r="EN26" s="15">
        <v>-0.43</v>
      </c>
      <c r="EO26" s="15">
        <v>2.4700000000000002</v>
      </c>
      <c r="EP26" s="15">
        <v>-2.27</v>
      </c>
    </row>
    <row r="27" spans="1:146" x14ac:dyDescent="0.25">
      <c r="A27" s="7"/>
      <c r="B27" s="7"/>
      <c r="C27" s="7"/>
      <c r="Q27" s="5"/>
    </row>
    <row r="28" spans="1:146" x14ac:dyDescent="0.25">
      <c r="A28" s="7"/>
      <c r="B28" s="7"/>
      <c r="C28" s="7"/>
      <c r="Q28" s="5"/>
    </row>
    <row r="29" spans="1:146" x14ac:dyDescent="0.25">
      <c r="A29" s="7"/>
      <c r="B29" s="7"/>
      <c r="C29" s="7"/>
    </row>
    <row r="30" spans="1:146" x14ac:dyDescent="0.25">
      <c r="A30" s="7"/>
      <c r="B30" s="7"/>
      <c r="C30" s="7"/>
      <c r="Q30" s="5"/>
    </row>
    <row r="31" spans="1:146" x14ac:dyDescent="0.25">
      <c r="A31" s="7"/>
      <c r="B31" s="7"/>
      <c r="C31" s="7"/>
      <c r="Q31" s="5"/>
    </row>
    <row r="32" spans="1:146" x14ac:dyDescent="0.25">
      <c r="A32" s="7"/>
      <c r="B32" s="7"/>
      <c r="C32" s="7"/>
      <c r="Q32" s="5"/>
    </row>
    <row r="33" spans="1:17" x14ac:dyDescent="0.25">
      <c r="A33" s="7"/>
      <c r="B33" s="7"/>
      <c r="C33" s="7"/>
      <c r="Q33" s="5"/>
    </row>
    <row r="34" spans="1:17" x14ac:dyDescent="0.25">
      <c r="A34" s="7"/>
      <c r="B34" s="7"/>
      <c r="C34" s="7"/>
      <c r="Q34" s="5"/>
    </row>
    <row r="35" spans="1:17" x14ac:dyDescent="0.25">
      <c r="A35" s="7"/>
      <c r="B35" s="7"/>
      <c r="C35" s="7"/>
      <c r="Q35" s="5"/>
    </row>
    <row r="36" spans="1:17" x14ac:dyDescent="0.25">
      <c r="A36" s="7"/>
      <c r="B36" s="7"/>
      <c r="C36" s="7"/>
      <c r="Q36" s="5"/>
    </row>
    <row r="37" spans="1:17" x14ac:dyDescent="0.25">
      <c r="A37" s="7"/>
      <c r="B37" s="7"/>
      <c r="C37" s="7"/>
      <c r="Q37" s="5"/>
    </row>
    <row r="38" spans="1:17" x14ac:dyDescent="0.25">
      <c r="A38" s="7"/>
      <c r="B38" s="7"/>
      <c r="C38" s="7"/>
      <c r="Q38" s="6"/>
    </row>
    <row r="39" spans="1:17" x14ac:dyDescent="0.25">
      <c r="A39" s="7"/>
      <c r="B39" s="7"/>
      <c r="C39" s="7"/>
      <c r="Q39" s="5"/>
    </row>
    <row r="40" spans="1:17" x14ac:dyDescent="0.25">
      <c r="A40" s="7"/>
      <c r="B40" s="7"/>
      <c r="C40" s="7"/>
      <c r="Q40" s="5"/>
    </row>
    <row r="41" spans="1:17" x14ac:dyDescent="0.25">
      <c r="A41" s="7"/>
      <c r="B41" s="7"/>
      <c r="C41" s="7"/>
      <c r="Q41" s="5"/>
    </row>
    <row r="42" spans="1:17" x14ac:dyDescent="0.25">
      <c r="A42" s="7"/>
      <c r="B42" s="7"/>
      <c r="C42" s="7"/>
      <c r="Q42" s="5"/>
    </row>
    <row r="43" spans="1:17" x14ac:dyDescent="0.25">
      <c r="A43" s="7"/>
      <c r="B43" s="7"/>
      <c r="C43" s="7"/>
      <c r="Q43" s="5"/>
    </row>
    <row r="44" spans="1:17" x14ac:dyDescent="0.25">
      <c r="A44" s="7"/>
      <c r="B44" s="7"/>
      <c r="C44" s="7"/>
      <c r="Q44" s="5"/>
    </row>
    <row r="45" spans="1:17" x14ac:dyDescent="0.25">
      <c r="A45" s="7"/>
      <c r="B45" s="7"/>
      <c r="C45" s="7"/>
      <c r="Q45" s="5"/>
    </row>
    <row r="46" spans="1:17" x14ac:dyDescent="0.25">
      <c r="A46" s="7"/>
      <c r="B46" s="7"/>
      <c r="C46" s="7"/>
      <c r="Q46" s="5"/>
    </row>
    <row r="47" spans="1:17" x14ac:dyDescent="0.25">
      <c r="A47" s="7"/>
      <c r="B47" s="7"/>
      <c r="C47" s="7"/>
      <c r="Q47" s="5"/>
    </row>
    <row r="48" spans="1:17" x14ac:dyDescent="0.25">
      <c r="A48" s="7"/>
      <c r="B48" s="7"/>
      <c r="C48" s="7"/>
      <c r="Q48" s="5"/>
    </row>
    <row r="49" spans="1:17" x14ac:dyDescent="0.25">
      <c r="A49" s="7"/>
      <c r="B49" s="7"/>
      <c r="C49" s="7"/>
      <c r="Q49" s="5"/>
    </row>
    <row r="50" spans="1:17" x14ac:dyDescent="0.25">
      <c r="A50" s="7"/>
      <c r="B50" s="7"/>
      <c r="C50" s="7"/>
      <c r="Q50" s="5"/>
    </row>
    <row r="51" spans="1:17" x14ac:dyDescent="0.25">
      <c r="A51" s="7"/>
      <c r="B51" s="7"/>
      <c r="C51" s="7"/>
      <c r="Q51" s="5"/>
    </row>
    <row r="52" spans="1:17" x14ac:dyDescent="0.25">
      <c r="A52" s="7"/>
      <c r="B52" s="7"/>
      <c r="C52" s="7"/>
      <c r="Q52" s="5"/>
    </row>
    <row r="53" spans="1:17" x14ac:dyDescent="0.25">
      <c r="A53" s="7"/>
      <c r="B53" s="7"/>
      <c r="C53" s="7"/>
      <c r="Q53" s="5"/>
    </row>
    <row r="54" spans="1:17" x14ac:dyDescent="0.25">
      <c r="A54" s="7"/>
      <c r="B54" s="7"/>
      <c r="C54" s="7"/>
      <c r="Q54" s="5"/>
    </row>
    <row r="55" spans="1:17" x14ac:dyDescent="0.25">
      <c r="A55" s="7"/>
      <c r="B55" s="7"/>
      <c r="C55" s="7"/>
      <c r="Q55" s="5"/>
    </row>
    <row r="56" spans="1:17" x14ac:dyDescent="0.25">
      <c r="A56" s="7"/>
      <c r="B56" s="7"/>
      <c r="C56" s="7"/>
      <c r="Q56" s="5"/>
    </row>
    <row r="57" spans="1:17" x14ac:dyDescent="0.25">
      <c r="A57" s="7"/>
      <c r="B57" s="7"/>
      <c r="C57" s="7"/>
      <c r="Q57" s="5"/>
    </row>
    <row r="58" spans="1:17" x14ac:dyDescent="0.25">
      <c r="A58" s="7"/>
      <c r="B58" s="7"/>
      <c r="C58" s="7"/>
      <c r="Q58" s="5"/>
    </row>
    <row r="59" spans="1:17" x14ac:dyDescent="0.25">
      <c r="A59" s="7"/>
      <c r="B59" s="7"/>
      <c r="C59" s="7"/>
      <c r="Q59" s="5"/>
    </row>
    <row r="60" spans="1:17" x14ac:dyDescent="0.25">
      <c r="A60" s="7"/>
      <c r="B60" s="7"/>
      <c r="C60" s="7"/>
      <c r="Q60" s="5"/>
    </row>
    <row r="61" spans="1:17" x14ac:dyDescent="0.25">
      <c r="A61" s="7"/>
      <c r="B61" s="7"/>
      <c r="C61" s="7"/>
      <c r="Q61" s="5"/>
    </row>
    <row r="62" spans="1:17" x14ac:dyDescent="0.25">
      <c r="A62" s="7"/>
      <c r="B62" s="7"/>
      <c r="C62" s="7"/>
      <c r="Q62" s="5"/>
    </row>
    <row r="63" spans="1:17" x14ac:dyDescent="0.25">
      <c r="A63" s="7"/>
      <c r="B63" s="7"/>
      <c r="C63" s="7"/>
      <c r="Q63" s="5"/>
    </row>
    <row r="64" spans="1:17" x14ac:dyDescent="0.25">
      <c r="A64" s="7"/>
      <c r="B64" s="7"/>
      <c r="C64" s="7"/>
      <c r="Q64" s="5"/>
    </row>
    <row r="65" spans="1:17" x14ac:dyDescent="0.25">
      <c r="A65" s="7"/>
      <c r="B65" s="7"/>
      <c r="C65" s="7"/>
      <c r="Q65" s="5"/>
    </row>
    <row r="66" spans="1:17" x14ac:dyDescent="0.25">
      <c r="A66" s="7"/>
      <c r="B66" s="7"/>
      <c r="C66" s="7"/>
      <c r="Q66" s="5"/>
    </row>
    <row r="67" spans="1:17" x14ac:dyDescent="0.25">
      <c r="A67" s="7"/>
      <c r="B67" s="7"/>
      <c r="C67" s="7"/>
      <c r="Q67" s="5"/>
    </row>
    <row r="68" spans="1:17" x14ac:dyDescent="0.25">
      <c r="A68" s="7"/>
      <c r="B68" s="7"/>
      <c r="C68" s="7"/>
      <c r="Q68" s="5"/>
    </row>
    <row r="69" spans="1:17" x14ac:dyDescent="0.25">
      <c r="A69" s="7"/>
      <c r="B69" s="7"/>
      <c r="C69" s="7"/>
      <c r="Q69" s="5"/>
    </row>
    <row r="70" spans="1:17" x14ac:dyDescent="0.25">
      <c r="A70" s="7"/>
      <c r="B70" s="7"/>
      <c r="C70" s="7"/>
      <c r="Q70" s="5"/>
    </row>
    <row r="71" spans="1:17" x14ac:dyDescent="0.25">
      <c r="A71" s="7"/>
      <c r="B71" s="7"/>
      <c r="C71" s="7"/>
      <c r="Q71" s="5"/>
    </row>
    <row r="72" spans="1:17" x14ac:dyDescent="0.25">
      <c r="A72" s="7"/>
      <c r="B72" s="7"/>
      <c r="C72" s="7"/>
      <c r="Q72" s="5"/>
    </row>
    <row r="73" spans="1:17" x14ac:dyDescent="0.25">
      <c r="A73" s="7"/>
      <c r="B73" s="7"/>
      <c r="C73" s="7"/>
      <c r="Q73" s="5"/>
    </row>
    <row r="74" spans="1:17" x14ac:dyDescent="0.25">
      <c r="A74" s="7"/>
      <c r="B74" s="7"/>
      <c r="C74" s="7"/>
      <c r="Q74" s="5"/>
    </row>
    <row r="75" spans="1:17" x14ac:dyDescent="0.25">
      <c r="A75" s="7"/>
      <c r="B75" s="7"/>
      <c r="C75" s="7"/>
      <c r="Q75" s="5"/>
    </row>
    <row r="76" spans="1:17" x14ac:dyDescent="0.25">
      <c r="A76" s="7"/>
      <c r="B76" s="7"/>
      <c r="C76" s="7"/>
      <c r="Q76" s="5"/>
    </row>
    <row r="77" spans="1:17" x14ac:dyDescent="0.25">
      <c r="A77" s="7"/>
      <c r="B77" s="7"/>
      <c r="C77" s="7"/>
      <c r="Q77" s="5"/>
    </row>
    <row r="78" spans="1:17" x14ac:dyDescent="0.25">
      <c r="A78" s="7"/>
      <c r="B78" s="7"/>
      <c r="C78" s="7"/>
      <c r="Q78" s="5"/>
    </row>
    <row r="79" spans="1:17" x14ac:dyDescent="0.25">
      <c r="A79" s="7"/>
      <c r="B79" s="7"/>
      <c r="C79" s="7"/>
      <c r="Q79" s="5"/>
    </row>
    <row r="80" spans="1:17" x14ac:dyDescent="0.25">
      <c r="A80" s="7"/>
      <c r="B80" s="7"/>
      <c r="C80" s="7"/>
      <c r="Q80" s="5"/>
    </row>
    <row r="81" spans="1:17" x14ac:dyDescent="0.25">
      <c r="A81" s="7"/>
      <c r="B81" s="7"/>
      <c r="C81" s="7"/>
      <c r="Q81" s="5"/>
    </row>
    <row r="82" spans="1:17" x14ac:dyDescent="0.25">
      <c r="A82" s="7"/>
      <c r="B82" s="7"/>
      <c r="C82" s="7"/>
      <c r="Q82" s="5"/>
    </row>
    <row r="83" spans="1:17" x14ac:dyDescent="0.25">
      <c r="A83" s="7"/>
      <c r="B83" s="7"/>
      <c r="C83" s="7"/>
      <c r="Q83" s="5"/>
    </row>
    <row r="84" spans="1:17" x14ac:dyDescent="0.25">
      <c r="A84" s="7"/>
      <c r="B84" s="7"/>
      <c r="C84" s="7"/>
      <c r="Q84" s="5"/>
    </row>
    <row r="85" spans="1:17" x14ac:dyDescent="0.25">
      <c r="A85" s="7"/>
      <c r="B85" s="7"/>
      <c r="C85" s="7"/>
      <c r="Q85" s="5"/>
    </row>
    <row r="86" spans="1:17" x14ac:dyDescent="0.25">
      <c r="A86" s="7"/>
      <c r="B86" s="7"/>
      <c r="C86" s="7"/>
      <c r="Q86" s="5"/>
    </row>
    <row r="87" spans="1:17" x14ac:dyDescent="0.25">
      <c r="A87" s="7"/>
      <c r="B87" s="7"/>
      <c r="C87" s="7"/>
      <c r="Q87" s="5"/>
    </row>
    <row r="88" spans="1:17" x14ac:dyDescent="0.25">
      <c r="A88" s="7"/>
      <c r="B88" s="7"/>
      <c r="C88" s="7"/>
      <c r="Q88" s="5"/>
    </row>
    <row r="89" spans="1:17" x14ac:dyDescent="0.25">
      <c r="A89" s="7"/>
      <c r="B89" s="7"/>
      <c r="C89" s="7"/>
      <c r="Q89" s="5"/>
    </row>
    <row r="90" spans="1:17" x14ac:dyDescent="0.25">
      <c r="A90" s="7"/>
      <c r="B90" s="7"/>
      <c r="C90" s="7"/>
      <c r="Q90" s="5"/>
    </row>
    <row r="91" spans="1:17" x14ac:dyDescent="0.25">
      <c r="A91" s="8"/>
      <c r="B91" s="8"/>
      <c r="C91" s="7"/>
      <c r="Q91" s="5"/>
    </row>
    <row r="92" spans="1:17" x14ac:dyDescent="0.25">
      <c r="A92" s="7"/>
      <c r="B92" s="7"/>
      <c r="C92" s="7"/>
      <c r="Q92" s="5"/>
    </row>
    <row r="93" spans="1:17" x14ac:dyDescent="0.25">
      <c r="A93" s="7"/>
      <c r="B93" s="7"/>
      <c r="C93" s="7"/>
      <c r="Q93" s="5"/>
    </row>
    <row r="94" spans="1:17" x14ac:dyDescent="0.25">
      <c r="A94" s="7"/>
      <c r="B94" s="7"/>
      <c r="C94" s="7"/>
      <c r="Q94" s="5"/>
    </row>
    <row r="95" spans="1:17" x14ac:dyDescent="0.25">
      <c r="A95" s="7"/>
      <c r="B95" s="7"/>
      <c r="C95" s="7"/>
      <c r="Q95" s="5"/>
    </row>
    <row r="96" spans="1:17" x14ac:dyDescent="0.25">
      <c r="A96" s="7"/>
      <c r="B96" s="7"/>
      <c r="C96" s="7"/>
      <c r="Q96" s="5"/>
    </row>
    <row r="97" spans="1:17" x14ac:dyDescent="0.25">
      <c r="A97" s="8"/>
      <c r="B97" s="8"/>
      <c r="C97" s="8"/>
      <c r="Q97" s="5"/>
    </row>
    <row r="98" spans="1:17" x14ac:dyDescent="0.25">
      <c r="A98" s="8"/>
      <c r="B98" s="8"/>
      <c r="C98" s="8"/>
      <c r="Q98" s="5"/>
    </row>
    <row r="99" spans="1:17" x14ac:dyDescent="0.25">
      <c r="A99" s="8"/>
      <c r="B99" s="8"/>
      <c r="C99" s="8"/>
      <c r="Q99" s="5"/>
    </row>
    <row r="100" spans="1:17" x14ac:dyDescent="0.25">
      <c r="A100" s="8"/>
      <c r="B100" s="8"/>
      <c r="C100" s="8"/>
      <c r="Q100" s="5"/>
    </row>
  </sheetData>
  <autoFilter ref="BU1:BU100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'Basic_Fundamental_Tabel_Update_Buttom &quot;游戏&quot;,&quot;&quot;'" altText="更新基本面按钮_x000a_">
                <anchor moveWithCells="1" sizeWithCells="1">
                  <from>
                    <xdr:col>147</xdr:col>
                    <xdr:colOff>152400</xdr:colOff>
                    <xdr:row>0</xdr:row>
                    <xdr:rowOff>50800</xdr:rowOff>
                  </from>
                  <to>
                    <xdr:col>147</xdr:col>
                    <xdr:colOff>1593850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6"/>
  <sheetViews>
    <sheetView workbookViewId="0">
      <selection activeCell="A3" sqref="A3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传媒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2024-07-10T23:08:48Z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