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建筑材料\"/>
    </mc:Choice>
  </mc:AlternateContent>
  <bookViews>
    <workbookView xWindow="-110" yWindow="-110" windowWidth="23260" windowHeight="13180"/>
  </bookViews>
  <sheets>
    <sheet name="建筑材料" sheetId="15" r:id="rId1"/>
    <sheet name="估值-增速与年化收益" sheetId="14" r:id="rId2"/>
  </sheets>
  <functionGroups builtInGroupCount="18"/>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73" i="15"/>
  <c r="C72" i="15"/>
  <c r="C71" i="15"/>
  <c r="C69" i="15"/>
  <c r="C68" i="15"/>
  <c r="C67" i="15"/>
  <c r="C66" i="15"/>
  <c r="C65" i="15"/>
  <c r="C63" i="15"/>
  <c r="C62" i="15"/>
  <c r="C60" i="15"/>
  <c r="C59" i="15"/>
  <c r="C58" i="15"/>
  <c r="C57" i="15"/>
  <c r="C56" i="15"/>
  <c r="C55" i="15"/>
  <c r="C54" i="15"/>
  <c r="C53" i="15"/>
  <c r="C52" i="15"/>
  <c r="C51" i="15"/>
  <c r="C49" i="15"/>
  <c r="C48" i="15"/>
  <c r="C47" i="15"/>
  <c r="C44" i="15"/>
  <c r="C43" i="15"/>
  <c r="C42" i="15"/>
  <c r="C41" i="15"/>
  <c r="C39" i="15"/>
  <c r="C38" i="15"/>
  <c r="C37" i="15"/>
  <c r="C36" i="15"/>
  <c r="C35" i="15"/>
  <c r="C34" i="15"/>
  <c r="C33" i="15"/>
  <c r="C32" i="15"/>
  <c r="C31" i="15"/>
  <c r="C30" i="15"/>
  <c r="C29" i="15"/>
  <c r="C28" i="15"/>
  <c r="C27" i="15"/>
  <c r="C26" i="15"/>
  <c r="C25" i="15"/>
  <c r="C22" i="15"/>
  <c r="C21" i="15"/>
  <c r="C20" i="15"/>
  <c r="C19" i="15"/>
  <c r="C18" i="15"/>
  <c r="C17" i="15"/>
  <c r="C16" i="15"/>
  <c r="C15" i="15"/>
  <c r="C13" i="15"/>
  <c r="C12" i="15"/>
  <c r="C11" i="15"/>
  <c r="C10" i="15"/>
  <c r="C9" i="15"/>
  <c r="C7" i="15"/>
  <c r="C6" i="15"/>
  <c r="C5" i="15"/>
  <c r="C4" i="15"/>
  <c r="C3" i="15"/>
  <c r="C2" i="15"/>
</calcChain>
</file>

<file path=xl/sharedStrings.xml><?xml version="1.0" encoding="utf-8"?>
<sst xmlns="http://schemas.openxmlformats.org/spreadsheetml/2006/main" count="4164" uniqueCount="2925">
  <si>
    <t>&lt;-增速</t>
    <phoneticPr fontId="1" type="noConversion"/>
  </si>
  <si>
    <t>&lt;-估值</t>
    <phoneticPr fontId="1" type="noConversion"/>
  </si>
  <si>
    <t>&lt;-折合年化收益</t>
    <phoneticPr fontId="1" type="noConversion"/>
  </si>
  <si>
    <t>现价</t>
  </si>
  <si>
    <t>市净率</t>
  </si>
  <si>
    <t>纳川股份</t>
  </si>
  <si>
    <t>韩建河山</t>
  </si>
  <si>
    <t>万里石</t>
  </si>
  <si>
    <t>瑞泰科技</t>
  </si>
  <si>
    <t>海南瑞泽</t>
  </si>
  <si>
    <t>四川金顶</t>
  </si>
  <si>
    <t>西部建设</t>
  </si>
  <si>
    <t>扬子新材</t>
  </si>
  <si>
    <t>凯伦股份</t>
  </si>
  <si>
    <t>耀皮玻璃</t>
  </si>
  <si>
    <t>青龙管业</t>
  </si>
  <si>
    <t>科顺股份</t>
  </si>
  <si>
    <t>友邦吊顶</t>
  </si>
  <si>
    <t>伟星新材</t>
  </si>
  <si>
    <t>坚朗五金</t>
  </si>
  <si>
    <t>南  玻Ａ</t>
  </si>
  <si>
    <t>华立股份</t>
  </si>
  <si>
    <t>濮耐股份</t>
  </si>
  <si>
    <t>四川双马</t>
  </si>
  <si>
    <t>东方雨虹</t>
  </si>
  <si>
    <t>东宏股份</t>
  </si>
  <si>
    <t>雄塑科技</t>
  </si>
  <si>
    <t>西藏天路</t>
  </si>
  <si>
    <t>冀东水泥</t>
  </si>
  <si>
    <t>兔 宝 宝</t>
  </si>
  <si>
    <t>北京利尔</t>
  </si>
  <si>
    <t>北新建材</t>
  </si>
  <si>
    <t>鲁阳节能</t>
  </si>
  <si>
    <t>青松建化</t>
  </si>
  <si>
    <t>金隅集团</t>
  </si>
  <si>
    <t>宁夏建材</t>
  </si>
  <si>
    <t>天山股份</t>
  </si>
  <si>
    <t>旗滨集团</t>
  </si>
  <si>
    <t>塔牌集团</t>
  </si>
  <si>
    <t>万年青</t>
  </si>
  <si>
    <t>福建水泥</t>
  </si>
  <si>
    <t>尖峰集团</t>
  </si>
  <si>
    <t>上峰水泥</t>
  </si>
  <si>
    <t>海螺水泥</t>
  </si>
  <si>
    <t>华新水泥</t>
  </si>
  <si>
    <t>开尔新材</t>
  </si>
  <si>
    <t>顾地科技</t>
  </si>
  <si>
    <t>龙泉股份</t>
  </si>
  <si>
    <t>代码</t>
  </si>
  <si>
    <t>总市值</t>
  </si>
  <si>
    <t>TTM市盈率</t>
  </si>
  <si>
    <t>所属行业</t>
  </si>
  <si>
    <t>SZ002652</t>
  </si>
  <si>
    <t>建筑材料</t>
  </si>
  <si>
    <t>SZ002785</t>
  </si>
  <si>
    <t>SH603616</t>
  </si>
  <si>
    <t>SZ300234</t>
  </si>
  <si>
    <t>SZ002596</t>
  </si>
  <si>
    <t>SZ000786</t>
  </si>
  <si>
    <t>SZ002066</t>
  </si>
  <si>
    <t>SH600678</t>
  </si>
  <si>
    <t>SZ000619</t>
  </si>
  <si>
    <t>SH600425</t>
  </si>
  <si>
    <t>SZ002718</t>
  </si>
  <si>
    <t>SZ300715</t>
  </si>
  <si>
    <t>SH600819</t>
  </si>
  <si>
    <t>SZ300374</t>
  </si>
  <si>
    <t>SZ002791</t>
  </si>
  <si>
    <t>SZ000012</t>
  </si>
  <si>
    <t>SZ000023</t>
  </si>
  <si>
    <t>SZ300737</t>
  </si>
  <si>
    <t>SH603038</t>
  </si>
  <si>
    <t>SZ002302</t>
  </si>
  <si>
    <t>SZ002372</t>
  </si>
  <si>
    <t>SZ002271</t>
  </si>
  <si>
    <t>SZ002457</t>
  </si>
  <si>
    <t>SZ002043</t>
  </si>
  <si>
    <t>SZ002225</t>
  </si>
  <si>
    <t>SZ000935</t>
  </si>
  <si>
    <t>SH603856</t>
  </si>
  <si>
    <t>SZ300599</t>
  </si>
  <si>
    <t>SZ002641</t>
  </si>
  <si>
    <t>SH600326</t>
  </si>
  <si>
    <t>SH601636</t>
  </si>
  <si>
    <t>SH600802</t>
  </si>
  <si>
    <t>SZ002088</t>
  </si>
  <si>
    <t>SZ002398</t>
  </si>
  <si>
    <t>垒知集团</t>
  </si>
  <si>
    <t>SZ002392</t>
  </si>
  <si>
    <t>SZ000401</t>
  </si>
  <si>
    <t>SH601992</t>
  </si>
  <si>
    <t>SZ002233</t>
  </si>
  <si>
    <t>SH600585</t>
  </si>
  <si>
    <t>SH600801</t>
  </si>
  <si>
    <t>SZ000789</t>
  </si>
  <si>
    <t>SH600449</t>
  </si>
  <si>
    <t>SH600668</t>
  </si>
  <si>
    <t>SZ000877</t>
  </si>
  <si>
    <t>SZ000672</t>
  </si>
  <si>
    <t>SZ002333</t>
  </si>
  <si>
    <t>SZ002671</t>
  </si>
  <si>
    <t>SZ002694</t>
  </si>
  <si>
    <t>SZ300198</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</si>
  <si>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</si>
  <si>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</si>
  <si>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</si>
  <si>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</si>
  <si>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</si>
  <si>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</si>
  <si>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</si>
  <si>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</si>
  <si>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</si>
  <si>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</si>
  <si>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</si>
  <si>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104.72亿</t>
  </si>
  <si>
    <t>5.36亿</t>
  </si>
  <si>
    <t>1.45亿</t>
  </si>
  <si>
    <t>--</t>
  </si>
  <si>
    <t>0亿</t>
  </si>
  <si>
    <t>17.23亿</t>
  </si>
  <si>
    <t>7.07亿</t>
  </si>
  <si>
    <t>1.65亿</t>
  </si>
  <si>
    <t>45.11亿</t>
  </si>
  <si>
    <t>2.08亿</t>
  </si>
  <si>
    <t>1.42亿</t>
  </si>
  <si>
    <t>1.20亿</t>
  </si>
  <si>
    <t>3.40亿</t>
  </si>
  <si>
    <t>3.06亿</t>
  </si>
  <si>
    <t>1.30亿</t>
  </si>
  <si>
    <t>5.63亿</t>
  </si>
  <si>
    <t>93.06亿</t>
  </si>
  <si>
    <t>2.44亿</t>
  </si>
  <si>
    <t>1.50亿</t>
  </si>
  <si>
    <t>5.57亿</t>
  </si>
  <si>
    <t>1.36亿</t>
  </si>
  <si>
    <t>4.52亿</t>
  </si>
  <si>
    <t>3.33亿</t>
  </si>
  <si>
    <t>345.07亿</t>
  </si>
  <si>
    <t>27.01亿</t>
  </si>
  <si>
    <t>9.65亿</t>
  </si>
  <si>
    <t>1.33亿</t>
  </si>
  <si>
    <t>4.24亿</t>
  </si>
  <si>
    <t>43.11亿</t>
  </si>
  <si>
    <t>1.05亿</t>
  </si>
  <si>
    <t>1.71亿</t>
  </si>
  <si>
    <t>74.12亿</t>
  </si>
  <si>
    <t>23.31亿</t>
  </si>
  <si>
    <t>113.90亿</t>
  </si>
  <si>
    <t>13.69亿</t>
  </si>
  <si>
    <t>2.01亿</t>
  </si>
  <si>
    <t>9.54亿</t>
  </si>
  <si>
    <t>3.30亿</t>
  </si>
  <si>
    <t>96.88亿</t>
  </si>
  <si>
    <t>16.36亿</t>
  </si>
  <si>
    <t>2.60亿</t>
  </si>
  <si>
    <t>18.10亿</t>
  </si>
  <si>
    <t>7.29亿</t>
  </si>
  <si>
    <t>68.91亿</t>
  </si>
  <si>
    <t>17.33亿</t>
  </si>
  <si>
    <t>1.61亿</t>
  </si>
  <si>
    <t>56.21亿</t>
  </si>
  <si>
    <t>15.08亿</t>
  </si>
  <si>
    <t>1.21亿</t>
  </si>
  <si>
    <t>31.39亿</t>
  </si>
  <si>
    <t>2.21亿</t>
  </si>
  <si>
    <t>1.19亿</t>
  </si>
  <si>
    <t>47.90亿</t>
  </si>
  <si>
    <t>7.69亿</t>
  </si>
  <si>
    <t>1.12亿</t>
  </si>
  <si>
    <t>1570.30亿</t>
  </si>
  <si>
    <t>335.93亿</t>
  </si>
  <si>
    <t>35.48亿</t>
  </si>
  <si>
    <t>7.25亿</t>
  </si>
  <si>
    <t>1.00亿</t>
  </si>
  <si>
    <t>4.48亿</t>
  </si>
  <si>
    <t>8.17亿</t>
  </si>
  <si>
    <t>2.34亿</t>
  </si>
  <si>
    <t>314.39亿</t>
  </si>
  <si>
    <t>63.42亿</t>
  </si>
  <si>
    <t>3.72亿</t>
  </si>
  <si>
    <t>30.44亿</t>
  </si>
  <si>
    <t>4.67亿</t>
  </si>
  <si>
    <t>2.73亿</t>
  </si>
  <si>
    <t>918.29亿</t>
  </si>
  <si>
    <t>36.94亿</t>
  </si>
  <si>
    <t>1.39亿</t>
  </si>
  <si>
    <t>18.31亿</t>
  </si>
  <si>
    <t>5082.46万</t>
  </si>
  <si>
    <t>36.14亿</t>
  </si>
  <si>
    <t>1160.03万</t>
  </si>
  <si>
    <t>14.29亿</t>
  </si>
  <si>
    <t>1.35亿</t>
  </si>
  <si>
    <t>1.67亿</t>
  </si>
  <si>
    <t>133.23亿</t>
  </si>
  <si>
    <t>4.41亿</t>
  </si>
  <si>
    <t>2.63亿</t>
  </si>
  <si>
    <t>46.32亿</t>
  </si>
  <si>
    <t>3.94亿</t>
  </si>
  <si>
    <t>1.14亿</t>
  </si>
  <si>
    <t>10.22亿</t>
  </si>
  <si>
    <t>3.00亿</t>
  </si>
  <si>
    <t>2.33亿</t>
  </si>
  <si>
    <t>181.54亿</t>
  </si>
  <si>
    <t>20.66亿</t>
  </si>
  <si>
    <t>228.96亿</t>
  </si>
  <si>
    <t>6.61亿</t>
  </si>
  <si>
    <t>2.04亿</t>
  </si>
  <si>
    <t>-3.18亿</t>
  </si>
  <si>
    <t>7.11亿</t>
  </si>
  <si>
    <t>4899.87万</t>
  </si>
  <si>
    <t>3.70亿</t>
  </si>
  <si>
    <t>33.94亿</t>
  </si>
  <si>
    <t>4.02亿</t>
  </si>
  <si>
    <t>25.77亿</t>
  </si>
  <si>
    <t>-4.12亿</t>
  </si>
  <si>
    <t>21.95亿</t>
  </si>
  <si>
    <t>4.22亿</t>
  </si>
  <si>
    <t>9646.58万</t>
  </si>
  <si>
    <t>1.97亿</t>
  </si>
  <si>
    <t>1.38亿</t>
  </si>
  <si>
    <t>1.18亿</t>
  </si>
  <si>
    <t>1.07亿</t>
  </si>
  <si>
    <t>-3502.64万</t>
  </si>
  <si>
    <t>52.55亿</t>
  </si>
  <si>
    <t>4.39亿</t>
  </si>
  <si>
    <t>1.24亿</t>
  </si>
  <si>
    <t>1.93亿</t>
  </si>
  <si>
    <t>1.04亿</t>
  </si>
  <si>
    <t>1.11亿</t>
  </si>
  <si>
    <t>6.54亿</t>
  </si>
  <si>
    <t>8.25亿</t>
  </si>
  <si>
    <t>2.02亿</t>
  </si>
  <si>
    <t>3.25亿</t>
  </si>
  <si>
    <t>9.91亿</t>
  </si>
  <si>
    <t>3.08亿</t>
  </si>
  <si>
    <t>6.85亿</t>
  </si>
  <si>
    <t>5785.68万</t>
  </si>
  <si>
    <t>1.79亿</t>
  </si>
  <si>
    <t>1.03亿</t>
  </si>
  <si>
    <t>11.65亿</t>
  </si>
  <si>
    <t>46.52亿</t>
  </si>
  <si>
    <t>3.63亿</t>
  </si>
  <si>
    <t>2.95亿</t>
  </si>
  <si>
    <t>3930.21万</t>
  </si>
  <si>
    <t>9.10亿</t>
  </si>
  <si>
    <t>9376.17万</t>
  </si>
  <si>
    <t>1.16亿</t>
  </si>
  <si>
    <t>1.06亿</t>
  </si>
  <si>
    <t>1.23亿</t>
  </si>
  <si>
    <t>1.70亿</t>
  </si>
  <si>
    <t>SH605318</t>
  </si>
  <si>
    <t>法狮龙</t>
  </si>
  <si>
    <t>4.80亿</t>
  </si>
  <si>
    <t>8467.15万</t>
  </si>
  <si>
    <t>39.00亿</t>
  </si>
  <si>
    <t>2563.84万</t>
  </si>
  <si>
    <t>21.47亿</t>
  </si>
  <si>
    <t>41.40亿</t>
  </si>
  <si>
    <t>2.52亿</t>
  </si>
  <si>
    <t>37.42亿</t>
  </si>
  <si>
    <t>4.16亿</t>
  </si>
  <si>
    <t>18.42亿</t>
  </si>
  <si>
    <t>2.18亿</t>
  </si>
  <si>
    <t>中铁装配</t>
  </si>
  <si>
    <t>6732.46万</t>
  </si>
  <si>
    <t>2.79亿</t>
  </si>
  <si>
    <t>46.64亿</t>
  </si>
  <si>
    <t>9.83亿</t>
  </si>
  <si>
    <t>1.57亿</t>
  </si>
  <si>
    <t>62.91亿</t>
  </si>
  <si>
    <t>5.14亿</t>
  </si>
  <si>
    <t>1.46亿</t>
  </si>
  <si>
    <t>11.18亿</t>
  </si>
  <si>
    <t>719.11万</t>
  </si>
  <si>
    <t>3.15亿</t>
  </si>
  <si>
    <t>16.40亿</t>
  </si>
  <si>
    <t>1067.76万</t>
  </si>
  <si>
    <t>8.08亿</t>
  </si>
  <si>
    <t>2.37亿</t>
  </si>
  <si>
    <t>3.31亿</t>
  </si>
  <si>
    <t>20.21亿</t>
  </si>
  <si>
    <t>7.54亿</t>
  </si>
  <si>
    <t>1.69亿</t>
  </si>
  <si>
    <t>9.77亿</t>
  </si>
  <si>
    <t>-6701.84万</t>
  </si>
  <si>
    <t>1.44亿</t>
  </si>
  <si>
    <t>18.39亿</t>
  </si>
  <si>
    <t>流动资产</t>
  </si>
  <si>
    <t>营业收入[20191231]</t>
  </si>
  <si>
    <t>营业收入[20181231]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</si>
  <si>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</si>
  <si>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</si>
  <si>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</si>
  <si>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</si>
  <si>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</si>
  <si>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</si>
  <si>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</si>
  <si>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</si>
  <si>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</si>
  <si>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106.71亿</t>
  </si>
  <si>
    <t>7.79亿</t>
  </si>
  <si>
    <t>106.10亿</t>
  </si>
  <si>
    <t>4.53亿</t>
  </si>
  <si>
    <t>17.83亿</t>
  </si>
  <si>
    <t>-795.43万</t>
  </si>
  <si>
    <t>1.09亿</t>
  </si>
  <si>
    <t>16.11亿</t>
  </si>
  <si>
    <t>2632.05万</t>
  </si>
  <si>
    <t>354.80亿</t>
  </si>
  <si>
    <t>28.50亿</t>
  </si>
  <si>
    <t>2.45亿</t>
  </si>
  <si>
    <t>314.48亿</t>
  </si>
  <si>
    <t>19.04亿</t>
  </si>
  <si>
    <t>4.74亿</t>
  </si>
  <si>
    <t>1.34亿</t>
  </si>
  <si>
    <t>39.08亿</t>
  </si>
  <si>
    <t>3235.94万</t>
  </si>
  <si>
    <t>2.14亿</t>
  </si>
  <si>
    <t>30.90亿</t>
  </si>
  <si>
    <t>970.27万</t>
  </si>
  <si>
    <t>64.32亿</t>
  </si>
  <si>
    <t>20.26亿</t>
  </si>
  <si>
    <t>53.05亿</t>
  </si>
  <si>
    <t>14.72亿</t>
  </si>
  <si>
    <t>7.92亿</t>
  </si>
  <si>
    <t>5.17亿</t>
  </si>
  <si>
    <t>1.22亿</t>
  </si>
  <si>
    <t>125.65亿</t>
  </si>
  <si>
    <t>24.66亿</t>
  </si>
  <si>
    <t>125.29亿</t>
  </si>
  <si>
    <t>14.81亿</t>
  </si>
  <si>
    <t>1.41亿</t>
  </si>
  <si>
    <t>7.49亿</t>
  </si>
  <si>
    <t>102.08亿</t>
  </si>
  <si>
    <t>11.38亿</t>
  </si>
  <si>
    <t>4.63亿</t>
  </si>
  <si>
    <t>2.29亿</t>
  </si>
  <si>
    <t>2.49亿</t>
  </si>
  <si>
    <t>16.71亿</t>
  </si>
  <si>
    <t>1.54亿</t>
  </si>
  <si>
    <t>79.32亿</t>
  </si>
  <si>
    <t>12.41亿</t>
  </si>
  <si>
    <t>14.73亿</t>
  </si>
  <si>
    <t>8.89亿</t>
  </si>
  <si>
    <t>19.40亿</t>
  </si>
  <si>
    <t>6.96亿</t>
  </si>
  <si>
    <t>64.66亿</t>
  </si>
  <si>
    <t>4.03亿</t>
  </si>
  <si>
    <t>7.12亿</t>
  </si>
  <si>
    <t>9.46亿</t>
  </si>
  <si>
    <t>43.06亿</t>
  </si>
  <si>
    <t>3.65亿</t>
  </si>
  <si>
    <t>42.16亿</t>
  </si>
  <si>
    <t>2773.93万</t>
  </si>
  <si>
    <t>1.37亿</t>
  </si>
  <si>
    <t>37.86亿</t>
  </si>
  <si>
    <t>21.77亿</t>
  </si>
  <si>
    <t>1728.53万</t>
  </si>
  <si>
    <t>23.26亿</t>
  </si>
  <si>
    <t>2.82亿</t>
  </si>
  <si>
    <t>3.07亿</t>
  </si>
  <si>
    <t>2.40亿</t>
  </si>
  <si>
    <t>9.78亿</t>
  </si>
  <si>
    <t>5.65亿</t>
  </si>
  <si>
    <t>41.74亿</t>
  </si>
  <si>
    <t>9.50亿</t>
  </si>
  <si>
    <t>1.76亿</t>
  </si>
  <si>
    <t>3.03亿</t>
  </si>
  <si>
    <t>6.50亿</t>
  </si>
  <si>
    <t>38.88亿</t>
  </si>
  <si>
    <t>2.22亿</t>
  </si>
  <si>
    <t>70.47亿</t>
  </si>
  <si>
    <t>17.82亿</t>
  </si>
  <si>
    <t>66.30亿</t>
  </si>
  <si>
    <t>SZ002247</t>
  </si>
  <si>
    <t>6.21亿</t>
  </si>
  <si>
    <t>9.97亿</t>
  </si>
  <si>
    <t>1.66亿</t>
  </si>
  <si>
    <t>22.46亿</t>
  </si>
  <si>
    <t>8.95亿</t>
  </si>
  <si>
    <t>217.30亿</t>
  </si>
  <si>
    <t>33.89亿</t>
  </si>
  <si>
    <t>140.46亿</t>
  </si>
  <si>
    <t>234.23亿</t>
  </si>
  <si>
    <t>7.84亿</t>
  </si>
  <si>
    <t>6.12亿</t>
  </si>
  <si>
    <t>188.49亿</t>
  </si>
  <si>
    <t>-1.09亿</t>
  </si>
  <si>
    <t>8.40亿</t>
  </si>
  <si>
    <t>2687.53万</t>
  </si>
  <si>
    <t>11.03亿</t>
  </si>
  <si>
    <t>-1.53亿</t>
  </si>
  <si>
    <t>51.05亿</t>
  </si>
  <si>
    <t>11.93亿</t>
  </si>
  <si>
    <t>1.56亿</t>
  </si>
  <si>
    <t>45.70亿</t>
  </si>
  <si>
    <t>8.21亿</t>
  </si>
  <si>
    <t>31.97亿</t>
  </si>
  <si>
    <t>38.71亿</t>
  </si>
  <si>
    <t>27.16亿</t>
  </si>
  <si>
    <t>19.96亿</t>
  </si>
  <si>
    <t>14.40亿</t>
  </si>
  <si>
    <t>7.89亿</t>
  </si>
  <si>
    <t>7379.61万</t>
  </si>
  <si>
    <t>31.21亿</t>
  </si>
  <si>
    <t>29.04亿</t>
  </si>
  <si>
    <t>4143.64万</t>
  </si>
  <si>
    <t>1.01亿</t>
  </si>
  <si>
    <t>18.03亿</t>
  </si>
  <si>
    <t>3.60亿</t>
  </si>
  <si>
    <t>70.36亿</t>
  </si>
  <si>
    <t>7.70亿</t>
  </si>
  <si>
    <t>3.19亿</t>
  </si>
  <si>
    <t>53.54亿</t>
  </si>
  <si>
    <t>2.59亿</t>
  </si>
  <si>
    <t>-1.21亿</t>
  </si>
  <si>
    <t>27.40亿</t>
  </si>
  <si>
    <t>3960.44万</t>
  </si>
  <si>
    <t>8.37亿</t>
  </si>
  <si>
    <t>-9005.10万</t>
  </si>
  <si>
    <t>1.73亿</t>
  </si>
  <si>
    <t>10.12亿</t>
  </si>
  <si>
    <t>-9461.53万</t>
  </si>
  <si>
    <t>-2.49亿</t>
  </si>
  <si>
    <t>16.64亿</t>
  </si>
  <si>
    <t>-1.16亿</t>
  </si>
  <si>
    <t>7.57亿</t>
  </si>
  <si>
    <t>8355.88万</t>
  </si>
  <si>
    <t>6.40亿</t>
  </si>
  <si>
    <t>1209.13万</t>
  </si>
  <si>
    <t>1.59亿</t>
  </si>
  <si>
    <t>11.49亿</t>
  </si>
  <si>
    <t>1020.51万</t>
  </si>
  <si>
    <t>67.37亿</t>
  </si>
  <si>
    <t>38.53亿</t>
  </si>
  <si>
    <t>1.72亿</t>
  </si>
  <si>
    <t>SZ003037</t>
  </si>
  <si>
    <t>三和管桩</t>
  </si>
  <si>
    <t>71.52亿</t>
  </si>
  <si>
    <t>60.89亿</t>
  </si>
  <si>
    <t>56.95亿</t>
  </si>
  <si>
    <t>4822.06万</t>
  </si>
  <si>
    <t>11.34亿</t>
  </si>
  <si>
    <t>14.80亿</t>
  </si>
  <si>
    <t>11.17亿</t>
  </si>
  <si>
    <t>-3.97亿</t>
  </si>
  <si>
    <t>7497.31万</t>
  </si>
  <si>
    <t>2.90亿</t>
  </si>
  <si>
    <t>-7147.74万</t>
  </si>
  <si>
    <t>1409.98万</t>
  </si>
  <si>
    <t>7.71亿</t>
  </si>
  <si>
    <t>10.67亿</t>
  </si>
  <si>
    <t>7087.89万</t>
  </si>
  <si>
    <t>20.69亿</t>
  </si>
  <si>
    <t>2.13亿</t>
  </si>
  <si>
    <t>18.73亿</t>
  </si>
  <si>
    <t>20.08亿</t>
  </si>
  <si>
    <t>6.19亿</t>
  </si>
  <si>
    <t>6510.28万</t>
  </si>
  <si>
    <t>62.38亿</t>
  </si>
  <si>
    <t>8.90亿</t>
  </si>
  <si>
    <t>4.37亿</t>
  </si>
  <si>
    <t>30.97亿</t>
  </si>
  <si>
    <t>1.85亿</t>
  </si>
  <si>
    <t>1.32亿</t>
  </si>
  <si>
    <t>70.77亿</t>
  </si>
  <si>
    <t>50.21亿</t>
  </si>
  <si>
    <t>4.50亿</t>
  </si>
  <si>
    <t>30.35亿</t>
  </si>
  <si>
    <t>24.14亿</t>
  </si>
  <si>
    <t>51.10亿</t>
  </si>
  <si>
    <t>41.73亿</t>
  </si>
  <si>
    <t>4.28亿</t>
  </si>
  <si>
    <t>1284.03亿</t>
  </si>
  <si>
    <t>298.14亿</t>
  </si>
  <si>
    <t>32.47亿</t>
  </si>
  <si>
    <t>5.84亿</t>
  </si>
  <si>
    <t>33.62亿</t>
  </si>
  <si>
    <t>5.89亿</t>
  </si>
  <si>
    <t>3.48亿</t>
  </si>
  <si>
    <t>2.85亿</t>
  </si>
  <si>
    <t>3823.58万</t>
  </si>
  <si>
    <t>3168.36万</t>
  </si>
  <si>
    <t>293.57亿</t>
  </si>
  <si>
    <t>56.31亿</t>
  </si>
  <si>
    <t>274.66亿</t>
  </si>
  <si>
    <t>51.81亿</t>
  </si>
  <si>
    <t>29.60亿</t>
  </si>
  <si>
    <t>2.78亿</t>
  </si>
  <si>
    <t>29.47亿</t>
  </si>
  <si>
    <t>3.37亿</t>
  </si>
  <si>
    <t>40.85亿</t>
  </si>
  <si>
    <t>38.57亿</t>
  </si>
  <si>
    <t>9068.19万</t>
  </si>
  <si>
    <t>2.26亿</t>
  </si>
  <si>
    <t>4.04亿</t>
  </si>
  <si>
    <t>8.72亿</t>
  </si>
  <si>
    <t>83.78亿</t>
  </si>
  <si>
    <t>12.08亿</t>
  </si>
  <si>
    <t>1080.05亿</t>
  </si>
  <si>
    <t>28.44亿</t>
  </si>
  <si>
    <t>831.17亿</t>
  </si>
  <si>
    <t>32.60亿</t>
  </si>
  <si>
    <t>8.66亿</t>
  </si>
  <si>
    <t>3397.69万</t>
  </si>
  <si>
    <t>8297.66万</t>
  </si>
  <si>
    <t>2847.35万</t>
  </si>
  <si>
    <t>13.37亿</t>
  </si>
  <si>
    <t>10.49亿</t>
  </si>
  <si>
    <t>1290.30万</t>
  </si>
  <si>
    <t>8.27亿</t>
  </si>
  <si>
    <t>23.93亿</t>
  </si>
  <si>
    <t>16.37亿</t>
  </si>
  <si>
    <t>SH605122</t>
  </si>
  <si>
    <t>四方新材</t>
  </si>
  <si>
    <t>11.79亿</t>
  </si>
  <si>
    <t>15.26亿</t>
  </si>
  <si>
    <t>14.52亿</t>
  </si>
  <si>
    <t>6419.37万</t>
  </si>
  <si>
    <t>8203.30万</t>
  </si>
  <si>
    <t>1.房地产需求不达预期的风险，应对措施：公司将继续加大市场开发力度，优化客户结构和产品结构，开发更多优质地产客户，加大对基础设施建设领域的市场开发，提高在高铁、地铁、核电、地下管廊、海绵城市、综合场馆等领域的销售收入；2.工建业务中，又可以细分为地产业务和非地产业务，目前科顺的地产业务收入比例大概占80%，非地产业务占20%，未来，我们也要加大非地产业务的开拓力度，争取在三年内将非地产业务比例提升到30%</t>
    <phoneticPr fontId="1" type="noConversion"/>
  </si>
  <si>
    <t>1.核心竞争力：品牌，产品研发，产能布局，成本优势，多层次的市场营销网络，产品品类优势，应用技术及系统服务优势；2.定增80亿，高瓴也入股</t>
    <phoneticPr fontId="1" type="noConversion"/>
  </si>
  <si>
    <r>
      <t>1. 防水材料制造商议价能力相对较弱。但好处也在于，建筑防水材料发展较
为成熟，目前还没有可以完全替代的产品，产品被替代的风险较低；2。明确提出公司产能在</t>
    </r>
    <r>
      <rPr>
        <b/>
        <sz val="9"/>
        <color rgb="FFFF0000"/>
        <rFont val="宋体"/>
        <family val="3"/>
        <charset val="134"/>
        <scheme val="minor"/>
      </rPr>
      <t>未来三年将保持40%</t>
    </r>
    <r>
      <rPr>
        <sz val="9"/>
        <color theme="1"/>
        <rFont val="宋体"/>
        <family val="2"/>
        <charset val="134"/>
        <scheme val="minor"/>
      </rPr>
      <t>的复合增长（2021~2023），力争确保 2022年公司实现销售过百亿，并力争在 2025年达到200亿营收规模；3.国内建筑防水行业市场容量在</t>
    </r>
    <r>
      <rPr>
        <b/>
        <sz val="9"/>
        <color rgb="FFFF0000"/>
        <rFont val="宋体"/>
        <family val="3"/>
        <charset val="134"/>
        <scheme val="minor"/>
      </rPr>
      <t>2000 亿元</t>
    </r>
    <r>
      <rPr>
        <sz val="9"/>
        <color theme="1"/>
        <rFont val="宋体"/>
        <family val="2"/>
        <charset val="134"/>
        <scheme val="minor"/>
      </rPr>
      <t>以上，但集中度较低，公司市占率不足 4%；4.本次收购丰泽股份系公司践行企业使命、履行公司战略规划的重大探索。丰泽股份的产品主要应用均与</t>
    </r>
    <r>
      <rPr>
        <sz val="9"/>
        <color rgb="FFFF0000"/>
        <rFont val="宋体"/>
        <family val="3"/>
        <charset val="134"/>
        <scheme val="minor"/>
      </rPr>
      <t>房屋建筑、市政基建工程</t>
    </r>
    <r>
      <rPr>
        <sz val="9"/>
        <color theme="1"/>
        <rFont val="宋体"/>
        <family val="2"/>
        <charset val="134"/>
        <scheme val="minor"/>
      </rPr>
      <t>的使用寿命息息相关,属于功能性材料，主要产品为：支座、伸缩装置、止水带。收购后科顺获得了丰泽的多个城轨装备行业证书；5.实控人</t>
    </r>
    <r>
      <rPr>
        <b/>
        <sz val="9"/>
        <color rgb="FFFF0000"/>
        <rFont val="宋体"/>
        <family val="3"/>
        <charset val="134"/>
        <scheme val="minor"/>
      </rPr>
      <t>陈伟忠直接定增2个亿，</t>
    </r>
    <r>
      <rPr>
        <sz val="9"/>
        <rFont val="宋体"/>
        <family val="3"/>
        <charset val="134"/>
        <scheme val="minor"/>
      </rPr>
      <t>9.77元定增价，2.36千万股，新</t>
    </r>
    <r>
      <rPr>
        <sz val="9"/>
        <color theme="1"/>
        <rFont val="宋体"/>
        <family val="2"/>
        <charset val="134"/>
        <scheme val="minor"/>
      </rPr>
      <t>增股份原因：控制公司财务风险 ，改善公司财务结构</t>
    </r>
    <phoneticPr fontId="1" type="noConversion"/>
  </si>
  <si>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</si>
  <si>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</si>
  <si>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</si>
  <si>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</si>
  <si>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</si>
  <si>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</si>
  <si>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</si>
  <si>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</si>
  <si>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</si>
  <si>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</si>
  <si>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</si>
  <si>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</si>
  <si>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</si>
  <si>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</si>
  <si>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</si>
  <si>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2.94亿</t>
  </si>
  <si>
    <t>6.78亿</t>
  </si>
  <si>
    <t>2.24亿</t>
  </si>
  <si>
    <t>聚力文化</t>
  </si>
  <si>
    <t>罗普斯金</t>
  </si>
  <si>
    <r>
      <t xml:space="preserve">目前，国内建筑防水行业集中度较低、市场较为分散、竞争不够规范，“大行业、小企业”依旧是行业发展标签；2020 年，建筑防水材料总产量为 </t>
    </r>
    <r>
      <rPr>
        <b/>
        <sz val="9"/>
        <color rgb="FFFF0000"/>
        <rFont val="宋体"/>
        <family val="3"/>
        <charset val="134"/>
        <scheme val="minor"/>
      </rPr>
      <t>25.15 亿平方米</t>
    </r>
    <r>
      <rPr>
        <sz val="9"/>
        <color theme="1"/>
        <rFont val="宋体"/>
        <family val="2"/>
        <charset val="134"/>
        <scheme val="minor"/>
      </rPr>
      <t xml:space="preserve">，规模以上防水企业的主营业务收入累计为 </t>
    </r>
    <r>
      <rPr>
        <b/>
        <sz val="9"/>
        <color rgb="FFFF0000"/>
        <rFont val="宋体"/>
        <family val="3"/>
        <charset val="134"/>
        <scheme val="minor"/>
      </rPr>
      <t>1,087.00 亿元</t>
    </r>
    <r>
      <rPr>
        <sz val="9"/>
        <color theme="1"/>
        <rFont val="宋体"/>
        <family val="2"/>
        <charset val="134"/>
        <scheme val="minor"/>
      </rPr>
      <t>。
防水卷材 112.33亿 51.69%（毛利39.15%，增速12.56%）防水涂料 60.14亿 27.67%（毛利41.19%，增速23.35%）防水施工 33.04亿 15.20%（毛利28.48%，增速40.7%）其他收入 11.03亿 5.08%（毛利20.23%，增速32.74%）材料销售 7671.51万 0.35%（毛利13.57%，增速-36.11%）</t>
    </r>
    <phoneticPr fontId="1" type="noConversion"/>
  </si>
  <si>
    <t>根据“中国混凝土网”数据，公司近年来稳居中国预拌混凝土行业第二位，为全国规模最大的专业预拌
混凝土上市公司
商品砼 229.56亿 98.01%（毛利11.43%，增速29.96%）
外销水泥 2.76亿 1.18%
外销外加剂 1.32亿 0.56%</t>
    <phoneticPr fontId="1" type="noConversion"/>
  </si>
  <si>
    <t>销售毛利率%[20201231]</t>
  </si>
  <si>
    <t>销售净利率%[20201231]</t>
  </si>
  <si>
    <t>SZ002080</t>
  </si>
  <si>
    <t>中材科技</t>
  </si>
  <si>
    <t>1.17亿</t>
  </si>
  <si>
    <t>135.90亿</t>
  </si>
  <si>
    <t>114.58亿</t>
  </si>
  <si>
    <t>13.80亿</t>
  </si>
  <si>
    <t>9.30亿</t>
  </si>
  <si>
    <t>4.06亿</t>
  </si>
  <si>
    <t>SZ002201</t>
  </si>
  <si>
    <t>3451.47万</t>
  </si>
  <si>
    <t>9.84亿</t>
  </si>
  <si>
    <t>10.71亿</t>
  </si>
  <si>
    <t>2802.19万</t>
  </si>
  <si>
    <t>1860.38万</t>
  </si>
  <si>
    <t>SZ002613</t>
  </si>
  <si>
    <t>北玻股份</t>
  </si>
  <si>
    <t>10.65亿</t>
  </si>
  <si>
    <t>1363.21万</t>
  </si>
  <si>
    <t>10.95亿</t>
  </si>
  <si>
    <t>10.15亿</t>
  </si>
  <si>
    <t>2662.84万</t>
  </si>
  <si>
    <t>3724.70万</t>
  </si>
  <si>
    <t>SZ300196</t>
  </si>
  <si>
    <t>长海股份</t>
  </si>
  <si>
    <t>20.43亿</t>
  </si>
  <si>
    <t>2.71亿</t>
  </si>
  <si>
    <t>22.10亿</t>
  </si>
  <si>
    <t>21.98亿</t>
  </si>
  <si>
    <t>2.89亿</t>
  </si>
  <si>
    <t>SH600176</t>
  </si>
  <si>
    <t>中国巨石</t>
  </si>
  <si>
    <t>116.66亿</t>
  </si>
  <si>
    <t>104.93亿</t>
  </si>
  <si>
    <t>100.32亿</t>
  </si>
  <si>
    <t>SH600293</t>
  </si>
  <si>
    <t>三峡新材</t>
  </si>
  <si>
    <t>25.78亿</t>
  </si>
  <si>
    <t>-20.65亿</t>
  </si>
  <si>
    <t>31.82亿</t>
  </si>
  <si>
    <t>94.22亿</t>
  </si>
  <si>
    <t>1082.36万</t>
  </si>
  <si>
    <t>11.51亿</t>
  </si>
  <si>
    <t>SH603256</t>
  </si>
  <si>
    <t>6.63亿</t>
  </si>
  <si>
    <t>SH603601</t>
  </si>
  <si>
    <t>再升科技</t>
  </si>
  <si>
    <t>18.84亿</t>
  </si>
  <si>
    <t>12.52亿</t>
  </si>
  <si>
    <t>10.82亿</t>
  </si>
  <si>
    <t>SH605006</t>
  </si>
  <si>
    <t>山东玻纤</t>
  </si>
  <si>
    <t>18.11亿</t>
  </si>
  <si>
    <t>8.01亿</t>
  </si>
  <si>
    <t>13.50亿</t>
  </si>
  <si>
    <t>8.62亿</t>
  </si>
  <si>
    <t>29.33亿</t>
  </si>
  <si>
    <t>7.82亿</t>
  </si>
  <si>
    <t>3.26亿</t>
  </si>
  <si>
    <t>SZ000055</t>
  </si>
  <si>
    <t>方大集团</t>
  </si>
  <si>
    <t>30.06亿</t>
  </si>
  <si>
    <t>30.49亿</t>
  </si>
  <si>
    <t>11.44亿</t>
  </si>
  <si>
    <t>5.29亿</t>
  </si>
  <si>
    <t>SZ001212</t>
  </si>
  <si>
    <t>中旗新材</t>
  </si>
  <si>
    <t>5.55亿</t>
  </si>
  <si>
    <t>8628.93万</t>
  </si>
  <si>
    <t>33.05亿</t>
  </si>
  <si>
    <t>-12.85亿</t>
  </si>
  <si>
    <t>-29.95亿</t>
  </si>
  <si>
    <t>2.70亿</t>
  </si>
  <si>
    <t>1.47亿</t>
  </si>
  <si>
    <t>12.43亿</t>
  </si>
  <si>
    <t>SZ301010</t>
  </si>
  <si>
    <t>晶雪节能</t>
  </si>
  <si>
    <t>7.73亿</t>
  </si>
  <si>
    <t>6020.66万</t>
  </si>
  <si>
    <t>5.95亿</t>
  </si>
  <si>
    <t>5.43亿</t>
  </si>
  <si>
    <t>6350.67万</t>
  </si>
  <si>
    <t>5475.85万</t>
  </si>
  <si>
    <t>SH603378</t>
  </si>
  <si>
    <t>亚士创能</t>
  </si>
  <si>
    <t>35.07亿</t>
  </si>
  <si>
    <t>24.25亿</t>
  </si>
  <si>
    <t>16.62亿</t>
  </si>
  <si>
    <t>5873.21万</t>
  </si>
  <si>
    <t>SH603737</t>
  </si>
  <si>
    <t>三棵树</t>
  </si>
  <si>
    <t>82.00亿</t>
  </si>
  <si>
    <t>5.02亿</t>
  </si>
  <si>
    <t>59.72亿</t>
  </si>
  <si>
    <t>35.84亿</t>
  </si>
  <si>
    <t>2.83亿</t>
  </si>
  <si>
    <t>1.13亿</t>
  </si>
  <si>
    <t>1.60亿</t>
  </si>
  <si>
    <t>6.57亿</t>
  </si>
  <si>
    <t>3.98亿</t>
  </si>
  <si>
    <t>1. 计划将石膏板全球业务产能布局扩大至50亿平方米左右，配套进行100万吨龙骨产能布局，将粉料砂浆业务产能扩大至400万吨，将防水材料产业基地发展至30个、涂料产业基地发展至20个。</t>
    <phoneticPr fontId="1" type="noConversion"/>
  </si>
  <si>
    <t>公司的石膏板产品已投产产能达到28.24亿平方米。石膏板的合理运输半径约为300-500公里。
石膏板 109.42亿 65.12%（毛利35.90%）防水卷材 24.48亿 14.57%（毛利36.68%）龙骨 19.64亿 11.69%（毛利24.68%）其他 6.15亿 3.66% 防水涂料 4.28亿 2.55% 防水工程 4.05亿 2.41%</t>
    <phoneticPr fontId="1" type="noConversion"/>
  </si>
  <si>
    <r>
      <t>1.凯伦股份是我国最早研发高分子防水材料的企业之一，2020年其在高分子材料领域的市场份额为5%；2.按照行业协会综合测算，2020年防水材料总需求同比增长</t>
    </r>
    <r>
      <rPr>
        <sz val="9"/>
        <color rgb="FFFF0000"/>
        <rFont val="宋体"/>
        <family val="3"/>
        <charset val="134"/>
        <scheme val="minor"/>
      </rPr>
      <t>7.2%，“十四五”期间将达到6到10%的增速；</t>
    </r>
    <r>
      <rPr>
        <sz val="9"/>
        <rFont val="宋体"/>
        <family val="3"/>
        <charset val="134"/>
        <scheme val="minor"/>
      </rPr>
      <t>3.定增</t>
    </r>
    <r>
      <rPr>
        <sz val="9"/>
        <color rgb="FFFF0000"/>
        <rFont val="宋体"/>
        <family val="3"/>
        <charset val="134"/>
        <scheme val="minor"/>
      </rPr>
      <t>不超过15亿（19.28元定增价，7.78千万股），给实控人钱林弟和其控股的凯伦股份</t>
    </r>
    <r>
      <rPr>
        <sz val="9"/>
        <rFont val="宋体"/>
        <family val="3"/>
        <charset val="134"/>
        <scheme val="minor"/>
      </rPr>
      <t>，主要用途是解决资金流动性问题（负债高是凯伦目前的一个问题）</t>
    </r>
    <phoneticPr fontId="1" type="noConversion"/>
  </si>
  <si>
    <r>
      <t>1.报告期内，房地产行业是公司销售收入的主要来源。因此，房地产行业宏观调控、房地产投资增速下滑对公司销售收入的持续增长和盈利质量影响较大。应对措施：公司将持续优化销售渠道，</t>
    </r>
    <r>
      <rPr>
        <sz val="9"/>
        <color rgb="FFFF0000"/>
        <rFont val="宋体"/>
        <family val="3"/>
        <charset val="134"/>
        <scheme val="minor"/>
      </rPr>
      <t>增加非房业务占比</t>
    </r>
    <r>
      <rPr>
        <sz val="9"/>
        <color theme="1"/>
        <rFont val="宋体"/>
        <family val="2"/>
        <charset val="134"/>
        <scheme val="minor"/>
      </rPr>
      <t>，进一步拓展基础设施建设、城市新兴基建及工业仓储物流等非房地产领域的业务范围；</t>
    </r>
    <phoneticPr fontId="1" type="noConversion"/>
  </si>
  <si>
    <t>PVC卷材和TPO防水卷材是目前欧美国家普遍使用的高分子防水材料，公司已经掌握了该产品的关键技术
防水卷材 15.83亿 78.83%（毛利44.69%，增速60.74%）防水涂料 3.43亿 17.11%（毛利38.75%，增速145.11%）防水施工 4873.19万 2.43%（毛利68.22%，增速235.14%）其他 3281.28万 1.63%（增速27.37%）</t>
    <phoneticPr fontId="1" type="noConversion"/>
  </si>
  <si>
    <r>
      <t>1.媒体解读的“九鼎新材所述与正威集团的‘联动’,目前看来并非所谓的‘海威华芯注入’,而是在下一盘更大的棋”——这个说法是正确的。公司打算切入：</t>
    </r>
    <r>
      <rPr>
        <sz val="9"/>
        <color rgb="FFFF0000"/>
        <rFont val="宋体"/>
        <family val="3"/>
        <charset val="134"/>
        <scheme val="minor"/>
      </rPr>
      <t>毫米波，第三代芯片，卫星</t>
    </r>
    <phoneticPr fontId="1" type="noConversion"/>
  </si>
  <si>
    <t>2020年3月从9元涨到了2021年9月的24元；随后就跌落到了现在的16元；PE随着玻纤的销售和价格回落降到了16；2019年11月是PE11最低值。目前属于底部稍微偏上点的区域；
玻璃纤维及制品 7.98亿 67.71% 毛利38.83%
化工制品 3.31亿 28.09% 毛利21.57%
玻璃钢制品 4675.83万 3.97% 毛利24.60%
气体 278.29万 0.24% 毛利19.17%</t>
    <phoneticPr fontId="1" type="noConversion"/>
  </si>
  <si>
    <r>
      <t>1.以前风电成本偏高，抢装占领风场。以现在的风电水平，随着机组越来越大，海上风电快速增长，行业内加快大兆瓦级风电机组研发与推广，国家对新能源的发展规划，风电将会变为长期稳定的市场，今年风电补贴政策12月31号退出，</t>
    </r>
    <r>
      <rPr>
        <sz val="9"/>
        <color rgb="FFFF0000"/>
        <rFont val="宋体"/>
        <family val="3"/>
        <charset val="134"/>
        <scheme val="minor"/>
      </rPr>
      <t>主流风电厂的订单没有随着政策的退出而快速下滑的趋势，接下来的风电市场将会趋于稳定</t>
    </r>
    <phoneticPr fontId="1" type="noConversion"/>
  </si>
  <si>
    <t>电子级玻璃纤维布 6.15亿 99.09% 毛利37.99%
电子级玻璃纤维纱 567.12万 0.91% 毛利9.89%</t>
    <phoneticPr fontId="1" type="noConversion"/>
  </si>
  <si>
    <t>1.因为属于玻纤中的电子布，所以和巨石，中材之类的纯玻纤不一样，估值也不一样，走势也不一样，更接近于覆铜板pcb利基的感觉</t>
    <phoneticPr fontId="1" type="noConversion"/>
  </si>
  <si>
    <t>2020年9月上市4元，2021年9月最高到了18.7元，目前低落了价格14元，但PE今年估计能再10左右，历史最低值区域；
玻璃纤维及制品制造 16.75亿 83.93% 毛利28.27%
火力发电及热力生产和供应 3.02亿 15.15% 毛利21.97%
其他业务 1826.32万 0.92% 毛利93.65%</t>
    <phoneticPr fontId="1" type="noConversion"/>
  </si>
  <si>
    <t>从2019年8月开始2.8元（对应PE8）一直飙升到了2021年9月的28元（PE22），10倍涨幅；随后跌落至16元，对应PE11
公司从事玻璃产品制造与销售，包括优质浮法玻璃原片、节能建筑玻璃、高铝电子玻璃、中性硼硅药用玻璃、光伏新材料等玻璃产品，是国内优质建筑玻璃原片龙头企业之一。
优质浮法玻璃原片 84.28亿 87.39%（毛利37.23%）
节能建筑玻璃 11.10亿 11.50%（毛利33.18%）
其他业务 1.03亿 1.07%（毛利86.37%）
物流 389.45万 0.04%（毛利20.19%）</t>
    <phoneticPr fontId="1" type="noConversion"/>
  </si>
  <si>
    <t>1.报告期，玻璃行业持续的供给侧改革成效快速显现，加上大宗商品价格快速上涨、房地产竣工需求修复、汽车行业景气回升、国内严守抗疫成果不放松疫情影响消退，平板玻璃行业订单饱满，对需求端形成强劲支撑，报告期市场新增产能得到有效的对冲，并未对供应端造成明显的压力。2.共拥有 26 条优质浮法生产线，1条高铝电子玻璃生产线，1 条中性硼硅药用玻璃生产线，以及 5 条在建的光伏玻璃生产线、1 条筹备建设中的高铝电子玻璃生产线，2 条筹备建设中的中性硼硅药用玻璃生产线；</t>
    <phoneticPr fontId="1" type="noConversion"/>
  </si>
  <si>
    <t>1.玻璃行业对房地产市场的依赖程度较高，当前行业仍存在结构性产能过剩的情况，行业市场竞争激烈。国家继续坚持楼市调控总基调不变，坚持“房住不炒”，因城施策，落实“三稳”，持续促进平稳、健康发展。报告期，因供给侧改革效果显现、房地产竣工支撑需求修复、汽车行业景气回升，存量房更改增加，消费及节能标准提升下单位玻璃用量提升，供需格局不断改善，玻璃价格二季度继续推高。但若国家调控政策进一步趋严或出现重大不确定因素影响，导致房地产行业大幅下滑甚至负增长等波动情况，或者平板玻璃行业产能和产量的增长速度过快，均将打破行业现有的需求平衡，从而影响玻璃的销售价格下滑，市场竞争加剧，公司产品毛利率和公司经营业绩将会下降。</t>
    <phoneticPr fontId="1" type="noConversion"/>
  </si>
  <si>
    <r>
      <t>1.十四五期间，公司玻纤产业战略还是会延续“高端化、多元化和国际化”路径。在规模方面，已经具备了110万吨的产能（含中材金晶）。未来5年，在传统的领域基本维持相同水平，不会再过多扩张。但在一些高端的需求培育领域会做进一步扩张，包括低介电、扁平玻纤等产品;2.问：海外的话我们竞争对手有哪些呢？答：</t>
    </r>
    <r>
      <rPr>
        <sz val="9"/>
        <color rgb="FFFF0000"/>
        <rFont val="宋体"/>
        <family val="3"/>
        <charset val="134"/>
        <scheme val="minor"/>
      </rPr>
      <t>主流的就是TPI，然后就是GE下面的LM</t>
    </r>
    <r>
      <rPr>
        <sz val="9"/>
        <color theme="1"/>
        <rFont val="宋体"/>
        <family val="2"/>
        <charset val="134"/>
        <scheme val="minor"/>
      </rPr>
      <t>，是海外两个主流。</t>
    </r>
    <r>
      <rPr>
        <sz val="9"/>
        <color rgb="FFFF0000"/>
        <rFont val="宋体"/>
        <family val="3"/>
        <charset val="134"/>
        <scheme val="minor"/>
      </rPr>
      <t>国内</t>
    </r>
    <r>
      <rPr>
        <sz val="9"/>
        <color theme="1"/>
        <rFont val="宋体"/>
        <family val="2"/>
        <charset val="134"/>
        <scheme val="minor"/>
      </rPr>
      <t>做叶片的比较多，但是从规模、成本、技术都</t>
    </r>
    <r>
      <rPr>
        <sz val="9"/>
        <color rgb="FFFF0000"/>
        <rFont val="宋体"/>
        <family val="3"/>
        <charset val="134"/>
        <scheme val="minor"/>
      </rPr>
      <t>和我们差距比较大</t>
    </r>
    <r>
      <rPr>
        <sz val="9"/>
        <color theme="1"/>
        <rFont val="宋体"/>
        <family val="2"/>
        <charset val="134"/>
        <scheme val="minor"/>
      </rPr>
      <t>。</t>
    </r>
    <r>
      <rPr>
        <sz val="9"/>
        <color theme="1"/>
        <rFont val="宋体"/>
        <family val="3"/>
        <charset val="134"/>
        <scheme val="minor"/>
      </rPr>
      <t>3.有传言说中国建设会整合中国巨石和中材科技，把玻纤都拨给中国巨石，可能让中材更关注于风叶和锂电池隔膜（暂时没更多进一步信息）；4.我们判断下半年可能会有好转。这个判断主要是基于需求在恢复，产品的供应释放没有那么快。所以在今年某一个时间可能会出现产品价格恢复的契机。但总体来看，今年的压力确实比去年要大一些</t>
    </r>
    <phoneticPr fontId="1" type="noConversion"/>
  </si>
  <si>
    <t>188.65亿</t>
  </si>
  <si>
    <t>20.40亿</t>
  </si>
  <si>
    <t>流通股本</t>
  </si>
  <si>
    <t>投入资本回报率roic%[20201231]</t>
  </si>
  <si>
    <t>净资产收益率%[20201231]</t>
  </si>
  <si>
    <t/>
  </si>
  <si>
    <t>公司专业从事新型建筑防水材料研发、生产、销售并提供防水工程施工服务，主导产品为防水卷材、防水涂料等新型建筑防水材料。公司“CKS科顺”、“依来德”、“APF”商标被认定为广东省著名商标；公司拥有科顺、依来德、筑通、铂顿四大品牌，分别服务工程施工、室内装修、修缮、金属屋面防水等四种应用场景；华东和华南是公司主要销售市场，收入占比分别是42%和18%；
防水卷材 22.50亿 59.84% 利润占比60.23% 31.51%
防水涂料 8.26亿 21.95% 利润占比19.99% 28.51%
防水工程施工 6.81亿 18.11% 利润占比19.71% 34.07%</t>
    <phoneticPr fontId="1" type="noConversion"/>
  </si>
  <si>
    <t>公司的主营业务为装饰材料和成品家居的研发与销售。公司的主要产品为装饰板材、科技木、地板、胶粘剂、原木、木门；
2021H1:
装饰材料 27.54亿 71.91% 利润占比47.61% 10.33%
柜类 6.62亿 17.29% 利润占比26.80% 24.20%
地板 1.70亿 4.43% - - - -
品牌使用费 1.54亿 4.03% 利润占比25.59% 99.09%</t>
    <phoneticPr fontId="1" type="noConversion"/>
  </si>
  <si>
    <t>1.问：公司工程业务的应收账款情况如何？答：裕丰汉唐目前应收账款的前五大客户分别为为万科、融创、新城、旭辉以及龙湖;</t>
    <phoneticPr fontId="1" type="noConversion"/>
  </si>
  <si>
    <r>
      <t>1.预计年报业绩：净利润6.600亿元至7.600亿元，增长幅度为63.89%至88.72%；2.公司定制业务的核心优势主要还是体现在材料端，</t>
    </r>
    <r>
      <rPr>
        <sz val="9"/>
        <color rgb="FFFF0000"/>
        <rFont val="宋体"/>
        <family val="3"/>
        <charset val="134"/>
        <scheme val="minor"/>
      </rPr>
      <t>兔宝宝板材的产品知名度和品牌美誉度</t>
    </r>
    <r>
      <rPr>
        <sz val="9"/>
        <color theme="1"/>
        <rFont val="宋体"/>
        <family val="2"/>
        <charset val="134"/>
        <scheme val="minor"/>
      </rPr>
      <t>是我们发展定制业务最好的基础，板材材质的差异化和突出的环保性能是门店获客强有力的手段。</t>
    </r>
    <phoneticPr fontId="1" type="noConversion"/>
  </si>
  <si>
    <t>营业收入[20171231]</t>
  </si>
  <si>
    <t>净利润[20201231]</t>
  </si>
  <si>
    <t>-5303.43万</t>
  </si>
  <si>
    <t>1.43亿</t>
  </si>
  <si>
    <t>35.58亿</t>
  </si>
  <si>
    <t>30.00亿</t>
  </si>
  <si>
    <t>3.89亿</t>
  </si>
  <si>
    <t>363.38亿</t>
  </si>
  <si>
    <t>28.10亿</t>
  </si>
  <si>
    <t>海螺新材</t>
  </si>
  <si>
    <t>48.54亿</t>
  </si>
  <si>
    <t>-1.43亿</t>
  </si>
  <si>
    <t>83.15亿</t>
  </si>
  <si>
    <t>5.72亿</t>
  </si>
  <si>
    <t>168.48亿</t>
  </si>
  <si>
    <t>28.61亿</t>
  </si>
  <si>
    <t>142.05亿</t>
  </si>
  <si>
    <t>15.93亿</t>
  </si>
  <si>
    <t>1621.49亿</t>
  </si>
  <si>
    <t>129.88亿</t>
  </si>
  <si>
    <t>12.24亿</t>
  </si>
  <si>
    <t>9.89亿</t>
  </si>
  <si>
    <t>SZ001296</t>
  </si>
  <si>
    <t>长江材料</t>
  </si>
  <si>
    <t>9.33亿</t>
  </si>
  <si>
    <t>9643.10万</t>
  </si>
  <si>
    <t>9240.88万</t>
  </si>
  <si>
    <t>94.26亿</t>
  </si>
  <si>
    <t>45.38亿</t>
  </si>
  <si>
    <t>4778.40万</t>
  </si>
  <si>
    <t>202.95亿</t>
  </si>
  <si>
    <t>33.73亿</t>
  </si>
  <si>
    <t>31.64亿</t>
  </si>
  <si>
    <t>5.34亿</t>
  </si>
  <si>
    <t>9.14亿</t>
  </si>
  <si>
    <t>正威新材</t>
  </si>
  <si>
    <t>14.98亿</t>
  </si>
  <si>
    <t>4132.22万</t>
  </si>
  <si>
    <t>SZ002205</t>
  </si>
  <si>
    <t>国统股份</t>
  </si>
  <si>
    <t>859.38万</t>
  </si>
  <si>
    <t>1644.00万</t>
  </si>
  <si>
    <t>420.92万</t>
  </si>
  <si>
    <t>334.59万</t>
  </si>
  <si>
    <t>43.78亿</t>
  </si>
  <si>
    <t>8375.36万</t>
  </si>
  <si>
    <t>77.13亿</t>
  </si>
  <si>
    <t>18.36亿</t>
  </si>
  <si>
    <t>11.64亿</t>
  </si>
  <si>
    <t>8066.50万</t>
  </si>
  <si>
    <t>319.34亿</t>
  </si>
  <si>
    <t>42.05亿</t>
  </si>
  <si>
    <t>269.26亿</t>
  </si>
  <si>
    <t>8.45亿</t>
  </si>
  <si>
    <t>14.43亿</t>
  </si>
  <si>
    <t>3365.05万</t>
  </si>
  <si>
    <t>63.88亿</t>
  </si>
  <si>
    <t>12.23亿</t>
  </si>
  <si>
    <t>49.11亿</t>
  </si>
  <si>
    <t>2.51亿</t>
  </si>
  <si>
    <t>49.18亿</t>
  </si>
  <si>
    <t>2.72亿</t>
  </si>
  <si>
    <t>5.77亿</t>
  </si>
  <si>
    <t>27.78亿</t>
  </si>
  <si>
    <t>-11.41亿</t>
  </si>
  <si>
    <t>16.99亿</t>
  </si>
  <si>
    <t>5490.42万</t>
  </si>
  <si>
    <t>公元股份</t>
  </si>
  <si>
    <t>88.81亿</t>
  </si>
  <si>
    <t>-5598.09万</t>
  </si>
  <si>
    <t>13.76亿</t>
  </si>
  <si>
    <t>1765.54万</t>
  </si>
  <si>
    <t>14.93亿</t>
  </si>
  <si>
    <t>-5.83亿</t>
  </si>
  <si>
    <t>-3.33亿</t>
  </si>
  <si>
    <t>11.55亿</t>
  </si>
  <si>
    <t>-2309.47万</t>
  </si>
  <si>
    <t>88.07亿</t>
  </si>
  <si>
    <t>5.46亿</t>
  </si>
  <si>
    <t>81.70亿</t>
  </si>
  <si>
    <t>7828.60万</t>
  </si>
  <si>
    <t>25.06亿</t>
  </si>
  <si>
    <t>7.81亿</t>
  </si>
  <si>
    <t>7145.73万</t>
  </si>
  <si>
    <t>-3.61亿</t>
  </si>
  <si>
    <t>23.58亿</t>
  </si>
  <si>
    <t>25.86亿</t>
  </si>
  <si>
    <t>7192.35万</t>
  </si>
  <si>
    <t>77.71亿</t>
  </si>
  <si>
    <t>6.73亿</t>
  </si>
  <si>
    <t>6710.08万</t>
  </si>
  <si>
    <t>1.51亿</t>
  </si>
  <si>
    <t>31.09亿</t>
  </si>
  <si>
    <t>9019.03万</t>
  </si>
  <si>
    <t>57.77亿</t>
  </si>
  <si>
    <t>4002.16万</t>
  </si>
  <si>
    <t>39.12亿</t>
  </si>
  <si>
    <t>57.83亿</t>
  </si>
  <si>
    <t>1762.95亿</t>
  </si>
  <si>
    <t>351.58亿</t>
  </si>
  <si>
    <t>38.05亿</t>
  </si>
  <si>
    <t>9.24亿</t>
  </si>
  <si>
    <t>3.73亿</t>
  </si>
  <si>
    <t>6778.48万</t>
  </si>
  <si>
    <t>3.61亿</t>
  </si>
  <si>
    <t>324.64亿</t>
  </si>
  <si>
    <t>53.64亿</t>
  </si>
  <si>
    <t>36.17亿</t>
  </si>
  <si>
    <t>46.49亿</t>
  </si>
  <si>
    <t>96.43亿</t>
  </si>
  <si>
    <t>18.14亿</t>
  </si>
  <si>
    <t>1236.34亿</t>
  </si>
  <si>
    <t>11.59亿</t>
  </si>
  <si>
    <t>2159.01万</t>
  </si>
  <si>
    <t>47.15亿</t>
  </si>
  <si>
    <t>-5.44亿</t>
  </si>
  <si>
    <t>15.18亿</t>
  </si>
  <si>
    <t>2639.38万</t>
  </si>
  <si>
    <t>114.29亿</t>
  </si>
  <si>
    <t>-4.17亿</t>
  </si>
  <si>
    <t>22.09亿</t>
  </si>
  <si>
    <t>27.49亿</t>
  </si>
  <si>
    <t>5877.24万</t>
  </si>
  <si>
    <r>
      <t>1.问：对2021年风电需求的看法？答：2020年公司风电纱销量近50万吨，其中高模产品占比达到50%以上，风电纱产品无论在规模、结构、技术水平进步上都给公司做了比较大的贡献。2021年虽然国家财政补贴退坡，但各省市都制定了相应的风电奖励政策，并且海上风电抢装开始发力，海外市场需求也在回暖，预计2021全球风电市场仍有望维持平稳态势;2.</t>
    </r>
    <r>
      <rPr>
        <sz val="9"/>
        <color theme="1"/>
        <rFont val="宋体"/>
        <family val="3"/>
        <charset val="134"/>
        <scheme val="minor"/>
      </rPr>
      <t>2020年2月~2021年3月，价格从6元翻了4倍到了24元最高点，然后跌落至14元后，又小幅拉升22，如今又回落到17元，pe16在底部区间；</t>
    </r>
    <phoneticPr fontId="1" type="noConversion"/>
  </si>
  <si>
    <t xml:space="preserve">    名称</t>
  </si>
  <si>
    <t>净利润?</t>
  </si>
  <si>
    <t>研发费用总额[20220630]</t>
  </si>
  <si>
    <t>扣非净利润</t>
  </si>
  <si>
    <t>营业总收入[20201231]</t>
  </si>
  <si>
    <t>投入资本回报率roic%[20211231]</t>
  </si>
  <si>
    <t>净资产收益率%[20211231]</t>
  </si>
  <si>
    <t>亏损</t>
  </si>
  <si>
    <t>扭亏</t>
  </si>
  <si>
    <t>-1-1</t>
  </si>
  <si>
    <t>18.20亿</t>
  </si>
  <si>
    <t>7.36亿</t>
  </si>
  <si>
    <t>账面净赚</t>
  </si>
  <si>
    <t>-1-0</t>
  </si>
  <si>
    <t>2.98亿</t>
  </si>
  <si>
    <t>16.41亿</t>
  </si>
  <si>
    <t>1.86亿</t>
  </si>
  <si>
    <t>12.97亿</t>
  </si>
  <si>
    <t>1.77亿</t>
  </si>
  <si>
    <t>3.68亿</t>
  </si>
  <si>
    <t>SH688119</t>
  </si>
  <si>
    <t>中钢洛耐</t>
  </si>
  <si>
    <t>26.55亿</t>
  </si>
  <si>
    <t>20.18亿</t>
  </si>
  <si>
    <t>9686.44万</t>
  </si>
  <si>
    <t>公司是一家专业从事玻璃纤维及制品生产、销售的新材料公司。公司产能规模全球第一，拥有国内浙江桐乡、江西九江、四川成都以及境外埃及苏伊士、美国南卡五大生产基地，产品被广泛应用于汽车轻量化、新能源、电子电气、新型建筑建材等领域。公司在成本控制、技术创新、产销布局、企业文化等方面具备核心竞争力。
市值611亿，利润60.28亿，pe8.99, pb2.51；毛利38.18%，净利24%；2021营收增69%，利润增150%；2022Q1营收增28.45%，利润增291%；过往5年营收增23.37%，利润增41%；
2021：
玻纤及其制品 178.45亿 90.55% 99.66% 49.87%
其他 9.45亿 4.79% 0.12% 1.10%
其他业务 9.18亿 4.66% 0.22% 2.16%</t>
    <phoneticPr fontId="1" type="noConversion"/>
  </si>
  <si>
    <r>
      <t>1.问：3、玻纤是替代性和增强型材料，</t>
    </r>
    <r>
      <rPr>
        <sz val="9"/>
        <color rgb="FFFF0000"/>
        <rFont val="宋体"/>
        <family val="3"/>
        <charset val="134"/>
        <scheme val="minor"/>
      </rPr>
      <t>今年钢铝价格上涨，玻纤性价比凸显</t>
    </r>
    <r>
      <rPr>
        <sz val="9"/>
        <color theme="1"/>
        <rFont val="宋体"/>
        <family val="2"/>
        <charset val="134"/>
        <scheme val="minor"/>
      </rPr>
      <t>，玻纤的替代率会加速提升吗？答：各个下游领域对比来看，汽车用短切原丝产品在替代上表现最为明显，增速快、需求量大。在高铁、风电、管网等应用领域的玻纤应用量也在增加，未来玻纤的替代率有望进一步提升。2.预计中报业绩：净利润40.25亿元至42.85亿元，增长幅度为55.00%至65.00% 变动
原因：1.2022 年上半年，玻璃纤维行业延续了 2021 年的高景气度。面对国内新冠疫情反弹、能源价格上涨等诸多不利因素，公司积极开展产品结构和产能结构调整。受益于汽车轻量化产品、风电领域等需求增长，以及欧美等海外市场需求旺盛，公司粗纱产品价格同比明显提升，为本期业绩增长奠定了基础。同时，随着公司贵金属漏板加工技术工艺不断提升，公司继续出售闲置铑粉获得了收益。</t>
    </r>
    <phoneticPr fontId="1" type="noConversion"/>
  </si>
  <si>
    <t>LY营业总收入[20211231]</t>
  </si>
  <si>
    <t>权益乘数[20220630]</t>
  </si>
  <si>
    <t>总资产周转率[20220630]</t>
  </si>
  <si>
    <t>净利润／营业总收入%[20220630]</t>
  </si>
  <si>
    <t>营业总成本[20220630]</t>
  </si>
  <si>
    <t>营业成本[20220630]</t>
  </si>
  <si>
    <t>管理费用[20220630]</t>
  </si>
  <si>
    <t>细分行业</t>
  </si>
  <si>
    <t>市销率</t>
    <phoneticPr fontId="1" type="noConversion"/>
  </si>
  <si>
    <t>扣非对比净利润</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</si>
  <si>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</si>
  <si>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</si>
  <si>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</si>
  <si>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</si>
  <si>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</si>
  <si>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3增速</t>
    <phoneticPr fontId="1" type="noConversion"/>
  </si>
  <si>
    <t>6增速</t>
    <phoneticPr fontId="1" type="noConversion"/>
  </si>
  <si>
    <t>营收成长策略</t>
    <phoneticPr fontId="1" type="noConversion"/>
  </si>
  <si>
    <t>成交量综合策略</t>
    <phoneticPr fontId="1" type="noConversion"/>
  </si>
  <si>
    <t>今日价格累积指数</t>
    <phoneticPr fontId="1" type="noConversion"/>
  </si>
  <si>
    <t>N-1</t>
    <phoneticPr fontId="1" type="noConversion"/>
  </si>
  <si>
    <t>2.66亿</t>
  </si>
  <si>
    <t>3.84亿</t>
  </si>
  <si>
    <t>玻璃玻纤</t>
  </si>
  <si>
    <t>-1.06亿</t>
  </si>
  <si>
    <t>水泥</t>
  </si>
  <si>
    <t>其他建材</t>
  </si>
  <si>
    <t>耐火材料</t>
  </si>
  <si>
    <t>2.55亿</t>
  </si>
  <si>
    <t>4.20亿</t>
  </si>
  <si>
    <t>管材</t>
  </si>
  <si>
    <t>6.83亿</t>
  </si>
  <si>
    <t>9.15亿</t>
  </si>
  <si>
    <t>3.17亿</t>
  </si>
  <si>
    <t>2.30亿</t>
  </si>
  <si>
    <t>1.52亿</t>
  </si>
  <si>
    <t>1.68亿</t>
  </si>
  <si>
    <t>4.35亿</t>
  </si>
  <si>
    <t>5.00亿</t>
  </si>
  <si>
    <t>1.31亿</t>
  </si>
  <si>
    <t>2.11亿</t>
  </si>
  <si>
    <t>3.86亿</t>
  </si>
  <si>
    <t>1.88亿</t>
  </si>
  <si>
    <t>宏和科技</t>
  </si>
  <si>
    <t>1.02亿</t>
  </si>
  <si>
    <t>1.74亿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</si>
  <si>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</si>
  <si>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</si>
  <si>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</si>
  <si>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</si>
  <si>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</si>
  <si>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</si>
  <si>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</si>
  <si>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</si>
  <si>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</si>
  <si>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</si>
  <si>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</si>
  <si>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</si>
  <si>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</si>
  <si>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</si>
  <si>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</si>
  <si>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</si>
  <si>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</si>
  <si>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</si>
  <si>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</si>
  <si>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</si>
  <si>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</si>
  <si>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</si>
  <si>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</si>
  <si>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</si>
  <si>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</si>
  <si>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</si>
  <si>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</si>
  <si>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</si>
  <si>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</si>
  <si>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</si>
  <si>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</si>
  <si>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</si>
  <si>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股利率</t>
    <phoneticPr fontId="1" type="noConversion"/>
  </si>
  <si>
    <t>6年自由现金流折现</t>
    <phoneticPr fontId="1" type="noConversion"/>
  </si>
  <si>
    <t>20年自由现金流折现</t>
    <phoneticPr fontId="1" type="noConversion"/>
  </si>
  <si>
    <t>承担负债现期溢价</t>
    <phoneticPr fontId="1" type="noConversion"/>
  </si>
  <si>
    <t>清算价格</t>
    <phoneticPr fontId="1" type="noConversion"/>
  </si>
  <si>
    <t>策略1营收单季最佳增速</t>
    <phoneticPr fontId="1" type="noConversion"/>
  </si>
  <si>
    <t>利润成长策略</t>
    <phoneticPr fontId="1" type="noConversion"/>
  </si>
  <si>
    <t>5日成交换手率</t>
    <phoneticPr fontId="1" type="noConversion"/>
  </si>
  <si>
    <t>3年自由现金流折现</t>
    <phoneticPr fontId="1" type="noConversion"/>
  </si>
  <si>
    <t>10年自由现金流折现</t>
    <phoneticPr fontId="1" type="noConversion"/>
  </si>
  <si>
    <t>10增速</t>
    <phoneticPr fontId="1" type="noConversion"/>
  </si>
  <si>
    <t>原始顺序</t>
    <phoneticPr fontId="1" type="noConversion"/>
  </si>
  <si>
    <t>策略1利润单季最佳增速</t>
    <phoneticPr fontId="1" type="noConversion"/>
  </si>
  <si>
    <t>营收和利润加权</t>
    <phoneticPr fontId="1" type="noConversion"/>
  </si>
  <si>
    <t>价格变动策略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</si>
  <si>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</si>
  <si>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</si>
  <si>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</si>
  <si>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</si>
  <si>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30日成交换手率</t>
    <phoneticPr fontId="1" type="noConversion"/>
  </si>
  <si>
    <t>昨日价格累计指数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</si>
  <si>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</si>
  <si>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</si>
  <si>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</si>
  <si>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</si>
  <si>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</si>
  <si>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</si>
  <si>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</si>
  <si>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t>
    <phoneticPr fontId="1" type="noConversion"/>
  </si>
  <si>
    <t>10派2元(含税)</t>
  </si>
  <si>
    <t>不分配不转增</t>
  </si>
  <si>
    <t>10派0.5元(含税)</t>
  </si>
  <si>
    <t>16.18亿</t>
  </si>
  <si>
    <t>-3.62亿</t>
  </si>
  <si>
    <t>2.12亿</t>
  </si>
  <si>
    <t>5.28亿</t>
  </si>
  <si>
    <t>10派3元(含税)</t>
  </si>
  <si>
    <t>14.42亿</t>
  </si>
  <si>
    <t>22.82亿</t>
  </si>
  <si>
    <t>10派6元(含税)</t>
  </si>
  <si>
    <t>2.74亿</t>
  </si>
  <si>
    <t>1.62亿</t>
  </si>
  <si>
    <t>10派0.8元(含税)</t>
  </si>
  <si>
    <t>1.83亿</t>
  </si>
  <si>
    <t>6.20亿</t>
  </si>
  <si>
    <t>6.45亿</t>
  </si>
  <si>
    <t>2.56亿</t>
  </si>
  <si>
    <t>6.16亿</t>
  </si>
  <si>
    <t>14.85亿</t>
  </si>
  <si>
    <t>10派1.5元(含税)</t>
  </si>
  <si>
    <t>4.15亿</t>
  </si>
  <si>
    <t>13.17亿</t>
  </si>
  <si>
    <t>10派1元(含税)</t>
  </si>
  <si>
    <t>1.94亿</t>
  </si>
  <si>
    <t>10派5元(含税)</t>
  </si>
  <si>
    <t>10派2.5元(含税)</t>
  </si>
  <si>
    <t>158.25亿</t>
  </si>
  <si>
    <t>10派8元(含税)</t>
  </si>
  <si>
    <t>14.96亿</t>
  </si>
  <si>
    <t>6.04亿</t>
  </si>
  <si>
    <t>3.58亿</t>
  </si>
  <si>
    <t>11.31亿</t>
  </si>
  <si>
    <t>10.08亿</t>
  </si>
  <si>
    <t>3.90亿</t>
  </si>
  <si>
    <t>9.49亿</t>
  </si>
  <si>
    <t>2.05亿</t>
  </si>
  <si>
    <t>15.95亿</t>
  </si>
  <si>
    <t>4.97亿</t>
  </si>
  <si>
    <t>3.22亿</t>
  </si>
  <si>
    <t>1.55亿</t>
  </si>
  <si>
    <t>2.81亿</t>
  </si>
  <si>
    <r>
      <t>1.问：</t>
    </r>
    <r>
      <rPr>
        <sz val="9"/>
        <color rgb="FFFF0000"/>
        <rFont val="宋体"/>
        <family val="3"/>
        <charset val="134"/>
        <scheme val="minor"/>
      </rPr>
      <t>海上叶片是风电主要业务增长点</t>
    </r>
    <r>
      <rPr>
        <sz val="9"/>
        <color theme="1"/>
        <rFont val="宋体"/>
        <family val="2"/>
        <charset val="134"/>
        <scheme val="minor"/>
      </rPr>
      <t>，目前大型号海上叶片净利率如何？先进的拉挤工艺在产品应用比例如何？是否会因为绑定客户金风科技在海上风电处于弱势，导致我们未来在叶片份额上受压制？答：1）公司海风领域未来增量主要布局在广东阳江基地，配套该区域海风项目以及满足部分出口需求，整体规划产能在200套，十四五期间逐年落地，风电叶片长度在120米以上，配套约14MW海上风电机型；2）公司大叶型叶片全面切换拉挤工艺，下属子公司北玻、泰玻等都在进行拉挤板产能建设；3）金风科技是最重要战略合作伙伴之一，两海战略是两家公司一直以来在践行的核心战略，公司与金风科技长期以来战略合作，联合开发出优秀的产品推动行业进步和发展;</t>
    </r>
    <phoneticPr fontId="1" type="noConversion"/>
  </si>
  <si>
    <t>151.99亿</t>
  </si>
  <si>
    <t>20.37亿</t>
  </si>
  <si>
    <t>136.72亿</t>
  </si>
  <si>
    <t>-2.71亿</t>
  </si>
  <si>
    <t>-2-0</t>
  </si>
  <si>
    <t>38.47亿</t>
  </si>
  <si>
    <t>345.44亿</t>
  </si>
  <si>
    <t>13.58亿</t>
  </si>
  <si>
    <t>2.88亿</t>
  </si>
  <si>
    <t>4.56亿</t>
  </si>
  <si>
    <t>17.69亿</t>
  </si>
  <si>
    <t>-2.43亿</t>
  </si>
  <si>
    <t>54.88亿</t>
  </si>
  <si>
    <t>-9220.14万</t>
  </si>
  <si>
    <t>1-0</t>
  </si>
  <si>
    <t>71.35亿</t>
  </si>
  <si>
    <t>12.33亿</t>
  </si>
  <si>
    <t>2.03亿</t>
  </si>
  <si>
    <t>6.32亿</t>
  </si>
  <si>
    <t>21.75亿</t>
  </si>
  <si>
    <t>210.91亿</t>
  </si>
  <si>
    <t>35.13亿</t>
  </si>
  <si>
    <t>112.82亿</t>
  </si>
  <si>
    <t>3.88亿</t>
  </si>
  <si>
    <t>1325.81亿</t>
  </si>
  <si>
    <t>45.42亿</t>
  </si>
  <si>
    <t>1700.30亿</t>
  </si>
  <si>
    <t>125.48亿</t>
  </si>
  <si>
    <t>12.20亿</t>
  </si>
  <si>
    <t>1.78亿</t>
  </si>
  <si>
    <t>8610.75万</t>
  </si>
  <si>
    <t>2.17亿</t>
  </si>
  <si>
    <t>89.17亿</t>
  </si>
  <si>
    <t>48.19亿</t>
  </si>
  <si>
    <t>6624.10万</t>
  </si>
  <si>
    <t>1.80亿</t>
  </si>
  <si>
    <t>1-1</t>
  </si>
  <si>
    <t>10派0.05元(含税)</t>
  </si>
  <si>
    <t>-1.03亿</t>
  </si>
  <si>
    <t>49.36亿</t>
  </si>
  <si>
    <t>14.32亿</t>
  </si>
  <si>
    <t>60.35亿</t>
  </si>
  <si>
    <t>6.90亿</t>
  </si>
  <si>
    <t>9.35亿</t>
  </si>
  <si>
    <t>5287.36万</t>
  </si>
  <si>
    <t>312.14亿</t>
  </si>
  <si>
    <t>3.24亿</t>
  </si>
  <si>
    <t>13.34亿</t>
  </si>
  <si>
    <t>8.96亿</t>
  </si>
  <si>
    <t>46.75亿</t>
  </si>
  <si>
    <t>-4925.42万</t>
  </si>
  <si>
    <t>3.35亿</t>
  </si>
  <si>
    <t>69.54亿</t>
  </si>
  <si>
    <t>47.19亿</t>
  </si>
  <si>
    <t>11.36亿</t>
  </si>
  <si>
    <t>3.54亿</t>
  </si>
  <si>
    <t>12.02亿</t>
  </si>
  <si>
    <t>9.43亿</t>
  </si>
  <si>
    <t>39.47亿</t>
  </si>
  <si>
    <t>13.90亿</t>
  </si>
  <si>
    <t>2.96亿</t>
  </si>
  <si>
    <t>24.35亿</t>
  </si>
  <si>
    <t>20.61亿</t>
  </si>
  <si>
    <t>25.72亿</t>
  </si>
  <si>
    <t>19.33亿</t>
  </si>
  <si>
    <t>3552.86万</t>
  </si>
  <si>
    <t>4.84亿</t>
  </si>
  <si>
    <t>10.56亿</t>
  </si>
  <si>
    <t>-1.33亿</t>
  </si>
  <si>
    <t>3-1</t>
  </si>
  <si>
    <t>9.51亿</t>
  </si>
  <si>
    <t>9766.19万</t>
  </si>
  <si>
    <t>13.06亿</t>
  </si>
  <si>
    <t>76.48亿</t>
  </si>
  <si>
    <t>12.92亿</t>
  </si>
  <si>
    <t>66.50亿</t>
  </si>
  <si>
    <t>10派1.3元(含税)</t>
  </si>
  <si>
    <t>5.07亿</t>
  </si>
  <si>
    <t>-3.08亿</t>
  </si>
  <si>
    <t>6.44亿</t>
  </si>
  <si>
    <t>7.04亿</t>
  </si>
  <si>
    <t>7300.46万</t>
  </si>
  <si>
    <t>3.45亿</t>
  </si>
  <si>
    <t>6.35亿</t>
  </si>
  <si>
    <t>-2.60亿</t>
  </si>
  <si>
    <t>-170.99万</t>
  </si>
  <si>
    <t>21.28亿</t>
  </si>
  <si>
    <t>-1.59亿</t>
  </si>
  <si>
    <t>3.92亿</t>
  </si>
  <si>
    <t>76.61亿</t>
  </si>
  <si>
    <t>9.03亿</t>
  </si>
  <si>
    <t>3975.71万</t>
  </si>
  <si>
    <t>SZ301429</t>
  </si>
  <si>
    <t>森泰股份</t>
  </si>
  <si>
    <t>4706.26万</t>
  </si>
  <si>
    <t>2115.66万</t>
  </si>
  <si>
    <t>201.92亿</t>
  </si>
  <si>
    <t>66.10亿</t>
  </si>
  <si>
    <t>18.89亿</t>
  </si>
  <si>
    <t>38.45亿</t>
  </si>
  <si>
    <t>37.41亿</t>
  </si>
  <si>
    <t>86.58亿</t>
  </si>
  <si>
    <t>2-1</t>
  </si>
  <si>
    <t>1320.22亿</t>
  </si>
  <si>
    <t>156.61亿</t>
  </si>
  <si>
    <t>1679.60亿</t>
  </si>
  <si>
    <t>332.68亿</t>
  </si>
  <si>
    <t>20.51亿</t>
  </si>
  <si>
    <t>10派0.3元(含税)</t>
  </si>
  <si>
    <t>35.60亿</t>
  </si>
  <si>
    <t>1296.71万</t>
  </si>
  <si>
    <t>25.91亿</t>
  </si>
  <si>
    <t>3.10亿</t>
  </si>
  <si>
    <t>47.56亿</t>
  </si>
  <si>
    <t>1518.62万</t>
  </si>
  <si>
    <t>133.13亿</t>
  </si>
  <si>
    <t>9.09亿</t>
  </si>
  <si>
    <t>146.97亿</t>
  </si>
  <si>
    <t>42.41亿</t>
  </si>
  <si>
    <t>1028.22亿</t>
  </si>
  <si>
    <t>12.13亿</t>
  </si>
  <si>
    <t>40.63亿</t>
  </si>
  <si>
    <t>1065.79万</t>
  </si>
  <si>
    <t>1.49亿</t>
  </si>
  <si>
    <t>5237.18万</t>
  </si>
  <si>
    <t>开始亏损</t>
  </si>
  <si>
    <t>31.08亿</t>
  </si>
  <si>
    <t>2.91亿</t>
  </si>
  <si>
    <t>16.25亿</t>
  </si>
  <si>
    <t>113.38亿</t>
  </si>
  <si>
    <t>33.41亿</t>
  </si>
  <si>
    <t>7.40亿</t>
  </si>
  <si>
    <t>28.51亿</t>
  </si>
  <si>
    <t>27.81亿</t>
  </si>
  <si>
    <t>16.53亿</t>
  </si>
  <si>
    <t>-9749.44万</t>
  </si>
  <si>
    <t>1128.06万</t>
  </si>
  <si>
    <t>26.88亿</t>
  </si>
  <si>
    <t>181.95亿</t>
  </si>
  <si>
    <t>16.56亿</t>
  </si>
  <si>
    <t>3.18亿</t>
  </si>
  <si>
    <t>-2356215亿</t>
  </si>
  <si>
    <t>295301850亿</t>
  </si>
  <si>
    <t>1850470400亿</t>
  </si>
  <si>
    <t>9674213700亿</t>
  </si>
  <si>
    <t>33.42亿</t>
  </si>
  <si>
    <t>40.71亿</t>
  </si>
  <si>
    <t>3.96亿</t>
  </si>
  <si>
    <t>*ST深天</t>
  </si>
  <si>
    <t>11.61亿</t>
  </si>
  <si>
    <t>1714.98万</t>
  </si>
  <si>
    <t>-1.60亿</t>
  </si>
  <si>
    <t>-15712222亿</t>
  </si>
  <si>
    <t>407580800亿</t>
  </si>
  <si>
    <t>895336250亿</t>
  </si>
  <si>
    <t>6.37亿</t>
  </si>
  <si>
    <t>4280.29万</t>
  </si>
  <si>
    <t>-1865.29万</t>
  </si>
  <si>
    <t>73.42亿</t>
  </si>
  <si>
    <t>9.16亿</t>
  </si>
  <si>
    <t>42.92亿</t>
  </si>
  <si>
    <t>1.75亿</t>
  </si>
  <si>
    <t>-1251383亿</t>
  </si>
  <si>
    <t>50881206亿</t>
  </si>
  <si>
    <t>797112790亿</t>
  </si>
  <si>
    <t>6372490800亿</t>
  </si>
  <si>
    <t>8.15亿</t>
  </si>
  <si>
    <t>7082.20万</t>
  </si>
  <si>
    <t>293.26亿</t>
  </si>
  <si>
    <t>282.35亿</t>
  </si>
  <si>
    <t>-14.98亿</t>
  </si>
  <si>
    <t>-24785603亿</t>
  </si>
  <si>
    <t>-1140247530亿</t>
  </si>
  <si>
    <t>2104089900亿</t>
  </si>
  <si>
    <t>14663798000亿</t>
  </si>
  <si>
    <t>51.84亿</t>
  </si>
  <si>
    <t>-7.92亿</t>
  </si>
  <si>
    <t>-3-0</t>
  </si>
  <si>
    <t>83.37亿</t>
  </si>
  <si>
    <t>63.97亿</t>
  </si>
  <si>
    <t>7.44亿</t>
  </si>
  <si>
    <t>56.63亿</t>
  </si>
  <si>
    <t>28779975亿</t>
  </si>
  <si>
    <t>19943668亿</t>
  </si>
  <si>
    <t>230468560亿</t>
  </si>
  <si>
    <t>3.52亿</t>
  </si>
  <si>
    <t>7802248400亿</t>
  </si>
  <si>
    <t>10派4元(含税)</t>
  </si>
  <si>
    <t>69.29亿</t>
  </si>
  <si>
    <t>59.44亿</t>
  </si>
  <si>
    <t>224.26亿</t>
  </si>
  <si>
    <t>35.24亿</t>
  </si>
  <si>
    <t>38066388亿</t>
  </si>
  <si>
    <t>791095240亿</t>
  </si>
  <si>
    <t>5.47亿</t>
  </si>
  <si>
    <t>5030427500亿</t>
  </si>
  <si>
    <t>12223916100亿</t>
  </si>
  <si>
    <t>2.25亿</t>
  </si>
  <si>
    <t>18.24亿</t>
  </si>
  <si>
    <t>201.55亿</t>
  </si>
  <si>
    <t>31.44亿</t>
  </si>
  <si>
    <t>47.70亿</t>
  </si>
  <si>
    <t>10派8.35元(含税)</t>
  </si>
  <si>
    <t>66.12亿</t>
  </si>
  <si>
    <t>103.88亿</t>
  </si>
  <si>
    <t>12.75亿</t>
  </si>
  <si>
    <t>81.90亿</t>
  </si>
  <si>
    <t>8927134亿</t>
  </si>
  <si>
    <t>-12579601亿</t>
  </si>
  <si>
    <t>1831491800亿</t>
  </si>
  <si>
    <t>6968126900亿</t>
  </si>
  <si>
    <t>1.25亿</t>
  </si>
  <si>
    <t>19.54亿</t>
  </si>
  <si>
    <t>9204.26万</t>
  </si>
  <si>
    <t>10派0.9元(含税)</t>
  </si>
  <si>
    <t>0687000000</t>
  </si>
  <si>
    <t>01374000000</t>
  </si>
  <si>
    <t>02290000000</t>
  </si>
  <si>
    <t>04580000000</t>
  </si>
  <si>
    <t>1941.80亿</t>
  </si>
  <si>
    <t>163.51亿</t>
  </si>
  <si>
    <t>1073.80亿</t>
  </si>
  <si>
    <t>19.65亿</t>
  </si>
  <si>
    <t>-79196478亿</t>
  </si>
  <si>
    <t>7.20亿</t>
  </si>
  <si>
    <t>-2148497500亿</t>
  </si>
  <si>
    <t>29523338000亿</t>
  </si>
  <si>
    <t>71218247000亿</t>
  </si>
  <si>
    <t>223.79亿</t>
  </si>
  <si>
    <t>-12.31亿</t>
  </si>
  <si>
    <t>10派1.14元(含税)</t>
  </si>
  <si>
    <t>12.19亿</t>
  </si>
  <si>
    <t>9.85亿</t>
  </si>
  <si>
    <t>7.61亿</t>
  </si>
  <si>
    <t>6.00亿</t>
  </si>
  <si>
    <t>-31795848亿</t>
  </si>
  <si>
    <t>-4208629亿</t>
  </si>
  <si>
    <t>77288094亿</t>
  </si>
  <si>
    <t>1421851100亿</t>
  </si>
  <si>
    <t>999.00万</t>
  </si>
  <si>
    <t>3.09亿</t>
  </si>
  <si>
    <t>0985000000</t>
  </si>
  <si>
    <t>02955000000</t>
  </si>
  <si>
    <t>05910000000</t>
  </si>
  <si>
    <t>09850000000</t>
  </si>
  <si>
    <t>019700000000</t>
  </si>
  <si>
    <t>6.13亿</t>
  </si>
  <si>
    <t>7944.37万</t>
  </si>
  <si>
    <t>679790亿</t>
  </si>
  <si>
    <t>13165618亿</t>
  </si>
  <si>
    <t>94196887亿</t>
  </si>
  <si>
    <t>1412448800亿</t>
  </si>
  <si>
    <t>1336.94万</t>
  </si>
  <si>
    <t>5.27亿</t>
  </si>
  <si>
    <t>1799.31万</t>
  </si>
  <si>
    <t>279252亿</t>
  </si>
  <si>
    <t>26838782亿</t>
  </si>
  <si>
    <t>377507320亿</t>
  </si>
  <si>
    <t>1424843000亿</t>
  </si>
  <si>
    <t>7192.15万</t>
  </si>
  <si>
    <t>1858.24万</t>
  </si>
  <si>
    <t>10转4股派4元(含税)</t>
  </si>
  <si>
    <t>30.34亿</t>
  </si>
  <si>
    <t>14.83亿</t>
  </si>
  <si>
    <t>90.63亿</t>
  </si>
  <si>
    <t>6.89亿</t>
  </si>
  <si>
    <t>11867363亿</t>
  </si>
  <si>
    <t>80377012亿</t>
  </si>
  <si>
    <t>1105399070亿</t>
  </si>
  <si>
    <t>2848130200亿</t>
  </si>
  <si>
    <t>4.46亿</t>
  </si>
  <si>
    <t>11.12亿</t>
  </si>
  <si>
    <t>7453.21万</t>
  </si>
  <si>
    <t>10派5.5元(含税)</t>
  </si>
  <si>
    <t>203.12万</t>
  </si>
  <si>
    <t>33.97亿</t>
  </si>
  <si>
    <t>46.29亿</t>
  </si>
  <si>
    <t>7280.45万</t>
  </si>
  <si>
    <t>21504461亿</t>
  </si>
  <si>
    <t>1223760440亿</t>
  </si>
  <si>
    <t>3579804600亿</t>
  </si>
  <si>
    <t>4.91亿</t>
  </si>
  <si>
    <t>2211.45万</t>
  </si>
  <si>
    <t>-5-0</t>
  </si>
  <si>
    <t>303.10亿</t>
  </si>
  <si>
    <t>44.30亿</t>
  </si>
  <si>
    <t>258.89亿</t>
  </si>
  <si>
    <t>22.24亿</t>
  </si>
  <si>
    <t>-2665963亿</t>
  </si>
  <si>
    <t>108069828亿</t>
  </si>
  <si>
    <t>35.42亿</t>
  </si>
  <si>
    <t>7611769800亿</t>
  </si>
  <si>
    <t>21347169000亿</t>
  </si>
  <si>
    <t>258.14亿</t>
  </si>
  <si>
    <t>35.74亿</t>
  </si>
  <si>
    <t>50.43亿</t>
  </si>
  <si>
    <t>4.13亿</t>
  </si>
  <si>
    <t>10派5.6元(含税)</t>
  </si>
  <si>
    <t>10.28亿</t>
  </si>
  <si>
    <t>7.01亿</t>
  </si>
  <si>
    <t>35.19亿</t>
  </si>
  <si>
    <t>4.92亿</t>
  </si>
  <si>
    <t>81966683亿</t>
  </si>
  <si>
    <t>6.15亿</t>
  </si>
  <si>
    <t>951565940亿</t>
  </si>
  <si>
    <t>2799652400亿</t>
  </si>
  <si>
    <t>35.85亿</t>
  </si>
  <si>
    <t>7.56亿</t>
  </si>
  <si>
    <t>8640.04万</t>
  </si>
  <si>
    <t>18.47亿</t>
  </si>
  <si>
    <t>17.19亿</t>
  </si>
  <si>
    <t>3879.76万</t>
  </si>
  <si>
    <t>-1761932亿</t>
  </si>
  <si>
    <t>6240793亿</t>
  </si>
  <si>
    <t>439506950亿</t>
  </si>
  <si>
    <t>1387917200亿</t>
  </si>
  <si>
    <t>3500.00万</t>
  </si>
  <si>
    <t>3646.17万</t>
  </si>
  <si>
    <t>833.27万</t>
  </si>
  <si>
    <t>3.29亿</t>
  </si>
  <si>
    <t>33.02亿</t>
  </si>
  <si>
    <t>5308.54万</t>
  </si>
  <si>
    <t>-2.55亿</t>
  </si>
  <si>
    <t>-9000亿</t>
  </si>
  <si>
    <t>-21506976亿</t>
  </si>
  <si>
    <t>569765930亿</t>
  </si>
  <si>
    <t>930280390亿</t>
  </si>
  <si>
    <t>-1.91亿</t>
  </si>
  <si>
    <t>3870.69万</t>
  </si>
  <si>
    <t>-5278.42万</t>
  </si>
  <si>
    <t>12.99亿</t>
  </si>
  <si>
    <t>54.73亿</t>
  </si>
  <si>
    <t>2.48亿</t>
  </si>
  <si>
    <t>2.57亿</t>
  </si>
  <si>
    <t>2864641亿</t>
  </si>
  <si>
    <t>54212710亿</t>
  </si>
  <si>
    <t>1918824400亿</t>
  </si>
  <si>
    <t>2.16亿</t>
  </si>
  <si>
    <t>5122298100亿</t>
  </si>
  <si>
    <t>12.18亿</t>
  </si>
  <si>
    <t>4389.76万</t>
  </si>
  <si>
    <t>10派0.7元(含税)</t>
  </si>
  <si>
    <t>14.91亿</t>
  </si>
  <si>
    <t>9.93亿</t>
  </si>
  <si>
    <t>55.35亿</t>
  </si>
  <si>
    <t>7.42亿</t>
  </si>
  <si>
    <t>77658554亿</t>
  </si>
  <si>
    <t>117286120亿</t>
  </si>
  <si>
    <t>52499740亿</t>
  </si>
  <si>
    <t>6717472100亿</t>
  </si>
  <si>
    <t>13.14亿</t>
  </si>
  <si>
    <t>0742000000</t>
  </si>
  <si>
    <t>02226000000</t>
  </si>
  <si>
    <t>04452000000</t>
  </si>
  <si>
    <t>07420000000</t>
  </si>
  <si>
    <t>014840000000</t>
  </si>
  <si>
    <t>9.47亿</t>
  </si>
  <si>
    <t>-3.36亿</t>
  </si>
  <si>
    <t>3179499亿</t>
  </si>
  <si>
    <t>4.58亿</t>
  </si>
  <si>
    <t>177776200亿</t>
  </si>
  <si>
    <t>675384410亿</t>
  </si>
  <si>
    <t>1.08亿</t>
  </si>
  <si>
    <t>172.97万</t>
  </si>
  <si>
    <t>2.54亿</t>
  </si>
  <si>
    <t>224.67亿</t>
  </si>
  <si>
    <t>71.49亿</t>
  </si>
  <si>
    <t>328.23亿</t>
  </si>
  <si>
    <t>22.73亿</t>
  </si>
  <si>
    <t>-265806亿</t>
  </si>
  <si>
    <t>310071720亿</t>
  </si>
  <si>
    <t>10792437500亿</t>
  </si>
  <si>
    <t>29031839000亿</t>
  </si>
  <si>
    <t>197.37亿</t>
  </si>
  <si>
    <t>21.21亿</t>
  </si>
  <si>
    <t>74.95亿</t>
  </si>
  <si>
    <t>233.27亿</t>
  </si>
  <si>
    <t>40.45亿</t>
  </si>
  <si>
    <t>228.63亿</t>
  </si>
  <si>
    <t>-3029553亿</t>
  </si>
  <si>
    <t>-127333387亿</t>
  </si>
  <si>
    <t>25301570000亿</t>
  </si>
  <si>
    <t>29051896000亿</t>
  </si>
  <si>
    <t>248.97亿</t>
  </si>
  <si>
    <t>-6112.81万</t>
  </si>
  <si>
    <t>10派1.15元(含税)</t>
  </si>
  <si>
    <t>13.36亿</t>
  </si>
  <si>
    <t>3.28亿</t>
  </si>
  <si>
    <t>16.43亿</t>
  </si>
  <si>
    <t>5223.17万</t>
  </si>
  <si>
    <t>4828291亿</t>
  </si>
  <si>
    <t>14443100亿</t>
  </si>
  <si>
    <t>4.73亿</t>
  </si>
  <si>
    <t>738226040亿</t>
  </si>
  <si>
    <t>2107200200亿</t>
  </si>
  <si>
    <t>-1.48亿</t>
  </si>
  <si>
    <t>2360.15万</t>
  </si>
  <si>
    <t>10派0.35元(含税)</t>
  </si>
  <si>
    <t>15.42亿</t>
  </si>
  <si>
    <t>63.78亿</t>
  </si>
  <si>
    <t>2842316亿</t>
  </si>
  <si>
    <t>141982350亿</t>
  </si>
  <si>
    <t>564393240亿</t>
  </si>
  <si>
    <t>4918789300亿</t>
  </si>
  <si>
    <t>4-1</t>
  </si>
  <si>
    <t>32.92亿</t>
  </si>
  <si>
    <t>56.49亿</t>
  </si>
  <si>
    <t>2.06亿</t>
  </si>
  <si>
    <t>-3338647亿</t>
  </si>
  <si>
    <t>77999353亿</t>
  </si>
  <si>
    <t>2912120900亿</t>
  </si>
  <si>
    <t>6829514500亿</t>
  </si>
  <si>
    <t>7805.23万</t>
  </si>
  <si>
    <t>10派0.63元(含税)</t>
  </si>
  <si>
    <t>7.93亿</t>
  </si>
  <si>
    <t>27.45亿</t>
  </si>
  <si>
    <t>5.21亿</t>
  </si>
  <si>
    <t>30.58亿</t>
  </si>
  <si>
    <t>22.98亿</t>
  </si>
  <si>
    <t>8882827亿</t>
  </si>
  <si>
    <t>34752602亿</t>
  </si>
  <si>
    <t>3.20亿</t>
  </si>
  <si>
    <t>2829189100亿</t>
  </si>
  <si>
    <t>4476950200亿</t>
  </si>
  <si>
    <t>3.59亿</t>
  </si>
  <si>
    <t>18.74亿</t>
  </si>
  <si>
    <t>4801.04万</t>
  </si>
  <si>
    <t>18.28亿</t>
  </si>
  <si>
    <t>2487.16万</t>
  </si>
  <si>
    <t>4704190亿</t>
  </si>
  <si>
    <t>-6587391亿</t>
  </si>
  <si>
    <t>4.40亿</t>
  </si>
  <si>
    <t>1386715300亿</t>
  </si>
  <si>
    <t>3015043800亿</t>
  </si>
  <si>
    <t>-179.15万</t>
  </si>
  <si>
    <t>29.76亿</t>
  </si>
  <si>
    <t>17.13亿</t>
  </si>
  <si>
    <t>-5.07亿</t>
  </si>
  <si>
    <t>4466487亿</t>
  </si>
  <si>
    <t>-23096004亿</t>
  </si>
  <si>
    <t>1680505600亿</t>
  </si>
  <si>
    <t>2765886400亿</t>
  </si>
  <si>
    <t>17.39亿</t>
  </si>
  <si>
    <t>-4.93亿</t>
  </si>
  <si>
    <t>-2609.35万</t>
  </si>
  <si>
    <t>7.95亿</t>
  </si>
  <si>
    <t>4.05亿</t>
  </si>
  <si>
    <t>16.55亿</t>
  </si>
  <si>
    <t>8266.87万</t>
  </si>
  <si>
    <t>-214748亿</t>
  </si>
  <si>
    <t>39453828亿</t>
  </si>
  <si>
    <t>342558090亿</t>
  </si>
  <si>
    <t>1747083500亿</t>
  </si>
  <si>
    <t>1.58亿</t>
  </si>
  <si>
    <t>2941.91万</t>
  </si>
  <si>
    <t>10派0.65元(含税)</t>
  </si>
  <si>
    <t>28.14亿</t>
  </si>
  <si>
    <t>74.71亿</t>
  </si>
  <si>
    <t>3.67亿</t>
  </si>
  <si>
    <t>4.42亿</t>
  </si>
  <si>
    <t>-2375350亿</t>
  </si>
  <si>
    <t>10985795亿</t>
  </si>
  <si>
    <t>946406200亿</t>
  </si>
  <si>
    <t>5553374200亿</t>
  </si>
  <si>
    <t>79.78亿</t>
  </si>
  <si>
    <t>7846.21万</t>
  </si>
  <si>
    <t>7646.78万</t>
  </si>
  <si>
    <t>8730.56万</t>
  </si>
  <si>
    <t>3193.35万</t>
  </si>
  <si>
    <t>-984438亿</t>
  </si>
  <si>
    <t>-4398839亿</t>
  </si>
  <si>
    <t>75996196亿</t>
  </si>
  <si>
    <t>260844950亿</t>
  </si>
  <si>
    <t>5700.00万</t>
  </si>
  <si>
    <t>-3621.11万</t>
  </si>
  <si>
    <t>-611.02万</t>
  </si>
  <si>
    <t>095800500</t>
  </si>
  <si>
    <t>0191601000</t>
  </si>
  <si>
    <t>0319335000</t>
  </si>
  <si>
    <t>0638670000</t>
  </si>
  <si>
    <t>10.00亿</t>
  </si>
  <si>
    <t>11.08亿</t>
  </si>
  <si>
    <t>2778.08万</t>
  </si>
  <si>
    <t>8.10亿</t>
  </si>
  <si>
    <t>-519666亿</t>
  </si>
  <si>
    <t>-9695924亿</t>
  </si>
  <si>
    <t>2.77亿</t>
  </si>
  <si>
    <t>652320870亿</t>
  </si>
  <si>
    <t>1424451900亿</t>
  </si>
  <si>
    <t>-1.40亿</t>
  </si>
  <si>
    <t>-6.40亿</t>
  </si>
  <si>
    <t>1.92亿</t>
  </si>
  <si>
    <t>-895.11万</t>
  </si>
  <si>
    <t>7.64亿</t>
  </si>
  <si>
    <t>5.81亿</t>
  </si>
  <si>
    <t>9187.83万</t>
  </si>
  <si>
    <t>9.59亿</t>
  </si>
  <si>
    <t>-22143701亿</t>
  </si>
  <si>
    <t>79889045亿</t>
  </si>
  <si>
    <t>847963700亿</t>
  </si>
  <si>
    <t>-1124.03万</t>
  </si>
  <si>
    <t>0275634900</t>
  </si>
  <si>
    <t>0551269800</t>
  </si>
  <si>
    <t>0918783000</t>
  </si>
  <si>
    <t>01837566000</t>
  </si>
  <si>
    <t>5.93亿</t>
  </si>
  <si>
    <t>6369.83万</t>
  </si>
  <si>
    <t>7.18亿</t>
  </si>
  <si>
    <t>747088亿</t>
  </si>
  <si>
    <t>-6004062亿</t>
  </si>
  <si>
    <t>86880081亿</t>
  </si>
  <si>
    <t>605891770亿</t>
  </si>
  <si>
    <t>5.92亿</t>
  </si>
  <si>
    <t>1006.31万</t>
  </si>
  <si>
    <t>6.51亿</t>
  </si>
  <si>
    <t>12.69亿</t>
  </si>
  <si>
    <t>-3545.90万</t>
  </si>
  <si>
    <t>294988亿</t>
  </si>
  <si>
    <t>2865036亿</t>
  </si>
  <si>
    <t>529591260亿</t>
  </si>
  <si>
    <t>1170816550亿</t>
  </si>
  <si>
    <t>-2708.27万</t>
  </si>
  <si>
    <t>-361.01万</t>
  </si>
  <si>
    <t>44.85亿</t>
  </si>
  <si>
    <t>13.66亿</t>
  </si>
  <si>
    <t>78.02亿</t>
  </si>
  <si>
    <t>-6368792亿</t>
  </si>
  <si>
    <t>-58372973亿</t>
  </si>
  <si>
    <t>3442153700亿</t>
  </si>
  <si>
    <t>6128544700亿</t>
  </si>
  <si>
    <t>8.36亿</t>
  </si>
  <si>
    <t>6560.32万</t>
  </si>
  <si>
    <t>13.54亿</t>
  </si>
  <si>
    <t>-5605.15万</t>
  </si>
  <si>
    <t>37.90亿</t>
  </si>
  <si>
    <t>12.65亿</t>
  </si>
  <si>
    <t>67.30亿</t>
  </si>
  <si>
    <t>7909.20万</t>
  </si>
  <si>
    <t>768090亿</t>
  </si>
  <si>
    <t>-18216035亿</t>
  </si>
  <si>
    <t>1106506220亿</t>
  </si>
  <si>
    <t>7.08亿</t>
  </si>
  <si>
    <t>3748724900亿</t>
  </si>
  <si>
    <t>-2.19亿</t>
  </si>
  <si>
    <t>15.04亿</t>
  </si>
  <si>
    <t>2032.37万</t>
  </si>
  <si>
    <t>18.55亿</t>
  </si>
  <si>
    <t>26.07亿</t>
  </si>
  <si>
    <t>4453608亿</t>
  </si>
  <si>
    <t>45264141亿</t>
  </si>
  <si>
    <t>511485760亿</t>
  </si>
  <si>
    <t>2984018600亿</t>
  </si>
  <si>
    <t>7.19亿</t>
  </si>
  <si>
    <t>30.17亿</t>
  </si>
  <si>
    <t>6.03亿</t>
  </si>
  <si>
    <t>8135.09万</t>
  </si>
  <si>
    <t>20.85亿</t>
  </si>
  <si>
    <t>4765.58万</t>
  </si>
  <si>
    <t>-3.06亿</t>
  </si>
  <si>
    <t>23264596亿</t>
  </si>
  <si>
    <t>-31065077亿</t>
  </si>
  <si>
    <t>400444140亿</t>
  </si>
  <si>
    <t>827871320亿</t>
  </si>
  <si>
    <t>4093.94万</t>
  </si>
  <si>
    <t>6844.29万</t>
  </si>
  <si>
    <t>-1642.85万</t>
  </si>
  <si>
    <t>-4-1</t>
  </si>
  <si>
    <t>7130.40万</t>
  </si>
  <si>
    <t>7438.54万</t>
  </si>
  <si>
    <t>899595亿</t>
  </si>
  <si>
    <t>9571378亿</t>
  </si>
  <si>
    <t>2.50亿</t>
  </si>
  <si>
    <t>296286940亿</t>
  </si>
  <si>
    <t>991799050亿</t>
  </si>
  <si>
    <t>7484.10万</t>
  </si>
  <si>
    <t>1071.23万</t>
  </si>
  <si>
    <t>24.12亿</t>
  </si>
  <si>
    <t>-1.63亿</t>
  </si>
  <si>
    <t>-35180359亿</t>
  </si>
  <si>
    <t>1011384770亿</t>
  </si>
  <si>
    <t>1690047500亿</t>
  </si>
  <si>
    <t>10.45亿</t>
  </si>
  <si>
    <t>-3435.49万</t>
  </si>
  <si>
    <t>2679.30万</t>
  </si>
  <si>
    <t>97560亿</t>
  </si>
  <si>
    <t>-20875227亿</t>
  </si>
  <si>
    <t>228245530亿</t>
  </si>
  <si>
    <t>1304805590亿</t>
  </si>
  <si>
    <t>348.00万</t>
  </si>
  <si>
    <t>1534.41万</t>
  </si>
  <si>
    <t>080379000</t>
  </si>
  <si>
    <t>0160758000</t>
  </si>
  <si>
    <t>0267930000</t>
  </si>
  <si>
    <t>0535860000</t>
  </si>
  <si>
    <t>-2-1</t>
  </si>
  <si>
    <t>40.91亿</t>
  </si>
  <si>
    <t>28.01亿</t>
  </si>
  <si>
    <t>2263.72万</t>
  </si>
  <si>
    <t>-2557527亿</t>
  </si>
  <si>
    <t>-10226529亿</t>
  </si>
  <si>
    <t>1981246800亿</t>
  </si>
  <si>
    <t>4063136800亿</t>
  </si>
  <si>
    <t>11.00亿</t>
  </si>
  <si>
    <t>3436.71万</t>
  </si>
  <si>
    <t>86.65亿</t>
  </si>
  <si>
    <t>79.44亿</t>
  </si>
  <si>
    <t>-3.38亿</t>
  </si>
  <si>
    <t>4526550亿</t>
  </si>
  <si>
    <t>23452584亿</t>
  </si>
  <si>
    <t>4310011900亿</t>
  </si>
  <si>
    <t>9328878800亿</t>
  </si>
  <si>
    <t>18.66亿</t>
  </si>
  <si>
    <t>5807.55万</t>
  </si>
  <si>
    <t>11.52亿</t>
  </si>
  <si>
    <t>3819.44万</t>
  </si>
  <si>
    <t>-515408亿</t>
  </si>
  <si>
    <t>4099746亿</t>
  </si>
  <si>
    <t>372232580亿</t>
  </si>
  <si>
    <t>1514273900亿</t>
  </si>
  <si>
    <t>13.46亿</t>
  </si>
  <si>
    <t>1.90亿</t>
  </si>
  <si>
    <t>4762.09万</t>
  </si>
  <si>
    <t>2481841亿</t>
  </si>
  <si>
    <t>17516397亿</t>
  </si>
  <si>
    <t>143174040亿</t>
  </si>
  <si>
    <t>1011470890亿</t>
  </si>
  <si>
    <t>7.14亿</t>
  </si>
  <si>
    <t>8450.87万</t>
  </si>
  <si>
    <t>5-1</t>
  </si>
  <si>
    <t>SZ301526</t>
  </si>
  <si>
    <t>国际复材</t>
  </si>
  <si>
    <t>134.70亿</t>
  </si>
  <si>
    <t>15.36亿</t>
  </si>
  <si>
    <t>71.56亿</t>
  </si>
  <si>
    <t>2.97亿</t>
  </si>
  <si>
    <t>-9438827亿</t>
  </si>
  <si>
    <t>-84194555亿</t>
  </si>
  <si>
    <t>2215897300亿</t>
  </si>
  <si>
    <t>9765977000亿</t>
  </si>
  <si>
    <t>78.94亿</t>
  </si>
  <si>
    <t>83.00亿</t>
  </si>
  <si>
    <t>69.12亿</t>
  </si>
  <si>
    <t>54.85亿</t>
  </si>
  <si>
    <t>52.07亿</t>
  </si>
  <si>
    <t>10.97亿</t>
  </si>
  <si>
    <t>220.76亿</t>
  </si>
  <si>
    <t>33.82亿</t>
  </si>
  <si>
    <t>148.76亿</t>
  </si>
  <si>
    <t>12297438亿</t>
  </si>
  <si>
    <t>168205780亿</t>
  </si>
  <si>
    <t>2296839200亿</t>
  </si>
  <si>
    <t>14403709000亿</t>
  </si>
  <si>
    <t>8.67亿</t>
  </si>
  <si>
    <t>10派2.75元(含税)</t>
  </si>
  <si>
    <t>16.80亿</t>
  </si>
  <si>
    <t>4392.14万</t>
  </si>
  <si>
    <t>903646亿</t>
  </si>
  <si>
    <t>23263639亿</t>
  </si>
  <si>
    <t>65107286亿</t>
  </si>
  <si>
    <t>958179510亿</t>
  </si>
  <si>
    <t>-2.93亿</t>
  </si>
  <si>
    <t>81.32亿</t>
  </si>
  <si>
    <t>40.86亿</t>
  </si>
  <si>
    <t>-5.36亿</t>
  </si>
  <si>
    <t>1736356亿</t>
  </si>
  <si>
    <t>-77138270亿</t>
  </si>
  <si>
    <t>1543712500亿</t>
  </si>
  <si>
    <t>7135144500亿</t>
  </si>
  <si>
    <t>-4.98亿</t>
  </si>
  <si>
    <t>32.28亿</t>
  </si>
  <si>
    <t>44.90亿</t>
  </si>
  <si>
    <t>-17209017亿</t>
  </si>
  <si>
    <t>296694450亿</t>
  </si>
  <si>
    <t>3752536500亿</t>
  </si>
  <si>
    <t>37.16亿</t>
  </si>
  <si>
    <t>15.67亿</t>
  </si>
  <si>
    <t>104.10亿</t>
  </si>
  <si>
    <t>162095亿</t>
  </si>
  <si>
    <t>-37332905亿</t>
  </si>
  <si>
    <t>1923057500亿</t>
  </si>
  <si>
    <t>5842012800亿</t>
  </si>
  <si>
    <t>11.40亿</t>
  </si>
  <si>
    <t>483.35亿</t>
  </si>
  <si>
    <t>213.28亿</t>
  </si>
  <si>
    <t>1409.99亿</t>
  </si>
  <si>
    <t>104.30亿</t>
  </si>
  <si>
    <t>20546637亿</t>
  </si>
  <si>
    <t>1368419400亿</t>
  </si>
  <si>
    <t>3672811300亿</t>
  </si>
  <si>
    <t>99392854000亿</t>
  </si>
  <si>
    <t>10派9.6元(含税)</t>
  </si>
  <si>
    <t>8611.02万</t>
  </si>
  <si>
    <t>-4123.70万</t>
  </si>
  <si>
    <t>-7037245亿</t>
  </si>
  <si>
    <t>32142131亿</t>
  </si>
  <si>
    <t>264565050亿</t>
  </si>
  <si>
    <t>2.84亿</t>
  </si>
  <si>
    <t>5.25亿</t>
  </si>
  <si>
    <t>26.32亿</t>
  </si>
  <si>
    <t>3.42亿</t>
  </si>
  <si>
    <t>-3.23亿</t>
  </si>
  <si>
    <t>-1767730亿</t>
  </si>
  <si>
    <t>-86878825亿</t>
  </si>
  <si>
    <t>331329亿</t>
  </si>
  <si>
    <t>470667780亿</t>
  </si>
  <si>
    <t>4.47亿</t>
  </si>
  <si>
    <t>-1.01亿</t>
  </si>
  <si>
    <t>-3-1</t>
  </si>
  <si>
    <t>34.96亿</t>
  </si>
  <si>
    <t>55.88亿</t>
  </si>
  <si>
    <t>-1.25亿</t>
  </si>
  <si>
    <t>1070138亿</t>
  </si>
  <si>
    <t>6056364亿</t>
  </si>
  <si>
    <t>772320880亿</t>
  </si>
  <si>
    <t>3752785600亿</t>
  </si>
  <si>
    <t>5.50亿</t>
  </si>
  <si>
    <t>4.43亿</t>
  </si>
  <si>
    <t>169.82亿</t>
  </si>
  <si>
    <t>156.83亿</t>
  </si>
  <si>
    <t>17.51亿</t>
  </si>
  <si>
    <t>312966亿</t>
  </si>
  <si>
    <t>415818530亿</t>
  </si>
  <si>
    <t>1800042600亿</t>
  </si>
  <si>
    <t>9777240400亿</t>
  </si>
  <si>
    <t>10派3.30元(含税)</t>
  </si>
  <si>
    <t>1753.15亿</t>
  </si>
  <si>
    <t>128.34亿</t>
  </si>
  <si>
    <t>1079.56亿</t>
  </si>
  <si>
    <t>2526.28万</t>
  </si>
  <si>
    <t>5.30亿</t>
  </si>
  <si>
    <t>314533200亿</t>
  </si>
  <si>
    <t>-1397948400亿</t>
  </si>
  <si>
    <t>8846804300亿</t>
  </si>
  <si>
    <t>144293770000亿</t>
  </si>
  <si>
    <t>10派0.25元(含税)</t>
  </si>
  <si>
    <t>6.66亿</t>
  </si>
  <si>
    <t>1859.46万</t>
  </si>
  <si>
    <t>6.22亿</t>
  </si>
  <si>
    <t>281639亿</t>
  </si>
  <si>
    <t>841900亿</t>
  </si>
  <si>
    <t>76221878亿</t>
  </si>
  <si>
    <t>643610000亿</t>
  </si>
  <si>
    <t>254.28万</t>
  </si>
  <si>
    <t>2.41亿</t>
  </si>
  <si>
    <t>10转3股派0.5元(含税)</t>
  </si>
  <si>
    <t>11.05亿</t>
  </si>
  <si>
    <t>-6309.45万</t>
  </si>
  <si>
    <t>-10726795亿</t>
  </si>
  <si>
    <t>239805960亿</t>
  </si>
  <si>
    <t>920323920亿</t>
  </si>
  <si>
    <t>100.00万</t>
  </si>
  <si>
    <t>46.66亿</t>
  </si>
  <si>
    <t>31.10亿</t>
  </si>
  <si>
    <t>6017.56万</t>
  </si>
  <si>
    <t>29.05亿</t>
  </si>
  <si>
    <t>-87503075亿</t>
  </si>
  <si>
    <t>1638729100亿</t>
  </si>
  <si>
    <t>2661295500亿</t>
  </si>
  <si>
    <t>10.77亿</t>
  </si>
  <si>
    <t>11.46亿</t>
  </si>
  <si>
    <t>4.38亿</t>
  </si>
  <si>
    <t>-2.41亿</t>
  </si>
  <si>
    <t>10派0.43元(含税)</t>
  </si>
  <si>
    <t>3.27亿</t>
  </si>
  <si>
    <t>8.28亿</t>
  </si>
  <si>
    <t>3813.27万</t>
  </si>
  <si>
    <t>6096942亿</t>
  </si>
  <si>
    <t>26077734亿</t>
  </si>
  <si>
    <t>497201500亿</t>
  </si>
  <si>
    <t>1773836000亿</t>
  </si>
  <si>
    <t>4015.56万</t>
  </si>
  <si>
    <t>5.33亿</t>
  </si>
  <si>
    <t>-3.10亿</t>
  </si>
  <si>
    <t>-1593376亿</t>
  </si>
  <si>
    <t>-12386618亿</t>
  </si>
  <si>
    <t>434474260亿</t>
  </si>
  <si>
    <t>1370440000亿</t>
  </si>
  <si>
    <t>13.33亿</t>
  </si>
  <si>
    <t>114.35亿</t>
  </si>
  <si>
    <t>124.76亿</t>
  </si>
  <si>
    <t>-1337030亿</t>
  </si>
  <si>
    <t>-77236853亿</t>
  </si>
  <si>
    <t>3171544600亿</t>
  </si>
  <si>
    <t>6574851900亿</t>
  </si>
  <si>
    <t>14.08亿</t>
  </si>
  <si>
    <t>10派1.6元(含税)</t>
  </si>
  <si>
    <t>13.12亿</t>
  </si>
  <si>
    <t>28.64亿</t>
  </si>
  <si>
    <t>91342亿</t>
  </si>
  <si>
    <t>49608569亿</t>
  </si>
  <si>
    <t>1219059730亿</t>
  </si>
  <si>
    <t>2506338000亿</t>
  </si>
  <si>
    <t>6.42亿</t>
  </si>
  <si>
    <t>10派1.89元(含税)</t>
  </si>
  <si>
    <t>38.59亿</t>
  </si>
  <si>
    <t>5.15亿</t>
  </si>
  <si>
    <t>22.02亿</t>
  </si>
  <si>
    <t>-87580175亿</t>
  </si>
  <si>
    <t>106614019亿</t>
  </si>
  <si>
    <t>2234657900亿</t>
  </si>
  <si>
    <t>4.30亿</t>
  </si>
  <si>
    <t>10派0.52元(含税)</t>
  </si>
  <si>
    <t>19.87亿</t>
  </si>
  <si>
    <t>1296.45万</t>
  </si>
  <si>
    <t>13610716亿</t>
  </si>
  <si>
    <t>2174421200亿</t>
  </si>
  <si>
    <t>3009341500亿</t>
  </si>
  <si>
    <t>10派0.23元(含税)</t>
  </si>
  <si>
    <t>8900.59万</t>
  </si>
  <si>
    <t>1284.37万</t>
  </si>
  <si>
    <t>2508402亿</t>
  </si>
  <si>
    <t>-967554亿</t>
  </si>
  <si>
    <t>75078087亿</t>
  </si>
  <si>
    <t>812624270亿</t>
  </si>
  <si>
    <t>25.37亿</t>
  </si>
  <si>
    <t>25.12亿</t>
  </si>
  <si>
    <t>7003.51万</t>
  </si>
  <si>
    <t>331114亿</t>
  </si>
  <si>
    <t>-4616239亿</t>
  </si>
  <si>
    <t>1039200430亿</t>
  </si>
  <si>
    <t>3.14亿</t>
  </si>
  <si>
    <t>4100004600亿</t>
  </si>
  <si>
    <t>10派0.32元(含税)</t>
  </si>
  <si>
    <t>894.82万</t>
  </si>
  <si>
    <t>148.52亿</t>
  </si>
  <si>
    <t>36.33亿</t>
  </si>
  <si>
    <t>31.06亿</t>
  </si>
  <si>
    <t>7728.04万</t>
  </si>
  <si>
    <t>2.23亿</t>
  </si>
  <si>
    <t>216.61万</t>
  </si>
  <si>
    <t>29.50亿</t>
  </si>
  <si>
    <t>50.59亿</t>
  </si>
  <si>
    <t>23.42亿</t>
  </si>
  <si>
    <t>32.03亿</t>
  </si>
  <si>
    <t>89.82亿</t>
  </si>
  <si>
    <t>63.77亿</t>
  </si>
  <si>
    <t>-8.61亿</t>
  </si>
  <si>
    <t>5.35亿</t>
  </si>
  <si>
    <t>4410.94万</t>
  </si>
  <si>
    <t>95.62万</t>
  </si>
  <si>
    <t>4819.05万</t>
  </si>
  <si>
    <t>3739.58万</t>
  </si>
  <si>
    <t>1955.08万</t>
  </si>
  <si>
    <t>70.07万</t>
  </si>
  <si>
    <t>1516.46万</t>
  </si>
  <si>
    <t>124.93万</t>
  </si>
  <si>
    <t>6.11亿</t>
  </si>
  <si>
    <t>992.53万</t>
  </si>
  <si>
    <t>272.05万</t>
  </si>
  <si>
    <t>-104.24万</t>
  </si>
  <si>
    <t>1120.48万</t>
  </si>
  <si>
    <t>8786.35万</t>
  </si>
  <si>
    <t>-10-0</t>
  </si>
  <si>
    <t>194.03万</t>
  </si>
  <si>
    <t>61.14亿</t>
  </si>
  <si>
    <t>8.59亿</t>
  </si>
  <si>
    <t>7.39亿</t>
  </si>
  <si>
    <t>1269.79万</t>
  </si>
  <si>
    <t>4253.76万</t>
  </si>
  <si>
    <t>3.39万</t>
  </si>
  <si>
    <t>13.44亿</t>
  </si>
  <si>
    <t>4565.45万</t>
  </si>
  <si>
    <t>23.55亿</t>
  </si>
  <si>
    <t>8.81亿</t>
  </si>
  <si>
    <t>139.81万</t>
  </si>
  <si>
    <t>53.44亿</t>
  </si>
  <si>
    <t>-2.96亿</t>
  </si>
  <si>
    <t>-7938.43万</t>
  </si>
  <si>
    <t>1436.70万</t>
  </si>
  <si>
    <t>649.62万</t>
  </si>
  <si>
    <t>293.62亿</t>
  </si>
  <si>
    <t>46.71亿</t>
  </si>
  <si>
    <t>34.16亿</t>
  </si>
  <si>
    <t>8.57亿</t>
  </si>
  <si>
    <t>838.41万</t>
  </si>
  <si>
    <t>66.39亿</t>
  </si>
  <si>
    <t>11.81亿</t>
  </si>
  <si>
    <t>29.49亿</t>
  </si>
  <si>
    <t>44.23亿</t>
  </si>
  <si>
    <t>150.36亿</t>
  </si>
  <si>
    <t>103.78亿</t>
  </si>
  <si>
    <t>-8.35亿</t>
  </si>
  <si>
    <t>-3.35亿</t>
  </si>
  <si>
    <t>16.02亿</t>
  </si>
  <si>
    <t>4566.70万</t>
  </si>
  <si>
    <t>3.46亿</t>
  </si>
  <si>
    <t>243.24万</t>
  </si>
  <si>
    <t>25.56亿</t>
  </si>
  <si>
    <t>30.63亿</t>
  </si>
  <si>
    <t>10.51亿</t>
  </si>
  <si>
    <t>57.96亿</t>
  </si>
  <si>
    <t>-1858.97万</t>
  </si>
  <si>
    <t>9.63亿</t>
  </si>
  <si>
    <t>3412.79万</t>
  </si>
  <si>
    <t>5370.90万</t>
  </si>
  <si>
    <t>1200000亿</t>
  </si>
  <si>
    <t>12.78万</t>
  </si>
  <si>
    <t>-19682818亿</t>
  </si>
  <si>
    <t>782997370亿</t>
  </si>
  <si>
    <t>887.06万</t>
  </si>
  <si>
    <t>3091869700亿</t>
  </si>
  <si>
    <t>3.50亿</t>
  </si>
  <si>
    <t>18.57亿</t>
  </si>
  <si>
    <t>3.36亿</t>
  </si>
  <si>
    <t>-1.05亿</t>
  </si>
  <si>
    <t>-2192.17万</t>
  </si>
  <si>
    <t>1.82亿</t>
  </si>
  <si>
    <t>10.85亿</t>
  </si>
  <si>
    <t>-1934.79万</t>
  </si>
  <si>
    <t>1520.38万</t>
  </si>
  <si>
    <t>343.60万</t>
  </si>
  <si>
    <t>95.66亿</t>
  </si>
  <si>
    <t>7.06亿</t>
  </si>
  <si>
    <t>2599.08万</t>
  </si>
  <si>
    <t>17.54万</t>
  </si>
  <si>
    <t>44.78亿</t>
  </si>
  <si>
    <t>86.35万</t>
  </si>
  <si>
    <t>57.07亿</t>
  </si>
  <si>
    <t>22.39亿</t>
  </si>
  <si>
    <t>1071.87万</t>
  </si>
  <si>
    <t>-7510.98万</t>
  </si>
  <si>
    <t>1802.59万</t>
  </si>
  <si>
    <t>898.48万</t>
  </si>
  <si>
    <t>252.03亿</t>
  </si>
  <si>
    <t>51.04亿</t>
  </si>
  <si>
    <t>167.45万</t>
  </si>
  <si>
    <t>14.63亿</t>
  </si>
  <si>
    <t>9375.20万</t>
  </si>
  <si>
    <t>8.48亿</t>
  </si>
  <si>
    <t>26.82亿</t>
  </si>
  <si>
    <t>51.14万</t>
  </si>
  <si>
    <t>86.55亿</t>
  </si>
  <si>
    <t>-2562.28万</t>
  </si>
  <si>
    <t>-2.45亿</t>
  </si>
  <si>
    <t>5594.71万</t>
  </si>
  <si>
    <t>416.84万</t>
  </si>
  <si>
    <t>12.84亿</t>
  </si>
  <si>
    <t>10.88亿</t>
  </si>
  <si>
    <t>2827.88万</t>
  </si>
  <si>
    <t>309.10万</t>
  </si>
  <si>
    <t>38.89亿</t>
  </si>
  <si>
    <t>4748.22万</t>
  </si>
  <si>
    <t>11.26亿</t>
  </si>
  <si>
    <t>33.86亿</t>
  </si>
  <si>
    <t>9513.00万</t>
  </si>
  <si>
    <t>-4793.03万</t>
  </si>
  <si>
    <t>-6155.01万</t>
  </si>
  <si>
    <t>-4501.01万</t>
  </si>
  <si>
    <t>2374.44万</t>
  </si>
  <si>
    <t>616.15万</t>
  </si>
  <si>
    <t>996.28亿</t>
  </si>
  <si>
    <t>188.24亿</t>
  </si>
  <si>
    <t>150.77亿</t>
  </si>
  <si>
    <t>3.76亿</t>
  </si>
  <si>
    <t>4802.58万</t>
  </si>
  <si>
    <t>173.22亿</t>
  </si>
  <si>
    <t>5794.81万</t>
  </si>
  <si>
    <t>208.42亿</t>
  </si>
  <si>
    <t>244.92亿</t>
  </si>
  <si>
    <t>87.57亿</t>
  </si>
  <si>
    <t>271.37亿</t>
  </si>
  <si>
    <t>1116.30亿</t>
  </si>
  <si>
    <t>741.88亿</t>
  </si>
  <si>
    <t>-13.82亿</t>
  </si>
  <si>
    <t>-34.32亿</t>
  </si>
  <si>
    <t>81.30亿</t>
  </si>
  <si>
    <t>4299.40万</t>
  </si>
  <si>
    <t>132.46万</t>
  </si>
  <si>
    <t>74.67亿</t>
  </si>
  <si>
    <t>101.38万</t>
  </si>
  <si>
    <t>1698.47万</t>
  </si>
  <si>
    <t>7.35万</t>
  </si>
  <si>
    <t>3.97亿</t>
  </si>
  <si>
    <t>1133.31万</t>
  </si>
  <si>
    <t>3353.48万</t>
  </si>
  <si>
    <t>8952.21万</t>
  </si>
  <si>
    <t>5257.33万</t>
  </si>
  <si>
    <t>-237.62万</t>
  </si>
  <si>
    <t>10派3.406027元(含税)</t>
  </si>
  <si>
    <t>916.22万</t>
  </si>
  <si>
    <t>8105.43万</t>
  </si>
  <si>
    <t>73.01万</t>
  </si>
  <si>
    <t>16.78亿</t>
  </si>
  <si>
    <t>368.36万</t>
  </si>
  <si>
    <t>464.95万</t>
  </si>
  <si>
    <t>3.93万</t>
  </si>
  <si>
    <t>870.66万</t>
  </si>
  <si>
    <t>9953.82万</t>
  </si>
  <si>
    <t>7125.23万</t>
  </si>
  <si>
    <t>-253.71万</t>
  </si>
  <si>
    <t>377.97万</t>
  </si>
  <si>
    <t>2933.73万</t>
  </si>
  <si>
    <t>116.06万</t>
  </si>
  <si>
    <t>17.31亿</t>
  </si>
  <si>
    <t>480.77万</t>
  </si>
  <si>
    <t>1433.25万</t>
  </si>
  <si>
    <t>10.00万</t>
  </si>
  <si>
    <t>5.56亿</t>
  </si>
  <si>
    <t>2502.01万</t>
  </si>
  <si>
    <t>1115.31万</t>
  </si>
  <si>
    <t>3767.61万</t>
  </si>
  <si>
    <t>1200.00万</t>
  </si>
  <si>
    <t>1.27亿</t>
  </si>
  <si>
    <t>6298.19万</t>
  </si>
  <si>
    <t>2200.89万</t>
  </si>
  <si>
    <t>4836.18万</t>
  </si>
  <si>
    <t>582.36万</t>
  </si>
  <si>
    <t>4923.20万</t>
  </si>
  <si>
    <t>572.53万</t>
  </si>
  <si>
    <t>13.53亿</t>
  </si>
  <si>
    <t>6418.78万</t>
  </si>
  <si>
    <t>5711.01万</t>
  </si>
  <si>
    <t>257.54万</t>
  </si>
  <si>
    <t>10.47亿</t>
  </si>
  <si>
    <t>1952.96万</t>
  </si>
  <si>
    <t>3778.56万</t>
  </si>
  <si>
    <t>2100.00万</t>
  </si>
  <si>
    <t>9260.00万</t>
  </si>
  <si>
    <t>10.75亿</t>
  </si>
  <si>
    <t>19.24亿</t>
  </si>
  <si>
    <t>-8.81亿</t>
  </si>
  <si>
    <t>-1.79亿</t>
  </si>
  <si>
    <t>3503.77万</t>
  </si>
  <si>
    <t>2.99亿</t>
  </si>
  <si>
    <t>158.53万</t>
  </si>
  <si>
    <t>14.71亿</t>
  </si>
  <si>
    <t>9.42亿</t>
  </si>
  <si>
    <t>3712.16万</t>
  </si>
  <si>
    <t>6085.44万</t>
  </si>
  <si>
    <t>53.89万</t>
  </si>
  <si>
    <t>2.64亿</t>
  </si>
  <si>
    <t>6512.31万</t>
  </si>
  <si>
    <t>6.23亿</t>
  </si>
  <si>
    <t>5.64亿</t>
  </si>
  <si>
    <t>10.58亿</t>
  </si>
  <si>
    <t>28.18亿</t>
  </si>
  <si>
    <t>-5258.45万</t>
  </si>
  <si>
    <t>-2800.17万</t>
  </si>
  <si>
    <t>1469.44万</t>
  </si>
  <si>
    <t>984.99万</t>
  </si>
  <si>
    <t>7305.08万</t>
  </si>
  <si>
    <t>663.13万</t>
  </si>
  <si>
    <t>267.93亿</t>
  </si>
  <si>
    <t>42.70亿</t>
  </si>
  <si>
    <t>35.69亿</t>
  </si>
  <si>
    <t>6662.30万</t>
  </si>
  <si>
    <t>567.94万</t>
  </si>
  <si>
    <t>17.66亿</t>
  </si>
  <si>
    <t>81.31亿</t>
  </si>
  <si>
    <t>12.29亿</t>
  </si>
  <si>
    <t>48.68亿</t>
  </si>
  <si>
    <t>187.97亿</t>
  </si>
  <si>
    <t>98.22亿</t>
  </si>
  <si>
    <t>-17.57亿</t>
  </si>
  <si>
    <t>-16.23亿</t>
  </si>
  <si>
    <t>17.06亿</t>
  </si>
  <si>
    <t>3410.88万</t>
  </si>
  <si>
    <t>395.79万</t>
  </si>
  <si>
    <t>28.89亿</t>
  </si>
  <si>
    <t>6.10亿</t>
  </si>
  <si>
    <t>5008.75万</t>
  </si>
  <si>
    <t>3134.66万</t>
  </si>
  <si>
    <t>66.69万</t>
  </si>
  <si>
    <t>6.68亿</t>
  </si>
  <si>
    <t>3784.99万</t>
  </si>
  <si>
    <t>1.64亿</t>
  </si>
  <si>
    <t>3.64亿</t>
  </si>
  <si>
    <t>8.58亿</t>
  </si>
  <si>
    <t>7776.41万</t>
  </si>
  <si>
    <t>-2548.47万</t>
  </si>
  <si>
    <t>-63.87万</t>
  </si>
  <si>
    <t>1300.59万</t>
  </si>
  <si>
    <t>6777.48万</t>
  </si>
  <si>
    <t>784.20万</t>
  </si>
  <si>
    <t>2.58亿</t>
  </si>
  <si>
    <t>813.17万</t>
  </si>
  <si>
    <t>2330.21万</t>
  </si>
  <si>
    <t>195.74万</t>
  </si>
  <si>
    <t>765.37万</t>
  </si>
  <si>
    <t>7366.03万</t>
  </si>
  <si>
    <t>5.03亿</t>
  </si>
  <si>
    <t>5468.53万</t>
  </si>
  <si>
    <t>5.61亿</t>
  </si>
  <si>
    <t>13.45亿</t>
  </si>
  <si>
    <t>244.19万</t>
  </si>
  <si>
    <t>802.56万</t>
  </si>
  <si>
    <t>-4885.16万</t>
  </si>
  <si>
    <t>3545.27万</t>
  </si>
  <si>
    <t>267.39万</t>
  </si>
  <si>
    <t>7.46亿</t>
  </si>
  <si>
    <t>8001.94万</t>
  </si>
  <si>
    <t>3094.17万</t>
  </si>
  <si>
    <t>144.01万</t>
  </si>
  <si>
    <t>1834.15万</t>
  </si>
  <si>
    <t>23.80万</t>
  </si>
  <si>
    <t>8143.10万</t>
  </si>
  <si>
    <t>2601.29万</t>
  </si>
  <si>
    <t>4.77亿</t>
  </si>
  <si>
    <t>16.95亿</t>
  </si>
  <si>
    <t>13.05亿</t>
  </si>
  <si>
    <t>-3380.90万</t>
  </si>
  <si>
    <t>-148.22万</t>
  </si>
  <si>
    <t>2310.46万</t>
  </si>
  <si>
    <t>2309.73万</t>
  </si>
  <si>
    <t>1985.46万</t>
  </si>
  <si>
    <t>10.43亿</t>
  </si>
  <si>
    <t>5410.96万</t>
  </si>
  <si>
    <t>6953.04万</t>
  </si>
  <si>
    <t>13.81亿</t>
  </si>
  <si>
    <t>28.83亿</t>
  </si>
  <si>
    <t>9.29亿</t>
  </si>
  <si>
    <t>-815.25万</t>
  </si>
  <si>
    <t>-6067.99万</t>
  </si>
  <si>
    <t>-2.06亿</t>
  </si>
  <si>
    <t>1.10亿</t>
  </si>
  <si>
    <t>2-0</t>
  </si>
  <si>
    <t>855.53万</t>
  </si>
  <si>
    <t>121.82亿</t>
  </si>
  <si>
    <t>7.50亿</t>
  </si>
  <si>
    <t>1681.39万</t>
  </si>
  <si>
    <t>7770.65万</t>
  </si>
  <si>
    <t>26.70万</t>
  </si>
  <si>
    <t>5.51亿</t>
  </si>
  <si>
    <t>9.68亿</t>
  </si>
  <si>
    <t>195.63万</t>
  </si>
  <si>
    <t>7.53亿</t>
  </si>
  <si>
    <t>3322.65万</t>
  </si>
  <si>
    <t>5325.70万</t>
  </si>
  <si>
    <t>3127.56万</t>
  </si>
  <si>
    <t>674.26万</t>
  </si>
  <si>
    <t>1799.58万</t>
  </si>
  <si>
    <t>5.21万</t>
  </si>
  <si>
    <t>791.10万</t>
  </si>
  <si>
    <t>5183.27万</t>
  </si>
  <si>
    <t>106.12万</t>
  </si>
  <si>
    <t>6.69亿</t>
  </si>
  <si>
    <t>-7367.60万</t>
  </si>
  <si>
    <t>-3067.63万</t>
  </si>
  <si>
    <t>230.10万</t>
  </si>
  <si>
    <t>8433.70万</t>
  </si>
  <si>
    <t>2835.43万</t>
  </si>
  <si>
    <t>285.80亿</t>
  </si>
  <si>
    <t>65.48亿</t>
  </si>
  <si>
    <t>50.27亿</t>
  </si>
  <si>
    <t>5.48亿</t>
  </si>
  <si>
    <t>941.79万</t>
  </si>
  <si>
    <t>51.91亿</t>
  </si>
  <si>
    <t>6.30亿</t>
  </si>
  <si>
    <t>12.86亿</t>
  </si>
  <si>
    <t>41.04亿</t>
  </si>
  <si>
    <t>33.54亿</t>
  </si>
  <si>
    <t>170.12亿</t>
  </si>
  <si>
    <t>12.44亿</t>
  </si>
  <si>
    <t>-18.89亿</t>
  </si>
  <si>
    <t>-16.39亿</t>
  </si>
  <si>
    <t>1.81亿</t>
  </si>
  <si>
    <t>12.00亿</t>
  </si>
  <si>
    <t>389.87万</t>
  </si>
  <si>
    <t>109.91亿</t>
  </si>
  <si>
    <t>41.62亿</t>
  </si>
  <si>
    <t>5849.34万</t>
  </si>
  <si>
    <t>761.54万</t>
  </si>
  <si>
    <t>22.13亿</t>
  </si>
  <si>
    <t>168.60亿</t>
  </si>
  <si>
    <t>557.16万</t>
  </si>
  <si>
    <t>215.74亿</t>
  </si>
  <si>
    <t>-16.20亿</t>
  </si>
  <si>
    <t>-1.12亿</t>
  </si>
  <si>
    <t>-1143.02万</t>
  </si>
  <si>
    <t>2941.18万</t>
  </si>
  <si>
    <t>227.31万</t>
  </si>
  <si>
    <t>19.34亿</t>
  </si>
  <si>
    <t>658.37万</t>
  </si>
  <si>
    <t>1444.87万</t>
  </si>
  <si>
    <t>10.18万</t>
  </si>
  <si>
    <t>4.72亿</t>
  </si>
  <si>
    <t>2.61亿</t>
  </si>
  <si>
    <t>1101.66万</t>
  </si>
  <si>
    <t>3.38亿</t>
  </si>
  <si>
    <t>2311.05万</t>
  </si>
  <si>
    <t>-6015.61万</t>
  </si>
  <si>
    <t>6245.44万</t>
  </si>
  <si>
    <t>1166.48万</t>
  </si>
  <si>
    <t>669.63万</t>
  </si>
  <si>
    <t>58.63亿</t>
  </si>
  <si>
    <t>8.33亿</t>
  </si>
  <si>
    <t>5.83亿</t>
  </si>
  <si>
    <t>6938.61万</t>
  </si>
  <si>
    <t>86.82万</t>
  </si>
  <si>
    <t>150.51万</t>
  </si>
  <si>
    <t>127.50万</t>
  </si>
  <si>
    <t>4.17亿</t>
  </si>
  <si>
    <t>12.22亿</t>
  </si>
  <si>
    <t>-1.76亿</t>
  </si>
  <si>
    <t>-4224.48万</t>
  </si>
  <si>
    <t>2878.28万</t>
  </si>
  <si>
    <t>766.24万</t>
  </si>
  <si>
    <t>54.10亿</t>
  </si>
  <si>
    <t>14.02亿</t>
  </si>
  <si>
    <t>12.57亿</t>
  </si>
  <si>
    <t>3091.00万</t>
  </si>
  <si>
    <t>4260.89万</t>
  </si>
  <si>
    <t>77.84万</t>
  </si>
  <si>
    <t>5.09亿</t>
  </si>
  <si>
    <t>1238.07万</t>
  </si>
  <si>
    <t>11.15亿</t>
  </si>
  <si>
    <t>32.85亿</t>
  </si>
  <si>
    <t>-1.50亿</t>
  </si>
  <si>
    <t>522.11万</t>
  </si>
  <si>
    <t>-647.06万</t>
  </si>
  <si>
    <t>4287.40万</t>
  </si>
  <si>
    <t>3.39亿</t>
  </si>
  <si>
    <t>249.39万</t>
  </si>
  <si>
    <t>37.49亿</t>
  </si>
  <si>
    <t>3.91亿</t>
  </si>
  <si>
    <t>3717.16万</t>
  </si>
  <si>
    <t>3213.87万</t>
  </si>
  <si>
    <t>108.61万</t>
  </si>
  <si>
    <t>1.15亿</t>
  </si>
  <si>
    <t>17.30亿</t>
  </si>
  <si>
    <t>10.48万</t>
  </si>
  <si>
    <t>20.17亿</t>
  </si>
  <si>
    <t>8842.82万</t>
  </si>
  <si>
    <t>-2235.13万</t>
  </si>
  <si>
    <t>5820.19万</t>
  </si>
  <si>
    <t>-569.23万</t>
  </si>
  <si>
    <t>1723.08万</t>
  </si>
  <si>
    <t>740.42万</t>
  </si>
  <si>
    <t>24.58亿</t>
  </si>
  <si>
    <t>910.44万</t>
  </si>
  <si>
    <t>5045.14万</t>
  </si>
  <si>
    <t>19.60万</t>
  </si>
  <si>
    <t>3181.46万</t>
  </si>
  <si>
    <t>4722.80万</t>
  </si>
  <si>
    <t>5.79亿</t>
  </si>
  <si>
    <t>16.91亿</t>
  </si>
  <si>
    <t>4966.11万</t>
  </si>
  <si>
    <t>-1.75亿</t>
  </si>
  <si>
    <t>-2580.45万</t>
  </si>
  <si>
    <t>6900.27万</t>
  </si>
  <si>
    <t>4.51亿</t>
  </si>
  <si>
    <t>850.78万</t>
  </si>
  <si>
    <t>9.53亿</t>
  </si>
  <si>
    <t>702.61万</t>
  </si>
  <si>
    <t>4204.67万</t>
  </si>
  <si>
    <t>16.16万</t>
  </si>
  <si>
    <t>1292.15万</t>
  </si>
  <si>
    <t>4510.00万</t>
  </si>
  <si>
    <t>10.11亿</t>
  </si>
  <si>
    <t>16.24亿</t>
  </si>
  <si>
    <t>11.83亿</t>
  </si>
  <si>
    <t>3977.71万</t>
  </si>
  <si>
    <t>-554.08万</t>
  </si>
  <si>
    <t>-943.30万</t>
  </si>
  <si>
    <t>5308.32万</t>
  </si>
  <si>
    <t>601.86万</t>
  </si>
  <si>
    <t>17.85亿</t>
  </si>
  <si>
    <t>1907.43万</t>
  </si>
  <si>
    <t>2633.66万</t>
  </si>
  <si>
    <t>7.92万</t>
  </si>
  <si>
    <t>7385.41万</t>
  </si>
  <si>
    <t>1.95亿</t>
  </si>
  <si>
    <t>7.26亿</t>
  </si>
  <si>
    <t>4639.59万</t>
  </si>
  <si>
    <t>-6933.19万</t>
  </si>
  <si>
    <t>3674.11万</t>
  </si>
  <si>
    <t>386.17万</t>
  </si>
  <si>
    <t>55.09亿</t>
  </si>
  <si>
    <t>12.50亿</t>
  </si>
  <si>
    <t>10.16亿</t>
  </si>
  <si>
    <t>7606.29万</t>
  </si>
  <si>
    <t>117.55万</t>
  </si>
  <si>
    <t>26.64亿</t>
  </si>
  <si>
    <t>8961.04万</t>
  </si>
  <si>
    <t>8367.80万</t>
  </si>
  <si>
    <t>13.09亿</t>
  </si>
  <si>
    <t>35.55亿</t>
  </si>
  <si>
    <t>-1128.50万</t>
  </si>
  <si>
    <t>2782.75万</t>
  </si>
  <si>
    <t>2.67亿</t>
  </si>
  <si>
    <t>1392.14万</t>
  </si>
  <si>
    <t>9072.49万</t>
  </si>
  <si>
    <t>8036.12万</t>
  </si>
  <si>
    <t>90.56万</t>
  </si>
  <si>
    <t>496.15万</t>
  </si>
  <si>
    <t>164.96万</t>
  </si>
  <si>
    <t>1239.89万</t>
  </si>
  <si>
    <t>2789.39万</t>
  </si>
  <si>
    <t>-12.50万</t>
  </si>
  <si>
    <t>-2907.84万</t>
  </si>
  <si>
    <t>9858.35万</t>
  </si>
  <si>
    <t>477.77万</t>
  </si>
  <si>
    <t>15.96亿</t>
  </si>
  <si>
    <t>627.07万</t>
  </si>
  <si>
    <t>2739.05万</t>
  </si>
  <si>
    <t>81.74万</t>
  </si>
  <si>
    <t>2.86亿</t>
  </si>
  <si>
    <t>2894.68万</t>
  </si>
  <si>
    <t>377.06万</t>
  </si>
  <si>
    <t>8.41亿</t>
  </si>
  <si>
    <t>-3870.56万</t>
  </si>
  <si>
    <t>-928.02万</t>
  </si>
  <si>
    <t>1871.42万</t>
  </si>
  <si>
    <t>3454.33万</t>
  </si>
  <si>
    <t>562.10万</t>
  </si>
  <si>
    <t>5.59亿</t>
  </si>
  <si>
    <t>1205.38万</t>
  </si>
  <si>
    <t>1337.78万</t>
  </si>
  <si>
    <t>4.32亿</t>
  </si>
  <si>
    <t>2990.65万</t>
  </si>
  <si>
    <t>438.22万</t>
  </si>
  <si>
    <t>8932.50万</t>
  </si>
  <si>
    <t>7559.15万</t>
  </si>
  <si>
    <t>792.80万</t>
  </si>
  <si>
    <t>-368.39万</t>
  </si>
  <si>
    <t>-867.75万</t>
  </si>
  <si>
    <t>2773.71万</t>
  </si>
  <si>
    <t>74.96万</t>
  </si>
  <si>
    <t>9547.49万</t>
  </si>
  <si>
    <t>2086.31万</t>
  </si>
  <si>
    <t>1533.16万</t>
  </si>
  <si>
    <t>25.84万</t>
  </si>
  <si>
    <t>263.16万</t>
  </si>
  <si>
    <t>1011.00万</t>
  </si>
  <si>
    <t>5.16亿</t>
  </si>
  <si>
    <t>-7087.68万</t>
  </si>
  <si>
    <t>-2339.29万</t>
  </si>
  <si>
    <t>-1529.73万</t>
  </si>
  <si>
    <t>363.29万</t>
  </si>
  <si>
    <t>3334.58万</t>
  </si>
  <si>
    <t>163.68万</t>
  </si>
  <si>
    <t>1523.79万</t>
  </si>
  <si>
    <t>1694.59万</t>
  </si>
  <si>
    <t>2.03万</t>
  </si>
  <si>
    <t>725.30万</t>
  </si>
  <si>
    <t>5029.71万</t>
  </si>
  <si>
    <t>-2232.40万</t>
  </si>
  <si>
    <t>-1104.33万</t>
  </si>
  <si>
    <t>3959.06万</t>
  </si>
  <si>
    <t>1435.00万</t>
  </si>
  <si>
    <t>7297.41万</t>
  </si>
  <si>
    <t>676.10万</t>
  </si>
  <si>
    <t>52.75亿</t>
  </si>
  <si>
    <t>14.00亿</t>
  </si>
  <si>
    <t>9650.68万</t>
  </si>
  <si>
    <t>110.23万</t>
  </si>
  <si>
    <t>6507.82万</t>
  </si>
  <si>
    <t>8291.54万</t>
  </si>
  <si>
    <t>6.02亿</t>
  </si>
  <si>
    <t>17.27亿</t>
  </si>
  <si>
    <t>33.70亿</t>
  </si>
  <si>
    <t>9780.58万</t>
  </si>
  <si>
    <t>-6.10亿</t>
  </si>
  <si>
    <t>8452.17万</t>
  </si>
  <si>
    <t>2574.18万</t>
  </si>
  <si>
    <t>2293.21万</t>
  </si>
  <si>
    <t>693.10万</t>
  </si>
  <si>
    <t>27.94亿</t>
  </si>
  <si>
    <t>12.91亿</t>
  </si>
  <si>
    <t>4278.08万</t>
  </si>
  <si>
    <t>5126.16万</t>
  </si>
  <si>
    <t>65.23万</t>
  </si>
  <si>
    <t>10.76亿</t>
  </si>
  <si>
    <t>5.94亿</t>
  </si>
  <si>
    <t>8.19亿</t>
  </si>
  <si>
    <t>28.39亿</t>
  </si>
  <si>
    <t>7.15亿</t>
  </si>
  <si>
    <t>-2.92亿</t>
  </si>
  <si>
    <t>-1.65亿</t>
  </si>
  <si>
    <t>5241.14万</t>
  </si>
  <si>
    <t>6565.93万</t>
  </si>
  <si>
    <t>-6-0</t>
  </si>
  <si>
    <t>65.48万</t>
  </si>
  <si>
    <t>45.07亿</t>
  </si>
  <si>
    <t>1381.00万</t>
  </si>
  <si>
    <t>3041.59万</t>
  </si>
  <si>
    <t>15.89亿</t>
  </si>
  <si>
    <t>862.88万</t>
  </si>
  <si>
    <t>11.24亿</t>
  </si>
  <si>
    <t>5327.46万</t>
  </si>
  <si>
    <t>-4466.30万</t>
  </si>
  <si>
    <t>727.37万</t>
  </si>
  <si>
    <t>5812.40万</t>
  </si>
  <si>
    <t>7083.06万</t>
  </si>
  <si>
    <t>5638.12万</t>
  </si>
  <si>
    <t>4129.22万</t>
  </si>
  <si>
    <t>211.08万</t>
  </si>
  <si>
    <t>1133.57万</t>
  </si>
  <si>
    <t>13.83万</t>
  </si>
  <si>
    <t>5175.40万</t>
  </si>
  <si>
    <t>1747.67万</t>
  </si>
  <si>
    <t>3.85亿</t>
  </si>
  <si>
    <t>4627.00万</t>
  </si>
  <si>
    <t>7.28万</t>
  </si>
  <si>
    <t>-3834.76万</t>
  </si>
  <si>
    <t>3.13亿</t>
  </si>
  <si>
    <t>12.89亿</t>
  </si>
  <si>
    <t>294.82万</t>
  </si>
  <si>
    <t>6750.69万</t>
  </si>
  <si>
    <t>4814.98万</t>
  </si>
  <si>
    <t>322.28万</t>
  </si>
  <si>
    <t>1145.13万</t>
  </si>
  <si>
    <t>1554.02万</t>
  </si>
  <si>
    <t>638.84万</t>
  </si>
  <si>
    <t>7059.85万</t>
  </si>
  <si>
    <t>482.61万</t>
  </si>
  <si>
    <t>259.11万</t>
  </si>
  <si>
    <t>4922.33万</t>
  </si>
  <si>
    <t>-3260.39万</t>
  </si>
  <si>
    <t>2109.22万</t>
  </si>
  <si>
    <t>2008.72万</t>
  </si>
  <si>
    <t>827.93万</t>
  </si>
  <si>
    <t>8.74亿</t>
  </si>
  <si>
    <t>504.61万</t>
  </si>
  <si>
    <t>2995.07万</t>
  </si>
  <si>
    <t>2.12万</t>
  </si>
  <si>
    <t>1802.88万</t>
  </si>
  <si>
    <t>1259.91万</t>
  </si>
  <si>
    <t>11.25亿</t>
  </si>
  <si>
    <t>10.05亿</t>
  </si>
  <si>
    <t>1187.42万</t>
  </si>
  <si>
    <t>-57.22万</t>
  </si>
  <si>
    <t>-3325.57万</t>
  </si>
  <si>
    <t>6807.77万</t>
  </si>
  <si>
    <t>4.12亿</t>
  </si>
  <si>
    <t>11-0</t>
  </si>
  <si>
    <t>224.77万</t>
  </si>
  <si>
    <t>22.16亿</t>
  </si>
  <si>
    <t>2.42亿</t>
  </si>
  <si>
    <t>962.89万</t>
  </si>
  <si>
    <t>1949.02万</t>
  </si>
  <si>
    <t>15.25万</t>
  </si>
  <si>
    <t>6.98亿</t>
  </si>
  <si>
    <t>128.90万</t>
  </si>
  <si>
    <t>6333.82万</t>
  </si>
  <si>
    <t>-4874.49万</t>
  </si>
  <si>
    <t>-1.10亿</t>
  </si>
  <si>
    <t>-1409.32万</t>
  </si>
  <si>
    <t>1180.56万</t>
  </si>
  <si>
    <t>9473.49万</t>
  </si>
  <si>
    <t>59.64万</t>
  </si>
  <si>
    <t>24.03亿</t>
  </si>
  <si>
    <t>5.41亿</t>
  </si>
  <si>
    <t>3983.45万</t>
  </si>
  <si>
    <t>3686.96万</t>
  </si>
  <si>
    <t>1.00万</t>
  </si>
  <si>
    <t>1883.46万</t>
  </si>
  <si>
    <t>2212.00万</t>
  </si>
  <si>
    <t>27.72亿</t>
  </si>
  <si>
    <t>9.90亿</t>
  </si>
  <si>
    <t>-2.61亿</t>
  </si>
  <si>
    <t>-1.55亿</t>
  </si>
  <si>
    <t>438.35万</t>
  </si>
  <si>
    <t>3521.00万</t>
  </si>
  <si>
    <t>1066.86万</t>
  </si>
  <si>
    <t>51.34亿</t>
  </si>
  <si>
    <t>14.15亿</t>
  </si>
  <si>
    <t>7099.61万</t>
  </si>
  <si>
    <t>1003.92万</t>
  </si>
  <si>
    <t>18.97亿</t>
  </si>
  <si>
    <t>3374.89万</t>
  </si>
  <si>
    <t>5734.40万</t>
  </si>
  <si>
    <t>10.26亿</t>
  </si>
  <si>
    <t>15.86亿</t>
  </si>
  <si>
    <t>52.37亿</t>
  </si>
  <si>
    <t>-9.77亿</t>
  </si>
  <si>
    <t>7113.70万</t>
  </si>
  <si>
    <t>159.35万</t>
  </si>
  <si>
    <t>8.16亿</t>
  </si>
  <si>
    <t>5195.69万</t>
  </si>
  <si>
    <t>8245.81万</t>
  </si>
  <si>
    <t>614.53万</t>
  </si>
  <si>
    <t>1398.81万</t>
  </si>
  <si>
    <t>82.66万</t>
  </si>
  <si>
    <t>4942.55万</t>
  </si>
  <si>
    <t>1.87亿</t>
  </si>
  <si>
    <t>9.25亿</t>
  </si>
  <si>
    <t>2000.00万</t>
  </si>
  <si>
    <t>-7967.43万</t>
  </si>
  <si>
    <t>-2387.11万</t>
  </si>
  <si>
    <t>1923.20万</t>
  </si>
  <si>
    <t>574.83万</t>
  </si>
  <si>
    <t>657.62万</t>
  </si>
  <si>
    <t>5117.59万</t>
  </si>
  <si>
    <t>89.89万</t>
  </si>
  <si>
    <t>13.61亿</t>
  </si>
  <si>
    <t>24.79亿</t>
  </si>
  <si>
    <t>2190.96万</t>
  </si>
  <si>
    <t>740.17万</t>
  </si>
  <si>
    <t>5.87万</t>
  </si>
  <si>
    <t>7815.45万</t>
  </si>
  <si>
    <t>1876.95万</t>
  </si>
  <si>
    <t>4003.87万</t>
  </si>
  <si>
    <t>4719.97万</t>
  </si>
  <si>
    <t>8718.66万</t>
  </si>
  <si>
    <t>-3943.45万</t>
  </si>
  <si>
    <t>3403.24万</t>
  </si>
  <si>
    <t>4110.20万</t>
  </si>
  <si>
    <t>10派2.548407元(含税)</t>
  </si>
  <si>
    <t>676.67万</t>
  </si>
  <si>
    <t>7420.78万</t>
  </si>
  <si>
    <t>2338.57万</t>
  </si>
  <si>
    <t>94.71亿</t>
  </si>
  <si>
    <t>1.99亿</t>
  </si>
  <si>
    <t>7780.72万</t>
  </si>
  <si>
    <t>16.27亿</t>
  </si>
  <si>
    <t>12.98亿</t>
  </si>
  <si>
    <t>4820.54万</t>
  </si>
  <si>
    <t>8217.81万</t>
  </si>
  <si>
    <t>85.48万</t>
  </si>
  <si>
    <t>38.43亿</t>
  </si>
  <si>
    <t>628.33万</t>
  </si>
  <si>
    <t>11.16亿</t>
  </si>
  <si>
    <t>48.06亿</t>
  </si>
  <si>
    <t>86.03亿</t>
  </si>
  <si>
    <t>43.97亿</t>
  </si>
  <si>
    <t>-4658.04万</t>
  </si>
  <si>
    <t>-1.70亿</t>
  </si>
  <si>
    <t>-1.72亿</t>
  </si>
  <si>
    <t>1649.14万</t>
  </si>
  <si>
    <t>-190.38万</t>
  </si>
  <si>
    <t>0233421600</t>
  </si>
  <si>
    <t>0466843200</t>
  </si>
  <si>
    <t>0778072000</t>
  </si>
  <si>
    <t>01556144000</t>
  </si>
  <si>
    <t>1501.38万</t>
  </si>
  <si>
    <t>303.52亿</t>
  </si>
  <si>
    <t>137.49亿</t>
  </si>
  <si>
    <t>34.34亿</t>
  </si>
  <si>
    <t>724.90万</t>
  </si>
  <si>
    <t>38.12亿</t>
  </si>
  <si>
    <t>39.46亿</t>
  </si>
  <si>
    <t>25.08亿</t>
  </si>
  <si>
    <t>-3.07亿</t>
  </si>
  <si>
    <t>32.66亿</t>
  </si>
  <si>
    <t>8429.67万</t>
  </si>
  <si>
    <t>03434000000</t>
  </si>
  <si>
    <t>010302000000</t>
  </si>
  <si>
    <t>020604000000</t>
  </si>
  <si>
    <t>034340000000</t>
  </si>
  <si>
    <t>068680000000</t>
  </si>
  <si>
    <t>570.58万</t>
  </si>
  <si>
    <t>305.54亿</t>
  </si>
  <si>
    <t>162.65万</t>
  </si>
  <si>
    <t>1051.85万</t>
  </si>
  <si>
    <t>3.95亿</t>
  </si>
  <si>
    <t>5002.24万</t>
  </si>
  <si>
    <t>3.49亿</t>
  </si>
  <si>
    <t>2.39亿</t>
  </si>
  <si>
    <t>12.37亿</t>
  </si>
  <si>
    <t>-2638.52万</t>
  </si>
  <si>
    <t>-166.06万</t>
  </si>
  <si>
    <t>-4930.48万</t>
  </si>
  <si>
    <t>75.29亿</t>
  </si>
  <si>
    <t>3502.14万</t>
  </si>
  <si>
    <t>5033.41万</t>
  </si>
  <si>
    <t>54.83亿</t>
  </si>
  <si>
    <t>35.34亿</t>
  </si>
  <si>
    <t>4.18亿</t>
  </si>
  <si>
    <t>2.87亿</t>
  </si>
  <si>
    <t>712.34万</t>
  </si>
  <si>
    <t>7931.45万</t>
  </si>
  <si>
    <t>360.46万</t>
  </si>
  <si>
    <t>23.66亿</t>
  </si>
  <si>
    <t>3287.32万</t>
  </si>
  <si>
    <t>11.48亿</t>
  </si>
  <si>
    <t>20.12亿</t>
  </si>
  <si>
    <t>48.16亿</t>
  </si>
  <si>
    <t>-1.15亿</t>
  </si>
  <si>
    <t>210.33万</t>
  </si>
  <si>
    <t>-5277.67万</t>
  </si>
  <si>
    <t>2574.89万</t>
  </si>
  <si>
    <t>0483000000</t>
  </si>
  <si>
    <t>0966000000</t>
  </si>
  <si>
    <t>01610000000</t>
  </si>
  <si>
    <t>03220000000</t>
  </si>
  <si>
    <t>871.95万</t>
  </si>
  <si>
    <t>64.48亿</t>
  </si>
  <si>
    <t>272.60亿</t>
  </si>
  <si>
    <t>35.76亿</t>
  </si>
  <si>
    <t>5.04亿</t>
  </si>
  <si>
    <t>4.26亿</t>
  </si>
  <si>
    <t>346.18万</t>
  </si>
  <si>
    <t>4792.76万</t>
  </si>
  <si>
    <t>117.02万</t>
  </si>
  <si>
    <t>15.14亿</t>
  </si>
  <si>
    <t>3.62亿</t>
  </si>
  <si>
    <t>12.32亿</t>
  </si>
  <si>
    <t>4793.28万</t>
  </si>
  <si>
    <t>23.72亿</t>
  </si>
  <si>
    <t>7.10亿</t>
  </si>
  <si>
    <t>-4332.89万</t>
  </si>
  <si>
    <t>-1.14亿</t>
  </si>
  <si>
    <t>5913.34万</t>
  </si>
  <si>
    <t>60.53亿</t>
  </si>
  <si>
    <t>4119.83万</t>
  </si>
  <si>
    <t>349.56万</t>
  </si>
  <si>
    <t>75.17亿</t>
  </si>
  <si>
    <t>34.42亿</t>
  </si>
  <si>
    <t>16.19亿</t>
  </si>
  <si>
    <t>15.40亿</t>
  </si>
  <si>
    <t>1144.26万</t>
  </si>
  <si>
    <t>4723.87万</t>
  </si>
  <si>
    <t>51.87万</t>
  </si>
  <si>
    <t>10.50亿</t>
  </si>
  <si>
    <t>6528.42万</t>
  </si>
  <si>
    <t>5926.21万</t>
  </si>
  <si>
    <t>4036.35万</t>
  </si>
  <si>
    <t>19.30亿</t>
  </si>
  <si>
    <t>32.07亿</t>
  </si>
  <si>
    <t>3.79亿</t>
  </si>
  <si>
    <t>-6325.26万</t>
  </si>
  <si>
    <t>-2.34亿</t>
  </si>
  <si>
    <t>8.26亿</t>
  </si>
  <si>
    <t>2177.81万</t>
  </si>
  <si>
    <t>1991.30万</t>
  </si>
  <si>
    <t>1991.54亿</t>
  </si>
  <si>
    <t>79.70亿</t>
  </si>
  <si>
    <t>4.62亿</t>
  </si>
  <si>
    <t>175.43亿</t>
  </si>
  <si>
    <t>663.37亿</t>
  </si>
  <si>
    <t>75.43亿</t>
  </si>
  <si>
    <t>123.42亿</t>
  </si>
  <si>
    <t>38.40亿</t>
  </si>
  <si>
    <t>58.27亿</t>
  </si>
  <si>
    <t>263.24亿</t>
  </si>
  <si>
    <t>166.94亿</t>
  </si>
  <si>
    <t>-8.47亿</t>
  </si>
  <si>
    <t>5.80亿</t>
  </si>
  <si>
    <t>8786.48万</t>
  </si>
  <si>
    <t>8247.79万</t>
  </si>
  <si>
    <t>0462000000</t>
  </si>
  <si>
    <t>01386000000</t>
  </si>
  <si>
    <t>02772000000</t>
  </si>
  <si>
    <t>04620000000</t>
  </si>
  <si>
    <t>09240000000</t>
  </si>
  <si>
    <t>112.31万</t>
  </si>
  <si>
    <t>15.79亿</t>
  </si>
  <si>
    <t>54.50亿</t>
  </si>
  <si>
    <t>-3827.51万</t>
  </si>
  <si>
    <t>6.09亿</t>
  </si>
  <si>
    <t>4.79亿</t>
  </si>
  <si>
    <t>4877.38万</t>
  </si>
  <si>
    <t>5016.38万</t>
  </si>
  <si>
    <t>5336115亿</t>
  </si>
  <si>
    <t>11.79万</t>
  </si>
  <si>
    <t>-5574300亿</t>
  </si>
  <si>
    <t>318592160亿</t>
  </si>
  <si>
    <t>1127553930亿</t>
  </si>
  <si>
    <t>5952.45万</t>
  </si>
  <si>
    <t>1.96亿</t>
  </si>
  <si>
    <t>309.53万</t>
  </si>
  <si>
    <t>-1012.42万</t>
  </si>
  <si>
    <t>-4183.67万</t>
  </si>
  <si>
    <t>2473.36万</t>
  </si>
  <si>
    <t>28.93亿</t>
  </si>
  <si>
    <t>2225.29万</t>
  </si>
  <si>
    <t>9375.62万</t>
  </si>
  <si>
    <t>-905.51万</t>
  </si>
  <si>
    <t>696.93万</t>
  </si>
  <si>
    <t>5849.26万</t>
  </si>
  <si>
    <t>901.08万</t>
  </si>
  <si>
    <t>2.27亿</t>
  </si>
  <si>
    <t>4529.38万</t>
  </si>
  <si>
    <t>9551.01万</t>
  </si>
  <si>
    <t>7681.25万</t>
  </si>
  <si>
    <t>49.85万</t>
  </si>
  <si>
    <t>1154.77万</t>
  </si>
  <si>
    <t>7.66万</t>
  </si>
  <si>
    <t>5933.66万</t>
  </si>
  <si>
    <t>397.89万</t>
  </si>
  <si>
    <t>99.84万</t>
  </si>
  <si>
    <t>-8011.61万</t>
  </si>
  <si>
    <t>1515.13万</t>
  </si>
  <si>
    <t>5859.77万</t>
  </si>
  <si>
    <t>4.21亿</t>
  </si>
  <si>
    <t>700.94万</t>
  </si>
  <si>
    <t>355.05亿</t>
  </si>
  <si>
    <t>333.67亿</t>
  </si>
  <si>
    <t>70.84亿</t>
  </si>
  <si>
    <t>67.70亿</t>
  </si>
  <si>
    <t>55.33亿</t>
  </si>
  <si>
    <t>4.60亿</t>
  </si>
  <si>
    <t>-6941845亿</t>
  </si>
  <si>
    <t>472.82万</t>
  </si>
  <si>
    <t>151703640亿</t>
  </si>
  <si>
    <t>63.33亿</t>
  </si>
  <si>
    <t>3032437000亿</t>
  </si>
  <si>
    <t>15731204000亿</t>
  </si>
  <si>
    <t>5.71亿</t>
  </si>
  <si>
    <t>74.02亿</t>
  </si>
  <si>
    <t>183.78亿</t>
  </si>
  <si>
    <t>94.10亿</t>
  </si>
  <si>
    <t>-2.69亿</t>
  </si>
  <si>
    <t>304.70亿</t>
  </si>
  <si>
    <t>26.99亿</t>
  </si>
  <si>
    <t>337.57亿</t>
  </si>
  <si>
    <t>27.62亿</t>
  </si>
  <si>
    <t>10派5.3元(含税)</t>
  </si>
  <si>
    <t>2634.97万</t>
  </si>
  <si>
    <t>428.52万</t>
  </si>
  <si>
    <t>11.21亿</t>
  </si>
  <si>
    <t>1437.54亿</t>
  </si>
  <si>
    <t>70.91亿</t>
  </si>
  <si>
    <t>400.17万</t>
  </si>
  <si>
    <t>3010.36万</t>
  </si>
  <si>
    <t>81.98万</t>
  </si>
  <si>
    <t>2036.69万</t>
  </si>
  <si>
    <t>3191.01万</t>
  </si>
  <si>
    <t>13.73亿</t>
  </si>
  <si>
    <t>528.38万</t>
  </si>
  <si>
    <t>22.30亿</t>
  </si>
  <si>
    <t>-1.30亿</t>
  </si>
  <si>
    <t>-1196.64万</t>
  </si>
  <si>
    <t>343.51亿</t>
  </si>
  <si>
    <t>14.56亿</t>
  </si>
  <si>
    <t>2427.15万</t>
  </si>
  <si>
    <t>421.57万</t>
  </si>
  <si>
    <t>45.33亿</t>
  </si>
  <si>
    <t>741.93亿</t>
  </si>
  <si>
    <t>29.39亿</t>
  </si>
  <si>
    <t>13.28亿</t>
  </si>
  <si>
    <t>3097.03万</t>
  </si>
  <si>
    <t>7321.05万</t>
  </si>
  <si>
    <t>8.02万</t>
  </si>
  <si>
    <t>1686.63万</t>
  </si>
  <si>
    <t>8.29亿</t>
  </si>
  <si>
    <t>9.74亿</t>
  </si>
  <si>
    <t>28.20亿</t>
  </si>
  <si>
    <t>-6360.73万</t>
  </si>
  <si>
    <t>-2514.90万</t>
  </si>
  <si>
    <t>1622.79万</t>
  </si>
  <si>
    <t>134.09亿</t>
  </si>
  <si>
    <t>4.31亿</t>
  </si>
  <si>
    <t>2547.23万</t>
  </si>
  <si>
    <t>2299.34万</t>
  </si>
  <si>
    <t>153.20亿</t>
  </si>
  <si>
    <t>3425.07亿</t>
  </si>
  <si>
    <t>862.70亿</t>
  </si>
  <si>
    <t>33.53亿</t>
  </si>
  <si>
    <t>3837.95万</t>
  </si>
  <si>
    <t>258.58万</t>
  </si>
  <si>
    <t>34.02亿</t>
  </si>
  <si>
    <t>59.50亿</t>
  </si>
  <si>
    <t>70.74亿</t>
  </si>
  <si>
    <t>90.74亿</t>
  </si>
  <si>
    <t>-3.17亿</t>
  </si>
  <si>
    <t>-13.74亿</t>
  </si>
  <si>
    <t>14.03亿</t>
  </si>
  <si>
    <t>881.63亿</t>
  </si>
  <si>
    <t>262.80亿</t>
  </si>
  <si>
    <t>2685.13万</t>
  </si>
  <si>
    <t>920.01亿</t>
  </si>
  <si>
    <t>229.90亿</t>
  </si>
  <si>
    <t>61.56亿</t>
  </si>
  <si>
    <t>153.62亿</t>
  </si>
  <si>
    <t>123.27亿</t>
  </si>
  <si>
    <t>3285.48万</t>
  </si>
  <si>
    <t>190.18亿</t>
  </si>
  <si>
    <t>8.71亿</t>
  </si>
  <si>
    <t>23.60亿</t>
  </si>
  <si>
    <t>293.67亿</t>
  </si>
  <si>
    <t>42.10亿</t>
  </si>
  <si>
    <t>156.47亿</t>
  </si>
  <si>
    <t>3.71亿</t>
  </si>
  <si>
    <t>1090.66亿</t>
  </si>
  <si>
    <t>509.85亿</t>
  </si>
  <si>
    <t>-49.19亿</t>
  </si>
  <si>
    <t>-12.43亿</t>
  </si>
  <si>
    <t>75.99亿</t>
  </si>
  <si>
    <t>62.09亿</t>
  </si>
  <si>
    <t>22.57亿</t>
  </si>
  <si>
    <t>12.01亿</t>
  </si>
  <si>
    <t>018468000000</t>
  </si>
  <si>
    <t>036936000000</t>
  </si>
  <si>
    <t>061560000000</t>
  </si>
  <si>
    <t>0123120000000</t>
  </si>
  <si>
    <t>199.62万</t>
  </si>
  <si>
    <t>781.26万</t>
  </si>
  <si>
    <t>1870.85万</t>
  </si>
  <si>
    <t>1004.77万</t>
  </si>
  <si>
    <t>83.39万</t>
  </si>
  <si>
    <t>9084.72万</t>
  </si>
  <si>
    <t>53.12万</t>
  </si>
  <si>
    <t>1007.07万</t>
  </si>
  <si>
    <t>-591.97万</t>
  </si>
  <si>
    <t>1785.14万</t>
  </si>
  <si>
    <t>57.55万</t>
  </si>
  <si>
    <t>1131.94万</t>
  </si>
  <si>
    <t>590.61万</t>
  </si>
  <si>
    <t>14.19亿</t>
  </si>
  <si>
    <t>6.77亿</t>
  </si>
  <si>
    <t>5683.79万</t>
  </si>
  <si>
    <t>166.23万</t>
  </si>
  <si>
    <t>1354.97万</t>
  </si>
  <si>
    <t>277.07万</t>
  </si>
  <si>
    <t>2.43亿</t>
  </si>
  <si>
    <t>5675.02万</t>
  </si>
  <si>
    <t>357.52万</t>
  </si>
  <si>
    <t>4716.71万</t>
  </si>
  <si>
    <t>-818.27万</t>
  </si>
  <si>
    <t>672.80万</t>
  </si>
  <si>
    <t>6796.68万</t>
  </si>
  <si>
    <t>4733.50万</t>
  </si>
  <si>
    <t>0170513700</t>
  </si>
  <si>
    <t>0341027400</t>
  </si>
  <si>
    <t>0568379000</t>
  </si>
  <si>
    <t>01136758000</t>
  </si>
  <si>
    <t>195.23万</t>
  </si>
  <si>
    <t>16.58亿</t>
  </si>
  <si>
    <t>33.34亿</t>
  </si>
  <si>
    <t>2.80亿</t>
  </si>
  <si>
    <t>2.36亿</t>
  </si>
  <si>
    <t>7317.18万</t>
  </si>
  <si>
    <t>3950.21万</t>
  </si>
  <si>
    <t>-6.92万</t>
  </si>
  <si>
    <t>1652.66万</t>
  </si>
  <si>
    <t>5.11亿</t>
  </si>
  <si>
    <t>6.97亿</t>
  </si>
  <si>
    <t>10.20亿</t>
  </si>
  <si>
    <t>219.99万</t>
  </si>
  <si>
    <t>39.41亿</t>
  </si>
  <si>
    <t>6.46亿</t>
  </si>
  <si>
    <t>-2.70亿</t>
  </si>
  <si>
    <t>-4440.59万</t>
  </si>
  <si>
    <t>7.78亿</t>
  </si>
  <si>
    <t>1997.22万</t>
  </si>
  <si>
    <t>1524.87万</t>
  </si>
  <si>
    <t>4-0</t>
  </si>
  <si>
    <t>726.39万</t>
  </si>
  <si>
    <t>23.01亿</t>
  </si>
  <si>
    <t>13.59亿</t>
  </si>
  <si>
    <t>3285.32万</t>
  </si>
  <si>
    <t>2.68亿</t>
  </si>
  <si>
    <t>696.29万</t>
  </si>
  <si>
    <t>2098.17万</t>
  </si>
  <si>
    <t>12.79万</t>
  </si>
  <si>
    <t>3.05亿</t>
  </si>
  <si>
    <t>4276.13万</t>
  </si>
  <si>
    <t>2974.54万</t>
  </si>
  <si>
    <t>6290.15万</t>
  </si>
  <si>
    <t>-113.26万</t>
  </si>
  <si>
    <t>-834.04万</t>
  </si>
  <si>
    <t>3640.00万</t>
  </si>
  <si>
    <t>927.81万</t>
  </si>
  <si>
    <t>3661.92万</t>
  </si>
  <si>
    <t>6479.12万</t>
  </si>
  <si>
    <t>3523.98万</t>
  </si>
  <si>
    <t>221.27万</t>
  </si>
  <si>
    <t>2094.58万</t>
  </si>
  <si>
    <t>49.61万</t>
  </si>
  <si>
    <t>1659.77万</t>
  </si>
  <si>
    <t>84.09万</t>
  </si>
  <si>
    <t>9703.93万</t>
  </si>
  <si>
    <t>4.93亿</t>
  </si>
  <si>
    <t>4207.20万</t>
  </si>
  <si>
    <t>-170.08万</t>
  </si>
  <si>
    <t>37.92万</t>
  </si>
  <si>
    <t>955.44万</t>
  </si>
  <si>
    <t>7376.69万</t>
  </si>
  <si>
    <t>279.08万</t>
  </si>
  <si>
    <t>27.51亿</t>
  </si>
  <si>
    <t>70.34万</t>
  </si>
  <si>
    <t>13.86亿</t>
  </si>
  <si>
    <t>2368.33万</t>
  </si>
  <si>
    <t>19.41亿</t>
  </si>
  <si>
    <t>24.21亿</t>
  </si>
  <si>
    <t>28.66亿</t>
  </si>
  <si>
    <t>88.06亿</t>
  </si>
  <si>
    <t>-2.64亿</t>
  </si>
  <si>
    <t>2.92亿</t>
  </si>
  <si>
    <t>1911.86万</t>
  </si>
  <si>
    <t>2140.16万</t>
  </si>
  <si>
    <t>94.97万</t>
  </si>
  <si>
    <t>132.45亿</t>
  </si>
  <si>
    <t>6.08亿</t>
  </si>
  <si>
    <t>2089.87万</t>
  </si>
  <si>
    <t>2054.19万</t>
  </si>
  <si>
    <t>73.94万</t>
  </si>
  <si>
    <t>5633.64万</t>
  </si>
  <si>
    <t>3227.11万</t>
  </si>
  <si>
    <t>5.24亿</t>
  </si>
  <si>
    <t>512.86万</t>
  </si>
  <si>
    <t>508.58万</t>
  </si>
  <si>
    <t>-3978.70万</t>
  </si>
  <si>
    <t>-9388.14万</t>
  </si>
  <si>
    <t>35.15亿</t>
  </si>
  <si>
    <t>4.55亿</t>
  </si>
  <si>
    <t>643.00万</t>
  </si>
  <si>
    <t>4493.33万</t>
  </si>
  <si>
    <t>193.43万</t>
  </si>
  <si>
    <t>27.06亿</t>
  </si>
  <si>
    <t>65.19亿</t>
  </si>
  <si>
    <t>509.03万</t>
  </si>
  <si>
    <t>2808.32万</t>
  </si>
  <si>
    <t>20.86万</t>
  </si>
  <si>
    <t>9.61亿</t>
  </si>
  <si>
    <t>14.10亿</t>
  </si>
  <si>
    <t>7.43亿</t>
  </si>
  <si>
    <t>9124.84万</t>
  </si>
  <si>
    <t>-2.31亿</t>
  </si>
  <si>
    <t>12.58亿</t>
  </si>
  <si>
    <t>-2982.11万</t>
  </si>
  <si>
    <t>1101.93万</t>
  </si>
  <si>
    <t>6810.02万</t>
  </si>
  <si>
    <t>70.86万</t>
  </si>
  <si>
    <t>22.34亿</t>
  </si>
  <si>
    <t>36.18亿</t>
  </si>
  <si>
    <t>367.87万</t>
  </si>
  <si>
    <t>2845.10万</t>
  </si>
  <si>
    <t>1.12万</t>
  </si>
  <si>
    <t>2815.75万</t>
  </si>
  <si>
    <t>1860.81万</t>
  </si>
  <si>
    <t>8.52亿</t>
  </si>
  <si>
    <t>2595.87万</t>
  </si>
  <si>
    <t>-946.01万</t>
  </si>
  <si>
    <t>23.75万</t>
  </si>
  <si>
    <t>457.93万</t>
  </si>
  <si>
    <t>3599.74万</t>
  </si>
  <si>
    <t>89.14万</t>
  </si>
  <si>
    <t>7.86亿</t>
  </si>
  <si>
    <t>23.17亿</t>
  </si>
  <si>
    <t>9012.03万</t>
  </si>
  <si>
    <t>6519.36万</t>
  </si>
  <si>
    <t>1179.15万</t>
  </si>
  <si>
    <t>918.08万</t>
  </si>
  <si>
    <t>7.42万</t>
  </si>
  <si>
    <t>3.12亿</t>
  </si>
  <si>
    <t>448.48万</t>
  </si>
  <si>
    <t>5963.66万</t>
  </si>
  <si>
    <t>627.49万</t>
  </si>
  <si>
    <t>6161.94万</t>
  </si>
  <si>
    <t>-1493.99万</t>
  </si>
  <si>
    <t>-1339.15万</t>
  </si>
  <si>
    <t>-5105.50万</t>
  </si>
  <si>
    <t>4.23亿</t>
  </si>
  <si>
    <t>3801.20万</t>
  </si>
  <si>
    <t>482.04万</t>
  </si>
  <si>
    <t>3028.44万</t>
  </si>
  <si>
    <t>249.96万</t>
  </si>
  <si>
    <t>31.46亿</t>
  </si>
  <si>
    <t>7.24亿</t>
  </si>
  <si>
    <t>1248.61万</t>
  </si>
  <si>
    <t>3729.21万</t>
  </si>
  <si>
    <t>13.13万</t>
  </si>
  <si>
    <t>2.62亿</t>
  </si>
  <si>
    <t>1387.67万</t>
  </si>
  <si>
    <t>8.51亿</t>
  </si>
  <si>
    <t>17.00亿</t>
  </si>
  <si>
    <t>-2882.75万</t>
  </si>
  <si>
    <t>-8.28亿</t>
  </si>
  <si>
    <t>1270.69万</t>
  </si>
  <si>
    <t>9964.68万</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</si>
</sst>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
      <sz val="9"/>
      <name val="宋体"/>
      <family val="3"/>
      <charset val="134"/>
      <scheme val="minor"/>
    </font>
    <font>
      <sz val="11"/>
      <name val="宋体"/>
      <family val="2"/>
      <charset val="134"/>
      <scheme val="minor"/>
    </font>
    <font>
      <sz val="9"/>
      <color theme="1"/>
      <name val="宋体"/>
      <family val="3"/>
      <charset val="134"/>
      <scheme val="minor"/>
    </font>
    <font>
      <sz val="11"/>
      <color rgb="FFFF0000"/>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0" fontId="7" fillId="0" borderId="0" xfId="0" applyFont="1">
      <alignment vertical="center"/>
    </xf>
    <xf numFmtId="9" fontId="0" fillId="0" borderId="0" xfId="0" applyNumberFormat="1">
      <alignment vertical="center"/>
    </xf>
    <xf numFmtId="0" fontId="0" fillId="4" borderId="0" xfId="0" applyFill="1">
      <alignment vertical="center"/>
    </xf>
    <xf numFmtId="0" fontId="0" fillId="5" borderId="0" xfId="0" applyFill="1">
      <alignment vertical="center"/>
    </xf>
    <xf numFmtId="0" fontId="9" fillId="0" borderId="0" xfId="0" applyFont="1">
      <alignment vertical="center"/>
    </xf>
    <xf numFmtId="0" fontId="7"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311150</xdr:colOff>
          <xdr:row>0</xdr:row>
          <xdr:rowOff>165100</xdr:rowOff>
        </xdr:from>
        <xdr:to>
          <xdr:col>147</xdr:col>
          <xdr:colOff>1447800</xdr:colOff>
          <xdr:row>0</xdr:row>
          <xdr:rowOff>476250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73"/>
  <sheetViews>
    <sheetView tabSelected="1" zoomScale="85" zoomScaleNormal="85" workbookViewId="0">
      <pane xSplit="5" ySplit="1" topLeftCell="F2" activePane="bottomRight" state="frozen"/>
      <selection pane="topRight" activeCell="F1" sqref="F1"/>
      <selection pane="bottomLeft" activeCell="A2" sqref="A2"/>
      <selection pane="bottomRight" activeCell="D73" sqref="D73:EP73"/>
    </sheetView>
  </sheetViews>
  <sheetFormatPr defaultRowHeight="14" x14ac:dyDescent="0.25"/>
  <cols>
    <col min="1" max="1" width="28.54296875" customWidth="1"/>
    <col min="2" max="2" width="34.81640625" customWidth="1"/>
    <col min="3" max="3" width="37.1796875" customWidth="1"/>
    <col min="7" max="7" width="10.1796875" customWidth="1"/>
    <col min="9" max="9" width="10.1796875" customWidth="1"/>
    <col min="148" max="148" width="24.90625" customWidth="1"/>
  </cols>
  <sheetData>
    <row r="1" spans="1:146" ht="46" customHeight="1" x14ac:dyDescent="0.25">
      <c r="A1" s="3" t="s">
        <v>103</v>
      </c>
      <c r="B1" s="4" t="s">
        <v>104</v>
      </c>
      <c r="C1" s="3" t="s">
        <v>105</v>
      </c>
      <c r="D1" t="s">
        <v>48</v>
      </c>
      <c r="E1" t="s">
        <v>795</v>
      </c>
      <c r="F1" t="s">
        <v>3</v>
      </c>
      <c r="G1" t="s">
        <v>868</v>
      </c>
      <c r="H1" t="s">
        <v>869</v>
      </c>
      <c r="I1" t="s">
        <v>49</v>
      </c>
      <c r="J1" t="s">
        <v>50</v>
      </c>
      <c r="K1" t="s">
        <v>4</v>
      </c>
      <c r="L1" t="s">
        <v>51</v>
      </c>
      <c r="M1" t="s">
        <v>106</v>
      </c>
      <c r="N1" t="s">
        <v>107</v>
      </c>
      <c r="O1" t="s">
        <v>108</v>
      </c>
      <c r="P1" t="s">
        <v>870</v>
      </c>
      <c r="Q1" t="s">
        <v>822</v>
      </c>
      <c r="R1" t="s">
        <v>796</v>
      </c>
      <c r="S1" t="s">
        <v>109</v>
      </c>
      <c r="T1" t="s">
        <v>871</v>
      </c>
      <c r="U1" t="s">
        <v>663</v>
      </c>
      <c r="V1" t="s">
        <v>110</v>
      </c>
      <c r="W1" t="s">
        <v>823</v>
      </c>
      <c r="X1" t="s">
        <v>824</v>
      </c>
      <c r="Y1" t="s">
        <v>825</v>
      </c>
      <c r="Z1" t="s">
        <v>826</v>
      </c>
      <c r="AA1" t="s">
        <v>827</v>
      </c>
      <c r="AB1" t="s">
        <v>872</v>
      </c>
      <c r="AC1" t="s">
        <v>828</v>
      </c>
      <c r="AD1" t="s">
        <v>797</v>
      </c>
      <c r="AE1" t="s">
        <v>111</v>
      </c>
      <c r="AF1" t="s">
        <v>112</v>
      </c>
      <c r="AG1" t="s">
        <v>873</v>
      </c>
      <c r="AH1" t="s">
        <v>798</v>
      </c>
      <c r="AI1" t="s">
        <v>874</v>
      </c>
      <c r="AJ1" t="s">
        <v>113</v>
      </c>
      <c r="AK1" t="s">
        <v>875</v>
      </c>
      <c r="AL1" t="s">
        <v>287</v>
      </c>
      <c r="AM1" t="s">
        <v>876</v>
      </c>
      <c r="AN1" t="s">
        <v>877</v>
      </c>
      <c r="AO1" t="s">
        <v>878</v>
      </c>
      <c r="AP1" t="s">
        <v>879</v>
      </c>
      <c r="AQ1" t="s">
        <v>880</v>
      </c>
      <c r="AR1" t="s">
        <v>881</v>
      </c>
      <c r="AS1" t="s">
        <v>882</v>
      </c>
      <c r="AT1" t="s">
        <v>883</v>
      </c>
      <c r="AU1" t="s">
        <v>884</v>
      </c>
      <c r="AV1" t="s">
        <v>885</v>
      </c>
      <c r="AW1" t="s">
        <v>886</v>
      </c>
      <c r="AX1" t="s">
        <v>799</v>
      </c>
      <c r="AY1" t="s">
        <v>288</v>
      </c>
      <c r="AZ1" t="s">
        <v>289</v>
      </c>
      <c r="BA1" t="s">
        <v>671</v>
      </c>
      <c r="BB1" t="s">
        <v>290</v>
      </c>
      <c r="BC1" t="s">
        <v>672</v>
      </c>
      <c r="BD1" t="s">
        <v>291</v>
      </c>
      <c r="BE1" t="s">
        <v>292</v>
      </c>
      <c r="BF1" t="s">
        <v>293</v>
      </c>
      <c r="BG1" t="s">
        <v>294</v>
      </c>
      <c r="BH1" t="s">
        <v>887</v>
      </c>
      <c r="BI1" t="s">
        <v>888</v>
      </c>
      <c r="BJ1" t="s">
        <v>889</v>
      </c>
      <c r="BK1" t="s">
        <v>890</v>
      </c>
      <c r="BL1" t="s">
        <v>891</v>
      </c>
      <c r="BM1" t="s">
        <v>892</v>
      </c>
      <c r="BN1" t="s">
        <v>800</v>
      </c>
      <c r="BO1" t="s">
        <v>664</v>
      </c>
      <c r="BP1" t="s">
        <v>295</v>
      </c>
      <c r="BQ1" t="s">
        <v>801</v>
      </c>
      <c r="BR1" t="s">
        <v>665</v>
      </c>
      <c r="BS1" t="s">
        <v>296</v>
      </c>
      <c r="BT1" t="s">
        <v>893</v>
      </c>
      <c r="BU1" t="s">
        <v>829</v>
      </c>
      <c r="BV1" t="s">
        <v>894</v>
      </c>
      <c r="BW1" t="s">
        <v>545</v>
      </c>
      <c r="BX1" t="s">
        <v>297</v>
      </c>
      <c r="BY1" t="s">
        <v>895</v>
      </c>
      <c r="BZ1" t="s">
        <v>546</v>
      </c>
      <c r="CA1" t="s">
        <v>298</v>
      </c>
      <c r="CB1" t="s">
        <v>896</v>
      </c>
      <c r="CC1" t="s">
        <v>897</v>
      </c>
      <c r="CD1" t="s">
        <v>898</v>
      </c>
      <c r="CE1" t="s">
        <v>899</v>
      </c>
      <c r="CF1" s="1" t="s">
        <v>523</v>
      </c>
      <c r="CG1" s="1" t="s">
        <v>524</v>
      </c>
      <c r="CH1" s="1" t="s">
        <v>525</v>
      </c>
      <c r="CI1" s="1" t="s">
        <v>526</v>
      </c>
      <c r="CJ1" s="1" t="s">
        <v>527</v>
      </c>
      <c r="CK1" s="1" t="s">
        <v>528</v>
      </c>
      <c r="CL1" s="1" t="s">
        <v>529</v>
      </c>
      <c r="CM1" s="1" t="s">
        <v>530</v>
      </c>
      <c r="CN1" s="1" t="s">
        <v>531</v>
      </c>
      <c r="CO1" s="1" t="s">
        <v>532</v>
      </c>
      <c r="CP1" s="1" t="s">
        <v>533</v>
      </c>
      <c r="CQ1" s="1" t="s">
        <v>534</v>
      </c>
      <c r="CR1" s="1" t="s">
        <v>830</v>
      </c>
      <c r="CS1" s="1" t="s">
        <v>831</v>
      </c>
      <c r="CT1" s="1" t="s">
        <v>900</v>
      </c>
      <c r="CU1" s="1" t="s">
        <v>832</v>
      </c>
      <c r="CV1" s="1" t="s">
        <v>833</v>
      </c>
      <c r="CW1" s="1" t="s">
        <v>834</v>
      </c>
      <c r="CX1">
        <v>1</v>
      </c>
      <c r="CY1" t="s">
        <v>835</v>
      </c>
      <c r="CZ1" t="s">
        <v>836</v>
      </c>
      <c r="DA1">
        <v>3</v>
      </c>
      <c r="DB1" t="s">
        <v>908</v>
      </c>
      <c r="DC1" t="s">
        <v>837</v>
      </c>
      <c r="DD1">
        <v>6</v>
      </c>
      <c r="DE1" t="s">
        <v>901</v>
      </c>
      <c r="DF1" t="s">
        <v>838</v>
      </c>
      <c r="DG1">
        <v>10</v>
      </c>
      <c r="DH1" t="s">
        <v>909</v>
      </c>
      <c r="DI1" t="s">
        <v>910</v>
      </c>
      <c r="DJ1">
        <v>20</v>
      </c>
      <c r="DK1" t="s">
        <v>902</v>
      </c>
      <c r="DL1" t="s">
        <v>535</v>
      </c>
      <c r="DM1" t="s">
        <v>536</v>
      </c>
      <c r="DN1" s="2" t="s">
        <v>537</v>
      </c>
      <c r="DO1" t="s">
        <v>903</v>
      </c>
      <c r="DP1" t="s">
        <v>904</v>
      </c>
      <c r="DQ1" s="12" t="s">
        <v>911</v>
      </c>
      <c r="DR1" s="1" t="s">
        <v>905</v>
      </c>
      <c r="DS1" s="1" t="s">
        <v>912</v>
      </c>
      <c r="DT1" t="s">
        <v>839</v>
      </c>
      <c r="DU1" t="s">
        <v>906</v>
      </c>
      <c r="DV1" t="s">
        <v>913</v>
      </c>
      <c r="DW1" t="s">
        <v>914</v>
      </c>
      <c r="DX1" t="s">
        <v>840</v>
      </c>
      <c r="DY1" t="s">
        <v>915</v>
      </c>
      <c r="DZ1" t="s">
        <v>916</v>
      </c>
      <c r="EA1" t="s">
        <v>917</v>
      </c>
      <c r="EB1" t="s">
        <v>918</v>
      </c>
      <c r="EC1" t="s">
        <v>907</v>
      </c>
      <c r="ED1" t="s">
        <v>919</v>
      </c>
      <c r="EE1" t="s">
        <v>920</v>
      </c>
      <c r="EF1" t="s">
        <v>841</v>
      </c>
      <c r="EG1" t="s">
        <v>921</v>
      </c>
      <c r="EH1" t="s">
        <v>922</v>
      </c>
      <c r="EI1" t="s">
        <v>923</v>
      </c>
      <c r="EK1" s="13" t="s">
        <v>924</v>
      </c>
      <c r="EL1" t="s">
        <v>925</v>
      </c>
      <c r="EM1" t="s">
        <v>926</v>
      </c>
      <c r="EN1" t="s">
        <v>927</v>
      </c>
      <c r="EO1" t="s">
        <v>842</v>
      </c>
      <c r="EP1" t="s">
        <v>928</v>
      </c>
    </row>
    <row r="2" spans="1:146" ht="108" x14ac:dyDescent="0.25">
      <c r="A2" s="6"/>
      <c r="B2" s="6"/>
      <c r="C2" s="6" t="str">
        <f>""&amp;CHAR(10)&amp;Basic_Fundamental_Information_Constructure(F2)&amp;CHAR(10)&amp;Basic_Fundamental_Information_Concatenate("")</f>
        <v xml:space="preserve">
市值155.37702亿, 利润16.56亿; PE9.81; 平均PE13.34; 平均PEG1.12, PB1.08; ROIC9.9833%; ROE13.9633%; 股利率4.9407%; 毛利28.31%; 净利11.1333%; 上一年度营收增19.71%, 利润增-18.7%; 当季营收增-3.05%, 利润增-17.83%; 过往5年营收增11.92%, 利润增34.87%
Income profile:
</v>
      </c>
      <c r="D2" t="s">
        <v>68</v>
      </c>
      <c r="E2" t="s">
        <v>20</v>
      </c>
      <c r="F2">
        <v>5.0599999999999996</v>
      </c>
      <c r="G2">
        <v>0</v>
      </c>
      <c r="H2" t="s">
        <v>1795</v>
      </c>
      <c r="I2">
        <v>15537702000</v>
      </c>
      <c r="J2">
        <v>9.81</v>
      </c>
      <c r="K2">
        <v>1.08</v>
      </c>
      <c r="L2" t="s">
        <v>53</v>
      </c>
      <c r="M2" t="s">
        <v>956</v>
      </c>
      <c r="N2" t="s">
        <v>1796</v>
      </c>
      <c r="O2" t="s">
        <v>1030</v>
      </c>
      <c r="P2">
        <v>-3.03</v>
      </c>
      <c r="Q2" t="s">
        <v>1110</v>
      </c>
      <c r="R2">
        <v>325377540</v>
      </c>
      <c r="S2" s="5">
        <v>-0.1792</v>
      </c>
      <c r="T2" t="s">
        <v>1111</v>
      </c>
      <c r="U2">
        <v>1959279600</v>
      </c>
      <c r="V2">
        <v>3070692100</v>
      </c>
      <c r="W2">
        <v>2.1</v>
      </c>
      <c r="X2">
        <v>0.13</v>
      </c>
      <c r="Y2">
        <v>8.0500000000000007</v>
      </c>
      <c r="Z2" t="s">
        <v>1797</v>
      </c>
      <c r="AA2" t="s">
        <v>1798</v>
      </c>
      <c r="AB2" t="s">
        <v>1799</v>
      </c>
      <c r="AC2" t="s">
        <v>1800</v>
      </c>
      <c r="AD2" t="s">
        <v>117</v>
      </c>
      <c r="AE2">
        <v>37532928</v>
      </c>
      <c r="AF2" t="s">
        <v>1113</v>
      </c>
      <c r="AG2" t="s">
        <v>1801</v>
      </c>
      <c r="AH2" t="s">
        <v>1114</v>
      </c>
      <c r="AI2" t="s">
        <v>1802</v>
      </c>
      <c r="AJ2" t="s">
        <v>1115</v>
      </c>
      <c r="AK2" t="s">
        <v>600</v>
      </c>
      <c r="AL2" t="s">
        <v>1116</v>
      </c>
      <c r="AM2" t="s">
        <v>117</v>
      </c>
      <c r="AN2" t="s">
        <v>1803</v>
      </c>
      <c r="AO2" t="s">
        <v>677</v>
      </c>
      <c r="AP2" t="s">
        <v>1804</v>
      </c>
      <c r="AQ2" t="s">
        <v>1805</v>
      </c>
      <c r="AR2" t="s">
        <v>117</v>
      </c>
      <c r="AS2" t="s">
        <v>1806</v>
      </c>
      <c r="AT2" t="s">
        <v>1807</v>
      </c>
      <c r="AU2" t="s">
        <v>1007</v>
      </c>
      <c r="AV2" t="s">
        <v>1808</v>
      </c>
      <c r="AW2" t="s">
        <v>1809</v>
      </c>
      <c r="AX2" t="s">
        <v>972</v>
      </c>
      <c r="AY2" t="s">
        <v>974</v>
      </c>
      <c r="AZ2" t="s">
        <v>299</v>
      </c>
      <c r="BA2" t="s">
        <v>114</v>
      </c>
      <c r="BB2" t="s">
        <v>301</v>
      </c>
      <c r="BC2" t="s">
        <v>973</v>
      </c>
      <c r="BD2" t="s">
        <v>516</v>
      </c>
      <c r="BE2" t="s">
        <v>300</v>
      </c>
      <c r="BF2" t="s">
        <v>115</v>
      </c>
      <c r="BG2" t="s">
        <v>302</v>
      </c>
      <c r="BH2" t="s">
        <v>1110</v>
      </c>
      <c r="BI2" t="s">
        <v>1118</v>
      </c>
      <c r="BJ2" t="s">
        <v>972</v>
      </c>
      <c r="BK2" t="s">
        <v>1111</v>
      </c>
      <c r="BL2" t="s">
        <v>1119</v>
      </c>
      <c r="BM2" t="s">
        <v>973</v>
      </c>
      <c r="BN2">
        <v>7.31</v>
      </c>
      <c r="BO2">
        <v>11.77</v>
      </c>
      <c r="BP2">
        <v>10.87</v>
      </c>
      <c r="BQ2">
        <v>10.98</v>
      </c>
      <c r="BR2">
        <v>16.78</v>
      </c>
      <c r="BS2">
        <v>14.13</v>
      </c>
      <c r="BT2" t="s">
        <v>955</v>
      </c>
      <c r="BU2" t="s">
        <v>845</v>
      </c>
      <c r="BV2">
        <v>22.28</v>
      </c>
      <c r="BW2">
        <v>27.58</v>
      </c>
      <c r="BX2">
        <v>35.07</v>
      </c>
      <c r="BY2">
        <v>8.5</v>
      </c>
      <c r="BZ2">
        <v>13.44</v>
      </c>
      <c r="CA2">
        <v>11.46</v>
      </c>
      <c r="CB2">
        <v>0.4</v>
      </c>
      <c r="CC2">
        <v>-13.5</v>
      </c>
      <c r="CD2" t="s">
        <v>1810</v>
      </c>
      <c r="CE2" t="s">
        <v>1396</v>
      </c>
      <c r="CF2" s="9">
        <v>-3.0459346597887498E-2</v>
      </c>
      <c r="CG2" s="10">
        <v>-0.17833954545454545</v>
      </c>
      <c r="CH2" s="9">
        <v>0.19711822271347046</v>
      </c>
      <c r="CI2" s="9">
        <v>0.11168812960386276</v>
      </c>
      <c r="CJ2" s="9">
        <v>0.28122949600219727</v>
      </c>
      <c r="CK2" s="9">
        <v>1.9003063440322876E-2</v>
      </c>
      <c r="CL2" s="9">
        <v>-1.3006634078919888E-2</v>
      </c>
      <c r="CM2" s="10">
        <v>-0.18703973293304443</v>
      </c>
      <c r="CN2" s="10">
        <v>0.3348623514175415</v>
      </c>
      <c r="CO2" s="10">
        <v>0.95892167091369629</v>
      </c>
      <c r="CP2" s="10">
        <v>0.45335820317268372</v>
      </c>
      <c r="CQ2" s="10">
        <v>0.18322296440601349</v>
      </c>
      <c r="CR2">
        <v>13.342809789609275</v>
      </c>
      <c r="CS2">
        <v>1.1193026191068056</v>
      </c>
      <c r="CT2">
        <v>4.9407114624505937</v>
      </c>
      <c r="CU2" s="9">
        <v>0.1192064555361867</v>
      </c>
      <c r="CV2" s="10">
        <v>0.3486650913953781</v>
      </c>
      <c r="CW2">
        <v>0.06</v>
      </c>
      <c r="CX2">
        <v>9.4428016070056611</v>
      </c>
      <c r="CY2">
        <v>1748496122.9886081</v>
      </c>
      <c r="CZ2">
        <v>0.1192064555361867</v>
      </c>
      <c r="DA2">
        <v>3.0106870960521102</v>
      </c>
      <c r="DB2">
        <v>5484031210.5666342</v>
      </c>
      <c r="DC2">
        <v>0.11324613275937735</v>
      </c>
      <c r="DD2">
        <v>1.4335149352112366</v>
      </c>
      <c r="DE2">
        <v>11517635145.926855</v>
      </c>
      <c r="DF2">
        <v>0.10490168087184429</v>
      </c>
      <c r="DG2">
        <v>0.82867755226527484</v>
      </c>
      <c r="DH2">
        <v>19924157417.883839</v>
      </c>
      <c r="DI2">
        <v>9.5365164428949364E-2</v>
      </c>
      <c r="DJ2">
        <v>0.39306719115124711</v>
      </c>
      <c r="DK2">
        <v>42004782825.15036</v>
      </c>
      <c r="DL2">
        <v>8.3444518875330678E-2</v>
      </c>
      <c r="DM2">
        <v>1655999999.9999998</v>
      </c>
      <c r="DN2">
        <v>0.1192064555361867</v>
      </c>
      <c r="DO2">
        <v>16510701999.999998</v>
      </c>
      <c r="DP2">
        <v>692213700</v>
      </c>
      <c r="DQ2">
        <v>10</v>
      </c>
      <c r="DR2">
        <v>-0.14966580213407418</v>
      </c>
      <c r="DS2">
        <v>-0.52700463684992349</v>
      </c>
      <c r="DT2" s="7">
        <v>-0.14000000000000001</v>
      </c>
      <c r="DU2">
        <v>0.24666666666666662</v>
      </c>
      <c r="DV2">
        <v>0.1066666666666666</v>
      </c>
      <c r="DW2">
        <v>-2.1349999999999998</v>
      </c>
      <c r="DX2">
        <v>0.37286740947075359</v>
      </c>
      <c r="DY2">
        <v>-2.0165871002785516</v>
      </c>
      <c r="DZ2">
        <v>1468</v>
      </c>
      <c r="EA2">
        <v>-2.0118219607073358</v>
      </c>
      <c r="EB2">
        <v>2</v>
      </c>
      <c r="EC2">
        <v>1.4364644374471798E-2</v>
      </c>
      <c r="ED2">
        <v>0.11691175419378583</v>
      </c>
      <c r="EE2" s="11">
        <v>4.2710000000000005E-2</v>
      </c>
      <c r="EF2">
        <v>6.0310000000000009E-2</v>
      </c>
      <c r="EG2">
        <v>25.122867409470754</v>
      </c>
      <c r="EH2">
        <v>-1</v>
      </c>
      <c r="EI2">
        <v>0</v>
      </c>
      <c r="EJ2">
        <v>1</v>
      </c>
      <c r="EK2" s="13">
        <v>45470</v>
      </c>
      <c r="EL2" s="14">
        <v>0.59</v>
      </c>
      <c r="EM2" s="14">
        <v>-1.96</v>
      </c>
      <c r="EN2" s="14">
        <v>0.4</v>
      </c>
      <c r="EO2" s="14">
        <v>1.79</v>
      </c>
      <c r="EP2" s="14">
        <v>-1.76</v>
      </c>
    </row>
    <row r="3" spans="1:146" ht="108" x14ac:dyDescent="0.25">
      <c r="A3" s="6"/>
      <c r="B3" s="6"/>
      <c r="C3" s="6" t="str">
        <f>""&amp;CHAR(10)&amp;Basic_Fundamental_Information_Constructure(F3)&amp;CHAR(10)&amp;Basic_Fundamental_Information_Concatenate("")</f>
        <v xml:space="preserve">
市值2.7473736亿, 利润-1.60亿; PE; 平均PE-3.97; 平均PEG-.15, PB; ROIC0%; ROE-57.8467%; 股利率0%; 毛利.6133%; 净利-60.7333%; 上一年度营收增-50.96%, 利润增40.96%; 当季营收增-59.93%, 利润增15.67%; 过往5年营收增-26.48%, 利润增-191.86%
Income profile:
</v>
      </c>
      <c r="D3" t="s">
        <v>69</v>
      </c>
      <c r="E3" t="s">
        <v>1120</v>
      </c>
      <c r="F3">
        <v>1.98</v>
      </c>
      <c r="G3">
        <v>-1</v>
      </c>
      <c r="H3" t="s">
        <v>1811</v>
      </c>
      <c r="I3">
        <v>274737360</v>
      </c>
      <c r="L3" t="s">
        <v>53</v>
      </c>
      <c r="M3" t="s">
        <v>1121</v>
      </c>
      <c r="N3" t="s">
        <v>1812</v>
      </c>
      <c r="O3" t="s">
        <v>1122</v>
      </c>
      <c r="P3">
        <v>-59.93</v>
      </c>
      <c r="Q3" t="s">
        <v>1001</v>
      </c>
      <c r="R3">
        <v>-15730752</v>
      </c>
      <c r="S3" s="8">
        <v>0.15670000000000001</v>
      </c>
      <c r="T3" t="s">
        <v>1123</v>
      </c>
      <c r="U3">
        <v>138756240</v>
      </c>
      <c r="V3">
        <v>138756240</v>
      </c>
      <c r="W3">
        <v>24.58</v>
      </c>
      <c r="X3">
        <v>0.01</v>
      </c>
      <c r="Y3">
        <v>-112.32</v>
      </c>
      <c r="Z3" t="s">
        <v>1813</v>
      </c>
      <c r="AA3" t="s">
        <v>1814</v>
      </c>
      <c r="AB3" t="s">
        <v>1815</v>
      </c>
      <c r="AC3" t="s">
        <v>1816</v>
      </c>
      <c r="AD3" t="s">
        <v>117</v>
      </c>
      <c r="AE3">
        <v>1549893</v>
      </c>
      <c r="AF3" t="s">
        <v>118</v>
      </c>
      <c r="AG3" t="s">
        <v>1817</v>
      </c>
      <c r="AH3" t="s">
        <v>1124</v>
      </c>
      <c r="AI3" t="s">
        <v>857</v>
      </c>
      <c r="AJ3" t="s">
        <v>1125</v>
      </c>
      <c r="AK3" t="s">
        <v>117</v>
      </c>
      <c r="AL3" t="s">
        <v>1126</v>
      </c>
      <c r="AM3" t="s">
        <v>117</v>
      </c>
      <c r="AN3">
        <v>0</v>
      </c>
      <c r="AO3" t="s">
        <v>128</v>
      </c>
      <c r="AP3" t="s">
        <v>117</v>
      </c>
      <c r="AQ3" t="s">
        <v>1818</v>
      </c>
      <c r="AR3" t="s">
        <v>1819</v>
      </c>
      <c r="AS3" t="s">
        <v>1553</v>
      </c>
      <c r="AT3" t="s">
        <v>117</v>
      </c>
      <c r="AU3" t="s">
        <v>1820</v>
      </c>
      <c r="AV3">
        <v>-2300</v>
      </c>
      <c r="AW3" t="s">
        <v>1821</v>
      </c>
      <c r="AX3" t="s">
        <v>241</v>
      </c>
      <c r="AY3" t="s">
        <v>443</v>
      </c>
      <c r="AZ3" t="s">
        <v>303</v>
      </c>
      <c r="BA3" t="s">
        <v>186</v>
      </c>
      <c r="BB3" t="s">
        <v>306</v>
      </c>
      <c r="BC3" t="s">
        <v>975</v>
      </c>
      <c r="BD3" t="s">
        <v>673</v>
      </c>
      <c r="BE3" t="s">
        <v>304</v>
      </c>
      <c r="BF3" t="s">
        <v>187</v>
      </c>
      <c r="BG3" t="s">
        <v>307</v>
      </c>
      <c r="BH3" t="s">
        <v>1001</v>
      </c>
      <c r="BI3" t="s">
        <v>1128</v>
      </c>
      <c r="BJ3" t="s">
        <v>241</v>
      </c>
      <c r="BK3" t="s">
        <v>1123</v>
      </c>
      <c r="BL3" t="s">
        <v>1129</v>
      </c>
      <c r="BM3" t="s">
        <v>975</v>
      </c>
      <c r="BN3" t="s">
        <v>117</v>
      </c>
      <c r="BO3" t="s">
        <v>117</v>
      </c>
      <c r="BP3" t="s">
        <v>117</v>
      </c>
      <c r="BQ3">
        <v>-63.32</v>
      </c>
      <c r="BR3">
        <v>-98.11</v>
      </c>
      <c r="BS3">
        <v>-12.11</v>
      </c>
      <c r="BT3" t="s">
        <v>930</v>
      </c>
      <c r="BU3" t="s">
        <v>847</v>
      </c>
      <c r="BV3">
        <v>0.8</v>
      </c>
      <c r="BW3">
        <v>-8.41</v>
      </c>
      <c r="BX3">
        <v>9.4499999999999993</v>
      </c>
      <c r="BY3">
        <v>-102.32</v>
      </c>
      <c r="BZ3">
        <v>-78.11</v>
      </c>
      <c r="CA3">
        <v>-1.77</v>
      </c>
      <c r="CB3">
        <v>1.02</v>
      </c>
      <c r="CC3">
        <v>-23.85</v>
      </c>
      <c r="CD3" t="s">
        <v>1822</v>
      </c>
      <c r="CE3" t="s">
        <v>1823</v>
      </c>
      <c r="CF3" s="9">
        <v>-0.59933088645862775</v>
      </c>
      <c r="CG3" s="10">
        <v>0.15665917900165657</v>
      </c>
      <c r="CH3" s="9">
        <v>-0.50964188575744629</v>
      </c>
      <c r="CI3" s="9">
        <v>-0.75472968816757202</v>
      </c>
      <c r="CJ3" s="9">
        <v>-0.16993828117847443</v>
      </c>
      <c r="CK3" s="9">
        <v>-2.6215184479951859E-2</v>
      </c>
      <c r="CL3" s="9">
        <v>0.13656105101108551</v>
      </c>
      <c r="CM3" s="10">
        <v>0.4095940887928009</v>
      </c>
      <c r="CN3" s="10">
        <v>-4.1099004745483398</v>
      </c>
      <c r="CO3" s="10">
        <v>-5.6673750877380371</v>
      </c>
      <c r="CP3" s="10">
        <v>-1.1565048694610596</v>
      </c>
      <c r="CQ3" s="10">
        <v>0.93098914623260498</v>
      </c>
      <c r="CR3">
        <v>-3.973604889554736</v>
      </c>
      <c r="CS3">
        <v>-0.15006468921558452</v>
      </c>
      <c r="CT3">
        <v>0</v>
      </c>
      <c r="CU3" s="9">
        <v>-0.26479279771447184</v>
      </c>
      <c r="CV3" s="10">
        <v>-1.9186394393444062</v>
      </c>
      <c r="CW3">
        <v>0.06</v>
      </c>
      <c r="CX3" t="e">
        <v>#VALUE!</v>
      </c>
      <c r="CY3" t="s">
        <v>802</v>
      </c>
      <c r="CZ3">
        <v>-0.26479279771447184</v>
      </c>
      <c r="DA3" t="e">
        <v>#VALUE!</v>
      </c>
      <c r="DB3" t="s">
        <v>803</v>
      </c>
      <c r="DC3">
        <v>-0.25155315782874821</v>
      </c>
      <c r="DD3" t="e">
        <v>#VALUE!</v>
      </c>
      <c r="DE3" t="s">
        <v>803</v>
      </c>
      <c r="DF3">
        <v>-0.23301766198873522</v>
      </c>
      <c r="DG3" t="e">
        <v>#VALUE!</v>
      </c>
      <c r="DH3" t="s">
        <v>803</v>
      </c>
      <c r="DI3">
        <v>-0.21183423817157748</v>
      </c>
      <c r="DJ3" t="e">
        <v>#VALUE!</v>
      </c>
      <c r="DK3" t="s">
        <v>803</v>
      </c>
      <c r="DL3">
        <v>-0.18535495840013028</v>
      </c>
      <c r="DM3">
        <v>-160000000</v>
      </c>
      <c r="DN3">
        <v>-0.26479279771447184</v>
      </c>
      <c r="DO3">
        <v>1387546860</v>
      </c>
      <c r="DP3">
        <v>-149663749.99999988</v>
      </c>
      <c r="DQ3">
        <v>17</v>
      </c>
      <c r="DR3">
        <v>-0.33453808874415591</v>
      </c>
      <c r="DS3">
        <v>2.0752986183460629</v>
      </c>
      <c r="DT3" s="7">
        <v>-1.04</v>
      </c>
      <c r="DU3">
        <v>-2.1183333333333336</v>
      </c>
      <c r="DV3">
        <v>-3.1583333333333337</v>
      </c>
      <c r="DW3">
        <v>-3.0887797619047621</v>
      </c>
      <c r="DX3">
        <v>0.21752507571289229</v>
      </c>
      <c r="DY3">
        <v>-3.0113216458586773</v>
      </c>
      <c r="DZ3">
        <v>4956</v>
      </c>
      <c r="EA3">
        <v>-3.0003412002861518</v>
      </c>
      <c r="EB3">
        <v>3</v>
      </c>
      <c r="EC3">
        <v>8.0751683672028007E-2</v>
      </c>
      <c r="ED3">
        <v>0.63322197257579194</v>
      </c>
      <c r="EE3" s="11">
        <v>-10.0726</v>
      </c>
      <c r="EF3">
        <v>-10.0219</v>
      </c>
      <c r="EG3">
        <v>9.1275250757128923</v>
      </c>
      <c r="EH3" t="s">
        <v>1824</v>
      </c>
      <c r="EI3">
        <v>0</v>
      </c>
      <c r="EJ3">
        <v>0</v>
      </c>
      <c r="EK3" s="13">
        <v>45470</v>
      </c>
      <c r="EL3" s="14">
        <v>3.66</v>
      </c>
      <c r="EM3" s="14">
        <v>5.05</v>
      </c>
      <c r="EN3" s="14">
        <v>2.4</v>
      </c>
      <c r="EO3" s="14">
        <v>1.88</v>
      </c>
      <c r="EP3" s="14">
        <v>-5.07</v>
      </c>
    </row>
    <row r="4" spans="1:146" ht="108" x14ac:dyDescent="0.25">
      <c r="A4" s="6"/>
      <c r="B4" s="6"/>
      <c r="C4" s="6" t="str">
        <f>""&amp;CHAR(10)&amp;Basic_Fundamental_Information_Constructure(F4)&amp;CHAR(10)&amp;Basic_Fundamental_Information_Concatenate("")</f>
        <v xml:space="preserve">
市值37.370823亿, 利润2.73亿; PE14.75; 平均PE5.96; 平均PEG.81, PB.619; ROIC3.9533%; ROE4.56%; 股利率2.2989%; 毛利22.4067%; 净利6.7533%; 上一年度营收增11.57%, 利润增-3.53%; 当季营收增12.39%, 利润增-27.33%; 过往5年营收增7.34%, 利润增-18.34%
Income profile:
</v>
      </c>
      <c r="D4" t="s">
        <v>605</v>
      </c>
      <c r="E4" t="s">
        <v>606</v>
      </c>
      <c r="F4">
        <v>3.48</v>
      </c>
      <c r="G4">
        <v>0.87</v>
      </c>
      <c r="H4" t="s">
        <v>1825</v>
      </c>
      <c r="I4">
        <v>3737082300</v>
      </c>
      <c r="J4">
        <v>14.75</v>
      </c>
      <c r="K4">
        <v>0.61899999999999999</v>
      </c>
      <c r="L4" t="s">
        <v>53</v>
      </c>
      <c r="M4" t="s">
        <v>1130</v>
      </c>
      <c r="N4" t="s">
        <v>1826</v>
      </c>
      <c r="O4" t="s">
        <v>1131</v>
      </c>
      <c r="P4">
        <v>12.31</v>
      </c>
      <c r="Q4" t="s">
        <v>1132</v>
      </c>
      <c r="R4">
        <v>51467996</v>
      </c>
      <c r="S4" s="5">
        <v>-0.27329999999999999</v>
      </c>
      <c r="T4" t="s">
        <v>182</v>
      </c>
      <c r="U4">
        <v>675854430</v>
      </c>
      <c r="V4">
        <v>1073874230</v>
      </c>
      <c r="W4">
        <v>2.19</v>
      </c>
      <c r="X4">
        <v>7.0000000000000007E-2</v>
      </c>
      <c r="Y4">
        <v>5.69</v>
      </c>
      <c r="Z4" t="s">
        <v>1827</v>
      </c>
      <c r="AA4" t="s">
        <v>1828</v>
      </c>
      <c r="AB4" t="s">
        <v>1829</v>
      </c>
      <c r="AC4" t="s">
        <v>1830</v>
      </c>
      <c r="AD4" t="s">
        <v>117</v>
      </c>
      <c r="AE4">
        <v>16042110</v>
      </c>
      <c r="AF4" t="s">
        <v>1134</v>
      </c>
      <c r="AG4" t="s">
        <v>1831</v>
      </c>
      <c r="AH4" t="s">
        <v>1135</v>
      </c>
      <c r="AI4" t="s">
        <v>1832</v>
      </c>
      <c r="AJ4" t="s">
        <v>1136</v>
      </c>
      <c r="AK4" t="s">
        <v>1833</v>
      </c>
      <c r="AL4" t="s">
        <v>1137</v>
      </c>
      <c r="AM4" t="s">
        <v>117</v>
      </c>
      <c r="AN4" t="s">
        <v>220</v>
      </c>
      <c r="AO4" t="s">
        <v>1834</v>
      </c>
      <c r="AP4" t="s">
        <v>1835</v>
      </c>
      <c r="AQ4" t="s">
        <v>338</v>
      </c>
      <c r="AR4" t="s">
        <v>1836</v>
      </c>
      <c r="AS4" t="s">
        <v>1837</v>
      </c>
      <c r="AT4" t="s">
        <v>244</v>
      </c>
      <c r="AU4" t="s">
        <v>1838</v>
      </c>
      <c r="AV4" t="s">
        <v>1839</v>
      </c>
      <c r="AW4" t="s">
        <v>447</v>
      </c>
      <c r="AX4" t="s">
        <v>977</v>
      </c>
      <c r="AY4" t="s">
        <v>675</v>
      </c>
      <c r="AZ4" t="s">
        <v>676</v>
      </c>
      <c r="BA4" t="s">
        <v>607</v>
      </c>
      <c r="BB4" t="s">
        <v>608</v>
      </c>
      <c r="BC4" t="s">
        <v>641</v>
      </c>
      <c r="BD4" t="s">
        <v>370</v>
      </c>
      <c r="BE4" t="s">
        <v>677</v>
      </c>
      <c r="BF4" t="s">
        <v>479</v>
      </c>
      <c r="BG4" t="s">
        <v>378</v>
      </c>
      <c r="BH4" t="s">
        <v>1132</v>
      </c>
      <c r="BI4" t="s">
        <v>1138</v>
      </c>
      <c r="BJ4" t="s">
        <v>977</v>
      </c>
      <c r="BK4" t="s">
        <v>182</v>
      </c>
      <c r="BL4" t="s">
        <v>1139</v>
      </c>
      <c r="BM4" t="s">
        <v>641</v>
      </c>
      <c r="BN4">
        <v>3.63</v>
      </c>
      <c r="BO4">
        <v>4.3499999999999996</v>
      </c>
      <c r="BP4">
        <v>3.88</v>
      </c>
      <c r="BQ4">
        <v>4.5599999999999996</v>
      </c>
      <c r="BR4">
        <v>5.03</v>
      </c>
      <c r="BS4">
        <v>4.09</v>
      </c>
      <c r="BT4" t="s">
        <v>942</v>
      </c>
      <c r="BU4" t="s">
        <v>848</v>
      </c>
      <c r="BV4">
        <v>20.68</v>
      </c>
      <c r="BW4">
        <v>24.15</v>
      </c>
      <c r="BX4">
        <v>22.39</v>
      </c>
      <c r="BY4">
        <v>6.45</v>
      </c>
      <c r="BZ4">
        <v>7.44</v>
      </c>
      <c r="CA4">
        <v>6.37</v>
      </c>
      <c r="CB4">
        <v>-0.56999999999999995</v>
      </c>
      <c r="CC4">
        <v>-13.86</v>
      </c>
      <c r="CD4" t="s">
        <v>1840</v>
      </c>
      <c r="CE4" t="s">
        <v>549</v>
      </c>
      <c r="CF4" s="9">
        <v>0.12392638036809817</v>
      </c>
      <c r="CG4" s="10">
        <v>-0.27327672192256641</v>
      </c>
      <c r="CH4" s="9">
        <v>0.11567453294992447</v>
      </c>
      <c r="CI4" s="9">
        <v>8.1225387752056122E-2</v>
      </c>
      <c r="CJ4" s="9">
        <v>0.18600004911422729</v>
      </c>
      <c r="CK4" s="9">
        <v>-1.996050588786602E-3</v>
      </c>
      <c r="CL4" s="9">
        <v>-1.4102921821177006E-2</v>
      </c>
      <c r="CM4" s="10">
        <v>-3.5335689783096313E-2</v>
      </c>
      <c r="CN4" s="10">
        <v>0.27477476000785828</v>
      </c>
      <c r="CO4" s="10">
        <v>-0.42930591106414795</v>
      </c>
      <c r="CP4" s="10">
        <v>0.11781609058380127</v>
      </c>
      <c r="CQ4" s="10">
        <v>-0.8450579047203064</v>
      </c>
      <c r="CR4">
        <v>5.9618436054240886</v>
      </c>
      <c r="CS4">
        <v>0.81268094247044098</v>
      </c>
      <c r="CT4">
        <v>2.298850574712644</v>
      </c>
      <c r="CU4" s="9">
        <v>7.3360199481248861E-2</v>
      </c>
      <c r="CV4" s="10">
        <v>-0.18342173099517822</v>
      </c>
      <c r="CW4">
        <v>0.06</v>
      </c>
      <c r="CX4">
        <v>17.960738194366328</v>
      </c>
      <c r="CY4">
        <v>276440881.56451035</v>
      </c>
      <c r="CZ4">
        <v>7.3360199481248861E-2</v>
      </c>
      <c r="DA4">
        <v>5.9528458651619394</v>
      </c>
      <c r="DB4">
        <v>834068681.1760633</v>
      </c>
      <c r="DC4">
        <v>6.9692189507186419E-2</v>
      </c>
      <c r="DD4">
        <v>2.9859342643677653</v>
      </c>
      <c r="DE4">
        <v>1662823712.9162972</v>
      </c>
      <c r="DF4">
        <v>6.4556975543498998E-2</v>
      </c>
      <c r="DG4">
        <v>1.8311292865707069</v>
      </c>
      <c r="DH4">
        <v>2711486477.996582</v>
      </c>
      <c r="DI4">
        <v>5.8688159584999094E-2</v>
      </c>
      <c r="DJ4">
        <v>0.98993084835578593</v>
      </c>
      <c r="DK4">
        <v>5015584985.806529</v>
      </c>
      <c r="DL4">
        <v>5.1352139636874197E-2</v>
      </c>
      <c r="DM4">
        <v>273000000</v>
      </c>
      <c r="DN4">
        <v>7.3360199481248861E-2</v>
      </c>
      <c r="DO4">
        <v>4965082300</v>
      </c>
      <c r="DP4">
        <v>1028490800</v>
      </c>
      <c r="DQ4">
        <v>37</v>
      </c>
      <c r="DR4">
        <v>5.0566180886849305E-2</v>
      </c>
      <c r="DS4">
        <v>-8.985499092738819E-2</v>
      </c>
      <c r="DT4" s="7">
        <v>-0.3066666666666667</v>
      </c>
      <c r="DU4">
        <v>-0.40333333333333332</v>
      </c>
      <c r="DV4">
        <v>-0.71</v>
      </c>
      <c r="DW4">
        <v>-2.1385999999999998</v>
      </c>
      <c r="DX4">
        <v>0.27279487179487172</v>
      </c>
      <c r="DY4">
        <v>-2.0170193692307694</v>
      </c>
      <c r="DZ4">
        <v>3212</v>
      </c>
      <c r="EA4">
        <v>-2.00632148</v>
      </c>
      <c r="EB4">
        <v>2</v>
      </c>
      <c r="EC4">
        <v>1.3378661670650202E-2</v>
      </c>
      <c r="ED4">
        <v>0.10895130615062809</v>
      </c>
      <c r="EE4" s="11">
        <v>-1.0977999999999999</v>
      </c>
      <c r="EF4">
        <v>-1.0864</v>
      </c>
      <c r="EG4">
        <v>15.122794871794872</v>
      </c>
      <c r="EH4" t="s">
        <v>808</v>
      </c>
      <c r="EI4">
        <v>0</v>
      </c>
      <c r="EJ4">
        <v>0</v>
      </c>
      <c r="EK4" s="13">
        <v>45470</v>
      </c>
      <c r="EL4" s="14">
        <v>0.28999999999999998</v>
      </c>
      <c r="EM4" s="14">
        <v>-3.42</v>
      </c>
      <c r="EN4" s="14">
        <v>1.47</v>
      </c>
      <c r="EO4" s="14">
        <v>2.0299999999999998</v>
      </c>
      <c r="EP4" s="14">
        <v>-1.1399999999999999</v>
      </c>
    </row>
    <row r="5" spans="1:146" ht="108" x14ac:dyDescent="0.25">
      <c r="A5" s="6"/>
      <c r="B5" s="6"/>
      <c r="C5" s="6" t="str">
        <f>""&amp;CHAR(10)&amp;Basic_Fundamental_Information_Constructure(F5)&amp;CHAR(10)&amp;Basic_Fundamental_Information_Concatenate("")</f>
        <v xml:space="preserve">
市值110.315913亿, 利润-14.98亿; PE; 平均PE6.54; 平均PEG3.97, PB.404; ROIC6.54%; ROE6.2333%; 股利率0%; 毛利19.7167%; 净利3.13%; 上一年度营收增-18.26%, 利润增-210.31%; 当季营收增-35.55%, 利润增-1.64%; 过往5年营收增-1.65%, 利润增-43.2%
Income profile:
</v>
      </c>
      <c r="D5" t="s">
        <v>89</v>
      </c>
      <c r="E5" t="s">
        <v>28</v>
      </c>
      <c r="F5">
        <v>4.1500000000000004</v>
      </c>
      <c r="G5">
        <v>0.24</v>
      </c>
      <c r="H5" t="s">
        <v>1841</v>
      </c>
      <c r="I5">
        <v>11031591300</v>
      </c>
      <c r="K5">
        <v>0.40400000000000003</v>
      </c>
      <c r="L5" t="s">
        <v>53</v>
      </c>
      <c r="M5" t="s">
        <v>1140</v>
      </c>
      <c r="N5" t="s">
        <v>1842</v>
      </c>
      <c r="O5" t="s">
        <v>1102</v>
      </c>
      <c r="P5">
        <v>-35.56</v>
      </c>
      <c r="Q5" t="s">
        <v>1141</v>
      </c>
      <c r="R5">
        <v>-805000000</v>
      </c>
      <c r="S5" s="5">
        <v>-0.38679999999999998</v>
      </c>
      <c r="T5" t="s">
        <v>1142</v>
      </c>
      <c r="U5">
        <v>1547299900</v>
      </c>
      <c r="V5">
        <v>2658214800</v>
      </c>
      <c r="W5">
        <v>2.0499999999999998</v>
      </c>
      <c r="X5">
        <v>0.06</v>
      </c>
      <c r="Y5">
        <v>-36.299999999999997</v>
      </c>
      <c r="Z5" t="s">
        <v>1843</v>
      </c>
      <c r="AA5" t="s">
        <v>1844</v>
      </c>
      <c r="AB5" t="s">
        <v>162</v>
      </c>
      <c r="AC5" t="s">
        <v>1845</v>
      </c>
      <c r="AD5" t="s">
        <v>117</v>
      </c>
      <c r="AE5">
        <v>149368860</v>
      </c>
      <c r="AF5" t="s">
        <v>1143</v>
      </c>
      <c r="AG5" t="s">
        <v>1846</v>
      </c>
      <c r="AH5" t="s">
        <v>1144</v>
      </c>
      <c r="AI5" t="s">
        <v>1847</v>
      </c>
      <c r="AJ5" t="s">
        <v>1145</v>
      </c>
      <c r="AK5" t="s">
        <v>1099</v>
      </c>
      <c r="AL5" t="s">
        <v>1146</v>
      </c>
      <c r="AM5" t="s">
        <v>117</v>
      </c>
      <c r="AN5" t="s">
        <v>1848</v>
      </c>
      <c r="AO5" t="s">
        <v>1849</v>
      </c>
      <c r="AP5" t="s">
        <v>129</v>
      </c>
      <c r="AQ5" t="s">
        <v>1850</v>
      </c>
      <c r="AR5" t="s">
        <v>117</v>
      </c>
      <c r="AS5" t="s">
        <v>1851</v>
      </c>
      <c r="AT5" t="s">
        <v>1852</v>
      </c>
      <c r="AU5" t="s">
        <v>1853</v>
      </c>
      <c r="AV5" t="s">
        <v>1854</v>
      </c>
      <c r="AW5" t="s">
        <v>1855</v>
      </c>
      <c r="AX5" t="s">
        <v>978</v>
      </c>
      <c r="AY5" t="s">
        <v>678</v>
      </c>
      <c r="AZ5" t="s">
        <v>308</v>
      </c>
      <c r="BA5" t="s">
        <v>137</v>
      </c>
      <c r="BB5" t="s">
        <v>311</v>
      </c>
      <c r="BC5" t="s">
        <v>979</v>
      </c>
      <c r="BD5" t="s">
        <v>679</v>
      </c>
      <c r="BE5" t="s">
        <v>309</v>
      </c>
      <c r="BF5" t="s">
        <v>138</v>
      </c>
      <c r="BG5" t="s">
        <v>312</v>
      </c>
      <c r="BH5" t="s">
        <v>1141</v>
      </c>
      <c r="BI5" t="s">
        <v>1147</v>
      </c>
      <c r="BJ5" t="s">
        <v>978</v>
      </c>
      <c r="BK5" t="s">
        <v>1142</v>
      </c>
      <c r="BL5" t="s">
        <v>1148</v>
      </c>
      <c r="BM5" t="s">
        <v>979</v>
      </c>
      <c r="BN5" t="s">
        <v>117</v>
      </c>
      <c r="BO5">
        <v>3.66</v>
      </c>
      <c r="BP5">
        <v>9.42</v>
      </c>
      <c r="BQ5">
        <v>-1.07</v>
      </c>
      <c r="BR5">
        <v>4.3899999999999997</v>
      </c>
      <c r="BS5">
        <v>15.38</v>
      </c>
      <c r="BT5" t="s">
        <v>930</v>
      </c>
      <c r="BU5" t="s">
        <v>847</v>
      </c>
      <c r="BV5">
        <v>11.78</v>
      </c>
      <c r="BW5">
        <v>20.48</v>
      </c>
      <c r="BX5">
        <v>26.89</v>
      </c>
      <c r="BY5">
        <v>-6.19</v>
      </c>
      <c r="BZ5">
        <v>4.07</v>
      </c>
      <c r="CA5">
        <v>11.51</v>
      </c>
      <c r="CB5">
        <v>2.2200000000000002</v>
      </c>
      <c r="CC5">
        <v>-21.55</v>
      </c>
      <c r="CD5" t="s">
        <v>1856</v>
      </c>
      <c r="CE5" t="s">
        <v>1857</v>
      </c>
      <c r="CF5" s="9">
        <v>-0.35551697530864207</v>
      </c>
      <c r="CG5" s="10">
        <v>-1.6414141414141416E-2</v>
      </c>
      <c r="CH5" s="9">
        <v>-0.18263666331768036</v>
      </c>
      <c r="CI5" s="9">
        <v>-4.9369774758815765E-2</v>
      </c>
      <c r="CJ5" s="9">
        <v>2.4182679131627083E-2</v>
      </c>
      <c r="CK5" s="9">
        <v>2.8197078034281731E-2</v>
      </c>
      <c r="CL5" s="9">
        <v>9.7271725535392761E-2</v>
      </c>
      <c r="CM5" s="10">
        <v>-2.1030926704406738</v>
      </c>
      <c r="CN5" s="10">
        <v>-0.51672595739364624</v>
      </c>
      <c r="CO5" s="10">
        <v>-1.4035088010132313E-2</v>
      </c>
      <c r="CP5" s="10">
        <v>5.5164732038974762E-2</v>
      </c>
      <c r="CQ5" s="10">
        <v>0.41859239339828491</v>
      </c>
      <c r="CR5">
        <v>6.5372392888888893</v>
      </c>
      <c r="CS5">
        <v>3.9689410668164338</v>
      </c>
      <c r="CT5">
        <v>0</v>
      </c>
      <c r="CU5" s="9">
        <v>-1.647099107503891E-2</v>
      </c>
      <c r="CV5" s="10">
        <v>-0.43201931808143856</v>
      </c>
      <c r="CW5">
        <v>0.06</v>
      </c>
      <c r="CX5" t="e">
        <v>#VALUE!</v>
      </c>
      <c r="CY5" t="s">
        <v>802</v>
      </c>
      <c r="CZ5">
        <v>-1.647099107503891E-2</v>
      </c>
      <c r="DA5" t="e">
        <v>#VALUE!</v>
      </c>
      <c r="DB5" t="s">
        <v>803</v>
      </c>
      <c r="DC5">
        <v>-1.5647441521286963E-2</v>
      </c>
      <c r="DD5" t="e">
        <v>#VALUE!</v>
      </c>
      <c r="DE5" t="s">
        <v>803</v>
      </c>
      <c r="DF5">
        <v>-1.4494472146034242E-2</v>
      </c>
      <c r="DG5" t="e">
        <v>#VALUE!</v>
      </c>
      <c r="DH5" t="s">
        <v>803</v>
      </c>
      <c r="DI5">
        <v>-1.3176792860031129E-2</v>
      </c>
      <c r="DJ5" t="e">
        <v>#VALUE!</v>
      </c>
      <c r="DK5" t="s">
        <v>803</v>
      </c>
      <c r="DL5">
        <v>-1.1529693752527236E-2</v>
      </c>
      <c r="DM5">
        <v>-1498000000</v>
      </c>
      <c r="DN5">
        <v>-1.647099107503891E-2</v>
      </c>
      <c r="DO5">
        <v>10995591300</v>
      </c>
      <c r="DP5">
        <v>-372202000.00000191</v>
      </c>
      <c r="DQ5">
        <v>69</v>
      </c>
      <c r="DR5">
        <v>-0.33904598423360316</v>
      </c>
      <c r="DS5">
        <v>0.41560517666729713</v>
      </c>
      <c r="DT5" s="7">
        <v>-0.60666666666666669</v>
      </c>
      <c r="DU5">
        <v>-1.4783333333333333</v>
      </c>
      <c r="DV5">
        <v>-2.085</v>
      </c>
      <c r="DW5">
        <v>-3.0627678571428572</v>
      </c>
      <c r="DX5">
        <v>0.29198554913294916</v>
      </c>
      <c r="DY5">
        <v>-3.0082844500928982</v>
      </c>
      <c r="DZ5">
        <v>4444</v>
      </c>
      <c r="EA5">
        <v>-3.001079734591364</v>
      </c>
      <c r="EB5">
        <v>3</v>
      </c>
      <c r="EC5">
        <v>1.717957480336051E-2</v>
      </c>
      <c r="ED5">
        <v>0.1301625436740477</v>
      </c>
      <c r="EE5" s="11">
        <v>-3.1026099999999999</v>
      </c>
      <c r="EF5">
        <v>-3.11931</v>
      </c>
      <c r="EG5">
        <v>16.131985549132949</v>
      </c>
      <c r="EH5" t="s">
        <v>1679</v>
      </c>
      <c r="EI5">
        <v>0</v>
      </c>
      <c r="EJ5">
        <v>0</v>
      </c>
      <c r="EK5" s="13">
        <v>45470</v>
      </c>
      <c r="EL5" s="14">
        <v>1.47</v>
      </c>
      <c r="EM5" s="14">
        <v>-2.9</v>
      </c>
      <c r="EN5" s="14">
        <v>1.49</v>
      </c>
      <c r="EO5" s="14">
        <v>2.94</v>
      </c>
      <c r="EP5" s="14">
        <v>-1.67</v>
      </c>
    </row>
    <row r="6" spans="1:146" ht="108" x14ac:dyDescent="0.25">
      <c r="A6" s="6"/>
      <c r="B6" s="6"/>
      <c r="C6" s="6" t="str">
        <f>""&amp;CHAR(10)&amp;Basic_Fundamental_Information_Constructure(F6)&amp;CHAR(10)&amp;Basic_Fundamental_Information_Concatenate("")</f>
        <v xml:space="preserve">
市值17.779104亿, 利润-1858.97万; PE; 平均PE-53.3; 平均PEG-3.92, PB.663; ROIC.46%; ROE-3.4%; 股利率0%; 毛利8.0433%; 净利-1.58%; 上一年度营收增5.61%, 利润增79.84%; 当季营收增-3.13%, 利润增20.18%; 过往5年营收增13.59%, 利润增-45.61%
Income profile:
</v>
      </c>
      <c r="D6" t="s">
        <v>61</v>
      </c>
      <c r="E6" t="s">
        <v>680</v>
      </c>
      <c r="F6">
        <v>4.03</v>
      </c>
      <c r="G6">
        <v>1.51</v>
      </c>
      <c r="H6" t="s">
        <v>1858</v>
      </c>
      <c r="I6">
        <v>1777910400</v>
      </c>
      <c r="K6">
        <v>0.66300000000000003</v>
      </c>
      <c r="L6" t="s">
        <v>53</v>
      </c>
      <c r="M6" t="s">
        <v>1859</v>
      </c>
      <c r="N6" t="s">
        <v>1860</v>
      </c>
      <c r="O6" t="s">
        <v>1861</v>
      </c>
      <c r="P6">
        <v>-3.08</v>
      </c>
      <c r="Q6" t="s">
        <v>1862</v>
      </c>
      <c r="R6">
        <v>-15443901</v>
      </c>
      <c r="S6" s="5">
        <v>0.20180000000000001</v>
      </c>
      <c r="T6" t="s">
        <v>1863</v>
      </c>
      <c r="U6">
        <v>360000000</v>
      </c>
      <c r="V6">
        <v>441168830</v>
      </c>
      <c r="W6">
        <v>1.74</v>
      </c>
      <c r="X6">
        <v>0.2</v>
      </c>
      <c r="Y6">
        <v>-1.36</v>
      </c>
      <c r="Z6" t="s">
        <v>1730</v>
      </c>
      <c r="AA6" t="s">
        <v>1864</v>
      </c>
      <c r="AB6" t="s">
        <v>1865</v>
      </c>
      <c r="AC6" t="s">
        <v>1866</v>
      </c>
      <c r="AD6" t="s">
        <v>117</v>
      </c>
      <c r="AE6">
        <v>7635538</v>
      </c>
      <c r="AF6" t="s">
        <v>1867</v>
      </c>
      <c r="AG6" t="s">
        <v>1868</v>
      </c>
      <c r="AH6" t="s">
        <v>1869</v>
      </c>
      <c r="AI6" t="s">
        <v>1764</v>
      </c>
      <c r="AJ6" t="s">
        <v>1870</v>
      </c>
      <c r="AK6" t="s">
        <v>1871</v>
      </c>
      <c r="AL6" t="s">
        <v>1872</v>
      </c>
      <c r="AM6" t="s">
        <v>117</v>
      </c>
      <c r="AN6" t="s">
        <v>642</v>
      </c>
      <c r="AO6" t="s">
        <v>1574</v>
      </c>
      <c r="AP6" t="s">
        <v>117</v>
      </c>
      <c r="AQ6" t="s">
        <v>1873</v>
      </c>
      <c r="AR6" t="s">
        <v>117</v>
      </c>
      <c r="AS6" t="s">
        <v>1874</v>
      </c>
      <c r="AT6" t="s">
        <v>1875</v>
      </c>
      <c r="AU6" t="s">
        <v>1876</v>
      </c>
      <c r="AV6" t="s">
        <v>1877</v>
      </c>
      <c r="AW6" t="s">
        <v>1878</v>
      </c>
      <c r="AX6" t="s">
        <v>984</v>
      </c>
      <c r="AY6" t="s">
        <v>681</v>
      </c>
      <c r="AZ6" t="s">
        <v>315</v>
      </c>
      <c r="BA6" t="s">
        <v>188</v>
      </c>
      <c r="BB6" t="s">
        <v>318</v>
      </c>
      <c r="BC6" t="s">
        <v>985</v>
      </c>
      <c r="BD6" t="s">
        <v>682</v>
      </c>
      <c r="BE6" t="s">
        <v>316</v>
      </c>
      <c r="BF6" t="s">
        <v>189</v>
      </c>
      <c r="BG6" t="s">
        <v>319</v>
      </c>
      <c r="BH6" t="s">
        <v>1862</v>
      </c>
      <c r="BI6" t="s">
        <v>1879</v>
      </c>
      <c r="BJ6" t="s">
        <v>984</v>
      </c>
      <c r="BK6" t="s">
        <v>1863</v>
      </c>
      <c r="BL6" t="s">
        <v>1880</v>
      </c>
      <c r="BM6" t="s">
        <v>985</v>
      </c>
      <c r="BN6">
        <v>0.46</v>
      </c>
      <c r="BO6" t="s">
        <v>117</v>
      </c>
      <c r="BP6" t="s">
        <v>117</v>
      </c>
      <c r="BQ6">
        <v>-0.12</v>
      </c>
      <c r="BR6">
        <v>-4.08</v>
      </c>
      <c r="BS6">
        <v>-6</v>
      </c>
      <c r="BT6" t="s">
        <v>930</v>
      </c>
      <c r="BU6" t="s">
        <v>848</v>
      </c>
      <c r="BV6">
        <v>8.89</v>
      </c>
      <c r="BW6">
        <v>6.8</v>
      </c>
      <c r="BX6">
        <v>8.44</v>
      </c>
      <c r="BY6">
        <v>-0.06</v>
      </c>
      <c r="BZ6">
        <v>-1.51</v>
      </c>
      <c r="CA6">
        <v>-3.17</v>
      </c>
      <c r="CB6">
        <v>-0.25</v>
      </c>
      <c r="CC6">
        <v>-21.9</v>
      </c>
      <c r="CD6" t="s">
        <v>1881</v>
      </c>
      <c r="CE6" t="s">
        <v>225</v>
      </c>
      <c r="CF6" s="9">
        <v>-3.1336405529953919E-2</v>
      </c>
      <c r="CG6" s="10">
        <v>0.20177895275456251</v>
      </c>
      <c r="CH6" s="9">
        <v>5.6122403591871262E-2</v>
      </c>
      <c r="CI6" s="9">
        <v>0.13061389327049255</v>
      </c>
      <c r="CJ6" s="9">
        <v>0.24206759035587311</v>
      </c>
      <c r="CK6" s="9">
        <v>8.1350266933441162E-2</v>
      </c>
      <c r="CL6" s="9">
        <v>0.16957937180995941</v>
      </c>
      <c r="CM6" s="10">
        <v>0.79837936162948608</v>
      </c>
      <c r="CN6" s="10">
        <v>0.35523495078086853</v>
      </c>
      <c r="CO6" s="10">
        <v>-5.4191174507141113</v>
      </c>
      <c r="CP6" s="10">
        <v>1.7895313501358032</v>
      </c>
      <c r="CQ6" s="10">
        <v>0.19557443261146545</v>
      </c>
      <c r="CR6">
        <v>-53.30301151209197</v>
      </c>
      <c r="CS6">
        <v>-3.9208755693404087</v>
      </c>
      <c r="CT6">
        <v>0</v>
      </c>
      <c r="CU6" s="9">
        <v>0.13594670519232749</v>
      </c>
      <c r="CV6" s="10">
        <v>-0.4560794711112976</v>
      </c>
      <c r="CW6">
        <v>0.06</v>
      </c>
      <c r="CX6" t="e">
        <v>#VALUE!</v>
      </c>
      <c r="CY6" t="s">
        <v>802</v>
      </c>
      <c r="CZ6">
        <v>0.13594670519232749</v>
      </c>
      <c r="DA6" t="e">
        <v>#VALUE!</v>
      </c>
      <c r="DB6" t="s">
        <v>803</v>
      </c>
      <c r="DC6">
        <v>0.12914936993271112</v>
      </c>
      <c r="DD6" t="e">
        <v>#VALUE!</v>
      </c>
      <c r="DE6" t="s">
        <v>803</v>
      </c>
      <c r="DF6">
        <v>0.1196331005692482</v>
      </c>
      <c r="DG6" t="e">
        <v>#VALUE!</v>
      </c>
      <c r="DH6" t="s">
        <v>803</v>
      </c>
      <c r="DI6">
        <v>0.108757364153862</v>
      </c>
      <c r="DJ6" t="e">
        <v>#VALUE!</v>
      </c>
      <c r="DK6" t="s">
        <v>803</v>
      </c>
      <c r="DL6">
        <v>9.5162693634629231E-2</v>
      </c>
      <c r="DM6">
        <v>-18589700</v>
      </c>
      <c r="DN6">
        <v>0.13594670519232749</v>
      </c>
      <c r="DO6">
        <v>1270910400</v>
      </c>
      <c r="DP6">
        <v>1234869700</v>
      </c>
      <c r="DQ6">
        <v>178</v>
      </c>
      <c r="DR6">
        <v>-0.16728311072228141</v>
      </c>
      <c r="DS6">
        <v>0.65785842386586013</v>
      </c>
      <c r="DT6" s="7">
        <v>-0.20666666666666669</v>
      </c>
      <c r="DU6">
        <v>-1.3783333333333332</v>
      </c>
      <c r="DV6">
        <v>-1.585</v>
      </c>
      <c r="DW6">
        <v>-3.0667261904761904</v>
      </c>
      <c r="DX6">
        <v>0.31261129032258111</v>
      </c>
      <c r="DY6">
        <v>-3.008181384312596</v>
      </c>
      <c r="DZ6">
        <v>4083</v>
      </c>
      <c r="EA6">
        <v>-3.0016442821309268</v>
      </c>
      <c r="EB6">
        <v>3</v>
      </c>
      <c r="EC6">
        <v>3.4462543511970242E-2</v>
      </c>
      <c r="ED6">
        <v>0.28107153445088129</v>
      </c>
      <c r="EE6" s="11">
        <v>-3.0287999999999999</v>
      </c>
      <c r="EF6">
        <v>-3.0165000000000002</v>
      </c>
      <c r="EG6">
        <v>19.122611290322581</v>
      </c>
      <c r="EH6" t="s">
        <v>1149</v>
      </c>
      <c r="EI6">
        <v>0</v>
      </c>
      <c r="EJ6">
        <v>0</v>
      </c>
      <c r="EK6" s="13">
        <v>45470</v>
      </c>
      <c r="EL6" s="14">
        <v>1.74</v>
      </c>
      <c r="EM6" s="14">
        <v>-4.16</v>
      </c>
      <c r="EN6" s="14">
        <v>1.79</v>
      </c>
      <c r="EO6" s="14">
        <v>2.0099999999999998</v>
      </c>
      <c r="EP6" s="14">
        <v>-1.23</v>
      </c>
    </row>
    <row r="7" spans="1:146" ht="108" x14ac:dyDescent="0.25">
      <c r="A7" s="6"/>
      <c r="B7" s="6"/>
      <c r="C7" s="6" t="str">
        <f>""&amp;CHAR(10)&amp;Basic_Fundamental_Information_Constructure(F7)&amp;CHAR(10)&amp;Basic_Fundamental_Information_Concatenate("")</f>
        <v xml:space="preserve">
市值60.587216亿, 利润7.44亿; PE10.33; 平均PE3.75; 平均PEG.6, PB.684; ROIC12.0633%; ROE16.22%; 股利率6.4%; 毛利34.9833%; 净利17.17%; 上一年度营收增-10.34%, 利润增-21.6%; 当季营收增-34.6%, 利润增-91.56%; 过往5年营收增6.25%, 利润增-5.07%
Income profile:
</v>
      </c>
      <c r="D7" t="s">
        <v>98</v>
      </c>
      <c r="E7" t="s">
        <v>42</v>
      </c>
      <c r="F7">
        <v>6.25</v>
      </c>
      <c r="G7">
        <v>0.16</v>
      </c>
      <c r="H7" t="s">
        <v>1882</v>
      </c>
      <c r="I7">
        <v>6058721600</v>
      </c>
      <c r="J7">
        <v>10.33</v>
      </c>
      <c r="K7">
        <v>0.68400000000000005</v>
      </c>
      <c r="L7" t="s">
        <v>53</v>
      </c>
      <c r="M7" t="s">
        <v>1150</v>
      </c>
      <c r="N7" t="s">
        <v>1883</v>
      </c>
      <c r="O7" t="s">
        <v>1088</v>
      </c>
      <c r="P7">
        <v>-34.61</v>
      </c>
      <c r="Q7" t="s">
        <v>1151</v>
      </c>
      <c r="R7">
        <v>14596921</v>
      </c>
      <c r="S7" s="5">
        <v>-0.91539999999999999</v>
      </c>
      <c r="T7" t="s">
        <v>1152</v>
      </c>
      <c r="U7">
        <v>969395450</v>
      </c>
      <c r="V7">
        <v>969395450</v>
      </c>
      <c r="W7">
        <v>1.94</v>
      </c>
      <c r="X7">
        <v>0.05</v>
      </c>
      <c r="Y7">
        <v>-2.2599999999999998</v>
      </c>
      <c r="Z7" t="s">
        <v>1029</v>
      </c>
      <c r="AA7" t="s">
        <v>1884</v>
      </c>
      <c r="AB7" t="s">
        <v>1885</v>
      </c>
      <c r="AC7" t="s">
        <v>435</v>
      </c>
      <c r="AD7" t="s">
        <v>117</v>
      </c>
      <c r="AE7">
        <v>9878829</v>
      </c>
      <c r="AF7" t="s">
        <v>1154</v>
      </c>
      <c r="AG7" t="s">
        <v>1886</v>
      </c>
      <c r="AH7" t="s">
        <v>1155</v>
      </c>
      <c r="AI7" t="s">
        <v>1887</v>
      </c>
      <c r="AJ7" t="s">
        <v>1156</v>
      </c>
      <c r="AK7" t="s">
        <v>480</v>
      </c>
      <c r="AL7" t="s">
        <v>1158</v>
      </c>
      <c r="AM7" t="s">
        <v>117</v>
      </c>
      <c r="AN7" t="s">
        <v>1334</v>
      </c>
      <c r="AO7" t="s">
        <v>746</v>
      </c>
      <c r="AP7" t="s">
        <v>1170</v>
      </c>
      <c r="AQ7" t="s">
        <v>421</v>
      </c>
      <c r="AR7" t="s">
        <v>1888</v>
      </c>
      <c r="AS7" t="s">
        <v>1889</v>
      </c>
      <c r="AT7" t="s">
        <v>1890</v>
      </c>
      <c r="AU7" t="s">
        <v>1891</v>
      </c>
      <c r="AV7" t="s">
        <v>1892</v>
      </c>
      <c r="AW7" t="s">
        <v>1688</v>
      </c>
      <c r="AX7" t="s">
        <v>987</v>
      </c>
      <c r="AY7" t="s">
        <v>683</v>
      </c>
      <c r="AZ7" t="s">
        <v>320</v>
      </c>
      <c r="BA7" t="s">
        <v>145</v>
      </c>
      <c r="BB7" t="s">
        <v>322</v>
      </c>
      <c r="BC7" t="s">
        <v>964</v>
      </c>
      <c r="BD7" t="s">
        <v>991</v>
      </c>
      <c r="BE7" t="s">
        <v>321</v>
      </c>
      <c r="BF7" t="s">
        <v>146</v>
      </c>
      <c r="BG7" t="s">
        <v>323</v>
      </c>
      <c r="BH7" t="s">
        <v>1151</v>
      </c>
      <c r="BI7" t="s">
        <v>1031</v>
      </c>
      <c r="BJ7" t="s">
        <v>987</v>
      </c>
      <c r="BK7" t="s">
        <v>1152</v>
      </c>
      <c r="BL7" t="s">
        <v>420</v>
      </c>
      <c r="BM7" t="s">
        <v>964</v>
      </c>
      <c r="BN7">
        <v>5.49</v>
      </c>
      <c r="BO7">
        <v>8.2200000000000006</v>
      </c>
      <c r="BP7">
        <v>22.48</v>
      </c>
      <c r="BQ7">
        <v>8.1300000000000008</v>
      </c>
      <c r="BR7">
        <v>11.42</v>
      </c>
      <c r="BS7">
        <v>29.11</v>
      </c>
      <c r="BT7" t="s">
        <v>1159</v>
      </c>
      <c r="BU7" t="s">
        <v>847</v>
      </c>
      <c r="BV7">
        <v>27.75</v>
      </c>
      <c r="BW7">
        <v>33.619999999999997</v>
      </c>
      <c r="BX7">
        <v>43.58</v>
      </c>
      <c r="BY7">
        <v>10.96</v>
      </c>
      <c r="BZ7">
        <v>13.44</v>
      </c>
      <c r="CA7">
        <v>27.11</v>
      </c>
      <c r="CB7">
        <v>2.12</v>
      </c>
      <c r="CC7">
        <v>-9.16</v>
      </c>
      <c r="CD7" t="s">
        <v>1893</v>
      </c>
      <c r="CE7" t="s">
        <v>435</v>
      </c>
      <c r="CF7" s="9">
        <v>-0.34604316546762592</v>
      </c>
      <c r="CG7" s="10">
        <v>-0.91562473410404621</v>
      </c>
      <c r="CH7" s="9">
        <v>-0.103433758020401</v>
      </c>
      <c r="CI7" s="9">
        <v>-0.14191217720508575</v>
      </c>
      <c r="CJ7" s="9">
        <v>0.29275494813919067</v>
      </c>
      <c r="CK7" s="9">
        <v>-0.13221798837184906</v>
      </c>
      <c r="CL7" s="9">
        <v>0.39717245101928711</v>
      </c>
      <c r="CM7" s="10">
        <v>-0.21601685881614685</v>
      </c>
      <c r="CN7" s="10">
        <v>-0.56367820501327515</v>
      </c>
      <c r="CO7" s="10">
        <v>7.3543958365917206E-2</v>
      </c>
      <c r="CP7" s="10">
        <v>-0.13084515929222107</v>
      </c>
      <c r="CQ7" s="10">
        <v>0.58355981111526489</v>
      </c>
      <c r="CR7">
        <v>3.7488222749303906</v>
      </c>
      <c r="CS7">
        <v>0.60007372311949392</v>
      </c>
      <c r="CT7">
        <v>6.4</v>
      </c>
      <c r="CU7" s="9">
        <v>6.2472695112228395E-2</v>
      </c>
      <c r="CV7" s="10">
        <v>-5.0687290728092194E-2</v>
      </c>
      <c r="CW7">
        <v>0.06</v>
      </c>
      <c r="CX7">
        <v>6.4764534650136065</v>
      </c>
      <c r="CY7">
        <v>745735552.04103565</v>
      </c>
      <c r="CZ7">
        <v>6.2472695112228395E-2</v>
      </c>
      <c r="DA7">
        <v>2.1665135602223553</v>
      </c>
      <c r="DB7">
        <v>2229259806.4811153</v>
      </c>
      <c r="DC7">
        <v>5.9349060356616974E-2</v>
      </c>
      <c r="DD7">
        <v>1.1000315870435127</v>
      </c>
      <c r="DE7">
        <v>4390529923.7638674</v>
      </c>
      <c r="DF7">
        <v>5.4975971698760985E-2</v>
      </c>
      <c r="DG7">
        <v>0.68372005139875092</v>
      </c>
      <c r="DH7">
        <v>7063887610.3156261</v>
      </c>
      <c r="DI7">
        <v>4.9978156089782719E-2</v>
      </c>
      <c r="DJ7">
        <v>0.38029901091870921</v>
      </c>
      <c r="DK7">
        <v>12699800581.47555</v>
      </c>
      <c r="DL7">
        <v>4.3730886578559877E-2</v>
      </c>
      <c r="DM7">
        <v>744000000</v>
      </c>
      <c r="DN7">
        <v>6.2472695112228395E-2</v>
      </c>
      <c r="DO7">
        <v>4829721600</v>
      </c>
      <c r="DP7">
        <v>2095248400</v>
      </c>
      <c r="DQ7">
        <v>209</v>
      </c>
      <c r="DR7">
        <v>-0.40851586057985434</v>
      </c>
      <c r="DS7">
        <v>-0.86493744337595402</v>
      </c>
      <c r="DT7" s="7">
        <v>-0.20666666666666669</v>
      </c>
      <c r="DU7">
        <v>-0.65666666666666662</v>
      </c>
      <c r="DV7">
        <v>-0.86333333333333329</v>
      </c>
      <c r="DW7">
        <v>-2.0916000000000001</v>
      </c>
      <c r="DX7">
        <v>0.33480174418604802</v>
      </c>
      <c r="DY7">
        <v>-2.0095998397674419</v>
      </c>
      <c r="DZ7">
        <v>3420</v>
      </c>
      <c r="EA7">
        <v>-2.0031748980835573</v>
      </c>
      <c r="EB7">
        <v>2</v>
      </c>
      <c r="EC7">
        <v>1.8594991342284515E-2</v>
      </c>
      <c r="ED7">
        <v>0.17743017052535165</v>
      </c>
      <c r="EE7" s="11">
        <v>-1.0157099999999999</v>
      </c>
      <c r="EF7">
        <v>-1.0396099999999999</v>
      </c>
      <c r="EG7">
        <v>23.104801744186048</v>
      </c>
      <c r="EH7" t="s">
        <v>804</v>
      </c>
      <c r="EI7">
        <v>0</v>
      </c>
      <c r="EJ7">
        <v>0</v>
      </c>
      <c r="EK7" s="13">
        <v>45470</v>
      </c>
      <c r="EL7" s="14">
        <v>-0.63</v>
      </c>
      <c r="EM7" s="14">
        <v>-2.0499999999999998</v>
      </c>
      <c r="EN7" s="14">
        <v>0.32</v>
      </c>
      <c r="EO7" s="14">
        <v>0.64</v>
      </c>
      <c r="EP7" s="14">
        <v>-2.39</v>
      </c>
    </row>
    <row r="8" spans="1:146" ht="84" x14ac:dyDescent="0.25">
      <c r="A8" s="6" t="s">
        <v>646</v>
      </c>
      <c r="B8" s="6"/>
      <c r="C8" s="6" t="s">
        <v>647</v>
      </c>
      <c r="D8" t="s">
        <v>58</v>
      </c>
      <c r="E8" t="s">
        <v>31</v>
      </c>
      <c r="F8">
        <v>28.16</v>
      </c>
      <c r="G8">
        <v>0.14000000000000001</v>
      </c>
      <c r="H8" t="s">
        <v>1894</v>
      </c>
      <c r="I8">
        <v>47576541000</v>
      </c>
      <c r="J8">
        <v>12.68</v>
      </c>
      <c r="K8">
        <v>1.96</v>
      </c>
      <c r="L8" t="s">
        <v>53</v>
      </c>
      <c r="M8" t="s">
        <v>1160</v>
      </c>
      <c r="N8" t="s">
        <v>1895</v>
      </c>
      <c r="O8" t="s">
        <v>1161</v>
      </c>
      <c r="P8">
        <v>24.62</v>
      </c>
      <c r="Q8" t="s">
        <v>1162</v>
      </c>
      <c r="R8">
        <v>821978140</v>
      </c>
      <c r="S8" s="5">
        <v>0.38109999999999999</v>
      </c>
      <c r="T8" t="s">
        <v>1163</v>
      </c>
      <c r="U8">
        <v>1632449100</v>
      </c>
      <c r="V8">
        <v>1689507800</v>
      </c>
      <c r="W8">
        <v>1.39</v>
      </c>
      <c r="X8">
        <v>0.18</v>
      </c>
      <c r="Y8">
        <v>13.95</v>
      </c>
      <c r="Z8" t="s">
        <v>1896</v>
      </c>
      <c r="AA8" t="s">
        <v>1090</v>
      </c>
      <c r="AB8" t="s">
        <v>538</v>
      </c>
      <c r="AC8" t="s">
        <v>488</v>
      </c>
      <c r="AD8" t="s">
        <v>117</v>
      </c>
      <c r="AE8">
        <v>14560403</v>
      </c>
      <c r="AF8" t="s">
        <v>1164</v>
      </c>
      <c r="AG8" t="s">
        <v>1897</v>
      </c>
      <c r="AH8" t="s">
        <v>1165</v>
      </c>
      <c r="AI8" t="s">
        <v>1898</v>
      </c>
      <c r="AJ8" t="s">
        <v>1167</v>
      </c>
      <c r="AK8" t="s">
        <v>1899</v>
      </c>
      <c r="AL8" t="s">
        <v>1168</v>
      </c>
      <c r="AM8" t="s">
        <v>117</v>
      </c>
      <c r="AN8" t="s">
        <v>1900</v>
      </c>
      <c r="AO8" t="s">
        <v>1127</v>
      </c>
      <c r="AP8" t="s">
        <v>1792</v>
      </c>
      <c r="AQ8" t="s">
        <v>1901</v>
      </c>
      <c r="AR8" t="s">
        <v>1902</v>
      </c>
      <c r="AS8" t="s">
        <v>1903</v>
      </c>
      <c r="AT8" t="s">
        <v>851</v>
      </c>
      <c r="AU8" t="s">
        <v>1904</v>
      </c>
      <c r="AV8" t="s">
        <v>1028</v>
      </c>
      <c r="AW8" t="s">
        <v>1905</v>
      </c>
      <c r="AX8" t="s">
        <v>1171</v>
      </c>
      <c r="AY8" t="s">
        <v>992</v>
      </c>
      <c r="AZ8" t="s">
        <v>685</v>
      </c>
      <c r="BA8" t="s">
        <v>193</v>
      </c>
      <c r="BB8" t="s">
        <v>327</v>
      </c>
      <c r="BC8" t="s">
        <v>1172</v>
      </c>
      <c r="BD8" t="s">
        <v>993</v>
      </c>
      <c r="BE8" t="s">
        <v>686</v>
      </c>
      <c r="BF8" t="s">
        <v>194</v>
      </c>
      <c r="BG8" t="s">
        <v>328</v>
      </c>
      <c r="BH8" t="s">
        <v>1162</v>
      </c>
      <c r="BI8" t="s">
        <v>1173</v>
      </c>
      <c r="BJ8" t="s">
        <v>1171</v>
      </c>
      <c r="BK8" t="s">
        <v>1163</v>
      </c>
      <c r="BL8" t="s">
        <v>625</v>
      </c>
      <c r="BM8" t="s">
        <v>1172</v>
      </c>
      <c r="BN8">
        <v>11.51</v>
      </c>
      <c r="BO8">
        <v>13.97</v>
      </c>
      <c r="BP8">
        <v>17.25</v>
      </c>
      <c r="BQ8">
        <v>12.66</v>
      </c>
      <c r="BR8">
        <v>15.88</v>
      </c>
      <c r="BS8">
        <v>19.940000000000001</v>
      </c>
      <c r="BT8" t="s">
        <v>1174</v>
      </c>
      <c r="BU8" t="s">
        <v>848</v>
      </c>
      <c r="BV8">
        <v>29.88</v>
      </c>
      <c r="BW8">
        <v>29.24</v>
      </c>
      <c r="BX8">
        <v>31.83</v>
      </c>
      <c r="BY8">
        <v>15.85</v>
      </c>
      <c r="BZ8">
        <v>15.77</v>
      </c>
      <c r="CA8">
        <v>16.850000000000001</v>
      </c>
      <c r="CB8">
        <v>-5.0599999999999996</v>
      </c>
      <c r="CC8">
        <v>-15.57</v>
      </c>
      <c r="CD8" t="s">
        <v>1906</v>
      </c>
      <c r="CE8" t="s">
        <v>258</v>
      </c>
      <c r="CF8" s="9">
        <v>0.24612159329140462</v>
      </c>
      <c r="CG8" s="10">
        <v>0.38147586554621848</v>
      </c>
      <c r="CH8" s="9">
        <v>0.11267668008804321</v>
      </c>
      <c r="CI8" s="9">
        <v>-4.4379092752933502E-2</v>
      </c>
      <c r="CJ8" s="9">
        <v>0.25183999538421631</v>
      </c>
      <c r="CK8" s="9">
        <v>0.26458007097244263</v>
      </c>
      <c r="CL8" s="9">
        <v>6.0326270759105682E-2</v>
      </c>
      <c r="CM8" s="10">
        <v>0.12086513638496399</v>
      </c>
      <c r="CN8" s="10">
        <v>-0.10503841191530228</v>
      </c>
      <c r="CO8" s="10">
        <v>0.22789235413074493</v>
      </c>
      <c r="CP8" s="10">
        <v>5.4875283241271973</v>
      </c>
      <c r="CQ8" s="10">
        <v>-0.82116788625717163</v>
      </c>
      <c r="CR8">
        <v>17.898253558216815</v>
      </c>
      <c r="CS8">
        <v>1.3873670365513164</v>
      </c>
      <c r="CT8">
        <v>2.9651988636363633</v>
      </c>
      <c r="CU8" s="9">
        <v>0.12900878489017487</v>
      </c>
      <c r="CV8" s="10">
        <v>0.9820159032940865</v>
      </c>
      <c r="CW8">
        <v>0.06</v>
      </c>
      <c r="CX8">
        <v>7.8068875992286761</v>
      </c>
      <c r="CY8">
        <v>3753421658.4462037</v>
      </c>
      <c r="CZ8">
        <v>0.12900878489017487</v>
      </c>
      <c r="DA8">
        <v>2.4686876851721378</v>
      </c>
      <c r="DB8">
        <v>11869683304.211395</v>
      </c>
      <c r="DC8">
        <v>0.12255834564566612</v>
      </c>
      <c r="DD8">
        <v>1.1622487108093418</v>
      </c>
      <c r="DE8">
        <v>25211936763.169155</v>
      </c>
      <c r="DF8">
        <v>0.11352773070335388</v>
      </c>
      <c r="DG8">
        <v>0.66310503112411412</v>
      </c>
      <c r="DH8">
        <v>44189893945.346062</v>
      </c>
      <c r="DI8">
        <v>0.1032070279121399</v>
      </c>
      <c r="DJ8">
        <v>0.30518962304341202</v>
      </c>
      <c r="DK8">
        <v>96014211452.50351</v>
      </c>
      <c r="DL8">
        <v>9.03061494231224E-2</v>
      </c>
      <c r="DM8">
        <v>3524000000</v>
      </c>
      <c r="DN8">
        <v>0.12900878489017487</v>
      </c>
      <c r="DO8">
        <v>29302541000</v>
      </c>
      <c r="DP8">
        <v>3568916100</v>
      </c>
      <c r="DQ8">
        <v>281</v>
      </c>
      <c r="DR8">
        <v>0.11711280840122976</v>
      </c>
      <c r="DS8">
        <v>-0.60054003774786802</v>
      </c>
      <c r="DT8" s="7">
        <v>-0.19000000000000003</v>
      </c>
      <c r="DU8">
        <v>0.6166666666666667</v>
      </c>
      <c r="DV8">
        <v>0.42666666666666664</v>
      </c>
      <c r="DW8">
        <v>-8.3249839434810529</v>
      </c>
      <c r="DX8">
        <v>0.41201230158730212</v>
      </c>
      <c r="DY8">
        <v>-8.0721504332711458</v>
      </c>
      <c r="DZ8">
        <v>826</v>
      </c>
      <c r="EA8">
        <v>-8.0604877604958105</v>
      </c>
      <c r="EB8">
        <v>8</v>
      </c>
      <c r="EC8">
        <v>3.3114437234323509E-2</v>
      </c>
      <c r="ED8">
        <v>0.14915586657842006</v>
      </c>
      <c r="EE8" s="11">
        <v>3.09951</v>
      </c>
      <c r="EF8">
        <v>3.11781</v>
      </c>
      <c r="EG8">
        <v>19.222012301587302</v>
      </c>
      <c r="EH8" t="s">
        <v>1041</v>
      </c>
      <c r="EI8">
        <v>0</v>
      </c>
      <c r="EJ8">
        <v>1</v>
      </c>
      <c r="EK8" s="13">
        <v>45470</v>
      </c>
      <c r="EL8" s="14">
        <v>-0.46</v>
      </c>
      <c r="EM8" s="14">
        <v>1.23</v>
      </c>
      <c r="EN8" s="14">
        <v>0.46</v>
      </c>
      <c r="EO8" s="14">
        <v>0.46</v>
      </c>
      <c r="EP8" s="14">
        <v>-1.83</v>
      </c>
    </row>
    <row r="9" spans="1:146" ht="108" x14ac:dyDescent="0.25">
      <c r="A9" s="6"/>
      <c r="B9" s="6"/>
      <c r="C9" s="6" t="str">
        <f>""&amp;CHAR(10)&amp;Basic_Fundamental_Information_Constructure(F9)&amp;CHAR(10)&amp;Basic_Fundamental_Information_Concatenate("")</f>
        <v xml:space="preserve">
市值36.122359亿, 利润2.29亿; PE28.4; 平均PE3.5; 平均PEG1.34, PB.529; ROIC8.4233%; ROE10.98%; 股利率1.9868%; 毛利21.09%; 净利8.4233%; 上一年度营收增-27.41%, 利润增-41.13%; 当季营收增-34.75%, 利润增-110.17%; 过往5年营收增-2.61%, 利润增-16.13%
Income profile:
</v>
      </c>
      <c r="D9" t="s">
        <v>94</v>
      </c>
      <c r="E9" t="s">
        <v>39</v>
      </c>
      <c r="F9">
        <v>4.53</v>
      </c>
      <c r="G9">
        <v>-0.22</v>
      </c>
      <c r="H9" t="s">
        <v>1907</v>
      </c>
      <c r="I9">
        <v>3612235900</v>
      </c>
      <c r="J9">
        <v>28.4</v>
      </c>
      <c r="K9">
        <v>0.52900000000000003</v>
      </c>
      <c r="L9" t="s">
        <v>53</v>
      </c>
      <c r="M9" t="s">
        <v>1175</v>
      </c>
      <c r="N9" t="s">
        <v>1176</v>
      </c>
      <c r="O9" t="s">
        <v>1177</v>
      </c>
      <c r="P9">
        <v>-34.75</v>
      </c>
      <c r="Q9" t="s">
        <v>1178</v>
      </c>
      <c r="R9">
        <v>-9360870</v>
      </c>
      <c r="S9" s="5">
        <v>-1.1020000000000001</v>
      </c>
      <c r="T9" t="s">
        <v>336</v>
      </c>
      <c r="U9">
        <v>797384160</v>
      </c>
      <c r="V9">
        <v>797403070</v>
      </c>
      <c r="W9">
        <v>1.59</v>
      </c>
      <c r="X9">
        <v>0.08</v>
      </c>
      <c r="Y9">
        <v>-1.44</v>
      </c>
      <c r="Z9" t="s">
        <v>1908</v>
      </c>
      <c r="AA9" t="s">
        <v>1909</v>
      </c>
      <c r="AB9" t="s">
        <v>1910</v>
      </c>
      <c r="AC9" t="s">
        <v>326</v>
      </c>
      <c r="AD9" t="s">
        <v>117</v>
      </c>
      <c r="AE9">
        <v>8590376</v>
      </c>
      <c r="AF9" t="s">
        <v>1179</v>
      </c>
      <c r="AG9" t="s">
        <v>1911</v>
      </c>
      <c r="AH9" t="s">
        <v>1180</v>
      </c>
      <c r="AI9" t="s">
        <v>1912</v>
      </c>
      <c r="AJ9" t="s">
        <v>1181</v>
      </c>
      <c r="AK9" t="s">
        <v>674</v>
      </c>
      <c r="AL9" t="s">
        <v>1182</v>
      </c>
      <c r="AM9" t="s">
        <v>117</v>
      </c>
      <c r="AN9" t="s">
        <v>268</v>
      </c>
      <c r="AO9" t="s">
        <v>1386</v>
      </c>
      <c r="AP9" t="s">
        <v>1913</v>
      </c>
      <c r="AQ9" t="s">
        <v>1914</v>
      </c>
      <c r="AR9" t="s">
        <v>117</v>
      </c>
      <c r="AS9" t="s">
        <v>1915</v>
      </c>
      <c r="AT9" t="s">
        <v>1916</v>
      </c>
      <c r="AU9" t="s">
        <v>1917</v>
      </c>
      <c r="AV9" t="s">
        <v>1918</v>
      </c>
      <c r="AW9" t="s">
        <v>1919</v>
      </c>
      <c r="AX9" t="s">
        <v>994</v>
      </c>
      <c r="AY9" t="s">
        <v>687</v>
      </c>
      <c r="AZ9" t="s">
        <v>329</v>
      </c>
      <c r="BA9" t="s">
        <v>147</v>
      </c>
      <c r="BB9" t="s">
        <v>333</v>
      </c>
      <c r="BC9" t="s">
        <v>677</v>
      </c>
      <c r="BD9" t="s">
        <v>688</v>
      </c>
      <c r="BE9" t="s">
        <v>330</v>
      </c>
      <c r="BF9" t="s">
        <v>148</v>
      </c>
      <c r="BG9" t="s">
        <v>334</v>
      </c>
      <c r="BH9" t="s">
        <v>1178</v>
      </c>
      <c r="BI9" t="s">
        <v>1184</v>
      </c>
      <c r="BJ9" t="s">
        <v>994</v>
      </c>
      <c r="BK9" t="s">
        <v>336</v>
      </c>
      <c r="BL9" t="s">
        <v>1185</v>
      </c>
      <c r="BM9" t="s">
        <v>677</v>
      </c>
      <c r="BN9">
        <v>3.27</v>
      </c>
      <c r="BO9">
        <v>4.24</v>
      </c>
      <c r="BP9">
        <v>17.760000000000002</v>
      </c>
      <c r="BQ9">
        <v>4.29</v>
      </c>
      <c r="BR9">
        <v>5.45</v>
      </c>
      <c r="BS9">
        <v>23.2</v>
      </c>
      <c r="BT9" t="s">
        <v>1186</v>
      </c>
      <c r="BU9" t="s">
        <v>847</v>
      </c>
      <c r="BV9">
        <v>18.43</v>
      </c>
      <c r="BW9">
        <v>17.48</v>
      </c>
      <c r="BX9">
        <v>27.36</v>
      </c>
      <c r="BY9">
        <v>3.85</v>
      </c>
      <c r="BZ9">
        <v>5.18</v>
      </c>
      <c r="CA9">
        <v>16.239999999999998</v>
      </c>
      <c r="CB9">
        <v>-0.22</v>
      </c>
      <c r="CC9">
        <v>-18.53</v>
      </c>
      <c r="CD9" t="s">
        <v>1920</v>
      </c>
      <c r="CE9" t="s">
        <v>1007</v>
      </c>
      <c r="CF9" s="9">
        <v>-0.3474923234390993</v>
      </c>
      <c r="CG9" s="10">
        <v>-1.1017014947426518</v>
      </c>
      <c r="CH9" s="9">
        <v>-0.27406486868858337</v>
      </c>
      <c r="CI9" s="9">
        <v>-0.20577260851860046</v>
      </c>
      <c r="CJ9" s="9">
        <v>0.13376958668231964</v>
      </c>
      <c r="CK9" s="9">
        <v>0.10000002384185791</v>
      </c>
      <c r="CL9" s="9">
        <v>0.11579155176877975</v>
      </c>
      <c r="CM9" s="10">
        <v>-0.41131106019020081</v>
      </c>
      <c r="CN9" s="10">
        <v>-0.75580668449401855</v>
      </c>
      <c r="CO9" s="10">
        <v>7.5624577701091766E-2</v>
      </c>
      <c r="CP9" s="10">
        <v>8.181154727935791E-2</v>
      </c>
      <c r="CQ9" s="10">
        <v>0.20298764109611511</v>
      </c>
      <c r="CR9">
        <v>3.4962760767865788</v>
      </c>
      <c r="CS9">
        <v>1.3418694254164751</v>
      </c>
      <c r="CT9">
        <v>1.9867549668874172</v>
      </c>
      <c r="CU9" s="9">
        <v>-2.6055262982845308E-2</v>
      </c>
      <c r="CV9" s="10">
        <v>-0.16133879572153093</v>
      </c>
      <c r="CW9">
        <v>0.06</v>
      </c>
      <c r="CX9" t="s">
        <v>807</v>
      </c>
      <c r="CY9" t="s">
        <v>1097</v>
      </c>
      <c r="CZ9">
        <v>-2.6055262982845308E-2</v>
      </c>
      <c r="DA9" t="s">
        <v>807</v>
      </c>
      <c r="DB9" t="s">
        <v>1187</v>
      </c>
      <c r="DC9">
        <v>-2.4752499833703041E-2</v>
      </c>
      <c r="DD9" t="s">
        <v>807</v>
      </c>
      <c r="DE9" t="s">
        <v>1188</v>
      </c>
      <c r="DF9">
        <v>-2.292863142490387E-2</v>
      </c>
      <c r="DG9" t="s">
        <v>807</v>
      </c>
      <c r="DH9" t="s">
        <v>1189</v>
      </c>
      <c r="DI9">
        <v>-2.0844210386276249E-2</v>
      </c>
      <c r="DJ9" t="s">
        <v>807</v>
      </c>
      <c r="DK9" t="s">
        <v>1190</v>
      </c>
      <c r="DL9">
        <v>-1.8238684087991713E-2</v>
      </c>
      <c r="DM9">
        <v>229000000</v>
      </c>
      <c r="DN9">
        <v>-2.6055262982845308E-2</v>
      </c>
      <c r="DO9">
        <v>-163764100</v>
      </c>
      <c r="DP9">
        <v>3582126900</v>
      </c>
      <c r="DQ9">
        <v>283</v>
      </c>
      <c r="DR9">
        <v>-0.32143706045625398</v>
      </c>
      <c r="DS9">
        <v>-0.94036269902112091</v>
      </c>
      <c r="DT9" s="7">
        <v>-0.75666666666666671</v>
      </c>
      <c r="DU9">
        <v>-1.2649999999999999</v>
      </c>
      <c r="DV9">
        <v>-2.0216666666666665</v>
      </c>
      <c r="DW9">
        <v>-3.0286130952380952</v>
      </c>
      <c r="DX9">
        <v>0.34191333333333329</v>
      </c>
      <c r="DY9">
        <v>-3.0037744487698412</v>
      </c>
      <c r="DZ9">
        <v>4400</v>
      </c>
      <c r="EA9">
        <v>-3.0005244341735002</v>
      </c>
      <c r="EB9">
        <v>3</v>
      </c>
      <c r="EC9">
        <v>2.9777161505034084E-2</v>
      </c>
      <c r="ED9">
        <v>0.22573276523753538</v>
      </c>
      <c r="EE9" s="11">
        <v>-1.1211</v>
      </c>
      <c r="EF9">
        <v>-1.1038000000000001</v>
      </c>
      <c r="EG9">
        <v>21.131913333333333</v>
      </c>
      <c r="EH9" t="s">
        <v>808</v>
      </c>
      <c r="EI9">
        <v>0</v>
      </c>
      <c r="EJ9">
        <v>0</v>
      </c>
      <c r="EK9" s="13">
        <v>45470</v>
      </c>
      <c r="EL9" s="14">
        <v>3.54</v>
      </c>
      <c r="EM9" s="14">
        <v>-4.91</v>
      </c>
      <c r="EN9" s="14">
        <v>1.35</v>
      </c>
      <c r="EO9" s="14">
        <v>2.44</v>
      </c>
      <c r="EP9" s="14">
        <v>-1.73</v>
      </c>
    </row>
    <row r="10" spans="1:146" ht="108" x14ac:dyDescent="0.25">
      <c r="A10" s="6"/>
      <c r="B10" s="6"/>
      <c r="C10" s="6" t="str">
        <f>""&amp;CHAR(10)&amp;Basic_Fundamental_Information_Constructure(F10)&amp;CHAR(10)&amp;Basic_Fundamental_Information_Concatenate("")</f>
        <v xml:space="preserve">
市值471.2902亿, 利润19.65亿; PE37.02; 平均PE8.1; 平均PEG.03, PB.573; ROIC4.48%; ROE7.2633%; 股利率2.0956%; 毛利19.0633%; 净利4.8267%; 上一年度营收增-19.01%, 利润增-56.74%; 当季营收增-26.94%, 利润增-56.23%; 过往5年营收增311.94%, 利润增120.36%
Income profile:
</v>
      </c>
      <c r="D10" t="s">
        <v>97</v>
      </c>
      <c r="E10" t="s">
        <v>36</v>
      </c>
      <c r="F10">
        <v>5.44</v>
      </c>
      <c r="G10">
        <v>0.18</v>
      </c>
      <c r="H10" t="s">
        <v>1921</v>
      </c>
      <c r="I10">
        <v>47129020000</v>
      </c>
      <c r="J10">
        <v>37.020000000000003</v>
      </c>
      <c r="K10">
        <v>0.57299999999999995</v>
      </c>
      <c r="L10" t="s">
        <v>53</v>
      </c>
      <c r="M10" t="s">
        <v>1191</v>
      </c>
      <c r="N10" t="s">
        <v>1922</v>
      </c>
      <c r="O10" t="s">
        <v>1192</v>
      </c>
      <c r="P10">
        <v>-26.94</v>
      </c>
      <c r="Q10" t="s">
        <v>1193</v>
      </c>
      <c r="R10">
        <v>-1923243300</v>
      </c>
      <c r="S10" s="5">
        <v>-0.56210000000000004</v>
      </c>
      <c r="T10" t="s">
        <v>1194</v>
      </c>
      <c r="U10">
        <v>1822140600</v>
      </c>
      <c r="V10">
        <v>8663422800</v>
      </c>
      <c r="W10">
        <v>3.02</v>
      </c>
      <c r="X10">
        <v>0.05</v>
      </c>
      <c r="Y10">
        <v>-13.15</v>
      </c>
      <c r="Z10" t="s">
        <v>1923</v>
      </c>
      <c r="AA10" t="s">
        <v>1924</v>
      </c>
      <c r="AB10" t="s">
        <v>1925</v>
      </c>
      <c r="AC10" t="s">
        <v>372</v>
      </c>
      <c r="AD10" t="s">
        <v>117</v>
      </c>
      <c r="AE10">
        <v>848590330</v>
      </c>
      <c r="AF10" t="s">
        <v>1195</v>
      </c>
      <c r="AG10" t="s">
        <v>1926</v>
      </c>
      <c r="AH10" t="s">
        <v>1197</v>
      </c>
      <c r="AI10" t="s">
        <v>1927</v>
      </c>
      <c r="AJ10" t="s">
        <v>1198</v>
      </c>
      <c r="AK10" t="s">
        <v>1928</v>
      </c>
      <c r="AL10" t="s">
        <v>1199</v>
      </c>
      <c r="AM10" t="s">
        <v>117</v>
      </c>
      <c r="AN10" t="s">
        <v>1929</v>
      </c>
      <c r="AO10" t="s">
        <v>1930</v>
      </c>
      <c r="AP10" t="s">
        <v>1931</v>
      </c>
      <c r="AQ10" t="s">
        <v>1932</v>
      </c>
      <c r="AR10" t="s">
        <v>117</v>
      </c>
      <c r="AS10" t="s">
        <v>1933</v>
      </c>
      <c r="AT10" t="s">
        <v>1934</v>
      </c>
      <c r="AU10" t="s">
        <v>1935</v>
      </c>
      <c r="AV10" t="s">
        <v>1936</v>
      </c>
      <c r="AW10" t="s">
        <v>1937</v>
      </c>
      <c r="AX10" t="s">
        <v>996</v>
      </c>
      <c r="AY10" t="s">
        <v>998</v>
      </c>
      <c r="AZ10" t="s">
        <v>689</v>
      </c>
      <c r="BA10" t="s">
        <v>152</v>
      </c>
      <c r="BB10" t="s">
        <v>340</v>
      </c>
      <c r="BC10" t="s">
        <v>997</v>
      </c>
      <c r="BD10" t="s">
        <v>999</v>
      </c>
      <c r="BE10" t="s">
        <v>690</v>
      </c>
      <c r="BF10" t="s">
        <v>153</v>
      </c>
      <c r="BG10" t="s">
        <v>341</v>
      </c>
      <c r="BH10" t="s">
        <v>1193</v>
      </c>
      <c r="BI10" t="s">
        <v>1200</v>
      </c>
      <c r="BJ10" t="s">
        <v>996</v>
      </c>
      <c r="BK10" t="s">
        <v>1194</v>
      </c>
      <c r="BL10" t="s">
        <v>1201</v>
      </c>
      <c r="BM10" t="s">
        <v>997</v>
      </c>
      <c r="BN10">
        <v>-1.68</v>
      </c>
      <c r="BO10">
        <v>4.6399999999999997</v>
      </c>
      <c r="BP10">
        <v>10.48</v>
      </c>
      <c r="BQ10">
        <v>0.06</v>
      </c>
      <c r="BR10">
        <v>5.65</v>
      </c>
      <c r="BS10">
        <v>16.079999999999998</v>
      </c>
      <c r="BT10" t="s">
        <v>1202</v>
      </c>
      <c r="BU10" t="s">
        <v>847</v>
      </c>
      <c r="BV10">
        <v>16.190000000000001</v>
      </c>
      <c r="BW10">
        <v>16.059999999999999</v>
      </c>
      <c r="BX10">
        <v>24.94</v>
      </c>
      <c r="BY10">
        <v>1.87</v>
      </c>
      <c r="BZ10">
        <v>3.83</v>
      </c>
      <c r="CA10">
        <v>8.7799999999999994</v>
      </c>
      <c r="CB10">
        <v>0.74</v>
      </c>
      <c r="CC10">
        <v>-10.91</v>
      </c>
      <c r="CD10" t="s">
        <v>1938</v>
      </c>
      <c r="CE10" t="s">
        <v>1331</v>
      </c>
      <c r="CF10" s="9">
        <v>-0.26935966754546675</v>
      </c>
      <c r="CG10" s="10">
        <v>-0.56234224207961003</v>
      </c>
      <c r="CH10" s="9">
        <v>-0.19008003175258636</v>
      </c>
      <c r="CI10" s="9">
        <v>-0.22024939954280853</v>
      </c>
      <c r="CJ10" s="9">
        <v>4.8603437840938568E-2</v>
      </c>
      <c r="CK10" s="9">
        <v>15.737096786499023</v>
      </c>
      <c r="CL10" s="9">
        <v>0.22138184309005737</v>
      </c>
      <c r="CM10" s="10">
        <v>-0.56737124919891357</v>
      </c>
      <c r="CN10" s="10">
        <v>-0.63802993297576904</v>
      </c>
      <c r="CO10" s="10">
        <v>-3.387746587395668E-2</v>
      </c>
      <c r="CP10" s="10">
        <v>6.938875675201416</v>
      </c>
      <c r="CQ10" s="10">
        <v>0.31829175353050232</v>
      </c>
      <c r="CR10">
        <v>8.0977697594501716</v>
      </c>
      <c r="CS10">
        <v>2.5959794158334035E-2</v>
      </c>
      <c r="CT10">
        <v>2.0955882352941173</v>
      </c>
      <c r="CU10" s="9">
        <v>3.1193505272269251</v>
      </c>
      <c r="CV10" s="10">
        <v>1.2035777561366559</v>
      </c>
      <c r="CW10">
        <v>0.06</v>
      </c>
      <c r="CX10">
        <v>18.553516571256782</v>
      </c>
      <c r="CY10">
        <v>7636343194.3404779</v>
      </c>
      <c r="CZ10">
        <v>3.1193505272269251</v>
      </c>
      <c r="DA10">
        <v>1.0301382475482985</v>
      </c>
      <c r="DB10">
        <v>137535928150.61185</v>
      </c>
      <c r="DC10">
        <v>2.9633830008655786</v>
      </c>
      <c r="DD10">
        <v>2.6593206314820837E-2</v>
      </c>
      <c r="DE10">
        <v>5327714842758.1221</v>
      </c>
      <c r="DF10">
        <v>2.7450284639596942</v>
      </c>
      <c r="DG10">
        <v>3.3038449510883514E-4</v>
      </c>
      <c r="DH10">
        <v>428836770785286.06</v>
      </c>
      <c r="DI10">
        <v>2.4954804217815401</v>
      </c>
      <c r="DJ10">
        <v>1.3489506373051973E-8</v>
      </c>
      <c r="DK10">
        <v>1.0503054454463701E+19</v>
      </c>
      <c r="DL10">
        <v>2.1835453690588476</v>
      </c>
      <c r="DM10">
        <v>1964999999.9999998</v>
      </c>
      <c r="DN10">
        <v>3.1193505272269251</v>
      </c>
      <c r="DO10">
        <v>141681020000</v>
      </c>
      <c r="DP10">
        <v>-40411753000</v>
      </c>
      <c r="DQ10">
        <v>337</v>
      </c>
      <c r="DR10">
        <v>-3.3887101947723917</v>
      </c>
      <c r="DS10">
        <v>-1.7659199982162659</v>
      </c>
      <c r="DT10" s="7">
        <v>-0.23833333333333342</v>
      </c>
      <c r="DU10">
        <v>-0.64166666666666672</v>
      </c>
      <c r="DV10">
        <v>-0.88000000000000012</v>
      </c>
      <c r="DW10">
        <v>-2.1091000000000002</v>
      </c>
      <c r="DX10">
        <v>0.25387336244541447</v>
      </c>
      <c r="DY10">
        <v>-2.0102415838427947</v>
      </c>
      <c r="DZ10">
        <v>3439</v>
      </c>
      <c r="EA10">
        <v>-2.0033490580433093</v>
      </c>
      <c r="EB10">
        <v>2</v>
      </c>
      <c r="EC10">
        <v>4.9627036556498198E-3</v>
      </c>
      <c r="ED10">
        <v>5.2865941161269421E-2</v>
      </c>
      <c r="EE10" s="11">
        <v>1.0528999999999999</v>
      </c>
      <c r="EF10">
        <v>1.0346</v>
      </c>
      <c r="EG10">
        <v>16.093873362445414</v>
      </c>
      <c r="EH10" t="s">
        <v>986</v>
      </c>
      <c r="EI10">
        <v>0</v>
      </c>
      <c r="EJ10">
        <v>0</v>
      </c>
      <c r="EK10" s="13">
        <v>45470</v>
      </c>
      <c r="EL10" s="14">
        <v>6.69</v>
      </c>
      <c r="EM10" s="14">
        <v>1.66</v>
      </c>
      <c r="EN10" s="14">
        <v>1.27</v>
      </c>
      <c r="EO10" s="14">
        <v>-1.97</v>
      </c>
      <c r="EP10" s="14">
        <v>-1.83</v>
      </c>
    </row>
    <row r="11" spans="1:146" ht="108" x14ac:dyDescent="0.25">
      <c r="A11" s="6"/>
      <c r="B11" s="6"/>
      <c r="C11" s="6" t="str">
        <f>""&amp;CHAR(10)&amp;Basic_Fundamental_Information_Constructure(F11)&amp;CHAR(10)&amp;Basic_Fundamental_Information_Concatenate("")</f>
        <v xml:space="preserve">
市值92.37628亿, 利润9.85亿; PE11.81; 平均PE10.84; 平均PEG1.27, PB1.24; ROIC13.37%; ROE13.72%; 股利率2.8149%; 毛利47.0933%; 净利76.2067%; 上一年度营收增-.08%, 利润增19.39%; 当季营收增-8.58%, 利润增-95.89%; 过往5年营收增-8.53%, 利润增8.15%
Income profile:
</v>
      </c>
      <c r="D11" t="s">
        <v>78</v>
      </c>
      <c r="E11" t="s">
        <v>23</v>
      </c>
      <c r="F11">
        <v>12.1</v>
      </c>
      <c r="G11">
        <v>1</v>
      </c>
      <c r="H11" t="s">
        <v>1939</v>
      </c>
      <c r="I11">
        <v>9237628000</v>
      </c>
      <c r="J11">
        <v>11.81</v>
      </c>
      <c r="K11">
        <v>1.24</v>
      </c>
      <c r="L11" t="s">
        <v>53</v>
      </c>
      <c r="M11" t="s">
        <v>806</v>
      </c>
      <c r="N11" t="s">
        <v>1940</v>
      </c>
      <c r="O11" t="s">
        <v>454</v>
      </c>
      <c r="P11">
        <v>-8.68</v>
      </c>
      <c r="Q11" t="s">
        <v>1203</v>
      </c>
      <c r="R11">
        <v>8723137</v>
      </c>
      <c r="S11" s="5">
        <v>-0.95879999999999999</v>
      </c>
      <c r="T11" t="s">
        <v>1204</v>
      </c>
      <c r="U11">
        <v>763440330</v>
      </c>
      <c r="V11">
        <v>763440330</v>
      </c>
      <c r="W11">
        <v>1.0900000000000001</v>
      </c>
      <c r="X11">
        <v>0.03</v>
      </c>
      <c r="Y11">
        <v>3.88</v>
      </c>
      <c r="Z11" t="s">
        <v>248</v>
      </c>
      <c r="AA11" t="s">
        <v>238</v>
      </c>
      <c r="AB11" t="s">
        <v>1941</v>
      </c>
      <c r="AC11" t="s">
        <v>1942</v>
      </c>
      <c r="AD11" t="s">
        <v>117</v>
      </c>
      <c r="AE11">
        <v>-409219</v>
      </c>
      <c r="AF11" t="s">
        <v>1207</v>
      </c>
      <c r="AG11" t="s">
        <v>1943</v>
      </c>
      <c r="AH11" t="s">
        <v>1208</v>
      </c>
      <c r="AI11" t="s">
        <v>1944</v>
      </c>
      <c r="AJ11" t="s">
        <v>1209</v>
      </c>
      <c r="AK11" t="s">
        <v>1945</v>
      </c>
      <c r="AL11" t="s">
        <v>1210</v>
      </c>
      <c r="AM11" t="s">
        <v>117</v>
      </c>
      <c r="AN11" t="s">
        <v>1946</v>
      </c>
      <c r="AO11" t="s">
        <v>1211</v>
      </c>
      <c r="AP11" t="s">
        <v>116</v>
      </c>
      <c r="AQ11" t="s">
        <v>1947</v>
      </c>
      <c r="AR11" t="s">
        <v>117</v>
      </c>
      <c r="AS11" t="s">
        <v>554</v>
      </c>
      <c r="AT11" t="s">
        <v>117</v>
      </c>
      <c r="AU11" t="s">
        <v>1948</v>
      </c>
      <c r="AV11" t="s">
        <v>1682</v>
      </c>
      <c r="AW11" t="s">
        <v>1949</v>
      </c>
      <c r="AX11" t="s">
        <v>1000</v>
      </c>
      <c r="AY11" t="s">
        <v>691</v>
      </c>
      <c r="AZ11" t="s">
        <v>342</v>
      </c>
      <c r="BA11" t="s">
        <v>155</v>
      </c>
      <c r="BB11" t="s">
        <v>344</v>
      </c>
      <c r="BC11" t="s">
        <v>230</v>
      </c>
      <c r="BD11" t="s">
        <v>692</v>
      </c>
      <c r="BE11" t="s">
        <v>343</v>
      </c>
      <c r="BF11" t="s">
        <v>156</v>
      </c>
      <c r="BG11" t="s">
        <v>345</v>
      </c>
      <c r="BH11" t="s">
        <v>1203</v>
      </c>
      <c r="BI11" t="s">
        <v>201</v>
      </c>
      <c r="BJ11" t="s">
        <v>1000</v>
      </c>
      <c r="BK11" t="s">
        <v>1204</v>
      </c>
      <c r="BL11" t="s">
        <v>934</v>
      </c>
      <c r="BM11" t="s">
        <v>230</v>
      </c>
      <c r="BN11">
        <v>9.66</v>
      </c>
      <c r="BO11">
        <v>13.11</v>
      </c>
      <c r="BP11">
        <v>17.34</v>
      </c>
      <c r="BQ11">
        <v>9.7799999999999994</v>
      </c>
      <c r="BR11">
        <v>13.37</v>
      </c>
      <c r="BS11">
        <v>18.010000000000002</v>
      </c>
      <c r="BT11" t="s">
        <v>1950</v>
      </c>
      <c r="BU11" t="s">
        <v>847</v>
      </c>
      <c r="BV11">
        <v>50.77</v>
      </c>
      <c r="BW11">
        <v>41.99</v>
      </c>
      <c r="BX11">
        <v>48.52</v>
      </c>
      <c r="BY11">
        <v>80.58</v>
      </c>
      <c r="BZ11">
        <v>67.52</v>
      </c>
      <c r="CA11">
        <v>80.52</v>
      </c>
      <c r="CB11">
        <v>0.75</v>
      </c>
      <c r="CC11">
        <v>-13.81</v>
      </c>
      <c r="CD11" t="s">
        <v>1951</v>
      </c>
      <c r="CE11" t="s">
        <v>1952</v>
      </c>
      <c r="CF11" s="9">
        <v>-8.5836909871244635E-2</v>
      </c>
      <c r="CG11" s="10">
        <v>-0.9588531273584906</v>
      </c>
      <c r="CH11" s="9">
        <v>-8.1961968680843711E-4</v>
      </c>
      <c r="CI11" s="9">
        <v>-3.2679738942533731E-3</v>
      </c>
      <c r="CJ11" s="9">
        <v>-0.16904273629188538</v>
      </c>
      <c r="CK11" s="9">
        <v>-0.18618787825107574</v>
      </c>
      <c r="CL11" s="9">
        <v>-6.7010305821895599E-2</v>
      </c>
      <c r="CM11" s="10">
        <v>0.19393938779830933</v>
      </c>
      <c r="CN11" s="10">
        <v>-0.16582407057285309</v>
      </c>
      <c r="CO11" s="10">
        <v>0.11248593777418137</v>
      </c>
      <c r="CP11" s="10">
        <v>0.21947874128818512</v>
      </c>
      <c r="CQ11" s="10">
        <v>4.7413792461156845E-2</v>
      </c>
      <c r="CR11">
        <v>10.84016585175044</v>
      </c>
      <c r="CS11">
        <v>1.2713395300983268</v>
      </c>
      <c r="CT11">
        <v>2.8148983471074382</v>
      </c>
      <c r="CU11" s="9">
        <v>-8.5265702789183703E-2</v>
      </c>
      <c r="CV11" s="10">
        <v>8.1498757749795911E-2</v>
      </c>
      <c r="CW11">
        <v>0.06</v>
      </c>
      <c r="CX11">
        <v>2.5448</v>
      </c>
      <c r="CY11" t="s">
        <v>1213</v>
      </c>
      <c r="CZ11">
        <v>-8.5265702789183703E-2</v>
      </c>
      <c r="DA11">
        <v>0.84826666666666661</v>
      </c>
      <c r="DB11" t="s">
        <v>1214</v>
      </c>
      <c r="DC11">
        <v>-8.1002417649724517E-2</v>
      </c>
      <c r="DD11">
        <v>0.42413333333333331</v>
      </c>
      <c r="DE11" t="s">
        <v>1215</v>
      </c>
      <c r="DF11">
        <v>-7.5033818454481663E-2</v>
      </c>
      <c r="DG11">
        <v>0.25447999999999998</v>
      </c>
      <c r="DH11" t="s">
        <v>1216</v>
      </c>
      <c r="DI11">
        <v>-6.821256223134696E-2</v>
      </c>
      <c r="DJ11">
        <v>0.12723999999999999</v>
      </c>
      <c r="DK11" t="s">
        <v>1217</v>
      </c>
      <c r="DL11">
        <v>-5.9685991952428588E-2</v>
      </c>
      <c r="DM11">
        <v>985000000</v>
      </c>
      <c r="DN11">
        <v>-8.5265702789183703E-2</v>
      </c>
      <c r="DO11">
        <v>2506628000</v>
      </c>
      <c r="DP11">
        <v>1015851100</v>
      </c>
      <c r="DQ11">
        <v>383</v>
      </c>
      <c r="DR11">
        <v>-5.7120708206093163E-4</v>
      </c>
      <c r="DS11">
        <v>-1.0403518851082865</v>
      </c>
      <c r="DT11" s="7">
        <v>-0.69</v>
      </c>
      <c r="DU11">
        <v>-0.3066666666666667</v>
      </c>
      <c r="DV11">
        <v>-0.99666666666666659</v>
      </c>
      <c r="DW11">
        <v>-2.1381000000000001</v>
      </c>
      <c r="DX11">
        <v>0.27303779747463952</v>
      </c>
      <c r="DY11">
        <v>-2.0156105198312479</v>
      </c>
      <c r="DZ11">
        <v>3560</v>
      </c>
      <c r="EA11">
        <v>-2.0047350891856035</v>
      </c>
      <c r="EB11">
        <v>2</v>
      </c>
      <c r="EC11">
        <v>1.2001199884213609E-2</v>
      </c>
      <c r="ED11">
        <v>0.10616979063707573</v>
      </c>
      <c r="EE11" s="11">
        <v>1.0024999999999999</v>
      </c>
      <c r="EF11">
        <v>1.0155099999999999</v>
      </c>
      <c r="EG11">
        <v>16.113037797474639</v>
      </c>
      <c r="EH11" t="s">
        <v>1008</v>
      </c>
      <c r="EI11">
        <v>0</v>
      </c>
      <c r="EJ11">
        <v>0</v>
      </c>
      <c r="EK11" s="13">
        <v>45470</v>
      </c>
      <c r="EL11" s="14">
        <v>-0.95</v>
      </c>
      <c r="EM11" s="14">
        <v>-2.8</v>
      </c>
      <c r="EN11" s="14">
        <v>0.08</v>
      </c>
      <c r="EO11" s="14">
        <v>0.66</v>
      </c>
      <c r="EP11" s="14">
        <v>-1.8</v>
      </c>
    </row>
    <row r="12" spans="1:146" ht="108" x14ac:dyDescent="0.25">
      <c r="A12" s="6"/>
      <c r="B12" s="6"/>
      <c r="C12" s="6" t="str">
        <f>""&amp;CHAR(10)&amp;Basic_Fundamental_Information_Constructure(F12)&amp;CHAR(10)&amp;Basic_Fundamental_Information_Concatenate("")</f>
        <v xml:space="preserve">
市值22.691189亿, 利润7944.37万; PE29.87; 平均PE21.31; 平均PEG4.29, PB1.52; ROIC7.2733%; ROE8.8333%; 股利率.7792%; 毛利24.0433%; 净利14.6567%; 上一年度营收增5.02%, 利润增-7.74%; 当季营收增-3.6%, 利润增-19.27%; 过往5年营收增4.96%, 利润增1.65%
Income profile:
</v>
      </c>
      <c r="D12" t="s">
        <v>611</v>
      </c>
      <c r="E12" t="s">
        <v>612</v>
      </c>
      <c r="F12">
        <v>19.25</v>
      </c>
      <c r="G12">
        <v>1.1599999999999999</v>
      </c>
      <c r="H12" t="s">
        <v>1953</v>
      </c>
      <c r="I12">
        <v>2269118900</v>
      </c>
      <c r="J12">
        <v>29.87</v>
      </c>
      <c r="K12">
        <v>1.52</v>
      </c>
      <c r="L12" t="s">
        <v>53</v>
      </c>
      <c r="M12" t="s">
        <v>1218</v>
      </c>
      <c r="N12" t="s">
        <v>1954</v>
      </c>
      <c r="O12" t="s">
        <v>314</v>
      </c>
      <c r="P12">
        <v>-4.13</v>
      </c>
      <c r="Q12" t="s">
        <v>1014</v>
      </c>
      <c r="R12">
        <v>14526306</v>
      </c>
      <c r="S12" s="5">
        <v>-0.19270000000000001</v>
      </c>
      <c r="T12" t="s">
        <v>1219</v>
      </c>
      <c r="U12">
        <v>54821432</v>
      </c>
      <c r="V12">
        <v>117876307</v>
      </c>
      <c r="W12">
        <v>1.36</v>
      </c>
      <c r="X12">
        <v>0.06</v>
      </c>
      <c r="Y12">
        <v>10.87</v>
      </c>
      <c r="Z12" t="s">
        <v>125</v>
      </c>
      <c r="AA12" t="s">
        <v>221</v>
      </c>
      <c r="AB12" t="s">
        <v>1955</v>
      </c>
      <c r="AC12" t="s">
        <v>1956</v>
      </c>
      <c r="AD12" t="s">
        <v>117</v>
      </c>
      <c r="AE12">
        <v>-1537640</v>
      </c>
      <c r="AF12" t="s">
        <v>1220</v>
      </c>
      <c r="AG12" t="s">
        <v>1957</v>
      </c>
      <c r="AH12" t="s">
        <v>1221</v>
      </c>
      <c r="AI12" t="s">
        <v>421</v>
      </c>
      <c r="AJ12" t="s">
        <v>1222</v>
      </c>
      <c r="AK12" t="s">
        <v>1958</v>
      </c>
      <c r="AL12" t="s">
        <v>1223</v>
      </c>
      <c r="AM12" t="s">
        <v>117</v>
      </c>
      <c r="AN12" t="s">
        <v>813</v>
      </c>
      <c r="AO12" t="s">
        <v>117</v>
      </c>
      <c r="AP12" t="s">
        <v>117</v>
      </c>
      <c r="AQ12" t="s">
        <v>1959</v>
      </c>
      <c r="AR12" t="s">
        <v>117</v>
      </c>
      <c r="AS12" t="s">
        <v>969</v>
      </c>
      <c r="AT12" t="s">
        <v>1224</v>
      </c>
      <c r="AU12" t="s">
        <v>1960</v>
      </c>
      <c r="AV12" t="s">
        <v>1095</v>
      </c>
      <c r="AW12" t="s">
        <v>1961</v>
      </c>
      <c r="AX12" t="s">
        <v>644</v>
      </c>
      <c r="AY12" t="s">
        <v>172</v>
      </c>
      <c r="AZ12" t="s">
        <v>613</v>
      </c>
      <c r="BA12" t="s">
        <v>610</v>
      </c>
      <c r="BB12" t="s">
        <v>363</v>
      </c>
      <c r="BC12" t="s">
        <v>1002</v>
      </c>
      <c r="BD12" t="s">
        <v>331</v>
      </c>
      <c r="BE12" t="s">
        <v>354</v>
      </c>
      <c r="BF12" t="s">
        <v>305</v>
      </c>
      <c r="BG12" t="s">
        <v>614</v>
      </c>
      <c r="BH12" t="s">
        <v>1014</v>
      </c>
      <c r="BI12" t="s">
        <v>185</v>
      </c>
      <c r="BJ12" t="s">
        <v>644</v>
      </c>
      <c r="BK12" t="s">
        <v>1219</v>
      </c>
      <c r="BL12" t="s">
        <v>1226</v>
      </c>
      <c r="BM12" t="s">
        <v>1002</v>
      </c>
      <c r="BN12">
        <v>2.92</v>
      </c>
      <c r="BO12">
        <v>5.26</v>
      </c>
      <c r="BP12">
        <v>13.64</v>
      </c>
      <c r="BQ12">
        <v>4.37</v>
      </c>
      <c r="BR12">
        <v>6.22</v>
      </c>
      <c r="BS12">
        <v>15.91</v>
      </c>
      <c r="BT12" t="s">
        <v>949</v>
      </c>
      <c r="BU12" t="s">
        <v>848</v>
      </c>
      <c r="BV12">
        <v>19.93</v>
      </c>
      <c r="BW12">
        <v>22.77</v>
      </c>
      <c r="BX12">
        <v>29.43</v>
      </c>
      <c r="BY12">
        <v>11.36</v>
      </c>
      <c r="BZ12">
        <v>13.12</v>
      </c>
      <c r="CA12">
        <v>19.489999999999998</v>
      </c>
      <c r="CB12">
        <v>-5.17</v>
      </c>
      <c r="CC12">
        <v>-28.57</v>
      </c>
      <c r="CD12" t="s">
        <v>1962</v>
      </c>
      <c r="CE12" t="s">
        <v>1963</v>
      </c>
      <c r="CF12" s="9">
        <v>-3.5971223021582628E-2</v>
      </c>
      <c r="CG12" s="10">
        <v>-0.19267352485119296</v>
      </c>
      <c r="CH12" s="9">
        <v>5.0228308886289597E-2</v>
      </c>
      <c r="CI12" s="9">
        <v>-9.3793101608753204E-2</v>
      </c>
      <c r="CJ12" s="9">
        <v>0.30630630254745483</v>
      </c>
      <c r="CK12" s="9">
        <v>4.9149338155984879E-2</v>
      </c>
      <c r="CL12" s="9">
        <v>-6.3716813921928406E-2</v>
      </c>
      <c r="CM12" s="10">
        <v>-7.7389396727085114E-2</v>
      </c>
      <c r="CN12" s="10">
        <v>-0.38930848240852356</v>
      </c>
      <c r="CO12" s="10">
        <v>2.9197080060839653E-2</v>
      </c>
      <c r="CP12" s="10">
        <v>0.25688073039054871</v>
      </c>
      <c r="CQ12" s="10">
        <v>0.26319259405136108</v>
      </c>
      <c r="CR12">
        <v>21.311600313380257</v>
      </c>
      <c r="CS12">
        <v>4.2936805202412147</v>
      </c>
      <c r="CT12">
        <v>0.77922077922077926</v>
      </c>
      <c r="CU12" s="9">
        <v>4.963480681180954E-2</v>
      </c>
      <c r="CV12" s="10">
        <v>1.6514505073428155E-2</v>
      </c>
      <c r="CW12">
        <v>0.06</v>
      </c>
      <c r="CX12">
        <v>15.306558366358818</v>
      </c>
      <c r="CY12">
        <v>78666861.039542779</v>
      </c>
      <c r="CZ12">
        <v>4.963480681180954E-2</v>
      </c>
      <c r="DA12">
        <v>5.1767658749162964</v>
      </c>
      <c r="DB12">
        <v>232600609.93572932</v>
      </c>
      <c r="DC12">
        <v>4.7153066471219057E-2</v>
      </c>
      <c r="DD12">
        <v>2.666201263508813</v>
      </c>
      <c r="DE12">
        <v>451623407.61002338</v>
      </c>
      <c r="DF12">
        <v>4.3678629994392398E-2</v>
      </c>
      <c r="DG12">
        <v>1.6831033857920392</v>
      </c>
      <c r="DH12">
        <v>715415886.01425254</v>
      </c>
      <c r="DI12">
        <v>3.9707845449447637E-2</v>
      </c>
      <c r="DJ12">
        <v>0.96683822726705004</v>
      </c>
      <c r="DK12">
        <v>1245419208.758086</v>
      </c>
      <c r="DL12">
        <v>3.4744364768266672E-2</v>
      </c>
      <c r="DM12">
        <v>79443700</v>
      </c>
      <c r="DN12">
        <v>4.963480681180954E-2</v>
      </c>
      <c r="DO12">
        <v>1204118900</v>
      </c>
      <c r="DP12">
        <v>1257448800</v>
      </c>
      <c r="DQ12">
        <v>438</v>
      </c>
      <c r="DR12">
        <v>-8.5606029833392161E-2</v>
      </c>
      <c r="DS12">
        <v>-0.20918802992462113</v>
      </c>
      <c r="DT12" s="7">
        <v>-0.3066666666666667</v>
      </c>
      <c r="DU12">
        <v>-0.15333333333333338</v>
      </c>
      <c r="DV12">
        <v>-0.46000000000000008</v>
      </c>
      <c r="DW12">
        <v>-8.1809590479523973</v>
      </c>
      <c r="DX12">
        <v>0.35883598695176344</v>
      </c>
      <c r="DY12">
        <v>-8.0233140375407981</v>
      </c>
      <c r="DZ12">
        <v>2816</v>
      </c>
      <c r="EA12">
        <v>-8.0104662235065742</v>
      </c>
      <c r="EB12">
        <v>8</v>
      </c>
      <c r="EC12">
        <v>3.2064967898934947E-2</v>
      </c>
      <c r="ED12">
        <v>0.24888207602228327</v>
      </c>
      <c r="EE12" s="11">
        <v>1.0304</v>
      </c>
      <c r="EF12">
        <v>1.0131000000000001</v>
      </c>
      <c r="EG12">
        <v>23.128835986951763</v>
      </c>
      <c r="EH12" t="s">
        <v>986</v>
      </c>
      <c r="EI12">
        <v>0</v>
      </c>
      <c r="EJ12">
        <v>0</v>
      </c>
      <c r="EK12" s="13">
        <v>45470</v>
      </c>
      <c r="EL12" s="14">
        <v>0.72</v>
      </c>
      <c r="EM12" s="14">
        <v>-4.88</v>
      </c>
      <c r="EN12" s="14">
        <v>-0.45</v>
      </c>
      <c r="EO12" s="14">
        <v>3.95</v>
      </c>
      <c r="EP12" s="14">
        <v>-1.73</v>
      </c>
    </row>
    <row r="13" spans="1:146" ht="108" x14ac:dyDescent="0.25">
      <c r="A13" s="6"/>
      <c r="B13" s="6"/>
      <c r="C13" s="6" t="str">
        <f>""&amp;CHAR(10)&amp;Basic_Fundamental_Information_Constructure(F13)&amp;CHAR(10)&amp;Basic_Fundamental_Information_Concatenate("")</f>
        <v xml:space="preserve">
市值21.107302亿, 利润1.36亿; PE14.52; 平均PE20.4; 平均PEG3.25, PB1.23; ROIC5.7233%; ROE6.57%; 股利率2.8349%; 毛利22.5667%; 净利10.4733%; 上一年度营收增6.55%, 利润增89.1%; 当季营收增9.04%, 利润增51.3%; 过往5年营收增6.28%, 利润增14.39%
Income profile:
</v>
      </c>
      <c r="D13" t="s">
        <v>693</v>
      </c>
      <c r="E13" t="s">
        <v>694</v>
      </c>
      <c r="F13">
        <v>14.11</v>
      </c>
      <c r="G13">
        <v>1.1499999999999999</v>
      </c>
      <c r="H13" t="s">
        <v>1964</v>
      </c>
      <c r="I13">
        <v>2110730200</v>
      </c>
      <c r="J13">
        <v>14.52</v>
      </c>
      <c r="K13">
        <v>1.23</v>
      </c>
      <c r="L13" t="s">
        <v>53</v>
      </c>
      <c r="M13" t="s">
        <v>1054</v>
      </c>
      <c r="N13" t="s">
        <v>1965</v>
      </c>
      <c r="O13" t="s">
        <v>226</v>
      </c>
      <c r="P13">
        <v>8.83</v>
      </c>
      <c r="Q13" t="s">
        <v>962</v>
      </c>
      <c r="R13">
        <v>28115657</v>
      </c>
      <c r="S13" s="5">
        <v>0.51300000000000001</v>
      </c>
      <c r="T13" t="s">
        <v>134</v>
      </c>
      <c r="U13">
        <v>52741511</v>
      </c>
      <c r="V13">
        <v>149591090</v>
      </c>
      <c r="W13">
        <v>1.22</v>
      </c>
      <c r="X13">
        <v>0.09</v>
      </c>
      <c r="Y13">
        <v>14.45</v>
      </c>
      <c r="Z13" t="s">
        <v>121</v>
      </c>
      <c r="AA13" t="s">
        <v>331</v>
      </c>
      <c r="AB13" t="s">
        <v>1966</v>
      </c>
      <c r="AC13" t="s">
        <v>1967</v>
      </c>
      <c r="AD13" t="s">
        <v>117</v>
      </c>
      <c r="AE13">
        <v>-890412</v>
      </c>
      <c r="AF13" t="s">
        <v>1227</v>
      </c>
      <c r="AG13" t="s">
        <v>1968</v>
      </c>
      <c r="AH13" t="s">
        <v>1228</v>
      </c>
      <c r="AI13" t="s">
        <v>1969</v>
      </c>
      <c r="AJ13" t="s">
        <v>1229</v>
      </c>
      <c r="AK13" t="s">
        <v>1970</v>
      </c>
      <c r="AL13" t="s">
        <v>1230</v>
      </c>
      <c r="AM13" t="s">
        <v>117</v>
      </c>
      <c r="AN13" t="s">
        <v>1971</v>
      </c>
      <c r="AO13" t="s">
        <v>1972</v>
      </c>
      <c r="AP13" t="s">
        <v>1973</v>
      </c>
      <c r="AQ13" t="s">
        <v>1974</v>
      </c>
      <c r="AR13" t="s">
        <v>117</v>
      </c>
      <c r="AS13" t="s">
        <v>1309</v>
      </c>
      <c r="AT13" t="s">
        <v>642</v>
      </c>
      <c r="AU13" t="s">
        <v>1975</v>
      </c>
      <c r="AV13" t="s">
        <v>1976</v>
      </c>
      <c r="AW13" t="s">
        <v>1977</v>
      </c>
      <c r="AX13" t="s">
        <v>349</v>
      </c>
      <c r="AY13" t="s">
        <v>695</v>
      </c>
      <c r="AZ13" t="s">
        <v>349</v>
      </c>
      <c r="BA13" t="s">
        <v>601</v>
      </c>
      <c r="BB13" t="s">
        <v>332</v>
      </c>
      <c r="BC13" t="s">
        <v>1231</v>
      </c>
      <c r="BD13" t="s">
        <v>696</v>
      </c>
      <c r="BE13" t="s">
        <v>125</v>
      </c>
      <c r="BF13" t="s">
        <v>227</v>
      </c>
      <c r="BG13" t="s">
        <v>697</v>
      </c>
      <c r="BH13" t="s">
        <v>962</v>
      </c>
      <c r="BI13" t="s">
        <v>813</v>
      </c>
      <c r="BJ13" t="s">
        <v>349</v>
      </c>
      <c r="BK13" t="s">
        <v>134</v>
      </c>
      <c r="BL13" t="s">
        <v>1232</v>
      </c>
      <c r="BM13" t="s">
        <v>1231</v>
      </c>
      <c r="BN13">
        <v>5.29</v>
      </c>
      <c r="BO13">
        <v>4.4800000000000004</v>
      </c>
      <c r="BP13">
        <v>7.4</v>
      </c>
      <c r="BQ13">
        <v>5.7</v>
      </c>
      <c r="BR13">
        <v>4.63</v>
      </c>
      <c r="BS13">
        <v>9.3800000000000008</v>
      </c>
      <c r="BT13" t="s">
        <v>1233</v>
      </c>
      <c r="BU13" t="s">
        <v>848</v>
      </c>
      <c r="BV13">
        <v>25.07</v>
      </c>
      <c r="BW13">
        <v>19.239999999999998</v>
      </c>
      <c r="BX13">
        <v>23.39</v>
      </c>
      <c r="BY13">
        <v>13.43</v>
      </c>
      <c r="BZ13">
        <v>7.75</v>
      </c>
      <c r="CA13">
        <v>10.24</v>
      </c>
      <c r="CB13">
        <v>-0.98</v>
      </c>
      <c r="CC13">
        <v>-13.74</v>
      </c>
      <c r="CD13" t="s">
        <v>1978</v>
      </c>
      <c r="CE13" t="s">
        <v>1979</v>
      </c>
      <c r="CF13" s="9">
        <v>9.03954802259887E-2</v>
      </c>
      <c r="CG13" s="10">
        <v>0.51302614301704841</v>
      </c>
      <c r="CH13" s="9">
        <v>6.553911417722702E-2</v>
      </c>
      <c r="CI13" s="9">
        <v>1.3933547772467136E-2</v>
      </c>
      <c r="CJ13" s="9">
        <v>-1.3742071576416492E-2</v>
      </c>
      <c r="CK13" s="9">
        <v>9.7447797656059265E-2</v>
      </c>
      <c r="CL13" s="9">
        <v>0.15086781978607178</v>
      </c>
      <c r="CM13" s="10">
        <v>0.89095044136047363</v>
      </c>
      <c r="CN13" s="10">
        <v>-0.25416615605354309</v>
      </c>
      <c r="CO13" s="10">
        <v>-0.19640833139419556</v>
      </c>
      <c r="CP13" s="10">
        <v>0.15384615957736969</v>
      </c>
      <c r="CQ13" s="10">
        <v>0.12543393671512604</v>
      </c>
      <c r="CR13">
        <v>20.40137038181987</v>
      </c>
      <c r="CS13">
        <v>3.2481478639301815</v>
      </c>
      <c r="CT13">
        <v>2.834868887313962</v>
      </c>
      <c r="CU13" s="9">
        <v>6.2809241563081736E-2</v>
      </c>
      <c r="CV13" s="10">
        <v>0.14393121004104614</v>
      </c>
      <c r="CW13">
        <v>0.06</v>
      </c>
      <c r="CX13">
        <v>5.3148130636020685</v>
      </c>
      <c r="CY13">
        <v>136360430.99299914</v>
      </c>
      <c r="CZ13">
        <v>6.2809241563081736E-2</v>
      </c>
      <c r="DA13">
        <v>1.7774100608368506</v>
      </c>
      <c r="DB13">
        <v>407745075.80922467</v>
      </c>
      <c r="DC13">
        <v>5.9668779484927645E-2</v>
      </c>
      <c r="DD13">
        <v>0.90212855418373339</v>
      </c>
      <c r="DE13">
        <v>803355792.96207154</v>
      </c>
      <c r="DF13">
        <v>5.5272132575511924E-2</v>
      </c>
      <c r="DG13">
        <v>0.56048345555305246</v>
      </c>
      <c r="DH13">
        <v>1293044768.4399152</v>
      </c>
      <c r="DI13">
        <v>5.0247393250465393E-2</v>
      </c>
      <c r="DJ13">
        <v>0.31148296105454643</v>
      </c>
      <c r="DK13">
        <v>2326708971.6444764</v>
      </c>
      <c r="DL13">
        <v>4.3966469094157211E-2</v>
      </c>
      <c r="DM13">
        <v>136000000</v>
      </c>
      <c r="DN13">
        <v>6.2809241563081736E-2</v>
      </c>
      <c r="DO13">
        <v>724730200.00000024</v>
      </c>
      <c r="DP13">
        <v>1208843000</v>
      </c>
      <c r="DQ13">
        <v>475</v>
      </c>
      <c r="DR13">
        <v>2.7586238662906964E-2</v>
      </c>
      <c r="DS13">
        <v>0.36909493297600227</v>
      </c>
      <c r="DT13" s="7">
        <v>-0.34</v>
      </c>
      <c r="DU13">
        <v>0.16666666666666666</v>
      </c>
      <c r="DV13">
        <v>-0.17333333333333337</v>
      </c>
      <c r="DW13">
        <v>-2.1374</v>
      </c>
      <c r="DX13">
        <v>0.35828891777705407</v>
      </c>
      <c r="DY13">
        <v>-2.0162528973025675</v>
      </c>
      <c r="DZ13">
        <v>2134</v>
      </c>
      <c r="EA13">
        <v>-2.0094654838302231</v>
      </c>
      <c r="EB13">
        <v>2</v>
      </c>
      <c r="EC13">
        <v>3.8930126119142525E-2</v>
      </c>
      <c r="ED13">
        <v>0.32911051052572715</v>
      </c>
      <c r="EE13" s="11">
        <v>-1.05501</v>
      </c>
      <c r="EF13">
        <v>-1.0761099999999999</v>
      </c>
      <c r="EG13">
        <v>24.118288917777054</v>
      </c>
      <c r="EH13" t="s">
        <v>804</v>
      </c>
      <c r="EI13">
        <v>0</v>
      </c>
      <c r="EJ13">
        <v>0</v>
      </c>
      <c r="EK13" s="13">
        <v>45470</v>
      </c>
      <c r="EL13" s="14">
        <v>7.0000000000000007E-2</v>
      </c>
      <c r="EM13" s="14">
        <v>-1.81</v>
      </c>
      <c r="EN13" s="14">
        <v>1.99</v>
      </c>
      <c r="EO13" s="14">
        <v>2.5099999999999998</v>
      </c>
      <c r="EP13" s="14">
        <v>-2.11</v>
      </c>
    </row>
    <row r="14" spans="1:146" ht="120" x14ac:dyDescent="0.25">
      <c r="A14" s="6" t="s">
        <v>670</v>
      </c>
      <c r="B14" s="6" t="s">
        <v>669</v>
      </c>
      <c r="C14" s="6" t="s">
        <v>668</v>
      </c>
      <c r="D14" t="s">
        <v>76</v>
      </c>
      <c r="E14" t="s">
        <v>29</v>
      </c>
      <c r="F14">
        <v>10.19</v>
      </c>
      <c r="G14">
        <v>-0.28999999999999998</v>
      </c>
      <c r="H14" t="s">
        <v>1980</v>
      </c>
      <c r="I14">
        <v>8550901500</v>
      </c>
      <c r="J14">
        <v>12.16</v>
      </c>
      <c r="K14">
        <v>2.67</v>
      </c>
      <c r="L14" t="s">
        <v>53</v>
      </c>
      <c r="M14" t="s">
        <v>1234</v>
      </c>
      <c r="N14" t="s">
        <v>1117</v>
      </c>
      <c r="O14" t="s">
        <v>1235</v>
      </c>
      <c r="P14">
        <v>33.369999999999997</v>
      </c>
      <c r="Q14" t="s">
        <v>1236</v>
      </c>
      <c r="R14">
        <v>88547928</v>
      </c>
      <c r="S14" s="5">
        <v>0.18809999999999999</v>
      </c>
      <c r="T14" t="s">
        <v>1237</v>
      </c>
      <c r="U14">
        <v>733623200</v>
      </c>
      <c r="V14">
        <v>839146370</v>
      </c>
      <c r="W14">
        <v>1.59</v>
      </c>
      <c r="X14">
        <v>0.25</v>
      </c>
      <c r="Y14">
        <v>6.02</v>
      </c>
      <c r="Z14" t="s">
        <v>1981</v>
      </c>
      <c r="AA14" t="s">
        <v>1311</v>
      </c>
      <c r="AB14" t="s">
        <v>1982</v>
      </c>
      <c r="AC14" t="s">
        <v>1983</v>
      </c>
      <c r="AD14" t="s">
        <v>117</v>
      </c>
      <c r="AE14">
        <v>-6594713</v>
      </c>
      <c r="AF14" t="s">
        <v>1238</v>
      </c>
      <c r="AG14" t="s">
        <v>1984</v>
      </c>
      <c r="AH14" t="s">
        <v>1239</v>
      </c>
      <c r="AI14" t="s">
        <v>1985</v>
      </c>
      <c r="AJ14" t="s">
        <v>1240</v>
      </c>
      <c r="AK14" t="s">
        <v>1986</v>
      </c>
      <c r="AL14" t="s">
        <v>1241</v>
      </c>
      <c r="AM14" t="s">
        <v>117</v>
      </c>
      <c r="AN14" t="s">
        <v>1987</v>
      </c>
      <c r="AO14" t="s">
        <v>1988</v>
      </c>
      <c r="AP14" t="s">
        <v>1989</v>
      </c>
      <c r="AQ14" t="s">
        <v>1990</v>
      </c>
      <c r="AR14" t="s">
        <v>117</v>
      </c>
      <c r="AS14" t="s">
        <v>1991</v>
      </c>
      <c r="AT14" t="s">
        <v>117</v>
      </c>
      <c r="AU14" t="s">
        <v>1992</v>
      </c>
      <c r="AV14" t="s">
        <v>1993</v>
      </c>
      <c r="AW14" t="s">
        <v>1461</v>
      </c>
      <c r="AX14" t="s">
        <v>1004</v>
      </c>
      <c r="AY14" t="s">
        <v>698</v>
      </c>
      <c r="AZ14" t="s">
        <v>346</v>
      </c>
      <c r="BA14" t="s">
        <v>196</v>
      </c>
      <c r="BB14" t="s">
        <v>350</v>
      </c>
      <c r="BC14" t="s">
        <v>1242</v>
      </c>
      <c r="BD14" t="s">
        <v>348</v>
      </c>
      <c r="BE14" t="s">
        <v>347</v>
      </c>
      <c r="BF14" t="s">
        <v>197</v>
      </c>
      <c r="BG14" t="s">
        <v>279</v>
      </c>
      <c r="BH14" t="s">
        <v>1236</v>
      </c>
      <c r="BI14" t="s">
        <v>1243</v>
      </c>
      <c r="BJ14" t="s">
        <v>1004</v>
      </c>
      <c r="BK14" t="s">
        <v>1237</v>
      </c>
      <c r="BL14" t="s">
        <v>1244</v>
      </c>
      <c r="BM14" t="s">
        <v>1242</v>
      </c>
      <c r="BN14">
        <v>15.15</v>
      </c>
      <c r="BO14">
        <v>15.76</v>
      </c>
      <c r="BP14">
        <v>24.63</v>
      </c>
      <c r="BQ14">
        <v>16.21</v>
      </c>
      <c r="BR14">
        <v>19.93</v>
      </c>
      <c r="BS14">
        <v>37.49</v>
      </c>
      <c r="BT14" t="s">
        <v>1245</v>
      </c>
      <c r="BU14" t="s">
        <v>848</v>
      </c>
      <c r="BV14">
        <v>18.420000000000002</v>
      </c>
      <c r="BW14">
        <v>18.18</v>
      </c>
      <c r="BX14">
        <v>17.7</v>
      </c>
      <c r="BY14">
        <v>7.84</v>
      </c>
      <c r="BZ14">
        <v>5.18</v>
      </c>
      <c r="CA14">
        <v>7.82</v>
      </c>
      <c r="CB14">
        <v>-1.74</v>
      </c>
      <c r="CC14">
        <v>-11.24</v>
      </c>
      <c r="CD14" t="s">
        <v>1994</v>
      </c>
      <c r="CE14" t="s">
        <v>1995</v>
      </c>
      <c r="CF14" s="9">
        <v>0.33363309352517984</v>
      </c>
      <c r="CG14" s="10">
        <v>0.1880508935076296</v>
      </c>
      <c r="CH14" s="9">
        <v>1.6373204067349434E-2</v>
      </c>
      <c r="CI14" s="9">
        <v>-5.3999543190002441E-2</v>
      </c>
      <c r="CJ14" s="9">
        <v>0.4577791690826416</v>
      </c>
      <c r="CK14" s="9">
        <v>0.39594125747680664</v>
      </c>
      <c r="CL14" s="9">
        <v>7.5708344578742981E-2</v>
      </c>
      <c r="CM14" s="10">
        <v>0.54484307765960693</v>
      </c>
      <c r="CN14" s="10">
        <v>-0.37359550595283508</v>
      </c>
      <c r="CO14" s="10">
        <v>0.76674938201904297</v>
      </c>
      <c r="CP14" s="10">
        <v>2.2842640057206154E-2</v>
      </c>
      <c r="CQ14" s="10">
        <v>0.1903323233127594</v>
      </c>
      <c r="CR14">
        <v>17.2455156302521</v>
      </c>
      <c r="CS14">
        <v>0.96689104061288456</v>
      </c>
      <c r="CT14">
        <v>5.3974484789008832</v>
      </c>
      <c r="CU14" s="9">
        <v>0.17836048640310764</v>
      </c>
      <c r="CV14" s="10">
        <v>0.23023438341915609</v>
      </c>
      <c r="CW14">
        <v>0.06</v>
      </c>
      <c r="CX14">
        <v>10.76189083850417</v>
      </c>
      <c r="CY14">
        <v>765934316.16201997</v>
      </c>
      <c r="CZ14">
        <v>0.17836048640310764</v>
      </c>
      <c r="DA14">
        <v>3.2658566048755628</v>
      </c>
      <c r="DB14">
        <v>2523963081.4452353</v>
      </c>
      <c r="DC14">
        <v>0.16944246208295224</v>
      </c>
      <c r="DD14">
        <v>1.4515407531494786</v>
      </c>
      <c r="DE14">
        <v>5678725507.4409561</v>
      </c>
      <c r="DF14">
        <v>0.15695722803473472</v>
      </c>
      <c r="DG14">
        <v>0.77335674447082026</v>
      </c>
      <c r="DH14">
        <v>10658601685.358438</v>
      </c>
      <c r="DI14">
        <v>0.14268838912248613</v>
      </c>
      <c r="DJ14">
        <v>0.30260246101135174</v>
      </c>
      <c r="DK14">
        <v>27240034573.581272</v>
      </c>
      <c r="DL14">
        <v>0.12485234048217535</v>
      </c>
      <c r="DM14">
        <v>689000000</v>
      </c>
      <c r="DN14">
        <v>0.17836048640310764</v>
      </c>
      <c r="DO14">
        <v>8242901500</v>
      </c>
      <c r="DP14">
        <v>924130200.00000024</v>
      </c>
      <c r="DQ14">
        <v>561</v>
      </c>
      <c r="DR14">
        <v>0.15527260712207219</v>
      </c>
      <c r="DS14">
        <v>-4.2183489911526484E-2</v>
      </c>
      <c r="DT14" s="7">
        <v>-0.19000000000000003</v>
      </c>
      <c r="DU14">
        <v>0.60333333333333339</v>
      </c>
      <c r="DV14">
        <v>0.41333333333333333</v>
      </c>
      <c r="DW14">
        <v>-2.1124000000000001</v>
      </c>
      <c r="DX14">
        <v>0.30718294314381339</v>
      </c>
      <c r="DY14">
        <v>-2.0131713628093646</v>
      </c>
      <c r="DZ14">
        <v>843</v>
      </c>
      <c r="EA14">
        <v>-2.0109984745807354</v>
      </c>
      <c r="EB14">
        <v>2</v>
      </c>
      <c r="EC14">
        <v>4.1753979106171908E-2</v>
      </c>
      <c r="ED14">
        <v>0.3563144770560111</v>
      </c>
      <c r="EE14" s="11">
        <v>3.0108000000000001</v>
      </c>
      <c r="EF14">
        <v>3.0178099999999999</v>
      </c>
      <c r="EG14">
        <v>19.117182943143813</v>
      </c>
      <c r="EH14" t="s">
        <v>1041</v>
      </c>
      <c r="EI14">
        <v>0</v>
      </c>
      <c r="EJ14">
        <v>1</v>
      </c>
      <c r="EK14" s="13">
        <v>45470</v>
      </c>
      <c r="EL14" s="14">
        <v>0.28000000000000003</v>
      </c>
      <c r="EM14" s="14">
        <v>-2.33</v>
      </c>
      <c r="EN14" s="14">
        <v>1.72</v>
      </c>
      <c r="EO14" s="14">
        <v>1.69</v>
      </c>
      <c r="EP14" s="14">
        <v>-2.86</v>
      </c>
    </row>
    <row r="15" spans="1:146" ht="108" x14ac:dyDescent="0.25">
      <c r="A15" s="6"/>
      <c r="B15" s="6"/>
      <c r="C15" s="6" t="str">
        <f>""&amp;CHAR(10)&amp;Basic_Fundamental_Information_Constructure(F15)&amp;CHAR(10)&amp;Basic_Fundamental_Information_Concatenate("")</f>
        <v xml:space="preserve">
市值18.1797亿, 利润7280.45万; PE24.87; 平均PE42.36; 平均PEG10.09, PB2.58; ROIC6.99%; ROE9.56%; 股利率1.2706%; 毛利16.8267%; 净利3.1833%; 上一年度营收增-3.94%, 利润增9.91%; 当季营收增6.47%, 利润增1.38%; 过往5年营收增4.2%, 利润增35.46%
Income profile:
</v>
      </c>
      <c r="D15" t="s">
        <v>59</v>
      </c>
      <c r="E15" t="s">
        <v>8</v>
      </c>
      <c r="F15">
        <v>7.87</v>
      </c>
      <c r="G15">
        <v>0.25</v>
      </c>
      <c r="H15" t="s">
        <v>1996</v>
      </c>
      <c r="I15">
        <v>1817970000</v>
      </c>
      <c r="J15">
        <v>24.87</v>
      </c>
      <c r="K15">
        <v>2.58</v>
      </c>
      <c r="L15" t="s">
        <v>53</v>
      </c>
      <c r="M15" t="s">
        <v>1247</v>
      </c>
      <c r="N15" t="s">
        <v>1997</v>
      </c>
      <c r="O15" t="s">
        <v>1026</v>
      </c>
      <c r="P15">
        <v>6.52</v>
      </c>
      <c r="Q15" t="s">
        <v>1248</v>
      </c>
      <c r="R15">
        <v>22420701</v>
      </c>
      <c r="S15" s="5">
        <v>1.38E-2</v>
      </c>
      <c r="T15" t="s">
        <v>1249</v>
      </c>
      <c r="U15">
        <v>231000000</v>
      </c>
      <c r="V15">
        <v>231000000</v>
      </c>
      <c r="W15">
        <v>3.35</v>
      </c>
      <c r="X15">
        <v>0.23</v>
      </c>
      <c r="Y15">
        <v>3.7</v>
      </c>
      <c r="Z15" t="s">
        <v>565</v>
      </c>
      <c r="AA15" t="s">
        <v>1998</v>
      </c>
      <c r="AB15" t="s">
        <v>1999</v>
      </c>
      <c r="AC15" t="s">
        <v>2000</v>
      </c>
      <c r="AD15" t="s">
        <v>117</v>
      </c>
      <c r="AE15">
        <v>9183816</v>
      </c>
      <c r="AF15" t="s">
        <v>118</v>
      </c>
      <c r="AG15" t="s">
        <v>2001</v>
      </c>
      <c r="AH15" t="s">
        <v>1250</v>
      </c>
      <c r="AI15" t="s">
        <v>2002</v>
      </c>
      <c r="AJ15" t="s">
        <v>1251</v>
      </c>
      <c r="AK15" t="s">
        <v>1995</v>
      </c>
      <c r="AL15" t="s">
        <v>1252</v>
      </c>
      <c r="AM15" t="s">
        <v>117</v>
      </c>
      <c r="AN15" t="s">
        <v>2003</v>
      </c>
      <c r="AO15" t="s">
        <v>2004</v>
      </c>
      <c r="AP15" t="s">
        <v>2005</v>
      </c>
      <c r="AQ15" t="s">
        <v>2006</v>
      </c>
      <c r="AR15" t="s">
        <v>117</v>
      </c>
      <c r="AS15" t="s">
        <v>2007</v>
      </c>
      <c r="AT15" t="s">
        <v>1484</v>
      </c>
      <c r="AU15" t="s">
        <v>2008</v>
      </c>
      <c r="AV15" t="s">
        <v>2009</v>
      </c>
      <c r="AW15" t="s">
        <v>2010</v>
      </c>
      <c r="AX15" t="s">
        <v>1005</v>
      </c>
      <c r="AY15" t="s">
        <v>699</v>
      </c>
      <c r="AZ15" t="s">
        <v>352</v>
      </c>
      <c r="BA15" t="s">
        <v>254</v>
      </c>
      <c r="BB15" t="s">
        <v>355</v>
      </c>
      <c r="BC15" t="s">
        <v>1006</v>
      </c>
      <c r="BD15" t="s">
        <v>700</v>
      </c>
      <c r="BE15" t="s">
        <v>353</v>
      </c>
      <c r="BF15" t="s">
        <v>255</v>
      </c>
      <c r="BG15" t="s">
        <v>357</v>
      </c>
      <c r="BH15" t="s">
        <v>1248</v>
      </c>
      <c r="BI15" t="s">
        <v>451</v>
      </c>
      <c r="BJ15" t="s">
        <v>1005</v>
      </c>
      <c r="BK15" t="s">
        <v>1249</v>
      </c>
      <c r="BL15" t="s">
        <v>1254</v>
      </c>
      <c r="BM15" t="s">
        <v>1006</v>
      </c>
      <c r="BN15">
        <v>5.14</v>
      </c>
      <c r="BO15">
        <v>8.35</v>
      </c>
      <c r="BP15">
        <v>7.48</v>
      </c>
      <c r="BQ15">
        <v>7.69</v>
      </c>
      <c r="BR15">
        <v>11.6</v>
      </c>
      <c r="BS15">
        <v>9.39</v>
      </c>
      <c r="BT15" t="s">
        <v>952</v>
      </c>
      <c r="BU15" t="s">
        <v>849</v>
      </c>
      <c r="BV15">
        <v>16.07</v>
      </c>
      <c r="BW15">
        <v>17.09</v>
      </c>
      <c r="BX15">
        <v>17.32</v>
      </c>
      <c r="BY15">
        <v>3.44</v>
      </c>
      <c r="BZ15">
        <v>3.27</v>
      </c>
      <c r="CA15">
        <v>2.84</v>
      </c>
      <c r="CB15">
        <v>-1.01</v>
      </c>
      <c r="CC15">
        <v>-12.85</v>
      </c>
      <c r="CD15" t="s">
        <v>2011</v>
      </c>
      <c r="CE15" t="s">
        <v>2012</v>
      </c>
      <c r="CF15" s="9">
        <v>6.4667291471415186E-2</v>
      </c>
      <c r="CG15" s="10">
        <v>1.3846164281353863E-2</v>
      </c>
      <c r="CH15" s="9">
        <v>-3.9427187293767929E-2</v>
      </c>
      <c r="CI15" s="9">
        <v>6.1921540647745132E-2</v>
      </c>
      <c r="CJ15" s="9">
        <v>7.6375678181648254E-2</v>
      </c>
      <c r="CK15" s="9">
        <v>8.1025637686252594E-2</v>
      </c>
      <c r="CL15" s="9">
        <v>3.0110970139503479E-2</v>
      </c>
      <c r="CM15" s="10">
        <v>9.9085099995136261E-2</v>
      </c>
      <c r="CN15" s="10">
        <v>0.38625898957252502</v>
      </c>
      <c r="CO15" s="10">
        <v>0.72261017560958862</v>
      </c>
      <c r="CP15" s="10">
        <v>8.1943489611148834E-2</v>
      </c>
      <c r="CQ15" s="10">
        <v>0.48324877023696899</v>
      </c>
      <c r="CR15">
        <v>42.361699855335594</v>
      </c>
      <c r="CS15">
        <v>10.08580014045155</v>
      </c>
      <c r="CT15">
        <v>1.2706480304955527</v>
      </c>
      <c r="CU15" s="9">
        <v>4.2001327872276305E-2</v>
      </c>
      <c r="CV15" s="10">
        <v>0.35462930500507356</v>
      </c>
      <c r="CW15">
        <v>0.06</v>
      </c>
      <c r="CX15">
        <v>52.313253329492852</v>
      </c>
      <c r="CY15">
        <v>71568288.372714281</v>
      </c>
      <c r="CZ15">
        <v>4.2001327872276305E-2</v>
      </c>
      <c r="DA15">
        <v>17.808500523095322</v>
      </c>
      <c r="DB15">
        <v>210234993.96507612</v>
      </c>
      <c r="DC15">
        <v>3.9901261478662485E-2</v>
      </c>
      <c r="DD15">
        <v>9.249513818823802</v>
      </c>
      <c r="DE15">
        <v>404774788.52786827</v>
      </c>
      <c r="DF15">
        <v>3.6961168527603151E-2</v>
      </c>
      <c r="DG15">
        <v>5.8921844780654133</v>
      </c>
      <c r="DH15">
        <v>635412895.49529874</v>
      </c>
      <c r="DI15">
        <v>3.3601062297821047E-2</v>
      </c>
      <c r="DJ15">
        <v>3.4477880383188935</v>
      </c>
      <c r="DK15">
        <v>1085904921.761235</v>
      </c>
      <c r="DL15">
        <v>2.9400929510593411E-2</v>
      </c>
      <c r="DM15">
        <v>72804500</v>
      </c>
      <c r="DN15">
        <v>4.2001327872276305E-2</v>
      </c>
      <c r="DO15">
        <v>3743970000</v>
      </c>
      <c r="DP15">
        <v>761804600</v>
      </c>
      <c r="DQ15">
        <v>584</v>
      </c>
      <c r="DR15">
        <v>2.2665963599138882E-2</v>
      </c>
      <c r="DS15">
        <v>-0.34078314072371968</v>
      </c>
      <c r="DT15" s="7">
        <v>-0.44</v>
      </c>
      <c r="DU15">
        <v>0.51666666666666672</v>
      </c>
      <c r="DV15">
        <v>7.6666666666666716E-2</v>
      </c>
      <c r="DW15">
        <v>-2.1284999999999998</v>
      </c>
      <c r="DX15">
        <v>0.32483630569411887</v>
      </c>
      <c r="DY15">
        <v>-2.0173264652816942</v>
      </c>
      <c r="DZ15">
        <v>1521</v>
      </c>
      <c r="EA15">
        <v>-2.0121692140696674</v>
      </c>
      <c r="EB15">
        <v>2</v>
      </c>
      <c r="EC15">
        <v>4.2640259740259742E-2</v>
      </c>
      <c r="ED15">
        <v>0.31623722943722943</v>
      </c>
      <c r="EE15" s="11">
        <v>-5.0335999999999999</v>
      </c>
      <c r="EF15">
        <v>-5.0137999999999998</v>
      </c>
      <c r="EG15">
        <v>19.134836305694119</v>
      </c>
      <c r="EH15" t="s">
        <v>1255</v>
      </c>
      <c r="EI15">
        <v>0</v>
      </c>
      <c r="EJ15">
        <v>0</v>
      </c>
      <c r="EK15" s="13">
        <v>45470</v>
      </c>
      <c r="EL15" s="14">
        <v>0.88</v>
      </c>
      <c r="EM15" s="14">
        <v>-4.75</v>
      </c>
      <c r="EN15" s="14">
        <v>3.28</v>
      </c>
      <c r="EO15" s="14">
        <v>2.92</v>
      </c>
      <c r="EP15" s="14">
        <v>-1.98</v>
      </c>
    </row>
    <row r="16" spans="1:146" ht="252" x14ac:dyDescent="0.25">
      <c r="A16" s="6" t="s">
        <v>971</v>
      </c>
      <c r="B16" s="6" t="s">
        <v>660</v>
      </c>
      <c r="C16" s="6" t="str">
        <f>"中材科技股份有限公司从事风电叶片的研发、制造、销售及服务，公司的主要产品是风电叶片、玻璃纤维及制品、锂电池隔膜"&amp;CHAR(10)&amp;Basic_Fundamental_Information_Constructure(F16)&amp;CHAR(10)&amp;Basic_Fundamental_Information_Concatenate("玻璃纤维及制品 87.51亿 43.12% 利润占比77.28% 42.73% 增速27.75%
风电叶片 69.76亿 34.37% 利润占比22.72% 15.76%  增速-22.29%
其他 14.18亿 6.99%
锂电池隔膜 11.26亿 5.55% 增速95.41%
技术与装备 10.05亿 4.95%
先进复合材料 9.47亿 4.67%
高压气瓶 5.78亿 2.85%
高温过滤材料 3.41亿 1.68%
玻璃微纤维纸 3.38亿 1.66%")</f>
        <v>中材科技股份有限公司从事风电叶片的研发、制造、销售及服务，公司的主要产品是风电叶片、玻璃纤维及制品、锂电池隔膜
市值210.10107亿, 利润22.24亿; PE10.36; 平均PE9.32; 平均PEG.5, PB1.12; ROIC10.9633%; ROE19.1467%; 股利率4.4728%; 毛利26.73%; 净利14.83%; 上一年度营收增.29%, 利润增-37.77%; 当季营收增-12.16%, 利润增-47.64%; 过往5年营收增18.5%, 利润增25.95%
Income profile:
玻璃纤维及制品 87.51亿 43.12% 利润占比77.28% 42.73% 增速27.75%
风电叶片 69.76亿 34.37% 利润占比22.72% 15.76%  增速-22.29%
其他 14.18亿 6.99%
锂电池隔膜 11.26亿 5.55% 增速95.41%
技术与装备 10.05亿 4.95%
先进复合材料 9.47亿 4.67%
高压气瓶 5.78亿 2.85%
高温过滤材料 3.41亿 1.68%
玻璃微纤维纸 3.38亿 1.66%</v>
      </c>
      <c r="D16" t="s">
        <v>547</v>
      </c>
      <c r="E16" t="s">
        <v>548</v>
      </c>
      <c r="F16">
        <v>12.52</v>
      </c>
      <c r="G16">
        <v>0.97</v>
      </c>
      <c r="H16" t="s">
        <v>2013</v>
      </c>
      <c r="I16">
        <v>21010107000</v>
      </c>
      <c r="J16">
        <v>10.36</v>
      </c>
      <c r="K16">
        <v>1.1200000000000001</v>
      </c>
      <c r="L16" t="s">
        <v>53</v>
      </c>
      <c r="M16" t="s">
        <v>1256</v>
      </c>
      <c r="N16" t="s">
        <v>2014</v>
      </c>
      <c r="O16" t="s">
        <v>1257</v>
      </c>
      <c r="P16">
        <v>-12.16</v>
      </c>
      <c r="Q16" t="s">
        <v>1258</v>
      </c>
      <c r="R16">
        <v>216240670</v>
      </c>
      <c r="S16" s="5">
        <v>-0.47660000000000002</v>
      </c>
      <c r="T16" t="s">
        <v>1259</v>
      </c>
      <c r="U16">
        <v>1678123600</v>
      </c>
      <c r="V16">
        <v>1678123600</v>
      </c>
      <c r="W16">
        <v>2.17</v>
      </c>
      <c r="X16">
        <v>0.08</v>
      </c>
      <c r="Y16">
        <v>6.58</v>
      </c>
      <c r="Z16" t="s">
        <v>2015</v>
      </c>
      <c r="AA16" t="s">
        <v>2016</v>
      </c>
      <c r="AB16" t="s">
        <v>2017</v>
      </c>
      <c r="AC16" t="s">
        <v>1668</v>
      </c>
      <c r="AD16" t="s">
        <v>117</v>
      </c>
      <c r="AE16">
        <v>94528165</v>
      </c>
      <c r="AF16" t="s">
        <v>1260</v>
      </c>
      <c r="AG16" t="s">
        <v>2018</v>
      </c>
      <c r="AH16" t="s">
        <v>1261</v>
      </c>
      <c r="AI16" t="s">
        <v>2019</v>
      </c>
      <c r="AJ16" t="s">
        <v>1263</v>
      </c>
      <c r="AK16" t="s">
        <v>1311</v>
      </c>
      <c r="AL16" t="s">
        <v>1264</v>
      </c>
      <c r="AM16" t="s">
        <v>117</v>
      </c>
      <c r="AN16" t="s">
        <v>2020</v>
      </c>
      <c r="AO16" t="s">
        <v>2021</v>
      </c>
      <c r="AP16" t="s">
        <v>2022</v>
      </c>
      <c r="AQ16" t="s">
        <v>1153</v>
      </c>
      <c r="AR16" t="s">
        <v>117</v>
      </c>
      <c r="AS16" t="s">
        <v>2023</v>
      </c>
      <c r="AT16" t="s">
        <v>2024</v>
      </c>
      <c r="AU16" t="s">
        <v>2025</v>
      </c>
      <c r="AV16" t="s">
        <v>2026</v>
      </c>
      <c r="AW16" t="s">
        <v>2027</v>
      </c>
      <c r="AX16" t="s">
        <v>1265</v>
      </c>
      <c r="AY16" t="s">
        <v>701</v>
      </c>
      <c r="AZ16" t="s">
        <v>661</v>
      </c>
      <c r="BA16" t="s">
        <v>550</v>
      </c>
      <c r="BB16" t="s">
        <v>551</v>
      </c>
      <c r="BC16" t="s">
        <v>1266</v>
      </c>
      <c r="BD16" t="s">
        <v>702</v>
      </c>
      <c r="BE16" t="s">
        <v>662</v>
      </c>
      <c r="BF16" t="s">
        <v>552</v>
      </c>
      <c r="BG16" t="s">
        <v>553</v>
      </c>
      <c r="BH16" t="s">
        <v>1258</v>
      </c>
      <c r="BI16" t="s">
        <v>1267</v>
      </c>
      <c r="BJ16" t="s">
        <v>1265</v>
      </c>
      <c r="BK16" t="s">
        <v>1259</v>
      </c>
      <c r="BL16" t="s">
        <v>1268</v>
      </c>
      <c r="BM16" t="s">
        <v>1266</v>
      </c>
      <c r="BN16">
        <v>5.57</v>
      </c>
      <c r="BO16">
        <v>12.62</v>
      </c>
      <c r="BP16">
        <v>14.7</v>
      </c>
      <c r="BQ16">
        <v>9.01</v>
      </c>
      <c r="BR16">
        <v>23.14</v>
      </c>
      <c r="BS16">
        <v>25.29</v>
      </c>
      <c r="BT16" t="s">
        <v>1269</v>
      </c>
      <c r="BU16" t="s">
        <v>845</v>
      </c>
      <c r="BV16">
        <v>24.65</v>
      </c>
      <c r="BW16">
        <v>25.54</v>
      </c>
      <c r="BX16">
        <v>30</v>
      </c>
      <c r="BY16">
        <v>10.49</v>
      </c>
      <c r="BZ16">
        <v>16.88</v>
      </c>
      <c r="CA16">
        <v>17.12</v>
      </c>
      <c r="CB16">
        <v>-2.95</v>
      </c>
      <c r="CC16">
        <v>-16.760000000000002</v>
      </c>
      <c r="CD16" t="s">
        <v>2028</v>
      </c>
      <c r="CE16" t="s">
        <v>361</v>
      </c>
      <c r="CF16" s="9">
        <v>-0.12155463018044814</v>
      </c>
      <c r="CG16" s="10">
        <v>-0.4764148426150121</v>
      </c>
      <c r="CH16" s="9">
        <v>2.905392786487937E-3</v>
      </c>
      <c r="CI16" s="9">
        <v>0.27193889021873474</v>
      </c>
      <c r="CJ16" s="9">
        <v>7.5801730155944824E-2</v>
      </c>
      <c r="CK16" s="9">
        <v>0.38815313577651978</v>
      </c>
      <c r="CL16" s="9">
        <v>0.18607084453105927</v>
      </c>
      <c r="CM16" s="10">
        <v>-0.37772804498672485</v>
      </c>
      <c r="CN16" s="10">
        <v>5.9590928256511688E-2</v>
      </c>
      <c r="CO16" s="10">
        <v>0.65343135595321655</v>
      </c>
      <c r="CP16" s="10">
        <v>0.47826087474822998</v>
      </c>
      <c r="CQ16" s="10">
        <v>0.48387095332145691</v>
      </c>
      <c r="CR16">
        <v>9.3233223873973827</v>
      </c>
      <c r="CS16">
        <v>0.50403421309140128</v>
      </c>
      <c r="CT16">
        <v>4.4728434504792327</v>
      </c>
      <c r="CU16" s="9">
        <v>0.18497399869374931</v>
      </c>
      <c r="CV16" s="10">
        <v>0.25948521345853803</v>
      </c>
      <c r="CW16">
        <v>0.06</v>
      </c>
      <c r="CX16">
        <v>9.8652611698697275</v>
      </c>
      <c r="CY16">
        <v>2486209597.2593379</v>
      </c>
      <c r="CZ16">
        <v>0.18497399869374931</v>
      </c>
      <c r="DA16">
        <v>2.9774017253517728</v>
      </c>
      <c r="DB16">
        <v>8237755352.648015</v>
      </c>
      <c r="DC16">
        <v>0.17572529875906184</v>
      </c>
      <c r="DD16">
        <v>1.3130563920917999</v>
      </c>
      <c r="DE16">
        <v>18679401088.727371</v>
      </c>
      <c r="DF16">
        <v>0.16277711885049939</v>
      </c>
      <c r="DG16">
        <v>0.6929911691414512</v>
      </c>
      <c r="DH16">
        <v>35393101805.881172</v>
      </c>
      <c r="DI16">
        <v>0.14797919895499945</v>
      </c>
      <c r="DJ16">
        <v>0.26499589722996497</v>
      </c>
      <c r="DK16">
        <v>92556553729.264847</v>
      </c>
      <c r="DL16">
        <v>0.12948179908562452</v>
      </c>
      <c r="DM16">
        <v>2224000000</v>
      </c>
      <c r="DN16">
        <v>0.18497399869374931</v>
      </c>
      <c r="DO16">
        <v>24527107000</v>
      </c>
      <c r="DP16">
        <v>2550169000</v>
      </c>
      <c r="DQ16">
        <v>596</v>
      </c>
      <c r="DR16">
        <v>-0.30652862887419746</v>
      </c>
      <c r="DS16">
        <v>-0.73590005607355014</v>
      </c>
      <c r="DT16" s="7">
        <v>-7.3333333333333403E-2</v>
      </c>
      <c r="DU16">
        <v>9.6666666666666637E-2</v>
      </c>
      <c r="DV16">
        <v>2.3333333333333234E-2</v>
      </c>
      <c r="DW16">
        <v>-8.1760143198090685</v>
      </c>
      <c r="DX16">
        <v>0.38211999999999846</v>
      </c>
      <c r="DY16">
        <v>-8.0250151551312641</v>
      </c>
      <c r="DZ16">
        <v>1670</v>
      </c>
      <c r="EA16">
        <v>-8.0168399478770151</v>
      </c>
      <c r="EB16">
        <v>8</v>
      </c>
      <c r="EC16">
        <v>2.0325558856332155E-2</v>
      </c>
      <c r="ED16">
        <v>0.14301687909043173</v>
      </c>
      <c r="EE16" s="11">
        <v>1.06531</v>
      </c>
      <c r="EF16">
        <v>1.09511</v>
      </c>
      <c r="EG16">
        <v>24.142119999999998</v>
      </c>
      <c r="EH16" t="s">
        <v>1008</v>
      </c>
      <c r="EI16">
        <v>0</v>
      </c>
      <c r="EJ16">
        <v>0</v>
      </c>
      <c r="EK16" s="13">
        <v>45470</v>
      </c>
      <c r="EL16" s="14">
        <v>-0.3</v>
      </c>
      <c r="EM16" s="14">
        <v>-1.1200000000000001</v>
      </c>
      <c r="EN16" s="14">
        <v>0</v>
      </c>
      <c r="EO16" s="14">
        <v>1.51</v>
      </c>
      <c r="EP16" s="14">
        <v>-2.98</v>
      </c>
    </row>
    <row r="17" spans="1:146" ht="108" x14ac:dyDescent="0.25">
      <c r="A17" s="6"/>
      <c r="B17" s="6"/>
      <c r="C17" s="6" t="str">
        <f>""&amp;CHAR(10)&amp;Basic_Fundamental_Information_Constructure(F17)&amp;CHAR(10)&amp;Basic_Fundamental_Information_Concatenate("")</f>
        <v xml:space="preserve">
市值62.602629亿, 利润4.92亿; PE12.83; 平均PE14.3; 平均PEG.99, PB2.14; ROIC18.0433%; ROE18.73%; 股利率6.5413%; 毛利32.86%; 净利16.03%; 上一年度营收增-1.84%, 利润增-15.75%; 当季营收增-7.28%, 利润增-4.56%; 过往5年营收增14.48%, 利润增11.5%
Income profile:
</v>
      </c>
      <c r="D17" t="s">
        <v>85</v>
      </c>
      <c r="E17" t="s">
        <v>32</v>
      </c>
      <c r="F17">
        <v>12.23</v>
      </c>
      <c r="G17">
        <v>4.26</v>
      </c>
      <c r="H17" t="s">
        <v>2029</v>
      </c>
      <c r="I17">
        <v>6260262900</v>
      </c>
      <c r="J17">
        <v>12.83</v>
      </c>
      <c r="K17">
        <v>2.14</v>
      </c>
      <c r="L17" t="s">
        <v>53</v>
      </c>
      <c r="M17" t="s">
        <v>1270</v>
      </c>
      <c r="N17" t="s">
        <v>2030</v>
      </c>
      <c r="O17" t="s">
        <v>1271</v>
      </c>
      <c r="P17">
        <v>-7.35</v>
      </c>
      <c r="Q17" t="s">
        <v>1272</v>
      </c>
      <c r="R17">
        <v>82461513</v>
      </c>
      <c r="S17" s="5">
        <v>-4.5600000000000002E-2</v>
      </c>
      <c r="T17" t="s">
        <v>1273</v>
      </c>
      <c r="U17">
        <v>504281150</v>
      </c>
      <c r="V17">
        <v>511877590</v>
      </c>
      <c r="W17">
        <v>1.31</v>
      </c>
      <c r="X17">
        <v>0.18</v>
      </c>
      <c r="Y17">
        <v>11.77</v>
      </c>
      <c r="Z17" t="s">
        <v>2031</v>
      </c>
      <c r="AA17" t="s">
        <v>967</v>
      </c>
      <c r="AB17" t="s">
        <v>2032</v>
      </c>
      <c r="AC17" t="s">
        <v>2033</v>
      </c>
      <c r="AD17" t="s">
        <v>117</v>
      </c>
      <c r="AE17">
        <v>-538161</v>
      </c>
      <c r="AF17" t="s">
        <v>118</v>
      </c>
      <c r="AG17" t="s">
        <v>2034</v>
      </c>
      <c r="AH17" t="s">
        <v>1274</v>
      </c>
      <c r="AI17" t="s">
        <v>2035</v>
      </c>
      <c r="AJ17" t="s">
        <v>1276</v>
      </c>
      <c r="AK17" t="s">
        <v>1709</v>
      </c>
      <c r="AL17" t="s">
        <v>1277</v>
      </c>
      <c r="AM17" t="s">
        <v>117</v>
      </c>
      <c r="AN17" t="s">
        <v>2036</v>
      </c>
      <c r="AO17" t="s">
        <v>117</v>
      </c>
      <c r="AP17" t="s">
        <v>2037</v>
      </c>
      <c r="AQ17" t="s">
        <v>2038</v>
      </c>
      <c r="AR17" t="s">
        <v>117</v>
      </c>
      <c r="AS17" t="s">
        <v>2039</v>
      </c>
      <c r="AT17" t="s">
        <v>117</v>
      </c>
      <c r="AU17" t="s">
        <v>2040</v>
      </c>
      <c r="AV17" t="s">
        <v>2041</v>
      </c>
      <c r="AW17" t="s">
        <v>2042</v>
      </c>
      <c r="AX17" t="s">
        <v>1278</v>
      </c>
      <c r="AY17" t="s">
        <v>703</v>
      </c>
      <c r="AZ17" t="s">
        <v>358</v>
      </c>
      <c r="BA17" t="s">
        <v>256</v>
      </c>
      <c r="BB17" t="s">
        <v>261</v>
      </c>
      <c r="BC17" t="s">
        <v>476</v>
      </c>
      <c r="BD17" t="s">
        <v>704</v>
      </c>
      <c r="BE17" t="s">
        <v>210</v>
      </c>
      <c r="BF17" t="s">
        <v>126</v>
      </c>
      <c r="BG17" t="s">
        <v>360</v>
      </c>
      <c r="BH17" t="s">
        <v>1272</v>
      </c>
      <c r="BI17" t="s">
        <v>1279</v>
      </c>
      <c r="BJ17" t="s">
        <v>1278</v>
      </c>
      <c r="BK17" t="s">
        <v>1273</v>
      </c>
      <c r="BL17" t="s">
        <v>1280</v>
      </c>
      <c r="BM17" t="s">
        <v>476</v>
      </c>
      <c r="BN17">
        <v>12.75</v>
      </c>
      <c r="BO17">
        <v>20.09</v>
      </c>
      <c r="BP17">
        <v>21.29</v>
      </c>
      <c r="BQ17">
        <v>13.11</v>
      </c>
      <c r="BR17">
        <v>21.35</v>
      </c>
      <c r="BS17">
        <v>21.73</v>
      </c>
      <c r="BT17" t="s">
        <v>957</v>
      </c>
      <c r="BU17" t="s">
        <v>849</v>
      </c>
      <c r="BV17">
        <v>31.04</v>
      </c>
      <c r="BW17">
        <v>32.83</v>
      </c>
      <c r="BX17">
        <v>34.71</v>
      </c>
      <c r="BY17">
        <v>13.93</v>
      </c>
      <c r="BZ17">
        <v>17.28</v>
      </c>
      <c r="CA17">
        <v>16.88</v>
      </c>
      <c r="CB17">
        <v>1.1599999999999999</v>
      </c>
      <c r="CC17">
        <v>-10.6</v>
      </c>
      <c r="CD17" t="s">
        <v>2043</v>
      </c>
      <c r="CE17" t="s">
        <v>2044</v>
      </c>
      <c r="CF17" s="9">
        <v>-7.2751322751322747E-2</v>
      </c>
      <c r="CG17" s="10">
        <v>-4.558875884833883E-2</v>
      </c>
      <c r="CH17" s="9">
        <v>-1.8410006538033485E-2</v>
      </c>
      <c r="CI17" s="9">
        <v>0.13305939733982086</v>
      </c>
      <c r="CJ17" s="9">
        <v>0.36027508974075317</v>
      </c>
      <c r="CK17" s="9">
        <v>8.3372175693511963E-2</v>
      </c>
      <c r="CL17" s="9">
        <v>0.16558092832565308</v>
      </c>
      <c r="CM17" s="10">
        <v>-0.15753424167633057</v>
      </c>
      <c r="CN17" s="10">
        <v>9.3632958829402924E-2</v>
      </c>
      <c r="CO17" s="10">
        <v>0.44324323534965515</v>
      </c>
      <c r="CP17" s="10">
        <v>8.8235296308994293E-2</v>
      </c>
      <c r="CQ17" s="10">
        <v>0.10749185830354691</v>
      </c>
      <c r="CR17">
        <v>14.298278416444614</v>
      </c>
      <c r="CS17">
        <v>0.98761715526126947</v>
      </c>
      <c r="CT17">
        <v>6.541291905151267</v>
      </c>
      <c r="CU17" s="9">
        <v>0.14477551691234111</v>
      </c>
      <c r="CV17" s="10">
        <v>0.11501382142305375</v>
      </c>
      <c r="CW17">
        <v>0.06</v>
      </c>
      <c r="CX17">
        <v>8.2794282335251275</v>
      </c>
      <c r="CY17">
        <v>531348636.15176582</v>
      </c>
      <c r="CZ17">
        <v>0.14477551691234111</v>
      </c>
      <c r="DA17">
        <v>2.5837663601286329</v>
      </c>
      <c r="DB17">
        <v>1702655072.7988358</v>
      </c>
      <c r="DC17">
        <v>0.13753674106672406</v>
      </c>
      <c r="DD17">
        <v>1.1944102512326187</v>
      </c>
      <c r="DE17">
        <v>3683209262.0270195</v>
      </c>
      <c r="DF17">
        <v>0.12740245488286017</v>
      </c>
      <c r="DG17">
        <v>0.66699162504008469</v>
      </c>
      <c r="DH17">
        <v>6595679368.1414127</v>
      </c>
      <c r="DI17">
        <v>0.11582041352987289</v>
      </c>
      <c r="DJ17">
        <v>0.29200559828480049</v>
      </c>
      <c r="DK17">
        <v>15065679993.262617</v>
      </c>
      <c r="DL17">
        <v>0.10134286183863878</v>
      </c>
      <c r="DM17">
        <v>492000000</v>
      </c>
      <c r="DN17">
        <v>0.14477551691234111</v>
      </c>
      <c r="DO17">
        <v>4399262900</v>
      </c>
      <c r="DP17">
        <v>1941652400</v>
      </c>
      <c r="DQ17">
        <v>603</v>
      </c>
      <c r="DR17">
        <v>-0.21752683966366387</v>
      </c>
      <c r="DS17">
        <v>-0.16060258027139257</v>
      </c>
      <c r="DT17" s="7">
        <v>-0.20666666666666669</v>
      </c>
      <c r="DU17">
        <v>-3.3333333333333326E-2</v>
      </c>
      <c r="DV17">
        <v>-0.24000000000000002</v>
      </c>
      <c r="DW17">
        <v>-2.1059999999999999</v>
      </c>
      <c r="DX17">
        <v>0.62189875883071744</v>
      </c>
      <c r="DY17">
        <v>-2.0203412684360558</v>
      </c>
      <c r="DZ17">
        <v>2292</v>
      </c>
      <c r="EA17">
        <v>-2.0112175527304901</v>
      </c>
      <c r="EB17">
        <v>2</v>
      </c>
      <c r="EC17">
        <v>2.5408223087086113E-2</v>
      </c>
      <c r="ED17">
        <v>0.13240431174179748</v>
      </c>
      <c r="EE17" s="11">
        <v>-3.0779100000000001</v>
      </c>
      <c r="EF17">
        <v>-3.1064099999999999</v>
      </c>
      <c r="EG17">
        <v>43.191898758830717</v>
      </c>
      <c r="EH17" t="s">
        <v>1679</v>
      </c>
      <c r="EI17">
        <v>0</v>
      </c>
      <c r="EJ17">
        <v>0</v>
      </c>
      <c r="EK17" s="13">
        <v>45470</v>
      </c>
      <c r="EL17" s="14">
        <v>-0.24</v>
      </c>
      <c r="EM17" s="14">
        <v>-2.96</v>
      </c>
      <c r="EN17" s="14">
        <v>2.31</v>
      </c>
      <c r="EO17" s="14">
        <v>1.61</v>
      </c>
      <c r="EP17" s="14">
        <v>-2.85</v>
      </c>
    </row>
    <row r="18" spans="1:146" ht="108" x14ac:dyDescent="0.25">
      <c r="A18" s="6" t="s">
        <v>651</v>
      </c>
      <c r="B18" s="6"/>
      <c r="C18" s="6" t="str">
        <f>""&amp;CHAR(10)&amp;Basic_Fundamental_Information_Constructure(F18)&amp;CHAR(10)&amp;Basic_Fundamental_Information_Concatenate("")</f>
        <v xml:space="preserve">
市值30.496576亿, 利润3879.76万; PE77.49; 平均PE92.54; 平均PEG6.93, PB2.8; ROIC3.48%; ROE3.37%; 股利率.1068%; 毛利23.5767%; 净利2.51%; 上一年度营收增19.21%, 利润增6.41%; 当季营收增-17.22%, 利润增6.69%; 过往5年营收增13.36%, 利润增17.63%
Income profile:
</v>
      </c>
      <c r="D18" t="s">
        <v>555</v>
      </c>
      <c r="E18" t="s">
        <v>706</v>
      </c>
      <c r="F18">
        <v>4.68</v>
      </c>
      <c r="G18">
        <v>-1.27</v>
      </c>
      <c r="H18" t="s">
        <v>2045</v>
      </c>
      <c r="I18">
        <v>3049657600</v>
      </c>
      <c r="J18">
        <v>77.489999999999995</v>
      </c>
      <c r="K18">
        <v>2.8</v>
      </c>
      <c r="L18" t="s">
        <v>53</v>
      </c>
      <c r="M18" t="s">
        <v>1281</v>
      </c>
      <c r="N18" t="s">
        <v>1909</v>
      </c>
      <c r="O18" t="s">
        <v>940</v>
      </c>
      <c r="P18">
        <v>-17.399999999999999</v>
      </c>
      <c r="Q18" t="s">
        <v>1282</v>
      </c>
      <c r="R18">
        <v>8889745</v>
      </c>
      <c r="S18" s="5">
        <v>6.6900000000000001E-2</v>
      </c>
      <c r="T18" t="s">
        <v>1283</v>
      </c>
      <c r="U18">
        <v>650251940</v>
      </c>
      <c r="V18">
        <v>651636240</v>
      </c>
      <c r="W18">
        <v>2.44</v>
      </c>
      <c r="X18">
        <v>0.1</v>
      </c>
      <c r="Y18">
        <v>3.25</v>
      </c>
      <c r="Z18" t="s">
        <v>2046</v>
      </c>
      <c r="AA18" t="s">
        <v>149</v>
      </c>
      <c r="AB18" t="s">
        <v>2047</v>
      </c>
      <c r="AC18" t="s">
        <v>2048</v>
      </c>
      <c r="AD18" t="s">
        <v>117</v>
      </c>
      <c r="AE18">
        <v>8114157</v>
      </c>
      <c r="AF18" t="s">
        <v>1284</v>
      </c>
      <c r="AG18" t="s">
        <v>2049</v>
      </c>
      <c r="AH18" t="s">
        <v>1285</v>
      </c>
      <c r="AI18" t="s">
        <v>124</v>
      </c>
      <c r="AJ18" t="s">
        <v>1286</v>
      </c>
      <c r="AK18" t="s">
        <v>2050</v>
      </c>
      <c r="AL18" t="s">
        <v>1287</v>
      </c>
      <c r="AM18" t="s">
        <v>117</v>
      </c>
      <c r="AN18" t="s">
        <v>2051</v>
      </c>
      <c r="AO18" t="s">
        <v>2052</v>
      </c>
      <c r="AP18" t="s">
        <v>2053</v>
      </c>
      <c r="AQ18" t="s">
        <v>2054</v>
      </c>
      <c r="AR18" t="s">
        <v>117</v>
      </c>
      <c r="AS18" t="s">
        <v>2055</v>
      </c>
      <c r="AT18" t="s">
        <v>1288</v>
      </c>
      <c r="AU18" t="s">
        <v>2056</v>
      </c>
      <c r="AV18" t="s">
        <v>2057</v>
      </c>
      <c r="AW18" t="s">
        <v>2058</v>
      </c>
      <c r="AX18" t="s">
        <v>937</v>
      </c>
      <c r="AY18" t="s">
        <v>707</v>
      </c>
      <c r="AZ18" t="s">
        <v>338</v>
      </c>
      <c r="BA18" t="s">
        <v>557</v>
      </c>
      <c r="BB18" t="s">
        <v>558</v>
      </c>
      <c r="BC18" t="s">
        <v>1289</v>
      </c>
      <c r="BD18" t="s">
        <v>708</v>
      </c>
      <c r="BE18" t="s">
        <v>556</v>
      </c>
      <c r="BF18" t="s">
        <v>559</v>
      </c>
      <c r="BG18" t="s">
        <v>560</v>
      </c>
      <c r="BH18" t="s">
        <v>1282</v>
      </c>
      <c r="BI18" t="s">
        <v>279</v>
      </c>
      <c r="BJ18" t="s">
        <v>937</v>
      </c>
      <c r="BK18" t="s">
        <v>1283</v>
      </c>
      <c r="BL18" t="s">
        <v>1290</v>
      </c>
      <c r="BM18" t="s">
        <v>1289</v>
      </c>
      <c r="BN18">
        <v>2.2000000000000002</v>
      </c>
      <c r="BO18">
        <v>3.96</v>
      </c>
      <c r="BP18">
        <v>4.28</v>
      </c>
      <c r="BQ18">
        <v>2.39</v>
      </c>
      <c r="BR18">
        <v>3.57</v>
      </c>
      <c r="BS18">
        <v>4.1500000000000004</v>
      </c>
      <c r="BT18" t="s">
        <v>1009</v>
      </c>
      <c r="BU18" t="s">
        <v>845</v>
      </c>
      <c r="BV18">
        <v>24.76</v>
      </c>
      <c r="BW18">
        <v>22.97</v>
      </c>
      <c r="BX18">
        <v>23</v>
      </c>
      <c r="BY18">
        <v>2.2599999999999998</v>
      </c>
      <c r="BZ18">
        <v>2.5099999999999998</v>
      </c>
      <c r="CA18">
        <v>2.76</v>
      </c>
      <c r="CB18">
        <v>-1.06</v>
      </c>
      <c r="CC18">
        <v>-19.86</v>
      </c>
      <c r="CD18" t="s">
        <v>2059</v>
      </c>
      <c r="CE18" t="s">
        <v>252</v>
      </c>
      <c r="CF18" s="9">
        <v>-0.17220543806646527</v>
      </c>
      <c r="CG18" s="10">
        <v>6.6850480636528375E-2</v>
      </c>
      <c r="CH18" s="9">
        <v>0.1920943558216095</v>
      </c>
      <c r="CI18" s="9">
        <v>-3.7383176386356354E-2</v>
      </c>
      <c r="CJ18" s="9">
        <v>-0.10353085398674011</v>
      </c>
      <c r="CK18" s="9">
        <v>0.69817078113555908</v>
      </c>
      <c r="CL18" s="9">
        <v>-8.1232495605945587E-2</v>
      </c>
      <c r="CM18" s="10">
        <v>6.4064487814903259E-2</v>
      </c>
      <c r="CN18" s="10">
        <v>-0.1176244243979454</v>
      </c>
      <c r="CO18" s="10">
        <v>0.19723479449748993</v>
      </c>
      <c r="CP18" s="10">
        <v>0.23170448839664459</v>
      </c>
      <c r="CQ18" s="10">
        <v>0.50624603033065796</v>
      </c>
      <c r="CR18">
        <v>92.543848708716638</v>
      </c>
      <c r="CS18">
        <v>6.9257050460869767</v>
      </c>
      <c r="CT18">
        <v>0.10683760683760685</v>
      </c>
      <c r="CU18" s="9">
        <v>0.13362372219562529</v>
      </c>
      <c r="CV18" s="10">
        <v>0.17632507532835007</v>
      </c>
      <c r="CW18">
        <v>0.06</v>
      </c>
      <c r="CX18">
        <v>91.791826118186719</v>
      </c>
      <c r="CY18">
        <v>41492339.362506598</v>
      </c>
      <c r="CZ18">
        <v>0.13362372219562529</v>
      </c>
      <c r="DA18">
        <v>28.914205752153652</v>
      </c>
      <c r="DB18">
        <v>131722712.10376634</v>
      </c>
      <c r="DC18">
        <v>0.12694253608584402</v>
      </c>
      <c r="DD18">
        <v>13.540289656102358</v>
      </c>
      <c r="DE18">
        <v>281283317.91510153</v>
      </c>
      <c r="DF18">
        <v>0.11758887553215026</v>
      </c>
      <c r="DG18">
        <v>7.6772007460901568</v>
      </c>
      <c r="DH18">
        <v>496099779.85005438</v>
      </c>
      <c r="DI18">
        <v>0.10689897775650024</v>
      </c>
      <c r="DJ18">
        <v>3.4827017753325524</v>
      </c>
      <c r="DK18">
        <v>1093592804.0052533</v>
      </c>
      <c r="DL18">
        <v>9.3536605536937698E-2</v>
      </c>
      <c r="DM18">
        <v>38797600</v>
      </c>
      <c r="DN18">
        <v>0.13362372219562529</v>
      </c>
      <c r="DO18">
        <v>3808657600</v>
      </c>
      <c r="DP18">
        <v>42917200</v>
      </c>
      <c r="DQ18">
        <v>711</v>
      </c>
      <c r="DR18">
        <v>-0.30582916026209056</v>
      </c>
      <c r="DS18">
        <v>-0.10947459469182169</v>
      </c>
      <c r="DT18" s="7">
        <v>-4.0000000000000036E-2</v>
      </c>
      <c r="DU18">
        <v>0.34999999999999992</v>
      </c>
      <c r="DV18">
        <v>0.30999999999999989</v>
      </c>
      <c r="DW18">
        <v>-3.043654761904762</v>
      </c>
      <c r="DX18">
        <v>0.35385979166666703</v>
      </c>
      <c r="DY18">
        <v>-3.0032243316195437</v>
      </c>
      <c r="DZ18">
        <v>1032</v>
      </c>
      <c r="EA18">
        <v>-3.0025731554490216</v>
      </c>
      <c r="EB18">
        <v>3</v>
      </c>
      <c r="EC18">
        <v>5.440566043410968E-2</v>
      </c>
      <c r="ED18">
        <v>0.73660728261522102</v>
      </c>
      <c r="EE18" s="11">
        <v>-1.0349999999999999</v>
      </c>
      <c r="EF18">
        <v>-1.0008999999999999</v>
      </c>
      <c r="EG18">
        <v>28.073859791666667</v>
      </c>
      <c r="EH18" t="s">
        <v>808</v>
      </c>
      <c r="EI18">
        <v>0</v>
      </c>
      <c r="EJ18">
        <v>1</v>
      </c>
      <c r="EK18" s="13">
        <v>45470</v>
      </c>
      <c r="EL18" s="14">
        <v>-0.2</v>
      </c>
      <c r="EM18" s="14">
        <v>-3.37</v>
      </c>
      <c r="EN18" s="14">
        <v>0.2</v>
      </c>
      <c r="EO18" s="14">
        <v>1.84</v>
      </c>
      <c r="EP18" s="14">
        <v>-3.41</v>
      </c>
    </row>
    <row r="19" spans="1:146" ht="108" x14ac:dyDescent="0.25">
      <c r="A19" s="6"/>
      <c r="B19" s="6"/>
      <c r="C19" s="6" t="str">
        <f>""&amp;CHAR(10)&amp;Basic_Fundamental_Information_Constructure(F19)&amp;CHAR(10)&amp;Basic_Fundamental_Information_Concatenate("")</f>
        <v xml:space="preserve">
市值11.4851115亿, 利润-2.55亿; PE; 平均PE-21.18; 平均PEG-2.3, PB1.9; ROIC3.08%; ROE-9.5333%; 股利率0%; 毛利18.9367%; 净利-31.08%; 上一年度营收增-42.26%, 利润增-147.57%; 当季营收增37.15%, 利润增60.49%; 过往5年营收增-9.22%, 利润增-235.49%
Income profile:
</v>
      </c>
      <c r="D19" t="s">
        <v>709</v>
      </c>
      <c r="E19" t="s">
        <v>710</v>
      </c>
      <c r="F19">
        <v>6.18</v>
      </c>
      <c r="G19">
        <v>0.98</v>
      </c>
      <c r="H19" t="s">
        <v>2060</v>
      </c>
      <c r="I19">
        <v>1148511150</v>
      </c>
      <c r="K19">
        <v>1.9</v>
      </c>
      <c r="L19" t="s">
        <v>53</v>
      </c>
      <c r="M19" t="s">
        <v>1292</v>
      </c>
      <c r="N19" t="s">
        <v>2061</v>
      </c>
      <c r="O19" t="s">
        <v>1293</v>
      </c>
      <c r="P19">
        <v>37.15</v>
      </c>
      <c r="Q19" t="s">
        <v>960</v>
      </c>
      <c r="R19">
        <v>-20856783</v>
      </c>
      <c r="S19" s="8">
        <v>0.60489999999999999</v>
      </c>
      <c r="T19" t="s">
        <v>1294</v>
      </c>
      <c r="U19">
        <v>185843230</v>
      </c>
      <c r="V19">
        <v>185843230</v>
      </c>
      <c r="W19">
        <v>5.24</v>
      </c>
      <c r="X19">
        <v>0.01</v>
      </c>
      <c r="Y19">
        <v>-38.92</v>
      </c>
      <c r="Z19" t="s">
        <v>2062</v>
      </c>
      <c r="AA19" t="s">
        <v>2063</v>
      </c>
      <c r="AB19" t="s">
        <v>2064</v>
      </c>
      <c r="AC19" t="s">
        <v>2065</v>
      </c>
      <c r="AD19" t="s">
        <v>117</v>
      </c>
      <c r="AE19">
        <v>26183320</v>
      </c>
      <c r="AF19" t="s">
        <v>1295</v>
      </c>
      <c r="AG19" t="s">
        <v>2066</v>
      </c>
      <c r="AH19" t="s">
        <v>1296</v>
      </c>
      <c r="AI19" t="s">
        <v>2067</v>
      </c>
      <c r="AJ19" t="s">
        <v>1297</v>
      </c>
      <c r="AK19" t="s">
        <v>117</v>
      </c>
      <c r="AL19" t="s">
        <v>1298</v>
      </c>
      <c r="AM19" t="s">
        <v>117</v>
      </c>
      <c r="AN19" t="s">
        <v>2068</v>
      </c>
      <c r="AO19" t="s">
        <v>165</v>
      </c>
      <c r="AP19" t="s">
        <v>231</v>
      </c>
      <c r="AQ19" t="s">
        <v>2069</v>
      </c>
      <c r="AR19" t="s">
        <v>117</v>
      </c>
      <c r="AS19" t="s">
        <v>2070</v>
      </c>
      <c r="AT19" t="s">
        <v>2071</v>
      </c>
      <c r="AU19" t="s">
        <v>2072</v>
      </c>
      <c r="AV19" t="s">
        <v>2073</v>
      </c>
      <c r="AW19" t="s">
        <v>2074</v>
      </c>
      <c r="AX19" t="s">
        <v>944</v>
      </c>
      <c r="AY19" t="s">
        <v>588</v>
      </c>
      <c r="AZ19" t="s">
        <v>496</v>
      </c>
      <c r="BA19" t="s">
        <v>388</v>
      </c>
      <c r="BB19" t="s">
        <v>402</v>
      </c>
      <c r="BC19" t="s">
        <v>1010</v>
      </c>
      <c r="BD19" t="s">
        <v>711</v>
      </c>
      <c r="BE19" t="s">
        <v>712</v>
      </c>
      <c r="BF19" t="s">
        <v>713</v>
      </c>
      <c r="BG19" t="s">
        <v>714</v>
      </c>
      <c r="BH19" t="s">
        <v>960</v>
      </c>
      <c r="BI19" t="s">
        <v>1300</v>
      </c>
      <c r="BJ19" t="s">
        <v>944</v>
      </c>
      <c r="BK19" t="s">
        <v>1294</v>
      </c>
      <c r="BL19" t="s">
        <v>1301</v>
      </c>
      <c r="BM19" t="s">
        <v>1010</v>
      </c>
      <c r="BN19" t="s">
        <v>117</v>
      </c>
      <c r="BO19" t="s">
        <v>117</v>
      </c>
      <c r="BP19">
        <v>3.08</v>
      </c>
      <c r="BQ19">
        <v>-17.13</v>
      </c>
      <c r="BR19">
        <v>-12.46</v>
      </c>
      <c r="BS19">
        <v>0.99</v>
      </c>
      <c r="BT19" t="s">
        <v>930</v>
      </c>
      <c r="BU19" t="s">
        <v>847</v>
      </c>
      <c r="BV19">
        <v>18.760000000000002</v>
      </c>
      <c r="BW19">
        <v>19.21</v>
      </c>
      <c r="BX19">
        <v>18.84</v>
      </c>
      <c r="BY19">
        <v>-77.400000000000006</v>
      </c>
      <c r="BZ19">
        <v>-17.12</v>
      </c>
      <c r="CA19">
        <v>1.28</v>
      </c>
      <c r="CB19">
        <v>-1.44</v>
      </c>
      <c r="CC19">
        <v>-17.38</v>
      </c>
      <c r="CD19" t="s">
        <v>2075</v>
      </c>
      <c r="CE19" t="s">
        <v>1425</v>
      </c>
      <c r="CF19" s="9">
        <v>0.37147123639454466</v>
      </c>
      <c r="CG19" s="10">
        <v>0.6048669298767434</v>
      </c>
      <c r="CH19" s="9">
        <v>-0.42258065938949585</v>
      </c>
      <c r="CI19" s="9">
        <v>-0.46133798360824585</v>
      </c>
      <c r="CJ19" s="9">
        <v>0.31995421648025513</v>
      </c>
      <c r="CK19" s="9">
        <v>3.8095239549875259E-2</v>
      </c>
      <c r="CL19" s="9">
        <v>6.4638786017894745E-2</v>
      </c>
      <c r="CM19" s="10">
        <v>-1.4757281541824341</v>
      </c>
      <c r="CN19" s="10">
        <v>-12.985384941101074</v>
      </c>
      <c r="CO19" s="10">
        <v>-0.47726276516914368</v>
      </c>
      <c r="CP19" s="10">
        <v>2.9057302474975586</v>
      </c>
      <c r="CQ19" s="10">
        <v>0.25801727175712585</v>
      </c>
      <c r="CR19">
        <v>-21.176496130586816</v>
      </c>
      <c r="CS19">
        <v>-2.2956526810659521</v>
      </c>
      <c r="CT19">
        <v>0</v>
      </c>
      <c r="CU19" s="9">
        <v>-9.2246080189943319E-2</v>
      </c>
      <c r="CV19" s="10">
        <v>-2.3549256682395936</v>
      </c>
      <c r="CW19">
        <v>0.06</v>
      </c>
      <c r="CX19" t="e">
        <v>#VALUE!</v>
      </c>
      <c r="CY19" t="s">
        <v>802</v>
      </c>
      <c r="CZ19">
        <v>-9.2246080189943319E-2</v>
      </c>
      <c r="DA19" t="e">
        <v>#VALUE!</v>
      </c>
      <c r="DB19" t="s">
        <v>803</v>
      </c>
      <c r="DC19">
        <v>-8.7633776180446155E-2</v>
      </c>
      <c r="DD19" t="e">
        <v>#VALUE!</v>
      </c>
      <c r="DE19" t="s">
        <v>803</v>
      </c>
      <c r="DF19">
        <v>-8.1176550567150119E-2</v>
      </c>
      <c r="DG19" t="e">
        <v>#VALUE!</v>
      </c>
      <c r="DH19" t="s">
        <v>803</v>
      </c>
      <c r="DI19">
        <v>-7.3796864151954661E-2</v>
      </c>
      <c r="DJ19" t="e">
        <v>#VALUE!</v>
      </c>
      <c r="DK19" t="s">
        <v>803</v>
      </c>
      <c r="DL19">
        <v>-6.4572256132960318E-2</v>
      </c>
      <c r="DM19">
        <v>-254999999.99999997</v>
      </c>
      <c r="DN19">
        <v>-9.2246080189943319E-2</v>
      </c>
      <c r="DO19">
        <v>3704511150</v>
      </c>
      <c r="DP19">
        <v>-764719610</v>
      </c>
      <c r="DQ19">
        <v>715</v>
      </c>
      <c r="DR19">
        <v>0.463717316584488</v>
      </c>
      <c r="DS19">
        <v>2.9597925981163371</v>
      </c>
      <c r="DT19" s="7">
        <v>-0.62333333333333341</v>
      </c>
      <c r="DU19">
        <v>-1.4483333333333335</v>
      </c>
      <c r="DV19">
        <v>-2.0716666666666668</v>
      </c>
      <c r="DW19">
        <v>-3.0156071428571427</v>
      </c>
      <c r="DX19">
        <v>0.27618544303797521</v>
      </c>
      <c r="DY19">
        <v>-3.0022815370931282</v>
      </c>
      <c r="DZ19">
        <v>4433</v>
      </c>
      <c r="EA19">
        <v>-3.0003022701784827</v>
      </c>
      <c r="EB19">
        <v>3</v>
      </c>
      <c r="EC19">
        <v>0.12428378477924647</v>
      </c>
      <c r="ED19">
        <v>0.85017893845258719</v>
      </c>
      <c r="EE19" s="11">
        <v>-4.0435100000000004</v>
      </c>
      <c r="EF19">
        <v>-4.0623100000000001</v>
      </c>
      <c r="EG19">
        <v>13.146185443037975</v>
      </c>
      <c r="EH19" t="s">
        <v>1538</v>
      </c>
      <c r="EI19">
        <v>0</v>
      </c>
      <c r="EJ19">
        <v>0</v>
      </c>
      <c r="EK19" s="13">
        <v>45470</v>
      </c>
      <c r="EL19" s="14">
        <v>6.59</v>
      </c>
      <c r="EM19" s="14">
        <v>-6.33</v>
      </c>
      <c r="EN19" s="14">
        <v>0.32</v>
      </c>
      <c r="EO19" s="14">
        <v>2.73</v>
      </c>
      <c r="EP19" s="14">
        <v>-1.88</v>
      </c>
    </row>
    <row r="20" spans="1:146" ht="108" x14ac:dyDescent="0.25">
      <c r="A20" s="6"/>
      <c r="B20" s="6"/>
      <c r="C20" s="6" t="str">
        <f>""&amp;CHAR(10)&amp;Basic_Fundamental_Information_Constructure(F20)&amp;CHAR(10)&amp;Basic_Fundamental_Information_Concatenate("")</f>
        <v xml:space="preserve">
市值37.990247亿, 利润2.48亿; PE14.12; 平均PE17.06; 平均PEG2.38, PB1.12; ROIC4.16%; ROE5.5333%; 股利率1.8617%; 毛利19.5767%; 净利3.5833%; 上一年度营收增10.88%, 利润增7.83%; 当季营收增6.65%, 利润增48.66%; 过往5年营收增7.16%, 利润增28.58%
Income profile:
</v>
      </c>
      <c r="D20" t="s">
        <v>77</v>
      </c>
      <c r="E20" t="s">
        <v>22</v>
      </c>
      <c r="F20">
        <v>3.76</v>
      </c>
      <c r="G20">
        <v>0</v>
      </c>
      <c r="H20" t="s">
        <v>2076</v>
      </c>
      <c r="I20">
        <v>3799024700</v>
      </c>
      <c r="J20">
        <v>14.12</v>
      </c>
      <c r="K20">
        <v>1.1200000000000001</v>
      </c>
      <c r="L20" t="s">
        <v>53</v>
      </c>
      <c r="M20" t="s">
        <v>1021</v>
      </c>
      <c r="N20" t="s">
        <v>675</v>
      </c>
      <c r="O20" t="s">
        <v>1302</v>
      </c>
      <c r="P20">
        <v>6.59</v>
      </c>
      <c r="Q20" t="s">
        <v>1303</v>
      </c>
      <c r="R20">
        <v>65256263</v>
      </c>
      <c r="S20" s="5">
        <v>0.48659999999999998</v>
      </c>
      <c r="T20" t="s">
        <v>1304</v>
      </c>
      <c r="U20">
        <v>825504850</v>
      </c>
      <c r="V20">
        <v>1010378910</v>
      </c>
      <c r="W20">
        <v>2.27</v>
      </c>
      <c r="X20">
        <v>0.16</v>
      </c>
      <c r="Y20">
        <v>4.8899999999999997</v>
      </c>
      <c r="Z20" t="s">
        <v>988</v>
      </c>
      <c r="AA20" t="s">
        <v>2077</v>
      </c>
      <c r="AB20" t="s">
        <v>2078</v>
      </c>
      <c r="AC20" t="s">
        <v>2079</v>
      </c>
      <c r="AD20" t="s">
        <v>117</v>
      </c>
      <c r="AE20">
        <v>11672616</v>
      </c>
      <c r="AF20" t="s">
        <v>1306</v>
      </c>
      <c r="AG20" t="s">
        <v>1246</v>
      </c>
      <c r="AH20" t="s">
        <v>1307</v>
      </c>
      <c r="AI20" t="s">
        <v>850</v>
      </c>
      <c r="AJ20" t="s">
        <v>1308</v>
      </c>
      <c r="AK20" t="s">
        <v>540</v>
      </c>
      <c r="AL20" t="s">
        <v>1310</v>
      </c>
      <c r="AM20" t="s">
        <v>117</v>
      </c>
      <c r="AN20" t="s">
        <v>1119</v>
      </c>
      <c r="AO20" t="s">
        <v>867</v>
      </c>
      <c r="AP20" t="s">
        <v>388</v>
      </c>
      <c r="AQ20" t="s">
        <v>2080</v>
      </c>
      <c r="AR20" t="s">
        <v>117</v>
      </c>
      <c r="AS20" t="s">
        <v>2081</v>
      </c>
      <c r="AT20" t="s">
        <v>2082</v>
      </c>
      <c r="AU20" t="s">
        <v>2083</v>
      </c>
      <c r="AV20" t="s">
        <v>2084</v>
      </c>
      <c r="AW20" t="s">
        <v>2085</v>
      </c>
      <c r="AX20" t="s">
        <v>1011</v>
      </c>
      <c r="AY20" t="s">
        <v>715</v>
      </c>
      <c r="AZ20" t="s">
        <v>364</v>
      </c>
      <c r="BA20" t="s">
        <v>257</v>
      </c>
      <c r="BB20" t="s">
        <v>369</v>
      </c>
      <c r="BC20" t="s">
        <v>856</v>
      </c>
      <c r="BD20" t="s">
        <v>716</v>
      </c>
      <c r="BE20" t="s">
        <v>200</v>
      </c>
      <c r="BF20" t="s">
        <v>258</v>
      </c>
      <c r="BG20" t="s">
        <v>370</v>
      </c>
      <c r="BH20" t="s">
        <v>1303</v>
      </c>
      <c r="BI20" t="s">
        <v>1311</v>
      </c>
      <c r="BJ20" t="s">
        <v>1011</v>
      </c>
      <c r="BK20" t="s">
        <v>1304</v>
      </c>
      <c r="BL20" t="s">
        <v>1312</v>
      </c>
      <c r="BM20" t="s">
        <v>856</v>
      </c>
      <c r="BN20">
        <v>4.24</v>
      </c>
      <c r="BO20">
        <v>5.59</v>
      </c>
      <c r="BP20">
        <v>2.65</v>
      </c>
      <c r="BQ20">
        <v>6.3</v>
      </c>
      <c r="BR20">
        <v>7.36</v>
      </c>
      <c r="BS20">
        <v>2.94</v>
      </c>
      <c r="BT20" t="s">
        <v>1313</v>
      </c>
      <c r="BU20" t="s">
        <v>849</v>
      </c>
      <c r="BV20">
        <v>19.93</v>
      </c>
      <c r="BW20">
        <v>20.059999999999999</v>
      </c>
      <c r="BX20">
        <v>18.739999999999998</v>
      </c>
      <c r="BY20">
        <v>4.62</v>
      </c>
      <c r="BZ20">
        <v>4.3499999999999996</v>
      </c>
      <c r="CA20">
        <v>1.78</v>
      </c>
      <c r="CB20">
        <v>-8.07</v>
      </c>
      <c r="CC20">
        <v>-15.88</v>
      </c>
      <c r="CD20" t="s">
        <v>2086</v>
      </c>
      <c r="CE20" t="s">
        <v>421</v>
      </c>
      <c r="CF20" s="9">
        <v>6.6502463054187194E-2</v>
      </c>
      <c r="CG20" s="10">
        <v>0.4865565087840793</v>
      </c>
      <c r="CH20" s="9">
        <v>0.10879252851009369</v>
      </c>
      <c r="CI20" s="9">
        <v>0.12745548784732819</v>
      </c>
      <c r="CJ20" s="9">
        <v>4.8873919993638992E-2</v>
      </c>
      <c r="CK20" s="9">
        <v>8.2125915214419365E-3</v>
      </c>
      <c r="CL20" s="9">
        <v>6.4814813435077667E-2</v>
      </c>
      <c r="CM20" s="10">
        <v>7.8260868787765503E-2</v>
      </c>
      <c r="CN20" s="10">
        <v>1.7461506128311157</v>
      </c>
      <c r="CO20" s="10">
        <v>-0.7208213210105896</v>
      </c>
      <c r="CP20" s="10">
        <v>0.190476194024086</v>
      </c>
      <c r="CQ20" s="10">
        <v>0.13513512909412384</v>
      </c>
      <c r="CR20">
        <v>17.064635423778757</v>
      </c>
      <c r="CS20">
        <v>2.382335167988423</v>
      </c>
      <c r="CT20">
        <v>1.8617021276595744</v>
      </c>
      <c r="CU20" s="9">
        <v>7.16298682615161E-2</v>
      </c>
      <c r="CV20" s="10">
        <v>0.28584029674530032</v>
      </c>
      <c r="CW20">
        <v>0.06</v>
      </c>
      <c r="CX20">
        <v>19.607554509971834</v>
      </c>
      <c r="CY20">
        <v>250720950.31024149</v>
      </c>
      <c r="CZ20">
        <v>7.16298682615161E-2</v>
      </c>
      <c r="DA20">
        <v>6.5082274364628017</v>
      </c>
      <c r="DB20">
        <v>755355394.07514036</v>
      </c>
      <c r="DC20">
        <v>6.8048374848440285E-2</v>
      </c>
      <c r="DD20">
        <v>3.2708530222968415</v>
      </c>
      <c r="DE20">
        <v>1502979396.0438781</v>
      </c>
      <c r="DF20">
        <v>6.3034284070134172E-2</v>
      </c>
      <c r="DG20">
        <v>2.0101753336954227</v>
      </c>
      <c r="DH20">
        <v>2445570104.0578308</v>
      </c>
      <c r="DI20">
        <v>5.7303894609212883E-2</v>
      </c>
      <c r="DJ20">
        <v>1.0917271900720318</v>
      </c>
      <c r="DK20">
        <v>4502979081.8671856</v>
      </c>
      <c r="DL20">
        <v>5.0140907783061267E-2</v>
      </c>
      <c r="DM20">
        <v>248000000</v>
      </c>
      <c r="DN20">
        <v>7.16298682615161E-2</v>
      </c>
      <c r="DO20">
        <v>4916024700</v>
      </c>
      <c r="DP20">
        <v>2239298100</v>
      </c>
      <c r="DQ20">
        <v>734</v>
      </c>
      <c r="DR20">
        <v>-5.1274052073289056E-3</v>
      </c>
      <c r="DS20">
        <v>0.20071621203877898</v>
      </c>
      <c r="DT20" s="7">
        <v>-0.44</v>
      </c>
      <c r="DU20">
        <v>0.36999999999999994</v>
      </c>
      <c r="DV20">
        <v>-7.0000000000000062E-2</v>
      </c>
      <c r="DW20">
        <v>-9.5081863979848862</v>
      </c>
      <c r="DX20">
        <v>0.32869565217391394</v>
      </c>
      <c r="DY20">
        <v>-9.0552376519548794</v>
      </c>
      <c r="DZ20">
        <v>1871</v>
      </c>
      <c r="EA20">
        <v>-9.0350126721490902</v>
      </c>
      <c r="EB20">
        <v>9</v>
      </c>
      <c r="EC20">
        <v>0.10887004757452827</v>
      </c>
      <c r="ED20">
        <v>1.0016044376856599</v>
      </c>
      <c r="EE20" s="11">
        <v>2.0716000000000001</v>
      </c>
      <c r="EF20">
        <v>2.0548999999999999</v>
      </c>
      <c r="EG20">
        <v>22.108695652173914</v>
      </c>
      <c r="EH20" t="s">
        <v>2087</v>
      </c>
      <c r="EI20">
        <v>0</v>
      </c>
      <c r="EJ20">
        <v>0</v>
      </c>
      <c r="EK20" s="13">
        <v>45470</v>
      </c>
      <c r="EL20" s="14">
        <v>1.38</v>
      </c>
      <c r="EM20" s="14">
        <v>4.09</v>
      </c>
      <c r="EN20" s="14">
        <v>9.9499999999999993</v>
      </c>
      <c r="EO20" s="14">
        <v>-0.24</v>
      </c>
      <c r="EP20" s="14">
        <v>-1.67</v>
      </c>
    </row>
    <row r="21" spans="1:146" ht="108" x14ac:dyDescent="0.25">
      <c r="A21" s="6"/>
      <c r="B21" s="6"/>
      <c r="C21" s="6" t="str">
        <f>""&amp;CHAR(10)&amp;Basic_Fundamental_Information_Constructure(F21)&amp;CHAR(10)&amp;Basic_Fundamental_Information_Concatenate("")</f>
        <v xml:space="preserve">
市值87.393759亿, 利润7.42亿; PE13.29; 平均PE6.49; 平均PEG2.25, PB.72; ROIC7.81%; ROE8.11%; 股利率6.8213%; 毛利26.8333%; 净利13.9467%; 上一年度营收增-8.29%, 利润增178.95%; 当季营收增-24.43%, 利润增-36.11%; 过往5年营收增-2.88%, 利润增19.97%
Income profile:
</v>
      </c>
      <c r="D21" t="s">
        <v>91</v>
      </c>
      <c r="E21" t="s">
        <v>38</v>
      </c>
      <c r="F21">
        <v>7.33</v>
      </c>
      <c r="G21">
        <v>-0.41</v>
      </c>
      <c r="H21" t="s">
        <v>2088</v>
      </c>
      <c r="I21">
        <v>8739375900</v>
      </c>
      <c r="J21">
        <v>13.29</v>
      </c>
      <c r="K21">
        <v>0.72</v>
      </c>
      <c r="L21" t="s">
        <v>53</v>
      </c>
      <c r="M21" t="s">
        <v>1314</v>
      </c>
      <c r="N21" t="s">
        <v>2089</v>
      </c>
      <c r="O21" t="s">
        <v>1315</v>
      </c>
      <c r="P21">
        <v>-24.38</v>
      </c>
      <c r="Q21" t="s">
        <v>1316</v>
      </c>
      <c r="R21">
        <v>148855280</v>
      </c>
      <c r="S21" s="5">
        <v>-0.36070000000000002</v>
      </c>
      <c r="T21" t="s">
        <v>1317</v>
      </c>
      <c r="U21">
        <v>1191484970</v>
      </c>
      <c r="V21">
        <v>1192275020</v>
      </c>
      <c r="W21">
        <v>1.1000000000000001</v>
      </c>
      <c r="X21">
        <v>7.0000000000000007E-2</v>
      </c>
      <c r="Y21">
        <v>15.34</v>
      </c>
      <c r="Z21" t="s">
        <v>1845</v>
      </c>
      <c r="AA21" t="s">
        <v>2090</v>
      </c>
      <c r="AB21" t="s">
        <v>2091</v>
      </c>
      <c r="AC21" t="s">
        <v>2092</v>
      </c>
      <c r="AD21" t="s">
        <v>117</v>
      </c>
      <c r="AE21">
        <v>-11751603</v>
      </c>
      <c r="AF21" t="s">
        <v>1318</v>
      </c>
      <c r="AG21" t="s">
        <v>2093</v>
      </c>
      <c r="AH21" t="s">
        <v>1319</v>
      </c>
      <c r="AI21" t="s">
        <v>358</v>
      </c>
      <c r="AJ21" t="s">
        <v>1320</v>
      </c>
      <c r="AK21" t="s">
        <v>117</v>
      </c>
      <c r="AL21" t="s">
        <v>1321</v>
      </c>
      <c r="AM21" t="s">
        <v>117</v>
      </c>
      <c r="AN21" t="s">
        <v>366</v>
      </c>
      <c r="AO21" t="s">
        <v>117</v>
      </c>
      <c r="AP21" t="s">
        <v>117</v>
      </c>
      <c r="AQ21" t="s">
        <v>2094</v>
      </c>
      <c r="AR21" t="s">
        <v>117</v>
      </c>
      <c r="AS21" t="s">
        <v>2095</v>
      </c>
      <c r="AT21" t="s">
        <v>117</v>
      </c>
      <c r="AU21" t="s">
        <v>2096</v>
      </c>
      <c r="AV21" t="s">
        <v>2097</v>
      </c>
      <c r="AW21" t="s">
        <v>2098</v>
      </c>
      <c r="AX21" t="s">
        <v>1013</v>
      </c>
      <c r="AY21" t="s">
        <v>717</v>
      </c>
      <c r="AZ21" t="s">
        <v>371</v>
      </c>
      <c r="BA21" t="s">
        <v>157</v>
      </c>
      <c r="BB21" t="s">
        <v>373</v>
      </c>
      <c r="BC21" t="s">
        <v>843</v>
      </c>
      <c r="BD21" t="s">
        <v>718</v>
      </c>
      <c r="BE21" t="s">
        <v>372</v>
      </c>
      <c r="BF21" t="s">
        <v>158</v>
      </c>
      <c r="BG21" t="s">
        <v>119</v>
      </c>
      <c r="BH21" t="s">
        <v>1316</v>
      </c>
      <c r="BI21" t="s">
        <v>1322</v>
      </c>
      <c r="BJ21" t="s">
        <v>1013</v>
      </c>
      <c r="BK21" t="s">
        <v>1317</v>
      </c>
      <c r="BL21" t="s">
        <v>201</v>
      </c>
      <c r="BM21" t="s">
        <v>843</v>
      </c>
      <c r="BN21">
        <v>5.1100000000000003</v>
      </c>
      <c r="BO21">
        <v>2.0699999999999998</v>
      </c>
      <c r="BP21">
        <v>16.25</v>
      </c>
      <c r="BQ21">
        <v>5.32</v>
      </c>
      <c r="BR21">
        <v>2.3199999999999998</v>
      </c>
      <c r="BS21">
        <v>16.690000000000001</v>
      </c>
      <c r="BT21" t="s">
        <v>954</v>
      </c>
      <c r="BU21" t="s">
        <v>847</v>
      </c>
      <c r="BV21">
        <v>26.28</v>
      </c>
      <c r="BW21">
        <v>17</v>
      </c>
      <c r="BX21">
        <v>37.22</v>
      </c>
      <c r="BY21">
        <v>13.54</v>
      </c>
      <c r="BZ21">
        <v>4.4800000000000004</v>
      </c>
      <c r="CA21">
        <v>23.82</v>
      </c>
      <c r="CB21">
        <v>0.27</v>
      </c>
      <c r="CC21">
        <v>3.09</v>
      </c>
      <c r="CD21" t="s">
        <v>2099</v>
      </c>
      <c r="CE21" t="s">
        <v>195</v>
      </c>
      <c r="CF21" s="9">
        <v>-0.24429223744292236</v>
      </c>
      <c r="CG21" s="10">
        <v>-0.36113613733905581</v>
      </c>
      <c r="CH21" s="9">
        <v>-8.2850001752376556E-2</v>
      </c>
      <c r="CI21" s="9">
        <v>-0.21755479276180267</v>
      </c>
      <c r="CJ21" s="9">
        <v>9.4508282840251923E-2</v>
      </c>
      <c r="CK21" s="9">
        <v>2.2638261318206787E-2</v>
      </c>
      <c r="CL21" s="9">
        <v>3.9366465061903E-2</v>
      </c>
      <c r="CM21" s="10">
        <v>1.7894736528396606</v>
      </c>
      <c r="CN21" s="10">
        <v>-0.85511982440948486</v>
      </c>
      <c r="CO21" s="10">
        <v>3.0303031206130981E-2</v>
      </c>
      <c r="CP21" s="10">
        <v>2.827470563352108E-2</v>
      </c>
      <c r="CQ21" s="10">
        <v>5.8037559501826763E-3</v>
      </c>
      <c r="CR21">
        <v>6.4880296213808464</v>
      </c>
      <c r="CS21">
        <v>2.2544822861613394</v>
      </c>
      <c r="CT21">
        <v>6.8212824010914055</v>
      </c>
      <c r="CU21" s="9">
        <v>-2.8778357058763505E-2</v>
      </c>
      <c r="CV21" s="10">
        <v>0.1997470642440021</v>
      </c>
      <c r="CW21">
        <v>0.06</v>
      </c>
      <c r="CX21" t="s">
        <v>807</v>
      </c>
      <c r="CY21" t="s">
        <v>1323</v>
      </c>
      <c r="CZ21">
        <v>-2.8778357058763505E-2</v>
      </c>
      <c r="DA21" t="s">
        <v>807</v>
      </c>
      <c r="DB21" t="s">
        <v>1324</v>
      </c>
      <c r="DC21">
        <v>-2.7339439205825329E-2</v>
      </c>
      <c r="DD21" t="s">
        <v>807</v>
      </c>
      <c r="DE21" t="s">
        <v>1325</v>
      </c>
      <c r="DF21">
        <v>-2.5324954211711884E-2</v>
      </c>
      <c r="DG21" t="s">
        <v>807</v>
      </c>
      <c r="DH21" t="s">
        <v>1326</v>
      </c>
      <c r="DI21">
        <v>-2.3022685647010807E-2</v>
      </c>
      <c r="DJ21" t="s">
        <v>807</v>
      </c>
      <c r="DK21" t="s">
        <v>1327</v>
      </c>
      <c r="DL21">
        <v>-2.0144849941134451E-2</v>
      </c>
      <c r="DM21">
        <v>742000000</v>
      </c>
      <c r="DN21">
        <v>-2.8778357058763505E-2</v>
      </c>
      <c r="DO21">
        <v>-1951624100</v>
      </c>
      <c r="DP21">
        <v>5749472100</v>
      </c>
      <c r="DQ21">
        <v>742</v>
      </c>
      <c r="DR21">
        <v>-0.21551388038415886</v>
      </c>
      <c r="DS21">
        <v>-0.56088320158305793</v>
      </c>
      <c r="DT21" s="7">
        <v>-0.59</v>
      </c>
      <c r="DU21">
        <v>-0.18666666666666668</v>
      </c>
      <c r="DV21">
        <v>-0.77666666666666662</v>
      </c>
      <c r="DW21">
        <v>1.0308999999999999</v>
      </c>
      <c r="DX21">
        <v>0.39249809885931569</v>
      </c>
      <c r="DY21">
        <v>1.0062571912547529</v>
      </c>
      <c r="DZ21">
        <v>3307</v>
      </c>
      <c r="EA21">
        <v>1.0022077721785361</v>
      </c>
      <c r="EB21">
        <v>1</v>
      </c>
      <c r="EC21">
        <v>4.4668385319353583E-2</v>
      </c>
      <c r="ED21">
        <v>0.22058668980584697</v>
      </c>
      <c r="EE21" s="11">
        <v>7.2099999999999942E-3</v>
      </c>
      <c r="EF21">
        <v>2.9099999999999998E-3</v>
      </c>
      <c r="EG21">
        <v>19.202498098859316</v>
      </c>
      <c r="EH21">
        <v>-1</v>
      </c>
      <c r="EI21">
        <v>0</v>
      </c>
      <c r="EJ21">
        <v>0</v>
      </c>
      <c r="EK21" s="13">
        <v>45470</v>
      </c>
      <c r="EL21" s="14">
        <v>1.8</v>
      </c>
      <c r="EM21" s="14">
        <v>-2.21</v>
      </c>
      <c r="EN21" s="14">
        <v>2.71</v>
      </c>
      <c r="EO21" s="14">
        <v>2.4900000000000002</v>
      </c>
      <c r="EP21" s="14">
        <v>0.43</v>
      </c>
    </row>
    <row r="22" spans="1:146" ht="108" x14ac:dyDescent="0.25">
      <c r="A22" s="6"/>
      <c r="B22" s="6"/>
      <c r="C22" s="6" t="str">
        <f>""&amp;CHAR(10)&amp;Basic_Fundamental_Information_Constructure(F22)&amp;CHAR(10)&amp;Basic_Fundamental_Information_Concatenate("")</f>
        <v xml:space="preserve">
市值12.3376157亿, 利润-3.36亿; PE; 平均PE-1.71; 平均PEG-.1, PB3.1; ROIC9.665%; ROE-13.4267%; 股利率0%; 毛利20.4967%; 净利-7.6233%; 上一年度营收增1.28%, 利润增-735.48%; 当季营收增6.82%, 利润增-499%; 过往5年营收增-17.86%, 利润增-130.26%
Income profile:
</v>
      </c>
      <c r="D22" t="s">
        <v>374</v>
      </c>
      <c r="E22" t="s">
        <v>541</v>
      </c>
      <c r="F22">
        <v>1.45</v>
      </c>
      <c r="G22">
        <v>7.41</v>
      </c>
      <c r="H22" t="s">
        <v>2100</v>
      </c>
      <c r="I22">
        <v>1233761570</v>
      </c>
      <c r="K22">
        <v>3.1</v>
      </c>
      <c r="L22" t="s">
        <v>53</v>
      </c>
      <c r="M22" t="s">
        <v>332</v>
      </c>
      <c r="N22" t="s">
        <v>212</v>
      </c>
      <c r="O22" t="s">
        <v>864</v>
      </c>
      <c r="P22">
        <v>7.09</v>
      </c>
      <c r="Q22" t="s">
        <v>1328</v>
      </c>
      <c r="R22">
        <v>-6901452</v>
      </c>
      <c r="S22" s="5">
        <v>-4.99</v>
      </c>
      <c r="T22" t="s">
        <v>1329</v>
      </c>
      <c r="U22">
        <v>643540670</v>
      </c>
      <c r="V22">
        <v>850870050</v>
      </c>
      <c r="W22">
        <v>2.72</v>
      </c>
      <c r="X22">
        <v>0.17</v>
      </c>
      <c r="Y22">
        <v>-3.75</v>
      </c>
      <c r="Z22" t="s">
        <v>463</v>
      </c>
      <c r="AA22" t="s">
        <v>762</v>
      </c>
      <c r="AB22" t="s">
        <v>2101</v>
      </c>
      <c r="AC22" t="s">
        <v>2102</v>
      </c>
      <c r="AD22" t="s">
        <v>117</v>
      </c>
      <c r="AE22">
        <v>-1846243</v>
      </c>
      <c r="AF22" t="s">
        <v>118</v>
      </c>
      <c r="AG22" t="s">
        <v>2103</v>
      </c>
      <c r="AH22" t="s">
        <v>1330</v>
      </c>
      <c r="AI22" t="s">
        <v>1027</v>
      </c>
      <c r="AJ22" t="s">
        <v>1332</v>
      </c>
      <c r="AK22" t="s">
        <v>117</v>
      </c>
      <c r="AL22" t="s">
        <v>1333</v>
      </c>
      <c r="AM22" t="s">
        <v>117</v>
      </c>
      <c r="AN22" t="s">
        <v>2104</v>
      </c>
      <c r="AO22" t="s">
        <v>117</v>
      </c>
      <c r="AP22" t="s">
        <v>2105</v>
      </c>
      <c r="AQ22" t="s">
        <v>221</v>
      </c>
      <c r="AR22" t="s">
        <v>2106</v>
      </c>
      <c r="AS22" t="s">
        <v>2107</v>
      </c>
      <c r="AT22" t="s">
        <v>117</v>
      </c>
      <c r="AU22" t="s">
        <v>2108</v>
      </c>
      <c r="AV22" t="s">
        <v>2109</v>
      </c>
      <c r="AW22" t="s">
        <v>2110</v>
      </c>
      <c r="AX22" t="s">
        <v>1015</v>
      </c>
      <c r="AY22" t="s">
        <v>719</v>
      </c>
      <c r="AZ22" t="s">
        <v>376</v>
      </c>
      <c r="BA22" t="s">
        <v>378</v>
      </c>
      <c r="BB22" t="s">
        <v>615</v>
      </c>
      <c r="BC22" t="s">
        <v>1016</v>
      </c>
      <c r="BD22" t="s">
        <v>720</v>
      </c>
      <c r="BE22" t="s">
        <v>377</v>
      </c>
      <c r="BF22" t="s">
        <v>616</v>
      </c>
      <c r="BG22" t="s">
        <v>617</v>
      </c>
      <c r="BH22" t="s">
        <v>1328</v>
      </c>
      <c r="BI22" t="s">
        <v>366</v>
      </c>
      <c r="BJ22" t="s">
        <v>1015</v>
      </c>
      <c r="BK22" t="s">
        <v>1329</v>
      </c>
      <c r="BL22" t="s">
        <v>1335</v>
      </c>
      <c r="BM22" t="s">
        <v>1016</v>
      </c>
      <c r="BN22" t="s">
        <v>117</v>
      </c>
      <c r="BO22">
        <v>6.97</v>
      </c>
      <c r="BP22">
        <v>12.36</v>
      </c>
      <c r="BQ22">
        <v>-60.13</v>
      </c>
      <c r="BR22">
        <v>7.4</v>
      </c>
      <c r="BS22">
        <v>12.45</v>
      </c>
      <c r="BT22" t="s">
        <v>930</v>
      </c>
      <c r="BU22" t="s">
        <v>848</v>
      </c>
      <c r="BV22">
        <v>21.99</v>
      </c>
      <c r="BW22">
        <v>19.600000000000001</v>
      </c>
      <c r="BX22">
        <v>19.899999999999999</v>
      </c>
      <c r="BY22">
        <v>-35.46</v>
      </c>
      <c r="BZ22">
        <v>5.66</v>
      </c>
      <c r="CA22">
        <v>6.93</v>
      </c>
      <c r="CB22">
        <v>11.54</v>
      </c>
      <c r="CC22">
        <v>-2.68</v>
      </c>
      <c r="CD22" t="s">
        <v>2111</v>
      </c>
      <c r="CE22" t="s">
        <v>270</v>
      </c>
      <c r="CF22" s="9">
        <v>6.8181818181818177E-2</v>
      </c>
      <c r="CG22" s="10">
        <v>-4.9899705151182285</v>
      </c>
      <c r="CH22" s="9">
        <v>1.2834224849939346E-2</v>
      </c>
      <c r="CI22" s="9">
        <v>-0.19673539698123932</v>
      </c>
      <c r="CJ22" s="9">
        <v>0.1675025075674057</v>
      </c>
      <c r="CK22" s="9">
        <v>-0.55609977245330811</v>
      </c>
      <c r="CL22" s="9">
        <v>-0.32042354345321655</v>
      </c>
      <c r="CM22" s="10">
        <v>-7.3547782897949219</v>
      </c>
      <c r="CN22" s="10">
        <v>-0.34452861547470093</v>
      </c>
      <c r="CO22" s="10">
        <v>-0.51406627893447876</v>
      </c>
      <c r="CP22" s="10">
        <v>1.1291829347610474</v>
      </c>
      <c r="CQ22" s="10">
        <v>0.57095164060592651</v>
      </c>
      <c r="CR22">
        <v>-1.714962496826683</v>
      </c>
      <c r="CS22">
        <v>-9.6030926236309447E-2</v>
      </c>
      <c r="CT22">
        <v>0</v>
      </c>
      <c r="CU22" s="9">
        <v>-0.17858439609408377</v>
      </c>
      <c r="CV22" s="10">
        <v>-1.3026477217674255</v>
      </c>
      <c r="CW22">
        <v>0.06</v>
      </c>
      <c r="CX22" t="e">
        <v>#VALUE!</v>
      </c>
      <c r="CY22" t="s">
        <v>802</v>
      </c>
      <c r="CZ22">
        <v>-0.17858439609408377</v>
      </c>
      <c r="DA22" t="e">
        <v>#VALUE!</v>
      </c>
      <c r="DB22" t="s">
        <v>803</v>
      </c>
      <c r="DC22">
        <v>-0.16965517628937957</v>
      </c>
      <c r="DD22" t="e">
        <v>#VALUE!</v>
      </c>
      <c r="DE22" t="s">
        <v>803</v>
      </c>
      <c r="DF22">
        <v>-0.15715426856279371</v>
      </c>
      <c r="DG22" t="e">
        <v>#VALUE!</v>
      </c>
      <c r="DH22" t="s">
        <v>803</v>
      </c>
      <c r="DI22">
        <v>-0.14286751687526703</v>
      </c>
      <c r="DJ22" t="e">
        <v>#VALUE!</v>
      </c>
      <c r="DK22" t="s">
        <v>803</v>
      </c>
      <c r="DL22">
        <v>-0.12500907726585864</v>
      </c>
      <c r="DM22">
        <v>-336000000</v>
      </c>
      <c r="DN22">
        <v>-0.17858439609408377</v>
      </c>
      <c r="DO22">
        <v>1580761570</v>
      </c>
      <c r="DP22">
        <v>6384410</v>
      </c>
      <c r="DQ22">
        <v>756</v>
      </c>
      <c r="DR22">
        <v>0.24676621427590195</v>
      </c>
      <c r="DS22">
        <v>-3.6873227933508028</v>
      </c>
      <c r="DT22" s="7">
        <v>-0.67333333333333334</v>
      </c>
      <c r="DU22">
        <v>-2.0150000000000001</v>
      </c>
      <c r="DV22">
        <v>-2.6883333333333335</v>
      </c>
      <c r="DW22">
        <v>5.2322357019064123</v>
      </c>
      <c r="DX22">
        <v>0.74407976653696462</v>
      </c>
      <c r="DY22">
        <v>5.0381051797503522</v>
      </c>
      <c r="DZ22">
        <v>4788</v>
      </c>
      <c r="EA22">
        <v>5.0024011483130355</v>
      </c>
      <c r="EB22">
        <v>5</v>
      </c>
      <c r="EC22">
        <v>9.9118543425050623E-2</v>
      </c>
      <c r="ED22">
        <v>0.60408754544833254</v>
      </c>
      <c r="EE22" s="11">
        <v>2.024</v>
      </c>
      <c r="EF22">
        <v>2.0164</v>
      </c>
      <c r="EG22">
        <v>58.164079766536965</v>
      </c>
      <c r="EH22" t="s">
        <v>2087</v>
      </c>
      <c r="EI22">
        <v>1</v>
      </c>
      <c r="EJ22">
        <v>0</v>
      </c>
      <c r="EK22" s="13">
        <v>45470</v>
      </c>
      <c r="EL22" s="14">
        <v>1.63</v>
      </c>
      <c r="EM22" s="14">
        <v>-2.4</v>
      </c>
      <c r="EN22" s="14">
        <v>4.92</v>
      </c>
      <c r="EO22" s="14">
        <v>3.13</v>
      </c>
      <c r="EP22" s="14">
        <v>-0.76</v>
      </c>
    </row>
    <row r="23" spans="1:146" ht="132" x14ac:dyDescent="0.25">
      <c r="A23" s="6" t="s">
        <v>521</v>
      </c>
      <c r="B23" s="6"/>
      <c r="C23" s="6" t="s">
        <v>543</v>
      </c>
      <c r="D23" t="s">
        <v>74</v>
      </c>
      <c r="E23" t="s">
        <v>24</v>
      </c>
      <c r="F23">
        <v>12.73</v>
      </c>
      <c r="G23">
        <v>0</v>
      </c>
      <c r="H23" t="s">
        <v>2112</v>
      </c>
      <c r="I23">
        <v>31014297000</v>
      </c>
      <c r="J23">
        <v>13.87</v>
      </c>
      <c r="K23">
        <v>1.1399999999999999</v>
      </c>
      <c r="L23" t="s">
        <v>53</v>
      </c>
      <c r="M23" t="s">
        <v>1337</v>
      </c>
      <c r="N23" t="s">
        <v>2113</v>
      </c>
      <c r="O23" t="s">
        <v>1338</v>
      </c>
      <c r="P23">
        <v>-4.6100000000000003</v>
      </c>
      <c r="Q23" t="s">
        <v>1339</v>
      </c>
      <c r="R23">
        <v>347722450</v>
      </c>
      <c r="S23" s="5">
        <v>-9.8100000000000007E-2</v>
      </c>
      <c r="T23" t="s">
        <v>1340</v>
      </c>
      <c r="U23">
        <v>1932223200</v>
      </c>
      <c r="V23">
        <v>2436315500</v>
      </c>
      <c r="W23">
        <v>1.67</v>
      </c>
      <c r="X23">
        <v>0.14000000000000001</v>
      </c>
      <c r="Y23">
        <v>4.78</v>
      </c>
      <c r="Z23" t="s">
        <v>2114</v>
      </c>
      <c r="AA23" t="s">
        <v>2115</v>
      </c>
      <c r="AB23" t="s">
        <v>2097</v>
      </c>
      <c r="AC23" t="s">
        <v>2116</v>
      </c>
      <c r="AD23" t="s">
        <v>117</v>
      </c>
      <c r="AE23">
        <v>30746031</v>
      </c>
      <c r="AF23" t="s">
        <v>1341</v>
      </c>
      <c r="AG23" t="s">
        <v>2117</v>
      </c>
      <c r="AH23" t="s">
        <v>1342</v>
      </c>
      <c r="AI23" t="s">
        <v>2118</v>
      </c>
      <c r="AJ23" t="s">
        <v>1343</v>
      </c>
      <c r="AK23" t="s">
        <v>2119</v>
      </c>
      <c r="AL23" t="s">
        <v>1344</v>
      </c>
      <c r="AM23" t="s">
        <v>117</v>
      </c>
      <c r="AN23" t="s">
        <v>2120</v>
      </c>
      <c r="AO23" t="s">
        <v>2121</v>
      </c>
      <c r="AP23" t="s">
        <v>950</v>
      </c>
      <c r="AQ23" t="s">
        <v>2122</v>
      </c>
      <c r="AR23" t="s">
        <v>117</v>
      </c>
      <c r="AS23" t="s">
        <v>2123</v>
      </c>
      <c r="AT23" t="s">
        <v>2124</v>
      </c>
      <c r="AU23" t="s">
        <v>2125</v>
      </c>
      <c r="AV23" t="s">
        <v>1515</v>
      </c>
      <c r="AW23" t="s">
        <v>2126</v>
      </c>
      <c r="AX23" t="s">
        <v>1017</v>
      </c>
      <c r="AY23" t="s">
        <v>721</v>
      </c>
      <c r="AZ23" t="s">
        <v>380</v>
      </c>
      <c r="BA23" t="s">
        <v>202</v>
      </c>
      <c r="BB23" t="s">
        <v>382</v>
      </c>
      <c r="BC23" t="s">
        <v>1346</v>
      </c>
      <c r="BD23" t="s">
        <v>722</v>
      </c>
      <c r="BE23" t="s">
        <v>381</v>
      </c>
      <c r="BF23" t="s">
        <v>203</v>
      </c>
      <c r="BG23" t="s">
        <v>161</v>
      </c>
      <c r="BH23" t="s">
        <v>1339</v>
      </c>
      <c r="BI23" t="s">
        <v>1347</v>
      </c>
      <c r="BJ23" t="s">
        <v>1017</v>
      </c>
      <c r="BK23" t="s">
        <v>1340</v>
      </c>
      <c r="BL23" t="s">
        <v>863</v>
      </c>
      <c r="BM23" t="s">
        <v>1346</v>
      </c>
      <c r="BN23">
        <v>6.91</v>
      </c>
      <c r="BO23">
        <v>6.46</v>
      </c>
      <c r="BP23">
        <v>16.170000000000002</v>
      </c>
      <c r="BQ23">
        <v>8.44</v>
      </c>
      <c r="BR23">
        <v>7.97</v>
      </c>
      <c r="BS23">
        <v>19.920000000000002</v>
      </c>
      <c r="BT23" t="s">
        <v>939</v>
      </c>
      <c r="BU23" t="s">
        <v>848</v>
      </c>
      <c r="BV23">
        <v>27.69</v>
      </c>
      <c r="BW23">
        <v>25.77</v>
      </c>
      <c r="BX23">
        <v>30.53</v>
      </c>
      <c r="BY23">
        <v>6.97</v>
      </c>
      <c r="BZ23">
        <v>6.79</v>
      </c>
      <c r="CA23">
        <v>13.19</v>
      </c>
      <c r="CB23">
        <v>3.16</v>
      </c>
      <c r="CC23">
        <v>-22</v>
      </c>
      <c r="CD23" t="s">
        <v>2127</v>
      </c>
      <c r="CE23" t="s">
        <v>2128</v>
      </c>
      <c r="CF23" s="9">
        <v>-4.6164109406270977E-2</v>
      </c>
      <c r="CG23" s="10">
        <v>-9.916463730569948E-2</v>
      </c>
      <c r="CH23" s="9">
        <v>5.1547348499298096E-2</v>
      </c>
      <c r="CI23" s="9">
        <v>-2.2546470165252686E-2</v>
      </c>
      <c r="CJ23" s="9">
        <v>0.46958112716674805</v>
      </c>
      <c r="CK23" s="9">
        <v>0.19698140025138855</v>
      </c>
      <c r="CL23" s="9">
        <v>0.2924676239490509</v>
      </c>
      <c r="CM23" s="10">
        <v>7.1664310991764069E-2</v>
      </c>
      <c r="CN23" s="10">
        <v>-0.49560049176216125</v>
      </c>
      <c r="CO23" s="10">
        <v>0.24077899754047394</v>
      </c>
      <c r="CP23" s="10">
        <v>0.64036780595779419</v>
      </c>
      <c r="CQ23" s="10">
        <v>0.37002652883529663</v>
      </c>
      <c r="CR23">
        <v>11.95770350854646</v>
      </c>
      <c r="CS23">
        <v>0.60512793369264462</v>
      </c>
      <c r="CT23">
        <v>4.713275726630008</v>
      </c>
      <c r="CU23" s="9">
        <v>0.19760620594024658</v>
      </c>
      <c r="CV23" s="10">
        <v>0.16544743031263351</v>
      </c>
      <c r="CW23">
        <v>0.06</v>
      </c>
      <c r="CX23">
        <v>9.6964856683532652</v>
      </c>
      <c r="CY23">
        <v>2568074439.7190385</v>
      </c>
      <c r="CZ23">
        <v>0.19760620594024658</v>
      </c>
      <c r="DA23">
        <v>2.8960679255868849</v>
      </c>
      <c r="DB23">
        <v>8598312484.3157063</v>
      </c>
      <c r="DC23">
        <v>0.18772589564323425</v>
      </c>
      <c r="DD23">
        <v>1.2582466147143976</v>
      </c>
      <c r="DE23">
        <v>19790474068.274929</v>
      </c>
      <c r="DF23">
        <v>0.173893461227417</v>
      </c>
      <c r="DG23">
        <v>0.65206815180625666</v>
      </c>
      <c r="DH23">
        <v>38188181604.97847</v>
      </c>
      <c r="DI23">
        <v>0.15808496475219727</v>
      </c>
      <c r="DJ23">
        <v>0.2384633279250688</v>
      </c>
      <c r="DK23">
        <v>104424010252.11145</v>
      </c>
      <c r="DL23">
        <v>0.1383243441581726</v>
      </c>
      <c r="DM23">
        <v>2273000000</v>
      </c>
      <c r="DN23">
        <v>0.19760620594024658</v>
      </c>
      <c r="DO23">
        <v>24901297000</v>
      </c>
      <c r="DP23">
        <v>12019839000</v>
      </c>
      <c r="DQ23">
        <v>778</v>
      </c>
      <c r="DR23">
        <v>-0.24377031534651755</v>
      </c>
      <c r="DS23">
        <v>-0.264612067618333</v>
      </c>
      <c r="DT23" s="7">
        <v>-9.000000000000008E-2</v>
      </c>
      <c r="DU23">
        <v>0.31666666666666665</v>
      </c>
      <c r="DV23">
        <v>0.22666666666666657</v>
      </c>
      <c r="DW23">
        <v>6.125596184419714</v>
      </c>
      <c r="DX23">
        <v>0.3308333333333347</v>
      </c>
      <c r="DY23">
        <v>6.0189440911499732</v>
      </c>
      <c r="DZ23">
        <v>1211</v>
      </c>
      <c r="EA23">
        <v>6.0144546010555278</v>
      </c>
      <c r="EB23">
        <v>6</v>
      </c>
      <c r="EC23">
        <v>7.4292512607665145E-2</v>
      </c>
      <c r="ED23">
        <v>0.49254704491269707</v>
      </c>
      <c r="EE23" s="11">
        <v>-4.0309100000000004</v>
      </c>
      <c r="EF23">
        <v>-4.0737100000000002</v>
      </c>
      <c r="EG23">
        <v>18.150833333333335</v>
      </c>
      <c r="EH23" t="s">
        <v>1538</v>
      </c>
      <c r="EI23">
        <v>0</v>
      </c>
      <c r="EJ23">
        <v>1</v>
      </c>
      <c r="EK23" s="13">
        <v>45470</v>
      </c>
      <c r="EL23" s="14">
        <v>0.84</v>
      </c>
      <c r="EM23" s="14">
        <v>-1.1399999999999999</v>
      </c>
      <c r="EN23" s="14">
        <v>0</v>
      </c>
      <c r="EO23" s="14">
        <v>0.54</v>
      </c>
      <c r="EP23" s="14">
        <v>-4.28</v>
      </c>
    </row>
    <row r="24" spans="1:146" ht="96" x14ac:dyDescent="0.25">
      <c r="A24" s="6"/>
      <c r="B24" s="6"/>
      <c r="C24" s="6" t="s">
        <v>544</v>
      </c>
      <c r="D24" t="s">
        <v>72</v>
      </c>
      <c r="E24" t="s">
        <v>11</v>
      </c>
      <c r="F24">
        <v>5.17</v>
      </c>
      <c r="G24">
        <v>0.39</v>
      </c>
      <c r="H24" t="s">
        <v>2129</v>
      </c>
      <c r="I24">
        <v>6526371800</v>
      </c>
      <c r="J24">
        <v>11.03</v>
      </c>
      <c r="K24">
        <v>0.70799999999999996</v>
      </c>
      <c r="L24" t="s">
        <v>53</v>
      </c>
      <c r="M24" t="s">
        <v>1348</v>
      </c>
      <c r="N24" t="s">
        <v>2130</v>
      </c>
      <c r="O24" t="s">
        <v>1349</v>
      </c>
      <c r="P24">
        <v>-0.43</v>
      </c>
      <c r="Q24" t="s">
        <v>1350</v>
      </c>
      <c r="R24">
        <v>-114290965</v>
      </c>
      <c r="S24" s="5">
        <v>-0.86970000000000003</v>
      </c>
      <c r="T24" t="s">
        <v>945</v>
      </c>
      <c r="U24">
        <v>1262354300</v>
      </c>
      <c r="V24">
        <v>1262354300</v>
      </c>
      <c r="W24">
        <v>3.14</v>
      </c>
      <c r="X24">
        <v>0.12</v>
      </c>
      <c r="Y24">
        <v>-2.73</v>
      </c>
      <c r="Z24" t="s">
        <v>2131</v>
      </c>
      <c r="AA24" t="s">
        <v>1071</v>
      </c>
      <c r="AB24" t="s">
        <v>2132</v>
      </c>
      <c r="AC24" t="s">
        <v>220</v>
      </c>
      <c r="AD24" t="s">
        <v>117</v>
      </c>
      <c r="AE24">
        <v>32346960</v>
      </c>
      <c r="AF24" t="s">
        <v>1351</v>
      </c>
      <c r="AG24" t="s">
        <v>2133</v>
      </c>
      <c r="AH24" t="s">
        <v>1352</v>
      </c>
      <c r="AI24" t="s">
        <v>2134</v>
      </c>
      <c r="AJ24" t="s">
        <v>1353</v>
      </c>
      <c r="AK24" t="s">
        <v>185</v>
      </c>
      <c r="AL24" t="s">
        <v>1354</v>
      </c>
      <c r="AM24" t="s">
        <v>117</v>
      </c>
      <c r="AN24" t="s">
        <v>1304</v>
      </c>
      <c r="AO24" t="s">
        <v>1166</v>
      </c>
      <c r="AP24" t="s">
        <v>451</v>
      </c>
      <c r="AQ24" t="s">
        <v>2135</v>
      </c>
      <c r="AR24" t="s">
        <v>2136</v>
      </c>
      <c r="AS24" t="s">
        <v>2137</v>
      </c>
      <c r="AT24" t="s">
        <v>361</v>
      </c>
      <c r="AU24" t="s">
        <v>2138</v>
      </c>
      <c r="AV24" t="s">
        <v>2139</v>
      </c>
      <c r="AW24" t="s">
        <v>2140</v>
      </c>
      <c r="AX24" t="s">
        <v>1355</v>
      </c>
      <c r="AY24" t="s">
        <v>723</v>
      </c>
      <c r="AZ24" t="s">
        <v>383</v>
      </c>
      <c r="BA24" t="s">
        <v>204</v>
      </c>
      <c r="BB24" t="s">
        <v>386</v>
      </c>
      <c r="BC24" t="s">
        <v>613</v>
      </c>
      <c r="BD24" t="s">
        <v>724</v>
      </c>
      <c r="BE24" t="s">
        <v>384</v>
      </c>
      <c r="BF24" t="s">
        <v>205</v>
      </c>
      <c r="BG24" t="s">
        <v>367</v>
      </c>
      <c r="BH24" t="s">
        <v>1350</v>
      </c>
      <c r="BI24" t="s">
        <v>1093</v>
      </c>
      <c r="BJ24" t="s">
        <v>1355</v>
      </c>
      <c r="BK24" t="s">
        <v>945</v>
      </c>
      <c r="BL24" t="s">
        <v>1356</v>
      </c>
      <c r="BM24" t="s">
        <v>613</v>
      </c>
      <c r="BN24">
        <v>3.56</v>
      </c>
      <c r="BO24">
        <v>5.97</v>
      </c>
      <c r="BP24">
        <v>8.6</v>
      </c>
      <c r="BQ24">
        <v>3.69</v>
      </c>
      <c r="BR24">
        <v>6.01</v>
      </c>
      <c r="BS24">
        <v>10.32</v>
      </c>
      <c r="BT24" t="s">
        <v>1357</v>
      </c>
      <c r="BU24" t="s">
        <v>847</v>
      </c>
      <c r="BV24">
        <v>11.34</v>
      </c>
      <c r="BW24">
        <v>10.51</v>
      </c>
      <c r="BX24">
        <v>10.44</v>
      </c>
      <c r="BY24">
        <v>3.17</v>
      </c>
      <c r="BZ24">
        <v>2.88</v>
      </c>
      <c r="CA24">
        <v>3.64</v>
      </c>
      <c r="CB24">
        <v>-0.57999999999999996</v>
      </c>
      <c r="CC24">
        <v>-14.55</v>
      </c>
      <c r="CD24" t="s">
        <v>2141</v>
      </c>
      <c r="CE24" t="s">
        <v>262</v>
      </c>
      <c r="CF24" s="9">
        <v>-4.4302239724341615E-3</v>
      </c>
      <c r="CG24" s="10">
        <v>-0.86969601541680486</v>
      </c>
      <c r="CH24" s="9">
        <v>-8.1696584820747375E-2</v>
      </c>
      <c r="CI24" s="9">
        <v>-7.5354702770709991E-2</v>
      </c>
      <c r="CJ24" s="9">
        <v>0.14955383539199829</v>
      </c>
      <c r="CK24" s="9">
        <v>2.3017100989818573E-2</v>
      </c>
      <c r="CL24" s="9">
        <v>0.21470643579959869</v>
      </c>
      <c r="CM24" s="10">
        <v>0.16216215491294861</v>
      </c>
      <c r="CN24" s="10">
        <v>-0.34319525957107544</v>
      </c>
      <c r="CO24" s="10">
        <v>7.7806122601032257E-2</v>
      </c>
      <c r="CP24" s="10">
        <v>0.18608169257640839</v>
      </c>
      <c r="CQ24" s="10">
        <v>1.1815181970596313</v>
      </c>
      <c r="CR24">
        <v>10.323815133139995</v>
      </c>
      <c r="CS24">
        <v>2.2421037024382184</v>
      </c>
      <c r="CT24">
        <v>2.2243713733075432</v>
      </c>
      <c r="CU24" s="9">
        <v>4.6045216917991641E-2</v>
      </c>
      <c r="CV24" s="10">
        <v>0.25287458151578901</v>
      </c>
      <c r="CW24">
        <v>0.06</v>
      </c>
      <c r="CX24">
        <v>29.634117170731493</v>
      </c>
      <c r="CY24">
        <v>636508646.14349496</v>
      </c>
      <c r="CZ24">
        <v>4.6045216917991641E-2</v>
      </c>
      <c r="DA24">
        <v>10.05322417099301</v>
      </c>
      <c r="DB24">
        <v>1876250989.6501057</v>
      </c>
      <c r="DC24">
        <v>4.3742956072092054E-2</v>
      </c>
      <c r="DD24">
        <v>5.198305258860489</v>
      </c>
      <c r="DE24">
        <v>3628561783.2560272</v>
      </c>
      <c r="DF24">
        <v>4.0519790887832648E-2</v>
      </c>
      <c r="DG24">
        <v>3.295633128165171</v>
      </c>
      <c r="DH24">
        <v>5723444044.4229727</v>
      </c>
      <c r="DI24">
        <v>3.6836173534393314E-2</v>
      </c>
      <c r="DJ24">
        <v>1.9097737108935655</v>
      </c>
      <c r="DK24">
        <v>9876757488.2861233</v>
      </c>
      <c r="DL24">
        <v>3.2231651842594147E-2</v>
      </c>
      <c r="DM24">
        <v>645000000</v>
      </c>
      <c r="DN24">
        <v>4.6045216917991641E-2</v>
      </c>
      <c r="DO24">
        <v>18862371800</v>
      </c>
      <c r="DP24">
        <v>7477896000</v>
      </c>
      <c r="DQ24">
        <v>809</v>
      </c>
      <c r="DR24">
        <v>-5.0475440890425799E-2</v>
      </c>
      <c r="DS24">
        <v>-1.1225705969325939</v>
      </c>
      <c r="DT24" s="7">
        <v>-0.34</v>
      </c>
      <c r="DU24">
        <v>-0.56500000000000006</v>
      </c>
      <c r="DV24">
        <v>-0.90500000000000003</v>
      </c>
      <c r="DW24">
        <v>-2.1455000000000002</v>
      </c>
      <c r="DX24">
        <v>0.28491651376146765</v>
      </c>
      <c r="DY24">
        <v>-2.0196303527522934</v>
      </c>
      <c r="DZ24">
        <v>3464</v>
      </c>
      <c r="EA24">
        <v>-2.006323201688899</v>
      </c>
      <c r="EB24">
        <v>2</v>
      </c>
      <c r="EC24">
        <v>2.3299164109473861E-2</v>
      </c>
      <c r="ED24">
        <v>0.17269319714758372</v>
      </c>
      <c r="EE24" s="11">
        <v>2.5799999999999997E-2</v>
      </c>
      <c r="EF24">
        <v>2.31E-3</v>
      </c>
      <c r="EG24">
        <v>15.134916513761468</v>
      </c>
      <c r="EH24">
        <v>-1</v>
      </c>
      <c r="EI24">
        <v>0</v>
      </c>
      <c r="EJ24">
        <v>0</v>
      </c>
      <c r="EK24" s="13">
        <v>45470</v>
      </c>
      <c r="EL24" s="14">
        <v>3.65</v>
      </c>
      <c r="EM24" s="14">
        <v>-4.08</v>
      </c>
      <c r="EN24" s="14">
        <v>0.19</v>
      </c>
      <c r="EO24" s="14">
        <v>2.9</v>
      </c>
      <c r="EP24" s="14">
        <v>-2.81</v>
      </c>
    </row>
    <row r="25" spans="1:146" ht="108" x14ac:dyDescent="0.25">
      <c r="A25" s="6"/>
      <c r="B25" s="6"/>
      <c r="C25" s="6" t="str">
        <f>""&amp;CHAR(10)&amp;Basic_Fundamental_Information_Constructure(F25)&amp;CHAR(10)&amp;Basic_Fundamental_Information_Concatenate("")</f>
        <v xml:space="preserve">
市值35.973492亿, 利润5223.17万; PE74.69; 平均PE-532.97; 平均PEG-38.58, PB1.89; ROIC2.68%; ROE.6433%; 股利率.6567%; 毛利12.4533%; 净利.9667%; 上一年度营收增19.06%, 利润增206.05%; 当季营收增-15.46%, 利润增-17.25%; 过往5年营收增13.82%, 利润增14.35%
Income profile:
</v>
      </c>
      <c r="D25" t="s">
        <v>99</v>
      </c>
      <c r="E25" t="s">
        <v>542</v>
      </c>
      <c r="F25">
        <v>5.33</v>
      </c>
      <c r="G25">
        <v>1.52</v>
      </c>
      <c r="H25" t="s">
        <v>2142</v>
      </c>
      <c r="I25">
        <v>3597349200</v>
      </c>
      <c r="J25">
        <v>74.69</v>
      </c>
      <c r="K25">
        <v>1.89</v>
      </c>
      <c r="L25" t="s">
        <v>53</v>
      </c>
      <c r="M25" t="s">
        <v>1358</v>
      </c>
      <c r="N25" t="s">
        <v>2143</v>
      </c>
      <c r="O25" t="s">
        <v>1359</v>
      </c>
      <c r="P25">
        <v>-15.35</v>
      </c>
      <c r="Q25" t="s">
        <v>1360</v>
      </c>
      <c r="R25">
        <v>19530646</v>
      </c>
      <c r="S25" s="5">
        <v>-0.17249999999999999</v>
      </c>
      <c r="T25" t="s">
        <v>1361</v>
      </c>
      <c r="U25">
        <v>502563100</v>
      </c>
      <c r="V25">
        <v>674924800</v>
      </c>
      <c r="W25">
        <v>1.65</v>
      </c>
      <c r="X25">
        <v>0.1</v>
      </c>
      <c r="Y25">
        <v>6.22</v>
      </c>
      <c r="Z25" t="s">
        <v>855</v>
      </c>
      <c r="AA25" t="s">
        <v>359</v>
      </c>
      <c r="AB25" t="s">
        <v>2144</v>
      </c>
      <c r="AC25" t="s">
        <v>2145</v>
      </c>
      <c r="AD25" t="s">
        <v>117</v>
      </c>
      <c r="AE25">
        <v>3734306</v>
      </c>
      <c r="AF25" t="s">
        <v>1362</v>
      </c>
      <c r="AG25" t="s">
        <v>2146</v>
      </c>
      <c r="AH25" t="s">
        <v>1363</v>
      </c>
      <c r="AI25" t="s">
        <v>2147</v>
      </c>
      <c r="AJ25" t="s">
        <v>1365</v>
      </c>
      <c r="AK25" t="s">
        <v>2148</v>
      </c>
      <c r="AL25" t="s">
        <v>1366</v>
      </c>
      <c r="AM25" t="s">
        <v>117</v>
      </c>
      <c r="AN25" t="s">
        <v>2149</v>
      </c>
      <c r="AO25" t="s">
        <v>2150</v>
      </c>
      <c r="AP25" t="s">
        <v>430</v>
      </c>
      <c r="AQ25" t="s">
        <v>1336</v>
      </c>
      <c r="AR25" t="s">
        <v>117</v>
      </c>
      <c r="AS25" t="s">
        <v>1879</v>
      </c>
      <c r="AT25" t="s">
        <v>219</v>
      </c>
      <c r="AU25" t="s">
        <v>2151</v>
      </c>
      <c r="AV25" t="s">
        <v>2152</v>
      </c>
      <c r="AW25" t="s">
        <v>2153</v>
      </c>
      <c r="AX25" t="s">
        <v>552</v>
      </c>
      <c r="AY25" t="s">
        <v>725</v>
      </c>
      <c r="AZ25" t="s">
        <v>388</v>
      </c>
      <c r="BA25" t="s">
        <v>208</v>
      </c>
      <c r="BB25" t="s">
        <v>390</v>
      </c>
      <c r="BC25" t="s">
        <v>1022</v>
      </c>
      <c r="BD25" t="s">
        <v>726</v>
      </c>
      <c r="BE25" t="s">
        <v>389</v>
      </c>
      <c r="BF25" t="s">
        <v>209</v>
      </c>
      <c r="BG25" t="s">
        <v>391</v>
      </c>
      <c r="BH25" t="s">
        <v>1360</v>
      </c>
      <c r="BI25" t="s">
        <v>995</v>
      </c>
      <c r="BJ25" t="s">
        <v>552</v>
      </c>
      <c r="BK25" t="s">
        <v>1361</v>
      </c>
      <c r="BL25" t="s">
        <v>1368</v>
      </c>
      <c r="BM25" t="s">
        <v>1022</v>
      </c>
      <c r="BN25">
        <v>2.91</v>
      </c>
      <c r="BO25" t="s">
        <v>117</v>
      </c>
      <c r="BP25">
        <v>2.4500000000000002</v>
      </c>
      <c r="BQ25">
        <v>2.84</v>
      </c>
      <c r="BR25">
        <v>-2.81</v>
      </c>
      <c r="BS25">
        <v>1.9</v>
      </c>
      <c r="BT25" t="s">
        <v>1369</v>
      </c>
      <c r="BU25" t="s">
        <v>848</v>
      </c>
      <c r="BV25">
        <v>14.06</v>
      </c>
      <c r="BW25">
        <v>10.27</v>
      </c>
      <c r="BX25">
        <v>13.03</v>
      </c>
      <c r="BY25">
        <v>3.43</v>
      </c>
      <c r="BZ25">
        <v>-3.25</v>
      </c>
      <c r="CA25">
        <v>2.72</v>
      </c>
      <c r="CB25">
        <v>-0.74</v>
      </c>
      <c r="CC25">
        <v>-14.79</v>
      </c>
      <c r="CD25" t="s">
        <v>2154</v>
      </c>
      <c r="CE25" t="s">
        <v>238</v>
      </c>
      <c r="CF25" s="9">
        <v>-0.15463917525773196</v>
      </c>
      <c r="CG25" s="10">
        <v>-0.1724828506662712</v>
      </c>
      <c r="CH25" s="9">
        <v>0.19057975709438324</v>
      </c>
      <c r="CI25" s="9">
        <v>-4.3659087270498276E-2</v>
      </c>
      <c r="CJ25" s="9">
        <v>0.7178572416305542</v>
      </c>
      <c r="CK25" s="9">
        <v>0.18143460154533386</v>
      </c>
      <c r="CL25" s="9">
        <v>-0.35539442300796509</v>
      </c>
      <c r="CM25" s="10">
        <v>2.0604517459869385</v>
      </c>
      <c r="CN25" s="10">
        <v>-2.4636991024017334</v>
      </c>
      <c r="CO25" s="10">
        <v>0.25209763646125793</v>
      </c>
      <c r="CP25" s="10">
        <v>-0.45150995254516602</v>
      </c>
      <c r="CQ25" s="10">
        <v>1.3202530145645142</v>
      </c>
      <c r="CR25">
        <v>-532.96694157736181</v>
      </c>
      <c r="CS25">
        <v>-38.575056827455263</v>
      </c>
      <c r="CT25">
        <v>0.65666041275797371</v>
      </c>
      <c r="CU25" s="9">
        <v>0.13816361799836158</v>
      </c>
      <c r="CV25" s="10">
        <v>0.14351866841316224</v>
      </c>
      <c r="CW25">
        <v>0.06</v>
      </c>
      <c r="CX25">
        <v>53.480324851454689</v>
      </c>
      <c r="CY25">
        <v>56083227.024721712</v>
      </c>
      <c r="CZ25">
        <v>0.13816361799836158</v>
      </c>
      <c r="DA25">
        <v>16.782221881375136</v>
      </c>
      <c r="DB25">
        <v>178721817.7188248</v>
      </c>
      <c r="DC25">
        <v>0.13125543709844348</v>
      </c>
      <c r="DD25">
        <v>7.8177713423852531</v>
      </c>
      <c r="DE25">
        <v>383657831.45108962</v>
      </c>
      <c r="DF25">
        <v>0.12158398383855819</v>
      </c>
      <c r="DG25">
        <v>4.4053305882430438</v>
      </c>
      <c r="DH25">
        <v>680845430.30769813</v>
      </c>
      <c r="DI25">
        <v>0.11053089439868927</v>
      </c>
      <c r="DJ25">
        <v>1.9699391488088982</v>
      </c>
      <c r="DK25">
        <v>1522559314.4912741</v>
      </c>
      <c r="DL25">
        <v>9.6714532598853098E-2</v>
      </c>
      <c r="DM25">
        <v>52231700</v>
      </c>
      <c r="DN25">
        <v>0.13816361799836158</v>
      </c>
      <c r="DO25">
        <v>2999349200</v>
      </c>
      <c r="DP25">
        <v>1022200200</v>
      </c>
      <c r="DQ25">
        <v>840</v>
      </c>
      <c r="DR25">
        <v>-0.29280279325609354</v>
      </c>
      <c r="DS25">
        <v>-0.31600151907943341</v>
      </c>
      <c r="DT25" s="7">
        <v>1.0000000000000011E-2</v>
      </c>
      <c r="DU25">
        <v>-0.42</v>
      </c>
      <c r="DV25">
        <v>-0.41</v>
      </c>
      <c r="DW25">
        <v>-2.1478999999999999</v>
      </c>
      <c r="DX25">
        <v>0.35325048543689319</v>
      </c>
      <c r="DY25">
        <v>-2.0167497467961164</v>
      </c>
      <c r="DZ25">
        <v>2695</v>
      </c>
      <c r="EA25">
        <v>-2.0079159762255618</v>
      </c>
      <c r="EB25">
        <v>2</v>
      </c>
      <c r="EC25">
        <v>1.728311065173483E-2</v>
      </c>
      <c r="ED25">
        <v>0.15260959443185373</v>
      </c>
      <c r="EE25" s="11">
        <v>-1.0573999999999999</v>
      </c>
      <c r="EF25">
        <v>-1.05</v>
      </c>
      <c r="EG25">
        <v>24.113250485436893</v>
      </c>
      <c r="EH25" t="s">
        <v>808</v>
      </c>
      <c r="EI25">
        <v>0</v>
      </c>
      <c r="EJ25">
        <v>0</v>
      </c>
      <c r="EK25" s="13">
        <v>45470</v>
      </c>
      <c r="EL25" s="14">
        <v>0.74</v>
      </c>
      <c r="EM25" s="14">
        <v>-3.51</v>
      </c>
      <c r="EN25" s="14">
        <v>1.72</v>
      </c>
      <c r="EO25" s="14">
        <v>2.0699999999999998</v>
      </c>
      <c r="EP25" s="14">
        <v>-0.74</v>
      </c>
    </row>
    <row r="26" spans="1:146" ht="108" x14ac:dyDescent="0.25">
      <c r="A26" s="6"/>
      <c r="B26" s="6"/>
      <c r="C26" s="6" t="str">
        <f>""&amp;CHAR(10)&amp;Basic_Fundamental_Information_Constructure(F26)&amp;CHAR(10)&amp;Basic_Fundamental_Information_Concatenate("")</f>
        <v xml:space="preserve">
市值243.58181亿, 利润14.32亿; PE17.25; 平均PE20.57; 平均PEG2.76, PB4.27; ROIC21.7733%; ROE22.6667%; 股利率5.2288%; 毛利41.29%; 净利20.33%; 上一年度营收增-8.28%, 利润增10.41%; 当季营收增11.27%, 利润增-11.76%; 过往5年营收增7.44%, 利润增8.17%
Income profile:
</v>
      </c>
      <c r="D26" t="s">
        <v>73</v>
      </c>
      <c r="E26" t="s">
        <v>18</v>
      </c>
      <c r="F26">
        <v>15.3</v>
      </c>
      <c r="G26">
        <v>1.53</v>
      </c>
      <c r="H26" t="s">
        <v>2155</v>
      </c>
      <c r="I26">
        <v>24358181000</v>
      </c>
      <c r="J26">
        <v>17.25</v>
      </c>
      <c r="K26">
        <v>4.2699999999999996</v>
      </c>
      <c r="L26" t="s">
        <v>53</v>
      </c>
      <c r="M26" t="s">
        <v>1370</v>
      </c>
      <c r="N26" t="s">
        <v>2156</v>
      </c>
      <c r="O26" t="s">
        <v>376</v>
      </c>
      <c r="P26">
        <v>11.19</v>
      </c>
      <c r="Q26" t="s">
        <v>1371</v>
      </c>
      <c r="R26">
        <v>153542010</v>
      </c>
      <c r="S26" s="5">
        <v>-0.11559999999999999</v>
      </c>
      <c r="T26" t="s">
        <v>1012</v>
      </c>
      <c r="U26">
        <v>1470858100</v>
      </c>
      <c r="V26">
        <v>1592038000</v>
      </c>
      <c r="W26">
        <v>1.22</v>
      </c>
      <c r="X26">
        <v>0.14000000000000001</v>
      </c>
      <c r="Y26">
        <v>15.77</v>
      </c>
      <c r="Z26" t="s">
        <v>2157</v>
      </c>
      <c r="AA26" t="s">
        <v>2158</v>
      </c>
      <c r="AB26" t="s">
        <v>132</v>
      </c>
      <c r="AC26" t="s">
        <v>2159</v>
      </c>
      <c r="AD26" t="s">
        <v>117</v>
      </c>
      <c r="AE26">
        <v>-15594946</v>
      </c>
      <c r="AF26" t="s">
        <v>1372</v>
      </c>
      <c r="AG26" t="s">
        <v>2160</v>
      </c>
      <c r="AH26" t="s">
        <v>1373</v>
      </c>
      <c r="AI26" t="s">
        <v>1726</v>
      </c>
      <c r="AJ26" t="s">
        <v>1374</v>
      </c>
      <c r="AK26" t="s">
        <v>2161</v>
      </c>
      <c r="AL26" t="s">
        <v>1375</v>
      </c>
      <c r="AM26" t="s">
        <v>117</v>
      </c>
      <c r="AN26" t="s">
        <v>394</v>
      </c>
      <c r="AO26" t="s">
        <v>2162</v>
      </c>
      <c r="AP26" t="s">
        <v>117</v>
      </c>
      <c r="AQ26" t="s">
        <v>2163</v>
      </c>
      <c r="AR26" t="s">
        <v>117</v>
      </c>
      <c r="AS26" t="s">
        <v>2164</v>
      </c>
      <c r="AT26" t="s">
        <v>117</v>
      </c>
      <c r="AU26" t="s">
        <v>2165</v>
      </c>
      <c r="AV26" t="s">
        <v>1367</v>
      </c>
      <c r="AW26" t="s">
        <v>2166</v>
      </c>
      <c r="AX26" t="s">
        <v>1024</v>
      </c>
      <c r="AY26" t="s">
        <v>727</v>
      </c>
      <c r="AZ26" t="s">
        <v>392</v>
      </c>
      <c r="BA26" t="s">
        <v>266</v>
      </c>
      <c r="BB26" t="s">
        <v>395</v>
      </c>
      <c r="BC26" t="s">
        <v>812</v>
      </c>
      <c r="BD26" t="s">
        <v>728</v>
      </c>
      <c r="BE26" t="s">
        <v>393</v>
      </c>
      <c r="BF26" t="s">
        <v>267</v>
      </c>
      <c r="BG26" t="s">
        <v>362</v>
      </c>
      <c r="BH26" t="s">
        <v>1371</v>
      </c>
      <c r="BI26" t="s">
        <v>1020</v>
      </c>
      <c r="BJ26" t="s">
        <v>1024</v>
      </c>
      <c r="BK26" t="s">
        <v>1012</v>
      </c>
      <c r="BL26" t="s">
        <v>867</v>
      </c>
      <c r="BM26" t="s">
        <v>812</v>
      </c>
      <c r="BN26">
        <v>15.54</v>
      </c>
      <c r="BO26">
        <v>24.16</v>
      </c>
      <c r="BP26">
        <v>25.62</v>
      </c>
      <c r="BQ26">
        <v>15.16</v>
      </c>
      <c r="BR26">
        <v>25.84</v>
      </c>
      <c r="BS26">
        <v>27</v>
      </c>
      <c r="BT26" t="s">
        <v>957</v>
      </c>
      <c r="BU26" t="s">
        <v>852</v>
      </c>
      <c r="BV26">
        <v>44.32</v>
      </c>
      <c r="BW26">
        <v>39.76</v>
      </c>
      <c r="BX26">
        <v>39.79</v>
      </c>
      <c r="BY26">
        <v>22.91</v>
      </c>
      <c r="BZ26">
        <v>18.850000000000001</v>
      </c>
      <c r="CA26">
        <v>19.23</v>
      </c>
      <c r="CB26">
        <v>-0.78</v>
      </c>
      <c r="CC26">
        <v>-13.07</v>
      </c>
      <c r="CD26" t="s">
        <v>2167</v>
      </c>
      <c r="CE26" t="s">
        <v>237</v>
      </c>
      <c r="CF26" s="9">
        <v>0.11272321428571427</v>
      </c>
      <c r="CG26" s="10">
        <v>-0.11757465517241379</v>
      </c>
      <c r="CH26" s="9">
        <v>-8.2830026745796204E-2</v>
      </c>
      <c r="CI26" s="9">
        <v>8.8603653013706207E-2</v>
      </c>
      <c r="CJ26" s="9">
        <v>0.25132220983505249</v>
      </c>
      <c r="CK26" s="9">
        <v>9.4554014503955841E-2</v>
      </c>
      <c r="CL26" s="9">
        <v>2.0568955689668655E-2</v>
      </c>
      <c r="CM26" s="10">
        <v>0.10408640652894974</v>
      </c>
      <c r="CN26" s="10">
        <v>6.0506843030452728E-2</v>
      </c>
      <c r="CO26" s="10">
        <v>2.5146797299385071E-2</v>
      </c>
      <c r="CP26" s="10">
        <v>0.21363167464733124</v>
      </c>
      <c r="CQ26" s="10">
        <v>5.1124743185937405E-3</v>
      </c>
      <c r="CR26">
        <v>20.566997748381652</v>
      </c>
      <c r="CS26">
        <v>2.7627563949568015</v>
      </c>
      <c r="CT26">
        <v>5.2287581699346406</v>
      </c>
      <c r="CU26" s="9">
        <v>7.4443761259317398E-2</v>
      </c>
      <c r="CV26" s="10">
        <v>8.1696839164942497E-2</v>
      </c>
      <c r="CW26">
        <v>0.06</v>
      </c>
      <c r="CX26">
        <v>13.804344217106642</v>
      </c>
      <c r="CY26">
        <v>1451512703.8899457</v>
      </c>
      <c r="CZ26">
        <v>7.4443761259317398E-2</v>
      </c>
      <c r="DA26">
        <v>4.5710535712690641</v>
      </c>
      <c r="DB26">
        <v>4383492927.3071432</v>
      </c>
      <c r="DC26">
        <v>7.0721573196351528E-2</v>
      </c>
      <c r="DD26">
        <v>2.2900437069248274</v>
      </c>
      <c r="DE26">
        <v>8749693702.0939293</v>
      </c>
      <c r="DF26">
        <v>6.5510509908199316E-2</v>
      </c>
      <c r="DG26">
        <v>1.402478613086501</v>
      </c>
      <c r="DH26">
        <v>14286977935.373451</v>
      </c>
      <c r="DI26">
        <v>5.9555009007453918E-2</v>
      </c>
      <c r="DJ26">
        <v>0.75600994235810937</v>
      </c>
      <c r="DK26">
        <v>26503859112.62093</v>
      </c>
      <c r="DL26">
        <v>5.2110632881522179E-2</v>
      </c>
      <c r="DM26">
        <v>1432000000</v>
      </c>
      <c r="DN26">
        <v>7.4443761259317398E-2</v>
      </c>
      <c r="DO26">
        <v>20037181000</v>
      </c>
      <c r="DP26">
        <v>3696789300</v>
      </c>
      <c r="DQ26">
        <v>878</v>
      </c>
      <c r="DR26">
        <v>3.8279453026396876E-2</v>
      </c>
      <c r="DS26">
        <v>-0.1992714943373563</v>
      </c>
      <c r="DT26" s="7">
        <v>-0.3066666666666667</v>
      </c>
      <c r="DU26">
        <v>0.11666666666666665</v>
      </c>
      <c r="DV26">
        <v>-0.19000000000000006</v>
      </c>
      <c r="DW26">
        <v>-2.1307</v>
      </c>
      <c r="DX26">
        <v>0.46079776536312805</v>
      </c>
      <c r="DY26">
        <v>-2.0210162679329611</v>
      </c>
      <c r="DZ26">
        <v>2180</v>
      </c>
      <c r="EA26">
        <v>-2.0120504236875885</v>
      </c>
      <c r="EB26">
        <v>2</v>
      </c>
      <c r="EC26">
        <v>1.8079216702113897E-2</v>
      </c>
      <c r="ED26">
        <v>0.1124345021915306</v>
      </c>
      <c r="EE26" s="11">
        <v>4.0925099999999999</v>
      </c>
      <c r="EF26">
        <v>4.1066099999999999</v>
      </c>
      <c r="EG26">
        <v>30.160797765363128</v>
      </c>
      <c r="EH26" t="s">
        <v>1376</v>
      </c>
      <c r="EI26">
        <v>0</v>
      </c>
      <c r="EJ26">
        <v>0</v>
      </c>
      <c r="EK26" s="13">
        <v>45470</v>
      </c>
      <c r="EL26" s="14">
        <v>0.64</v>
      </c>
      <c r="EM26" s="14">
        <v>0.45</v>
      </c>
      <c r="EN26" s="14">
        <v>-0.19</v>
      </c>
      <c r="EO26" s="14">
        <v>-0.7</v>
      </c>
      <c r="EP26" s="14">
        <v>-1.41</v>
      </c>
    </row>
    <row r="27" spans="1:146" ht="108" x14ac:dyDescent="0.25">
      <c r="A27" s="6"/>
      <c r="B27" s="6"/>
      <c r="C27" s="6" t="str">
        <f>""&amp;CHAR(10)&amp;Basic_Fundamental_Information_Constructure(F27)&amp;CHAR(10)&amp;Basic_Fundamental_Information_Concatenate("")</f>
        <v xml:space="preserve">
市值37.619511亿, 利润3.90亿; PE9.54; 平均PE10.05; 平均PEG.81, PB.708; ROIC6.65%; ROE7.0933%; 股利率1.9937%; 毛利17.9833%; 净利6.8967%; 上一年度营收增19.71%, 利润增52.34%; 当季营收增21.09%, 利润增5.55%; 过往5年营收增12.39%, 利润增7.67%
Income profile:
</v>
      </c>
      <c r="D27" t="s">
        <v>88</v>
      </c>
      <c r="E27" t="s">
        <v>30</v>
      </c>
      <c r="F27">
        <v>3.16</v>
      </c>
      <c r="G27">
        <v>0.96</v>
      </c>
      <c r="H27" t="s">
        <v>2168</v>
      </c>
      <c r="I27">
        <v>3761951100</v>
      </c>
      <c r="J27">
        <v>9.5399999999999991</v>
      </c>
      <c r="K27">
        <v>0.70799999999999996</v>
      </c>
      <c r="L27" t="s">
        <v>53</v>
      </c>
      <c r="M27" t="s">
        <v>1377</v>
      </c>
      <c r="N27" t="s">
        <v>2169</v>
      </c>
      <c r="O27" t="s">
        <v>743</v>
      </c>
      <c r="P27">
        <v>21.05</v>
      </c>
      <c r="Q27" t="s">
        <v>1378</v>
      </c>
      <c r="R27">
        <v>82380577</v>
      </c>
      <c r="S27" s="5">
        <v>5.5500000000000001E-2</v>
      </c>
      <c r="T27" t="s">
        <v>963</v>
      </c>
      <c r="U27">
        <v>915365710</v>
      </c>
      <c r="V27">
        <v>1190490840</v>
      </c>
      <c r="W27">
        <v>1.62</v>
      </c>
      <c r="X27">
        <v>0.17</v>
      </c>
      <c r="Y27">
        <v>5.63</v>
      </c>
      <c r="Z27" t="s">
        <v>2170</v>
      </c>
      <c r="AA27" t="s">
        <v>2171</v>
      </c>
      <c r="AB27" t="s">
        <v>2172</v>
      </c>
      <c r="AC27" t="s">
        <v>2173</v>
      </c>
      <c r="AD27" t="s">
        <v>117</v>
      </c>
      <c r="AE27">
        <v>449173</v>
      </c>
      <c r="AF27" t="s">
        <v>1380</v>
      </c>
      <c r="AG27" t="s">
        <v>2174</v>
      </c>
      <c r="AH27" t="s">
        <v>1381</v>
      </c>
      <c r="AI27" t="s">
        <v>2175</v>
      </c>
      <c r="AJ27" t="s">
        <v>1382</v>
      </c>
      <c r="AK27" t="s">
        <v>232</v>
      </c>
      <c r="AL27" t="s">
        <v>1383</v>
      </c>
      <c r="AM27" t="s">
        <v>117</v>
      </c>
      <c r="AN27" t="s">
        <v>2176</v>
      </c>
      <c r="AO27" t="s">
        <v>200</v>
      </c>
      <c r="AP27" t="s">
        <v>323</v>
      </c>
      <c r="AQ27" t="s">
        <v>2177</v>
      </c>
      <c r="AR27" t="s">
        <v>117</v>
      </c>
      <c r="AS27" t="s">
        <v>2178</v>
      </c>
      <c r="AT27" t="s">
        <v>117</v>
      </c>
      <c r="AU27" t="s">
        <v>2179</v>
      </c>
      <c r="AV27" t="s">
        <v>2180</v>
      </c>
      <c r="AW27" t="s">
        <v>2181</v>
      </c>
      <c r="AX27" t="s">
        <v>1025</v>
      </c>
      <c r="AY27" t="s">
        <v>729</v>
      </c>
      <c r="AZ27" t="s">
        <v>142</v>
      </c>
      <c r="BA27" t="s">
        <v>259</v>
      </c>
      <c r="BB27" t="s">
        <v>397</v>
      </c>
      <c r="BC27" t="s">
        <v>946</v>
      </c>
      <c r="BD27" t="s">
        <v>645</v>
      </c>
      <c r="BE27" t="s">
        <v>302</v>
      </c>
      <c r="BF27" t="s">
        <v>260</v>
      </c>
      <c r="BG27" t="s">
        <v>136</v>
      </c>
      <c r="BH27" t="s">
        <v>1378</v>
      </c>
      <c r="BI27" t="s">
        <v>988</v>
      </c>
      <c r="BJ27" t="s">
        <v>1025</v>
      </c>
      <c r="BK27" t="s">
        <v>963</v>
      </c>
      <c r="BL27" t="s">
        <v>1384</v>
      </c>
      <c r="BM27" t="s">
        <v>946</v>
      </c>
      <c r="BN27">
        <v>5.77</v>
      </c>
      <c r="BO27">
        <v>5.28</v>
      </c>
      <c r="BP27">
        <v>8.9</v>
      </c>
      <c r="BQ27">
        <v>6.79</v>
      </c>
      <c r="BR27">
        <v>5.4</v>
      </c>
      <c r="BS27">
        <v>9.09</v>
      </c>
      <c r="BT27" t="s">
        <v>1385</v>
      </c>
      <c r="BU27" t="s">
        <v>849</v>
      </c>
      <c r="BV27">
        <v>18.37</v>
      </c>
      <c r="BW27">
        <v>17.100000000000001</v>
      </c>
      <c r="BX27">
        <v>18.48</v>
      </c>
      <c r="BY27">
        <v>7.03</v>
      </c>
      <c r="BZ27">
        <v>5.53</v>
      </c>
      <c r="CA27">
        <v>8.1300000000000008</v>
      </c>
      <c r="CB27">
        <v>0.32</v>
      </c>
      <c r="CC27">
        <v>-12.63</v>
      </c>
      <c r="CD27" t="s">
        <v>2182</v>
      </c>
      <c r="CE27" t="s">
        <v>2183</v>
      </c>
      <c r="CF27" s="9">
        <v>0.21086780210867803</v>
      </c>
      <c r="CG27" s="10">
        <v>5.5453548454049401E-2</v>
      </c>
      <c r="CH27" s="9">
        <v>0.19707562029361725</v>
      </c>
      <c r="CI27" s="9">
        <v>-3.9095908403396606E-2</v>
      </c>
      <c r="CJ27" s="9">
        <v>0.13917884230613708</v>
      </c>
      <c r="CK27" s="9">
        <v>0.1520577073097229</v>
      </c>
      <c r="CL27" s="9">
        <v>0.17047238349914551</v>
      </c>
      <c r="CM27" s="10">
        <v>0.5234375</v>
      </c>
      <c r="CN27" s="10">
        <v>-0.35678392648696899</v>
      </c>
      <c r="CO27" s="10">
        <v>-0.12141280621290207</v>
      </c>
      <c r="CP27" s="10">
        <v>8.8942304253578186E-2</v>
      </c>
      <c r="CQ27" s="10">
        <v>0.24924924969673157</v>
      </c>
      <c r="CR27">
        <v>10.049735796972396</v>
      </c>
      <c r="CS27">
        <v>0.81086977129358573</v>
      </c>
      <c r="CT27">
        <v>1.9936708860759493</v>
      </c>
      <c r="CU27" s="9">
        <v>0.12393772900104523</v>
      </c>
      <c r="CV27" s="10">
        <v>7.6686464250087738E-2</v>
      </c>
      <c r="CW27">
        <v>0.06</v>
      </c>
      <c r="CX27">
        <v>3.9754647159916008</v>
      </c>
      <c r="CY27">
        <v>413524258.7834034</v>
      </c>
      <c r="CZ27">
        <v>0.12393772900104523</v>
      </c>
      <c r="DA27">
        <v>1.2624824518101849</v>
      </c>
      <c r="DB27">
        <v>1302157584.5611589</v>
      </c>
      <c r="DC27">
        <v>0.11774084255099296</v>
      </c>
      <c r="DD27">
        <v>0.59785776272018343</v>
      </c>
      <c r="DE27">
        <v>2749736145.4674659</v>
      </c>
      <c r="DF27">
        <v>0.10906520152091981</v>
      </c>
      <c r="DG27">
        <v>0.34343057773060565</v>
      </c>
      <c r="DH27">
        <v>4786851278.2503328</v>
      </c>
      <c r="DI27">
        <v>9.9150183200836184E-2</v>
      </c>
      <c r="DJ27">
        <v>0.16056101400408015</v>
      </c>
      <c r="DK27">
        <v>10238793708.404358</v>
      </c>
      <c r="DL27">
        <v>8.6756410300731654E-2</v>
      </c>
      <c r="DM27">
        <v>390000000</v>
      </c>
      <c r="DN27">
        <v>0.12393772900104523</v>
      </c>
      <c r="DO27">
        <v>1643951100</v>
      </c>
      <c r="DP27">
        <v>3544514500</v>
      </c>
      <c r="DQ27">
        <v>898</v>
      </c>
      <c r="DR27">
        <v>8.6930073107632802E-2</v>
      </c>
      <c r="DS27">
        <v>-2.1232915796038337E-2</v>
      </c>
      <c r="DT27" s="7">
        <v>-5.6666666666666719E-2</v>
      </c>
      <c r="DU27">
        <v>0.11666666666666665</v>
      </c>
      <c r="DV27">
        <v>5.9999999999999935E-2</v>
      </c>
      <c r="DW27">
        <v>-2.1263000000000001</v>
      </c>
      <c r="DX27">
        <v>0.33647197640118076</v>
      </c>
      <c r="DY27">
        <v>-2.0159734106194689</v>
      </c>
      <c r="DZ27">
        <v>1578</v>
      </c>
      <c r="EA27">
        <v>-2.0110407213909909</v>
      </c>
      <c r="EB27">
        <v>2</v>
      </c>
      <c r="EC27">
        <v>3.6013716829606184E-2</v>
      </c>
      <c r="ED27">
        <v>0.28475649590046404</v>
      </c>
      <c r="EE27" s="11">
        <v>-2.0272999999999999</v>
      </c>
      <c r="EF27">
        <v>-2.0038100000000001</v>
      </c>
      <c r="EG27">
        <v>21.126471976401181</v>
      </c>
      <c r="EH27" t="s">
        <v>1566</v>
      </c>
      <c r="EI27">
        <v>0</v>
      </c>
      <c r="EJ27">
        <v>0</v>
      </c>
      <c r="EK27" s="13">
        <v>45470</v>
      </c>
      <c r="EL27" s="14">
        <v>0.95</v>
      </c>
      <c r="EM27" s="14">
        <v>-3.46</v>
      </c>
      <c r="EN27" s="14">
        <v>1.95</v>
      </c>
      <c r="EO27" s="14">
        <v>2.88</v>
      </c>
      <c r="EP27" s="14">
        <v>-3.11</v>
      </c>
    </row>
    <row r="28" spans="1:146" ht="108" x14ac:dyDescent="0.25">
      <c r="A28" s="6"/>
      <c r="B28" s="6"/>
      <c r="C28" s="6" t="str">
        <f>""&amp;CHAR(10)&amp;Basic_Fundamental_Information_Constructure(F28)&amp;CHAR(10)&amp;Basic_Fundamental_Information_Concatenate("")</f>
        <v xml:space="preserve">
市值26.243629亿, 利润1.59亿; PE17.18; 平均PE9.46; 平均PEG1.99, PB.733; ROIC5.91%; ROE6.2167%; 股利率2.139%; 毛利21.5667%; 净利5.2767%; 上一年度营收增-22.52%, 利润增-24.64%; 当季营收增-18.59%, 利润增-12.77%; 过往5年营收增4.76%, 利润增-3.99%
Income profile:
</v>
      </c>
      <c r="D28" t="s">
        <v>86</v>
      </c>
      <c r="E28" t="s">
        <v>87</v>
      </c>
      <c r="F28">
        <v>3.74</v>
      </c>
      <c r="G28">
        <v>1.08</v>
      </c>
      <c r="H28" t="s">
        <v>2184</v>
      </c>
      <c r="I28">
        <v>2624362900</v>
      </c>
      <c r="J28">
        <v>17.18</v>
      </c>
      <c r="K28">
        <v>0.73299999999999998</v>
      </c>
      <c r="L28" t="s">
        <v>53</v>
      </c>
      <c r="M28" t="s">
        <v>1387</v>
      </c>
      <c r="N28" t="s">
        <v>2185</v>
      </c>
      <c r="O28" t="s">
        <v>1388</v>
      </c>
      <c r="P28">
        <v>-18.61</v>
      </c>
      <c r="Q28" t="s">
        <v>1389</v>
      </c>
      <c r="R28">
        <v>41880329</v>
      </c>
      <c r="S28" s="5">
        <v>-0.12770000000000001</v>
      </c>
      <c r="T28" t="s">
        <v>430</v>
      </c>
      <c r="U28">
        <v>579360160</v>
      </c>
      <c r="V28">
        <v>701701310</v>
      </c>
      <c r="W28">
        <v>1.67</v>
      </c>
      <c r="X28">
        <v>0.08</v>
      </c>
      <c r="Y28">
        <v>7.99</v>
      </c>
      <c r="Z28" t="s">
        <v>638</v>
      </c>
      <c r="AA28" t="s">
        <v>2186</v>
      </c>
      <c r="AB28" t="s">
        <v>2187</v>
      </c>
      <c r="AC28" t="s">
        <v>2188</v>
      </c>
      <c r="AD28" t="s">
        <v>117</v>
      </c>
      <c r="AE28">
        <v>4798963</v>
      </c>
      <c r="AF28" t="s">
        <v>1391</v>
      </c>
      <c r="AG28" t="s">
        <v>2189</v>
      </c>
      <c r="AH28" t="s">
        <v>1392</v>
      </c>
      <c r="AI28" t="s">
        <v>2183</v>
      </c>
      <c r="AJ28" t="s">
        <v>1394</v>
      </c>
      <c r="AK28" t="s">
        <v>861</v>
      </c>
      <c r="AL28" t="s">
        <v>1395</v>
      </c>
      <c r="AM28" t="s">
        <v>117</v>
      </c>
      <c r="AN28" t="s">
        <v>212</v>
      </c>
      <c r="AO28" t="s">
        <v>117</v>
      </c>
      <c r="AP28" t="s">
        <v>2190</v>
      </c>
      <c r="AQ28" t="s">
        <v>2191</v>
      </c>
      <c r="AR28" t="s">
        <v>2192</v>
      </c>
      <c r="AS28" t="s">
        <v>2193</v>
      </c>
      <c r="AT28" t="s">
        <v>2194</v>
      </c>
      <c r="AU28" t="s">
        <v>2195</v>
      </c>
      <c r="AV28" t="s">
        <v>2196</v>
      </c>
      <c r="AW28" t="s">
        <v>2197</v>
      </c>
      <c r="AX28" t="s">
        <v>1030</v>
      </c>
      <c r="AY28" t="s">
        <v>731</v>
      </c>
      <c r="AZ28" t="s">
        <v>398</v>
      </c>
      <c r="BA28" t="s">
        <v>211</v>
      </c>
      <c r="BB28" t="s">
        <v>399</v>
      </c>
      <c r="BC28" t="s">
        <v>862</v>
      </c>
      <c r="BD28" t="s">
        <v>732</v>
      </c>
      <c r="BE28" t="s">
        <v>179</v>
      </c>
      <c r="BF28" t="s">
        <v>212</v>
      </c>
      <c r="BG28" t="s">
        <v>337</v>
      </c>
      <c r="BH28" t="s">
        <v>1389</v>
      </c>
      <c r="BI28" t="s">
        <v>428</v>
      </c>
      <c r="BJ28" t="s">
        <v>1030</v>
      </c>
      <c r="BK28" t="s">
        <v>430</v>
      </c>
      <c r="BL28" t="s">
        <v>1398</v>
      </c>
      <c r="BM28" t="s">
        <v>862</v>
      </c>
      <c r="BN28">
        <v>4.21</v>
      </c>
      <c r="BO28">
        <v>5.61</v>
      </c>
      <c r="BP28">
        <v>7.91</v>
      </c>
      <c r="BQ28">
        <v>4.51</v>
      </c>
      <c r="BR28">
        <v>5.95</v>
      </c>
      <c r="BS28">
        <v>8.19</v>
      </c>
      <c r="BT28" t="s">
        <v>942</v>
      </c>
      <c r="BU28" t="s">
        <v>848</v>
      </c>
      <c r="BV28">
        <v>24.84</v>
      </c>
      <c r="BW28">
        <v>21.59</v>
      </c>
      <c r="BX28">
        <v>18.27</v>
      </c>
      <c r="BY28">
        <v>4.99</v>
      </c>
      <c r="BZ28">
        <v>5.25</v>
      </c>
      <c r="CA28">
        <v>5.59</v>
      </c>
      <c r="CB28">
        <v>0.54</v>
      </c>
      <c r="CC28">
        <v>-13.43</v>
      </c>
      <c r="CD28" t="s">
        <v>2198</v>
      </c>
      <c r="CE28" t="s">
        <v>134</v>
      </c>
      <c r="CF28" s="9">
        <v>-0.18593750000000001</v>
      </c>
      <c r="CG28" s="10">
        <v>-0.12768214803459252</v>
      </c>
      <c r="CH28" s="9">
        <v>-0.22523440420627594</v>
      </c>
      <c r="CI28" s="9">
        <v>-0.19743798673152924</v>
      </c>
      <c r="CJ28" s="9">
        <v>0.27047276496887207</v>
      </c>
      <c r="CK28" s="9">
        <v>0.14054219424724579</v>
      </c>
      <c r="CL28" s="9">
        <v>0.24963176250457764</v>
      </c>
      <c r="CM28" s="10">
        <v>-0.24644549190998077</v>
      </c>
      <c r="CN28" s="10">
        <v>-0.2242647111415863</v>
      </c>
      <c r="CO28" s="10">
        <v>-0.26881721615791321</v>
      </c>
      <c r="CP28" s="10">
        <v>-7.46268630027771E-2</v>
      </c>
      <c r="CQ28" s="10">
        <v>0.61445784568786621</v>
      </c>
      <c r="CR28">
        <v>9.457163603603604</v>
      </c>
      <c r="CS28">
        <v>1.9870133834374768</v>
      </c>
      <c r="CT28">
        <v>2.1390374331550803</v>
      </c>
      <c r="CU28" s="9">
        <v>4.7594866156578063E-2</v>
      </c>
      <c r="CV28" s="10">
        <v>-3.9939287304878238E-2</v>
      </c>
      <c r="CW28">
        <v>0.06</v>
      </c>
      <c r="CX28">
        <v>10.311638289108183</v>
      </c>
      <c r="CY28">
        <v>157139229.92348671</v>
      </c>
      <c r="CZ28">
        <v>4.7594866156578063E-2</v>
      </c>
      <c r="DA28">
        <v>3.4935399343630782</v>
      </c>
      <c r="DB28">
        <v>463816910.76773542</v>
      </c>
      <c r="DC28">
        <v>4.5215122848749158E-2</v>
      </c>
      <c r="DD28">
        <v>1.8033466259454147</v>
      </c>
      <c r="DE28">
        <v>898531029.30254221</v>
      </c>
      <c r="DF28">
        <v>4.1883482217788696E-2</v>
      </c>
      <c r="DG28">
        <v>1.1411824962016088</v>
      </c>
      <c r="DH28">
        <v>1419898136.7076068</v>
      </c>
      <c r="DI28">
        <v>3.807589292526245E-2</v>
      </c>
      <c r="DJ28">
        <v>0.65881543731380332</v>
      </c>
      <c r="DK28">
        <v>2459509611.0782204</v>
      </c>
      <c r="DL28">
        <v>3.331640630960464E-2</v>
      </c>
      <c r="DM28">
        <v>159000000</v>
      </c>
      <c r="DN28">
        <v>4.7594866156578063E-2</v>
      </c>
      <c r="DO28">
        <v>1620362900</v>
      </c>
      <c r="DP28">
        <v>2459950200</v>
      </c>
      <c r="DQ28">
        <v>904</v>
      </c>
      <c r="DR28">
        <v>-0.23353236615657808</v>
      </c>
      <c r="DS28">
        <v>-8.7742860729714281E-2</v>
      </c>
      <c r="DT28" s="7">
        <v>-0.52333333333333332</v>
      </c>
      <c r="DU28">
        <v>-0.25</v>
      </c>
      <c r="DV28">
        <v>-0.77333333333333332</v>
      </c>
      <c r="DW28">
        <v>-2.1343000000000001</v>
      </c>
      <c r="DX28">
        <v>0.28669705882353103</v>
      </c>
      <c r="DY28">
        <v>-2.0170154149999999</v>
      </c>
      <c r="DZ28">
        <v>3303</v>
      </c>
      <c r="EA28">
        <v>-2.0060169970459882</v>
      </c>
      <c r="EB28">
        <v>2</v>
      </c>
      <c r="EC28">
        <v>2.4555747230969257E-2</v>
      </c>
      <c r="ED28">
        <v>0.19381465883254514</v>
      </c>
      <c r="EE28" s="11">
        <v>4.1099999999999998E-2</v>
      </c>
      <c r="EF28">
        <v>4.1099999999999998E-2</v>
      </c>
      <c r="EG28">
        <v>16.126697058823531</v>
      </c>
      <c r="EH28" t="s">
        <v>666</v>
      </c>
      <c r="EI28">
        <v>0</v>
      </c>
      <c r="EJ28">
        <v>0</v>
      </c>
      <c r="EK28" s="13">
        <v>45470</v>
      </c>
      <c r="EL28" s="14">
        <v>1.1000000000000001</v>
      </c>
      <c r="EM28" s="14">
        <v>-1.64</v>
      </c>
      <c r="EN28" s="14">
        <v>1.1100000000000001</v>
      </c>
      <c r="EO28" s="14">
        <v>2.75</v>
      </c>
      <c r="EP28" s="14">
        <v>0</v>
      </c>
    </row>
    <row r="29" spans="1:146" ht="108" x14ac:dyDescent="0.25">
      <c r="A29" s="6"/>
      <c r="B29" s="6"/>
      <c r="C29" s="6" t="str">
        <f>""&amp;CHAR(10)&amp;Basic_Fundamental_Information_Constructure(F29)&amp;CHAR(10)&amp;Basic_Fundamental_Information_Concatenate("")</f>
        <v xml:space="preserve">
市值26.665363亿, 利润2487.16万; PE104.4; 平均PE21.81; 平均PEG2.38, PB1.18; ROIC4.82%; ROE4.9%; 股利率1.1307%; 毛利27.9833%; 净利5.3367%; 上一年度营收增-19.87%, 利润增-85.2%; 当季营收增78.61%, 利润增36.94%; 过往5年营收增9.15%, 利润增7.41%
Income profile:
</v>
      </c>
      <c r="D29" t="s">
        <v>75</v>
      </c>
      <c r="E29" t="s">
        <v>15</v>
      </c>
      <c r="F29">
        <v>7.96</v>
      </c>
      <c r="G29">
        <v>1.4</v>
      </c>
      <c r="H29" t="s">
        <v>2199</v>
      </c>
      <c r="I29">
        <v>2666536300</v>
      </c>
      <c r="J29">
        <v>104.4</v>
      </c>
      <c r="K29">
        <v>1.18</v>
      </c>
      <c r="L29" t="s">
        <v>53</v>
      </c>
      <c r="M29" t="s">
        <v>1399</v>
      </c>
      <c r="N29" t="s">
        <v>2200</v>
      </c>
      <c r="O29" t="s">
        <v>1396</v>
      </c>
      <c r="P29">
        <v>78.790000000000006</v>
      </c>
      <c r="Q29" t="s">
        <v>1034</v>
      </c>
      <c r="R29">
        <v>-1129689</v>
      </c>
      <c r="S29" s="5">
        <v>0.36940000000000001</v>
      </c>
      <c r="T29" t="s">
        <v>1400</v>
      </c>
      <c r="U29">
        <v>334826850</v>
      </c>
      <c r="V29">
        <v>334992000</v>
      </c>
      <c r="W29">
        <v>1.74</v>
      </c>
      <c r="X29">
        <v>0.08</v>
      </c>
      <c r="Y29">
        <v>0.36</v>
      </c>
      <c r="Z29" t="s">
        <v>1875</v>
      </c>
      <c r="AA29" t="s">
        <v>154</v>
      </c>
      <c r="AB29" t="s">
        <v>2201</v>
      </c>
      <c r="AC29" t="s">
        <v>2202</v>
      </c>
      <c r="AD29" t="s">
        <v>117</v>
      </c>
      <c r="AE29">
        <v>4672005</v>
      </c>
      <c r="AF29" t="s">
        <v>1401</v>
      </c>
      <c r="AG29" t="s">
        <v>2203</v>
      </c>
      <c r="AH29" t="s">
        <v>1402</v>
      </c>
      <c r="AI29" t="s">
        <v>2186</v>
      </c>
      <c r="AJ29" t="s">
        <v>1404</v>
      </c>
      <c r="AK29" t="s">
        <v>2204</v>
      </c>
      <c r="AL29" t="s">
        <v>1405</v>
      </c>
      <c r="AM29" t="s">
        <v>117</v>
      </c>
      <c r="AN29" t="s">
        <v>2205</v>
      </c>
      <c r="AO29" t="s">
        <v>2206</v>
      </c>
      <c r="AP29" t="s">
        <v>339</v>
      </c>
      <c r="AQ29" t="s">
        <v>201</v>
      </c>
      <c r="AR29" t="s">
        <v>117</v>
      </c>
      <c r="AS29" t="s">
        <v>2207</v>
      </c>
      <c r="AT29" t="s">
        <v>2208</v>
      </c>
      <c r="AU29" t="s">
        <v>2209</v>
      </c>
      <c r="AV29" t="s">
        <v>2210</v>
      </c>
      <c r="AW29" t="s">
        <v>198</v>
      </c>
      <c r="AX29" t="s">
        <v>1035</v>
      </c>
      <c r="AY29" t="s">
        <v>1033</v>
      </c>
      <c r="AZ29" t="s">
        <v>1034</v>
      </c>
      <c r="BA29" t="s">
        <v>400</v>
      </c>
      <c r="BB29" t="s">
        <v>401</v>
      </c>
      <c r="BC29" t="s">
        <v>858</v>
      </c>
      <c r="BD29" t="s">
        <v>674</v>
      </c>
      <c r="BE29" t="s">
        <v>192</v>
      </c>
      <c r="BF29" t="s">
        <v>268</v>
      </c>
      <c r="BG29" t="s">
        <v>403</v>
      </c>
      <c r="BH29" t="s">
        <v>1034</v>
      </c>
      <c r="BI29" t="s">
        <v>149</v>
      </c>
      <c r="BJ29" t="s">
        <v>1035</v>
      </c>
      <c r="BK29" t="s">
        <v>1400</v>
      </c>
      <c r="BL29" t="s">
        <v>1406</v>
      </c>
      <c r="BM29" t="s">
        <v>858</v>
      </c>
      <c r="BN29">
        <v>0.93</v>
      </c>
      <c r="BO29">
        <v>7.04</v>
      </c>
      <c r="BP29">
        <v>6.49</v>
      </c>
      <c r="BQ29">
        <v>0.48</v>
      </c>
      <c r="BR29">
        <v>7.53</v>
      </c>
      <c r="BS29">
        <v>6.69</v>
      </c>
      <c r="BT29" t="s">
        <v>1186</v>
      </c>
      <c r="BU29" t="s">
        <v>852</v>
      </c>
      <c r="BV29">
        <v>29.99</v>
      </c>
      <c r="BW29">
        <v>27.59</v>
      </c>
      <c r="BX29">
        <v>26.37</v>
      </c>
      <c r="BY29">
        <v>2.16</v>
      </c>
      <c r="BZ29">
        <v>7.46</v>
      </c>
      <c r="CA29">
        <v>6.39</v>
      </c>
      <c r="CB29">
        <v>-0.75</v>
      </c>
      <c r="CC29">
        <v>-3.28</v>
      </c>
      <c r="CD29" t="s">
        <v>2211</v>
      </c>
      <c r="CE29" t="s">
        <v>2212</v>
      </c>
      <c r="CF29" s="9">
        <v>0.78606965174129384</v>
      </c>
      <c r="CG29" s="10">
        <v>0.36941724811610382</v>
      </c>
      <c r="CH29" s="9">
        <v>-0.19867809116840363</v>
      </c>
      <c r="CI29" s="9">
        <v>5.6262806057929993E-2</v>
      </c>
      <c r="CJ29" s="9">
        <v>0.18146537244319916</v>
      </c>
      <c r="CK29" s="9">
        <v>3.2565098255872726E-2</v>
      </c>
      <c r="CL29" s="9">
        <v>0.38611111044883728</v>
      </c>
      <c r="CM29" s="10">
        <v>-0.85195475816726685</v>
      </c>
      <c r="CN29" s="10">
        <v>0.17482517659664154</v>
      </c>
      <c r="CO29" s="10">
        <v>-0.14371258020401001</v>
      </c>
      <c r="CP29" s="10">
        <v>6.3694268465042114E-2</v>
      </c>
      <c r="CQ29" s="10">
        <v>1.1274838447570801</v>
      </c>
      <c r="CR29">
        <v>21.807172102574505</v>
      </c>
      <c r="CS29">
        <v>2.3821192152778337</v>
      </c>
      <c r="CT29">
        <v>1.1306532663316584</v>
      </c>
      <c r="CU29" s="9">
        <v>9.1545259207487101E-2</v>
      </c>
      <c r="CV29" s="10">
        <v>7.4067190289497375E-2</v>
      </c>
      <c r="CW29">
        <v>0.06</v>
      </c>
      <c r="CX29">
        <v>79.515638115573864</v>
      </c>
      <c r="CY29">
        <v>25611770.819721635</v>
      </c>
      <c r="CZ29">
        <v>9.1545259207487101E-2</v>
      </c>
      <c r="DA29">
        <v>25.950995638319007</v>
      </c>
      <c r="DB29">
        <v>78476229.905910388</v>
      </c>
      <c r="DC29">
        <v>8.6967996247112739E-2</v>
      </c>
      <c r="DD29">
        <v>12.752729407945626</v>
      </c>
      <c r="DE29">
        <v>159694151.33446884</v>
      </c>
      <c r="DF29">
        <v>8.0559828102588646E-2</v>
      </c>
      <c r="DG29">
        <v>7.6431186769201425</v>
      </c>
      <c r="DH29">
        <v>266453575.57376552</v>
      </c>
      <c r="DI29">
        <v>7.3236207365989681E-2</v>
      </c>
      <c r="DJ29">
        <v>3.931209872514251</v>
      </c>
      <c r="DK29">
        <v>518043138.38312316</v>
      </c>
      <c r="DL29">
        <v>6.4081681445240971E-2</v>
      </c>
      <c r="DM29">
        <v>24871600</v>
      </c>
      <c r="DN29">
        <v>9.1545259207487101E-2</v>
      </c>
      <c r="DO29">
        <v>2036536300</v>
      </c>
      <c r="DP29">
        <v>1324043800</v>
      </c>
      <c r="DQ29">
        <v>958</v>
      </c>
      <c r="DR29">
        <v>0.69452439253380671</v>
      </c>
      <c r="DS29">
        <v>0.29535005782660645</v>
      </c>
      <c r="DT29" s="7">
        <v>-0.37333333333333335</v>
      </c>
      <c r="DU29">
        <v>-0.44166666666666671</v>
      </c>
      <c r="DV29">
        <v>-0.81500000000000006</v>
      </c>
      <c r="DW29">
        <v>-1.0327999999999999</v>
      </c>
      <c r="DX29">
        <v>0.27299934368070999</v>
      </c>
      <c r="DY29">
        <v>-1.0050183784727273</v>
      </c>
      <c r="DZ29">
        <v>3368</v>
      </c>
      <c r="EA29">
        <v>-1.0017107662034228</v>
      </c>
      <c r="EB29">
        <v>1</v>
      </c>
      <c r="EC29">
        <v>0.20598312795529444</v>
      </c>
      <c r="ED29">
        <v>1.346300807183455</v>
      </c>
      <c r="EE29" s="11">
        <v>3.4500000000000003E-2</v>
      </c>
      <c r="EF29">
        <v>2.0099999999999949E-3</v>
      </c>
      <c r="EG29">
        <v>12.15299934368071</v>
      </c>
      <c r="EH29">
        <v>-1</v>
      </c>
      <c r="EI29">
        <v>0</v>
      </c>
      <c r="EJ29">
        <v>0</v>
      </c>
      <c r="EK29" s="13">
        <v>45470</v>
      </c>
      <c r="EL29" s="14">
        <v>2.39</v>
      </c>
      <c r="EM29" s="14">
        <v>0.23</v>
      </c>
      <c r="EN29" s="14">
        <v>-4.3099999999999996</v>
      </c>
      <c r="EO29" s="14">
        <v>-0.12</v>
      </c>
      <c r="EP29" s="14">
        <v>-3.65</v>
      </c>
    </row>
    <row r="30" spans="1:146" ht="108" x14ac:dyDescent="0.25">
      <c r="A30" s="6"/>
      <c r="B30" s="6"/>
      <c r="C30" s="6" t="str">
        <f>""&amp;CHAR(10)&amp;Basic_Fundamental_Information_Constructure(F30)&amp;CHAR(10)&amp;Basic_Fundamental_Information_Concatenate("")</f>
        <v xml:space="preserve">
市值16.295643亿, 利润-5.07亿; PE; 平均PE-4.09; 平均PEG-.4, PB1.67; ROIC0%; ROE-26.5367%; 股利率0%; 毛利13.5833%; 净利-33.1867%; 上一年度营收增-11.38%, 利润增-2.84%; 当季营收增-2.22%, 利润增36.72%; 过往5年营收增-10.18%, 利润增-625.46%
Income profile:
</v>
      </c>
      <c r="D30" t="s">
        <v>57</v>
      </c>
      <c r="E30" t="s">
        <v>9</v>
      </c>
      <c r="F30">
        <v>1.42</v>
      </c>
      <c r="G30">
        <v>2.16</v>
      </c>
      <c r="H30" t="s">
        <v>2213</v>
      </c>
      <c r="I30">
        <v>1629564300</v>
      </c>
      <c r="K30">
        <v>1.67</v>
      </c>
      <c r="L30" t="s">
        <v>53</v>
      </c>
      <c r="M30" t="s">
        <v>1407</v>
      </c>
      <c r="N30" t="s">
        <v>2214</v>
      </c>
      <c r="O30" t="s">
        <v>1157</v>
      </c>
      <c r="P30">
        <v>-2.25</v>
      </c>
      <c r="Q30" t="s">
        <v>1408</v>
      </c>
      <c r="R30">
        <v>-16511232</v>
      </c>
      <c r="S30" s="5">
        <v>0.36720000000000003</v>
      </c>
      <c r="T30" t="s">
        <v>1409</v>
      </c>
      <c r="U30">
        <v>1053591270</v>
      </c>
      <c r="V30">
        <v>1147580520</v>
      </c>
      <c r="W30">
        <v>4</v>
      </c>
      <c r="X30">
        <v>0.09</v>
      </c>
      <c r="Y30">
        <v>-4.37</v>
      </c>
      <c r="Z30" t="s">
        <v>1430</v>
      </c>
      <c r="AA30" t="s">
        <v>970</v>
      </c>
      <c r="AB30" t="s">
        <v>2215</v>
      </c>
      <c r="AC30" t="s">
        <v>2216</v>
      </c>
      <c r="AD30" t="s">
        <v>117</v>
      </c>
      <c r="AE30">
        <v>21987032</v>
      </c>
      <c r="AF30" t="s">
        <v>1410</v>
      </c>
      <c r="AG30" t="s">
        <v>2217</v>
      </c>
      <c r="AH30" t="s">
        <v>1411</v>
      </c>
      <c r="AI30" t="s">
        <v>198</v>
      </c>
      <c r="AJ30" t="s">
        <v>1412</v>
      </c>
      <c r="AK30" t="s">
        <v>2218</v>
      </c>
      <c r="AL30" t="s">
        <v>1413</v>
      </c>
      <c r="AM30" t="s">
        <v>117</v>
      </c>
      <c r="AN30">
        <v>0</v>
      </c>
      <c r="AO30" t="s">
        <v>1183</v>
      </c>
      <c r="AP30" t="s">
        <v>2219</v>
      </c>
      <c r="AQ30" t="s">
        <v>2220</v>
      </c>
      <c r="AR30" t="s">
        <v>117</v>
      </c>
      <c r="AS30" t="s">
        <v>2221</v>
      </c>
      <c r="AT30" t="s">
        <v>2222</v>
      </c>
      <c r="AU30" t="s">
        <v>2223</v>
      </c>
      <c r="AV30" t="s">
        <v>2224</v>
      </c>
      <c r="AW30" t="s">
        <v>2225</v>
      </c>
      <c r="AX30" t="s">
        <v>1036</v>
      </c>
      <c r="AY30" t="s">
        <v>734</v>
      </c>
      <c r="AZ30" t="s">
        <v>405</v>
      </c>
      <c r="BA30" t="s">
        <v>213</v>
      </c>
      <c r="BB30" t="s">
        <v>404</v>
      </c>
      <c r="BC30" t="s">
        <v>1415</v>
      </c>
      <c r="BD30" t="s">
        <v>735</v>
      </c>
      <c r="BE30" t="s">
        <v>406</v>
      </c>
      <c r="BF30" t="s">
        <v>214</v>
      </c>
      <c r="BG30" t="s">
        <v>326</v>
      </c>
      <c r="BH30" t="s">
        <v>1408</v>
      </c>
      <c r="BI30" t="s">
        <v>409</v>
      </c>
      <c r="BJ30" t="s">
        <v>1036</v>
      </c>
      <c r="BK30" t="s">
        <v>1409</v>
      </c>
      <c r="BL30" t="s">
        <v>1416</v>
      </c>
      <c r="BM30" t="s">
        <v>1415</v>
      </c>
      <c r="BN30" t="s">
        <v>117</v>
      </c>
      <c r="BO30" t="s">
        <v>117</v>
      </c>
      <c r="BP30" t="s">
        <v>117</v>
      </c>
      <c r="BQ30">
        <v>-7.19</v>
      </c>
      <c r="BR30">
        <v>-28.27</v>
      </c>
      <c r="BS30">
        <v>-44.15</v>
      </c>
      <c r="BT30" t="s">
        <v>930</v>
      </c>
      <c r="BU30" t="s">
        <v>847</v>
      </c>
      <c r="BV30">
        <v>15.5</v>
      </c>
      <c r="BW30">
        <v>12.14</v>
      </c>
      <c r="BX30">
        <v>13.11</v>
      </c>
      <c r="BY30">
        <v>-30.1</v>
      </c>
      <c r="BZ30">
        <v>-28</v>
      </c>
      <c r="CA30">
        <v>-41.46</v>
      </c>
      <c r="CB30">
        <v>5.19</v>
      </c>
      <c r="CC30">
        <v>-23.24</v>
      </c>
      <c r="CD30" t="s">
        <v>2226</v>
      </c>
      <c r="CE30" t="s">
        <v>1060</v>
      </c>
      <c r="CF30" s="9">
        <v>-2.2222222222222223E-2</v>
      </c>
      <c r="CG30" s="10">
        <v>0.36722816026979899</v>
      </c>
      <c r="CH30" s="9">
        <v>-0.11381272971630096</v>
      </c>
      <c r="CI30" s="9">
        <v>-0.30417564511299133</v>
      </c>
      <c r="CJ30" s="9">
        <v>-4.3388474732637405E-2</v>
      </c>
      <c r="CK30" s="9">
        <v>0.12689176201820374</v>
      </c>
      <c r="CL30" s="9">
        <v>-0.17430311441421509</v>
      </c>
      <c r="CM30" s="10">
        <v>-2.8397565707564354E-2</v>
      </c>
      <c r="CN30" s="10">
        <v>0.56792283058166504</v>
      </c>
      <c r="CO30" s="10">
        <v>-28.536174774169922</v>
      </c>
      <c r="CP30" s="10">
        <v>1.1005737781524658</v>
      </c>
      <c r="CQ30" s="10">
        <v>-4.3770489692687988</v>
      </c>
      <c r="CR30">
        <v>-4.0917035227687597</v>
      </c>
      <c r="CS30">
        <v>-0.40210283051207624</v>
      </c>
      <c r="CT30">
        <v>0</v>
      </c>
      <c r="CU30" s="9">
        <v>-0.10175764039158822</v>
      </c>
      <c r="CV30" s="10">
        <v>-6.2546249400824312</v>
      </c>
      <c r="CW30">
        <v>0.06</v>
      </c>
      <c r="CX30" t="e">
        <v>#VALUE!</v>
      </c>
      <c r="CY30" t="s">
        <v>802</v>
      </c>
      <c r="CZ30">
        <v>-0.10175764039158822</v>
      </c>
      <c r="DA30" t="e">
        <v>#VALUE!</v>
      </c>
      <c r="DB30" t="s">
        <v>803</v>
      </c>
      <c r="DC30">
        <v>-9.6669758372008807E-2</v>
      </c>
      <c r="DD30" t="e">
        <v>#VALUE!</v>
      </c>
      <c r="DE30" t="s">
        <v>803</v>
      </c>
      <c r="DF30">
        <v>-8.9546723544597626E-2</v>
      </c>
      <c r="DG30" t="e">
        <v>#VALUE!</v>
      </c>
      <c r="DH30" t="s">
        <v>803</v>
      </c>
      <c r="DI30">
        <v>-8.1406112313270579E-2</v>
      </c>
      <c r="DJ30" t="e">
        <v>#VALUE!</v>
      </c>
      <c r="DK30" t="s">
        <v>803</v>
      </c>
      <c r="DL30">
        <v>-7.1230348274111746E-2</v>
      </c>
      <c r="DM30">
        <v>-507000000</v>
      </c>
      <c r="DN30">
        <v>-0.10175764039158822</v>
      </c>
      <c r="DO30">
        <v>3652564300</v>
      </c>
      <c r="DP30">
        <v>1141886400.0000002</v>
      </c>
      <c r="DQ30">
        <v>1089</v>
      </c>
      <c r="DR30">
        <v>7.953541816936599E-2</v>
      </c>
      <c r="DS30">
        <v>6.6218531003522303</v>
      </c>
      <c r="DT30" s="7">
        <v>-0.69</v>
      </c>
      <c r="DU30">
        <v>-1.7683333333333333</v>
      </c>
      <c r="DV30">
        <v>-2.458333333333333</v>
      </c>
      <c r="DW30">
        <v>6.1825536405205765</v>
      </c>
      <c r="DX30">
        <v>0.32541632653061342</v>
      </c>
      <c r="DY30">
        <v>6.0247207433940861</v>
      </c>
      <c r="DZ30">
        <v>4656</v>
      </c>
      <c r="EA30">
        <v>6.0021963243641716</v>
      </c>
      <c r="EB30">
        <v>6</v>
      </c>
      <c r="EC30">
        <v>4.6256623456801094E-2</v>
      </c>
      <c r="ED30">
        <v>0.34158823121187176</v>
      </c>
      <c r="EE30" s="11">
        <v>-2.0682</v>
      </c>
      <c r="EF30">
        <v>-2.0611000000000002</v>
      </c>
      <c r="EG30">
        <v>19.135416326530613</v>
      </c>
      <c r="EH30" t="s">
        <v>976</v>
      </c>
      <c r="EI30">
        <v>0</v>
      </c>
      <c r="EJ30">
        <v>0</v>
      </c>
      <c r="EK30" s="13">
        <v>45470</v>
      </c>
      <c r="EL30" s="14">
        <v>3.47</v>
      </c>
      <c r="EM30" s="14">
        <v>-7.38</v>
      </c>
      <c r="EN30" s="14">
        <v>-0.72</v>
      </c>
      <c r="EO30" s="14">
        <v>2.19</v>
      </c>
      <c r="EP30" s="14">
        <v>-0.71</v>
      </c>
    </row>
    <row r="31" spans="1:146" ht="108" x14ac:dyDescent="0.25">
      <c r="A31" s="6"/>
      <c r="B31" s="6"/>
      <c r="C31" s="6" t="str">
        <f>""&amp;CHAR(10)&amp;Basic_Fundamental_Information_Constructure(F31)&amp;CHAR(10)&amp;Basic_Fundamental_Information_Concatenate("")</f>
        <v xml:space="preserve">
市值32.332365亿, 利润8266.87万; PE33.21; 平均PE77.41; 平均PEG6.11, PB1.84; ROIC3.5633%; ROE3.76%; 股利率1.8841%; 毛利22.0867%; 净利3.8233%; 上一年度营收增10.63%, 利润增132.68%; 当季营收增8.87%, 利润增49.91%; 过往5年营收增12.67%, 利润增64.57%
Income profile:
</v>
      </c>
      <c r="D31" t="s">
        <v>561</v>
      </c>
      <c r="E31" t="s">
        <v>562</v>
      </c>
      <c r="F31">
        <v>3.45</v>
      </c>
      <c r="G31">
        <v>0</v>
      </c>
      <c r="H31" t="s">
        <v>2227</v>
      </c>
      <c r="I31">
        <v>3233236500</v>
      </c>
      <c r="J31">
        <v>33.21</v>
      </c>
      <c r="K31">
        <v>1.84</v>
      </c>
      <c r="L31" t="s">
        <v>53</v>
      </c>
      <c r="M31" t="s">
        <v>1417</v>
      </c>
      <c r="N31" t="s">
        <v>2228</v>
      </c>
      <c r="O31" t="s">
        <v>1418</v>
      </c>
      <c r="P31">
        <v>8.92</v>
      </c>
      <c r="Q31" t="s">
        <v>1419</v>
      </c>
      <c r="R31">
        <v>44101633</v>
      </c>
      <c r="S31" s="5">
        <v>0.49909999999999999</v>
      </c>
      <c r="T31" t="s">
        <v>1420</v>
      </c>
      <c r="U31">
        <v>608921900</v>
      </c>
      <c r="V31">
        <v>937170000</v>
      </c>
      <c r="W31">
        <v>1.44</v>
      </c>
      <c r="X31">
        <v>0.16</v>
      </c>
      <c r="Y31">
        <v>10.92</v>
      </c>
      <c r="Z31" t="s">
        <v>775</v>
      </c>
      <c r="AA31" t="s">
        <v>1099</v>
      </c>
      <c r="AB31" t="s">
        <v>2229</v>
      </c>
      <c r="AC31" t="s">
        <v>2230</v>
      </c>
      <c r="AD31" t="s">
        <v>117</v>
      </c>
      <c r="AE31">
        <v>520315</v>
      </c>
      <c r="AF31" t="s">
        <v>1421</v>
      </c>
      <c r="AG31" t="s">
        <v>2231</v>
      </c>
      <c r="AH31" t="s">
        <v>1422</v>
      </c>
      <c r="AI31" t="s">
        <v>1743</v>
      </c>
      <c r="AJ31" t="s">
        <v>1423</v>
      </c>
      <c r="AK31" t="s">
        <v>2232</v>
      </c>
      <c r="AL31" t="s">
        <v>1424</v>
      </c>
      <c r="AM31" t="s">
        <v>117</v>
      </c>
      <c r="AN31" t="s">
        <v>2233</v>
      </c>
      <c r="AO31" t="s">
        <v>117</v>
      </c>
      <c r="AP31" t="s">
        <v>1095</v>
      </c>
      <c r="AQ31" t="s">
        <v>813</v>
      </c>
      <c r="AR31" t="s">
        <v>117</v>
      </c>
      <c r="AS31" t="s">
        <v>2234</v>
      </c>
      <c r="AT31" t="s">
        <v>117</v>
      </c>
      <c r="AU31" t="s">
        <v>2235</v>
      </c>
      <c r="AV31" t="s">
        <v>2236</v>
      </c>
      <c r="AW31" t="s">
        <v>117</v>
      </c>
      <c r="AX31" t="s">
        <v>958</v>
      </c>
      <c r="AY31" t="s">
        <v>736</v>
      </c>
      <c r="AZ31" t="s">
        <v>563</v>
      </c>
      <c r="BA31" t="s">
        <v>565</v>
      </c>
      <c r="BB31" t="s">
        <v>566</v>
      </c>
      <c r="BC31" t="s">
        <v>1037</v>
      </c>
      <c r="BD31" t="s">
        <v>737</v>
      </c>
      <c r="BE31" t="s">
        <v>564</v>
      </c>
      <c r="BF31" t="s">
        <v>567</v>
      </c>
      <c r="BG31" t="s">
        <v>568</v>
      </c>
      <c r="BH31" t="s">
        <v>1419</v>
      </c>
      <c r="BI31" t="s">
        <v>179</v>
      </c>
      <c r="BJ31" t="s">
        <v>958</v>
      </c>
      <c r="BK31" t="s">
        <v>1420</v>
      </c>
      <c r="BL31" t="s">
        <v>1426</v>
      </c>
      <c r="BM31" t="s">
        <v>1037</v>
      </c>
      <c r="BN31">
        <v>5.45</v>
      </c>
      <c r="BO31">
        <v>2.06</v>
      </c>
      <c r="BP31">
        <v>3.18</v>
      </c>
      <c r="BQ31">
        <v>5.41</v>
      </c>
      <c r="BR31">
        <v>2.25</v>
      </c>
      <c r="BS31">
        <v>3.62</v>
      </c>
      <c r="BT31" t="s">
        <v>1427</v>
      </c>
      <c r="BU31" t="s">
        <v>845</v>
      </c>
      <c r="BV31">
        <v>26.6</v>
      </c>
      <c r="BW31">
        <v>20.56</v>
      </c>
      <c r="BX31">
        <v>19.100000000000001</v>
      </c>
      <c r="BY31">
        <v>5.3</v>
      </c>
      <c r="BZ31">
        <v>2.66</v>
      </c>
      <c r="CA31">
        <v>3.51</v>
      </c>
      <c r="CB31">
        <v>-0.86</v>
      </c>
      <c r="CC31">
        <v>-14.71</v>
      </c>
      <c r="CD31" t="s">
        <v>2237</v>
      </c>
      <c r="CE31" t="s">
        <v>414</v>
      </c>
      <c r="CF31" s="9">
        <v>8.8709677419354843E-2</v>
      </c>
      <c r="CG31" s="10">
        <v>0.49908165103623159</v>
      </c>
      <c r="CH31" s="9">
        <v>0.10628346353769302</v>
      </c>
      <c r="CI31" s="9">
        <v>-0.11948201805353165</v>
      </c>
      <c r="CJ31" s="9">
        <v>0.59530508518218994</v>
      </c>
      <c r="CK31" s="9">
        <v>-2.7397317811846733E-2</v>
      </c>
      <c r="CL31" s="9">
        <v>7.8817799687385559E-2</v>
      </c>
      <c r="CM31" s="10">
        <v>1.3268213272094727</v>
      </c>
      <c r="CN31" s="10">
        <v>-0.35289832949638367</v>
      </c>
      <c r="CO31" s="10">
        <v>3.0275673866271973</v>
      </c>
      <c r="CP31" s="10">
        <v>-0.48806160688400269</v>
      </c>
      <c r="CQ31" s="10">
        <v>-0.28508603572845459</v>
      </c>
      <c r="CR31">
        <v>77.409107414338678</v>
      </c>
      <c r="CS31">
        <v>6.1093770180178559</v>
      </c>
      <c r="CT31">
        <v>1.8840579710144927</v>
      </c>
      <c r="CU31" s="9">
        <v>0.12670540250837803</v>
      </c>
      <c r="CV31" s="10">
        <v>0.64566854834556575</v>
      </c>
      <c r="CW31">
        <v>0.06</v>
      </c>
      <c r="CX31">
        <v>25.528743695718539</v>
      </c>
      <c r="CY31">
        <v>87871010.290890902</v>
      </c>
      <c r="CZ31">
        <v>0.12670540250837803</v>
      </c>
      <c r="DA31">
        <v>8.0883018328666463</v>
      </c>
      <c r="DB31">
        <v>277343322.04130358</v>
      </c>
      <c r="DC31">
        <v>0.12037013238295913</v>
      </c>
      <c r="DD31">
        <v>3.8180757591993273</v>
      </c>
      <c r="DE31">
        <v>587530641.47433782</v>
      </c>
      <c r="DF31">
        <v>0.11150075420737267</v>
      </c>
      <c r="DG31">
        <v>2.1851118723849852</v>
      </c>
      <c r="DH31">
        <v>1026600298.2957451</v>
      </c>
      <c r="DI31">
        <v>0.10136432200670242</v>
      </c>
      <c r="DJ31">
        <v>1.0128999777006564</v>
      </c>
      <c r="DK31">
        <v>2214667340.6907177</v>
      </c>
      <c r="DL31">
        <v>8.869378175586462E-2</v>
      </c>
      <c r="DM31">
        <v>82668700.000000015</v>
      </c>
      <c r="DN31">
        <v>0.12670540250837803</v>
      </c>
      <c r="DO31">
        <v>2243236500</v>
      </c>
      <c r="DP31">
        <v>1021083500</v>
      </c>
      <c r="DQ31">
        <v>1105</v>
      </c>
      <c r="DR31">
        <v>-3.7995725089023186E-2</v>
      </c>
      <c r="DS31">
        <v>-0.14658689730933416</v>
      </c>
      <c r="DT31" s="7">
        <v>-0.3066666666666667</v>
      </c>
      <c r="DU31">
        <v>0.60500000000000009</v>
      </c>
      <c r="DV31">
        <v>0.29833333333333339</v>
      </c>
      <c r="DW31">
        <v>-2.1471</v>
      </c>
      <c r="DX31">
        <v>0.33185752895753012</v>
      </c>
      <c r="DY31">
        <v>-2.0208672425096523</v>
      </c>
      <c r="DZ31">
        <v>1046</v>
      </c>
      <c r="EA31">
        <v>-2.016595787389281</v>
      </c>
      <c r="EB31">
        <v>2</v>
      </c>
      <c r="EC31">
        <v>3.9204306582583739E-2</v>
      </c>
      <c r="ED31">
        <v>0.27636394677593179</v>
      </c>
      <c r="EE31" s="11">
        <v>-1.0323</v>
      </c>
      <c r="EF31">
        <v>-1.0183</v>
      </c>
      <c r="EG31">
        <v>19.14185752895753</v>
      </c>
      <c r="EH31" t="s">
        <v>808</v>
      </c>
      <c r="EI31">
        <v>0</v>
      </c>
      <c r="EJ31">
        <v>1</v>
      </c>
      <c r="EK31" s="13">
        <v>45470</v>
      </c>
      <c r="EL31" s="14">
        <v>0.85</v>
      </c>
      <c r="EM31" s="14">
        <v>-4.2</v>
      </c>
      <c r="EN31" s="14">
        <v>1.17</v>
      </c>
      <c r="EO31" s="14">
        <v>3.47</v>
      </c>
      <c r="EP31" s="14">
        <v>-1.4</v>
      </c>
    </row>
    <row r="32" spans="1:146" ht="108" x14ac:dyDescent="0.25">
      <c r="A32" s="6"/>
      <c r="B32" s="6"/>
      <c r="C32" s="6" t="str">
        <f>""&amp;CHAR(10)&amp;Basic_Fundamental_Information_Constructure(F32)&amp;CHAR(10)&amp;Basic_Fundamental_Information_Concatenate("")</f>
        <v xml:space="preserve">
市值47.688842亿, 利润3.63亿; PE15.83; 平均PE11.23; 平均PEG1.44, PB.89; ROIC5.75%; ROE6.27%; 股利率2.5773%; 毛利19.7633%; 净利4.1933%; 上一年度营收增-6.35%, 利润增362.64%; 当季营收增-22.07%, 利润增-80.73%; 过往5年营收增7.81%, 利润增82.16%
Income profile:
</v>
      </c>
      <c r="D32" t="s">
        <v>81</v>
      </c>
      <c r="E32" t="s">
        <v>738</v>
      </c>
      <c r="F32">
        <v>3.88</v>
      </c>
      <c r="G32">
        <v>0.78</v>
      </c>
      <c r="H32" t="s">
        <v>2238</v>
      </c>
      <c r="I32">
        <v>4768884200</v>
      </c>
      <c r="J32">
        <v>15.83</v>
      </c>
      <c r="K32">
        <v>0.89</v>
      </c>
      <c r="L32" t="s">
        <v>53</v>
      </c>
      <c r="M32" t="s">
        <v>1428</v>
      </c>
      <c r="N32" t="s">
        <v>2239</v>
      </c>
      <c r="O32" t="s">
        <v>620</v>
      </c>
      <c r="P32">
        <v>-22.09</v>
      </c>
      <c r="Q32" t="s">
        <v>1429</v>
      </c>
      <c r="R32">
        <v>14734569</v>
      </c>
      <c r="S32" s="5">
        <v>-0.80730000000000002</v>
      </c>
      <c r="T32" t="s">
        <v>241</v>
      </c>
      <c r="U32">
        <v>1133464650</v>
      </c>
      <c r="V32">
        <v>1229093870</v>
      </c>
      <c r="W32">
        <v>1.7</v>
      </c>
      <c r="X32">
        <v>0.14000000000000001</v>
      </c>
      <c r="Y32">
        <v>1.39</v>
      </c>
      <c r="Z32" t="s">
        <v>2240</v>
      </c>
      <c r="AA32" t="s">
        <v>2241</v>
      </c>
      <c r="AB32" t="s">
        <v>2242</v>
      </c>
      <c r="AC32" t="s">
        <v>866</v>
      </c>
      <c r="AD32" t="s">
        <v>117</v>
      </c>
      <c r="AE32">
        <v>-9372783</v>
      </c>
      <c r="AF32" t="s">
        <v>1432</v>
      </c>
      <c r="AG32" t="s">
        <v>2243</v>
      </c>
      <c r="AH32" t="s">
        <v>1433</v>
      </c>
      <c r="AI32" t="s">
        <v>2244</v>
      </c>
      <c r="AJ32" t="s">
        <v>1434</v>
      </c>
      <c r="AK32" t="s">
        <v>2245</v>
      </c>
      <c r="AL32" t="s">
        <v>1435</v>
      </c>
      <c r="AM32" t="s">
        <v>117</v>
      </c>
      <c r="AN32" t="s">
        <v>866</v>
      </c>
      <c r="AO32" t="s">
        <v>2246</v>
      </c>
      <c r="AP32" t="s">
        <v>2247</v>
      </c>
      <c r="AQ32" t="s">
        <v>216</v>
      </c>
      <c r="AR32" t="s">
        <v>117</v>
      </c>
      <c r="AS32" t="s">
        <v>2248</v>
      </c>
      <c r="AT32" t="s">
        <v>117</v>
      </c>
      <c r="AU32" t="s">
        <v>1845</v>
      </c>
      <c r="AV32" t="s">
        <v>425</v>
      </c>
      <c r="AW32" t="s">
        <v>2249</v>
      </c>
      <c r="AX32" t="s">
        <v>1436</v>
      </c>
      <c r="AY32" t="s">
        <v>739</v>
      </c>
      <c r="AZ32" t="s">
        <v>410</v>
      </c>
      <c r="BA32" t="s">
        <v>269</v>
      </c>
      <c r="BB32" t="s">
        <v>413</v>
      </c>
      <c r="BC32" t="s">
        <v>1437</v>
      </c>
      <c r="BD32" t="s">
        <v>733</v>
      </c>
      <c r="BE32" t="s">
        <v>411</v>
      </c>
      <c r="BF32" t="s">
        <v>270</v>
      </c>
      <c r="BG32" t="s">
        <v>310</v>
      </c>
      <c r="BH32" t="s">
        <v>1429</v>
      </c>
      <c r="BI32" t="s">
        <v>966</v>
      </c>
      <c r="BJ32" t="s">
        <v>1436</v>
      </c>
      <c r="BK32" t="s">
        <v>241</v>
      </c>
      <c r="BL32" t="s">
        <v>1438</v>
      </c>
      <c r="BM32" t="s">
        <v>1437</v>
      </c>
      <c r="BN32">
        <v>5.0599999999999996</v>
      </c>
      <c r="BO32">
        <v>1.19</v>
      </c>
      <c r="BP32">
        <v>11</v>
      </c>
      <c r="BQ32">
        <v>5.39</v>
      </c>
      <c r="BR32">
        <v>1.62</v>
      </c>
      <c r="BS32">
        <v>11.8</v>
      </c>
      <c r="BT32" t="s">
        <v>952</v>
      </c>
      <c r="BU32" t="s">
        <v>852</v>
      </c>
      <c r="BV32">
        <v>22.17</v>
      </c>
      <c r="BW32">
        <v>18.32</v>
      </c>
      <c r="BX32">
        <v>18.8</v>
      </c>
      <c r="BY32">
        <v>5.03</v>
      </c>
      <c r="BZ32">
        <v>1.05</v>
      </c>
      <c r="CA32">
        <v>6.5</v>
      </c>
      <c r="CB32">
        <v>-1.27</v>
      </c>
      <c r="CC32">
        <v>-10.39</v>
      </c>
      <c r="CD32" t="s">
        <v>2250</v>
      </c>
      <c r="CE32" t="s">
        <v>2251</v>
      </c>
      <c r="CF32" s="9">
        <v>-0.22068965517241379</v>
      </c>
      <c r="CG32" s="10">
        <v>-0.80731014884696561</v>
      </c>
      <c r="CH32" s="9">
        <v>-6.3549742102622986E-2</v>
      </c>
      <c r="CI32" s="9">
        <v>-0.1016777977347374</v>
      </c>
      <c r="CJ32" s="9">
        <v>0.26222288608551025</v>
      </c>
      <c r="CK32" s="9">
        <v>0.1184232160449028</v>
      </c>
      <c r="CL32" s="9">
        <v>0.17500932514667511</v>
      </c>
      <c r="CM32" s="10">
        <v>3.6264379024505615</v>
      </c>
      <c r="CN32" s="10">
        <v>-0.86401718854904175</v>
      </c>
      <c r="CO32" s="10">
        <v>-0.25064936280250549</v>
      </c>
      <c r="CP32" s="10">
        <v>0.49805447459220886</v>
      </c>
      <c r="CQ32" s="10">
        <v>1.0979591608047485</v>
      </c>
      <c r="CR32">
        <v>11.23208278545145</v>
      </c>
      <c r="CS32">
        <v>1.438432441277059</v>
      </c>
      <c r="CT32">
        <v>2.5773195876288661</v>
      </c>
      <c r="CU32" s="9">
        <v>7.8085577487945562E-2</v>
      </c>
      <c r="CV32" s="10">
        <v>0.82155699729919429</v>
      </c>
      <c r="CW32">
        <v>0.06</v>
      </c>
      <c r="CX32">
        <v>5.6173373595217084</v>
      </c>
      <c r="CY32">
        <v>369193457.19634366</v>
      </c>
      <c r="CZ32">
        <v>7.8085577487945562E-2</v>
      </c>
      <c r="DA32">
        <v>1.8543325057846827</v>
      </c>
      <c r="DB32">
        <v>1118399312.7070873</v>
      </c>
      <c r="DC32">
        <v>7.4181298613548274E-2</v>
      </c>
      <c r="DD32">
        <v>0.92520417844741287</v>
      </c>
      <c r="DE32">
        <v>2241542189.6172037</v>
      </c>
      <c r="DF32">
        <v>6.8715308189392102E-2</v>
      </c>
      <c r="DG32">
        <v>0.56404296046825075</v>
      </c>
      <c r="DH32">
        <v>3676819578.2078838</v>
      </c>
      <c r="DI32">
        <v>6.2468461990356453E-2</v>
      </c>
      <c r="DJ32">
        <v>0.30108889550619944</v>
      </c>
      <c r="DK32">
        <v>6887946486.7454691</v>
      </c>
      <c r="DL32">
        <v>5.4659904241561891E-2</v>
      </c>
      <c r="DM32">
        <v>363000000</v>
      </c>
      <c r="DN32">
        <v>7.8085577487945562E-2</v>
      </c>
      <c r="DO32">
        <v>2073884200</v>
      </c>
      <c r="DP32">
        <v>1998374200.0000005</v>
      </c>
      <c r="DQ32">
        <v>1131</v>
      </c>
      <c r="DR32">
        <v>-0.29877523266035932</v>
      </c>
      <c r="DS32">
        <v>-1.6288671461461599</v>
      </c>
      <c r="DT32" s="7">
        <v>-0.20666666666666669</v>
      </c>
      <c r="DU32">
        <v>-0.25666666666666677</v>
      </c>
      <c r="DV32">
        <v>-0.46333333333333349</v>
      </c>
      <c r="DW32">
        <v>-2.1038999999999999</v>
      </c>
      <c r="DX32">
        <v>0.26422284644194594</v>
      </c>
      <c r="DY32">
        <v>-2.0108287537453182</v>
      </c>
      <c r="DZ32">
        <v>2821</v>
      </c>
      <c r="EA32">
        <v>-2.0048506883215329</v>
      </c>
      <c r="EB32">
        <v>2</v>
      </c>
      <c r="EC32">
        <v>2.264066291372847E-2</v>
      </c>
      <c r="ED32">
        <v>0.21723320449071964</v>
      </c>
      <c r="EE32" s="11">
        <v>1.0827100000000001</v>
      </c>
      <c r="EF32">
        <v>1.09501</v>
      </c>
      <c r="EG32">
        <v>16.104222846441946</v>
      </c>
      <c r="EH32" t="s">
        <v>1008</v>
      </c>
      <c r="EI32">
        <v>0</v>
      </c>
      <c r="EJ32">
        <v>0</v>
      </c>
      <c r="EK32" s="13">
        <v>45470</v>
      </c>
      <c r="EL32" s="14">
        <v>4.0999999999999996</v>
      </c>
      <c r="EM32" s="14">
        <v>-4.1900000000000004</v>
      </c>
      <c r="EN32" s="14">
        <v>1.29</v>
      </c>
      <c r="EO32" s="14">
        <v>2.79</v>
      </c>
      <c r="EP32" s="14">
        <v>-1.23</v>
      </c>
    </row>
    <row r="33" spans="1:146" ht="108" x14ac:dyDescent="0.25">
      <c r="A33" s="6"/>
      <c r="B33" s="6"/>
      <c r="C33" s="6" t="str">
        <f>""&amp;CHAR(10)&amp;Basic_Fundamental_Information_Constructure(F33)&amp;CHAR(10)&amp;Basic_Fundamental_Information_Concatenate("")</f>
        <v xml:space="preserve">
市值12.1871232亿, 利润3193.35万; PE36.21; 平均PE-15.91; 平均PEG-.54, PB4.78; ROIC0%; ROE-13.57%; 股利率0%; 毛利6.5733%; 净利-2.8867%; 上一年度营收增-10.12%, 利润增188.19%; 当季营收增-16.05%, 利润增28.25%; 过往5年营收增-29.35%, 利润增-112.75%
Income profile:
</v>
      </c>
      <c r="D33" t="s">
        <v>52</v>
      </c>
      <c r="E33" t="s">
        <v>12</v>
      </c>
      <c r="F33">
        <v>2.38</v>
      </c>
      <c r="G33">
        <v>-0.83</v>
      </c>
      <c r="H33" t="s">
        <v>2252</v>
      </c>
      <c r="I33">
        <v>1218712320</v>
      </c>
      <c r="J33">
        <v>36.21</v>
      </c>
      <c r="K33">
        <v>4.78</v>
      </c>
      <c r="L33" t="s">
        <v>53</v>
      </c>
      <c r="M33" t="s">
        <v>127</v>
      </c>
      <c r="N33" t="s">
        <v>850</v>
      </c>
      <c r="O33" t="s">
        <v>1439</v>
      </c>
      <c r="P33">
        <v>-15.99</v>
      </c>
      <c r="Q33" t="s">
        <v>859</v>
      </c>
      <c r="R33">
        <v>-4384022</v>
      </c>
      <c r="S33" s="8">
        <v>0.28249999999999997</v>
      </c>
      <c r="T33" t="s">
        <v>1440</v>
      </c>
      <c r="U33">
        <v>511653540</v>
      </c>
      <c r="V33">
        <v>512064000</v>
      </c>
      <c r="W33">
        <v>2.08</v>
      </c>
      <c r="X33">
        <v>0.16</v>
      </c>
      <c r="Y33">
        <v>-5.0199999999999996</v>
      </c>
      <c r="Z33" t="s">
        <v>2253</v>
      </c>
      <c r="AA33" t="s">
        <v>2254</v>
      </c>
      <c r="AB33" t="s">
        <v>2255</v>
      </c>
      <c r="AC33" t="s">
        <v>2256</v>
      </c>
      <c r="AD33" t="s">
        <v>117</v>
      </c>
      <c r="AE33">
        <v>3236388</v>
      </c>
      <c r="AF33" t="s">
        <v>1441</v>
      </c>
      <c r="AG33" t="s">
        <v>117</v>
      </c>
      <c r="AH33" t="s">
        <v>1442</v>
      </c>
      <c r="AI33" t="s">
        <v>2257</v>
      </c>
      <c r="AJ33" t="s">
        <v>1443</v>
      </c>
      <c r="AK33" t="s">
        <v>117</v>
      </c>
      <c r="AL33" t="s">
        <v>1444</v>
      </c>
      <c r="AM33" t="s">
        <v>117</v>
      </c>
      <c r="AN33">
        <v>0</v>
      </c>
      <c r="AO33" t="s">
        <v>464</v>
      </c>
      <c r="AP33" t="s">
        <v>117</v>
      </c>
      <c r="AQ33" t="s">
        <v>2258</v>
      </c>
      <c r="AR33" t="s">
        <v>1445</v>
      </c>
      <c r="AS33" t="s">
        <v>182</v>
      </c>
      <c r="AT33" t="s">
        <v>117</v>
      </c>
      <c r="AU33" t="s">
        <v>2259</v>
      </c>
      <c r="AV33" t="s">
        <v>2260</v>
      </c>
      <c r="AW33" t="s">
        <v>2261</v>
      </c>
      <c r="AX33" t="s">
        <v>1038</v>
      </c>
      <c r="AY33" t="s">
        <v>644</v>
      </c>
      <c r="AZ33" t="s">
        <v>961</v>
      </c>
      <c r="BA33" t="s">
        <v>215</v>
      </c>
      <c r="BB33" t="s">
        <v>416</v>
      </c>
      <c r="BC33" t="s">
        <v>1446</v>
      </c>
      <c r="BD33" t="s">
        <v>740</v>
      </c>
      <c r="BE33" t="s">
        <v>415</v>
      </c>
      <c r="BF33" t="s">
        <v>207</v>
      </c>
      <c r="BG33" t="s">
        <v>417</v>
      </c>
      <c r="BH33" t="s">
        <v>859</v>
      </c>
      <c r="BI33" t="s">
        <v>227</v>
      </c>
      <c r="BJ33" t="s">
        <v>1038</v>
      </c>
      <c r="BK33" t="s">
        <v>1440</v>
      </c>
      <c r="BL33" t="s">
        <v>1447</v>
      </c>
      <c r="BM33" t="s">
        <v>1446</v>
      </c>
      <c r="BN33" t="s">
        <v>117</v>
      </c>
      <c r="BO33" t="s">
        <v>117</v>
      </c>
      <c r="BP33" t="s">
        <v>117</v>
      </c>
      <c r="BQ33">
        <v>-7.71</v>
      </c>
      <c r="BR33">
        <v>-13.87</v>
      </c>
      <c r="BS33">
        <v>-19.13</v>
      </c>
      <c r="BT33" t="s">
        <v>930</v>
      </c>
      <c r="BU33" t="s">
        <v>848</v>
      </c>
      <c r="BV33">
        <v>7.1</v>
      </c>
      <c r="BW33">
        <v>6.06</v>
      </c>
      <c r="BX33">
        <v>6.56</v>
      </c>
      <c r="BY33">
        <v>7.35</v>
      </c>
      <c r="BZ33">
        <v>-7.48</v>
      </c>
      <c r="CA33">
        <v>-8.5299999999999994</v>
      </c>
      <c r="CB33">
        <v>-10.19</v>
      </c>
      <c r="CC33">
        <v>4.3899999999999997</v>
      </c>
      <c r="CD33" t="s">
        <v>2262</v>
      </c>
      <c r="CE33" t="s">
        <v>1707</v>
      </c>
      <c r="CF33" s="9">
        <v>-0.16052307692307693</v>
      </c>
      <c r="CG33" s="10">
        <v>0.28250761022552451</v>
      </c>
      <c r="CH33" s="9">
        <v>-0.10123966634273529</v>
      </c>
      <c r="CI33" s="9">
        <v>-0.26331812143325806</v>
      </c>
      <c r="CJ33" s="9">
        <v>-0.41909816861152649</v>
      </c>
      <c r="CK33" s="9">
        <v>-0.48473802208900452</v>
      </c>
      <c r="CL33" s="9">
        <v>-0.19890508055686951</v>
      </c>
      <c r="CM33" s="10">
        <v>1.8818705081939697</v>
      </c>
      <c r="CN33" s="10">
        <v>0.35315260291099548</v>
      </c>
      <c r="CO33" s="10">
        <v>0.53734791278839111</v>
      </c>
      <c r="CP33" s="10">
        <v>0.61949688196182251</v>
      </c>
      <c r="CQ33" s="10">
        <v>-9.0294113159179687</v>
      </c>
      <c r="CR33">
        <v>-15.908209934383267</v>
      </c>
      <c r="CS33">
        <v>-0.54209160145113999</v>
      </c>
      <c r="CT33">
        <v>0</v>
      </c>
      <c r="CU33" s="9">
        <v>-0.29345981180667879</v>
      </c>
      <c r="CV33" s="10">
        <v>-1.1275086820125579</v>
      </c>
      <c r="CW33">
        <v>0.06</v>
      </c>
      <c r="CX33" t="e">
        <v>#VALUE!</v>
      </c>
      <c r="CY33" t="s">
        <v>1097</v>
      </c>
      <c r="CZ33">
        <v>-0.29345981180667879</v>
      </c>
      <c r="DA33">
        <v>13.253712872062254</v>
      </c>
      <c r="DB33" t="s">
        <v>1448</v>
      </c>
      <c r="DC33">
        <v>-0.27878682121634485</v>
      </c>
      <c r="DD33">
        <v>6.6268564360311268</v>
      </c>
      <c r="DE33" t="s">
        <v>1449</v>
      </c>
      <c r="DF33">
        <v>-0.25824463438987733</v>
      </c>
      <c r="DG33">
        <v>3.9761138616186762</v>
      </c>
      <c r="DH33" t="s">
        <v>1450</v>
      </c>
      <c r="DI33">
        <v>-0.23476784944534304</v>
      </c>
      <c r="DJ33">
        <v>1.9880569308093381</v>
      </c>
      <c r="DK33" t="s">
        <v>1451</v>
      </c>
      <c r="DL33">
        <v>-0.20542186826467515</v>
      </c>
      <c r="DM33">
        <v>31933500</v>
      </c>
      <c r="DN33">
        <v>-0.29345981180667879</v>
      </c>
      <c r="DO33">
        <v>1269712320</v>
      </c>
      <c r="DP33">
        <v>-12155050</v>
      </c>
      <c r="DQ33">
        <v>1142</v>
      </c>
      <c r="DR33">
        <v>0.13293673488360186</v>
      </c>
      <c r="DS33">
        <v>1.4100162922380823</v>
      </c>
      <c r="DT33" s="7">
        <v>-0.94</v>
      </c>
      <c r="DU33">
        <v>-1.9483333333333335</v>
      </c>
      <c r="DV33">
        <v>-2.8883333333333336</v>
      </c>
      <c r="DW33">
        <v>-5.4308145240431793</v>
      </c>
      <c r="DX33">
        <v>0.30802327927927908</v>
      </c>
      <c r="DY33">
        <v>-5.0637705786100131</v>
      </c>
      <c r="DZ33">
        <v>4870</v>
      </c>
      <c r="EA33">
        <v>-5.002995095668572</v>
      </c>
      <c r="EB33">
        <v>5</v>
      </c>
      <c r="EC33">
        <v>0.19252183320834895</v>
      </c>
      <c r="ED33">
        <v>1.3006186726659168</v>
      </c>
      <c r="EE33" s="11">
        <v>-1.0343</v>
      </c>
      <c r="EF33">
        <v>-1.1335</v>
      </c>
      <c r="EG33">
        <v>16.148023279279279</v>
      </c>
      <c r="EH33" t="s">
        <v>808</v>
      </c>
      <c r="EI33">
        <v>0</v>
      </c>
      <c r="EJ33">
        <v>0</v>
      </c>
      <c r="EK33" s="13">
        <v>45470</v>
      </c>
      <c r="EL33" s="14">
        <v>-1.57</v>
      </c>
      <c r="EM33" s="14">
        <v>-4.78</v>
      </c>
      <c r="EN33" s="14">
        <v>-1.26</v>
      </c>
      <c r="EO33" s="14">
        <v>6.78</v>
      </c>
      <c r="EP33" s="14">
        <v>9.92</v>
      </c>
    </row>
    <row r="34" spans="1:146" ht="108" x14ac:dyDescent="0.25">
      <c r="A34" s="6"/>
      <c r="B34" s="6"/>
      <c r="C34" s="6" t="str">
        <f>""&amp;CHAR(10)&amp;Basic_Fundamental_Information_Constructure(F34)&amp;CHAR(10)&amp;Basic_Fundamental_Information_Concatenate("")</f>
        <v xml:space="preserve">
市值19.816293亿, 利润2778.08万; PE69.69; 平均PE-15.4; 平均PEG-2.31, PB1.24; ROIC.56%; ROE-11.0133%; 股利率0%; 毛利21.63%; 净利-20.62%; 上一年度营收增11.13%, 利润增104.34%; 当季营收增-31.77%, 利润增7.31%; 过往5年营收增6.67%, 利润增-949.13%
Income profile:
</v>
      </c>
      <c r="D34" t="s">
        <v>100</v>
      </c>
      <c r="E34" t="s">
        <v>47</v>
      </c>
      <c r="F34">
        <v>3.51</v>
      </c>
      <c r="G34">
        <v>0.86</v>
      </c>
      <c r="H34" t="s">
        <v>2263</v>
      </c>
      <c r="I34">
        <v>1981629300</v>
      </c>
      <c r="J34">
        <v>69.69</v>
      </c>
      <c r="K34">
        <v>1.24</v>
      </c>
      <c r="L34" t="s">
        <v>53</v>
      </c>
      <c r="M34" t="s">
        <v>1452</v>
      </c>
      <c r="N34" t="s">
        <v>2264</v>
      </c>
      <c r="O34" t="s">
        <v>861</v>
      </c>
      <c r="P34">
        <v>-31.56</v>
      </c>
      <c r="Q34" t="s">
        <v>1453</v>
      </c>
      <c r="R34">
        <v>-8297021</v>
      </c>
      <c r="S34" s="8">
        <v>7.3099999999999998E-2</v>
      </c>
      <c r="T34" t="s">
        <v>1454</v>
      </c>
      <c r="U34">
        <v>552203270</v>
      </c>
      <c r="V34">
        <v>564566760</v>
      </c>
      <c r="W34">
        <v>1.6</v>
      </c>
      <c r="X34">
        <v>0.05</v>
      </c>
      <c r="Y34">
        <v>-6.33</v>
      </c>
      <c r="Z34" t="s">
        <v>619</v>
      </c>
      <c r="AA34" t="s">
        <v>173</v>
      </c>
      <c r="AB34" t="s">
        <v>2265</v>
      </c>
      <c r="AC34" t="s">
        <v>2266</v>
      </c>
      <c r="AD34" t="s">
        <v>117</v>
      </c>
      <c r="AE34">
        <v>5823731</v>
      </c>
      <c r="AF34" t="s">
        <v>1456</v>
      </c>
      <c r="AG34" t="s">
        <v>2267</v>
      </c>
      <c r="AH34" t="s">
        <v>1457</v>
      </c>
      <c r="AI34" t="s">
        <v>2268</v>
      </c>
      <c r="AJ34" t="s">
        <v>1459</v>
      </c>
      <c r="AK34" t="s">
        <v>2269</v>
      </c>
      <c r="AL34" t="s">
        <v>1460</v>
      </c>
      <c r="AM34" t="s">
        <v>117</v>
      </c>
      <c r="AN34" t="s">
        <v>2270</v>
      </c>
      <c r="AO34" t="s">
        <v>645</v>
      </c>
      <c r="AP34" t="s">
        <v>143</v>
      </c>
      <c r="AQ34" t="s">
        <v>430</v>
      </c>
      <c r="AR34" t="s">
        <v>117</v>
      </c>
      <c r="AS34" t="s">
        <v>2271</v>
      </c>
      <c r="AT34" t="s">
        <v>238</v>
      </c>
      <c r="AU34" t="s">
        <v>2272</v>
      </c>
      <c r="AV34" t="s">
        <v>2273</v>
      </c>
      <c r="AW34" t="s">
        <v>2274</v>
      </c>
      <c r="AX34" t="s">
        <v>376</v>
      </c>
      <c r="AY34" t="s">
        <v>741</v>
      </c>
      <c r="AZ34" t="s">
        <v>418</v>
      </c>
      <c r="BA34" t="s">
        <v>272</v>
      </c>
      <c r="BB34" t="s">
        <v>421</v>
      </c>
      <c r="BC34" t="s">
        <v>1462</v>
      </c>
      <c r="BD34" t="s">
        <v>742</v>
      </c>
      <c r="BE34" t="s">
        <v>419</v>
      </c>
      <c r="BF34" t="s">
        <v>273</v>
      </c>
      <c r="BG34" t="s">
        <v>422</v>
      </c>
      <c r="BH34" t="s">
        <v>1453</v>
      </c>
      <c r="BI34" t="s">
        <v>1463</v>
      </c>
      <c r="BJ34" t="s">
        <v>376</v>
      </c>
      <c r="BK34" t="s">
        <v>1454</v>
      </c>
      <c r="BL34" t="s">
        <v>1464</v>
      </c>
      <c r="BM34" t="s">
        <v>1462</v>
      </c>
      <c r="BN34">
        <v>0.24</v>
      </c>
      <c r="BO34" t="s">
        <v>117</v>
      </c>
      <c r="BP34">
        <v>0.88</v>
      </c>
      <c r="BQ34">
        <v>0.19</v>
      </c>
      <c r="BR34">
        <v>-34.03</v>
      </c>
      <c r="BS34">
        <v>0.8</v>
      </c>
      <c r="BT34" t="s">
        <v>930</v>
      </c>
      <c r="BU34" t="s">
        <v>847</v>
      </c>
      <c r="BV34">
        <v>26.85</v>
      </c>
      <c r="BW34">
        <v>14.12</v>
      </c>
      <c r="BX34">
        <v>23.92</v>
      </c>
      <c r="BY34">
        <v>2.2999999999999998</v>
      </c>
      <c r="BZ34">
        <v>-65.11</v>
      </c>
      <c r="CA34">
        <v>0.95</v>
      </c>
      <c r="CB34">
        <v>-2.23</v>
      </c>
      <c r="CC34">
        <v>-13.33</v>
      </c>
      <c r="CD34" t="s">
        <v>2275</v>
      </c>
      <c r="CE34" t="s">
        <v>732</v>
      </c>
      <c r="CF34" s="9">
        <v>-0.31770833333333331</v>
      </c>
      <c r="CG34" s="10">
        <v>7.3072471539810752E-2</v>
      </c>
      <c r="CH34" s="9">
        <v>0.11133400350809097</v>
      </c>
      <c r="CI34" s="9">
        <v>-0.27543604373931885</v>
      </c>
      <c r="CJ34" s="9">
        <v>0.64396655559539795</v>
      </c>
      <c r="CK34" s="9">
        <v>-0.25134167075157166</v>
      </c>
      <c r="CL34" s="9">
        <v>0.10474308580160141</v>
      </c>
      <c r="CM34" s="10">
        <v>1.0434075593948364</v>
      </c>
      <c r="CN34" s="10">
        <v>-37.249534606933594</v>
      </c>
      <c r="CO34" s="10">
        <v>1.1960600614547729</v>
      </c>
      <c r="CP34" s="10">
        <v>-13.522562026977539</v>
      </c>
      <c r="CQ34" s="10">
        <v>1.0760035514831543</v>
      </c>
      <c r="CR34">
        <v>-15.400485985811597</v>
      </c>
      <c r="CS34">
        <v>-2.3105401093161686</v>
      </c>
      <c r="CT34">
        <v>0</v>
      </c>
      <c r="CU34" s="9">
        <v>6.665318608283996E-2</v>
      </c>
      <c r="CV34" s="10">
        <v>-9.4913250923156731</v>
      </c>
      <c r="CW34">
        <v>0.06</v>
      </c>
      <c r="CX34">
        <v>49.566121900586523</v>
      </c>
      <c r="CY34">
        <v>27955168.709368076</v>
      </c>
      <c r="CZ34">
        <v>6.665318608283996E-2</v>
      </c>
      <c r="DA34">
        <v>16.522013567182331</v>
      </c>
      <c r="DB34">
        <v>83865643.516494557</v>
      </c>
      <c r="DC34">
        <v>6.3320526778697955E-2</v>
      </c>
      <c r="DD34">
        <v>8.3498805608950395</v>
      </c>
      <c r="DE34">
        <v>165946002.44814423</v>
      </c>
      <c r="DF34">
        <v>5.8654803752899165E-2</v>
      </c>
      <c r="DG34">
        <v>5.1632770866943076</v>
      </c>
      <c r="DH34">
        <v>268362374.65751106</v>
      </c>
      <c r="DI34">
        <v>5.3322548866271968E-2</v>
      </c>
      <c r="DJ34">
        <v>2.8410503735548778</v>
      </c>
      <c r="DK34">
        <v>487717258.69338417</v>
      </c>
      <c r="DL34">
        <v>4.6657230257987972E-2</v>
      </c>
      <c r="DM34">
        <v>27780800</v>
      </c>
      <c r="DN34">
        <v>6.665318608283996E-2</v>
      </c>
      <c r="DO34">
        <v>1385629300</v>
      </c>
      <c r="DP34">
        <v>583451900</v>
      </c>
      <c r="DQ34">
        <v>1161</v>
      </c>
      <c r="DR34">
        <v>-0.38436151941617325</v>
      </c>
      <c r="DS34">
        <v>9.5643975638554846</v>
      </c>
      <c r="DT34" s="7">
        <v>-0.44</v>
      </c>
      <c r="DU34">
        <v>-1.4650000000000001</v>
      </c>
      <c r="DV34">
        <v>-1.905</v>
      </c>
      <c r="DW34">
        <v>-2.1333000000000002</v>
      </c>
      <c r="DX34">
        <v>0.28699742647058801</v>
      </c>
      <c r="DY34">
        <v>-2.0169287569485292</v>
      </c>
      <c r="DZ34">
        <v>4327</v>
      </c>
      <c r="EA34">
        <v>-2.0025939758690212</v>
      </c>
      <c r="EB34">
        <v>2</v>
      </c>
      <c r="EC34">
        <v>6.1185500896297901E-2</v>
      </c>
      <c r="ED34">
        <v>0.48178536051254595</v>
      </c>
      <c r="EE34" s="11">
        <v>-2.0302099999999998</v>
      </c>
      <c r="EF34">
        <v>-2.04941</v>
      </c>
      <c r="EG34">
        <v>16.126997426470588</v>
      </c>
      <c r="EH34" t="s">
        <v>1566</v>
      </c>
      <c r="EI34">
        <v>0</v>
      </c>
      <c r="EJ34">
        <v>0</v>
      </c>
      <c r="EK34" s="13">
        <v>45470</v>
      </c>
      <c r="EL34" s="14">
        <v>6.06</v>
      </c>
      <c r="EM34" s="14">
        <v>-3.9</v>
      </c>
      <c r="EN34" s="14">
        <v>-2.4300000000000002</v>
      </c>
      <c r="EO34" s="14">
        <v>1.1100000000000001</v>
      </c>
      <c r="EP34" s="14">
        <v>-1.92</v>
      </c>
    </row>
    <row r="35" spans="1:146" ht="108" x14ac:dyDescent="0.25">
      <c r="A35" s="6"/>
      <c r="B35" s="6"/>
      <c r="C35" s="6" t="str">
        <f>""&amp;CHAR(10)&amp;Basic_Fundamental_Information_Constructure(F35)&amp;CHAR(10)&amp;Basic_Fundamental_Information_Concatenate("")</f>
        <v xml:space="preserve">
市值30.752317亿, 利润9187.83万; PE37.65; 平均PE-18.86; 平均PEG-1.86, PB5.57; ROIC49.91%; ROE-43.29%; 股利率0%; 毛利13.7533%; 净利-14.7233%; 上一年度营收增-11.65%, 利润增169.08%; 当季营收增-21.08%, 利润增-90.82%; 过往5年营收增-10.15%, 利润增-442.13%
Income profile:
</v>
      </c>
      <c r="D35" t="s">
        <v>101</v>
      </c>
      <c r="E35" t="s">
        <v>46</v>
      </c>
      <c r="F35">
        <v>4.03</v>
      </c>
      <c r="G35">
        <v>1.26</v>
      </c>
      <c r="H35" t="s">
        <v>2276</v>
      </c>
      <c r="I35">
        <v>3075231700</v>
      </c>
      <c r="J35">
        <v>37.65</v>
      </c>
      <c r="K35">
        <v>5.57</v>
      </c>
      <c r="L35" t="s">
        <v>53</v>
      </c>
      <c r="M35" t="s">
        <v>1465</v>
      </c>
      <c r="N35" t="s">
        <v>2277</v>
      </c>
      <c r="O35" t="s">
        <v>271</v>
      </c>
      <c r="P35">
        <v>-21.13</v>
      </c>
      <c r="Q35" t="s">
        <v>695</v>
      </c>
      <c r="R35">
        <v>-21448333</v>
      </c>
      <c r="S35" s="5">
        <v>-0.90820000000000001</v>
      </c>
      <c r="T35" t="s">
        <v>1467</v>
      </c>
      <c r="U35">
        <v>552546730</v>
      </c>
      <c r="V35">
        <v>763084800</v>
      </c>
      <c r="W35">
        <v>2.42</v>
      </c>
      <c r="X35">
        <v>0.11</v>
      </c>
      <c r="Y35">
        <v>-15.09</v>
      </c>
      <c r="Z35" t="s">
        <v>858</v>
      </c>
      <c r="AA35" t="s">
        <v>314</v>
      </c>
      <c r="AB35" t="s">
        <v>2278</v>
      </c>
      <c r="AC35" t="s">
        <v>2279</v>
      </c>
      <c r="AD35" t="s">
        <v>117</v>
      </c>
      <c r="AE35">
        <v>-332850</v>
      </c>
      <c r="AF35" t="s">
        <v>118</v>
      </c>
      <c r="AG35">
        <v>4089.69</v>
      </c>
      <c r="AH35" t="s">
        <v>1469</v>
      </c>
      <c r="AI35" t="s">
        <v>2280</v>
      </c>
      <c r="AJ35" t="s">
        <v>1470</v>
      </c>
      <c r="AK35" t="s">
        <v>2281</v>
      </c>
      <c r="AL35" t="s">
        <v>1471</v>
      </c>
      <c r="AM35" t="s">
        <v>117</v>
      </c>
      <c r="AN35" t="s">
        <v>2282</v>
      </c>
      <c r="AO35" t="s">
        <v>2283</v>
      </c>
      <c r="AP35" t="s">
        <v>117</v>
      </c>
      <c r="AQ35" t="s">
        <v>2284</v>
      </c>
      <c r="AR35" t="s">
        <v>117</v>
      </c>
      <c r="AS35" t="s">
        <v>1196</v>
      </c>
      <c r="AT35" t="s">
        <v>117</v>
      </c>
      <c r="AU35" t="s">
        <v>2285</v>
      </c>
      <c r="AV35" t="s">
        <v>2286</v>
      </c>
      <c r="AW35" t="s">
        <v>2287</v>
      </c>
      <c r="AX35" t="s">
        <v>1039</v>
      </c>
      <c r="AY35" t="s">
        <v>743</v>
      </c>
      <c r="AZ35" t="s">
        <v>190</v>
      </c>
      <c r="BA35" t="s">
        <v>275</v>
      </c>
      <c r="BB35" t="s">
        <v>424</v>
      </c>
      <c r="BC35" t="s">
        <v>1040</v>
      </c>
      <c r="BD35" t="s">
        <v>744</v>
      </c>
      <c r="BE35" t="s">
        <v>423</v>
      </c>
      <c r="BF35" t="s">
        <v>276</v>
      </c>
      <c r="BG35" t="s">
        <v>425</v>
      </c>
      <c r="BH35" t="s">
        <v>695</v>
      </c>
      <c r="BI35" t="s">
        <v>463</v>
      </c>
      <c r="BJ35" t="s">
        <v>1039</v>
      </c>
      <c r="BK35" t="s">
        <v>1467</v>
      </c>
      <c r="BL35" t="s">
        <v>1472</v>
      </c>
      <c r="BM35" t="s">
        <v>1040</v>
      </c>
      <c r="BN35">
        <v>49.91</v>
      </c>
      <c r="BO35" t="s">
        <v>117</v>
      </c>
      <c r="BP35" t="s">
        <v>117</v>
      </c>
      <c r="BQ35">
        <v>150.6</v>
      </c>
      <c r="BR35">
        <v>-149.91999999999999</v>
      </c>
      <c r="BS35">
        <v>-130.55000000000001</v>
      </c>
      <c r="BT35" t="s">
        <v>930</v>
      </c>
      <c r="BU35" t="s">
        <v>852</v>
      </c>
      <c r="BV35">
        <v>16.329999999999998</v>
      </c>
      <c r="BW35">
        <v>14.22</v>
      </c>
      <c r="BX35">
        <v>10.71</v>
      </c>
      <c r="BY35">
        <v>9.2799999999999994</v>
      </c>
      <c r="BZ35">
        <v>-13.52</v>
      </c>
      <c r="CA35">
        <v>-39.93</v>
      </c>
      <c r="CB35">
        <v>4.68</v>
      </c>
      <c r="CC35">
        <v>-6.06</v>
      </c>
      <c r="CD35" t="s">
        <v>2288</v>
      </c>
      <c r="CE35" t="s">
        <v>271</v>
      </c>
      <c r="CF35" s="9">
        <v>-0.21081081081081082</v>
      </c>
      <c r="CG35" s="10">
        <v>-0.90816375007784489</v>
      </c>
      <c r="CH35" s="9">
        <v>-0.11647727340459824</v>
      </c>
      <c r="CI35" s="9">
        <v>-0.29269924759864807</v>
      </c>
      <c r="CJ35" s="9">
        <v>4.4786565005779266E-2</v>
      </c>
      <c r="CK35" s="9">
        <v>-0.12865857779979706</v>
      </c>
      <c r="CL35" s="9">
        <v>-1.4423076994717121E-2</v>
      </c>
      <c r="CM35" s="10">
        <v>1.6908142566680908</v>
      </c>
      <c r="CN35" s="10">
        <v>0.77186965942382813</v>
      </c>
      <c r="CO35" s="10">
        <v>-1.3413654565811157</v>
      </c>
      <c r="CP35" s="10">
        <v>-24.319847106933594</v>
      </c>
      <c r="CQ35" s="10">
        <v>1.0920482873916626</v>
      </c>
      <c r="CR35">
        <v>-18.857888968823055</v>
      </c>
      <c r="CS35">
        <v>-1.8580240320628627</v>
      </c>
      <c r="CT35">
        <v>0</v>
      </c>
      <c r="CU35" s="9">
        <v>-0.10149432215839624</v>
      </c>
      <c r="CV35" s="10">
        <v>-4.4212960720062258</v>
      </c>
      <c r="CW35">
        <v>0.06</v>
      </c>
      <c r="CX35" t="e">
        <v>#VALUE!</v>
      </c>
      <c r="CY35" t="s">
        <v>1097</v>
      </c>
      <c r="CZ35">
        <v>-0.10149432215839624</v>
      </c>
      <c r="DA35">
        <v>11.900639940733194</v>
      </c>
      <c r="DB35" t="s">
        <v>1473</v>
      </c>
      <c r="DC35">
        <v>-9.641960605047642E-2</v>
      </c>
      <c r="DD35">
        <v>5.9503199703665972</v>
      </c>
      <c r="DE35" t="s">
        <v>1474</v>
      </c>
      <c r="DF35">
        <v>-8.9315003499388687E-2</v>
      </c>
      <c r="DG35">
        <v>3.5701919822199581</v>
      </c>
      <c r="DH35" t="s">
        <v>1475</v>
      </c>
      <c r="DI35">
        <v>-8.1195457726716991E-2</v>
      </c>
      <c r="DJ35">
        <v>1.7850959911099791</v>
      </c>
      <c r="DK35" t="s">
        <v>1476</v>
      </c>
      <c r="DL35">
        <v>-7.1046025510877367E-2</v>
      </c>
      <c r="DM35">
        <v>91878300</v>
      </c>
      <c r="DN35">
        <v>-0.10149432215839624</v>
      </c>
      <c r="DO35">
        <v>3280231700</v>
      </c>
      <c r="DP35">
        <v>127963700</v>
      </c>
      <c r="DQ35">
        <v>1182</v>
      </c>
      <c r="DR35">
        <v>-0.10931648865241458</v>
      </c>
      <c r="DS35">
        <v>3.513132321928381</v>
      </c>
      <c r="DT35" s="7">
        <v>-0.59</v>
      </c>
      <c r="DU35">
        <v>-1.8150000000000004</v>
      </c>
      <c r="DV35">
        <v>-2.4050000000000002</v>
      </c>
      <c r="DW35">
        <v>6.4357541899441344</v>
      </c>
      <c r="DX35">
        <v>0.4399801369862999</v>
      </c>
      <c r="DY35">
        <v>6.0827846406979411</v>
      </c>
      <c r="DZ35">
        <v>4624</v>
      </c>
      <c r="EA35">
        <v>6.0078734511505285</v>
      </c>
      <c r="EB35">
        <v>6</v>
      </c>
      <c r="EC35">
        <v>3.6348646965579712E-2</v>
      </c>
      <c r="ED35">
        <v>0.19132867015566291</v>
      </c>
      <c r="EE35" s="11">
        <v>0.10450000000000001</v>
      </c>
      <c r="EF35">
        <v>9.1499999999999998E-2</v>
      </c>
      <c r="EG35">
        <v>25.1899801369863</v>
      </c>
      <c r="EH35" t="s">
        <v>666</v>
      </c>
      <c r="EI35">
        <v>0</v>
      </c>
      <c r="EJ35">
        <v>0</v>
      </c>
      <c r="EK35" s="13">
        <v>45470</v>
      </c>
      <c r="EL35" s="14">
        <v>2.61</v>
      </c>
      <c r="EM35" s="14">
        <v>-5.6</v>
      </c>
      <c r="EN35" s="14">
        <v>1.08</v>
      </c>
      <c r="EO35" s="14">
        <v>2.93</v>
      </c>
      <c r="EP35" s="14">
        <v>-1.3</v>
      </c>
    </row>
    <row r="36" spans="1:146" ht="108" x14ac:dyDescent="0.25">
      <c r="A36" s="6"/>
      <c r="B36" s="6"/>
      <c r="C36" s="6" t="str">
        <f>""&amp;CHAR(10)&amp;Basic_Fundamental_Information_Constructure(F36)&amp;CHAR(10)&amp;Basic_Fundamental_Information_Concatenate("")</f>
        <v xml:space="preserve">
市值13.447113亿, 利润6369.83万; PE24.35; 平均PE71.79; 平均PEG9.93, PB1.27; ROIC7.085%; ROE-4.2767%; 股利率1.955%; 毛利27.2833%; 净利-6.18%; 上一年度营收增5.15%, 利润增-34.78%; 当季营收增-28.96%, 利润增-84.22%; 过往5年营收增7.23%, 利润增-84.92%
Income profile:
</v>
      </c>
      <c r="D36" t="s">
        <v>63</v>
      </c>
      <c r="E36" t="s">
        <v>17</v>
      </c>
      <c r="F36">
        <v>10.23</v>
      </c>
      <c r="G36">
        <v>1.49</v>
      </c>
      <c r="H36" t="s">
        <v>2289</v>
      </c>
      <c r="I36">
        <v>1344711300</v>
      </c>
      <c r="J36">
        <v>24.35</v>
      </c>
      <c r="K36">
        <v>1.27</v>
      </c>
      <c r="L36" t="s">
        <v>53</v>
      </c>
      <c r="M36" t="s">
        <v>1477</v>
      </c>
      <c r="N36" t="s">
        <v>1553</v>
      </c>
      <c r="O36" t="s">
        <v>128</v>
      </c>
      <c r="P36">
        <v>-29.35</v>
      </c>
      <c r="Q36" t="s">
        <v>1452</v>
      </c>
      <c r="R36">
        <v>1588394</v>
      </c>
      <c r="S36" s="5">
        <v>-0.84219999999999995</v>
      </c>
      <c r="T36" t="s">
        <v>1478</v>
      </c>
      <c r="U36">
        <v>65208056</v>
      </c>
      <c r="V36">
        <v>131447829</v>
      </c>
      <c r="W36">
        <v>1.49</v>
      </c>
      <c r="X36">
        <v>0.08</v>
      </c>
      <c r="Y36">
        <v>1.1200000000000001</v>
      </c>
      <c r="Z36" t="s">
        <v>219</v>
      </c>
      <c r="AA36" t="s">
        <v>2290</v>
      </c>
      <c r="AB36" t="s">
        <v>2291</v>
      </c>
      <c r="AC36" t="s">
        <v>2292</v>
      </c>
      <c r="AD36" t="s">
        <v>117</v>
      </c>
      <c r="AE36">
        <v>-2539148</v>
      </c>
      <c r="AF36" t="s">
        <v>1480</v>
      </c>
      <c r="AG36" t="s">
        <v>2293</v>
      </c>
      <c r="AH36" t="s">
        <v>1481</v>
      </c>
      <c r="AI36" t="s">
        <v>995</v>
      </c>
      <c r="AJ36" t="s">
        <v>1482</v>
      </c>
      <c r="AK36" t="s">
        <v>2294</v>
      </c>
      <c r="AL36" t="s">
        <v>1483</v>
      </c>
      <c r="AM36" t="s">
        <v>117</v>
      </c>
      <c r="AN36">
        <v>0</v>
      </c>
      <c r="AO36" t="s">
        <v>2295</v>
      </c>
      <c r="AP36" t="s">
        <v>127</v>
      </c>
      <c r="AQ36" t="s">
        <v>165</v>
      </c>
      <c r="AR36" t="s">
        <v>117</v>
      </c>
      <c r="AS36" t="s">
        <v>2296</v>
      </c>
      <c r="AT36" t="s">
        <v>117</v>
      </c>
      <c r="AU36" t="s">
        <v>2297</v>
      </c>
      <c r="AV36" t="s">
        <v>2298</v>
      </c>
      <c r="AW36" t="s">
        <v>2299</v>
      </c>
      <c r="AX36" t="s">
        <v>1042</v>
      </c>
      <c r="AY36" t="s">
        <v>283</v>
      </c>
      <c r="AZ36" t="s">
        <v>426</v>
      </c>
      <c r="BA36" t="s">
        <v>120</v>
      </c>
      <c r="BB36" t="s">
        <v>172</v>
      </c>
      <c r="BC36" t="s">
        <v>1043</v>
      </c>
      <c r="BD36" t="s">
        <v>745</v>
      </c>
      <c r="BE36" t="s">
        <v>427</v>
      </c>
      <c r="BF36" t="s">
        <v>217</v>
      </c>
      <c r="BG36" t="s">
        <v>227</v>
      </c>
      <c r="BH36" t="s">
        <v>1452</v>
      </c>
      <c r="BI36" t="s">
        <v>943</v>
      </c>
      <c r="BJ36" t="s">
        <v>1042</v>
      </c>
      <c r="BK36" t="s">
        <v>1478</v>
      </c>
      <c r="BL36" t="s">
        <v>1485</v>
      </c>
      <c r="BM36" t="s">
        <v>1043</v>
      </c>
      <c r="BN36">
        <v>6.06</v>
      </c>
      <c r="BO36">
        <v>8.11</v>
      </c>
      <c r="BP36" t="s">
        <v>117</v>
      </c>
      <c r="BQ36">
        <v>6.57</v>
      </c>
      <c r="BR36">
        <v>9.5299999999999994</v>
      </c>
      <c r="BS36">
        <v>-28.93</v>
      </c>
      <c r="BT36" t="s">
        <v>929</v>
      </c>
      <c r="BU36" t="s">
        <v>848</v>
      </c>
      <c r="BV36">
        <v>28.18</v>
      </c>
      <c r="BW36">
        <v>27.24</v>
      </c>
      <c r="BX36">
        <v>26.43</v>
      </c>
      <c r="BY36">
        <v>6.31</v>
      </c>
      <c r="BZ36">
        <v>9.8800000000000008</v>
      </c>
      <c r="CA36">
        <v>-34.729999999999997</v>
      </c>
      <c r="CB36">
        <v>-2.0099999999999998</v>
      </c>
      <c r="CC36">
        <v>-13.6</v>
      </c>
      <c r="CD36" t="s">
        <v>2300</v>
      </c>
      <c r="CE36" t="s">
        <v>2301</v>
      </c>
      <c r="CF36" s="9">
        <v>-0.2896174863387978</v>
      </c>
      <c r="CG36" s="10">
        <v>-0.84215659190507897</v>
      </c>
      <c r="CH36" s="9">
        <v>5.1524709910154343E-2</v>
      </c>
      <c r="CI36" s="9">
        <v>-2.6612076908349991E-2</v>
      </c>
      <c r="CJ36" s="9">
        <v>0.29062086343765259</v>
      </c>
      <c r="CK36" s="9">
        <v>7.0721358060836792E-2</v>
      </c>
      <c r="CL36" s="9">
        <v>-2.4827586486935616E-2</v>
      </c>
      <c r="CM36" s="10">
        <v>-0.347767174243927</v>
      </c>
      <c r="CN36" s="10">
        <v>1.2932789325714111</v>
      </c>
      <c r="CO36" s="10">
        <v>-4.9852175712585449</v>
      </c>
      <c r="CP36" s="10">
        <v>-0.13379871845245361</v>
      </c>
      <c r="CQ36" s="10">
        <v>-7.2444230318069458E-2</v>
      </c>
      <c r="CR36">
        <v>71.791450445255947</v>
      </c>
      <c r="CS36">
        <v>9.9316593957989063</v>
      </c>
      <c r="CT36">
        <v>1.955034213098729</v>
      </c>
      <c r="CU36" s="9">
        <v>7.228545360267162E-2</v>
      </c>
      <c r="CV36" s="10">
        <v>-0.84918975234031679</v>
      </c>
      <c r="CW36">
        <v>0.06</v>
      </c>
      <c r="CX36">
        <v>13.854110301622121</v>
      </c>
      <c r="CY36">
        <v>64436566.518131174</v>
      </c>
      <c r="CZ36">
        <v>7.228545360267162E-2</v>
      </c>
      <c r="DA36">
        <v>4.5959559936750418</v>
      </c>
      <c r="DB36">
        <v>194238435.10002056</v>
      </c>
      <c r="DC36">
        <v>6.867118092253803E-2</v>
      </c>
      <c r="DD36">
        <v>2.3081019458514573</v>
      </c>
      <c r="DE36">
        <v>386772907.32523495</v>
      </c>
      <c r="DF36">
        <v>6.3611199170351032E-2</v>
      </c>
      <c r="DG36">
        <v>1.4173407523371921</v>
      </c>
      <c r="DH36">
        <v>629849454.71152294</v>
      </c>
      <c r="DI36">
        <v>5.7828362882137302E-2</v>
      </c>
      <c r="DJ36">
        <v>0.76842267044326307</v>
      </c>
      <c r="DK36">
        <v>1161745136.2868321</v>
      </c>
      <c r="DL36">
        <v>5.0599817521870129E-2</v>
      </c>
      <c r="DM36">
        <v>63698300</v>
      </c>
      <c r="DN36">
        <v>7.228545360267162E-2</v>
      </c>
      <c r="DO36">
        <v>892711300.00000012</v>
      </c>
      <c r="DP36">
        <v>89891770</v>
      </c>
      <c r="DQ36">
        <v>1202</v>
      </c>
      <c r="DR36">
        <v>-0.36190293994146944</v>
      </c>
      <c r="DS36">
        <v>7.0331604352378285E-3</v>
      </c>
      <c r="DT36" s="7">
        <v>-0.3066666666666667</v>
      </c>
      <c r="DU36">
        <v>-0.98999999999999988</v>
      </c>
      <c r="DV36">
        <v>-1.2966666666666666</v>
      </c>
      <c r="DW36">
        <v>-2.1360000000000001</v>
      </c>
      <c r="DX36">
        <v>0.35894625410096737</v>
      </c>
      <c r="DY36">
        <v>-2.0148166905577316</v>
      </c>
      <c r="DZ36">
        <v>3848</v>
      </c>
      <c r="EA36">
        <v>-2.0036592296445903</v>
      </c>
      <c r="EB36">
        <v>2</v>
      </c>
      <c r="EC36">
        <v>2.7637580838250284E-2</v>
      </c>
      <c r="ED36">
        <v>0.25368087288836089</v>
      </c>
      <c r="EE36" s="11">
        <v>-1.1145</v>
      </c>
      <c r="EF36">
        <v>-1.1021000000000001</v>
      </c>
      <c r="EG36">
        <v>25.108946254100967</v>
      </c>
      <c r="EH36" t="s">
        <v>808</v>
      </c>
      <c r="EI36">
        <v>0</v>
      </c>
      <c r="EJ36">
        <v>0</v>
      </c>
      <c r="EK36" s="13">
        <v>45470</v>
      </c>
      <c r="EL36" s="14">
        <v>0.1</v>
      </c>
      <c r="EM36" s="14">
        <v>-4.7</v>
      </c>
      <c r="EN36" s="14">
        <v>2.11</v>
      </c>
      <c r="EO36" s="14">
        <v>3.25</v>
      </c>
      <c r="EP36" s="14">
        <v>-1.24</v>
      </c>
    </row>
    <row r="37" spans="1:146" ht="108" x14ac:dyDescent="0.25">
      <c r="A37" s="6"/>
      <c r="B37" s="6"/>
      <c r="C37" s="6" t="str">
        <f>""&amp;CHAR(10)&amp;Basic_Fundamental_Information_Constructure(F37)&amp;CHAR(10)&amp;Basic_Fundamental_Information_Concatenate("")</f>
        <v xml:space="preserve">
市值57.561403亿, 利润-3545.90万; PE; 平均PE-351.1; 平均PEG-127.94, PB5.96; ROIC.06%; ROE-2.6267%; 股利率0%; 毛利10.57%; 净利-2.65%; 上一年度营收增-2.83%, 利润增-30.93%; 当季营收增24.77%, 利润增220.54%; 过往5年营收增2.74%, 利润增-129.58%
Income profile:
</v>
      </c>
      <c r="D37" t="s">
        <v>54</v>
      </c>
      <c r="E37" t="s">
        <v>7</v>
      </c>
      <c r="F37">
        <v>25.4</v>
      </c>
      <c r="G37">
        <v>-0.2</v>
      </c>
      <c r="H37" t="s">
        <v>2302</v>
      </c>
      <c r="I37">
        <v>5756140300</v>
      </c>
      <c r="K37">
        <v>5.96</v>
      </c>
      <c r="L37" t="s">
        <v>53</v>
      </c>
      <c r="M37" t="s">
        <v>1486</v>
      </c>
      <c r="N37" t="s">
        <v>1270</v>
      </c>
      <c r="O37" t="s">
        <v>732</v>
      </c>
      <c r="P37">
        <v>25.01</v>
      </c>
      <c r="Q37" t="s">
        <v>1487</v>
      </c>
      <c r="R37">
        <v>4351473</v>
      </c>
      <c r="S37" s="5">
        <v>2.2050000000000001</v>
      </c>
      <c r="T37" t="s">
        <v>1488</v>
      </c>
      <c r="U37">
        <v>167839780</v>
      </c>
      <c r="V37">
        <v>226619700</v>
      </c>
      <c r="W37">
        <v>1.6</v>
      </c>
      <c r="X37">
        <v>0.16</v>
      </c>
      <c r="Y37">
        <v>0.98</v>
      </c>
      <c r="Z37" t="s">
        <v>618</v>
      </c>
      <c r="AA37" t="s">
        <v>176</v>
      </c>
      <c r="AB37" t="s">
        <v>2303</v>
      </c>
      <c r="AC37" t="s">
        <v>2304</v>
      </c>
      <c r="AD37" t="s">
        <v>117</v>
      </c>
      <c r="AE37">
        <v>3099551</v>
      </c>
      <c r="AF37" t="s">
        <v>1489</v>
      </c>
      <c r="AG37" t="s">
        <v>2305</v>
      </c>
      <c r="AH37" t="s">
        <v>1490</v>
      </c>
      <c r="AI37" t="s">
        <v>234</v>
      </c>
      <c r="AJ37" t="s">
        <v>1491</v>
      </c>
      <c r="AK37" t="s">
        <v>2306</v>
      </c>
      <c r="AL37" t="s">
        <v>1492</v>
      </c>
      <c r="AM37" t="s">
        <v>117</v>
      </c>
      <c r="AN37" t="s">
        <v>2307</v>
      </c>
      <c r="AO37" t="s">
        <v>946</v>
      </c>
      <c r="AP37" t="s">
        <v>117</v>
      </c>
      <c r="AQ37" t="s">
        <v>131</v>
      </c>
      <c r="AR37" t="s">
        <v>117</v>
      </c>
      <c r="AS37" t="s">
        <v>959</v>
      </c>
      <c r="AT37" t="s">
        <v>117</v>
      </c>
      <c r="AU37" t="s">
        <v>2308</v>
      </c>
      <c r="AV37" t="s">
        <v>2309</v>
      </c>
      <c r="AW37" t="s">
        <v>2310</v>
      </c>
      <c r="AX37" t="s">
        <v>1044</v>
      </c>
      <c r="AY37" t="s">
        <v>746</v>
      </c>
      <c r="AZ37" t="s">
        <v>365</v>
      </c>
      <c r="BA37" t="s">
        <v>199</v>
      </c>
      <c r="BB37" t="s">
        <v>431</v>
      </c>
      <c r="BC37" t="s">
        <v>1493</v>
      </c>
      <c r="BD37" t="s">
        <v>747</v>
      </c>
      <c r="BE37" t="s">
        <v>429</v>
      </c>
      <c r="BF37" t="s">
        <v>222</v>
      </c>
      <c r="BG37" t="s">
        <v>432</v>
      </c>
      <c r="BH37" t="s">
        <v>1487</v>
      </c>
      <c r="BI37" t="s">
        <v>262</v>
      </c>
      <c r="BJ37" t="s">
        <v>1044</v>
      </c>
      <c r="BK37" t="s">
        <v>1488</v>
      </c>
      <c r="BL37" t="s">
        <v>1494</v>
      </c>
      <c r="BM37" t="s">
        <v>1493</v>
      </c>
      <c r="BN37">
        <v>0.06</v>
      </c>
      <c r="BO37" t="s">
        <v>117</v>
      </c>
      <c r="BP37" t="s">
        <v>117</v>
      </c>
      <c r="BQ37">
        <v>0.52</v>
      </c>
      <c r="BR37">
        <v>-4.6399999999999997</v>
      </c>
      <c r="BS37">
        <v>-3.76</v>
      </c>
      <c r="BT37" t="s">
        <v>930</v>
      </c>
      <c r="BU37" t="s">
        <v>848</v>
      </c>
      <c r="BV37">
        <v>10.72</v>
      </c>
      <c r="BW37">
        <v>11.05</v>
      </c>
      <c r="BX37">
        <v>9.94</v>
      </c>
      <c r="BY37">
        <v>-3.44</v>
      </c>
      <c r="BZ37">
        <v>-2.23</v>
      </c>
      <c r="CA37">
        <v>-2.2799999999999998</v>
      </c>
      <c r="CB37">
        <v>2.21</v>
      </c>
      <c r="CC37">
        <v>3.59</v>
      </c>
      <c r="CD37" t="s">
        <v>2311</v>
      </c>
      <c r="CE37" t="s">
        <v>2312</v>
      </c>
      <c r="CF37" s="9">
        <v>0.24770642201834844</v>
      </c>
      <c r="CG37" s="10">
        <v>2.2053607933298247</v>
      </c>
      <c r="CH37" s="9">
        <v>-2.8330830857157707E-2</v>
      </c>
      <c r="CI37" s="9">
        <v>0.13073587417602539</v>
      </c>
      <c r="CJ37" s="9">
        <v>0.2157895416021347</v>
      </c>
      <c r="CK37" s="9">
        <v>-7.0450097322463989E-2</v>
      </c>
      <c r="CL37" s="9">
        <v>-0.11053084582090378</v>
      </c>
      <c r="CM37" s="10">
        <v>-0.30928599834442139</v>
      </c>
      <c r="CN37" s="10">
        <v>-0.1726803183555603</v>
      </c>
      <c r="CO37" s="10">
        <v>-2.9100263118743896</v>
      </c>
      <c r="CP37" s="10">
        <v>1.3452053070068359</v>
      </c>
      <c r="CQ37" s="10">
        <v>-4.4322447776794434</v>
      </c>
      <c r="CR37">
        <v>-351.10405382325672</v>
      </c>
      <c r="CS37">
        <v>-127.94065126273966</v>
      </c>
      <c r="CT37">
        <v>0</v>
      </c>
      <c r="CU37" s="9">
        <v>2.7442728355526923E-2</v>
      </c>
      <c r="CV37" s="10">
        <v>-1.2958064198493957</v>
      </c>
      <c r="CW37">
        <v>0.06</v>
      </c>
      <c r="CX37" t="e">
        <v>#VALUE!</v>
      </c>
      <c r="CY37" t="s">
        <v>803</v>
      </c>
      <c r="CZ37">
        <v>2.7442728355526923E-2</v>
      </c>
      <c r="DA37" t="e">
        <v>#VALUE!</v>
      </c>
      <c r="DB37" t="s">
        <v>803</v>
      </c>
      <c r="DC37">
        <v>2.6070591937750576E-2</v>
      </c>
      <c r="DD37" t="e">
        <v>#VALUE!</v>
      </c>
      <c r="DE37" t="s">
        <v>803</v>
      </c>
      <c r="DF37">
        <v>2.4149600952863694E-2</v>
      </c>
      <c r="DG37" t="e">
        <v>#VALUE!</v>
      </c>
      <c r="DH37" t="s">
        <v>803</v>
      </c>
      <c r="DI37">
        <v>2.1954182684421539E-2</v>
      </c>
      <c r="DJ37" t="e">
        <v>#VALUE!</v>
      </c>
      <c r="DK37" t="s">
        <v>803</v>
      </c>
      <c r="DL37">
        <v>1.9209909848868844E-2</v>
      </c>
      <c r="DM37">
        <v>-35459000</v>
      </c>
      <c r="DN37">
        <v>2.7442728355526923E-2</v>
      </c>
      <c r="DO37">
        <v>5379140300</v>
      </c>
      <c r="DP37">
        <v>566816550</v>
      </c>
      <c r="DQ37">
        <v>1259</v>
      </c>
      <c r="DR37">
        <v>0.22026369366282153</v>
      </c>
      <c r="DS37">
        <v>3.5011672131792206</v>
      </c>
      <c r="DT37" s="7">
        <v>-0.3066666666666667</v>
      </c>
      <c r="DU37">
        <v>-1.7766666666666666</v>
      </c>
      <c r="DV37">
        <v>-2.0833333333333335</v>
      </c>
      <c r="DW37">
        <v>1.0359</v>
      </c>
      <c r="DX37">
        <v>0.31664512185255489</v>
      </c>
      <c r="DY37">
        <v>1.0070595598745067</v>
      </c>
      <c r="DZ37">
        <v>4443</v>
      </c>
      <c r="EA37">
        <v>1.0009214728838152</v>
      </c>
      <c r="EB37">
        <v>1</v>
      </c>
      <c r="EC37">
        <v>6.3321944208733841E-2</v>
      </c>
      <c r="ED37">
        <v>0.32201128145523095</v>
      </c>
      <c r="EE37" s="11">
        <v>8.1199999999999994E-2</v>
      </c>
      <c r="EF37">
        <v>6.9199999999999998E-2</v>
      </c>
      <c r="EG37">
        <v>12.196645121852555</v>
      </c>
      <c r="EH37" t="s">
        <v>666</v>
      </c>
      <c r="EI37">
        <v>0</v>
      </c>
      <c r="EJ37">
        <v>0</v>
      </c>
      <c r="EK37" s="13">
        <v>45470</v>
      </c>
      <c r="EL37" s="14">
        <v>0.63</v>
      </c>
      <c r="EM37" s="14">
        <v>-2.2200000000000002</v>
      </c>
      <c r="EN37" s="14">
        <v>-3.06</v>
      </c>
      <c r="EO37" s="14">
        <v>2.79</v>
      </c>
      <c r="EP37" s="14">
        <v>-1.2</v>
      </c>
    </row>
    <row r="38" spans="1:146" ht="108" x14ac:dyDescent="0.25">
      <c r="A38" s="6"/>
      <c r="B38" s="6"/>
      <c r="C38" s="6" t="str">
        <f>""&amp;CHAR(10)&amp;Basic_Fundamental_Information_Constructure(F38)&amp;CHAR(10)&amp;Basic_Fundamental_Information_Concatenate("")</f>
        <v xml:space="preserve">
市值77.587602亿, 利润3.24亿; PE23.22; 平均PE17.2; 平均PEG1.02, PB1.55; ROIC8.2667%; ROE8.1867%; 股利率.4144%; 毛利32.5667%; 净利5.52%; 上一年度营收增2.01%, 利润增393.88%; 当季营收增.89%, 利润增111.15%; 过往5年营收增16.83%, 利润增110.28%
Income profile:
</v>
      </c>
      <c r="D38" t="s">
        <v>67</v>
      </c>
      <c r="E38" t="s">
        <v>19</v>
      </c>
      <c r="F38">
        <v>24.13</v>
      </c>
      <c r="G38">
        <v>-3.71</v>
      </c>
      <c r="H38" t="s">
        <v>2313</v>
      </c>
      <c r="I38">
        <v>7758760200</v>
      </c>
      <c r="J38">
        <v>23.22</v>
      </c>
      <c r="K38">
        <v>1.55</v>
      </c>
      <c r="L38" t="s">
        <v>53</v>
      </c>
      <c r="M38" t="s">
        <v>1495</v>
      </c>
      <c r="N38" t="s">
        <v>2314</v>
      </c>
      <c r="O38" t="s">
        <v>1496</v>
      </c>
      <c r="P38">
        <v>0.85</v>
      </c>
      <c r="Q38" t="s">
        <v>1497</v>
      </c>
      <c r="R38">
        <v>6250000</v>
      </c>
      <c r="S38" s="5">
        <v>0.18160000000000001</v>
      </c>
      <c r="T38" t="s">
        <v>1018</v>
      </c>
      <c r="U38">
        <v>164304730</v>
      </c>
      <c r="V38">
        <v>321540000</v>
      </c>
      <c r="W38">
        <v>1.7</v>
      </c>
      <c r="X38">
        <v>0.15</v>
      </c>
      <c r="Y38">
        <v>-3.33</v>
      </c>
      <c r="Z38" t="s">
        <v>2315</v>
      </c>
      <c r="AA38" t="s">
        <v>1042</v>
      </c>
      <c r="AB38" t="s">
        <v>182</v>
      </c>
      <c r="AC38" t="s">
        <v>2316</v>
      </c>
      <c r="AD38" t="s">
        <v>117</v>
      </c>
      <c r="AE38">
        <v>5307208</v>
      </c>
      <c r="AF38" t="s">
        <v>1498</v>
      </c>
      <c r="AG38" t="s">
        <v>2317</v>
      </c>
      <c r="AH38" t="s">
        <v>1499</v>
      </c>
      <c r="AI38" t="s">
        <v>345</v>
      </c>
      <c r="AJ38" t="s">
        <v>1500</v>
      </c>
      <c r="AK38" t="s">
        <v>354</v>
      </c>
      <c r="AL38" t="s">
        <v>1501</v>
      </c>
      <c r="AM38" t="s">
        <v>117</v>
      </c>
      <c r="AN38" t="s">
        <v>2318</v>
      </c>
      <c r="AO38" t="s">
        <v>2319</v>
      </c>
      <c r="AP38" t="s">
        <v>2320</v>
      </c>
      <c r="AQ38" t="s">
        <v>2321</v>
      </c>
      <c r="AR38" t="s">
        <v>117</v>
      </c>
      <c r="AS38" t="s">
        <v>2322</v>
      </c>
      <c r="AT38" t="s">
        <v>2323</v>
      </c>
      <c r="AU38" t="s">
        <v>2324</v>
      </c>
      <c r="AV38" t="s">
        <v>2325</v>
      </c>
      <c r="AW38" t="s">
        <v>2326</v>
      </c>
      <c r="AX38" t="s">
        <v>1045</v>
      </c>
      <c r="AY38" t="s">
        <v>748</v>
      </c>
      <c r="AZ38" t="s">
        <v>433</v>
      </c>
      <c r="BA38" t="s">
        <v>223</v>
      </c>
      <c r="BB38" t="s">
        <v>434</v>
      </c>
      <c r="BC38" t="s">
        <v>1503</v>
      </c>
      <c r="BD38" t="s">
        <v>343</v>
      </c>
      <c r="BE38" t="s">
        <v>175</v>
      </c>
      <c r="BF38" t="s">
        <v>224</v>
      </c>
      <c r="BG38" t="s">
        <v>435</v>
      </c>
      <c r="BH38" t="s">
        <v>1497</v>
      </c>
      <c r="BI38" t="s">
        <v>1504</v>
      </c>
      <c r="BJ38" t="s">
        <v>1045</v>
      </c>
      <c r="BK38" t="s">
        <v>1018</v>
      </c>
      <c r="BL38" t="s">
        <v>1505</v>
      </c>
      <c r="BM38" t="s">
        <v>1503</v>
      </c>
      <c r="BN38">
        <v>3.14</v>
      </c>
      <c r="BO38">
        <v>1.97</v>
      </c>
      <c r="BP38">
        <v>19.690000000000001</v>
      </c>
      <c r="BQ38">
        <v>2.94</v>
      </c>
      <c r="BR38">
        <v>1.37</v>
      </c>
      <c r="BS38">
        <v>20.25</v>
      </c>
      <c r="BT38" t="s">
        <v>952</v>
      </c>
      <c r="BU38" t="s">
        <v>848</v>
      </c>
      <c r="BV38">
        <v>32.26</v>
      </c>
      <c r="BW38">
        <v>30.2</v>
      </c>
      <c r="BX38">
        <v>35.24</v>
      </c>
      <c r="BY38">
        <v>4.49</v>
      </c>
      <c r="BZ38">
        <v>1.1399999999999999</v>
      </c>
      <c r="CA38">
        <v>10.93</v>
      </c>
      <c r="CB38">
        <v>-6.73</v>
      </c>
      <c r="CC38">
        <v>-41.13</v>
      </c>
      <c r="CD38" t="s">
        <v>2327</v>
      </c>
      <c r="CE38" t="s">
        <v>314</v>
      </c>
      <c r="CF38" s="9">
        <v>8.8626292466765146E-3</v>
      </c>
      <c r="CG38" s="10">
        <v>1.1115045984496401</v>
      </c>
      <c r="CH38" s="9">
        <v>2.0135967060923576E-2</v>
      </c>
      <c r="CI38" s="9">
        <v>-0.13159987330436707</v>
      </c>
      <c r="CJ38" s="9">
        <v>0.30725845694541931</v>
      </c>
      <c r="CK38" s="9">
        <v>0.28201711177825928</v>
      </c>
      <c r="CL38" s="9">
        <v>0.36387234926223755</v>
      </c>
      <c r="CM38" s="10">
        <v>3.9387834072113037</v>
      </c>
      <c r="CN38" s="10">
        <v>-0.92620563507080078</v>
      </c>
      <c r="CO38" s="10">
        <v>8.8127292692661285E-2</v>
      </c>
      <c r="CP38" s="10">
        <v>0.86104786396026611</v>
      </c>
      <c r="CQ38" s="10">
        <v>1.5523256063461304</v>
      </c>
      <c r="CR38">
        <v>17.19962541978817</v>
      </c>
      <c r="CS38">
        <v>1.021738869922284</v>
      </c>
      <c r="CT38">
        <v>0.41442188147534192</v>
      </c>
      <c r="CU38" s="9">
        <v>0.16833680234849452</v>
      </c>
      <c r="CV38" s="10">
        <v>1.1028157070279121</v>
      </c>
      <c r="CW38">
        <v>0.06</v>
      </c>
      <c r="CX38">
        <v>19.514090661290375</v>
      </c>
      <c r="CY38">
        <v>357114267.88765305</v>
      </c>
      <c r="CZ38">
        <v>0.16833680234849452</v>
      </c>
      <c r="DA38">
        <v>5.9713289824896965</v>
      </c>
      <c r="DB38">
        <v>1167036721.7139044</v>
      </c>
      <c r="DC38">
        <v>0.15991996223106977</v>
      </c>
      <c r="DD38">
        <v>2.6854690559793486</v>
      </c>
      <c r="DE38">
        <v>2594988083.9191432</v>
      </c>
      <c r="DF38">
        <v>0.14813638606667517</v>
      </c>
      <c r="DG38">
        <v>1.4512493541512665</v>
      </c>
      <c r="DH38">
        <v>4801904083.5856476</v>
      </c>
      <c r="DI38">
        <v>0.13466944187879562</v>
      </c>
      <c r="DJ38">
        <v>0.58767109119466754</v>
      </c>
      <c r="DK38">
        <v>11858266136.306475</v>
      </c>
      <c r="DL38">
        <v>0.11783576164394616</v>
      </c>
      <c r="DM38">
        <v>324000000</v>
      </c>
      <c r="DN38">
        <v>0.16833680234849452</v>
      </c>
      <c r="DO38">
        <v>6968760200</v>
      </c>
      <c r="DP38">
        <v>2758544699.9999995</v>
      </c>
      <c r="DQ38">
        <v>1265</v>
      </c>
      <c r="DR38">
        <v>-0.159474173101818</v>
      </c>
      <c r="DS38">
        <v>8.6888914217280178E-3</v>
      </c>
      <c r="DT38" s="7">
        <v>-9.000000000000008E-2</v>
      </c>
      <c r="DU38">
        <v>0.87333333333333318</v>
      </c>
      <c r="DV38">
        <v>0.7833333333333331</v>
      </c>
      <c r="DW38">
        <v>-9.1636275224896675</v>
      </c>
      <c r="DX38">
        <v>0.58113507462686775</v>
      </c>
      <c r="DY38">
        <v>-9.028002408272279</v>
      </c>
      <c r="DZ38">
        <v>1475</v>
      </c>
      <c r="EA38">
        <v>-9.0199195213443701</v>
      </c>
      <c r="EB38">
        <v>9</v>
      </c>
      <c r="EC38">
        <v>7.1319586987622072E-2</v>
      </c>
      <c r="ED38">
        <v>0.41674441749082547</v>
      </c>
      <c r="EE38" s="11">
        <v>1.08321</v>
      </c>
      <c r="EF38">
        <v>1.1323099999999999</v>
      </c>
      <c r="EG38">
        <v>41.171135074626868</v>
      </c>
      <c r="EH38" t="s">
        <v>1008</v>
      </c>
      <c r="EI38">
        <v>0</v>
      </c>
      <c r="EJ38">
        <v>1</v>
      </c>
      <c r="EK38" s="13">
        <v>45470</v>
      </c>
      <c r="EL38" s="14">
        <v>-2.89</v>
      </c>
      <c r="EM38" s="14">
        <v>-2.5499999999999998</v>
      </c>
      <c r="EN38" s="14">
        <v>7.0000000000000007E-2</v>
      </c>
      <c r="EO38" s="14">
        <v>0.11</v>
      </c>
      <c r="EP38" s="14">
        <v>-4.91</v>
      </c>
    </row>
    <row r="39" spans="1:146" ht="108" x14ac:dyDescent="0.25">
      <c r="A39" s="6"/>
      <c r="B39" s="6"/>
      <c r="C39" s="6" t="str">
        <f>""&amp;CHAR(10)&amp;Basic_Fundamental_Information_Constructure(F39)&amp;CHAR(10)&amp;Basic_Fundamental_Information_Concatenate("")</f>
        <v xml:space="preserve">
市值34.686424亿, 利润7909.20万; PE72.38; 平均PE19.26; 平均PEG4.54, PB1.25; ROIC4.04%; ROE5.6433%; 股利率.8636%; 毛利9.7133%; 净利1.46%; 上一年度营收增1.2%, 利润增-49.3%; 当季营收增-15.89%, 利润增-153.38%; 过往5年营收增4.24%, 利润增8.63%
Income profile:
</v>
      </c>
      <c r="D39" t="s">
        <v>436</v>
      </c>
      <c r="E39" t="s">
        <v>437</v>
      </c>
      <c r="F39">
        <v>5.79</v>
      </c>
      <c r="G39">
        <v>-1.03</v>
      </c>
      <c r="H39" t="s">
        <v>2328</v>
      </c>
      <c r="I39">
        <v>3468642400</v>
      </c>
      <c r="J39">
        <v>72.38</v>
      </c>
      <c r="K39">
        <v>1.25</v>
      </c>
      <c r="L39" t="s">
        <v>53</v>
      </c>
      <c r="M39" t="s">
        <v>1506</v>
      </c>
      <c r="N39" t="s">
        <v>2329</v>
      </c>
      <c r="O39" t="s">
        <v>1507</v>
      </c>
      <c r="P39">
        <v>-15.87</v>
      </c>
      <c r="Q39" t="s">
        <v>1508</v>
      </c>
      <c r="R39">
        <v>-10848529</v>
      </c>
      <c r="S39" s="5">
        <v>-1.534</v>
      </c>
      <c r="T39" t="s">
        <v>1509</v>
      </c>
      <c r="U39">
        <v>201009680</v>
      </c>
      <c r="V39">
        <v>599074680</v>
      </c>
      <c r="W39">
        <v>2.3199999999999998</v>
      </c>
      <c r="X39">
        <v>0.19</v>
      </c>
      <c r="Y39">
        <v>-0.87</v>
      </c>
      <c r="Z39" t="s">
        <v>2330</v>
      </c>
      <c r="AA39" t="s">
        <v>239</v>
      </c>
      <c r="AB39" t="s">
        <v>2331</v>
      </c>
      <c r="AC39" t="s">
        <v>2332</v>
      </c>
      <c r="AD39" t="s">
        <v>117</v>
      </c>
      <c r="AE39">
        <v>12440478</v>
      </c>
      <c r="AF39" t="s">
        <v>1510</v>
      </c>
      <c r="AG39" t="s">
        <v>2333</v>
      </c>
      <c r="AH39" t="s">
        <v>1511</v>
      </c>
      <c r="AI39" t="s">
        <v>2334</v>
      </c>
      <c r="AJ39" t="s">
        <v>1512</v>
      </c>
      <c r="AK39" t="s">
        <v>2335</v>
      </c>
      <c r="AL39" t="s">
        <v>1514</v>
      </c>
      <c r="AM39" t="s">
        <v>117</v>
      </c>
      <c r="AN39" t="s">
        <v>271</v>
      </c>
      <c r="AO39" t="s">
        <v>324</v>
      </c>
      <c r="AP39" t="s">
        <v>191</v>
      </c>
      <c r="AQ39" t="s">
        <v>2336</v>
      </c>
      <c r="AR39" t="s">
        <v>117</v>
      </c>
      <c r="AS39" t="s">
        <v>2337</v>
      </c>
      <c r="AT39" t="s">
        <v>2338</v>
      </c>
      <c r="AU39" t="s">
        <v>2339</v>
      </c>
      <c r="AV39" t="s">
        <v>2340</v>
      </c>
      <c r="AW39" t="s">
        <v>2341</v>
      </c>
      <c r="AX39" t="s">
        <v>1047</v>
      </c>
      <c r="AY39" t="s">
        <v>750</v>
      </c>
      <c r="AZ39" t="s">
        <v>438</v>
      </c>
      <c r="BA39" t="s">
        <v>439</v>
      </c>
      <c r="BB39" t="s">
        <v>440</v>
      </c>
      <c r="BC39" t="s">
        <v>394</v>
      </c>
      <c r="BD39" t="s">
        <v>751</v>
      </c>
      <c r="BE39" t="s">
        <v>279</v>
      </c>
      <c r="BF39" t="s">
        <v>339</v>
      </c>
      <c r="BG39" t="s">
        <v>359</v>
      </c>
      <c r="BH39" t="s">
        <v>1508</v>
      </c>
      <c r="BI39" t="s">
        <v>1516</v>
      </c>
      <c r="BJ39" t="s">
        <v>1047</v>
      </c>
      <c r="BK39" t="s">
        <v>1509</v>
      </c>
      <c r="BL39" t="s">
        <v>1517</v>
      </c>
      <c r="BM39" t="s">
        <v>394</v>
      </c>
      <c r="BN39">
        <v>2.25</v>
      </c>
      <c r="BO39">
        <v>6.03</v>
      </c>
      <c r="BP39">
        <v>3.84</v>
      </c>
      <c r="BQ39">
        <v>3.18</v>
      </c>
      <c r="BR39">
        <v>8.92</v>
      </c>
      <c r="BS39">
        <v>4.83</v>
      </c>
      <c r="BT39" t="s">
        <v>931</v>
      </c>
      <c r="BU39" t="s">
        <v>847</v>
      </c>
      <c r="BV39">
        <v>9.77</v>
      </c>
      <c r="BW39">
        <v>11.63</v>
      </c>
      <c r="BX39">
        <v>7.74</v>
      </c>
      <c r="BY39">
        <v>1.17</v>
      </c>
      <c r="BZ39">
        <v>2.29</v>
      </c>
      <c r="CA39">
        <v>0.92</v>
      </c>
      <c r="CB39">
        <v>-8.9600000000000009</v>
      </c>
      <c r="CC39">
        <v>-21.54</v>
      </c>
      <c r="CD39" t="s">
        <v>2342</v>
      </c>
      <c r="CE39" t="s">
        <v>360</v>
      </c>
      <c r="CF39" s="9">
        <v>-0.1589095744680851</v>
      </c>
      <c r="CG39" s="10">
        <v>-1.5337871056943371</v>
      </c>
      <c r="CH39" s="9">
        <v>1.2030075304210186E-2</v>
      </c>
      <c r="CI39" s="9">
        <v>-0.18604651093482971</v>
      </c>
      <c r="CJ39" s="9">
        <v>0.14233778417110443</v>
      </c>
      <c r="CK39" s="9">
        <v>0.17457711696624756</v>
      </c>
      <c r="CL39" s="9">
        <v>6.9183468818664551E-2</v>
      </c>
      <c r="CM39" s="10">
        <v>-0.49300000071525574</v>
      </c>
      <c r="CN39" s="10">
        <v>0.99269348382949829</v>
      </c>
      <c r="CO39" s="10">
        <v>-0.76348638534545898</v>
      </c>
      <c r="CP39" s="10">
        <v>1.149350643157959</v>
      </c>
      <c r="CQ39" s="10">
        <v>-0.45390069484710693</v>
      </c>
      <c r="CR39">
        <v>19.263493332889045</v>
      </c>
      <c r="CS39">
        <v>4.5415215101096482</v>
      </c>
      <c r="CT39">
        <v>0.86355785837651122</v>
      </c>
      <c r="CU39" s="9">
        <v>4.2416386865079404E-2</v>
      </c>
      <c r="CV39" s="10">
        <v>8.6331409215927121E-2</v>
      </c>
      <c r="CW39">
        <v>0.06</v>
      </c>
      <c r="CX39">
        <v>57.400907296204274</v>
      </c>
      <c r="CY39">
        <v>77779997.04710646</v>
      </c>
      <c r="CZ39">
        <v>4.2416386865079404E-2</v>
      </c>
      <c r="DA39">
        <v>19.533502963903153</v>
      </c>
      <c r="DB39">
        <v>228563325.69997379</v>
      </c>
      <c r="DC39">
        <v>4.0295567521825434E-2</v>
      </c>
      <c r="DD39">
        <v>10.140825306419149</v>
      </c>
      <c r="DE39">
        <v>440264205.83084875</v>
      </c>
      <c r="DF39">
        <v>3.7326420441269874E-2</v>
      </c>
      <c r="DG39">
        <v>6.4568084460490809</v>
      </c>
      <c r="DH39">
        <v>691462730.74461627</v>
      </c>
      <c r="DI39">
        <v>3.3933109492063525E-2</v>
      </c>
      <c r="DJ39">
        <v>3.7744336375820859</v>
      </c>
      <c r="DK39">
        <v>1182864193.3310196</v>
      </c>
      <c r="DL39">
        <v>2.9691470805555582E-2</v>
      </c>
      <c r="DM39">
        <v>79092000</v>
      </c>
      <c r="DN39">
        <v>4.2416386865079404E-2</v>
      </c>
      <c r="DO39">
        <v>4464642400</v>
      </c>
      <c r="DP39">
        <v>909724900</v>
      </c>
      <c r="DQ39">
        <v>1491</v>
      </c>
      <c r="DR39">
        <v>-0.20132596133316449</v>
      </c>
      <c r="DS39">
        <v>-1.6201185149102642</v>
      </c>
      <c r="DT39" s="7">
        <v>-0.47333333333333338</v>
      </c>
      <c r="DU39">
        <v>-0.89833333333333343</v>
      </c>
      <c r="DV39">
        <v>-1.3716666666666668</v>
      </c>
      <c r="DW39">
        <v>-9.4159702878365827</v>
      </c>
      <c r="DX39">
        <v>0.32387394136807812</v>
      </c>
      <c r="DY39">
        <v>-9.0889652049516236</v>
      </c>
      <c r="DZ39">
        <v>3920</v>
      </c>
      <c r="EA39">
        <v>-9.0207179244407882</v>
      </c>
      <c r="EB39">
        <v>9</v>
      </c>
      <c r="EC39">
        <v>0.10960119362747897</v>
      </c>
      <c r="ED39">
        <v>0.51245697781785737</v>
      </c>
      <c r="EE39" s="11">
        <v>-6.1162000000000001</v>
      </c>
      <c r="EF39">
        <v>-6.0789999999999997</v>
      </c>
      <c r="EG39">
        <v>11.213873941368078</v>
      </c>
      <c r="EH39" t="s">
        <v>2343</v>
      </c>
      <c r="EI39">
        <v>0</v>
      </c>
      <c r="EJ39">
        <v>0</v>
      </c>
      <c r="EK39" s="13">
        <v>45470</v>
      </c>
      <c r="EL39" s="14">
        <v>9.9700000000000006</v>
      </c>
      <c r="EM39" s="14">
        <v>3.91</v>
      </c>
      <c r="EN39" s="14">
        <v>-4.0599999999999996</v>
      </c>
      <c r="EO39" s="14">
        <v>1.1000000000000001</v>
      </c>
      <c r="EP39" s="14">
        <v>-3.72</v>
      </c>
    </row>
    <row r="40" spans="1:146" ht="108" x14ac:dyDescent="0.25">
      <c r="A40" s="6" t="s">
        <v>653</v>
      </c>
      <c r="B40" s="6"/>
      <c r="C40" s="6" t="s">
        <v>652</v>
      </c>
      <c r="D40" t="s">
        <v>569</v>
      </c>
      <c r="E40" t="s">
        <v>570</v>
      </c>
      <c r="F40">
        <v>9.89</v>
      </c>
      <c r="G40">
        <v>0.41</v>
      </c>
      <c r="H40" t="s">
        <v>2344</v>
      </c>
      <c r="I40">
        <v>4042206700</v>
      </c>
      <c r="J40">
        <v>15.22</v>
      </c>
      <c r="K40">
        <v>0.91600000000000004</v>
      </c>
      <c r="L40" t="s">
        <v>53</v>
      </c>
      <c r="M40" t="s">
        <v>1518</v>
      </c>
      <c r="N40" t="s">
        <v>2345</v>
      </c>
      <c r="O40" t="s">
        <v>1466</v>
      </c>
      <c r="P40">
        <v>-3.67</v>
      </c>
      <c r="Q40" t="s">
        <v>1519</v>
      </c>
      <c r="R40">
        <v>50793526</v>
      </c>
      <c r="S40" s="5">
        <v>-0.37559999999999999</v>
      </c>
      <c r="T40" t="s">
        <v>1032</v>
      </c>
      <c r="U40">
        <v>246317330</v>
      </c>
      <c r="V40">
        <v>408716550</v>
      </c>
      <c r="W40">
        <v>1.48</v>
      </c>
      <c r="X40">
        <v>0.09</v>
      </c>
      <c r="Y40">
        <v>8.7200000000000006</v>
      </c>
      <c r="Z40" t="s">
        <v>1743</v>
      </c>
      <c r="AA40" t="s">
        <v>981</v>
      </c>
      <c r="AB40" t="s">
        <v>2346</v>
      </c>
      <c r="AC40" t="s">
        <v>2347</v>
      </c>
      <c r="AD40" t="s">
        <v>117</v>
      </c>
      <c r="AE40">
        <v>4047525</v>
      </c>
      <c r="AF40" t="s">
        <v>1520</v>
      </c>
      <c r="AG40">
        <v>2227.85</v>
      </c>
      <c r="AH40" t="s">
        <v>1521</v>
      </c>
      <c r="AI40" t="s">
        <v>2348</v>
      </c>
      <c r="AJ40" t="s">
        <v>1522</v>
      </c>
      <c r="AK40" t="s">
        <v>2349</v>
      </c>
      <c r="AL40" t="s">
        <v>1523</v>
      </c>
      <c r="AM40" t="s">
        <v>117</v>
      </c>
      <c r="AN40" t="s">
        <v>1598</v>
      </c>
      <c r="AO40" t="s">
        <v>1543</v>
      </c>
      <c r="AP40" t="s">
        <v>1291</v>
      </c>
      <c r="AQ40" t="s">
        <v>1305</v>
      </c>
      <c r="AR40" t="s">
        <v>117</v>
      </c>
      <c r="AS40" t="s">
        <v>2350</v>
      </c>
      <c r="AT40" t="s">
        <v>814</v>
      </c>
      <c r="AU40" t="s">
        <v>2351</v>
      </c>
      <c r="AV40" t="s">
        <v>2352</v>
      </c>
      <c r="AW40" t="s">
        <v>1133</v>
      </c>
      <c r="AX40" t="s">
        <v>1525</v>
      </c>
      <c r="AY40" t="s">
        <v>752</v>
      </c>
      <c r="AZ40" t="s">
        <v>571</v>
      </c>
      <c r="BA40" t="s">
        <v>573</v>
      </c>
      <c r="BB40" t="s">
        <v>574</v>
      </c>
      <c r="BC40" t="s">
        <v>175</v>
      </c>
      <c r="BD40" t="s">
        <v>684</v>
      </c>
      <c r="BE40" t="s">
        <v>572</v>
      </c>
      <c r="BF40" t="s">
        <v>575</v>
      </c>
      <c r="BG40" t="s">
        <v>195</v>
      </c>
      <c r="BH40" t="s">
        <v>1519</v>
      </c>
      <c r="BI40" t="s">
        <v>1526</v>
      </c>
      <c r="BJ40" t="s">
        <v>1525</v>
      </c>
      <c r="BK40" t="s">
        <v>1032</v>
      </c>
      <c r="BL40" t="s">
        <v>1527</v>
      </c>
      <c r="BM40" t="s">
        <v>175</v>
      </c>
      <c r="BN40">
        <v>5.0599999999999996</v>
      </c>
      <c r="BO40">
        <v>18.829999999999998</v>
      </c>
      <c r="BP40">
        <v>15.35</v>
      </c>
      <c r="BQ40">
        <v>6.61</v>
      </c>
      <c r="BR40">
        <v>21.13</v>
      </c>
      <c r="BS40">
        <v>17.75</v>
      </c>
      <c r="BT40" t="s">
        <v>949</v>
      </c>
      <c r="BU40" t="s">
        <v>845</v>
      </c>
      <c r="BV40">
        <v>24.51</v>
      </c>
      <c r="BW40">
        <v>33.380000000000003</v>
      </c>
      <c r="BX40">
        <v>33.72</v>
      </c>
      <c r="BY40">
        <v>11.32</v>
      </c>
      <c r="BZ40">
        <v>27.06</v>
      </c>
      <c r="CA40">
        <v>22.8</v>
      </c>
      <c r="CB40">
        <v>-2.37</v>
      </c>
      <c r="CC40">
        <v>-14.89</v>
      </c>
      <c r="CD40" t="s">
        <v>2353</v>
      </c>
      <c r="CE40" t="s">
        <v>2354</v>
      </c>
      <c r="CF40" s="9">
        <v>-3.6484245439469321E-2</v>
      </c>
      <c r="CG40" s="10">
        <v>-0.37562428934406378</v>
      </c>
      <c r="CH40" s="9">
        <v>-0.13589654862880707</v>
      </c>
      <c r="CI40" s="9">
        <v>0.20391064882278442</v>
      </c>
      <c r="CJ40" s="9">
        <v>0.2266274094581604</v>
      </c>
      <c r="CK40" s="9">
        <v>-7.5565531849861145E-2</v>
      </c>
      <c r="CL40" s="9">
        <v>5.4593919776380062E-3</v>
      </c>
      <c r="CM40" s="10">
        <v>-0.63769888877868652</v>
      </c>
      <c r="CN40" s="10">
        <v>0.42832168936729431</v>
      </c>
      <c r="CO40" s="10">
        <v>1.1107010841369629</v>
      </c>
      <c r="CP40" s="10">
        <v>-6.2283735722303391E-2</v>
      </c>
      <c r="CQ40" s="10">
        <v>9.8859317600727081E-2</v>
      </c>
      <c r="CR40">
        <v>9.6703509569377992</v>
      </c>
      <c r="CS40">
        <v>2.1534137286291459</v>
      </c>
      <c r="CT40">
        <v>1.5166835187057632</v>
      </c>
      <c r="CU40" s="9">
        <v>4.4907073955982924E-2</v>
      </c>
      <c r="CV40" s="10">
        <v>0.18757989332079889</v>
      </c>
      <c r="CW40">
        <v>0.06</v>
      </c>
      <c r="CX40">
        <v>4.7644838821063251</v>
      </c>
      <c r="CY40">
        <v>291785371.59525561</v>
      </c>
      <c r="CZ40">
        <v>4.4907073955982924E-2</v>
      </c>
      <c r="DA40">
        <v>1.6179008737554081</v>
      </c>
      <c r="DB40">
        <v>859265683.42416847</v>
      </c>
      <c r="DC40">
        <v>4.2661720258183773E-2</v>
      </c>
      <c r="DD40">
        <v>0.83763242319089504</v>
      </c>
      <c r="DE40">
        <v>1659685873.5531232</v>
      </c>
      <c r="DF40">
        <v>3.9518225081264971E-2</v>
      </c>
      <c r="DG40">
        <v>0.53176236023073209</v>
      </c>
      <c r="DH40">
        <v>2614338290.8801374</v>
      </c>
      <c r="DI40">
        <v>3.5925659164786343E-2</v>
      </c>
      <c r="DJ40">
        <v>0.30899759428603257</v>
      </c>
      <c r="DK40">
        <v>4499085836.6137142</v>
      </c>
      <c r="DL40">
        <v>3.1434951769188042E-2</v>
      </c>
      <c r="DM40">
        <v>296000000</v>
      </c>
      <c r="DN40">
        <v>4.4907073955982924E-2</v>
      </c>
      <c r="DO40">
        <v>1390206700</v>
      </c>
      <c r="DP40">
        <v>1860018600</v>
      </c>
      <c r="DQ40">
        <v>1683</v>
      </c>
      <c r="DR40">
        <v>-8.1391319395452244E-2</v>
      </c>
      <c r="DS40">
        <v>-0.56320418266486261</v>
      </c>
      <c r="DT40" s="7">
        <v>-0.15666666666666665</v>
      </c>
      <c r="DU40">
        <v>-0.13666666666666669</v>
      </c>
      <c r="DV40">
        <v>-0.29333333333333333</v>
      </c>
      <c r="DW40">
        <v>-2.1488999999999998</v>
      </c>
      <c r="DX40">
        <v>0.21514107769596094</v>
      </c>
      <c r="DY40">
        <v>-2.0186335064689285</v>
      </c>
      <c r="DZ40">
        <v>2429</v>
      </c>
      <c r="EA40">
        <v>-2.0097762095583556</v>
      </c>
      <c r="EB40">
        <v>2</v>
      </c>
      <c r="EC40">
        <v>1.7796441078786755E-2</v>
      </c>
      <c r="ED40">
        <v>0.14221102619896356</v>
      </c>
      <c r="EE40" s="11">
        <v>-3.0211000000000001</v>
      </c>
      <c r="EF40">
        <v>-3.0103</v>
      </c>
      <c r="EG40">
        <v>9.1251410776959609</v>
      </c>
      <c r="EH40" t="s">
        <v>1149</v>
      </c>
      <c r="EI40">
        <v>0</v>
      </c>
      <c r="EJ40">
        <v>0</v>
      </c>
      <c r="EK40" s="13">
        <v>45470</v>
      </c>
      <c r="EL40" s="14">
        <v>-0.19</v>
      </c>
      <c r="EM40" s="14">
        <v>-4.34</v>
      </c>
      <c r="EN40" s="14">
        <v>0.91</v>
      </c>
      <c r="EO40" s="14">
        <v>1.9</v>
      </c>
      <c r="EP40" s="14">
        <v>-1.08</v>
      </c>
    </row>
    <row r="41" spans="1:146" ht="108" x14ac:dyDescent="0.25">
      <c r="A41" s="6"/>
      <c r="B41" s="6"/>
      <c r="C41" s="6" t="str">
        <f>""&amp;CHAR(10)&amp;Basic_Fundamental_Information_Constructure(F41)&amp;CHAR(10)&amp;Basic_Fundamental_Information_Concatenate("")</f>
        <v xml:space="preserve">
市值12.9975116亿, 利润-3.06亿; PE; 平均PE-9.34; 平均PEG-.52, PB1.79; ROIC0%; ROE-12.7667%; 股利率0%; 毛利10.3167%; 净利-54.1167%; 上一年度营收增-21.89%, 利润增.65%; 当季营收增-30.37%, 利润增-85.42%; 过往5年营收增-17.87%, 利润增-85.58%
Income profile:
</v>
      </c>
      <c r="D41" t="s">
        <v>102</v>
      </c>
      <c r="E41" t="s">
        <v>5</v>
      </c>
      <c r="F41">
        <v>1.26</v>
      </c>
      <c r="G41">
        <v>5</v>
      </c>
      <c r="H41" t="s">
        <v>2355</v>
      </c>
      <c r="I41">
        <v>1299751160</v>
      </c>
      <c r="K41">
        <v>1.79</v>
      </c>
      <c r="L41" t="s">
        <v>53</v>
      </c>
      <c r="M41" t="s">
        <v>1528</v>
      </c>
      <c r="N41" t="s">
        <v>156</v>
      </c>
      <c r="O41" t="s">
        <v>1529</v>
      </c>
      <c r="P41">
        <v>-30.37</v>
      </c>
      <c r="Q41" t="s">
        <v>1119</v>
      </c>
      <c r="R41">
        <v>-30462280</v>
      </c>
      <c r="S41" s="8">
        <v>-0.85419999999999996</v>
      </c>
      <c r="T41" t="s">
        <v>1530</v>
      </c>
      <c r="U41">
        <v>908170480</v>
      </c>
      <c r="V41">
        <v>1031548540</v>
      </c>
      <c r="W41">
        <v>3.81</v>
      </c>
      <c r="X41">
        <v>0.02</v>
      </c>
      <c r="Y41">
        <v>-64.66</v>
      </c>
      <c r="Z41" t="s">
        <v>2356</v>
      </c>
      <c r="AA41" t="s">
        <v>2357</v>
      </c>
      <c r="AB41" t="s">
        <v>2358</v>
      </c>
      <c r="AC41" t="s">
        <v>2359</v>
      </c>
      <c r="AD41" t="s">
        <v>117</v>
      </c>
      <c r="AE41">
        <v>-2678698</v>
      </c>
      <c r="AF41" t="s">
        <v>1531</v>
      </c>
      <c r="AG41" t="s">
        <v>2360</v>
      </c>
      <c r="AH41" t="s">
        <v>1532</v>
      </c>
      <c r="AI41" t="s">
        <v>2361</v>
      </c>
      <c r="AJ41" t="s">
        <v>1533</v>
      </c>
      <c r="AK41" t="s">
        <v>2362</v>
      </c>
      <c r="AL41" t="s">
        <v>1534</v>
      </c>
      <c r="AM41" t="s">
        <v>117</v>
      </c>
      <c r="AN41" t="s">
        <v>1535</v>
      </c>
      <c r="AO41" t="s">
        <v>2363</v>
      </c>
      <c r="AP41" t="s">
        <v>268</v>
      </c>
      <c r="AQ41" t="s">
        <v>1023</v>
      </c>
      <c r="AR41" t="s">
        <v>117</v>
      </c>
      <c r="AS41" t="s">
        <v>1046</v>
      </c>
      <c r="AT41" t="s">
        <v>368</v>
      </c>
      <c r="AU41" t="s">
        <v>2364</v>
      </c>
      <c r="AV41" t="s">
        <v>2365</v>
      </c>
      <c r="AW41" t="s">
        <v>2366</v>
      </c>
      <c r="AX41" t="s">
        <v>1049</v>
      </c>
      <c r="AY41" t="s">
        <v>539</v>
      </c>
      <c r="AZ41" t="s">
        <v>379</v>
      </c>
      <c r="BA41" t="s">
        <v>277</v>
      </c>
      <c r="BB41" t="s">
        <v>442</v>
      </c>
      <c r="BC41" t="s">
        <v>1050</v>
      </c>
      <c r="BD41" t="s">
        <v>387</v>
      </c>
      <c r="BE41" t="s">
        <v>441</v>
      </c>
      <c r="BF41" t="s">
        <v>278</v>
      </c>
      <c r="BG41" t="s">
        <v>445</v>
      </c>
      <c r="BH41" t="s">
        <v>1119</v>
      </c>
      <c r="BI41" t="s">
        <v>1536</v>
      </c>
      <c r="BJ41" t="s">
        <v>1049</v>
      </c>
      <c r="BK41" t="s">
        <v>1530</v>
      </c>
      <c r="BL41" t="s">
        <v>1537</v>
      </c>
      <c r="BM41" t="s">
        <v>1050</v>
      </c>
      <c r="BN41" t="s">
        <v>117</v>
      </c>
      <c r="BO41" t="s">
        <v>117</v>
      </c>
      <c r="BP41" t="s">
        <v>117</v>
      </c>
      <c r="BQ41">
        <v>-5.34</v>
      </c>
      <c r="BR41">
        <v>-25.27</v>
      </c>
      <c r="BS41">
        <v>-7.69</v>
      </c>
      <c r="BT41" t="s">
        <v>930</v>
      </c>
      <c r="BU41" t="s">
        <v>852</v>
      </c>
      <c r="BV41">
        <v>12.2</v>
      </c>
      <c r="BW41">
        <v>4.2699999999999996</v>
      </c>
      <c r="BX41">
        <v>14.48</v>
      </c>
      <c r="BY41">
        <v>-82.49</v>
      </c>
      <c r="BZ41">
        <v>-63.31</v>
      </c>
      <c r="CA41">
        <v>-16.55</v>
      </c>
      <c r="CB41">
        <v>14.55</v>
      </c>
      <c r="CC41">
        <v>-18.18</v>
      </c>
      <c r="CD41" t="s">
        <v>2367</v>
      </c>
      <c r="CE41" t="s">
        <v>2368</v>
      </c>
      <c r="CF41" s="9">
        <v>-0.30371448316772082</v>
      </c>
      <c r="CG41" s="10">
        <v>-0.85423380101652613</v>
      </c>
      <c r="CH41" s="9">
        <v>-0.21893490850925446</v>
      </c>
      <c r="CI41" s="9">
        <v>-0.25221237540245056</v>
      </c>
      <c r="CJ41" s="9">
        <v>-0.24245810508728027</v>
      </c>
      <c r="CK41" s="9">
        <v>0.10767326503992081</v>
      </c>
      <c r="CL41" s="9">
        <v>-0.28747794032096863</v>
      </c>
      <c r="CM41" s="10">
        <v>6.4935064874589443E-3</v>
      </c>
      <c r="CN41" s="10">
        <v>-1.8256881237030029</v>
      </c>
      <c r="CO41" s="10">
        <v>-3.2604448795318604</v>
      </c>
      <c r="CP41" s="10">
        <v>-0.79653751850128174</v>
      </c>
      <c r="CQ41" s="10">
        <v>1.5969773530960083</v>
      </c>
      <c r="CR41">
        <v>-9.3419973708023942</v>
      </c>
      <c r="CS41">
        <v>-0.5228280799775169</v>
      </c>
      <c r="CT41">
        <v>0</v>
      </c>
      <c r="CU41" s="9">
        <v>-0.17868201285600663</v>
      </c>
      <c r="CV41" s="10">
        <v>-0.85583993243053558</v>
      </c>
      <c r="CW41">
        <v>0.06</v>
      </c>
      <c r="CX41" t="e">
        <v>#VALUE!</v>
      </c>
      <c r="CY41" t="s">
        <v>802</v>
      </c>
      <c r="CZ41">
        <v>-0.17868201285600663</v>
      </c>
      <c r="DA41" t="e">
        <v>#VALUE!</v>
      </c>
      <c r="DB41" t="s">
        <v>803</v>
      </c>
      <c r="DC41">
        <v>-0.16974791221320629</v>
      </c>
      <c r="DD41" t="e">
        <v>#VALUE!</v>
      </c>
      <c r="DE41" t="s">
        <v>803</v>
      </c>
      <c r="DF41">
        <v>-0.15724017131328583</v>
      </c>
      <c r="DG41" t="e">
        <v>#VALUE!</v>
      </c>
      <c r="DH41" t="s">
        <v>803</v>
      </c>
      <c r="DI41">
        <v>-0.14294561028480532</v>
      </c>
      <c r="DJ41" t="e">
        <v>#VALUE!</v>
      </c>
      <c r="DK41" t="s">
        <v>803</v>
      </c>
      <c r="DL41">
        <v>-0.12507740899920464</v>
      </c>
      <c r="DM41">
        <v>-306000000</v>
      </c>
      <c r="DN41">
        <v>-0.17868201285600663</v>
      </c>
      <c r="DO41">
        <v>2655751160</v>
      </c>
      <c r="DP41">
        <v>-464128680</v>
      </c>
      <c r="DQ41">
        <v>1685</v>
      </c>
      <c r="DR41">
        <v>-0.12503247031171419</v>
      </c>
      <c r="DS41">
        <v>1.6061314140094485E-3</v>
      </c>
      <c r="DT41" s="7">
        <v>-0.98999999999999988</v>
      </c>
      <c r="DU41">
        <v>-2.7483333333333335</v>
      </c>
      <c r="DV41">
        <v>-3.7383333333333333</v>
      </c>
      <c r="DW41">
        <v>7.4445462878093496</v>
      </c>
      <c r="DX41">
        <v>0.53282390654827783</v>
      </c>
      <c r="DY41">
        <v>7.1079464662474008</v>
      </c>
      <c r="DZ41">
        <v>5050</v>
      </c>
      <c r="EA41">
        <v>7.0012674731849014</v>
      </c>
      <c r="EB41">
        <v>7</v>
      </c>
      <c r="EC41">
        <v>0.30342731133136985</v>
      </c>
      <c r="ED41">
        <v>1.2495776495403697</v>
      </c>
      <c r="EE41" s="11">
        <v>-6.0621999999999998</v>
      </c>
      <c r="EF41">
        <v>-6.0205000000000002</v>
      </c>
      <c r="EG41">
        <v>29.242823906548278</v>
      </c>
      <c r="EH41" t="s">
        <v>2343</v>
      </c>
      <c r="EI41">
        <v>1</v>
      </c>
      <c r="EJ41">
        <v>0</v>
      </c>
      <c r="EK41" s="13">
        <v>45470</v>
      </c>
      <c r="EL41" s="14">
        <v>8.85</v>
      </c>
      <c r="EM41" s="14">
        <v>-8.1300000000000008</v>
      </c>
      <c r="EN41" s="14">
        <v>-1.77</v>
      </c>
      <c r="EO41" s="14">
        <v>8.11</v>
      </c>
      <c r="EP41" s="14">
        <v>-4.17</v>
      </c>
    </row>
    <row r="42" spans="1:146" ht="108" x14ac:dyDescent="0.25">
      <c r="A42" s="6"/>
      <c r="B42" s="6"/>
      <c r="C42" s="6" t="str">
        <f>""&amp;CHAR(10)&amp;Basic_Fundamental_Information_Constructure(F42)&amp;CHAR(10)&amp;Basic_Fundamental_Information_Concatenate("")</f>
        <v xml:space="preserve">
市值19.875258亿, 利润7438.54万; PE26.58; 平均PE42.56; 平均PEG1.37, PB1.75; ROIC5.57%; ROE6.0333%; 股利率.7595%; 毛利26.9%; 净利10.49%; 上一年度营收增-12.64%, 利润增1.89%; 当季营收增-4.73%, 利润增3.6%; 过往5年营收增31.04%, 利润增41.98%
Income profile:
</v>
      </c>
      <c r="D42" t="s">
        <v>56</v>
      </c>
      <c r="E42" t="s">
        <v>45</v>
      </c>
      <c r="F42">
        <v>3.95</v>
      </c>
      <c r="G42">
        <v>1.54</v>
      </c>
      <c r="H42" t="s">
        <v>2369</v>
      </c>
      <c r="I42">
        <v>1987525800</v>
      </c>
      <c r="J42">
        <v>26.58</v>
      </c>
      <c r="K42">
        <v>1.75</v>
      </c>
      <c r="L42" t="s">
        <v>53</v>
      </c>
      <c r="M42" t="s">
        <v>604</v>
      </c>
      <c r="N42" t="s">
        <v>1653</v>
      </c>
      <c r="O42" t="s">
        <v>1539</v>
      </c>
      <c r="P42">
        <v>-4.7300000000000004</v>
      </c>
      <c r="Q42" t="s">
        <v>1275</v>
      </c>
      <c r="R42">
        <v>11097839</v>
      </c>
      <c r="S42" s="5">
        <v>3.5999999999999997E-2</v>
      </c>
      <c r="T42" t="s">
        <v>1540</v>
      </c>
      <c r="U42">
        <v>343987040</v>
      </c>
      <c r="V42">
        <v>503171090</v>
      </c>
      <c r="W42">
        <v>1.26</v>
      </c>
      <c r="X42">
        <v>0.05</v>
      </c>
      <c r="Y42">
        <v>15.26</v>
      </c>
      <c r="Z42" t="s">
        <v>2370</v>
      </c>
      <c r="AA42" t="s">
        <v>2371</v>
      </c>
      <c r="AB42" t="s">
        <v>2372</v>
      </c>
      <c r="AC42" t="s">
        <v>2373</v>
      </c>
      <c r="AD42" t="s">
        <v>117</v>
      </c>
      <c r="AE42">
        <v>-839316</v>
      </c>
      <c r="AF42" t="s">
        <v>1541</v>
      </c>
      <c r="AG42" t="s">
        <v>117</v>
      </c>
      <c r="AH42" t="s">
        <v>1542</v>
      </c>
      <c r="AI42" t="s">
        <v>809</v>
      </c>
      <c r="AJ42" t="s">
        <v>1544</v>
      </c>
      <c r="AK42" t="s">
        <v>2374</v>
      </c>
      <c r="AL42" t="s">
        <v>1545</v>
      </c>
      <c r="AM42" t="s">
        <v>117</v>
      </c>
      <c r="AN42" t="s">
        <v>2375</v>
      </c>
      <c r="AO42" t="s">
        <v>2376</v>
      </c>
      <c r="AP42" t="s">
        <v>2377</v>
      </c>
      <c r="AQ42" t="s">
        <v>407</v>
      </c>
      <c r="AR42" t="s">
        <v>2378</v>
      </c>
      <c r="AS42" t="s">
        <v>572</v>
      </c>
      <c r="AT42" t="s">
        <v>117</v>
      </c>
      <c r="AU42" t="s">
        <v>2379</v>
      </c>
      <c r="AV42" t="s">
        <v>2380</v>
      </c>
      <c r="AW42" t="s">
        <v>2381</v>
      </c>
      <c r="AX42" t="s">
        <v>1052</v>
      </c>
      <c r="AY42" t="s">
        <v>753</v>
      </c>
      <c r="AZ42" t="s">
        <v>194</v>
      </c>
      <c r="BA42" t="s">
        <v>235</v>
      </c>
      <c r="BB42" t="s">
        <v>447</v>
      </c>
      <c r="BC42" t="s">
        <v>1053</v>
      </c>
      <c r="BD42" t="s">
        <v>754</v>
      </c>
      <c r="BE42" t="s">
        <v>446</v>
      </c>
      <c r="BF42" t="s">
        <v>236</v>
      </c>
      <c r="BG42" t="s">
        <v>448</v>
      </c>
      <c r="BH42" t="s">
        <v>1275</v>
      </c>
      <c r="BI42" t="s">
        <v>1546</v>
      </c>
      <c r="BJ42" t="s">
        <v>1052</v>
      </c>
      <c r="BK42" t="s">
        <v>1540</v>
      </c>
      <c r="BL42" t="s">
        <v>1547</v>
      </c>
      <c r="BM42" t="s">
        <v>1053</v>
      </c>
      <c r="BN42">
        <v>2.93</v>
      </c>
      <c r="BO42">
        <v>6.64</v>
      </c>
      <c r="BP42">
        <v>7.14</v>
      </c>
      <c r="BQ42">
        <v>3.37</v>
      </c>
      <c r="BR42">
        <v>7.18</v>
      </c>
      <c r="BS42">
        <v>7.55</v>
      </c>
      <c r="BT42" t="s">
        <v>1080</v>
      </c>
      <c r="BU42" t="s">
        <v>848</v>
      </c>
      <c r="BV42">
        <v>30.62</v>
      </c>
      <c r="BW42">
        <v>25.53</v>
      </c>
      <c r="BX42">
        <v>24.55</v>
      </c>
      <c r="BY42">
        <v>11.93</v>
      </c>
      <c r="BZ42">
        <v>10.3</v>
      </c>
      <c r="CA42">
        <v>9.24</v>
      </c>
      <c r="CB42">
        <v>-0.5</v>
      </c>
      <c r="CC42">
        <v>-12.42</v>
      </c>
      <c r="CD42" t="s">
        <v>2382</v>
      </c>
      <c r="CE42" t="s">
        <v>943</v>
      </c>
      <c r="CF42" s="9">
        <v>-4.7260191606205156E-2</v>
      </c>
      <c r="CG42" s="10">
        <v>3.5990310204157834E-2</v>
      </c>
      <c r="CH42" s="9">
        <v>-0.12642045319080353</v>
      </c>
      <c r="CI42" s="9">
        <v>-9.8591551184654236E-2</v>
      </c>
      <c r="CJ42" s="9">
        <v>0.77097505331039429</v>
      </c>
      <c r="CK42" s="9">
        <v>-0.35620439052581787</v>
      </c>
      <c r="CL42" s="9">
        <v>1.3620690107345581</v>
      </c>
      <c r="CM42" s="10">
        <v>1.8913876265287399E-2</v>
      </c>
      <c r="CN42" s="10">
        <v>2.1653547883033752E-2</v>
      </c>
      <c r="CO42" s="10">
        <v>-4.689425602555275E-2</v>
      </c>
      <c r="CP42" s="10">
        <v>0.2958391010761261</v>
      </c>
      <c r="CQ42" s="10">
        <v>1.8094419240951538</v>
      </c>
      <c r="CR42">
        <v>42.559469350085195</v>
      </c>
      <c r="CS42">
        <v>1.3712691878206487</v>
      </c>
      <c r="CT42">
        <v>0.75949367088607589</v>
      </c>
      <c r="CU42" s="9">
        <v>0.31036553382873533</v>
      </c>
      <c r="CV42" s="10">
        <v>0.41979083865880967</v>
      </c>
      <c r="CW42">
        <v>0.06</v>
      </c>
      <c r="CX42">
        <v>12.761988328775182</v>
      </c>
      <c r="CY42">
        <v>91954777.717041522</v>
      </c>
      <c r="CZ42">
        <v>0.31036553382873533</v>
      </c>
      <c r="DA42">
        <v>3.4776014278640273</v>
      </c>
      <c r="DB42">
        <v>337452644.97455353</v>
      </c>
      <c r="DC42">
        <v>0.29484725713729854</v>
      </c>
      <c r="DD42">
        <v>1.3192836485127741</v>
      </c>
      <c r="DE42">
        <v>889517429.64669752</v>
      </c>
      <c r="DF42">
        <v>0.27312166976928709</v>
      </c>
      <c r="DG42">
        <v>0.57621841067708979</v>
      </c>
      <c r="DH42">
        <v>2036598932.375381</v>
      </c>
      <c r="DI42">
        <v>0.24829242706298826</v>
      </c>
      <c r="DJ42">
        <v>0.13674525231150053</v>
      </c>
      <c r="DK42">
        <v>8581839443.5132008</v>
      </c>
      <c r="DL42">
        <v>0.21725587368011473</v>
      </c>
      <c r="DM42">
        <v>74385400</v>
      </c>
      <c r="DN42">
        <v>0.31036553382873533</v>
      </c>
      <c r="DO42">
        <v>1173525800</v>
      </c>
      <c r="DP42">
        <v>720799050</v>
      </c>
      <c r="DQ42">
        <v>1719</v>
      </c>
      <c r="DR42">
        <v>-0.35762572543494048</v>
      </c>
      <c r="DS42">
        <v>-0.38380052845465185</v>
      </c>
      <c r="DT42" s="7">
        <v>-9.0000000000000011E-2</v>
      </c>
      <c r="DU42">
        <v>0.6283333333333333</v>
      </c>
      <c r="DV42">
        <v>0.53833333333333333</v>
      </c>
      <c r="DW42">
        <v>-2.1242000000000001</v>
      </c>
      <c r="DX42">
        <v>0.27976612021858049</v>
      </c>
      <c r="DY42">
        <v>-2.0136329521311476</v>
      </c>
      <c r="DZ42">
        <v>659</v>
      </c>
      <c r="EA42">
        <v>-2.0118748082066022</v>
      </c>
      <c r="EB42">
        <v>2</v>
      </c>
      <c r="EC42">
        <v>3.9921212484604389E-2</v>
      </c>
      <c r="ED42">
        <v>0.36369339104915588</v>
      </c>
      <c r="EE42" s="11">
        <v>1.1376999999999999</v>
      </c>
      <c r="EF42">
        <v>1.1376999999999999</v>
      </c>
      <c r="EG42">
        <v>17.10976612021858</v>
      </c>
      <c r="EH42" t="s">
        <v>986</v>
      </c>
      <c r="EI42">
        <v>0</v>
      </c>
      <c r="EJ42">
        <v>1</v>
      </c>
      <c r="EK42" s="13">
        <v>45470</v>
      </c>
      <c r="EL42" s="14">
        <v>0.25</v>
      </c>
      <c r="EM42" s="14">
        <v>-4.04</v>
      </c>
      <c r="EN42" s="14">
        <v>0.79</v>
      </c>
      <c r="EO42" s="14">
        <v>3.13</v>
      </c>
      <c r="EP42" s="14">
        <v>0</v>
      </c>
    </row>
    <row r="43" spans="1:146" ht="108" x14ac:dyDescent="0.25">
      <c r="A43" s="6"/>
      <c r="B43" s="6"/>
      <c r="C43" s="6" t="str">
        <f>""&amp;CHAR(10)&amp;Basic_Fundamental_Information_Constructure(F43)&amp;CHAR(10)&amp;Basic_Fundamental_Information_Concatenate("")</f>
        <v xml:space="preserve">
市值35.28842亿, 利润-1.63亿; PE; 平均PE-33.52; 平均PEG-1.07, PB4.04; ROIC0%; ROE-20.2667%; 股利率0%; 毛利-13.32%; 净利-45.77%; 上一年度营收增135.59%, 利润增37.31%; 当季营收增96.3%, 利润增3.48%; 过往5年营收增31.25%, 利润增-535.82%
Income profile:
</v>
      </c>
      <c r="D43" t="s">
        <v>66</v>
      </c>
      <c r="E43" t="s">
        <v>263</v>
      </c>
      <c r="F43">
        <v>14.35</v>
      </c>
      <c r="G43">
        <v>0.28000000000000003</v>
      </c>
      <c r="H43" t="s">
        <v>2383</v>
      </c>
      <c r="I43">
        <v>3528842000</v>
      </c>
      <c r="K43">
        <v>4.04</v>
      </c>
      <c r="L43" t="s">
        <v>53</v>
      </c>
      <c r="M43" t="s">
        <v>1548</v>
      </c>
      <c r="N43" t="s">
        <v>2384</v>
      </c>
      <c r="O43" t="s">
        <v>1112</v>
      </c>
      <c r="P43">
        <v>96.13</v>
      </c>
      <c r="Q43" t="s">
        <v>958</v>
      </c>
      <c r="R43">
        <v>-33159310</v>
      </c>
      <c r="S43" s="5">
        <v>3.4799999999999998E-2</v>
      </c>
      <c r="T43" t="s">
        <v>1549</v>
      </c>
      <c r="U43">
        <v>189261820</v>
      </c>
      <c r="V43">
        <v>245912340</v>
      </c>
      <c r="W43">
        <v>3.72</v>
      </c>
      <c r="X43">
        <v>0.1</v>
      </c>
      <c r="Y43">
        <v>-10.42</v>
      </c>
      <c r="Z43" t="s">
        <v>1027</v>
      </c>
      <c r="AA43" t="s">
        <v>360</v>
      </c>
      <c r="AB43" t="s">
        <v>2385</v>
      </c>
      <c r="AC43" t="s">
        <v>2386</v>
      </c>
      <c r="AD43" t="s">
        <v>117</v>
      </c>
      <c r="AE43">
        <v>8504011</v>
      </c>
      <c r="AF43" t="s">
        <v>118</v>
      </c>
      <c r="AG43" t="s">
        <v>2387</v>
      </c>
      <c r="AH43" t="s">
        <v>1550</v>
      </c>
      <c r="AI43" t="s">
        <v>730</v>
      </c>
      <c r="AJ43" t="s">
        <v>1551</v>
      </c>
      <c r="AK43" t="s">
        <v>2388</v>
      </c>
      <c r="AL43" t="s">
        <v>1552</v>
      </c>
      <c r="AM43" t="s">
        <v>117</v>
      </c>
      <c r="AN43" t="s">
        <v>2389</v>
      </c>
      <c r="AO43" t="s">
        <v>2390</v>
      </c>
      <c r="AP43" t="s">
        <v>117</v>
      </c>
      <c r="AQ43" t="s">
        <v>2391</v>
      </c>
      <c r="AR43" t="s">
        <v>117</v>
      </c>
      <c r="AS43" t="s">
        <v>358</v>
      </c>
      <c r="AT43" t="s">
        <v>117</v>
      </c>
      <c r="AU43" t="s">
        <v>2392</v>
      </c>
      <c r="AV43" t="s">
        <v>2393</v>
      </c>
      <c r="AW43" t="s">
        <v>2394</v>
      </c>
      <c r="AX43" t="s">
        <v>1055</v>
      </c>
      <c r="AY43" t="s">
        <v>216</v>
      </c>
      <c r="AZ43" t="s">
        <v>233</v>
      </c>
      <c r="BA43" t="s">
        <v>150</v>
      </c>
      <c r="BB43" t="s">
        <v>450</v>
      </c>
      <c r="BC43" t="s">
        <v>1056</v>
      </c>
      <c r="BD43" t="s">
        <v>755</v>
      </c>
      <c r="BE43" t="s">
        <v>449</v>
      </c>
      <c r="BF43" t="s">
        <v>264</v>
      </c>
      <c r="BG43" t="s">
        <v>452</v>
      </c>
      <c r="BH43" t="s">
        <v>958</v>
      </c>
      <c r="BI43" t="s">
        <v>941</v>
      </c>
      <c r="BJ43" t="s">
        <v>1055</v>
      </c>
      <c r="BK43" t="s">
        <v>1549</v>
      </c>
      <c r="BL43" t="s">
        <v>1554</v>
      </c>
      <c r="BM43" t="s">
        <v>1056</v>
      </c>
      <c r="BN43" t="s">
        <v>117</v>
      </c>
      <c r="BO43" t="s">
        <v>117</v>
      </c>
      <c r="BP43" t="s">
        <v>117</v>
      </c>
      <c r="BQ43">
        <v>-9.64</v>
      </c>
      <c r="BR43">
        <v>-24.48</v>
      </c>
      <c r="BS43">
        <v>-26.68</v>
      </c>
      <c r="BT43" t="s">
        <v>930</v>
      </c>
      <c r="BU43" t="s">
        <v>848</v>
      </c>
      <c r="BV43">
        <v>6.05</v>
      </c>
      <c r="BW43">
        <v>-0.65</v>
      </c>
      <c r="BX43">
        <v>-45.36</v>
      </c>
      <c r="BY43">
        <v>-10.88</v>
      </c>
      <c r="BZ43">
        <v>-40.96</v>
      </c>
      <c r="CA43">
        <v>-85.47</v>
      </c>
      <c r="CB43">
        <v>-6.09</v>
      </c>
      <c r="CC43">
        <v>-12.23</v>
      </c>
      <c r="CD43" t="s">
        <v>2395</v>
      </c>
      <c r="CE43" t="s">
        <v>2396</v>
      </c>
      <c r="CF43" s="9">
        <v>0.96296296296296291</v>
      </c>
      <c r="CG43" s="10">
        <v>3.4801149181048409E-2</v>
      </c>
      <c r="CH43" s="9">
        <v>1.3559055328369141</v>
      </c>
      <c r="CI43" s="9">
        <v>0.50473934412002563</v>
      </c>
      <c r="CJ43" s="9">
        <v>-0.57416749000549316</v>
      </c>
      <c r="CK43" s="9">
        <v>3.8784068077802658E-2</v>
      </c>
      <c r="CL43" s="9">
        <v>0.2373540848493576</v>
      </c>
      <c r="CM43" s="10">
        <v>0.3730769157409668</v>
      </c>
      <c r="CN43" s="10">
        <v>0.27977839112281799</v>
      </c>
      <c r="CO43" s="10">
        <v>-26.603200912475586</v>
      </c>
      <c r="CP43" s="10">
        <v>-0.79056984186172485</v>
      </c>
      <c r="CQ43" s="10">
        <v>-5.0146039575338364E-2</v>
      </c>
      <c r="CR43">
        <v>-33.517749894846688</v>
      </c>
      <c r="CS43">
        <v>-1.0724886908986757</v>
      </c>
      <c r="CT43">
        <v>0</v>
      </c>
      <c r="CU43" s="9">
        <v>0.31252310797572136</v>
      </c>
      <c r="CV43" s="10">
        <v>-5.3582122974097732</v>
      </c>
      <c r="CW43">
        <v>0.06</v>
      </c>
      <c r="CX43" t="e">
        <v>#VALUE!</v>
      </c>
      <c r="CY43" t="s">
        <v>802</v>
      </c>
      <c r="CZ43">
        <v>0.31252310797572136</v>
      </c>
      <c r="DA43" t="e">
        <v>#VALUE!</v>
      </c>
      <c r="DB43" t="s">
        <v>803</v>
      </c>
      <c r="DC43">
        <v>0.29689695257693527</v>
      </c>
      <c r="DD43" t="e">
        <v>#VALUE!</v>
      </c>
      <c r="DE43" t="s">
        <v>803</v>
      </c>
      <c r="DF43">
        <v>0.27502033501863482</v>
      </c>
      <c r="DG43" t="e">
        <v>#VALUE!</v>
      </c>
      <c r="DH43" t="s">
        <v>803</v>
      </c>
      <c r="DI43">
        <v>0.25001848638057711</v>
      </c>
      <c r="DJ43" t="e">
        <v>#VALUE!</v>
      </c>
      <c r="DK43" t="s">
        <v>803</v>
      </c>
      <c r="DL43">
        <v>0.21876617558300493</v>
      </c>
      <c r="DM43">
        <v>-163000000</v>
      </c>
      <c r="DN43">
        <v>0.31252310797572136</v>
      </c>
      <c r="DO43">
        <v>5066842000</v>
      </c>
      <c r="DP43">
        <v>-635952500</v>
      </c>
      <c r="DQ43">
        <v>1847</v>
      </c>
      <c r="DR43">
        <v>0.65043985498724155</v>
      </c>
      <c r="DS43">
        <v>5.3930134465908219</v>
      </c>
      <c r="DT43" s="7">
        <v>1.0000000000000011E-2</v>
      </c>
      <c r="DU43">
        <v>-1.6716666666666666</v>
      </c>
      <c r="DV43">
        <v>-1.6616666666666666</v>
      </c>
      <c r="DW43">
        <v>-9.4979558462796394</v>
      </c>
      <c r="DX43">
        <v>0.29523712621359188</v>
      </c>
      <c r="DY43">
        <v>-9.0822807930205052</v>
      </c>
      <c r="DZ43">
        <v>4144</v>
      </c>
      <c r="EA43">
        <v>-9.0155544512833288</v>
      </c>
      <c r="EB43">
        <v>9</v>
      </c>
      <c r="EC43">
        <v>0.27683726648284507</v>
      </c>
      <c r="ED43">
        <v>1.6753937602317963</v>
      </c>
      <c r="EE43" s="11">
        <v>11.082000000000001</v>
      </c>
      <c r="EF43">
        <v>11.137700000000001</v>
      </c>
      <c r="EG43">
        <v>13.165237126213592</v>
      </c>
      <c r="EH43" t="s">
        <v>2397</v>
      </c>
      <c r="EI43">
        <v>0</v>
      </c>
      <c r="EJ43">
        <v>0</v>
      </c>
      <c r="EK43" s="13">
        <v>45470</v>
      </c>
      <c r="EL43" s="14">
        <v>2.34</v>
      </c>
      <c r="EM43" s="14">
        <v>-3.89</v>
      </c>
      <c r="EN43" s="14">
        <v>1.1599999999999999</v>
      </c>
      <c r="EO43" s="14">
        <v>2.4300000000000002</v>
      </c>
      <c r="EP43" s="14">
        <v>5.57</v>
      </c>
    </row>
    <row r="44" spans="1:146" ht="108" x14ac:dyDescent="0.25">
      <c r="A44" s="6"/>
      <c r="B44" s="6"/>
      <c r="C44" s="6" t="str">
        <f>""&amp;CHAR(10)&amp;Basic_Fundamental_Information_Constructure(F44)&amp;CHAR(10)&amp;Basic_Fundamental_Information_Concatenate("")</f>
        <v xml:space="preserve">
市值17.655886亿, 利润2679.30万; PE; 平均PE13.46; 平均PEG2.43, PB.797; ROIC2.1067%; ROE1.9933%; 股利率4.0568%; 毛利15.4333%; 净利2.2267%; 上一年度营收增-26.96%, 利润增1666.93%; 当季营收增-28.93%, 利润增-214.78%; 过往5年营收增-5.54%, 利润增304.65%
Income profile:
</v>
      </c>
      <c r="D44" t="s">
        <v>80</v>
      </c>
      <c r="E44" t="s">
        <v>26</v>
      </c>
      <c r="F44">
        <v>4.93</v>
      </c>
      <c r="G44">
        <v>0.2</v>
      </c>
      <c r="H44" t="s">
        <v>2398</v>
      </c>
      <c r="I44">
        <v>1765588600</v>
      </c>
      <c r="K44">
        <v>0.79700000000000004</v>
      </c>
      <c r="L44" t="s">
        <v>53</v>
      </c>
      <c r="M44" t="s">
        <v>212</v>
      </c>
      <c r="N44" t="s">
        <v>2399</v>
      </c>
      <c r="O44" t="s">
        <v>494</v>
      </c>
      <c r="P44">
        <v>-29.01</v>
      </c>
      <c r="Q44" t="s">
        <v>1046</v>
      </c>
      <c r="R44">
        <v>-17612547</v>
      </c>
      <c r="S44" s="5">
        <v>-2.1480000000000001</v>
      </c>
      <c r="T44" t="s">
        <v>1555</v>
      </c>
      <c r="U44">
        <v>212190570</v>
      </c>
      <c r="V44">
        <v>358131570</v>
      </c>
      <c r="W44">
        <v>1.17</v>
      </c>
      <c r="X44">
        <v>0.09</v>
      </c>
      <c r="Y44">
        <v>-7.8</v>
      </c>
      <c r="Z44" t="s">
        <v>2400</v>
      </c>
      <c r="AA44" t="s">
        <v>123</v>
      </c>
      <c r="AB44" t="s">
        <v>2401</v>
      </c>
      <c r="AC44" t="s">
        <v>2402</v>
      </c>
      <c r="AD44" t="s">
        <v>117</v>
      </c>
      <c r="AE44">
        <v>-2561735</v>
      </c>
      <c r="AF44" t="s">
        <v>1556</v>
      </c>
      <c r="AG44" t="s">
        <v>2403</v>
      </c>
      <c r="AH44" t="s">
        <v>1557</v>
      </c>
      <c r="AI44" t="s">
        <v>2404</v>
      </c>
      <c r="AJ44" t="s">
        <v>1558</v>
      </c>
      <c r="AK44" t="s">
        <v>2405</v>
      </c>
      <c r="AL44" t="s">
        <v>1559</v>
      </c>
      <c r="AM44" t="s">
        <v>117</v>
      </c>
      <c r="AN44" t="s">
        <v>1974</v>
      </c>
      <c r="AO44" t="s">
        <v>2406</v>
      </c>
      <c r="AP44" t="s">
        <v>1560</v>
      </c>
      <c r="AQ44" t="s">
        <v>1007</v>
      </c>
      <c r="AR44" t="s">
        <v>117</v>
      </c>
      <c r="AS44" t="s">
        <v>1735</v>
      </c>
      <c r="AT44" t="s">
        <v>117</v>
      </c>
      <c r="AU44" t="s">
        <v>2407</v>
      </c>
      <c r="AV44" t="s">
        <v>2408</v>
      </c>
      <c r="AW44" t="s">
        <v>2409</v>
      </c>
      <c r="AX44" t="s">
        <v>982</v>
      </c>
      <c r="AY44" t="s">
        <v>756</v>
      </c>
      <c r="AZ44" t="s">
        <v>453</v>
      </c>
      <c r="BA44" t="s">
        <v>280</v>
      </c>
      <c r="BB44" t="s">
        <v>455</v>
      </c>
      <c r="BC44" t="s">
        <v>1057</v>
      </c>
      <c r="BD44" t="s">
        <v>228</v>
      </c>
      <c r="BE44" t="s">
        <v>454</v>
      </c>
      <c r="BF44" t="s">
        <v>176</v>
      </c>
      <c r="BG44" t="s">
        <v>206</v>
      </c>
      <c r="BH44" t="s">
        <v>1046</v>
      </c>
      <c r="BI44" t="s">
        <v>1112</v>
      </c>
      <c r="BJ44" t="s">
        <v>982</v>
      </c>
      <c r="BK44" t="s">
        <v>1555</v>
      </c>
      <c r="BL44" t="s">
        <v>1561</v>
      </c>
      <c r="BM44" t="s">
        <v>1057</v>
      </c>
      <c r="BN44">
        <v>0.8</v>
      </c>
      <c r="BO44">
        <v>0.44</v>
      </c>
      <c r="BP44">
        <v>5.08</v>
      </c>
      <c r="BQ44">
        <v>0.68</v>
      </c>
      <c r="BR44">
        <v>-0.08</v>
      </c>
      <c r="BS44">
        <v>5.38</v>
      </c>
      <c r="BT44" t="s">
        <v>929</v>
      </c>
      <c r="BU44" t="s">
        <v>852</v>
      </c>
      <c r="BV44">
        <v>16.38</v>
      </c>
      <c r="BW44">
        <v>14.03</v>
      </c>
      <c r="BX44">
        <v>15.89</v>
      </c>
      <c r="BY44">
        <v>2.0699999999999998</v>
      </c>
      <c r="BZ44">
        <v>-0.1</v>
      </c>
      <c r="CA44">
        <v>4.71</v>
      </c>
      <c r="CB44">
        <v>-0.8</v>
      </c>
      <c r="CC44">
        <v>-17.7</v>
      </c>
      <c r="CD44" t="s">
        <v>2410</v>
      </c>
      <c r="CE44" t="s">
        <v>2411</v>
      </c>
      <c r="CF44" s="9">
        <v>-0.28930817610062903</v>
      </c>
      <c r="CG44" s="10">
        <v>-2.1478383873931999</v>
      </c>
      <c r="CH44" s="9">
        <v>-0.26964390277862549</v>
      </c>
      <c r="CI44" s="9">
        <v>-0.24978797137737274</v>
      </c>
      <c r="CJ44" s="9">
        <v>0.13968102633953094</v>
      </c>
      <c r="CK44" s="9">
        <v>2.3750683292746544E-2</v>
      </c>
      <c r="CL44" s="9">
        <v>7.9017624258995056E-2</v>
      </c>
      <c r="CM44" s="10">
        <v>16.669338226318359</v>
      </c>
      <c r="CN44" s="10">
        <v>-1.0154045820236206</v>
      </c>
      <c r="CO44" s="10">
        <v>-0.47887325286865234</v>
      </c>
      <c r="CP44" s="10">
        <v>-8.9743591845035553E-2</v>
      </c>
      <c r="CQ44" s="10">
        <v>0.14705882966518402</v>
      </c>
      <c r="CR44">
        <v>13.459228892095384</v>
      </c>
      <c r="CS44">
        <v>2.4296168414138566</v>
      </c>
      <c r="CT44">
        <v>4.056795131845842</v>
      </c>
      <c r="CU44" s="9">
        <v>-5.5396508052945138E-2</v>
      </c>
      <c r="CV44" s="10">
        <v>3.0464751258492471</v>
      </c>
      <c r="CW44">
        <v>0.06</v>
      </c>
      <c r="CX44" t="s">
        <v>807</v>
      </c>
      <c r="CY44" t="s">
        <v>1097</v>
      </c>
      <c r="CZ44">
        <v>-5.5396508052945138E-2</v>
      </c>
      <c r="DA44" t="s">
        <v>807</v>
      </c>
      <c r="DB44" t="s">
        <v>1562</v>
      </c>
      <c r="DC44">
        <v>-5.2626682650297879E-2</v>
      </c>
      <c r="DD44" t="s">
        <v>807</v>
      </c>
      <c r="DE44" t="s">
        <v>1563</v>
      </c>
      <c r="DF44">
        <v>-4.8748927086591724E-2</v>
      </c>
      <c r="DG44" t="s">
        <v>807</v>
      </c>
      <c r="DH44" t="s">
        <v>1564</v>
      </c>
      <c r="DI44">
        <v>-4.4317206442356115E-2</v>
      </c>
      <c r="DJ44" t="s">
        <v>807</v>
      </c>
      <c r="DK44" t="s">
        <v>1565</v>
      </c>
      <c r="DL44">
        <v>-3.8777555637061596E-2</v>
      </c>
      <c r="DM44">
        <v>26793000</v>
      </c>
      <c r="DN44">
        <v>-5.5396508052945138E-2</v>
      </c>
      <c r="DO44">
        <v>-48411400</v>
      </c>
      <c r="DP44">
        <v>977805590</v>
      </c>
      <c r="DQ44">
        <v>2066</v>
      </c>
      <c r="DR44">
        <v>-0.2339116680476839</v>
      </c>
      <c r="DS44">
        <v>-5.1943135132424469</v>
      </c>
      <c r="DT44" s="7">
        <v>-0.75666666666666671</v>
      </c>
      <c r="DU44">
        <v>-1.4483333333333333</v>
      </c>
      <c r="DV44">
        <v>-2.2050000000000001</v>
      </c>
      <c r="DW44">
        <v>-3.0192261904761906</v>
      </c>
      <c r="DX44">
        <v>0.35461722658142802</v>
      </c>
      <c r="DY44">
        <v>-3.0023959145348691</v>
      </c>
      <c r="DZ44">
        <v>4532</v>
      </c>
      <c r="EA44">
        <v>-3.0002710055970949</v>
      </c>
      <c r="EB44">
        <v>3</v>
      </c>
      <c r="EC44">
        <v>3.2964421427577578E-2</v>
      </c>
      <c r="ED44">
        <v>0.26452540891605841</v>
      </c>
      <c r="EE44" s="11">
        <v>-2.1122100000000001</v>
      </c>
      <c r="EF44">
        <v>-2.1295099999999998</v>
      </c>
      <c r="EG44">
        <v>23.124617226581428</v>
      </c>
      <c r="EH44" t="s">
        <v>1566</v>
      </c>
      <c r="EI44">
        <v>0</v>
      </c>
      <c r="EJ44">
        <v>0</v>
      </c>
      <c r="EK44" s="13">
        <v>45470</v>
      </c>
      <c r="EL44" s="14">
        <v>9.4700000000000006</v>
      </c>
      <c r="EM44" s="14">
        <v>-3.6</v>
      </c>
      <c r="EN44" s="14">
        <v>-4.3</v>
      </c>
      <c r="EO44" s="14">
        <v>1.37</v>
      </c>
      <c r="EP44" s="14">
        <v>-1.73</v>
      </c>
    </row>
    <row r="45" spans="1:146" ht="120" x14ac:dyDescent="0.25">
      <c r="A45" s="6" t="s">
        <v>648</v>
      </c>
      <c r="B45" s="6" t="s">
        <v>649</v>
      </c>
      <c r="C45" s="6" t="s">
        <v>650</v>
      </c>
      <c r="D45" t="s">
        <v>64</v>
      </c>
      <c r="E45" t="s">
        <v>13</v>
      </c>
      <c r="F45">
        <v>7.1</v>
      </c>
      <c r="G45">
        <v>0.14000000000000001</v>
      </c>
      <c r="H45" t="s">
        <v>2412</v>
      </c>
      <c r="I45">
        <v>2732858400</v>
      </c>
      <c r="K45">
        <v>1.1399999999999999</v>
      </c>
      <c r="L45" t="s">
        <v>53</v>
      </c>
      <c r="M45" t="s">
        <v>1567</v>
      </c>
      <c r="N45" t="s">
        <v>2413</v>
      </c>
      <c r="O45" t="s">
        <v>935</v>
      </c>
      <c r="P45">
        <v>4.13</v>
      </c>
      <c r="Q45" t="s">
        <v>1568</v>
      </c>
      <c r="R45">
        <v>7870131</v>
      </c>
      <c r="S45" s="5">
        <v>-0.77100000000000002</v>
      </c>
      <c r="T45" t="s">
        <v>1569</v>
      </c>
      <c r="U45">
        <v>337951270</v>
      </c>
      <c r="V45">
        <v>384909630</v>
      </c>
      <c r="W45">
        <v>2.59</v>
      </c>
      <c r="X45">
        <v>0.08</v>
      </c>
      <c r="Y45">
        <v>1.68</v>
      </c>
      <c r="Z45" t="s">
        <v>2414</v>
      </c>
      <c r="AA45" t="s">
        <v>1268</v>
      </c>
      <c r="AB45" t="s">
        <v>2415</v>
      </c>
      <c r="AC45" t="s">
        <v>2416</v>
      </c>
      <c r="AD45" t="s">
        <v>117</v>
      </c>
      <c r="AE45">
        <v>15600617</v>
      </c>
      <c r="AF45" t="s">
        <v>1570</v>
      </c>
      <c r="AG45" t="s">
        <v>2417</v>
      </c>
      <c r="AH45" t="s">
        <v>1571</v>
      </c>
      <c r="AI45" t="s">
        <v>1749</v>
      </c>
      <c r="AJ45" t="s">
        <v>1572</v>
      </c>
      <c r="AK45" t="s">
        <v>2418</v>
      </c>
      <c r="AL45" t="s">
        <v>1573</v>
      </c>
      <c r="AM45" t="s">
        <v>117</v>
      </c>
      <c r="AN45" t="s">
        <v>2419</v>
      </c>
      <c r="AO45" t="s">
        <v>1731</v>
      </c>
      <c r="AP45" t="s">
        <v>762</v>
      </c>
      <c r="AQ45" t="s">
        <v>1466</v>
      </c>
      <c r="AR45" t="s">
        <v>117</v>
      </c>
      <c r="AS45" t="s">
        <v>2420</v>
      </c>
      <c r="AT45" t="s">
        <v>2421</v>
      </c>
      <c r="AU45" t="s">
        <v>2422</v>
      </c>
      <c r="AV45" t="s">
        <v>1356</v>
      </c>
      <c r="AW45" t="s">
        <v>2423</v>
      </c>
      <c r="AX45" t="s">
        <v>1058</v>
      </c>
      <c r="AY45" t="s">
        <v>757</v>
      </c>
      <c r="AZ45" t="s">
        <v>456</v>
      </c>
      <c r="BA45" t="s">
        <v>239</v>
      </c>
      <c r="BB45" t="s">
        <v>457</v>
      </c>
      <c r="BC45" t="s">
        <v>1059</v>
      </c>
      <c r="BD45" t="s">
        <v>758</v>
      </c>
      <c r="BE45" t="s">
        <v>265</v>
      </c>
      <c r="BF45" t="s">
        <v>191</v>
      </c>
      <c r="BG45" t="s">
        <v>458</v>
      </c>
      <c r="BH45" t="s">
        <v>1568</v>
      </c>
      <c r="BI45" t="s">
        <v>1049</v>
      </c>
      <c r="BJ45" t="s">
        <v>1058</v>
      </c>
      <c r="BK45" t="s">
        <v>1569</v>
      </c>
      <c r="BL45" t="s">
        <v>1575</v>
      </c>
      <c r="BM45" t="s">
        <v>1059</v>
      </c>
      <c r="BN45">
        <v>2.21</v>
      </c>
      <c r="BO45" t="s">
        <v>117</v>
      </c>
      <c r="BP45">
        <v>2.39</v>
      </c>
      <c r="BQ45">
        <v>3.11</v>
      </c>
      <c r="BR45">
        <v>-6.21</v>
      </c>
      <c r="BS45">
        <v>3.3</v>
      </c>
      <c r="BT45" t="s">
        <v>1048</v>
      </c>
      <c r="BU45" t="s">
        <v>848</v>
      </c>
      <c r="BV45">
        <v>22</v>
      </c>
      <c r="BW45">
        <v>19.489999999999998</v>
      </c>
      <c r="BX45">
        <v>30.34</v>
      </c>
      <c r="BY45">
        <v>1.02</v>
      </c>
      <c r="BZ45">
        <v>-7.58</v>
      </c>
      <c r="CA45">
        <v>2.76</v>
      </c>
      <c r="CB45">
        <v>-1.39</v>
      </c>
      <c r="CC45">
        <v>-23.49</v>
      </c>
      <c r="CD45" t="s">
        <v>2424</v>
      </c>
      <c r="CE45" t="s">
        <v>2425</v>
      </c>
      <c r="CF45" s="9">
        <v>4.142011834319527E-2</v>
      </c>
      <c r="CG45" s="10">
        <v>-0.77099810574648431</v>
      </c>
      <c r="CH45" s="9">
        <v>0.31625935435295105</v>
      </c>
      <c r="CI45" s="9">
        <v>-0.17710746824741364</v>
      </c>
      <c r="CJ45" s="9">
        <v>0.28784853219985962</v>
      </c>
      <c r="CK45" s="9">
        <v>0.72360521554946899</v>
      </c>
      <c r="CL45" s="9">
        <v>0.88206773996353149</v>
      </c>
      <c r="CM45" s="10">
        <v>1.1423723697662354</v>
      </c>
      <c r="CN45" s="10">
        <v>-3.2106821537017822</v>
      </c>
      <c r="CO45" s="10">
        <v>-0.74220967292785645</v>
      </c>
      <c r="CP45" s="10">
        <v>1.0666667222976685</v>
      </c>
      <c r="CQ45" s="10">
        <v>1.0736435651779175</v>
      </c>
      <c r="CR45">
        <v>39.543269180914166</v>
      </c>
      <c r="CS45">
        <v>0.97269117828389062</v>
      </c>
      <c r="CT45">
        <v>1.830985915492958</v>
      </c>
      <c r="CU45" s="9">
        <v>0.40653467476367949</v>
      </c>
      <c r="CV45" s="10">
        <v>-0.13404183387756347</v>
      </c>
      <c r="CW45">
        <v>0.06</v>
      </c>
      <c r="CX45">
        <v>147.17678744011172</v>
      </c>
      <c r="CY45">
        <v>30037742.207132414</v>
      </c>
      <c r="CZ45">
        <v>0.40653467476367949</v>
      </c>
      <c r="DA45">
        <v>37.167073496776062</v>
      </c>
      <c r="DB45">
        <v>118945560.790076</v>
      </c>
      <c r="DC45">
        <v>0.38620794102549549</v>
      </c>
      <c r="DD45">
        <v>12.535068323277901</v>
      </c>
      <c r="DE45">
        <v>352679242.4250586</v>
      </c>
      <c r="DF45">
        <v>0.35775051379203798</v>
      </c>
      <c r="DG45">
        <v>4.692525636700732</v>
      </c>
      <c r="DH45">
        <v>942106392.64791775</v>
      </c>
      <c r="DI45">
        <v>0.32522773981094361</v>
      </c>
      <c r="DJ45">
        <v>0.74752158702293448</v>
      </c>
      <c r="DK45">
        <v>5914021048.6849327</v>
      </c>
      <c r="DL45">
        <v>0.28457427233457561</v>
      </c>
      <c r="DM45">
        <v>22637199.999999996</v>
      </c>
      <c r="DN45">
        <v>0.40653467476367949</v>
      </c>
      <c r="DO45">
        <v>4420858400</v>
      </c>
      <c r="DP45">
        <v>1291136800</v>
      </c>
      <c r="DQ45">
        <v>2179</v>
      </c>
      <c r="DR45">
        <v>-0.36511455642048424</v>
      </c>
      <c r="DS45">
        <v>-0.63695627186892079</v>
      </c>
      <c r="DT45" s="7">
        <v>0.14333333333333323</v>
      </c>
      <c r="DU45">
        <v>-0.65666666666666684</v>
      </c>
      <c r="DV45">
        <v>-0.51333333333333364</v>
      </c>
      <c r="DW45">
        <v>-3.0847083333333334</v>
      </c>
      <c r="DX45">
        <v>0.27449588185174678</v>
      </c>
      <c r="DY45">
        <v>-3.0105458386585249</v>
      </c>
      <c r="DZ45">
        <v>2905</v>
      </c>
      <c r="EA45">
        <v>-3.0045506016129253</v>
      </c>
      <c r="EB45">
        <v>3</v>
      </c>
      <c r="EC45">
        <v>1.1388387450841383E-2</v>
      </c>
      <c r="ED45">
        <v>9.1476017370622817E-2</v>
      </c>
      <c r="EE45" s="11">
        <v>9.4100000000000003E-2</v>
      </c>
      <c r="EF45">
        <v>6.83E-2</v>
      </c>
      <c r="EG45">
        <v>15.124495881851747</v>
      </c>
      <c r="EH45" t="s">
        <v>666</v>
      </c>
      <c r="EI45">
        <v>0</v>
      </c>
      <c r="EJ45">
        <v>0</v>
      </c>
      <c r="EK45" s="13">
        <v>45470</v>
      </c>
      <c r="EL45" s="14">
        <v>0.54</v>
      </c>
      <c r="EM45" s="14">
        <v>-4.07</v>
      </c>
      <c r="EN45" s="14">
        <v>3.11</v>
      </c>
      <c r="EO45" s="14">
        <v>0.96</v>
      </c>
      <c r="EP45" s="14">
        <v>-2.58</v>
      </c>
    </row>
    <row r="46" spans="1:146" ht="252" x14ac:dyDescent="0.25">
      <c r="A46" s="6" t="s">
        <v>522</v>
      </c>
      <c r="B46" s="6" t="s">
        <v>520</v>
      </c>
      <c r="C46" s="6" t="s">
        <v>667</v>
      </c>
      <c r="D46" t="s">
        <v>70</v>
      </c>
      <c r="E46" t="s">
        <v>16</v>
      </c>
      <c r="F46">
        <v>4.22</v>
      </c>
      <c r="G46">
        <v>-1.17</v>
      </c>
      <c r="H46" t="s">
        <v>2426</v>
      </c>
      <c r="I46">
        <v>4968165200</v>
      </c>
      <c r="K46">
        <v>0.97199999999999998</v>
      </c>
      <c r="L46" t="s">
        <v>53</v>
      </c>
      <c r="M46" t="s">
        <v>1576</v>
      </c>
      <c r="N46" t="s">
        <v>2427</v>
      </c>
      <c r="O46" t="s">
        <v>948</v>
      </c>
      <c r="P46">
        <v>-20.43</v>
      </c>
      <c r="Q46" t="s">
        <v>1577</v>
      </c>
      <c r="R46">
        <v>52732212</v>
      </c>
      <c r="S46" s="5">
        <v>-9.1999999999999998E-2</v>
      </c>
      <c r="T46" t="s">
        <v>1578</v>
      </c>
      <c r="U46">
        <v>899997430</v>
      </c>
      <c r="V46">
        <v>1177290340</v>
      </c>
      <c r="W46">
        <v>2.61</v>
      </c>
      <c r="X46">
        <v>0.11</v>
      </c>
      <c r="Y46">
        <v>3.43</v>
      </c>
      <c r="Z46" t="s">
        <v>2428</v>
      </c>
      <c r="AA46" t="s">
        <v>961</v>
      </c>
      <c r="AB46" t="s">
        <v>140</v>
      </c>
      <c r="AC46" t="s">
        <v>2429</v>
      </c>
      <c r="AD46" t="s">
        <v>117</v>
      </c>
      <c r="AE46">
        <v>23244350</v>
      </c>
      <c r="AF46" t="s">
        <v>1579</v>
      </c>
      <c r="AG46" t="s">
        <v>2430</v>
      </c>
      <c r="AH46" t="s">
        <v>1580</v>
      </c>
      <c r="AI46" t="s">
        <v>2431</v>
      </c>
      <c r="AJ46" t="s">
        <v>1581</v>
      </c>
      <c r="AK46" t="s">
        <v>2432</v>
      </c>
      <c r="AL46" t="s">
        <v>1582</v>
      </c>
      <c r="AM46" t="s">
        <v>117</v>
      </c>
      <c r="AN46" t="s">
        <v>2433</v>
      </c>
      <c r="AO46" t="s">
        <v>1756</v>
      </c>
      <c r="AP46" t="s">
        <v>2434</v>
      </c>
      <c r="AQ46" t="s">
        <v>2435</v>
      </c>
      <c r="AR46" t="s">
        <v>117</v>
      </c>
      <c r="AS46" t="s">
        <v>2436</v>
      </c>
      <c r="AT46" t="s">
        <v>1206</v>
      </c>
      <c r="AU46" t="s">
        <v>2437</v>
      </c>
      <c r="AV46" t="s">
        <v>488</v>
      </c>
      <c r="AW46" t="s">
        <v>136</v>
      </c>
      <c r="AX46" t="s">
        <v>1061</v>
      </c>
      <c r="AY46" t="s">
        <v>759</v>
      </c>
      <c r="AZ46" t="s">
        <v>459</v>
      </c>
      <c r="BA46" t="s">
        <v>240</v>
      </c>
      <c r="BB46" t="s">
        <v>462</v>
      </c>
      <c r="BC46" t="s">
        <v>1001</v>
      </c>
      <c r="BD46" t="s">
        <v>760</v>
      </c>
      <c r="BE46" t="s">
        <v>460</v>
      </c>
      <c r="BF46" t="s">
        <v>241</v>
      </c>
      <c r="BG46" t="s">
        <v>463</v>
      </c>
      <c r="BH46" t="s">
        <v>1577</v>
      </c>
      <c r="BI46" t="s">
        <v>1583</v>
      </c>
      <c r="BJ46" t="s">
        <v>1061</v>
      </c>
      <c r="BK46" t="s">
        <v>1578</v>
      </c>
      <c r="BL46" t="s">
        <v>1584</v>
      </c>
      <c r="BM46" t="s">
        <v>1001</v>
      </c>
      <c r="BN46">
        <v>1.52</v>
      </c>
      <c r="BO46">
        <v>3.33</v>
      </c>
      <c r="BP46">
        <v>12.17</v>
      </c>
      <c r="BQ46">
        <v>1.47</v>
      </c>
      <c r="BR46">
        <v>3.31</v>
      </c>
      <c r="BS46">
        <v>14.46</v>
      </c>
      <c r="BT46" t="s">
        <v>930</v>
      </c>
      <c r="BU46" t="s">
        <v>848</v>
      </c>
      <c r="BV46">
        <v>21.17</v>
      </c>
      <c r="BW46">
        <v>21.21</v>
      </c>
      <c r="BX46">
        <v>28.51</v>
      </c>
      <c r="BY46">
        <v>-4.3099999999999996</v>
      </c>
      <c r="BZ46">
        <v>2.3199999999999998</v>
      </c>
      <c r="CA46">
        <v>8.66</v>
      </c>
      <c r="CB46">
        <v>-1.86</v>
      </c>
      <c r="CC46">
        <v>-30.93</v>
      </c>
      <c r="CD46" t="s">
        <v>2438</v>
      </c>
      <c r="CE46" t="s">
        <v>2005</v>
      </c>
      <c r="CF46" s="9">
        <v>-0.20418006430868169</v>
      </c>
      <c r="CG46" s="10">
        <v>-9.2005888886019058E-2</v>
      </c>
      <c r="CH46" s="9">
        <v>3.6940321326255798E-2</v>
      </c>
      <c r="CI46" s="9">
        <v>-1.4155142940580845E-2</v>
      </c>
      <c r="CJ46" s="9">
        <v>0.24575178325176239</v>
      </c>
      <c r="CK46" s="9">
        <v>0.3409285843372345</v>
      </c>
      <c r="CL46" s="9">
        <v>0.50209891796112061</v>
      </c>
      <c r="CM46" s="10">
        <v>-2.898876428604126</v>
      </c>
      <c r="CN46" s="10">
        <v>-0.73551261425018311</v>
      </c>
      <c r="CO46" s="10">
        <v>-0.24382022023200989</v>
      </c>
      <c r="CP46" s="10">
        <v>1.4517906904220581</v>
      </c>
      <c r="CQ46" s="10">
        <v>0.96216213703155518</v>
      </c>
      <c r="CR46">
        <v>15.278826858021526</v>
      </c>
      <c r="CS46">
        <v>0.68726679170377292</v>
      </c>
      <c r="CT46">
        <v>0</v>
      </c>
      <c r="CU46" s="9">
        <v>0.22231289278715849</v>
      </c>
      <c r="CV46" s="10">
        <v>-0.29285128712654113</v>
      </c>
      <c r="CW46">
        <v>0.06</v>
      </c>
      <c r="CX46" t="e">
        <v>#VALUE!</v>
      </c>
      <c r="CY46" t="s">
        <v>803</v>
      </c>
      <c r="CZ46">
        <v>0.22231289278715849</v>
      </c>
      <c r="DA46" t="e">
        <v>#VALUE!</v>
      </c>
      <c r="DB46" t="s">
        <v>803</v>
      </c>
      <c r="DC46">
        <v>0.21119724814780055</v>
      </c>
      <c r="DD46" t="e">
        <v>#VALUE!</v>
      </c>
      <c r="DE46" t="s">
        <v>803</v>
      </c>
      <c r="DF46">
        <v>0.19563534565269947</v>
      </c>
      <c r="DG46" t="e">
        <v>#VALUE!</v>
      </c>
      <c r="DH46" t="s">
        <v>803</v>
      </c>
      <c r="DI46">
        <v>0.1778503142297268</v>
      </c>
      <c r="DJ46" t="e">
        <v>#VALUE!</v>
      </c>
      <c r="DK46" t="s">
        <v>803</v>
      </c>
      <c r="DL46">
        <v>0.15561902495101093</v>
      </c>
      <c r="DM46">
        <v>-338000000</v>
      </c>
      <c r="DN46">
        <v>0.22231289278715849</v>
      </c>
      <c r="DO46">
        <v>8499165200</v>
      </c>
      <c r="DP46">
        <v>4091878800</v>
      </c>
      <c r="DQ46">
        <v>2199</v>
      </c>
      <c r="DR46">
        <v>-0.42649295709584017</v>
      </c>
      <c r="DS46">
        <v>0.20084539824052206</v>
      </c>
      <c r="DT46" s="7">
        <v>-9.000000000000008E-2</v>
      </c>
      <c r="DU46">
        <v>-0.97000000000000008</v>
      </c>
      <c r="DV46">
        <v>-1.06</v>
      </c>
      <c r="DW46">
        <v>-3.1688511904761905</v>
      </c>
      <c r="DX46">
        <v>0.29612943262411495</v>
      </c>
      <c r="DY46">
        <v>-3.021297104852668</v>
      </c>
      <c r="DZ46">
        <v>3621</v>
      </c>
      <c r="EA46">
        <v>-3.0062057512965992</v>
      </c>
      <c r="EB46">
        <v>3</v>
      </c>
      <c r="EC46">
        <v>6.0424346979692366E-2</v>
      </c>
      <c r="ED46">
        <v>0.47906619194717931</v>
      </c>
      <c r="EE46" s="11">
        <v>0.10980000000000001</v>
      </c>
      <c r="EF46">
        <v>6.7699999999999996E-2</v>
      </c>
      <c r="EG46">
        <v>17.126129432624115</v>
      </c>
      <c r="EH46" t="s">
        <v>666</v>
      </c>
      <c r="EI46">
        <v>0</v>
      </c>
      <c r="EJ46">
        <v>0</v>
      </c>
      <c r="EK46" s="13">
        <v>45470</v>
      </c>
      <c r="EL46" s="14">
        <v>2.0099999999999998</v>
      </c>
      <c r="EM46" s="14">
        <v>-4.5999999999999996</v>
      </c>
      <c r="EN46" s="14">
        <v>1.83</v>
      </c>
      <c r="EO46" s="14">
        <v>1.58</v>
      </c>
      <c r="EP46" s="14">
        <v>-4.21</v>
      </c>
    </row>
    <row r="47" spans="1:146" ht="108" x14ac:dyDescent="0.25">
      <c r="A47" s="6"/>
      <c r="B47" s="6"/>
      <c r="C47" s="6" t="str">
        <f>""&amp;CHAR(10)&amp;Basic_Fundamental_Information_Constructure(F47)&amp;CHAR(10)&amp;Basic_Fundamental_Information_Concatenate("")</f>
        <v xml:space="preserve">
市值12.1824亿, 利润5195.69万; PE31.75; 平均PE21.67; 平均PEG3.05, PB1.46; ROIC5.6367%; ROE5.8467%; 股利率1.773%; 毛利18.3967%; 净利5.0167%; 上一年度营收增-9.63%, 利润增30.69%; 当季营收增-31.41%, 利润增-26.06%; 过往5年营收增7.1%, 利润增2.43%
Income profile:
</v>
      </c>
      <c r="D47" t="s">
        <v>621</v>
      </c>
      <c r="E47" t="s">
        <v>622</v>
      </c>
      <c r="F47">
        <v>11.28</v>
      </c>
      <c r="G47">
        <v>1.81</v>
      </c>
      <c r="H47" t="s">
        <v>2439</v>
      </c>
      <c r="I47">
        <v>1218240000</v>
      </c>
      <c r="J47">
        <v>31.75</v>
      </c>
      <c r="K47">
        <v>1.46</v>
      </c>
      <c r="L47" t="s">
        <v>53</v>
      </c>
      <c r="M47" t="s">
        <v>557</v>
      </c>
      <c r="N47" t="s">
        <v>1502</v>
      </c>
      <c r="O47" t="s">
        <v>221</v>
      </c>
      <c r="P47">
        <v>4.6100000000000003</v>
      </c>
      <c r="Q47" t="s">
        <v>2440</v>
      </c>
      <c r="R47">
        <v>4250504</v>
      </c>
      <c r="S47" s="5">
        <v>4.3700000000000003E-2</v>
      </c>
      <c r="T47" t="s">
        <v>2441</v>
      </c>
      <c r="U47">
        <v>108000000</v>
      </c>
      <c r="V47">
        <v>108000000</v>
      </c>
      <c r="W47">
        <v>2.16</v>
      </c>
      <c r="X47">
        <v>0.06</v>
      </c>
      <c r="Y47">
        <v>4</v>
      </c>
      <c r="Z47" t="s">
        <v>221</v>
      </c>
      <c r="AA47" t="s">
        <v>2442</v>
      </c>
      <c r="AB47" t="s">
        <v>2443</v>
      </c>
      <c r="AC47" t="s">
        <v>2444</v>
      </c>
      <c r="AD47" t="s">
        <v>117</v>
      </c>
      <c r="AE47">
        <v>336476</v>
      </c>
      <c r="AF47" t="s">
        <v>1587</v>
      </c>
      <c r="AG47">
        <v>4022.34</v>
      </c>
      <c r="AH47" t="s">
        <v>1588</v>
      </c>
      <c r="AI47" t="s">
        <v>220</v>
      </c>
      <c r="AJ47" t="s">
        <v>1589</v>
      </c>
      <c r="AK47" t="s">
        <v>2445</v>
      </c>
      <c r="AL47" t="s">
        <v>1590</v>
      </c>
      <c r="AM47" t="s">
        <v>117</v>
      </c>
      <c r="AN47">
        <v>0</v>
      </c>
      <c r="AO47" t="s">
        <v>2446</v>
      </c>
      <c r="AP47" t="s">
        <v>2447</v>
      </c>
      <c r="AQ47" t="s">
        <v>1974</v>
      </c>
      <c r="AR47" t="s">
        <v>117</v>
      </c>
      <c r="AS47" t="s">
        <v>2448</v>
      </c>
      <c r="AT47" t="s">
        <v>2449</v>
      </c>
      <c r="AU47" t="s">
        <v>2450</v>
      </c>
      <c r="AV47" t="s">
        <v>2451</v>
      </c>
      <c r="AW47" t="s">
        <v>2452</v>
      </c>
      <c r="AX47" t="s">
        <v>1062</v>
      </c>
      <c r="AY47" t="s">
        <v>705</v>
      </c>
      <c r="AZ47" t="s">
        <v>623</v>
      </c>
      <c r="BA47" t="s">
        <v>229</v>
      </c>
      <c r="BB47" t="s">
        <v>625</v>
      </c>
      <c r="BC47" t="s">
        <v>1063</v>
      </c>
      <c r="BD47" t="s">
        <v>761</v>
      </c>
      <c r="BE47" t="s">
        <v>624</v>
      </c>
      <c r="BF47" t="s">
        <v>627</v>
      </c>
      <c r="BG47" t="s">
        <v>628</v>
      </c>
      <c r="BH47" t="s">
        <v>1585</v>
      </c>
      <c r="BI47" t="s">
        <v>394</v>
      </c>
      <c r="BJ47" t="s">
        <v>1062</v>
      </c>
      <c r="BK47" t="s">
        <v>1586</v>
      </c>
      <c r="BL47" t="s">
        <v>2453</v>
      </c>
      <c r="BM47" t="s">
        <v>1063</v>
      </c>
      <c r="BN47">
        <v>2.44</v>
      </c>
      <c r="BO47">
        <v>4.8499999999999996</v>
      </c>
      <c r="BP47">
        <v>9.6199999999999992</v>
      </c>
      <c r="BQ47">
        <v>2.52</v>
      </c>
      <c r="BR47">
        <v>5.03</v>
      </c>
      <c r="BS47">
        <v>9.99</v>
      </c>
      <c r="BT47" t="s">
        <v>929</v>
      </c>
      <c r="BU47" t="s">
        <v>848</v>
      </c>
      <c r="BV47">
        <v>15.58</v>
      </c>
      <c r="BW47">
        <v>18.48</v>
      </c>
      <c r="BX47">
        <v>21.13</v>
      </c>
      <c r="BY47">
        <v>3.3</v>
      </c>
      <c r="BZ47">
        <v>4.4000000000000004</v>
      </c>
      <c r="CA47">
        <v>7.35</v>
      </c>
      <c r="CB47">
        <v>-2</v>
      </c>
      <c r="CC47">
        <v>-13.5</v>
      </c>
      <c r="CD47" t="s">
        <v>2454</v>
      </c>
      <c r="CE47" t="s">
        <v>2455</v>
      </c>
      <c r="CF47" s="9">
        <v>-0.3141025641025641</v>
      </c>
      <c r="CG47" s="10">
        <v>-0.26056329697475777</v>
      </c>
      <c r="CH47" s="9">
        <v>-9.6345514059066772E-2</v>
      </c>
      <c r="CI47" s="9">
        <v>-1.2035011313855648E-2</v>
      </c>
      <c r="CJ47" s="9">
        <v>0.1824062168598175</v>
      </c>
      <c r="CK47" s="9">
        <v>0.1819571852684021</v>
      </c>
      <c r="CL47" s="9">
        <v>9.9159665405750275E-2</v>
      </c>
      <c r="CM47" s="10">
        <v>0.30685839056968689</v>
      </c>
      <c r="CN47" s="10">
        <v>-0.40750184655189514</v>
      </c>
      <c r="CO47" s="10">
        <v>0.11450903862714767</v>
      </c>
      <c r="CP47" s="10">
        <v>-5.1964595913887024E-2</v>
      </c>
      <c r="CQ47" s="10">
        <v>0.15975967049598694</v>
      </c>
      <c r="CR47">
        <v>21.671302684423274</v>
      </c>
      <c r="CS47">
        <v>3.0510710646706936</v>
      </c>
      <c r="CT47">
        <v>1.773049645390071</v>
      </c>
      <c r="CU47" s="9">
        <v>7.1028508432209495E-2</v>
      </c>
      <c r="CV47" s="10">
        <v>2.4332131445407867E-2</v>
      </c>
      <c r="CW47">
        <v>0.06</v>
      </c>
      <c r="CX47">
        <v>26.024871837827959</v>
      </c>
      <c r="CY47">
        <v>52497472.74505797</v>
      </c>
      <c r="CZ47">
        <v>7.1028508432209495E-2</v>
      </c>
      <c r="DA47">
        <v>8.6427105417433729</v>
      </c>
      <c r="DB47">
        <v>158080036.74324229</v>
      </c>
      <c r="DC47">
        <v>6.7477083010599015E-2</v>
      </c>
      <c r="DD47">
        <v>4.3465126762852631</v>
      </c>
      <c r="DE47">
        <v>314330154.25314575</v>
      </c>
      <c r="DF47">
        <v>6.2505087420344357E-2</v>
      </c>
      <c r="DG47">
        <v>2.6732397338670486</v>
      </c>
      <c r="DH47">
        <v>511080238.21852589</v>
      </c>
      <c r="DI47">
        <v>5.6822806745767597E-2</v>
      </c>
      <c r="DJ47">
        <v>1.4541478994592514</v>
      </c>
      <c r="DK47">
        <v>939546796.10516822</v>
      </c>
      <c r="DL47">
        <v>4.9719955902546645E-2</v>
      </c>
      <c r="DM47">
        <v>51956899.999999993</v>
      </c>
      <c r="DN47">
        <v>7.1028508432209495E-2</v>
      </c>
      <c r="DO47">
        <v>1366240000</v>
      </c>
      <c r="DP47">
        <v>589273900</v>
      </c>
      <c r="DQ47">
        <v>2460</v>
      </c>
      <c r="DR47">
        <v>-0.38513107253477358</v>
      </c>
      <c r="DS47">
        <v>-0.28489542842016563</v>
      </c>
      <c r="DT47" s="7">
        <v>-0.19000000000000003</v>
      </c>
      <c r="DU47">
        <v>-0.10333333333333335</v>
      </c>
      <c r="DV47">
        <v>-0.29333333333333339</v>
      </c>
      <c r="DW47">
        <v>-2.1349999999999998</v>
      </c>
      <c r="DX47">
        <v>0.43850189249236621</v>
      </c>
      <c r="DY47">
        <v>-2.0173477554864694</v>
      </c>
      <c r="DZ47">
        <v>1893</v>
      </c>
      <c r="EA47">
        <v>-2.0109212777690746</v>
      </c>
      <c r="EB47">
        <v>2</v>
      </c>
      <c r="EC47">
        <v>6.0890740740740738E-2</v>
      </c>
      <c r="ED47">
        <v>0.47385092592592593</v>
      </c>
      <c r="EE47" s="11">
        <v>-6.0389999999999997</v>
      </c>
      <c r="EF47">
        <v>-6.0244</v>
      </c>
      <c r="EG47">
        <v>31.128501892492366</v>
      </c>
      <c r="EH47" t="s">
        <v>2343</v>
      </c>
      <c r="EI47">
        <v>0</v>
      </c>
      <c r="EJ47">
        <v>0</v>
      </c>
      <c r="EK47" s="13">
        <v>45470</v>
      </c>
      <c r="EL47" s="14">
        <v>0</v>
      </c>
      <c r="EM47" s="14">
        <v>-4.7</v>
      </c>
      <c r="EN47" s="14">
        <v>2.96</v>
      </c>
      <c r="EO47" s="14">
        <v>3.28</v>
      </c>
      <c r="EP47" s="14">
        <v>-1.46</v>
      </c>
    </row>
    <row r="48" spans="1:146" ht="108" x14ac:dyDescent="0.25">
      <c r="C48" s="6" t="str">
        <f>""&amp;CHAR(10)&amp;Basic_Fundamental_Information_Constructure(F48)&amp;CHAR(10)&amp;Basic_Fundamental_Information_Concatenate("")</f>
        <v xml:space="preserve">
市值17.697534亿, 利润2.14亿; PE33.48; 平均PE18.64; 平均PEG.34, PB1.3; ROIC13.38%; ROE9.775%; 股利率1.7023%; 毛利23.2867%; 净利9.5033%; 上一年度营收增201.95%, 利润增153.23%; 当季营收增-68.9%, 利润增-46.4%; 过往5年营收增55.18%, 利润增75.23%
Income profile:
</v>
      </c>
      <c r="D48" s="5" t="s">
        <v>1064</v>
      </c>
      <c r="E48" t="s">
        <v>1065</v>
      </c>
      <c r="F48">
        <v>14.97</v>
      </c>
      <c r="G48">
        <v>1.42</v>
      </c>
      <c r="H48" t="s">
        <v>2456</v>
      </c>
      <c r="I48">
        <v>1769753400</v>
      </c>
      <c r="J48">
        <v>33.479999999999997</v>
      </c>
      <c r="K48">
        <v>1.3</v>
      </c>
      <c r="L48" t="s">
        <v>53</v>
      </c>
      <c r="M48" t="s">
        <v>121</v>
      </c>
      <c r="N48" t="s">
        <v>2457</v>
      </c>
      <c r="O48" t="s">
        <v>1592</v>
      </c>
      <c r="P48" s="5">
        <v>7.42</v>
      </c>
      <c r="Q48" t="s">
        <v>2458</v>
      </c>
      <c r="R48">
        <v>22030344</v>
      </c>
      <c r="S48">
        <v>0.3125</v>
      </c>
      <c r="T48" t="s">
        <v>317</v>
      </c>
      <c r="U48">
        <v>44041133</v>
      </c>
      <c r="V48">
        <v>118220000</v>
      </c>
      <c r="W48">
        <v>1.17</v>
      </c>
      <c r="X48">
        <v>0.12</v>
      </c>
      <c r="Y48">
        <v>9.59</v>
      </c>
      <c r="Z48" t="s">
        <v>420</v>
      </c>
      <c r="AA48" t="s">
        <v>354</v>
      </c>
      <c r="AB48" t="s">
        <v>2459</v>
      </c>
      <c r="AC48" t="s">
        <v>2460</v>
      </c>
      <c r="AD48" t="s">
        <v>117</v>
      </c>
      <c r="AE48">
        <v>-955007</v>
      </c>
      <c r="AF48" t="s">
        <v>1594</v>
      </c>
      <c r="AG48" t="s">
        <v>2461</v>
      </c>
      <c r="AH48" t="s">
        <v>1595</v>
      </c>
      <c r="AI48" t="s">
        <v>2462</v>
      </c>
      <c r="AJ48" t="s">
        <v>1596</v>
      </c>
      <c r="AK48" t="s">
        <v>117</v>
      </c>
      <c r="AL48" t="s">
        <v>1597</v>
      </c>
      <c r="AM48" t="s">
        <v>117</v>
      </c>
      <c r="AN48" t="s">
        <v>2463</v>
      </c>
      <c r="AO48" t="s">
        <v>2464</v>
      </c>
      <c r="AP48" t="s">
        <v>2465</v>
      </c>
      <c r="AQ48" t="s">
        <v>2466</v>
      </c>
      <c r="AR48" t="s">
        <v>117</v>
      </c>
      <c r="AS48" t="s">
        <v>454</v>
      </c>
      <c r="AT48" t="s">
        <v>117</v>
      </c>
      <c r="AU48" t="s">
        <v>2467</v>
      </c>
      <c r="AV48" t="s">
        <v>846</v>
      </c>
      <c r="AW48" t="s">
        <v>2468</v>
      </c>
      <c r="AX48" t="s">
        <v>396</v>
      </c>
      <c r="AY48" t="s">
        <v>854</v>
      </c>
      <c r="AZ48" t="s">
        <v>990</v>
      </c>
      <c r="BA48" t="s">
        <v>704</v>
      </c>
      <c r="BB48" t="s">
        <v>194</v>
      </c>
      <c r="BC48" t="s">
        <v>1599</v>
      </c>
      <c r="BD48" t="s">
        <v>173</v>
      </c>
      <c r="BE48" t="s">
        <v>238</v>
      </c>
      <c r="BF48" t="s">
        <v>1066</v>
      </c>
      <c r="BG48" t="s">
        <v>1067</v>
      </c>
      <c r="BH48" t="s">
        <v>947</v>
      </c>
      <c r="BI48" t="s">
        <v>1818</v>
      </c>
      <c r="BJ48" t="s">
        <v>396</v>
      </c>
      <c r="BK48" t="s">
        <v>1593</v>
      </c>
      <c r="BL48" t="s">
        <v>2469</v>
      </c>
      <c r="BM48" t="s">
        <v>1599</v>
      </c>
      <c r="BN48">
        <v>2.29</v>
      </c>
      <c r="BO48">
        <v>15.23</v>
      </c>
      <c r="BP48">
        <v>22.62</v>
      </c>
      <c r="BQ48">
        <v>3.7</v>
      </c>
      <c r="BR48">
        <v>15.85</v>
      </c>
      <c r="BS48" t="s">
        <v>117</v>
      </c>
      <c r="BT48" t="s">
        <v>2470</v>
      </c>
      <c r="BU48" t="s">
        <v>848</v>
      </c>
      <c r="BV48">
        <v>25.89</v>
      </c>
      <c r="BW48">
        <v>21.74</v>
      </c>
      <c r="BX48">
        <v>22.23</v>
      </c>
      <c r="BY48">
        <v>6.94</v>
      </c>
      <c r="BZ48">
        <v>10.18</v>
      </c>
      <c r="CA48">
        <v>11.39</v>
      </c>
      <c r="CB48">
        <v>-2.16</v>
      </c>
      <c r="CC48" s="9">
        <v>-27.17</v>
      </c>
      <c r="CD48" s="10" t="s">
        <v>2471</v>
      </c>
      <c r="CE48" s="9" t="s">
        <v>2472</v>
      </c>
      <c r="CF48" s="9">
        <v>-0.68903436988543376</v>
      </c>
      <c r="CG48" s="9">
        <v>-0.46400798014695149</v>
      </c>
      <c r="CH48" s="9">
        <v>2.0194885730743408</v>
      </c>
      <c r="CI48" s="9">
        <v>-0.10273224115371704</v>
      </c>
      <c r="CJ48" s="10">
        <v>0.44778481125831604</v>
      </c>
      <c r="CK48" s="10">
        <v>0.1835206001996994</v>
      </c>
      <c r="CL48" s="10">
        <v>0.21088434755802155</v>
      </c>
      <c r="CM48" s="10">
        <v>1.5322835445404053</v>
      </c>
      <c r="CN48" s="10">
        <v>-0.15491296350955963</v>
      </c>
      <c r="CO48">
        <v>-2.9126213863492012E-2</v>
      </c>
      <c r="CP48">
        <v>1.1885743141174316</v>
      </c>
      <c r="CQ48">
        <v>1.2244879007339478</v>
      </c>
      <c r="CR48" s="9">
        <v>18.637880293382157</v>
      </c>
      <c r="CS48" s="10">
        <v>0.33777173745092293</v>
      </c>
      <c r="CT48">
        <v>1.7023426853707415</v>
      </c>
      <c r="CU48">
        <v>0.55178921818733218</v>
      </c>
      <c r="CV48">
        <v>0.7522613164037466</v>
      </c>
      <c r="CW48">
        <v>0.06</v>
      </c>
      <c r="CX48">
        <v>1.8314060054996872</v>
      </c>
      <c r="CY48">
        <v>313285747.82272547</v>
      </c>
      <c r="CZ48">
        <v>0.55178921818733218</v>
      </c>
      <c r="DA48">
        <v>0.41383536897575068</v>
      </c>
      <c r="DB48">
        <v>1386429104.4529352</v>
      </c>
      <c r="DC48">
        <v>0.52419975727796553</v>
      </c>
      <c r="DD48">
        <v>0.1167684391201468</v>
      </c>
      <c r="DE48">
        <v>4913599978.9262123</v>
      </c>
      <c r="DF48">
        <v>0.4855745120048523</v>
      </c>
      <c r="DG48">
        <v>3.4404772014571997E-2</v>
      </c>
      <c r="DH48">
        <v>16676564511.370377</v>
      </c>
      <c r="DI48">
        <v>0.44143137454986575</v>
      </c>
      <c r="DJ48">
        <v>2.9602364364509914E-3</v>
      </c>
      <c r="DK48">
        <v>193820126303.1102</v>
      </c>
      <c r="DL48">
        <v>0.38625245273113251</v>
      </c>
      <c r="DM48">
        <v>214000000</v>
      </c>
      <c r="DN48">
        <v>0.55178921818733218</v>
      </c>
      <c r="DO48">
        <v>573753400</v>
      </c>
      <c r="DP48">
        <v>798470890</v>
      </c>
      <c r="DQ48" s="7">
        <v>2791</v>
      </c>
      <c r="DR48">
        <v>-1.2408235880727658</v>
      </c>
      <c r="DS48">
        <v>-1.216269296550698</v>
      </c>
      <c r="DT48">
        <v>0.20999999999999988</v>
      </c>
      <c r="DU48">
        <v>0.39666666666666667</v>
      </c>
      <c r="DV48">
        <v>0.60666666666666658</v>
      </c>
      <c r="DW48">
        <v>-3.1263273809523811</v>
      </c>
      <c r="DX48">
        <v>0.24118583221709819</v>
      </c>
      <c r="DY48">
        <v>-3.0115192673639495</v>
      </c>
      <c r="DZ48">
        <v>1133</v>
      </c>
      <c r="EA48">
        <v>-3.0089651910580093</v>
      </c>
      <c r="EB48" s="11">
        <v>3</v>
      </c>
      <c r="EC48" s="11">
        <v>5.7238199966164777E-2</v>
      </c>
      <c r="ED48">
        <v>0.62770935543901196</v>
      </c>
      <c r="EE48">
        <v>-1.1243000000000001</v>
      </c>
      <c r="EF48">
        <v>-1.0882000000000001</v>
      </c>
      <c r="EG48">
        <v>15.091185832217098</v>
      </c>
      <c r="EH48" s="13" t="s">
        <v>808</v>
      </c>
      <c r="EI48">
        <v>0</v>
      </c>
      <c r="EJ48">
        <v>1</v>
      </c>
      <c r="EK48">
        <v>45470</v>
      </c>
      <c r="EL48">
        <v>0.51</v>
      </c>
      <c r="EM48">
        <v>6.02</v>
      </c>
      <c r="EN48" s="14">
        <v>-1.41</v>
      </c>
      <c r="EO48" s="14">
        <v>5.34</v>
      </c>
      <c r="EP48" s="14">
        <v>-3.61</v>
      </c>
    </row>
    <row r="49" spans="1:146" ht="108" x14ac:dyDescent="0.25">
      <c r="C49" s="6" t="str">
        <f>""&amp;CHAR(10)&amp;Basic_Fundamental_Information_Constructure(F49)&amp;CHAR(10)&amp;Basic_Fundamental_Information_Concatenate("")</f>
        <v xml:space="preserve">
市值128.209854亿, 利润7780.72万; PE35.27; 平均PE25.3; 平均PEG2.48, PB1.52; ROIC8.35%; ROE12.995%; 股利率.8824%; 毛利26.9833%; 净利12.9767%; 上一年度营收增-97.48%, 利润增-93.2%; 当季营收增9213.95%, 利润增-3495.09%; 过往5年营收增-10.19%, 利润增69.69%
Income profile:
</v>
      </c>
      <c r="D49" t="s">
        <v>1601</v>
      </c>
      <c r="E49" t="s">
        <v>1602</v>
      </c>
      <c r="F49">
        <v>3.4</v>
      </c>
      <c r="G49">
        <v>0.28999999999999998</v>
      </c>
      <c r="H49" t="s">
        <v>2473</v>
      </c>
      <c r="I49">
        <v>12820985400</v>
      </c>
      <c r="J49">
        <v>35.270000000000003</v>
      </c>
      <c r="K49">
        <v>1.52</v>
      </c>
      <c r="L49" t="s">
        <v>53</v>
      </c>
      <c r="M49" t="s">
        <v>1603</v>
      </c>
      <c r="N49" t="s">
        <v>2474</v>
      </c>
      <c r="O49" t="s">
        <v>1604</v>
      </c>
      <c r="P49" s="5">
        <v>-11.54</v>
      </c>
      <c r="Q49" t="s">
        <v>2475</v>
      </c>
      <c r="R49">
        <v>-68443385</v>
      </c>
      <c r="S49">
        <v>-1.603</v>
      </c>
      <c r="T49" t="s">
        <v>2476</v>
      </c>
      <c r="U49">
        <v>582857150</v>
      </c>
      <c r="V49">
        <v>3770878000</v>
      </c>
      <c r="W49">
        <v>2.42</v>
      </c>
      <c r="X49">
        <v>7.0000000000000007E-2</v>
      </c>
      <c r="Y49">
        <v>-4.6399999999999997</v>
      </c>
      <c r="Z49" t="s">
        <v>2477</v>
      </c>
      <c r="AA49" t="s">
        <v>2478</v>
      </c>
      <c r="AB49" t="s">
        <v>2479</v>
      </c>
      <c r="AC49" t="s">
        <v>2480</v>
      </c>
      <c r="AD49" t="s">
        <v>117</v>
      </c>
      <c r="AE49">
        <v>94609387</v>
      </c>
      <c r="AF49" t="s">
        <v>1607</v>
      </c>
      <c r="AG49" t="s">
        <v>2481</v>
      </c>
      <c r="AH49" t="s">
        <v>1608</v>
      </c>
      <c r="AI49" t="s">
        <v>2482</v>
      </c>
      <c r="AJ49" t="s">
        <v>1609</v>
      </c>
      <c r="AK49" t="s">
        <v>2483</v>
      </c>
      <c r="AL49" t="s">
        <v>1610</v>
      </c>
      <c r="AM49" t="s">
        <v>117</v>
      </c>
      <c r="AN49" t="s">
        <v>2484</v>
      </c>
      <c r="AO49" t="s">
        <v>2485</v>
      </c>
      <c r="AP49" t="s">
        <v>151</v>
      </c>
      <c r="AQ49" t="s">
        <v>746</v>
      </c>
      <c r="AR49" t="s">
        <v>117</v>
      </c>
      <c r="AS49" t="s">
        <v>2486</v>
      </c>
      <c r="AT49" t="s">
        <v>2487</v>
      </c>
      <c r="AU49" t="s">
        <v>2488</v>
      </c>
      <c r="AV49" t="s">
        <v>2489</v>
      </c>
      <c r="AW49" t="s">
        <v>2490</v>
      </c>
      <c r="AX49" t="s">
        <v>1611</v>
      </c>
      <c r="AY49" t="s">
        <v>1612</v>
      </c>
      <c r="AZ49" t="s">
        <v>1613</v>
      </c>
      <c r="BA49" t="s">
        <v>1614</v>
      </c>
      <c r="BB49" t="s">
        <v>1615</v>
      </c>
      <c r="BC49" t="s">
        <v>609</v>
      </c>
      <c r="BD49" t="s">
        <v>1616</v>
      </c>
      <c r="BE49" t="s">
        <v>1403</v>
      </c>
      <c r="BF49" t="s">
        <v>866</v>
      </c>
      <c r="BG49" t="s">
        <v>1007</v>
      </c>
      <c r="BH49" t="s">
        <v>1605</v>
      </c>
      <c r="BI49" t="s">
        <v>2491</v>
      </c>
      <c r="BJ49" t="s">
        <v>1611</v>
      </c>
      <c r="BK49" t="s">
        <v>749</v>
      </c>
      <c r="BL49" t="s">
        <v>2492</v>
      </c>
      <c r="BM49" t="s">
        <v>609</v>
      </c>
      <c r="BN49">
        <v>3.51</v>
      </c>
      <c r="BO49">
        <v>9.7799999999999994</v>
      </c>
      <c r="BP49">
        <v>11.76</v>
      </c>
      <c r="BQ49">
        <v>6.4</v>
      </c>
      <c r="BR49">
        <v>19.59</v>
      </c>
      <c r="BS49" t="s">
        <v>117</v>
      </c>
      <c r="BT49" t="s">
        <v>1080</v>
      </c>
      <c r="BU49" t="s">
        <v>845</v>
      </c>
      <c r="BV49">
        <v>21.59</v>
      </c>
      <c r="BW49">
        <v>28.3</v>
      </c>
      <c r="BX49">
        <v>31.06</v>
      </c>
      <c r="BY49">
        <v>8.27</v>
      </c>
      <c r="BZ49">
        <v>15.87</v>
      </c>
      <c r="CA49">
        <v>14.79</v>
      </c>
      <c r="CB49">
        <v>2.1</v>
      </c>
      <c r="CC49" s="9">
        <v>-21.66</v>
      </c>
      <c r="CD49" s="10" t="s">
        <v>331</v>
      </c>
      <c r="CE49" s="9" t="s">
        <v>172</v>
      </c>
      <c r="CF49" s="9">
        <v>92.139454503559421</v>
      </c>
      <c r="CG49" s="9">
        <v>-34.950932345834644</v>
      </c>
      <c r="CH49" s="9">
        <v>-0.97479099035263062</v>
      </c>
      <c r="CI49" s="9">
        <v>-4.8915676772594452E-2</v>
      </c>
      <c r="CJ49" s="10">
        <v>0.20081022381782532</v>
      </c>
      <c r="CK49" s="10">
        <v>0.2601640522480011</v>
      </c>
      <c r="CL49" s="10">
        <v>5.3389690816402435E-2</v>
      </c>
      <c r="CM49" s="10">
        <v>-0.93198668956756592</v>
      </c>
      <c r="CN49" s="10">
        <v>4.2844180017709732E-2</v>
      </c>
      <c r="CO49">
        <v>1.4931817054748535</v>
      </c>
      <c r="CP49">
        <v>3.313725471496582</v>
      </c>
      <c r="CQ49">
        <v>-0.43333333730697632</v>
      </c>
      <c r="CR49" s="9">
        <v>25.29785920001768</v>
      </c>
      <c r="CS49" s="10">
        <v>2.483382915662542</v>
      </c>
      <c r="CT49">
        <v>0.88235294117647056</v>
      </c>
      <c r="CU49">
        <v>-0.10186854004859924</v>
      </c>
      <c r="CV49">
        <v>0.69688626602292059</v>
      </c>
      <c r="CW49">
        <v>0.06</v>
      </c>
      <c r="CX49" t="e">
        <v>#VALUE!</v>
      </c>
      <c r="CY49" t="s">
        <v>1097</v>
      </c>
      <c r="CZ49">
        <v>-0.10186854004859924</v>
      </c>
      <c r="DA49">
        <v>72.058393053599147</v>
      </c>
      <c r="DB49" t="s">
        <v>2493</v>
      </c>
      <c r="DC49">
        <v>-9.6775113046169273E-2</v>
      </c>
      <c r="DD49">
        <v>36.029196526799574</v>
      </c>
      <c r="DE49" t="s">
        <v>2494</v>
      </c>
      <c r="DF49">
        <v>-8.9644315242767336E-2</v>
      </c>
      <c r="DG49">
        <v>21.617517916079745</v>
      </c>
      <c r="DH49" t="s">
        <v>2495</v>
      </c>
      <c r="DI49">
        <v>-8.1494832038879403E-2</v>
      </c>
      <c r="DJ49">
        <v>10.808758958039872</v>
      </c>
      <c r="DK49" t="s">
        <v>2496</v>
      </c>
      <c r="DL49">
        <v>-7.1307978034019462E-2</v>
      </c>
      <c r="DM49">
        <v>77807200</v>
      </c>
      <c r="DN49">
        <v>-0.10186854004859924</v>
      </c>
      <c r="DO49">
        <v>16819985400</v>
      </c>
      <c r="DP49">
        <v>1162977000</v>
      </c>
      <c r="DQ49" s="7">
        <v>2822</v>
      </c>
      <c r="DR49">
        <v>92.24132304360802</v>
      </c>
      <c r="DS49">
        <v>-35.647818611857566</v>
      </c>
      <c r="DT49">
        <v>-0.52333333333333332</v>
      </c>
      <c r="DU49">
        <v>-0.6216666666666667</v>
      </c>
      <c r="DV49">
        <v>-1.145</v>
      </c>
      <c r="DW49">
        <v>-3.0640119047619048</v>
      </c>
      <c r="DX49">
        <v>0.38448275862069053</v>
      </c>
      <c r="DY49">
        <v>-3.01244921182266</v>
      </c>
      <c r="DZ49">
        <v>33</v>
      </c>
      <c r="EA49">
        <v>-3.0123688157384825</v>
      </c>
      <c r="EB49" s="11">
        <v>3</v>
      </c>
      <c r="EC49" s="11">
        <v>3.7391822275873149E-2</v>
      </c>
      <c r="ED49">
        <v>0.1922629159575038</v>
      </c>
      <c r="EE49">
        <v>2.0841099999999999</v>
      </c>
      <c r="EF49">
        <v>2.09531</v>
      </c>
      <c r="EG49">
        <v>19.194482758620691</v>
      </c>
      <c r="EH49" s="13" t="s">
        <v>1074</v>
      </c>
      <c r="EI49">
        <v>0</v>
      </c>
      <c r="EJ49">
        <v>1</v>
      </c>
      <c r="EK49">
        <v>45470</v>
      </c>
      <c r="EL49">
        <v>-3.84</v>
      </c>
      <c r="EM49">
        <v>-6.91</v>
      </c>
      <c r="EN49" s="14">
        <v>0.09</v>
      </c>
      <c r="EO49" s="14">
        <v>2.23</v>
      </c>
      <c r="EP49" s="14">
        <v>-1.1200000000000001</v>
      </c>
    </row>
    <row r="50" spans="1:146" ht="252" x14ac:dyDescent="0.25">
      <c r="A50" s="6" t="s">
        <v>821</v>
      </c>
      <c r="B50" s="6" t="s">
        <v>794</v>
      </c>
      <c r="C50" s="6" t="s">
        <v>820</v>
      </c>
      <c r="D50" t="s">
        <v>576</v>
      </c>
      <c r="E50" t="s">
        <v>577</v>
      </c>
      <c r="F50">
        <v>10.7</v>
      </c>
      <c r="G50">
        <v>1.1299999999999999</v>
      </c>
      <c r="H50" t="s">
        <v>2497</v>
      </c>
      <c r="I50">
        <v>42833563000</v>
      </c>
      <c r="J50">
        <v>17.32</v>
      </c>
      <c r="K50">
        <v>1.48</v>
      </c>
      <c r="L50" t="s">
        <v>53</v>
      </c>
      <c r="M50" t="s">
        <v>1617</v>
      </c>
      <c r="N50" t="s">
        <v>2498</v>
      </c>
      <c r="O50" t="s">
        <v>1618</v>
      </c>
      <c r="P50">
        <v>-7.86</v>
      </c>
      <c r="Q50" t="s">
        <v>2499</v>
      </c>
      <c r="R50">
        <v>350293850</v>
      </c>
      <c r="S50" s="5">
        <v>-0.61970000000000003</v>
      </c>
      <c r="T50" t="s">
        <v>2500</v>
      </c>
      <c r="U50">
        <v>4003136700</v>
      </c>
      <c r="V50">
        <v>4003136700</v>
      </c>
      <c r="W50">
        <v>1.76</v>
      </c>
      <c r="X50" t="s">
        <v>117</v>
      </c>
      <c r="Y50">
        <v>10.78</v>
      </c>
      <c r="Z50" t="s">
        <v>117</v>
      </c>
      <c r="AA50" t="s">
        <v>117</v>
      </c>
      <c r="AB50" t="s">
        <v>117</v>
      </c>
      <c r="AC50" t="s">
        <v>117</v>
      </c>
      <c r="AD50" t="s">
        <v>117</v>
      </c>
      <c r="AE50">
        <v>59949231</v>
      </c>
      <c r="AF50" t="s">
        <v>1620</v>
      </c>
      <c r="AG50" t="s">
        <v>2501</v>
      </c>
      <c r="AH50" t="s">
        <v>1621</v>
      </c>
      <c r="AI50" t="s">
        <v>2502</v>
      </c>
      <c r="AJ50" t="s">
        <v>1622</v>
      </c>
      <c r="AK50" t="s">
        <v>117</v>
      </c>
      <c r="AL50" t="s">
        <v>1623</v>
      </c>
      <c r="AM50" t="s">
        <v>117</v>
      </c>
      <c r="AN50" t="s">
        <v>2503</v>
      </c>
      <c r="AO50" t="s">
        <v>117</v>
      </c>
      <c r="AP50" t="s">
        <v>444</v>
      </c>
      <c r="AQ50" t="s">
        <v>2504</v>
      </c>
      <c r="AR50" t="s">
        <v>117</v>
      </c>
      <c r="AS50" t="s">
        <v>117</v>
      </c>
      <c r="AT50" t="s">
        <v>117</v>
      </c>
      <c r="AU50" t="s">
        <v>1299</v>
      </c>
      <c r="AV50" t="s">
        <v>2505</v>
      </c>
      <c r="AW50" t="s">
        <v>1311</v>
      </c>
      <c r="AX50" t="s">
        <v>1068</v>
      </c>
      <c r="AY50" t="s">
        <v>117</v>
      </c>
      <c r="AZ50" t="s">
        <v>578</v>
      </c>
      <c r="BA50" t="s">
        <v>579</v>
      </c>
      <c r="BB50" t="s">
        <v>580</v>
      </c>
      <c r="BC50" t="s">
        <v>1069</v>
      </c>
      <c r="BD50" t="s">
        <v>117</v>
      </c>
      <c r="BE50" t="s">
        <v>117</v>
      </c>
      <c r="BF50" t="s">
        <v>117</v>
      </c>
      <c r="BG50" t="s">
        <v>117</v>
      </c>
      <c r="BH50" t="s">
        <v>1619</v>
      </c>
      <c r="BI50" t="s">
        <v>2506</v>
      </c>
      <c r="BJ50" t="s">
        <v>1068</v>
      </c>
      <c r="BK50" t="s">
        <v>180</v>
      </c>
      <c r="BL50" t="s">
        <v>1624</v>
      </c>
      <c r="BM50" t="s">
        <v>1069</v>
      </c>
      <c r="BN50">
        <v>6.7</v>
      </c>
      <c r="BO50">
        <v>18.53</v>
      </c>
      <c r="BP50">
        <v>19.940000000000001</v>
      </c>
      <c r="BQ50">
        <v>9.5500000000000007</v>
      </c>
      <c r="BR50">
        <v>26.52</v>
      </c>
      <c r="BS50">
        <v>30.15</v>
      </c>
      <c r="BT50" t="s">
        <v>1625</v>
      </c>
      <c r="BU50" t="s">
        <v>845</v>
      </c>
      <c r="BV50">
        <v>28</v>
      </c>
      <c r="BW50">
        <v>35.6</v>
      </c>
      <c r="BX50">
        <v>45.31</v>
      </c>
      <c r="BY50">
        <v>21.22</v>
      </c>
      <c r="BZ50">
        <v>33.78</v>
      </c>
      <c r="CA50">
        <v>31.15</v>
      </c>
      <c r="CB50">
        <v>-3.17</v>
      </c>
      <c r="CC50">
        <v>-13.95</v>
      </c>
      <c r="CD50" t="s">
        <v>2507</v>
      </c>
      <c r="CE50" t="s">
        <v>229</v>
      </c>
      <c r="CF50" s="9">
        <v>3.5517452541335121E-2</v>
      </c>
      <c r="CG50" s="10">
        <v>-0.59597018454440598</v>
      </c>
      <c r="CH50" s="9">
        <v>-0.31908676028251648</v>
      </c>
      <c r="CI50" s="9" t="s">
        <v>117</v>
      </c>
      <c r="CJ50" s="9" t="s">
        <v>117</v>
      </c>
      <c r="CK50" s="9">
        <v>0.11178883165121078</v>
      </c>
      <c r="CL50" s="9">
        <v>4.5952919870615005E-2</v>
      </c>
      <c r="CM50" s="10">
        <v>-0.48048409819602966</v>
      </c>
      <c r="CN50" s="10" t="s">
        <v>117</v>
      </c>
      <c r="CO50" s="10" t="s">
        <v>117</v>
      </c>
      <c r="CP50" s="10" t="s">
        <v>117</v>
      </c>
      <c r="CQ50" s="10" t="s">
        <v>117</v>
      </c>
      <c r="CR50">
        <v>8.5291841895659104</v>
      </c>
      <c r="CS50">
        <v>1.5858905562210213</v>
      </c>
      <c r="CT50">
        <v>2.5700934579439254</v>
      </c>
      <c r="CU50" s="9">
        <v>-5.3781669586896896E-2</v>
      </c>
      <c r="CV50" s="10">
        <v>-0.48048409819602966</v>
      </c>
      <c r="CW50">
        <v>0.06</v>
      </c>
      <c r="CX50">
        <v>10.063355562026791</v>
      </c>
      <c r="CY50" t="s">
        <v>2508</v>
      </c>
      <c r="CZ50">
        <v>-5.3781669586896896E-2</v>
      </c>
      <c r="DA50">
        <v>3.3544518540089303</v>
      </c>
      <c r="DB50" t="s">
        <v>2509</v>
      </c>
      <c r="DC50">
        <v>-5.1092586107552046E-2</v>
      </c>
      <c r="DD50">
        <v>1.6772259270044652</v>
      </c>
      <c r="DE50" t="s">
        <v>2510</v>
      </c>
      <c r="DF50">
        <v>-4.7327869236469269E-2</v>
      </c>
      <c r="DG50">
        <v>1.006335556202679</v>
      </c>
      <c r="DH50" t="s">
        <v>2511</v>
      </c>
      <c r="DI50">
        <v>-4.3025335669517523E-2</v>
      </c>
      <c r="DJ50">
        <v>0.5031677781013395</v>
      </c>
      <c r="DK50" t="s">
        <v>2512</v>
      </c>
      <c r="DL50">
        <v>-3.7647168710827822E-2</v>
      </c>
      <c r="DM50">
        <v>3434000000.0000005</v>
      </c>
      <c r="DN50">
        <v>-5.3781669586896896E-2</v>
      </c>
      <c r="DO50">
        <v>34557563000</v>
      </c>
      <c r="DP50">
        <v>14403709000</v>
      </c>
      <c r="DQ50">
        <v>2979</v>
      </c>
      <c r="DR50">
        <v>8.9299122128232017E-2</v>
      </c>
      <c r="DS50">
        <v>-0.11548608634837632</v>
      </c>
      <c r="DT50" s="7">
        <v>-0.91</v>
      </c>
      <c r="DU50">
        <v>-1.1599999999999999</v>
      </c>
      <c r="DV50">
        <v>-2.0699999999999998</v>
      </c>
      <c r="DW50">
        <v>-8.2272401433691762</v>
      </c>
      <c r="DX50">
        <v>0.33889404281345659</v>
      </c>
      <c r="DY50">
        <v>-8.0292899007683616</v>
      </c>
      <c r="DZ50">
        <v>3137</v>
      </c>
      <c r="EA50">
        <v>-8.0113089969111506</v>
      </c>
      <c r="EB50">
        <v>8</v>
      </c>
      <c r="EC50">
        <v>2.1057662107816604E-2</v>
      </c>
      <c r="ED50">
        <v>0.16337188784984535</v>
      </c>
      <c r="EE50" s="11">
        <v>1.0867100000000001</v>
      </c>
      <c r="EF50">
        <v>1.1024099999999999</v>
      </c>
      <c r="EG50">
        <v>21.128894042813457</v>
      </c>
      <c r="EH50" t="s">
        <v>1008</v>
      </c>
      <c r="EI50">
        <v>0</v>
      </c>
      <c r="EJ50">
        <v>0</v>
      </c>
      <c r="EK50" s="13">
        <v>45470</v>
      </c>
      <c r="EL50" s="14">
        <v>1.06</v>
      </c>
      <c r="EM50" s="14">
        <v>-4.18</v>
      </c>
      <c r="EN50" s="14">
        <v>3</v>
      </c>
      <c r="EO50" s="14">
        <v>1.32</v>
      </c>
      <c r="EP50" s="14">
        <v>-1.57</v>
      </c>
    </row>
    <row r="51" spans="1:146" ht="108" x14ac:dyDescent="0.25">
      <c r="A51" s="6"/>
      <c r="B51" s="6"/>
      <c r="C51" s="6" t="str">
        <f>""&amp;CHAR(10)&amp;Basic_Fundamental_Information_Constructure(F51)&amp;CHAR(10)&amp;Basic_Fundamental_Information_Concatenate("")</f>
        <v xml:space="preserve">
市值29.003626亿, 利润29.04亿; PE19.17; 平均PE19.62; 平均PEG.07, PB1.66; ROIC1.37%; ROE-3.4233%; 股利率0%; 毛利13.8733%; 净利-3.9333%; 上一年度营收增1517.47%, 利润增1091.13%; 当季营收增-95.9%, 利润增-97.28%; 过往5年营收增282.72%, 利润增-3700.71%
Income profile:
</v>
      </c>
      <c r="D51" t="s">
        <v>581</v>
      </c>
      <c r="E51" t="s">
        <v>582</v>
      </c>
      <c r="F51">
        <v>2.5</v>
      </c>
      <c r="G51">
        <v>1.21</v>
      </c>
      <c r="H51" t="s">
        <v>2513</v>
      </c>
      <c r="I51">
        <v>2900362600</v>
      </c>
      <c r="J51">
        <v>19.170000000000002</v>
      </c>
      <c r="K51">
        <v>1.66</v>
      </c>
      <c r="L51" t="s">
        <v>53</v>
      </c>
      <c r="M51" t="s">
        <v>1626</v>
      </c>
      <c r="N51" t="s">
        <v>1397</v>
      </c>
      <c r="O51" t="s">
        <v>1212</v>
      </c>
      <c r="P51">
        <v>-24.14</v>
      </c>
      <c r="Q51" t="s">
        <v>2514</v>
      </c>
      <c r="R51">
        <v>27172547</v>
      </c>
      <c r="S51" s="5">
        <v>1.339</v>
      </c>
      <c r="T51" t="s">
        <v>405</v>
      </c>
      <c r="U51">
        <v>1160145050</v>
      </c>
      <c r="V51">
        <v>1160145050</v>
      </c>
      <c r="W51">
        <v>1.9</v>
      </c>
      <c r="X51">
        <v>0.09</v>
      </c>
      <c r="Y51">
        <v>9.6</v>
      </c>
      <c r="Z51" t="s">
        <v>480</v>
      </c>
      <c r="AA51" t="s">
        <v>414</v>
      </c>
      <c r="AB51" t="s">
        <v>2515</v>
      </c>
      <c r="AC51" t="s">
        <v>2516</v>
      </c>
      <c r="AD51" t="s">
        <v>117</v>
      </c>
      <c r="AE51">
        <v>3394086</v>
      </c>
      <c r="AF51" t="s">
        <v>1628</v>
      </c>
      <c r="AG51">
        <v>1652</v>
      </c>
      <c r="AH51" t="s">
        <v>1629</v>
      </c>
      <c r="AI51" t="s">
        <v>2517</v>
      </c>
      <c r="AJ51" t="s">
        <v>1630</v>
      </c>
      <c r="AK51" t="s">
        <v>117</v>
      </c>
      <c r="AL51" t="s">
        <v>1631</v>
      </c>
      <c r="AM51" t="s">
        <v>117</v>
      </c>
      <c r="AN51" t="s">
        <v>2518</v>
      </c>
      <c r="AO51" t="s">
        <v>2519</v>
      </c>
      <c r="AP51" t="s">
        <v>2520</v>
      </c>
      <c r="AQ51" t="s">
        <v>258</v>
      </c>
      <c r="AR51" t="s">
        <v>117</v>
      </c>
      <c r="AS51" t="s">
        <v>2521</v>
      </c>
      <c r="AT51" t="s">
        <v>463</v>
      </c>
      <c r="AU51" t="s">
        <v>2522</v>
      </c>
      <c r="AV51" t="s">
        <v>2523</v>
      </c>
      <c r="AW51" t="s">
        <v>2524</v>
      </c>
      <c r="AX51" t="s">
        <v>1070</v>
      </c>
      <c r="AY51" t="s">
        <v>763</v>
      </c>
      <c r="AZ51" t="s">
        <v>583</v>
      </c>
      <c r="BA51" t="s">
        <v>585</v>
      </c>
      <c r="BB51" t="s">
        <v>586</v>
      </c>
      <c r="BC51" t="s">
        <v>1632</v>
      </c>
      <c r="BD51" t="s">
        <v>764</v>
      </c>
      <c r="BE51" t="s">
        <v>584</v>
      </c>
      <c r="BF51" t="s">
        <v>587</v>
      </c>
      <c r="BG51" t="s">
        <v>361</v>
      </c>
      <c r="BH51" t="s">
        <v>356</v>
      </c>
      <c r="BI51" t="s">
        <v>2525</v>
      </c>
      <c r="BJ51" t="s">
        <v>1070</v>
      </c>
      <c r="BK51" t="s">
        <v>1627</v>
      </c>
      <c r="BL51" t="s">
        <v>1452</v>
      </c>
      <c r="BM51" t="s">
        <v>1632</v>
      </c>
      <c r="BN51">
        <v>1.37</v>
      </c>
      <c r="BO51" t="s">
        <v>117</v>
      </c>
      <c r="BP51" t="s">
        <v>117</v>
      </c>
      <c r="BQ51">
        <v>1.1100000000000001</v>
      </c>
      <c r="BR51">
        <v>-16.09</v>
      </c>
      <c r="BS51">
        <v>4.71</v>
      </c>
      <c r="BT51" t="s">
        <v>930</v>
      </c>
      <c r="BU51" t="s">
        <v>845</v>
      </c>
      <c r="BV51">
        <v>11.74</v>
      </c>
      <c r="BW51">
        <v>-3.31</v>
      </c>
      <c r="BX51">
        <v>33.19</v>
      </c>
      <c r="BY51">
        <v>1.75</v>
      </c>
      <c r="BZ51">
        <v>-17.16</v>
      </c>
      <c r="CA51">
        <v>3.61</v>
      </c>
      <c r="CB51">
        <v>0.4</v>
      </c>
      <c r="CC51">
        <v>-15.82</v>
      </c>
      <c r="CD51" t="s">
        <v>2526</v>
      </c>
      <c r="CE51" t="s">
        <v>2038</v>
      </c>
      <c r="CF51" s="9">
        <v>-0.95895869305352632</v>
      </c>
      <c r="CG51" s="10">
        <v>-0.97282745299999995</v>
      </c>
      <c r="CH51" s="9">
        <v>15.17469596862793</v>
      </c>
      <c r="CI51" s="9">
        <v>-0.39240914583206177</v>
      </c>
      <c r="CJ51" s="9">
        <v>0.20597365498542786</v>
      </c>
      <c r="CK51" s="9">
        <v>-0.18981780111789703</v>
      </c>
      <c r="CL51" s="9">
        <v>-0.66227978467941284</v>
      </c>
      <c r="CM51" s="10">
        <v>10.911262512207031</v>
      </c>
      <c r="CN51" s="10">
        <v>-4.2486863136291504</v>
      </c>
      <c r="CO51" s="10">
        <v>1.0436756610870361</v>
      </c>
      <c r="CP51" s="10">
        <v>-191.78678894042969</v>
      </c>
      <c r="CQ51" s="10">
        <v>-0.95490169525146484</v>
      </c>
      <c r="CR51">
        <v>19.618830775932597</v>
      </c>
      <c r="CS51">
        <v>6.9392348283768002E-2</v>
      </c>
      <c r="CT51">
        <v>0</v>
      </c>
      <c r="CU51" s="9">
        <v>2.8272325783967971</v>
      </c>
      <c r="CV51" s="10">
        <v>-37.007087755203244</v>
      </c>
      <c r="CW51">
        <v>0.06</v>
      </c>
      <c r="CX51">
        <v>0.25811329896642216</v>
      </c>
      <c r="CY51">
        <v>10485173026.098394</v>
      </c>
      <c r="CZ51">
        <v>2.8272325783967971</v>
      </c>
      <c r="DA51">
        <v>1.6176114866660343E-2</v>
      </c>
      <c r="DB51">
        <v>167306094343.94708</v>
      </c>
      <c r="DC51">
        <v>2.685870949476957</v>
      </c>
      <c r="DD51">
        <v>5.1145172426705909E-4</v>
      </c>
      <c r="DE51">
        <v>5291530894491.3213</v>
      </c>
      <c r="DF51">
        <v>2.4879646689891817</v>
      </c>
      <c r="DG51">
        <v>8.2645392755260588E-6</v>
      </c>
      <c r="DH51">
        <v>327466844765854.56</v>
      </c>
      <c r="DI51">
        <v>2.2617860627174378</v>
      </c>
      <c r="DJ51">
        <v>6.3521833169780528E-10</v>
      </c>
      <c r="DK51">
        <v>4.2605234530408796E+18</v>
      </c>
      <c r="DL51">
        <v>1.9790628048777579</v>
      </c>
      <c r="DM51">
        <v>2904000000</v>
      </c>
      <c r="DN51">
        <v>2.8272325783967971</v>
      </c>
      <c r="DO51">
        <v>2706362600</v>
      </c>
      <c r="DP51">
        <v>-278820490</v>
      </c>
      <c r="DQ51">
        <v>3073</v>
      </c>
      <c r="DR51">
        <v>-3.7861912714503232</v>
      </c>
      <c r="DS51">
        <v>36.034260302203243</v>
      </c>
      <c r="DT51" s="7">
        <v>-0.47333333333333338</v>
      </c>
      <c r="DU51">
        <v>-1.4400000000000002</v>
      </c>
      <c r="DV51">
        <v>-1.9133333333333336</v>
      </c>
      <c r="DW51">
        <v>-2.1581999999999999</v>
      </c>
      <c r="DX51">
        <v>0.28621263736263686</v>
      </c>
      <c r="DY51">
        <v>-2.0152208392307691</v>
      </c>
      <c r="DZ51">
        <v>3184</v>
      </c>
      <c r="EA51">
        <v>-2.0057368564302274</v>
      </c>
      <c r="EB51">
        <v>2</v>
      </c>
      <c r="EC51">
        <v>3.0187087381875224E-2</v>
      </c>
      <c r="ED51">
        <v>0.31375387069056582</v>
      </c>
      <c r="EE51" s="11">
        <v>7.899999999999999E-3</v>
      </c>
      <c r="EF51">
        <v>8.709999999999999E-3</v>
      </c>
      <c r="EG51">
        <v>19.096212637362637</v>
      </c>
      <c r="EH51">
        <v>-1</v>
      </c>
      <c r="EI51">
        <v>0</v>
      </c>
      <c r="EJ51">
        <v>0</v>
      </c>
      <c r="EK51" s="13">
        <v>45470</v>
      </c>
      <c r="EL51" s="14">
        <v>0.41</v>
      </c>
      <c r="EM51" s="14">
        <v>-3.88</v>
      </c>
      <c r="EN51" s="14">
        <v>0.64</v>
      </c>
      <c r="EO51" s="14">
        <v>1.69</v>
      </c>
      <c r="EP51" s="14">
        <v>-1.66</v>
      </c>
    </row>
    <row r="52" spans="1:146" ht="108" x14ac:dyDescent="0.25">
      <c r="A52" s="6"/>
      <c r="B52" s="6"/>
      <c r="C52" s="6" t="str">
        <f>""&amp;CHAR(10)&amp;Basic_Fundamental_Information_Constructure(F52)&amp;CHAR(10)&amp;Basic_Fundamental_Information_Concatenate("")</f>
        <v xml:space="preserve">
市值56.707817亿, 利润1.61亿; PE; 平均PE34.51; 平均PEG7.83, PB1.59; ROIC2.07%; ROE-6.2033%; 股利率0%; 毛利10.0867%; 净利-8.91%; 上一年度营收增-8.09%, 利润增132.33%; 当季营收增-66.34%, 利润增-385.51%; 过往5年营收增-4.41%, 利润增-260.9%
Income profile:
</v>
      </c>
      <c r="D52" t="s">
        <v>82</v>
      </c>
      <c r="E52" t="s">
        <v>27</v>
      </c>
      <c r="F52">
        <v>4.4000000000000004</v>
      </c>
      <c r="G52">
        <v>-3.3</v>
      </c>
      <c r="H52" t="s">
        <v>2527</v>
      </c>
      <c r="I52">
        <v>5670781700</v>
      </c>
      <c r="K52">
        <v>1.59</v>
      </c>
      <c r="L52" t="s">
        <v>53</v>
      </c>
      <c r="M52" t="s">
        <v>1633</v>
      </c>
      <c r="N52" t="s">
        <v>2528</v>
      </c>
      <c r="O52" t="s">
        <v>127</v>
      </c>
      <c r="P52">
        <v>-42.52</v>
      </c>
      <c r="Q52" t="s">
        <v>2529</v>
      </c>
      <c r="R52">
        <v>-73514989</v>
      </c>
      <c r="S52" s="5">
        <v>0.1305</v>
      </c>
      <c r="T52" t="s">
        <v>159</v>
      </c>
      <c r="U52">
        <v>1287020010</v>
      </c>
      <c r="V52">
        <v>1288814030</v>
      </c>
      <c r="W52">
        <v>2.4</v>
      </c>
      <c r="X52">
        <v>0.02</v>
      </c>
      <c r="Y52">
        <v>-32.450000000000003</v>
      </c>
      <c r="Z52" t="s">
        <v>2530</v>
      </c>
      <c r="AA52" t="s">
        <v>2531</v>
      </c>
      <c r="AB52" t="s">
        <v>2532</v>
      </c>
      <c r="AC52" t="s">
        <v>2533</v>
      </c>
      <c r="AD52" t="s">
        <v>117</v>
      </c>
      <c r="AE52">
        <v>33594479</v>
      </c>
      <c r="AF52" t="s">
        <v>1636</v>
      </c>
      <c r="AG52" t="s">
        <v>2534</v>
      </c>
      <c r="AH52" t="s">
        <v>1637</v>
      </c>
      <c r="AI52" t="s">
        <v>2535</v>
      </c>
      <c r="AJ52" t="s">
        <v>1638</v>
      </c>
      <c r="AK52" t="s">
        <v>2536</v>
      </c>
      <c r="AL52" t="s">
        <v>1639</v>
      </c>
      <c r="AM52" t="s">
        <v>117</v>
      </c>
      <c r="AN52" t="s">
        <v>246</v>
      </c>
      <c r="AO52" t="s">
        <v>2537</v>
      </c>
      <c r="AP52" t="s">
        <v>934</v>
      </c>
      <c r="AQ52" t="s">
        <v>2538</v>
      </c>
      <c r="AR52" t="s">
        <v>117</v>
      </c>
      <c r="AS52" t="s">
        <v>2539</v>
      </c>
      <c r="AT52" t="s">
        <v>691</v>
      </c>
      <c r="AU52" t="s">
        <v>2540</v>
      </c>
      <c r="AV52" t="s">
        <v>2541</v>
      </c>
      <c r="AW52" t="s">
        <v>2542</v>
      </c>
      <c r="AX52" t="s">
        <v>1071</v>
      </c>
      <c r="AY52" t="s">
        <v>765</v>
      </c>
      <c r="AZ52" t="s">
        <v>465</v>
      </c>
      <c r="BA52" t="s">
        <v>160</v>
      </c>
      <c r="BB52" t="s">
        <v>466</v>
      </c>
      <c r="BC52" t="s">
        <v>1640</v>
      </c>
      <c r="BD52" t="s">
        <v>766</v>
      </c>
      <c r="BE52" t="s">
        <v>461</v>
      </c>
      <c r="BF52" t="s">
        <v>1119</v>
      </c>
      <c r="BG52" t="s">
        <v>467</v>
      </c>
      <c r="BH52" t="s">
        <v>1634</v>
      </c>
      <c r="BI52" t="s">
        <v>1088</v>
      </c>
      <c r="BJ52" t="s">
        <v>1071</v>
      </c>
      <c r="BK52" t="s">
        <v>1635</v>
      </c>
      <c r="BL52" t="s">
        <v>2543</v>
      </c>
      <c r="BM52" t="s">
        <v>1640</v>
      </c>
      <c r="BN52" t="s">
        <v>117</v>
      </c>
      <c r="BO52" t="s">
        <v>117</v>
      </c>
      <c r="BP52">
        <v>2.0699999999999998</v>
      </c>
      <c r="BQ52">
        <v>-7.17</v>
      </c>
      <c r="BR52">
        <v>-12.34</v>
      </c>
      <c r="BS52">
        <v>0.9</v>
      </c>
      <c r="BT52" t="s">
        <v>930</v>
      </c>
      <c r="BU52" t="s">
        <v>847</v>
      </c>
      <c r="BV52">
        <v>9.39</v>
      </c>
      <c r="BW52">
        <v>4.71</v>
      </c>
      <c r="BX52">
        <v>16.16</v>
      </c>
      <c r="BY52">
        <v>-13.37</v>
      </c>
      <c r="BZ52">
        <v>-15.1</v>
      </c>
      <c r="CA52">
        <v>1.74</v>
      </c>
      <c r="CB52">
        <v>-1.35</v>
      </c>
      <c r="CC52">
        <v>-5.38</v>
      </c>
      <c r="CD52" t="s">
        <v>1458</v>
      </c>
      <c r="CE52" t="s">
        <v>2027</v>
      </c>
      <c r="CF52" s="9">
        <v>-0.6633663366336634</v>
      </c>
      <c r="CG52" s="10">
        <v>-3.855072993409427</v>
      </c>
      <c r="CH52" s="9">
        <v>-8.0884218215942383E-2</v>
      </c>
      <c r="CI52" s="9">
        <v>-0.33442965149879456</v>
      </c>
      <c r="CJ52" s="9">
        <v>-0.18369369208812714</v>
      </c>
      <c r="CK52" s="9">
        <v>0.25902864336967468</v>
      </c>
      <c r="CL52" s="9">
        <v>0.11949810385704041</v>
      </c>
      <c r="CM52" s="10">
        <v>1.3232932090759277</v>
      </c>
      <c r="CN52" s="10">
        <v>-13.443281173706055</v>
      </c>
      <c r="CO52" s="10">
        <v>-0.90841740369796753</v>
      </c>
      <c r="CP52" s="10">
        <v>0.10353535413742065</v>
      </c>
      <c r="CQ52" s="10">
        <v>-0.11999999731779099</v>
      </c>
      <c r="CR52">
        <v>34.507043456248823</v>
      </c>
      <c r="CS52">
        <v>7.8254072860228128</v>
      </c>
      <c r="CT52">
        <v>0</v>
      </c>
      <c r="CU52" s="9">
        <v>-4.4096162915229796E-2</v>
      </c>
      <c r="CV52" s="10">
        <v>-2.608974002301693</v>
      </c>
      <c r="CW52">
        <v>0.06</v>
      </c>
      <c r="CX52" t="e">
        <v>#VALUE!</v>
      </c>
      <c r="CY52" t="s">
        <v>1097</v>
      </c>
      <c r="CZ52">
        <v>-4.4096162915229796E-2</v>
      </c>
      <c r="DA52">
        <v>17.225220910973086</v>
      </c>
      <c r="DB52" t="s">
        <v>2544</v>
      </c>
      <c r="DC52">
        <v>-4.1891354769468307E-2</v>
      </c>
      <c r="DD52">
        <v>8.6126104554865428</v>
      </c>
      <c r="DE52" t="s">
        <v>2545</v>
      </c>
      <c r="DF52">
        <v>-3.8804623365402219E-2</v>
      </c>
      <c r="DG52">
        <v>5.1675662732919259</v>
      </c>
      <c r="DH52" t="s">
        <v>2546</v>
      </c>
      <c r="DI52">
        <v>-3.5276930332183841E-2</v>
      </c>
      <c r="DJ52">
        <v>2.5837831366459629</v>
      </c>
      <c r="DK52" t="s">
        <v>2547</v>
      </c>
      <c r="DL52">
        <v>-3.0867314040660856E-2</v>
      </c>
      <c r="DM52">
        <v>161000000</v>
      </c>
      <c r="DN52">
        <v>-4.4096162915229796E-2</v>
      </c>
      <c r="DO52">
        <v>8319781700</v>
      </c>
      <c r="DP52">
        <v>2319144500</v>
      </c>
      <c r="DQ52">
        <v>3098</v>
      </c>
      <c r="DR52">
        <v>-0.61927017371843363</v>
      </c>
      <c r="DS52">
        <v>-1.246098991107734</v>
      </c>
      <c r="DT52" s="7">
        <v>-0.60666666666666669</v>
      </c>
      <c r="DU52">
        <v>-1.5483333333333331</v>
      </c>
      <c r="DV52">
        <v>-2.1549999999999998</v>
      </c>
      <c r="DW52">
        <v>-1.0538000000000001</v>
      </c>
      <c r="DX52">
        <v>0.38236811254396241</v>
      </c>
      <c r="DY52">
        <v>-1.0087354044548651</v>
      </c>
      <c r="DZ52">
        <v>2566</v>
      </c>
      <c r="EA52">
        <v>-1.004348898029976</v>
      </c>
      <c r="EB52">
        <v>1</v>
      </c>
      <c r="EC52">
        <v>0.21492627605861803</v>
      </c>
      <c r="ED52">
        <v>1.3236975702382754</v>
      </c>
      <c r="EE52" s="11">
        <v>-2.04501</v>
      </c>
      <c r="EF52">
        <v>-2.0599099999999999</v>
      </c>
      <c r="EG52">
        <v>22.162368112543962</v>
      </c>
      <c r="EH52" t="s">
        <v>1566</v>
      </c>
      <c r="EI52">
        <v>0</v>
      </c>
      <c r="EJ52">
        <v>0</v>
      </c>
      <c r="EK52" s="13">
        <v>45470</v>
      </c>
      <c r="EL52" s="14">
        <v>1.64</v>
      </c>
      <c r="EM52" s="14">
        <v>-2.64</v>
      </c>
      <c r="EN52" s="14">
        <v>1.81</v>
      </c>
      <c r="EO52" s="14">
        <v>-0.89</v>
      </c>
      <c r="EP52" s="14">
        <v>-1.49</v>
      </c>
    </row>
    <row r="53" spans="1:146" ht="108" x14ac:dyDescent="0.25">
      <c r="A53" s="6"/>
      <c r="B53" s="6"/>
      <c r="C53" s="6" t="str">
        <f>""&amp;CHAR(10)&amp;Basic_Fundamental_Information_Constructure(F53)&amp;CHAR(10)&amp;Basic_Fundamental_Information_Concatenate("")</f>
        <v xml:space="preserve">
市值51.83193亿, 利润35.76亿; PE11.72; 平均PE6.05; 平均PEG.04, PB.834; ROIC6.3367%; ROE7.76%; 股利率3.096%; 毛利26.46%; 净利10.07%; 上一年度营收增628.68%, 利润增761.69%; 当季营收增-91.89%, 利润增-101.79%; 过往5年营收增135.99%, 利润增158.6%
Income profile:
</v>
      </c>
      <c r="D53" t="s">
        <v>62</v>
      </c>
      <c r="E53" t="s">
        <v>33</v>
      </c>
      <c r="F53">
        <v>3.23</v>
      </c>
      <c r="G53">
        <v>0</v>
      </c>
      <c r="H53" t="s">
        <v>2548</v>
      </c>
      <c r="I53">
        <v>5183193000</v>
      </c>
      <c r="J53">
        <v>11.72</v>
      </c>
      <c r="K53">
        <v>0.83399999999999996</v>
      </c>
      <c r="L53" t="s">
        <v>53</v>
      </c>
      <c r="M53" t="s">
        <v>1641</v>
      </c>
      <c r="N53" t="s">
        <v>2549</v>
      </c>
      <c r="O53" t="s">
        <v>1253</v>
      </c>
      <c r="P53">
        <v>-20.75</v>
      </c>
      <c r="Q53" t="s">
        <v>2550</v>
      </c>
      <c r="R53">
        <v>-14014999</v>
      </c>
      <c r="S53" s="5">
        <v>-2.9790000000000001</v>
      </c>
      <c r="T53" t="s">
        <v>2551</v>
      </c>
      <c r="U53">
        <v>1378790100</v>
      </c>
      <c r="V53">
        <v>1604703700</v>
      </c>
      <c r="W53">
        <v>1.5</v>
      </c>
      <c r="X53">
        <v>0.05</v>
      </c>
      <c r="Y53">
        <v>-4.05</v>
      </c>
      <c r="Z53" t="s">
        <v>2552</v>
      </c>
      <c r="AA53" t="s">
        <v>2553</v>
      </c>
      <c r="AB53" t="s">
        <v>2554</v>
      </c>
      <c r="AC53" t="s">
        <v>2555</v>
      </c>
      <c r="AD53" t="s">
        <v>117</v>
      </c>
      <c r="AE53">
        <v>6962518</v>
      </c>
      <c r="AF53" t="s">
        <v>118</v>
      </c>
      <c r="AG53" t="s">
        <v>2556</v>
      </c>
      <c r="AH53" t="s">
        <v>1643</v>
      </c>
      <c r="AI53" t="s">
        <v>2557</v>
      </c>
      <c r="AJ53" t="s">
        <v>1644</v>
      </c>
      <c r="AK53" t="s">
        <v>472</v>
      </c>
      <c r="AL53" t="s">
        <v>1645</v>
      </c>
      <c r="AM53" t="s">
        <v>117</v>
      </c>
      <c r="AN53" t="s">
        <v>2558</v>
      </c>
      <c r="AO53" t="s">
        <v>2559</v>
      </c>
      <c r="AP53" t="s">
        <v>2560</v>
      </c>
      <c r="AQ53" t="s">
        <v>2363</v>
      </c>
      <c r="AR53" t="s">
        <v>117</v>
      </c>
      <c r="AS53" t="s">
        <v>2561</v>
      </c>
      <c r="AT53" t="s">
        <v>2562</v>
      </c>
      <c r="AU53" t="s">
        <v>2563</v>
      </c>
      <c r="AV53" t="s">
        <v>2564</v>
      </c>
      <c r="AW53" t="s">
        <v>2565</v>
      </c>
      <c r="AX53" t="s">
        <v>1072</v>
      </c>
      <c r="AY53" t="s">
        <v>767</v>
      </c>
      <c r="AZ53" t="s">
        <v>468</v>
      </c>
      <c r="BA53" t="s">
        <v>163</v>
      </c>
      <c r="BB53" t="s">
        <v>469</v>
      </c>
      <c r="BC53" t="s">
        <v>950</v>
      </c>
      <c r="BD53" t="s">
        <v>274</v>
      </c>
      <c r="BE53" t="s">
        <v>258</v>
      </c>
      <c r="BF53" t="s">
        <v>164</v>
      </c>
      <c r="BG53" t="s">
        <v>351</v>
      </c>
      <c r="BH53" t="s">
        <v>1642</v>
      </c>
      <c r="BI53" t="s">
        <v>2566</v>
      </c>
      <c r="BJ53" t="s">
        <v>1072</v>
      </c>
      <c r="BK53" t="s">
        <v>335</v>
      </c>
      <c r="BL53" t="s">
        <v>603</v>
      </c>
      <c r="BM53" t="s">
        <v>950</v>
      </c>
      <c r="BN53">
        <v>7.23</v>
      </c>
      <c r="BO53">
        <v>6.6</v>
      </c>
      <c r="BP53">
        <v>5.18</v>
      </c>
      <c r="BQ53">
        <v>8.64</v>
      </c>
      <c r="BR53">
        <v>8.16</v>
      </c>
      <c r="BS53">
        <v>6.48</v>
      </c>
      <c r="BT53" t="s">
        <v>952</v>
      </c>
      <c r="BU53" t="s">
        <v>847</v>
      </c>
      <c r="BV53">
        <v>24.79</v>
      </c>
      <c r="BW53">
        <v>26.56</v>
      </c>
      <c r="BX53">
        <v>28.03</v>
      </c>
      <c r="BY53">
        <v>10.96</v>
      </c>
      <c r="BZ53">
        <v>11.27</v>
      </c>
      <c r="CA53">
        <v>7.98</v>
      </c>
      <c r="CB53">
        <v>-1.52</v>
      </c>
      <c r="CC53">
        <v>-11.02</v>
      </c>
      <c r="CD53" t="s">
        <v>2567</v>
      </c>
      <c r="CE53" t="s">
        <v>1291</v>
      </c>
      <c r="CF53" s="9">
        <v>-0.91888319841400956</v>
      </c>
      <c r="CG53" s="10">
        <v>-1.0179219936061381</v>
      </c>
      <c r="CH53" s="9">
        <v>6.2868218421936035</v>
      </c>
      <c r="CI53" s="9">
        <v>-4.3711673468351364E-2</v>
      </c>
      <c r="CJ53" s="9">
        <v>0.28896209597587585</v>
      </c>
      <c r="CK53" s="9">
        <v>-3.3131569623947144E-2</v>
      </c>
      <c r="CL53" s="9">
        <v>0.30033135414123535</v>
      </c>
      <c r="CM53" s="10">
        <v>7.6168675422668457</v>
      </c>
      <c r="CN53" s="10">
        <v>0.3174603283405304</v>
      </c>
      <c r="CO53" s="10">
        <v>0.25</v>
      </c>
      <c r="CP53" s="10">
        <v>0.14027149975299835</v>
      </c>
      <c r="CQ53" s="10">
        <v>-0.39452055096626282</v>
      </c>
      <c r="CR53">
        <v>6.0457150077760495</v>
      </c>
      <c r="CS53">
        <v>4.4458546179741487E-2</v>
      </c>
      <c r="CT53">
        <v>3.0959752321981426</v>
      </c>
      <c r="CU53" s="9">
        <v>1.3598544098436833</v>
      </c>
      <c r="CV53" s="10">
        <v>1.5860157638788224</v>
      </c>
      <c r="CW53">
        <v>0.06</v>
      </c>
      <c r="CX53">
        <v>0.24659606479728374</v>
      </c>
      <c r="CY53">
        <v>7961169216.6047277</v>
      </c>
      <c r="CZ53">
        <v>1.3598544098436833</v>
      </c>
      <c r="DA53">
        <v>3.2399294737103533E-2</v>
      </c>
      <c r="DB53">
        <v>60593695508.802536</v>
      </c>
      <c r="DC53">
        <v>1.2918616893514991</v>
      </c>
      <c r="DD53">
        <v>3.6324320155290564E-3</v>
      </c>
      <c r="DE53">
        <v>540462420661.1792</v>
      </c>
      <c r="DF53">
        <v>1.1966718806624412</v>
      </c>
      <c r="DG53">
        <v>3.0781759444145179E-4</v>
      </c>
      <c r="DH53">
        <v>6377780333064.7744</v>
      </c>
      <c r="DI53">
        <v>1.0878835278749468</v>
      </c>
      <c r="DJ53">
        <v>1.2485337294896814E-6</v>
      </c>
      <c r="DK53">
        <v>1572398849650961.7</v>
      </c>
      <c r="DL53">
        <v>0.95189808689057831</v>
      </c>
      <c r="DM53">
        <v>3576000000</v>
      </c>
      <c r="DN53">
        <v>1.3598544098436833</v>
      </c>
      <c r="DO53">
        <v>1963193000</v>
      </c>
      <c r="DP53">
        <v>1380536500</v>
      </c>
      <c r="DQ53">
        <v>3174</v>
      </c>
      <c r="DR53">
        <v>-2.2787376082576927</v>
      </c>
      <c r="DS53">
        <v>-2.6039377574849603</v>
      </c>
      <c r="DT53" s="7">
        <v>9.3333333333333268E-2</v>
      </c>
      <c r="DU53">
        <v>-0.41500000000000004</v>
      </c>
      <c r="DV53">
        <v>-0.32166666666666677</v>
      </c>
      <c r="DW53">
        <v>-2.1101999999999999</v>
      </c>
      <c r="DX53">
        <v>0.38522279635258472</v>
      </c>
      <c r="DY53">
        <v>-2.0137995521580545</v>
      </c>
      <c r="DZ53">
        <v>3208</v>
      </c>
      <c r="EA53">
        <v>-2.0051363499421955</v>
      </c>
      <c r="EB53">
        <v>2</v>
      </c>
      <c r="EC53">
        <v>2.5673462334510726E-2</v>
      </c>
      <c r="ED53">
        <v>0.20502227295917619</v>
      </c>
      <c r="EE53" s="11">
        <v>-1.0038</v>
      </c>
      <c r="EF53">
        <v>-1.0217099999999999</v>
      </c>
      <c r="EG53">
        <v>26.125222796352585</v>
      </c>
      <c r="EH53" t="s">
        <v>804</v>
      </c>
      <c r="EI53">
        <v>0</v>
      </c>
      <c r="EJ53">
        <v>0</v>
      </c>
      <c r="EK53" s="13">
        <v>45470</v>
      </c>
      <c r="EL53" s="14">
        <v>0.43</v>
      </c>
      <c r="EM53" s="14">
        <v>-5.13</v>
      </c>
      <c r="EN53" s="14">
        <v>2.7</v>
      </c>
      <c r="EO53" s="14">
        <v>3.07</v>
      </c>
      <c r="EP53" s="14">
        <v>-2.5499999999999998</v>
      </c>
    </row>
    <row r="54" spans="1:146" ht="108" x14ac:dyDescent="0.25">
      <c r="A54" s="6"/>
      <c r="B54" s="6"/>
      <c r="C54" s="6" t="str">
        <f>""&amp;CHAR(10)&amp;Basic_Fundamental_Information_Constructure(F54)&amp;CHAR(10)&amp;Basic_Fundamental_Information_Concatenate("")</f>
        <v xml:space="preserve">
市值56.377545亿, 利润5.25亿; PE20.47; 平均PE8.42; 平均PEG1.75, PB.791; ROIC7.68%; ROE8.06%; 股利率2.1204%; 毛利14.9567%; 净利8.2767%; 上一年度营收增-60.24%, 利润增-.76%; 当季营收增89.71%, 利润增-113.34%; 过往5年营收增4.82%, 利润增10.69%
Income profile:
</v>
      </c>
      <c r="D54" t="s">
        <v>95</v>
      </c>
      <c r="E54" t="s">
        <v>35</v>
      </c>
      <c r="F54">
        <v>11.79</v>
      </c>
      <c r="G54">
        <v>0.94</v>
      </c>
      <c r="H54" t="s">
        <v>2568</v>
      </c>
      <c r="I54">
        <v>5637754500</v>
      </c>
      <c r="J54">
        <v>20.47</v>
      </c>
      <c r="K54">
        <v>0.79100000000000004</v>
      </c>
      <c r="L54" t="s">
        <v>53</v>
      </c>
      <c r="M54" t="s">
        <v>1646</v>
      </c>
      <c r="N54" t="s">
        <v>2569</v>
      </c>
      <c r="O54" t="s">
        <v>1647</v>
      </c>
      <c r="P54">
        <v>37.42</v>
      </c>
      <c r="Q54" t="s">
        <v>2570</v>
      </c>
      <c r="R54">
        <v>-15473222</v>
      </c>
      <c r="S54" s="5">
        <v>-3.3940000000000001</v>
      </c>
      <c r="T54" t="s">
        <v>1669</v>
      </c>
      <c r="U54">
        <v>478181040</v>
      </c>
      <c r="V54">
        <v>478181040</v>
      </c>
      <c r="W54">
        <v>1.51</v>
      </c>
      <c r="X54">
        <v>0.14000000000000001</v>
      </c>
      <c r="Y54">
        <v>-1.1399999999999999</v>
      </c>
      <c r="Z54" t="s">
        <v>2571</v>
      </c>
      <c r="AA54" t="s">
        <v>2572</v>
      </c>
      <c r="AB54" t="s">
        <v>2573</v>
      </c>
      <c r="AC54" t="s">
        <v>2574</v>
      </c>
      <c r="AD54" t="s">
        <v>117</v>
      </c>
      <c r="AE54">
        <v>1543628</v>
      </c>
      <c r="AF54" t="s">
        <v>1649</v>
      </c>
      <c r="AG54" t="s">
        <v>2575</v>
      </c>
      <c r="AH54" t="s">
        <v>1650</v>
      </c>
      <c r="AI54" t="s">
        <v>2576</v>
      </c>
      <c r="AJ54" t="s">
        <v>1651</v>
      </c>
      <c r="AK54" t="s">
        <v>2577</v>
      </c>
      <c r="AL54" t="s">
        <v>1652</v>
      </c>
      <c r="AM54" t="s">
        <v>117</v>
      </c>
      <c r="AN54" t="s">
        <v>2578</v>
      </c>
      <c r="AO54" t="s">
        <v>1271</v>
      </c>
      <c r="AP54" t="s">
        <v>2579</v>
      </c>
      <c r="AQ54" t="s">
        <v>2580</v>
      </c>
      <c r="AR54" t="s">
        <v>117</v>
      </c>
      <c r="AS54" t="s">
        <v>2581</v>
      </c>
      <c r="AT54" t="s">
        <v>2582</v>
      </c>
      <c r="AU54" t="s">
        <v>2583</v>
      </c>
      <c r="AV54" t="s">
        <v>2584</v>
      </c>
      <c r="AW54" t="s">
        <v>337</v>
      </c>
      <c r="AX54" t="s">
        <v>1073</v>
      </c>
      <c r="AY54" t="s">
        <v>768</v>
      </c>
      <c r="AZ54" t="s">
        <v>470</v>
      </c>
      <c r="BA54" t="s">
        <v>166</v>
      </c>
      <c r="BB54" t="s">
        <v>471</v>
      </c>
      <c r="BC54" t="s">
        <v>610</v>
      </c>
      <c r="BD54" t="s">
        <v>599</v>
      </c>
      <c r="BE54" t="s">
        <v>139</v>
      </c>
      <c r="BF54" t="s">
        <v>167</v>
      </c>
      <c r="BG54" t="s">
        <v>472</v>
      </c>
      <c r="BH54" t="s">
        <v>1648</v>
      </c>
      <c r="BI54" t="s">
        <v>2585</v>
      </c>
      <c r="BJ54" t="s">
        <v>1073</v>
      </c>
      <c r="BK54" t="s">
        <v>1606</v>
      </c>
      <c r="BL54" t="s">
        <v>246</v>
      </c>
      <c r="BM54" t="s">
        <v>610</v>
      </c>
      <c r="BN54">
        <v>3.77</v>
      </c>
      <c r="BO54">
        <v>7.31</v>
      </c>
      <c r="BP54">
        <v>11.96</v>
      </c>
      <c r="BQ54">
        <v>4.12</v>
      </c>
      <c r="BR54">
        <v>7.69</v>
      </c>
      <c r="BS54">
        <v>12.37</v>
      </c>
      <c r="BT54" t="s">
        <v>955</v>
      </c>
      <c r="BU54" t="s">
        <v>847</v>
      </c>
      <c r="BV54">
        <v>6.97</v>
      </c>
      <c r="BW54">
        <v>13.17</v>
      </c>
      <c r="BX54">
        <v>24.73</v>
      </c>
      <c r="BY54">
        <v>3.15</v>
      </c>
      <c r="BZ54">
        <v>6.68</v>
      </c>
      <c r="CA54">
        <v>15</v>
      </c>
      <c r="CB54">
        <v>0.34</v>
      </c>
      <c r="CC54">
        <v>-13.56</v>
      </c>
      <c r="CD54" t="s">
        <v>2586</v>
      </c>
      <c r="CE54" t="s">
        <v>331</v>
      </c>
      <c r="CF54" s="9">
        <v>0.89709443099273611</v>
      </c>
      <c r="CG54" s="10">
        <v>-1.1333898448275863</v>
      </c>
      <c r="CH54" s="9">
        <v>-0.60244858264923096</v>
      </c>
      <c r="CI54" s="9">
        <v>0.49714678525924683</v>
      </c>
      <c r="CJ54" s="9">
        <v>0.13170252740383148</v>
      </c>
      <c r="CK54" s="9">
        <v>6.6805846989154816E-2</v>
      </c>
      <c r="CL54" s="9">
        <v>0.14785531163215637</v>
      </c>
      <c r="CM54" s="10">
        <v>-7.5614368543028831E-3</v>
      </c>
      <c r="CN54" s="10">
        <v>-0.33957552909851074</v>
      </c>
      <c r="CO54" s="10">
        <v>-0.16994819045066833</v>
      </c>
      <c r="CP54" s="10">
        <v>0.25487646460533142</v>
      </c>
      <c r="CQ54" s="10">
        <v>0.79672896862030029</v>
      </c>
      <c r="CR54">
        <v>8.4208431665421948</v>
      </c>
      <c r="CS54">
        <v>1.7466143682477617</v>
      </c>
      <c r="CT54">
        <v>2.1204410517387617</v>
      </c>
      <c r="CU54" s="9">
        <v>4.8212377727031706E-2</v>
      </c>
      <c r="CV54" s="10">
        <v>0.10690405536442996</v>
      </c>
      <c r="CW54">
        <v>0.06</v>
      </c>
      <c r="CX54">
        <v>3.5379231144375405</v>
      </c>
      <c r="CY54">
        <v>519161790.85536951</v>
      </c>
      <c r="CZ54">
        <v>4.8212377727031706E-2</v>
      </c>
      <c r="DA54">
        <v>1.1980011209646424</v>
      </c>
      <c r="DB54">
        <v>1533182622.1673541</v>
      </c>
      <c r="DC54">
        <v>4.5801758840680121E-2</v>
      </c>
      <c r="DD54">
        <v>0.61798008177857355</v>
      </c>
      <c r="DE54">
        <v>2972190454.2841263</v>
      </c>
      <c r="DF54">
        <v>4.2426892399787905E-2</v>
      </c>
      <c r="DG54">
        <v>0.39077834816094048</v>
      </c>
      <c r="DH54">
        <v>4700246338.22225</v>
      </c>
      <c r="DI54">
        <v>3.8569902181625371E-2</v>
      </c>
      <c r="DJ54">
        <v>0.22526062849554421</v>
      </c>
      <c r="DK54">
        <v>8153908262.9183559</v>
      </c>
      <c r="DL54">
        <v>3.3748664408922192E-2</v>
      </c>
      <c r="DM54">
        <v>525000000</v>
      </c>
      <c r="DN54">
        <v>4.8212377727031706E-2</v>
      </c>
      <c r="DO54">
        <v>1836754500</v>
      </c>
      <c r="DP54">
        <v>2635012800</v>
      </c>
      <c r="DQ54">
        <v>3186</v>
      </c>
      <c r="DR54">
        <v>0.84888205326570443</v>
      </c>
      <c r="DS54">
        <v>-1.2402939001920164</v>
      </c>
      <c r="DT54" s="7">
        <v>-0.62333333333333341</v>
      </c>
      <c r="DU54">
        <v>-0.8650000000000001</v>
      </c>
      <c r="DV54">
        <v>-1.4883333333333335</v>
      </c>
      <c r="DW54">
        <v>-2.1356000000000002</v>
      </c>
      <c r="DX54">
        <v>0.34445460992907911</v>
      </c>
      <c r="DY54">
        <v>-2.0209440451063831</v>
      </c>
      <c r="DZ54">
        <v>4349</v>
      </c>
      <c r="EA54">
        <v>-2.003119064251655</v>
      </c>
      <c r="EB54">
        <v>2</v>
      </c>
      <c r="EC54">
        <v>4.5543629249708437E-2</v>
      </c>
      <c r="ED54">
        <v>0.29486740001234679</v>
      </c>
      <c r="EE54" s="11">
        <v>-2.0268099999999998</v>
      </c>
      <c r="EF54">
        <v>-2.0268100000000002</v>
      </c>
      <c r="EG54">
        <v>19.154454609929079</v>
      </c>
      <c r="EH54" t="s">
        <v>1566</v>
      </c>
      <c r="EI54">
        <v>0</v>
      </c>
      <c r="EJ54">
        <v>0</v>
      </c>
      <c r="EK54" s="13">
        <v>45470</v>
      </c>
      <c r="EL54" s="14">
        <v>-2.02</v>
      </c>
      <c r="EM54" s="14">
        <v>-4.6399999999999997</v>
      </c>
      <c r="EN54" s="14">
        <v>2.7</v>
      </c>
      <c r="EO54" s="14">
        <v>3.16</v>
      </c>
      <c r="EP54" s="14">
        <v>0</v>
      </c>
    </row>
    <row r="55" spans="1:146" ht="108" x14ac:dyDescent="0.25">
      <c r="A55" s="6"/>
      <c r="B55" s="6"/>
      <c r="C55" s="6" t="str">
        <f>""&amp;CHAR(10)&amp;Basic_Fundamental_Information_Constructure(F55)&amp;CHAR(10)&amp;Basic_Fundamental_Information_Concatenate("")</f>
        <v xml:space="preserve">
市值1280.84143亿, 利润4.62亿; PE13.66; 平均PE5.19; 平均PEG.3, PB.687; ROIC9.2567%; ROE10.8167%; 股利率3.9719%; 毛利22.5%; 净利13.3967%; 上一年度营收增-93.96%, 利润增-97.05%; 当季营收增1020.17%, 利润增1609.81%; 过往5年营收增-17.1%, 利润增-27.6%
Income profile:
</v>
      </c>
      <c r="D55" t="s">
        <v>92</v>
      </c>
      <c r="E55" t="s">
        <v>43</v>
      </c>
      <c r="F55">
        <v>24.17</v>
      </c>
      <c r="G55">
        <v>0.96</v>
      </c>
      <c r="H55" t="s">
        <v>2587</v>
      </c>
      <c r="I55">
        <v>128084143000</v>
      </c>
      <c r="J55">
        <v>13.66</v>
      </c>
      <c r="K55">
        <v>0.68700000000000006</v>
      </c>
      <c r="L55" t="s">
        <v>53</v>
      </c>
      <c r="M55" t="s">
        <v>1654</v>
      </c>
      <c r="N55" t="s">
        <v>2588</v>
      </c>
      <c r="O55" t="s">
        <v>1655</v>
      </c>
      <c r="P55">
        <v>-32.08</v>
      </c>
      <c r="Q55" t="s">
        <v>2589</v>
      </c>
      <c r="R55">
        <v>1502318700</v>
      </c>
      <c r="S55" s="5">
        <v>-0.41139999999999999</v>
      </c>
      <c r="T55" t="s">
        <v>2590</v>
      </c>
      <c r="U55">
        <v>3999702600</v>
      </c>
      <c r="V55">
        <v>5299302600</v>
      </c>
      <c r="W55">
        <v>1.23</v>
      </c>
      <c r="X55">
        <v>0.09</v>
      </c>
      <c r="Y55">
        <v>6.98</v>
      </c>
      <c r="Z55" t="s">
        <v>1345</v>
      </c>
      <c r="AA55" t="s">
        <v>2591</v>
      </c>
      <c r="AB55" t="s">
        <v>1479</v>
      </c>
      <c r="AC55" t="s">
        <v>1591</v>
      </c>
      <c r="AD55" t="s">
        <v>117</v>
      </c>
      <c r="AE55">
        <v>-254648930</v>
      </c>
      <c r="AF55" t="s">
        <v>1658</v>
      </c>
      <c r="AG55" t="s">
        <v>454</v>
      </c>
      <c r="AH55" t="s">
        <v>1659</v>
      </c>
      <c r="AI55" t="s">
        <v>2592</v>
      </c>
      <c r="AJ55" t="s">
        <v>1660</v>
      </c>
      <c r="AK55" t="s">
        <v>2593</v>
      </c>
      <c r="AL55" t="s">
        <v>1661</v>
      </c>
      <c r="AM55" t="s">
        <v>117</v>
      </c>
      <c r="AN55" t="s">
        <v>2594</v>
      </c>
      <c r="AO55" t="s">
        <v>2595</v>
      </c>
      <c r="AP55" t="s">
        <v>1084</v>
      </c>
      <c r="AQ55" t="s">
        <v>2596</v>
      </c>
      <c r="AR55" t="s">
        <v>117</v>
      </c>
      <c r="AS55" t="s">
        <v>2597</v>
      </c>
      <c r="AT55" t="s">
        <v>2598</v>
      </c>
      <c r="AU55" t="s">
        <v>643</v>
      </c>
      <c r="AV55" t="s">
        <v>2599</v>
      </c>
      <c r="AW55" t="s">
        <v>2600</v>
      </c>
      <c r="AX55" t="s">
        <v>1075</v>
      </c>
      <c r="AY55" t="s">
        <v>1077</v>
      </c>
      <c r="AZ55" t="s">
        <v>769</v>
      </c>
      <c r="BA55" t="s">
        <v>169</v>
      </c>
      <c r="BB55" t="s">
        <v>473</v>
      </c>
      <c r="BC55" t="s">
        <v>1076</v>
      </c>
      <c r="BD55" t="s">
        <v>1078</v>
      </c>
      <c r="BE55" t="s">
        <v>770</v>
      </c>
      <c r="BF55" t="s">
        <v>170</v>
      </c>
      <c r="BG55" t="s">
        <v>474</v>
      </c>
      <c r="BH55" t="s">
        <v>1656</v>
      </c>
      <c r="BI55" t="s">
        <v>312</v>
      </c>
      <c r="BJ55" t="s">
        <v>1075</v>
      </c>
      <c r="BK55" t="s">
        <v>1657</v>
      </c>
      <c r="BL55" t="s">
        <v>2601</v>
      </c>
      <c r="BM55" t="s">
        <v>1076</v>
      </c>
      <c r="BN55">
        <v>3.75</v>
      </c>
      <c r="BO55">
        <v>6.99</v>
      </c>
      <c r="BP55">
        <v>17.03</v>
      </c>
      <c r="BQ55">
        <v>4.72</v>
      </c>
      <c r="BR55">
        <v>8.5</v>
      </c>
      <c r="BS55">
        <v>19.23</v>
      </c>
      <c r="BT55" t="s">
        <v>1662</v>
      </c>
      <c r="BU55" t="s">
        <v>847</v>
      </c>
      <c r="BV55">
        <v>16.57</v>
      </c>
      <c r="BW55">
        <v>21.3</v>
      </c>
      <c r="BX55">
        <v>29.63</v>
      </c>
      <c r="BY55">
        <v>7.62</v>
      </c>
      <c r="BZ55">
        <v>12.23</v>
      </c>
      <c r="CA55">
        <v>20.34</v>
      </c>
      <c r="CB55">
        <v>2.46</v>
      </c>
      <c r="CC55">
        <v>1.1299999999999999</v>
      </c>
      <c r="CD55" t="s">
        <v>2602</v>
      </c>
      <c r="CE55" t="s">
        <v>1688</v>
      </c>
      <c r="CF55" s="9">
        <v>10.201680672268907</v>
      </c>
      <c r="CG55" s="10">
        <v>16.098072265571652</v>
      </c>
      <c r="CH55" s="9">
        <v>-0.93963128328323364</v>
      </c>
      <c r="CI55" s="9">
        <v>-0.21396760642528534</v>
      </c>
      <c r="CJ55" s="9">
        <v>-4.7278705984354019E-2</v>
      </c>
      <c r="CK55" s="9">
        <v>0.12268352508544922</v>
      </c>
      <c r="CL55" s="9">
        <v>0.22294658422470093</v>
      </c>
      <c r="CM55" s="10">
        <v>-0.97049993276596069</v>
      </c>
      <c r="CN55" s="10">
        <v>-0.52924734354019165</v>
      </c>
      <c r="CO55" s="10">
        <v>-5.3757291287183762E-2</v>
      </c>
      <c r="CP55" s="10">
        <v>4.6587076038122177E-2</v>
      </c>
      <c r="CQ55" s="10">
        <v>0.12675254046916962</v>
      </c>
      <c r="CR55">
        <v>5.1941445970423645</v>
      </c>
      <c r="CS55">
        <v>0.30366324834294733</v>
      </c>
      <c r="CT55">
        <v>3.971865949524203</v>
      </c>
      <c r="CU55" s="9">
        <v>-0.17104949727654456</v>
      </c>
      <c r="CV55" s="10">
        <v>-0.27603299021720884</v>
      </c>
      <c r="CW55">
        <v>0.06</v>
      </c>
      <c r="CX55" t="s">
        <v>807</v>
      </c>
      <c r="CY55" t="s">
        <v>2603</v>
      </c>
      <c r="CZ55">
        <v>-0.17104949727654456</v>
      </c>
      <c r="DA55" t="s">
        <v>807</v>
      </c>
      <c r="DB55" t="s">
        <v>2604</v>
      </c>
      <c r="DC55">
        <v>-0.16249702241271732</v>
      </c>
      <c r="DD55" t="s">
        <v>807</v>
      </c>
      <c r="DE55" t="s">
        <v>2605</v>
      </c>
      <c r="DF55">
        <v>-0.15052355760335923</v>
      </c>
      <c r="DG55" t="s">
        <v>807</v>
      </c>
      <c r="DH55" t="s">
        <v>2606</v>
      </c>
      <c r="DI55">
        <v>-0.13683959782123564</v>
      </c>
      <c r="DJ55" t="s">
        <v>807</v>
      </c>
      <c r="DK55" t="s">
        <v>2607</v>
      </c>
      <c r="DL55">
        <v>-0.11973464809358118</v>
      </c>
      <c r="DM55">
        <v>462000000</v>
      </c>
      <c r="DN55">
        <v>-0.17104949727654456</v>
      </c>
      <c r="DO55">
        <v>-22734857000</v>
      </c>
      <c r="DP55">
        <v>73068854000</v>
      </c>
      <c r="DQ55">
        <v>3293</v>
      </c>
      <c r="DR55">
        <v>10.372730169545452</v>
      </c>
      <c r="DS55">
        <v>16.374105255788862</v>
      </c>
      <c r="DT55" s="7">
        <v>-0.82333333333333325</v>
      </c>
      <c r="DU55">
        <v>-0.70333333333333325</v>
      </c>
      <c r="DV55">
        <v>-1.5266666666666664</v>
      </c>
      <c r="DW55">
        <v>1.1299999999999999E-2</v>
      </c>
      <c r="DX55">
        <v>0.4961803702031608</v>
      </c>
      <c r="DY55">
        <v>2.1038381832957109E-3</v>
      </c>
      <c r="DZ55">
        <v>487</v>
      </c>
      <c r="EA55">
        <v>1.9033354053573524E-3</v>
      </c>
      <c r="EB55">
        <v>0</v>
      </c>
      <c r="EC55">
        <v>1.5563915900933836E-2</v>
      </c>
      <c r="ED55">
        <v>8.3595905619731931E-2</v>
      </c>
      <c r="EE55" s="11">
        <v>2.3309999999999994E-2</v>
      </c>
      <c r="EF55">
        <v>1.6910000000000001E-2</v>
      </c>
      <c r="EG55">
        <v>31.186180370203161</v>
      </c>
      <c r="EH55">
        <v>-1</v>
      </c>
      <c r="EI55">
        <v>0</v>
      </c>
      <c r="EJ55">
        <v>1</v>
      </c>
      <c r="EK55" s="13">
        <v>45470</v>
      </c>
      <c r="EL55" s="14">
        <v>-0.26</v>
      </c>
      <c r="EM55" s="14">
        <v>-0.03</v>
      </c>
      <c r="EN55" s="14">
        <v>-3.19</v>
      </c>
      <c r="EO55" s="14">
        <v>4.43</v>
      </c>
      <c r="EP55" s="14">
        <v>0.64</v>
      </c>
    </row>
    <row r="56" spans="1:146" ht="108" x14ac:dyDescent="0.25">
      <c r="A56" s="6"/>
      <c r="B56" s="6"/>
      <c r="C56" s="6" t="str">
        <f>""&amp;CHAR(10)&amp;Basic_Fundamental_Information_Constructure(F56)&amp;CHAR(10)&amp;Basic_Fundamental_Information_Concatenate("")</f>
        <v xml:space="preserve">
市值27.354664亿, 利润-3827.51万; PE37.46; 平均PE5.34; 平均PEG.3, PB.535; ROIC8.8833%; ROE9.11%; 股利率1.2579%; 毛利27.6867%; 净利12.9967%; 上一年度营收增-96.57%, 利润增-113.29%; 当季营收增2605.27%, 利润增126.82%; 过往5年营收增-17.76%, 利润增-24.05%
Income profile:
</v>
      </c>
      <c r="D56" t="s">
        <v>96</v>
      </c>
      <c r="E56" t="s">
        <v>41</v>
      </c>
      <c r="F56">
        <v>7.95</v>
      </c>
      <c r="G56">
        <v>0.63</v>
      </c>
      <c r="H56" t="s">
        <v>2608</v>
      </c>
      <c r="I56">
        <v>2735466400</v>
      </c>
      <c r="J56">
        <v>37.46</v>
      </c>
      <c r="K56">
        <v>0.53500000000000003</v>
      </c>
      <c r="L56" t="s">
        <v>53</v>
      </c>
      <c r="M56" t="s">
        <v>2609</v>
      </c>
      <c r="N56" t="s">
        <v>2610</v>
      </c>
      <c r="O56" t="s">
        <v>2320</v>
      </c>
      <c r="P56">
        <v>-0.93</v>
      </c>
      <c r="Q56" t="s">
        <v>326</v>
      </c>
      <c r="R56">
        <v>2428300</v>
      </c>
      <c r="S56" s="5">
        <v>-0.89510000000000001</v>
      </c>
      <c r="T56" t="s">
        <v>2611</v>
      </c>
      <c r="U56">
        <v>344083830</v>
      </c>
      <c r="V56">
        <v>344083830</v>
      </c>
      <c r="W56">
        <v>1.3</v>
      </c>
      <c r="X56">
        <v>0.09</v>
      </c>
      <c r="Y56">
        <v>0.27</v>
      </c>
      <c r="Z56" t="s">
        <v>2612</v>
      </c>
      <c r="AA56" t="s">
        <v>2613</v>
      </c>
      <c r="AB56" t="s">
        <v>2614</v>
      </c>
      <c r="AC56" t="s">
        <v>2615</v>
      </c>
      <c r="AD56" t="s">
        <v>117</v>
      </c>
      <c r="AE56">
        <v>3996173</v>
      </c>
      <c r="AF56" t="s">
        <v>2616</v>
      </c>
      <c r="AG56" t="s">
        <v>2617</v>
      </c>
      <c r="AH56" t="s">
        <v>2618</v>
      </c>
      <c r="AI56" t="s">
        <v>463</v>
      </c>
      <c r="AJ56" t="s">
        <v>2619</v>
      </c>
      <c r="AK56" t="s">
        <v>117</v>
      </c>
      <c r="AL56" t="s">
        <v>2620</v>
      </c>
      <c r="AM56" t="s">
        <v>117</v>
      </c>
      <c r="AN56" t="s">
        <v>2621</v>
      </c>
      <c r="AO56" t="s">
        <v>2622</v>
      </c>
      <c r="AP56" t="s">
        <v>117</v>
      </c>
      <c r="AQ56" t="s">
        <v>749</v>
      </c>
      <c r="AR56" t="s">
        <v>2623</v>
      </c>
      <c r="AS56" t="s">
        <v>444</v>
      </c>
      <c r="AT56" t="s">
        <v>1873</v>
      </c>
      <c r="AU56" t="s">
        <v>2624</v>
      </c>
      <c r="AV56" t="s">
        <v>2625</v>
      </c>
      <c r="AW56" t="s">
        <v>2626</v>
      </c>
      <c r="AX56" t="s">
        <v>1081</v>
      </c>
      <c r="AY56" t="s">
        <v>771</v>
      </c>
      <c r="AZ56" t="s">
        <v>475</v>
      </c>
      <c r="BA56" t="s">
        <v>171</v>
      </c>
      <c r="BB56" t="s">
        <v>477</v>
      </c>
      <c r="BC56" t="s">
        <v>980</v>
      </c>
      <c r="BD56" t="s">
        <v>772</v>
      </c>
      <c r="BE56" t="s">
        <v>476</v>
      </c>
      <c r="BF56" t="s">
        <v>172</v>
      </c>
      <c r="BG56" t="s">
        <v>478</v>
      </c>
      <c r="BH56" t="s">
        <v>2627</v>
      </c>
      <c r="BI56" t="s">
        <v>2628</v>
      </c>
      <c r="BJ56" t="s">
        <v>1081</v>
      </c>
      <c r="BK56" t="s">
        <v>2629</v>
      </c>
      <c r="BL56" t="s">
        <v>2630</v>
      </c>
      <c r="BM56" t="s">
        <v>980</v>
      </c>
      <c r="BN56">
        <v>2.2200000000000002</v>
      </c>
      <c r="BO56">
        <v>5.78</v>
      </c>
      <c r="BP56">
        <v>18.649999999999999</v>
      </c>
      <c r="BQ56">
        <v>2.46</v>
      </c>
      <c r="BR56">
        <v>5.55</v>
      </c>
      <c r="BS56">
        <v>19.32</v>
      </c>
      <c r="BT56" t="s">
        <v>952</v>
      </c>
      <c r="BU56" t="s">
        <v>847</v>
      </c>
      <c r="BV56">
        <v>23.3</v>
      </c>
      <c r="BW56">
        <v>27.18</v>
      </c>
      <c r="BX56">
        <v>32.58</v>
      </c>
      <c r="BY56">
        <v>3.06</v>
      </c>
      <c r="BZ56">
        <v>9.36</v>
      </c>
      <c r="CA56">
        <v>26.57</v>
      </c>
      <c r="CB56">
        <v>0</v>
      </c>
      <c r="CC56">
        <v>-11.37</v>
      </c>
      <c r="CD56" t="s">
        <v>2631</v>
      </c>
      <c r="CE56" t="s">
        <v>2632</v>
      </c>
      <c r="CF56" s="9">
        <v>26.052653811413343</v>
      </c>
      <c r="CG56" s="10">
        <v>1.2681693189473335</v>
      </c>
      <c r="CH56" s="9">
        <v>-0.96573036909103394</v>
      </c>
      <c r="CI56" s="9">
        <v>-6.4388945698738098E-2</v>
      </c>
      <c r="CJ56" s="9">
        <v>0.17185088992118835</v>
      </c>
      <c r="CK56" s="9">
        <v>-8.4836512804031372E-2</v>
      </c>
      <c r="CL56" s="9">
        <v>5.53242526948452E-2</v>
      </c>
      <c r="CM56" s="10">
        <v>-1.1328996419906616</v>
      </c>
      <c r="CN56" s="10">
        <v>-0.68831169605255127</v>
      </c>
      <c r="CO56" s="10">
        <v>0.58219176530838013</v>
      </c>
      <c r="CP56" s="10">
        <v>-0.19448275864124298</v>
      </c>
      <c r="CQ56" s="10">
        <v>0.23089982569217682</v>
      </c>
      <c r="CR56">
        <v>5.3431862990074404</v>
      </c>
      <c r="CS56">
        <v>0.30092940685802566</v>
      </c>
      <c r="CT56">
        <v>1.2578616352201257</v>
      </c>
      <c r="CU56" s="9">
        <v>-0.17755613699555398</v>
      </c>
      <c r="CV56" s="10">
        <v>-0.24052050113677978</v>
      </c>
      <c r="CW56">
        <v>0.06</v>
      </c>
      <c r="CX56" t="s">
        <v>807</v>
      </c>
      <c r="CY56" t="s">
        <v>803</v>
      </c>
      <c r="CZ56">
        <v>-0.17755613699555398</v>
      </c>
      <c r="DA56" t="s">
        <v>807</v>
      </c>
      <c r="DB56" t="s">
        <v>803</v>
      </c>
      <c r="DC56">
        <v>-0.16867833014577627</v>
      </c>
      <c r="DD56" t="s">
        <v>807</v>
      </c>
      <c r="DE56" t="s">
        <v>803</v>
      </c>
      <c r="DF56">
        <v>-0.15624940055608749</v>
      </c>
      <c r="DG56" t="s">
        <v>807</v>
      </c>
      <c r="DH56" t="s">
        <v>803</v>
      </c>
      <c r="DI56">
        <v>-0.1420449095964432</v>
      </c>
      <c r="DJ56" t="s">
        <v>807</v>
      </c>
      <c r="DK56" t="s">
        <v>803</v>
      </c>
      <c r="DL56">
        <v>-0.12428929589688778</v>
      </c>
      <c r="DM56">
        <v>-38275100</v>
      </c>
      <c r="DN56">
        <v>-0.17755613699555398</v>
      </c>
      <c r="DO56">
        <v>-1135533600</v>
      </c>
      <c r="DP56">
        <v>10553930</v>
      </c>
      <c r="DQ56">
        <v>3363</v>
      </c>
      <c r="DR56">
        <v>26.230209948408898</v>
      </c>
      <c r="DS56">
        <v>1.5086898200841132</v>
      </c>
      <c r="DT56" s="7">
        <v>-0.64</v>
      </c>
      <c r="DU56">
        <v>-1.1533333333333333</v>
      </c>
      <c r="DV56">
        <v>-1.7933333333333334</v>
      </c>
      <c r="DW56">
        <v>-2.1137000000000001</v>
      </c>
      <c r="DX56">
        <v>0.30914840509739833</v>
      </c>
      <c r="DY56">
        <v>-2.0135471736595743</v>
      </c>
      <c r="DZ56">
        <v>2803</v>
      </c>
      <c r="EA56">
        <v>-2.0061161114740975</v>
      </c>
      <c r="EB56">
        <v>2</v>
      </c>
      <c r="EC56">
        <v>2.0254657128177162E-2</v>
      </c>
      <c r="ED56">
        <v>0.16999520146006281</v>
      </c>
      <c r="EE56" s="11">
        <v>2.0150000000000001</v>
      </c>
      <c r="EF56">
        <v>2.0005099999999998</v>
      </c>
      <c r="EG56">
        <v>19.119148405097398</v>
      </c>
      <c r="EH56" t="s">
        <v>1074</v>
      </c>
      <c r="EI56">
        <v>0</v>
      </c>
      <c r="EJ56">
        <v>0</v>
      </c>
      <c r="EK56" s="13">
        <v>45470</v>
      </c>
      <c r="EL56" s="14">
        <v>0</v>
      </c>
      <c r="EM56" s="14">
        <v>-4.46</v>
      </c>
      <c r="EN56" s="14">
        <v>-3.28</v>
      </c>
      <c r="EO56" s="14">
        <v>3.75</v>
      </c>
      <c r="EP56" s="14">
        <v>-1.55</v>
      </c>
    </row>
    <row r="57" spans="1:146" ht="108" x14ac:dyDescent="0.25">
      <c r="A57" s="6"/>
      <c r="B57" s="6"/>
      <c r="C57" s="6" t="str">
        <f>""&amp;CHAR(10)&amp;Basic_Fundamental_Information_Constructure(F57)&amp;CHAR(10)&amp;Basic_Fundamental_Information_Concatenate("")</f>
        <v xml:space="preserve">
市值17.379702亿, 利润4529.38万; PE; 平均PE44.32; 平均PEG.58, PB7.87; ROIC12.75%; ROE12.76%; 股利率0%; 毛利31.4067%; 净利2.77%; 上一年度营收增385.75%, 利润增249.3%; 当季营收增-75.54%, 利润增-146.92%; 过往5年营收增76.58%, 利润增53.41%
Income profile:
</v>
      </c>
      <c r="D57" t="s">
        <v>60</v>
      </c>
      <c r="E57" t="s">
        <v>10</v>
      </c>
      <c r="F57">
        <v>4.9800000000000004</v>
      </c>
      <c r="G57">
        <v>1.43</v>
      </c>
      <c r="H57" t="s">
        <v>2633</v>
      </c>
      <c r="I57">
        <v>1737970200</v>
      </c>
      <c r="K57">
        <v>7.87</v>
      </c>
      <c r="L57" t="s">
        <v>53</v>
      </c>
      <c r="M57" t="s">
        <v>1513</v>
      </c>
      <c r="N57" t="s">
        <v>2634</v>
      </c>
      <c r="O57" t="s">
        <v>1663</v>
      </c>
      <c r="P57">
        <v>11.37</v>
      </c>
      <c r="Q57" t="s">
        <v>1414</v>
      </c>
      <c r="R57">
        <v>-7109330</v>
      </c>
      <c r="S57" s="5">
        <v>-5.2789999999999999</v>
      </c>
      <c r="T57" t="s">
        <v>2635</v>
      </c>
      <c r="U57">
        <v>348990000</v>
      </c>
      <c r="V57">
        <v>348990000</v>
      </c>
      <c r="W57">
        <v>4.9400000000000004</v>
      </c>
      <c r="X57">
        <v>0.08</v>
      </c>
      <c r="Y57">
        <v>-9.33</v>
      </c>
      <c r="Z57" t="s">
        <v>2636</v>
      </c>
      <c r="AA57" t="s">
        <v>2637</v>
      </c>
      <c r="AB57" t="s">
        <v>2638</v>
      </c>
      <c r="AC57" t="s">
        <v>2639</v>
      </c>
      <c r="AD57" t="s">
        <v>117</v>
      </c>
      <c r="AE57">
        <v>4411961</v>
      </c>
      <c r="AF57" t="s">
        <v>118</v>
      </c>
      <c r="AG57" t="s">
        <v>2640</v>
      </c>
      <c r="AH57" t="s">
        <v>1665</v>
      </c>
      <c r="AI57" t="s">
        <v>1095</v>
      </c>
      <c r="AJ57" t="s">
        <v>1666</v>
      </c>
      <c r="AK57" t="s">
        <v>117</v>
      </c>
      <c r="AL57" t="s">
        <v>1667</v>
      </c>
      <c r="AM57" t="s">
        <v>117</v>
      </c>
      <c r="AN57" t="s">
        <v>1018</v>
      </c>
      <c r="AO57" t="s">
        <v>2641</v>
      </c>
      <c r="AP57" t="s">
        <v>117</v>
      </c>
      <c r="AQ57" t="s">
        <v>1715</v>
      </c>
      <c r="AR57" t="s">
        <v>2642</v>
      </c>
      <c r="AS57" t="s">
        <v>704</v>
      </c>
      <c r="AT57" t="s">
        <v>1018</v>
      </c>
      <c r="AU57" t="s">
        <v>2643</v>
      </c>
      <c r="AV57" t="s">
        <v>2644</v>
      </c>
      <c r="AW57" t="s">
        <v>377</v>
      </c>
      <c r="AX57" t="s">
        <v>960</v>
      </c>
      <c r="AY57" t="s">
        <v>773</v>
      </c>
      <c r="AZ57" t="s">
        <v>154</v>
      </c>
      <c r="BA57" t="s">
        <v>242</v>
      </c>
      <c r="BB57" t="s">
        <v>141</v>
      </c>
      <c r="BC57" t="s">
        <v>1082</v>
      </c>
      <c r="BD57" t="s">
        <v>774</v>
      </c>
      <c r="BE57" t="s">
        <v>481</v>
      </c>
      <c r="BF57" t="s">
        <v>243</v>
      </c>
      <c r="BG57" t="s">
        <v>482</v>
      </c>
      <c r="BH57" t="s">
        <v>1359</v>
      </c>
      <c r="BI57" t="s">
        <v>1157</v>
      </c>
      <c r="BJ57" t="s">
        <v>960</v>
      </c>
      <c r="BK57" t="s">
        <v>1664</v>
      </c>
      <c r="BL57" t="s">
        <v>2645</v>
      </c>
      <c r="BM57" t="s">
        <v>1082</v>
      </c>
      <c r="BN57" t="s">
        <v>117</v>
      </c>
      <c r="BO57">
        <v>4.99</v>
      </c>
      <c r="BP57">
        <v>20.51</v>
      </c>
      <c r="BQ57">
        <v>-1.56</v>
      </c>
      <c r="BR57">
        <v>5.22</v>
      </c>
      <c r="BS57">
        <v>34.619999999999997</v>
      </c>
      <c r="BT57" t="s">
        <v>930</v>
      </c>
      <c r="BU57" t="s">
        <v>847</v>
      </c>
      <c r="BV57">
        <v>17.309999999999999</v>
      </c>
      <c r="BW57">
        <v>30.43</v>
      </c>
      <c r="BX57">
        <v>46.48</v>
      </c>
      <c r="BY57">
        <v>-13.66</v>
      </c>
      <c r="BZ57">
        <v>3.69</v>
      </c>
      <c r="CA57">
        <v>18.28</v>
      </c>
      <c r="CB57">
        <v>-4.41</v>
      </c>
      <c r="CC57">
        <v>-15.45</v>
      </c>
      <c r="CD57" t="s">
        <v>2646</v>
      </c>
      <c r="CE57" t="s">
        <v>2647</v>
      </c>
      <c r="CF57" s="9">
        <v>-0.75536875000000003</v>
      </c>
      <c r="CG57" s="10">
        <v>-1.4692224429586898</v>
      </c>
      <c r="CH57" s="9">
        <v>3.8575420379638672</v>
      </c>
      <c r="CI57" s="9">
        <v>-4.0214478969573975E-2</v>
      </c>
      <c r="CJ57" s="9">
        <v>0.4346153736114502</v>
      </c>
      <c r="CK57" s="9">
        <v>-0.11864406615495682</v>
      </c>
      <c r="CL57" s="9">
        <v>-0.30424529314041138</v>
      </c>
      <c r="CM57" s="10">
        <v>2.4929783344268799</v>
      </c>
      <c r="CN57" s="10">
        <v>-0.80870193243026733</v>
      </c>
      <c r="CO57" s="10">
        <v>0.77280980348587036</v>
      </c>
      <c r="CP57" s="10">
        <v>-2.7130866423249245E-2</v>
      </c>
      <c r="CQ57" s="10">
        <v>0.24045562744140625</v>
      </c>
      <c r="CR57">
        <v>44.323310686742566</v>
      </c>
      <c r="CS57">
        <v>0.57877631950214825</v>
      </c>
      <c r="CT57">
        <v>0</v>
      </c>
      <c r="CU57" s="9">
        <v>0.76581071466207506</v>
      </c>
      <c r="CV57" s="10">
        <v>0.53408219330012796</v>
      </c>
      <c r="CW57">
        <v>0.06</v>
      </c>
      <c r="CX57">
        <v>29.408605346200936</v>
      </c>
      <c r="CY57">
        <v>75453091.837510452</v>
      </c>
      <c r="CZ57">
        <v>0.76581071466207506</v>
      </c>
      <c r="DA57">
        <v>5.6870459062418321</v>
      </c>
      <c r="DB57">
        <v>390179758.80317116</v>
      </c>
      <c r="DC57">
        <v>0.72752017892897125</v>
      </c>
      <c r="DD57">
        <v>1.2384310918737964</v>
      </c>
      <c r="DE57">
        <v>1791759117.2897704</v>
      </c>
      <c r="DF57">
        <v>0.67391342890262607</v>
      </c>
      <c r="DG57">
        <v>0.25660850110497091</v>
      </c>
      <c r="DH57">
        <v>8647298084.2216339</v>
      </c>
      <c r="DI57">
        <v>0.61264857172966014</v>
      </c>
      <c r="DJ57">
        <v>9.1105112910673629E-3</v>
      </c>
      <c r="DK57">
        <v>243561544364.21661</v>
      </c>
      <c r="DL57">
        <v>0.53606750026345251</v>
      </c>
      <c r="DM57">
        <v>45293800</v>
      </c>
      <c r="DN57">
        <v>0.76581071466207506</v>
      </c>
      <c r="DO57">
        <v>2218970200</v>
      </c>
      <c r="DP57">
        <v>-269434950</v>
      </c>
      <c r="DQ57">
        <v>3369</v>
      </c>
      <c r="DR57">
        <v>-1.5211794646620751</v>
      </c>
      <c r="DS57">
        <v>-2.0033046362588176</v>
      </c>
      <c r="DT57" s="7">
        <v>-0.10666666666666669</v>
      </c>
      <c r="DU57">
        <v>-0.53166666666666662</v>
      </c>
      <c r="DV57">
        <v>-0.63833333333333331</v>
      </c>
      <c r="DW57">
        <v>-8.2854368932038831</v>
      </c>
      <c r="DX57">
        <v>0.31918693586698438</v>
      </c>
      <c r="DY57">
        <v>-8.0397290865484408</v>
      </c>
      <c r="DZ57">
        <v>4466</v>
      </c>
      <c r="EA57">
        <v>-8.0050069533732273</v>
      </c>
      <c r="EB57">
        <v>8</v>
      </c>
      <c r="EC57">
        <v>0.16790653027307376</v>
      </c>
      <c r="ED57">
        <v>1.2063382904954296</v>
      </c>
      <c r="EE57" s="11">
        <v>-4.0023999999999997</v>
      </c>
      <c r="EF57">
        <v>-4.0083099999999998</v>
      </c>
      <c r="EG57">
        <v>18.139186935866984</v>
      </c>
      <c r="EH57" t="s">
        <v>1538</v>
      </c>
      <c r="EI57">
        <v>0</v>
      </c>
      <c r="EJ57">
        <v>0</v>
      </c>
      <c r="EK57" s="13">
        <v>45470</v>
      </c>
      <c r="EL57" s="14">
        <v>-0.36</v>
      </c>
      <c r="EM57" s="14">
        <v>-3.58</v>
      </c>
      <c r="EN57" s="14">
        <v>1.86</v>
      </c>
      <c r="EO57" s="14">
        <v>2.5499999999999998</v>
      </c>
      <c r="EP57" s="14">
        <v>-1.07</v>
      </c>
    </row>
    <row r="58" spans="1:146" ht="108" x14ac:dyDescent="0.25">
      <c r="A58" s="6"/>
      <c r="B58" s="6"/>
      <c r="C58" s="6" t="str">
        <f>""&amp;CHAR(10)&amp;Basic_Fundamental_Information_Constructure(F58)&amp;CHAR(10)&amp;Basic_Fundamental_Information_Concatenate("")</f>
        <v xml:space="preserve">
市值292.51469亿, 利润-3.23亿; PE10.87; 平均PE7.05; 平均PEG.44, PB1; ROIC9.3867%; ROE12.69%; 股利率3.7669%; 毛利29.01%; 净利12.4433%; 上一年度营收增-93.27%, 利润增-111.97%; 当季营收增1484.79%, 利润增275.71%; 过往5年营收增-16.2%, 利润增-31.04%
Income profile:
</v>
      </c>
      <c r="D58" t="s">
        <v>93</v>
      </c>
      <c r="E58" t="s">
        <v>44</v>
      </c>
      <c r="F58">
        <v>14.07</v>
      </c>
      <c r="G58">
        <v>1.3</v>
      </c>
      <c r="H58" t="s">
        <v>2648</v>
      </c>
      <c r="I58">
        <v>29251469000</v>
      </c>
      <c r="J58">
        <v>10.87</v>
      </c>
      <c r="K58">
        <v>1</v>
      </c>
      <c r="L58" t="s">
        <v>53</v>
      </c>
      <c r="M58" t="s">
        <v>2649</v>
      </c>
      <c r="N58" t="s">
        <v>2650</v>
      </c>
      <c r="O58" t="s">
        <v>2651</v>
      </c>
      <c r="P58">
        <v>6.87</v>
      </c>
      <c r="Q58" t="s">
        <v>1079</v>
      </c>
      <c r="R58">
        <v>177469350</v>
      </c>
      <c r="S58" s="5">
        <v>-0.2843</v>
      </c>
      <c r="T58" t="s">
        <v>1672</v>
      </c>
      <c r="U58">
        <v>1344275600</v>
      </c>
      <c r="V58">
        <v>2078995600</v>
      </c>
      <c r="W58">
        <v>2.08</v>
      </c>
      <c r="X58">
        <v>0.1</v>
      </c>
      <c r="Y58">
        <v>4.12</v>
      </c>
      <c r="Z58" t="s">
        <v>2652</v>
      </c>
      <c r="AA58" t="s">
        <v>2653</v>
      </c>
      <c r="AB58" t="s">
        <v>1944</v>
      </c>
      <c r="AC58" t="s">
        <v>2654</v>
      </c>
      <c r="AD58" t="s">
        <v>117</v>
      </c>
      <c r="AE58">
        <v>182064690</v>
      </c>
      <c r="AF58" t="s">
        <v>2655</v>
      </c>
      <c r="AG58" t="s">
        <v>2656</v>
      </c>
      <c r="AH58" t="s">
        <v>2657</v>
      </c>
      <c r="AI58" t="s">
        <v>2658</v>
      </c>
      <c r="AJ58" t="s">
        <v>2659</v>
      </c>
      <c r="AK58" t="s">
        <v>237</v>
      </c>
      <c r="AL58" t="s">
        <v>2660</v>
      </c>
      <c r="AM58" t="s">
        <v>117</v>
      </c>
      <c r="AN58" t="s">
        <v>1262</v>
      </c>
      <c r="AO58" t="s">
        <v>2661</v>
      </c>
      <c r="AP58" t="s">
        <v>1455</v>
      </c>
      <c r="AQ58" t="s">
        <v>2662</v>
      </c>
      <c r="AR58" t="s">
        <v>117</v>
      </c>
      <c r="AS58" t="s">
        <v>2663</v>
      </c>
      <c r="AT58" t="s">
        <v>2664</v>
      </c>
      <c r="AU58" t="s">
        <v>221</v>
      </c>
      <c r="AV58" t="s">
        <v>2665</v>
      </c>
      <c r="AW58" t="s">
        <v>539</v>
      </c>
      <c r="AX58" t="s">
        <v>2666</v>
      </c>
      <c r="AY58" t="s">
        <v>776</v>
      </c>
      <c r="AZ58" t="s">
        <v>483</v>
      </c>
      <c r="BA58" t="s">
        <v>177</v>
      </c>
      <c r="BB58" t="s">
        <v>485</v>
      </c>
      <c r="BC58" t="s">
        <v>2667</v>
      </c>
      <c r="BD58" t="s">
        <v>777</v>
      </c>
      <c r="BE58" t="s">
        <v>484</v>
      </c>
      <c r="BF58" t="s">
        <v>178</v>
      </c>
      <c r="BG58" t="s">
        <v>486</v>
      </c>
      <c r="BH58" t="s">
        <v>2668</v>
      </c>
      <c r="BI58" t="s">
        <v>1677</v>
      </c>
      <c r="BJ58" t="s">
        <v>2666</v>
      </c>
      <c r="BK58" t="s">
        <v>2669</v>
      </c>
      <c r="BL58" t="s">
        <v>1678</v>
      </c>
      <c r="BM58" t="s">
        <v>2667</v>
      </c>
      <c r="BN58">
        <v>4.99</v>
      </c>
      <c r="BO58">
        <v>7.22</v>
      </c>
      <c r="BP58">
        <v>15.95</v>
      </c>
      <c r="BQ58">
        <v>6.74</v>
      </c>
      <c r="BR58">
        <v>10.029999999999999</v>
      </c>
      <c r="BS58">
        <v>21.3</v>
      </c>
      <c r="BT58" t="s">
        <v>2670</v>
      </c>
      <c r="BU58" t="s">
        <v>847</v>
      </c>
      <c r="BV58">
        <v>26.71</v>
      </c>
      <c r="BW58">
        <v>26.22</v>
      </c>
      <c r="BX58">
        <v>34.1</v>
      </c>
      <c r="BY58">
        <v>9.5299999999999994</v>
      </c>
      <c r="BZ58">
        <v>9.92</v>
      </c>
      <c r="CA58">
        <v>17.88</v>
      </c>
      <c r="CB58">
        <v>2.33</v>
      </c>
      <c r="CC58">
        <v>-7.07</v>
      </c>
      <c r="CD58" t="s">
        <v>2671</v>
      </c>
      <c r="CE58" t="s">
        <v>965</v>
      </c>
      <c r="CF58" s="9">
        <v>14.847874720357941</v>
      </c>
      <c r="CG58" s="10">
        <v>2.7571222772277229</v>
      </c>
      <c r="CH58" s="9">
        <v>-0.93268787860870361</v>
      </c>
      <c r="CI58" s="9">
        <v>-6.142183393239975E-2</v>
      </c>
      <c r="CJ58" s="9">
        <v>0.10583500564098358</v>
      </c>
      <c r="CK58" s="9">
        <v>-6.6223442554473877E-2</v>
      </c>
      <c r="CL58" s="9">
        <v>0.14465153217315674</v>
      </c>
      <c r="CM58" s="10">
        <v>-1.1196739673614502</v>
      </c>
      <c r="CN58" s="10">
        <v>-0.49683070182800293</v>
      </c>
      <c r="CO58" s="10">
        <v>-4.7416146844625473E-2</v>
      </c>
      <c r="CP58" s="10">
        <v>-0.11210975050926208</v>
      </c>
      <c r="CQ58" s="10">
        <v>0.22408799827098846</v>
      </c>
      <c r="CR58">
        <v>7.0502456013497232</v>
      </c>
      <c r="CS58">
        <v>0.43528277150904182</v>
      </c>
      <c r="CT58">
        <v>3.766879886282871</v>
      </c>
      <c r="CU58" s="9">
        <v>-0.1619693234562874</v>
      </c>
      <c r="CV58" s="10">
        <v>-0.31038851365447045</v>
      </c>
      <c r="CW58">
        <v>0.06</v>
      </c>
      <c r="CX58" t="e">
        <v>#VALUE!</v>
      </c>
      <c r="CY58" t="s">
        <v>803</v>
      </c>
      <c r="CZ58">
        <v>-0.1619693234562874</v>
      </c>
      <c r="DA58" t="e">
        <v>#VALUE!</v>
      </c>
      <c r="DB58" t="s">
        <v>803</v>
      </c>
      <c r="DC58">
        <v>-0.15387085728347302</v>
      </c>
      <c r="DD58" t="e">
        <v>#VALUE!</v>
      </c>
      <c r="DE58" t="s">
        <v>803</v>
      </c>
      <c r="DF58">
        <v>-0.1425330046415329</v>
      </c>
      <c r="DG58" t="e">
        <v>#VALUE!</v>
      </c>
      <c r="DH58" t="s">
        <v>803</v>
      </c>
      <c r="DI58">
        <v>-0.12957545876502993</v>
      </c>
      <c r="DJ58" t="e">
        <v>#VALUE!</v>
      </c>
      <c r="DK58" t="s">
        <v>803</v>
      </c>
      <c r="DL58">
        <v>-0.11337852641940117</v>
      </c>
      <c r="DM58">
        <v>-323000000</v>
      </c>
      <c r="DN58">
        <v>-0.1619693234562874</v>
      </c>
      <c r="DO58">
        <v>31389469000</v>
      </c>
      <c r="DP58">
        <v>-2646796000</v>
      </c>
      <c r="DQ58">
        <v>3475</v>
      </c>
      <c r="DR58">
        <v>15.009844043814228</v>
      </c>
      <c r="DS58">
        <v>3.0675107908821935</v>
      </c>
      <c r="DT58" s="7">
        <v>-0.77333333333333332</v>
      </c>
      <c r="DU58">
        <v>-1.02</v>
      </c>
      <c r="DV58">
        <v>-1.7933333333333334</v>
      </c>
      <c r="DW58">
        <v>-2.0707</v>
      </c>
      <c r="DX58">
        <v>0.48853512195121651</v>
      </c>
      <c r="DY58">
        <v>-2.0090874331219513</v>
      </c>
      <c r="DZ58">
        <v>4377</v>
      </c>
      <c r="EA58">
        <v>-2.0013035398196459</v>
      </c>
      <c r="EB58">
        <v>2</v>
      </c>
      <c r="EC58">
        <v>1.2674245198017733E-2</v>
      </c>
      <c r="ED58">
        <v>9.8605307293579636E-2</v>
      </c>
      <c r="EE58" s="11">
        <v>0.13190000000000002</v>
      </c>
      <c r="EF58">
        <v>0.10759999999999999</v>
      </c>
      <c r="EG58">
        <v>36.128535121951217</v>
      </c>
      <c r="EH58" t="s">
        <v>666</v>
      </c>
      <c r="EI58">
        <v>0</v>
      </c>
      <c r="EJ58">
        <v>0</v>
      </c>
      <c r="EK58" s="13">
        <v>45470</v>
      </c>
      <c r="EL58" s="14">
        <v>0</v>
      </c>
      <c r="EM58" s="14">
        <v>-1.47</v>
      </c>
      <c r="EN58" s="14">
        <v>0.5</v>
      </c>
      <c r="EO58" s="14">
        <v>1.98</v>
      </c>
      <c r="EP58" s="14">
        <v>-2.4300000000000002</v>
      </c>
    </row>
    <row r="59" spans="1:146" ht="108" x14ac:dyDescent="0.25">
      <c r="A59" s="6"/>
      <c r="B59" s="6"/>
      <c r="C59" s="6" t="str">
        <f>""&amp;CHAR(10)&amp;Basic_Fundamental_Information_Constructure(F59)&amp;CHAR(10)&amp;Basic_Fundamental_Information_Concatenate("")</f>
        <v xml:space="preserve">
市值12.9226049亿, 利润70.91亿; PE; 平均PE.94; 平均PEG0, PB1.19; ROIC12.89%; ROE-2.86%; 股利率0%; 毛利4.8467%; 净利-7.0533%; 上一年度营收增5448.21%, 利润增3018.11%; 当季营收增-99%, 利润增-105.83%; 过往5年营收增1088.51%, 利润增569.87%
Income profile:
</v>
      </c>
      <c r="D59" t="s">
        <v>84</v>
      </c>
      <c r="E59" t="s">
        <v>40</v>
      </c>
      <c r="F59">
        <v>2.82</v>
      </c>
      <c r="G59">
        <v>1.81</v>
      </c>
      <c r="H59" t="s">
        <v>2672</v>
      </c>
      <c r="I59">
        <v>1292260490</v>
      </c>
      <c r="K59">
        <v>1.19</v>
      </c>
      <c r="L59" t="s">
        <v>53</v>
      </c>
      <c r="M59" t="s">
        <v>1670</v>
      </c>
      <c r="N59" t="s">
        <v>2673</v>
      </c>
      <c r="O59" t="s">
        <v>1671</v>
      </c>
      <c r="P59">
        <v>-23.45</v>
      </c>
      <c r="Q59" t="s">
        <v>2674</v>
      </c>
      <c r="R59">
        <v>-84910797</v>
      </c>
      <c r="S59" s="5">
        <v>0.1578</v>
      </c>
      <c r="T59" t="s">
        <v>2675</v>
      </c>
      <c r="U59">
        <v>458248400</v>
      </c>
      <c r="V59">
        <v>458248400</v>
      </c>
      <c r="W59">
        <v>3.43</v>
      </c>
      <c r="X59">
        <v>0.09</v>
      </c>
      <c r="Y59">
        <v>-29.18</v>
      </c>
      <c r="Z59" t="s">
        <v>1688</v>
      </c>
      <c r="AA59" t="s">
        <v>844</v>
      </c>
      <c r="AB59" t="s">
        <v>2676</v>
      </c>
      <c r="AC59" t="s">
        <v>2677</v>
      </c>
      <c r="AD59" t="s">
        <v>117</v>
      </c>
      <c r="AE59">
        <v>16750340</v>
      </c>
      <c r="AF59" t="s">
        <v>1673</v>
      </c>
      <c r="AG59" t="s">
        <v>2678</v>
      </c>
      <c r="AH59" t="s">
        <v>1674</v>
      </c>
      <c r="AI59" t="s">
        <v>1007</v>
      </c>
      <c r="AJ59" t="s">
        <v>1675</v>
      </c>
      <c r="AK59" t="s">
        <v>2679</v>
      </c>
      <c r="AL59" t="s">
        <v>1676</v>
      </c>
      <c r="AM59" t="s">
        <v>117</v>
      </c>
      <c r="AN59" t="s">
        <v>2680</v>
      </c>
      <c r="AO59" t="s">
        <v>2681</v>
      </c>
      <c r="AP59" t="s">
        <v>117</v>
      </c>
      <c r="AQ59" t="s">
        <v>241</v>
      </c>
      <c r="AR59" t="s">
        <v>2682</v>
      </c>
      <c r="AS59" t="s">
        <v>2683</v>
      </c>
      <c r="AT59" t="s">
        <v>1857</v>
      </c>
      <c r="AU59" t="s">
        <v>2684</v>
      </c>
      <c r="AV59" t="s">
        <v>2685</v>
      </c>
      <c r="AW59" t="s">
        <v>1379</v>
      </c>
      <c r="AX59" t="s">
        <v>1083</v>
      </c>
      <c r="AY59" t="s">
        <v>778</v>
      </c>
      <c r="AZ59" t="s">
        <v>487</v>
      </c>
      <c r="BA59" t="s">
        <v>180</v>
      </c>
      <c r="BB59" t="s">
        <v>489</v>
      </c>
      <c r="BC59" t="s">
        <v>983</v>
      </c>
      <c r="BD59" t="s">
        <v>1084</v>
      </c>
      <c r="BE59" t="s">
        <v>488</v>
      </c>
      <c r="BF59" t="s">
        <v>181</v>
      </c>
      <c r="BG59" t="s">
        <v>490</v>
      </c>
      <c r="BH59" t="s">
        <v>1079</v>
      </c>
      <c r="BI59" t="s">
        <v>2686</v>
      </c>
      <c r="BJ59" t="s">
        <v>1083</v>
      </c>
      <c r="BK59" t="s">
        <v>1672</v>
      </c>
      <c r="BL59" t="s">
        <v>2687</v>
      </c>
      <c r="BM59" t="s">
        <v>983</v>
      </c>
      <c r="BN59" t="s">
        <v>117</v>
      </c>
      <c r="BO59" t="s">
        <v>117</v>
      </c>
      <c r="BP59">
        <v>12.89</v>
      </c>
      <c r="BQ59">
        <v>-16.27</v>
      </c>
      <c r="BR59">
        <v>-14.24</v>
      </c>
      <c r="BS59">
        <v>21.93</v>
      </c>
      <c r="BT59" t="s">
        <v>930</v>
      </c>
      <c r="BU59" t="s">
        <v>847</v>
      </c>
      <c r="BV59">
        <v>-6.56</v>
      </c>
      <c r="BW59">
        <v>-0.87</v>
      </c>
      <c r="BX59">
        <v>21.97</v>
      </c>
      <c r="BY59">
        <v>-19.600000000000001</v>
      </c>
      <c r="BZ59">
        <v>-12.09</v>
      </c>
      <c r="CA59">
        <v>10.53</v>
      </c>
      <c r="CB59">
        <v>1.44</v>
      </c>
      <c r="CC59">
        <v>-20.11</v>
      </c>
      <c r="CD59" t="s">
        <v>2688</v>
      </c>
      <c r="CE59" t="s">
        <v>813</v>
      </c>
      <c r="CF59" s="9">
        <v>-0.99004395796337807</v>
      </c>
      <c r="CG59" s="10">
        <v>-1.0583178550824175</v>
      </c>
      <c r="CH59" s="9">
        <v>54.482051849365234</v>
      </c>
      <c r="CI59" s="9">
        <v>-0.28366047143936157</v>
      </c>
      <c r="CJ59" s="9">
        <v>0.2219594419002533</v>
      </c>
      <c r="CK59" s="9">
        <v>-2.7595268562436104E-2</v>
      </c>
      <c r="CL59" s="9">
        <v>3.291480615735054E-2</v>
      </c>
      <c r="CM59" s="10">
        <v>30.181068420410156</v>
      </c>
      <c r="CN59" s="10">
        <v>-1.7838709354400635</v>
      </c>
      <c r="CO59" s="10">
        <v>0.11510791629552841</v>
      </c>
      <c r="CP59" s="10">
        <v>-0.40471091866493225</v>
      </c>
      <c r="CQ59" s="10">
        <v>0.38575667142868042</v>
      </c>
      <c r="CR59">
        <v>0.94096637621359225</v>
      </c>
      <c r="CS59">
        <v>8.6445088322673253E-4</v>
      </c>
      <c r="CT59">
        <v>0</v>
      </c>
      <c r="CU59" s="9">
        <v>10.885134071484208</v>
      </c>
      <c r="CV59" s="10">
        <v>5.6986702308058739</v>
      </c>
      <c r="CW59">
        <v>0.06</v>
      </c>
      <c r="CX59">
        <v>3.5258006271637755E-2</v>
      </c>
      <c r="CY59">
        <v>79507061981.975952</v>
      </c>
      <c r="CZ59">
        <v>10.885134071484208</v>
      </c>
      <c r="DA59">
        <v>2.9286798001819278E-4</v>
      </c>
      <c r="DB59">
        <v>9571754788030.6445</v>
      </c>
      <c r="DC59">
        <v>10.340877367909997</v>
      </c>
      <c r="DD59">
        <v>3.5998999911705649E-7</v>
      </c>
      <c r="DE59">
        <v>7787051020515920</v>
      </c>
      <c r="DF59">
        <v>9.5789179829061037</v>
      </c>
      <c r="DG59">
        <v>8.4811640961043761E-11</v>
      </c>
      <c r="DH59">
        <v>3.3052779762716914E+19</v>
      </c>
      <c r="DI59">
        <v>8.7081072571873666</v>
      </c>
      <c r="DJ59">
        <v>2.1694461971083627E-19</v>
      </c>
      <c r="DK59">
        <v>1.292154879773669E+28</v>
      </c>
      <c r="DL59">
        <v>7.6195938500389451</v>
      </c>
      <c r="DM59">
        <v>7091000000</v>
      </c>
      <c r="DN59">
        <v>10.885134071484208</v>
      </c>
      <c r="DO59">
        <v>2803260490</v>
      </c>
      <c r="DP59">
        <v>-1759332220</v>
      </c>
      <c r="DQ59">
        <v>3476</v>
      </c>
      <c r="DR59">
        <v>-11.875178029447586</v>
      </c>
      <c r="DS59">
        <v>-6.7569880858882918</v>
      </c>
      <c r="DT59" s="7">
        <v>-0.1566666666666667</v>
      </c>
      <c r="DU59">
        <v>-1.3316666666666668</v>
      </c>
      <c r="DV59">
        <v>-1.4883333333333335</v>
      </c>
      <c r="DW59">
        <v>-3.0464821428571427</v>
      </c>
      <c r="DX59">
        <v>0.34712711864406653</v>
      </c>
      <c r="DY59">
        <v>-3.0063739623184018</v>
      </c>
      <c r="DZ59">
        <v>3215</v>
      </c>
      <c r="EA59">
        <v>-3.0023637296660217</v>
      </c>
      <c r="EB59">
        <v>3</v>
      </c>
      <c r="EC59">
        <v>5.2965815047035625E-2</v>
      </c>
      <c r="ED59">
        <v>0.38625339444720375</v>
      </c>
      <c r="EE59" s="11">
        <v>-1.121</v>
      </c>
      <c r="EF59">
        <v>-1.0982000000000001</v>
      </c>
      <c r="EG59">
        <v>21.137127118644067</v>
      </c>
      <c r="EH59" t="s">
        <v>808</v>
      </c>
      <c r="EI59">
        <v>0</v>
      </c>
      <c r="EJ59">
        <v>0</v>
      </c>
      <c r="EK59" s="13">
        <v>45470</v>
      </c>
      <c r="EL59" s="14">
        <v>5.54</v>
      </c>
      <c r="EM59" s="14">
        <v>-1.61</v>
      </c>
      <c r="EN59" s="14">
        <v>1.35</v>
      </c>
      <c r="EO59" s="14">
        <v>-1.54</v>
      </c>
      <c r="EP59" s="14">
        <v>-2.2799999999999998</v>
      </c>
    </row>
    <row r="60" spans="1:146" ht="108" x14ac:dyDescent="0.25">
      <c r="A60" s="6"/>
      <c r="B60" s="6"/>
      <c r="C60" s="6" t="str">
        <f>""&amp;CHAR(10)&amp;Basic_Fundamental_Information_Constructure(F60)&amp;CHAR(10)&amp;Basic_Fundamental_Information_Concatenate("")</f>
        <v xml:space="preserve">
市值39.266475亿, 利润29.39亿; PE; 平均PE6.66; 平均PEG.02, PB1.16; ROIC1.88%; ROE.2867%; 股利率.119%; 毛利15.2033%; 净利.17%; 上一年度营收增1459.99%, 利润增19253.1%; 当季营收增-90.05%, 利润增-97.19%; 过往5年营收增296.72%, 利润增3848.5%
Income profile:
</v>
      </c>
      <c r="D60" t="s">
        <v>65</v>
      </c>
      <c r="E60" t="s">
        <v>14</v>
      </c>
      <c r="F60">
        <v>4.2</v>
      </c>
      <c r="G60">
        <v>0</v>
      </c>
      <c r="H60" t="s">
        <v>2689</v>
      </c>
      <c r="I60">
        <v>3926647500</v>
      </c>
      <c r="K60">
        <v>1.1599999999999999</v>
      </c>
      <c r="L60" t="s">
        <v>53</v>
      </c>
      <c r="M60" t="s">
        <v>1680</v>
      </c>
      <c r="N60" t="s">
        <v>2690</v>
      </c>
      <c r="O60" t="s">
        <v>1019</v>
      </c>
      <c r="P60">
        <v>28.15</v>
      </c>
      <c r="Q60" t="s">
        <v>2691</v>
      </c>
      <c r="R60">
        <v>12121240</v>
      </c>
      <c r="S60" s="5">
        <v>1.1839999999999999</v>
      </c>
      <c r="T60" t="s">
        <v>2692</v>
      </c>
      <c r="U60">
        <v>747416070</v>
      </c>
      <c r="V60">
        <v>934916070</v>
      </c>
      <c r="W60">
        <v>1.77</v>
      </c>
      <c r="X60">
        <v>0.17</v>
      </c>
      <c r="Y60">
        <v>1.1399999999999999</v>
      </c>
      <c r="Z60" t="s">
        <v>2693</v>
      </c>
      <c r="AA60" t="s">
        <v>2537</v>
      </c>
      <c r="AB60" t="s">
        <v>2694</v>
      </c>
      <c r="AC60" t="s">
        <v>2695</v>
      </c>
      <c r="AD60" t="s">
        <v>117</v>
      </c>
      <c r="AE60">
        <v>8565198</v>
      </c>
      <c r="AF60" t="s">
        <v>1683</v>
      </c>
      <c r="AG60" t="s">
        <v>2696</v>
      </c>
      <c r="AH60" t="s">
        <v>1684</v>
      </c>
      <c r="AI60" t="s">
        <v>1479</v>
      </c>
      <c r="AJ60" t="s">
        <v>1685</v>
      </c>
      <c r="AK60" t="s">
        <v>2697</v>
      </c>
      <c r="AL60" t="s">
        <v>1686</v>
      </c>
      <c r="AM60" t="s">
        <v>117</v>
      </c>
      <c r="AN60" t="s">
        <v>479</v>
      </c>
      <c r="AO60" t="s">
        <v>641</v>
      </c>
      <c r="AP60" t="s">
        <v>2698</v>
      </c>
      <c r="AQ60" t="s">
        <v>2699</v>
      </c>
      <c r="AR60" t="s">
        <v>117</v>
      </c>
      <c r="AS60" t="s">
        <v>2700</v>
      </c>
      <c r="AT60" t="s">
        <v>980</v>
      </c>
      <c r="AU60" t="s">
        <v>2701</v>
      </c>
      <c r="AV60" t="s">
        <v>2702</v>
      </c>
      <c r="AW60" t="s">
        <v>2703</v>
      </c>
      <c r="AX60" t="s">
        <v>1085</v>
      </c>
      <c r="AY60" t="s">
        <v>779</v>
      </c>
      <c r="AZ60" t="s">
        <v>491</v>
      </c>
      <c r="BA60" t="s">
        <v>122</v>
      </c>
      <c r="BB60" t="s">
        <v>492</v>
      </c>
      <c r="BC60" t="s">
        <v>1086</v>
      </c>
      <c r="BD60" t="s">
        <v>221</v>
      </c>
      <c r="BE60" t="s">
        <v>237</v>
      </c>
      <c r="BF60" t="s">
        <v>123</v>
      </c>
      <c r="BG60" t="s">
        <v>493</v>
      </c>
      <c r="BH60" t="s">
        <v>1681</v>
      </c>
      <c r="BI60" t="s">
        <v>2704</v>
      </c>
      <c r="BJ60" t="s">
        <v>1085</v>
      </c>
      <c r="BK60" t="s">
        <v>1682</v>
      </c>
      <c r="BL60" t="s">
        <v>2705</v>
      </c>
      <c r="BM60" t="s">
        <v>1086</v>
      </c>
      <c r="BN60" t="s">
        <v>117</v>
      </c>
      <c r="BO60">
        <v>0.75</v>
      </c>
      <c r="BP60">
        <v>3.01</v>
      </c>
      <c r="BQ60">
        <v>-2.65</v>
      </c>
      <c r="BR60">
        <v>0.44</v>
      </c>
      <c r="BS60">
        <v>3.07</v>
      </c>
      <c r="BT60" t="s">
        <v>1009</v>
      </c>
      <c r="BU60" t="s">
        <v>845</v>
      </c>
      <c r="BV60">
        <v>12.26</v>
      </c>
      <c r="BW60">
        <v>13.97</v>
      </c>
      <c r="BX60">
        <v>19.38</v>
      </c>
      <c r="BY60">
        <v>-2.89</v>
      </c>
      <c r="BZ60">
        <v>0.49</v>
      </c>
      <c r="CA60">
        <v>2.91</v>
      </c>
      <c r="CB60">
        <v>-0.47</v>
      </c>
      <c r="CC60">
        <v>-16.5</v>
      </c>
      <c r="CD60" t="s">
        <v>2706</v>
      </c>
      <c r="CE60" t="s">
        <v>1003</v>
      </c>
      <c r="CF60" s="9">
        <v>-0.90051457975986282</v>
      </c>
      <c r="CG60" s="10">
        <v>-0.97187647331786542</v>
      </c>
      <c r="CH60" s="9">
        <v>14.599875450134277</v>
      </c>
      <c r="CI60" s="9">
        <v>2.3015661165118217E-2</v>
      </c>
      <c r="CJ60" s="9">
        <v>0.13806609809398651</v>
      </c>
      <c r="CK60" s="9">
        <v>-9.4435848295688629E-2</v>
      </c>
      <c r="CL60" s="9">
        <v>0.16956187784671783</v>
      </c>
      <c r="CM60" s="10">
        <v>192.53097534179687</v>
      </c>
      <c r="CN60" s="10">
        <v>-0.85807287693023682</v>
      </c>
      <c r="CO60" s="10">
        <v>-0.40223464369773865</v>
      </c>
      <c r="CP60" s="10">
        <v>-0.13942307233810425</v>
      </c>
      <c r="CQ60" s="10">
        <v>1.2937321662902832</v>
      </c>
      <c r="CR60">
        <v>6.6574634414885372</v>
      </c>
      <c r="CS60">
        <v>2.2436728529578592E-2</v>
      </c>
      <c r="CT60">
        <v>0.11904761904761905</v>
      </c>
      <c r="CU60" s="9">
        <v>2.9672166477888822</v>
      </c>
      <c r="CV60" s="10">
        <v>38.484995383024213</v>
      </c>
      <c r="CW60">
        <v>0.06</v>
      </c>
      <c r="CX60">
        <v>0.26270311900393695</v>
      </c>
      <c r="CY60">
        <v>10999669554.57691</v>
      </c>
      <c r="CZ60">
        <v>2.9672166477888822</v>
      </c>
      <c r="DA60">
        <v>1.5521981231104752E-2</v>
      </c>
      <c r="DB60">
        <v>186164862395.87689</v>
      </c>
      <c r="DC60">
        <v>2.8188558153994379</v>
      </c>
      <c r="DD60">
        <v>4.4460590761875835E-4</v>
      </c>
      <c r="DE60">
        <v>6499345713772.7041</v>
      </c>
      <c r="DF60">
        <v>2.6111506500542165</v>
      </c>
      <c r="DG60">
        <v>6.3205361833089226E-6</v>
      </c>
      <c r="DH60">
        <v>457183918609768</v>
      </c>
      <c r="DI60">
        <v>2.3737733182311058</v>
      </c>
      <c r="DJ60">
        <v>3.5698427579160922E-10</v>
      </c>
      <c r="DK60">
        <v>8.0946072305068175E+18</v>
      </c>
      <c r="DL60">
        <v>2.0770516534522172</v>
      </c>
      <c r="DM60">
        <v>2939000000</v>
      </c>
      <c r="DN60">
        <v>2.9672166477888822</v>
      </c>
      <c r="DO60">
        <v>2889647500</v>
      </c>
      <c r="DP60">
        <v>932785600</v>
      </c>
      <c r="DQ60">
        <v>3491</v>
      </c>
      <c r="DR60">
        <v>-3.8677312275487452</v>
      </c>
      <c r="DS60">
        <v>-39.456871856342076</v>
      </c>
      <c r="DT60" s="7">
        <v>-4.0000000000000036E-2</v>
      </c>
      <c r="DU60">
        <v>-0.37333333333333335</v>
      </c>
      <c r="DV60">
        <v>-0.41333333333333339</v>
      </c>
      <c r="DW60">
        <v>-3.0056547619047618</v>
      </c>
      <c r="DX60">
        <v>0.30738387096774261</v>
      </c>
      <c r="DY60">
        <v>-3.000663777841782</v>
      </c>
      <c r="DZ60">
        <v>4354</v>
      </c>
      <c r="EA60">
        <v>-3.0000982027491951</v>
      </c>
      <c r="EB60">
        <v>3</v>
      </c>
      <c r="EC60">
        <v>2.7245547292817418E-2</v>
      </c>
      <c r="ED60">
        <v>0.23210639645973782</v>
      </c>
      <c r="EE60" s="11">
        <v>2.0011000000000001</v>
      </c>
      <c r="EF60">
        <v>2.0502099999999999</v>
      </c>
      <c r="EG60">
        <v>19.117383870967743</v>
      </c>
      <c r="EH60" t="s">
        <v>1074</v>
      </c>
      <c r="EI60">
        <v>0</v>
      </c>
      <c r="EJ60">
        <v>0</v>
      </c>
      <c r="EK60" s="13">
        <v>45470</v>
      </c>
      <c r="EL60" s="14">
        <v>-0.13</v>
      </c>
      <c r="EM60" s="14">
        <v>-4.3499999999999996</v>
      </c>
      <c r="EN60" s="14">
        <v>-1.89</v>
      </c>
      <c r="EO60" s="14">
        <v>5.78</v>
      </c>
      <c r="EP60" s="14">
        <v>-5.13</v>
      </c>
    </row>
    <row r="61" spans="1:146" ht="192" x14ac:dyDescent="0.25">
      <c r="A61" s="6" t="s">
        <v>658</v>
      </c>
      <c r="B61" s="6" t="s">
        <v>659</v>
      </c>
      <c r="C61" s="6" t="s">
        <v>657</v>
      </c>
      <c r="D61" t="s">
        <v>83</v>
      </c>
      <c r="E61" t="s">
        <v>37</v>
      </c>
      <c r="F61">
        <v>6.45</v>
      </c>
      <c r="G61">
        <v>0.62</v>
      </c>
      <c r="H61" t="s">
        <v>2707</v>
      </c>
      <c r="I61">
        <v>17308667000</v>
      </c>
      <c r="J61">
        <v>8.32</v>
      </c>
      <c r="K61">
        <v>1.26</v>
      </c>
      <c r="L61" t="s">
        <v>53</v>
      </c>
      <c r="M61" t="s">
        <v>1689</v>
      </c>
      <c r="N61" t="s">
        <v>2708</v>
      </c>
      <c r="O61" t="s">
        <v>492</v>
      </c>
      <c r="P61">
        <v>23.2</v>
      </c>
      <c r="Q61" t="s">
        <v>2709</v>
      </c>
      <c r="R61">
        <v>441901160</v>
      </c>
      <c r="S61" s="5">
        <v>2.923</v>
      </c>
      <c r="T61" t="s">
        <v>2710</v>
      </c>
      <c r="U61">
        <v>2683514300</v>
      </c>
      <c r="V61">
        <v>2683514300</v>
      </c>
      <c r="W61">
        <v>2.2000000000000002</v>
      </c>
      <c r="X61">
        <v>0.12</v>
      </c>
      <c r="Y61">
        <v>12.18</v>
      </c>
      <c r="Z61" t="s">
        <v>2711</v>
      </c>
      <c r="AA61" t="s">
        <v>1104</v>
      </c>
      <c r="AB61" t="s">
        <v>2712</v>
      </c>
      <c r="AC61" t="s">
        <v>2400</v>
      </c>
      <c r="AD61" t="s">
        <v>117</v>
      </c>
      <c r="AE61">
        <v>58892532</v>
      </c>
      <c r="AF61" t="s">
        <v>1692</v>
      </c>
      <c r="AG61" t="s">
        <v>2713</v>
      </c>
      <c r="AH61" t="s">
        <v>1693</v>
      </c>
      <c r="AI61" t="s">
        <v>2714</v>
      </c>
      <c r="AJ61" t="s">
        <v>1694</v>
      </c>
      <c r="AK61" t="s">
        <v>1169</v>
      </c>
      <c r="AL61" t="s">
        <v>1695</v>
      </c>
      <c r="AM61" t="s">
        <v>117</v>
      </c>
      <c r="AN61" t="s">
        <v>2715</v>
      </c>
      <c r="AO61" t="s">
        <v>2661</v>
      </c>
      <c r="AP61" t="s">
        <v>313</v>
      </c>
      <c r="AQ61" t="s">
        <v>2420</v>
      </c>
      <c r="AR61" t="s">
        <v>117</v>
      </c>
      <c r="AS61" t="s">
        <v>2716</v>
      </c>
      <c r="AT61" t="s">
        <v>2717</v>
      </c>
      <c r="AU61" t="s">
        <v>2718</v>
      </c>
      <c r="AV61" t="s">
        <v>2719</v>
      </c>
      <c r="AW61" t="s">
        <v>2720</v>
      </c>
      <c r="AX61" t="s">
        <v>1087</v>
      </c>
      <c r="AY61" t="s">
        <v>1089</v>
      </c>
      <c r="AZ61" t="s">
        <v>780</v>
      </c>
      <c r="BA61" t="s">
        <v>130</v>
      </c>
      <c r="BB61" t="s">
        <v>497</v>
      </c>
      <c r="BC61" t="s">
        <v>951</v>
      </c>
      <c r="BD61" t="s">
        <v>1090</v>
      </c>
      <c r="BE61" t="s">
        <v>781</v>
      </c>
      <c r="BF61" t="s">
        <v>507</v>
      </c>
      <c r="BG61" t="s">
        <v>498</v>
      </c>
      <c r="BH61" t="s">
        <v>1690</v>
      </c>
      <c r="BI61" t="s">
        <v>2721</v>
      </c>
      <c r="BJ61" t="s">
        <v>1087</v>
      </c>
      <c r="BK61" t="s">
        <v>1691</v>
      </c>
      <c r="BL61" t="s">
        <v>2722</v>
      </c>
      <c r="BM61" t="s">
        <v>951</v>
      </c>
      <c r="BN61">
        <v>6.35</v>
      </c>
      <c r="BO61">
        <v>7.65</v>
      </c>
      <c r="BP61">
        <v>30.45</v>
      </c>
      <c r="BQ61">
        <v>9.5</v>
      </c>
      <c r="BR61">
        <v>10.36</v>
      </c>
      <c r="BS61">
        <v>37.869999999999997</v>
      </c>
      <c r="BT61" t="s">
        <v>1696</v>
      </c>
      <c r="BU61" t="s">
        <v>845</v>
      </c>
      <c r="BV61">
        <v>24.99</v>
      </c>
      <c r="BW61">
        <v>21.22</v>
      </c>
      <c r="BX61">
        <v>50.24</v>
      </c>
      <c r="BY61">
        <v>10.98</v>
      </c>
      <c r="BZ61">
        <v>9.9499999999999993</v>
      </c>
      <c r="CA61">
        <v>28.97</v>
      </c>
      <c r="CB61">
        <v>0</v>
      </c>
      <c r="CC61">
        <v>-19.68</v>
      </c>
      <c r="CD61" t="s">
        <v>219</v>
      </c>
      <c r="CE61" t="s">
        <v>1205</v>
      </c>
      <c r="CF61" s="9">
        <v>-0.95625148871975774</v>
      </c>
      <c r="CG61" s="10">
        <v>-0.98318488736681886</v>
      </c>
      <c r="CH61" s="9">
        <v>24.727256774902344</v>
      </c>
      <c r="CI61" s="9">
        <v>-9.416884183883667E-2</v>
      </c>
      <c r="CJ61" s="9">
        <v>0.52411079406738281</v>
      </c>
      <c r="CK61" s="9">
        <v>3.6213133484125137E-2</v>
      </c>
      <c r="CL61" s="9">
        <v>0.11076635867357254</v>
      </c>
      <c r="CM61" s="10">
        <v>64.504936218261719</v>
      </c>
      <c r="CN61" s="10">
        <v>-0.68946003913879395</v>
      </c>
      <c r="CO61" s="10">
        <v>1.3379271030426025</v>
      </c>
      <c r="CP61" s="10">
        <v>0.35676893591880798</v>
      </c>
      <c r="CQ61" s="10">
        <v>0.1067880243062973</v>
      </c>
      <c r="CR61">
        <v>1.0796885441899633</v>
      </c>
      <c r="CS61">
        <v>2.1334194986165375E-3</v>
      </c>
      <c r="CT61">
        <v>5.1162790697674412</v>
      </c>
      <c r="CU61" s="9">
        <v>5.0608356438577173</v>
      </c>
      <c r="CV61" s="10">
        <v>13.123392048478127</v>
      </c>
      <c r="CW61">
        <v>0.06</v>
      </c>
      <c r="CX61">
        <v>3.8458838231919132E-2</v>
      </c>
      <c r="CY61">
        <v>493271972637.3634</v>
      </c>
      <c r="CZ61">
        <v>5.0608356438577173</v>
      </c>
      <c r="DA61">
        <v>1.0996030359265681E-3</v>
      </c>
      <c r="DB61">
        <v>17252286852786.453</v>
      </c>
      <c r="DC61">
        <v>4.8077938616648312</v>
      </c>
      <c r="DD61">
        <v>9.5531941115665827E-6</v>
      </c>
      <c r="DE61">
        <v>1985793105264255</v>
      </c>
      <c r="DF61">
        <v>4.4535353665947914</v>
      </c>
      <c r="DG61">
        <v>2.8917719993828132E-8</v>
      </c>
      <c r="DH61">
        <v>6.5602222457541197E+17</v>
      </c>
      <c r="DI61">
        <v>4.0486685150861739</v>
      </c>
      <c r="DJ61">
        <v>3.8625811221409469E-14</v>
      </c>
      <c r="DK61">
        <v>4.911396395342232E+23</v>
      </c>
      <c r="DL61">
        <v>3.5425849507004017</v>
      </c>
      <c r="DM61">
        <v>86270000000</v>
      </c>
      <c r="DN61">
        <v>5.0608356438577173</v>
      </c>
      <c r="DO61">
        <v>18970667000</v>
      </c>
      <c r="DP61">
        <v>2703240400.000001</v>
      </c>
      <c r="DQ61">
        <v>3757</v>
      </c>
      <c r="DR61">
        <v>-6.0170871325774753</v>
      </c>
      <c r="DS61">
        <v>-14.106576935844947</v>
      </c>
      <c r="DT61" s="7">
        <v>-6.6666666666666714E-3</v>
      </c>
      <c r="DU61">
        <v>-5.6666666666666719E-2</v>
      </c>
      <c r="DV61">
        <v>-6.3333333333333394E-2</v>
      </c>
      <c r="DW61">
        <v>-3.0416190476190477</v>
      </c>
      <c r="DX61">
        <v>0.37134034165571578</v>
      </c>
      <c r="DY61">
        <v>-3.0075472123146234</v>
      </c>
      <c r="DZ61">
        <v>1495</v>
      </c>
      <c r="EA61">
        <v>-3.0053391727039851</v>
      </c>
      <c r="EB61">
        <v>3</v>
      </c>
      <c r="EC61">
        <v>5.1425103268501311E-2</v>
      </c>
      <c r="ED61">
        <v>0.28358335932847462</v>
      </c>
      <c r="EE61" s="11">
        <v>4.06691</v>
      </c>
      <c r="EF61">
        <v>4.0806100000000001</v>
      </c>
      <c r="EG61">
        <v>19.181340341655716</v>
      </c>
      <c r="EH61" t="s">
        <v>1376</v>
      </c>
      <c r="EI61">
        <v>0</v>
      </c>
      <c r="EJ61">
        <v>1</v>
      </c>
      <c r="EK61" s="13">
        <v>45470</v>
      </c>
      <c r="EL61" s="14">
        <v>2.44</v>
      </c>
      <c r="EM61" s="14">
        <v>-2.23</v>
      </c>
      <c r="EN61" s="14">
        <v>0.79</v>
      </c>
      <c r="EO61" s="14">
        <v>-0.47</v>
      </c>
      <c r="EP61" s="14">
        <v>-1.37</v>
      </c>
    </row>
    <row r="62" spans="1:146" ht="108" x14ac:dyDescent="0.25">
      <c r="A62" s="6"/>
      <c r="B62" s="6"/>
      <c r="C62" s="6" t="str">
        <f>""&amp;CHAR(10)&amp;Basic_Fundamental_Information_Constructure(F62)&amp;CHAR(10)&amp;Basic_Fundamental_Information_Concatenate("")</f>
        <v xml:space="preserve">
市值149.4888亿, 利润61.56亿; PE; 平均PE4.46; 平均PEG.43, PB.34; ROIC.1167%; ROE2.1833%; 股利率1.7857%; 毛利14.0867%; 净利1.5733%; 上一年度营收增-77.64%, 利润增407.5%; 当季营收增106.7%, 利润增-157.98%; 过往5年营收增-10.38%, 利润增68.46%
Income profile:
</v>
      </c>
      <c r="D62" t="s">
        <v>90</v>
      </c>
      <c r="E62" t="s">
        <v>34</v>
      </c>
      <c r="F62">
        <v>1.4</v>
      </c>
      <c r="G62">
        <v>0.72</v>
      </c>
      <c r="H62" t="s">
        <v>2723</v>
      </c>
      <c r="I62">
        <v>14948880000</v>
      </c>
      <c r="K62">
        <v>0.34</v>
      </c>
      <c r="L62" t="s">
        <v>53</v>
      </c>
      <c r="M62" t="s">
        <v>1697</v>
      </c>
      <c r="N62" t="s">
        <v>2724</v>
      </c>
      <c r="O62" t="s">
        <v>1698</v>
      </c>
      <c r="P62">
        <v>-45.34</v>
      </c>
      <c r="Q62" t="s">
        <v>2725</v>
      </c>
      <c r="R62">
        <v>-1308584190</v>
      </c>
      <c r="S62" s="5">
        <v>-2.9460000000000002</v>
      </c>
      <c r="T62" t="s">
        <v>2726</v>
      </c>
      <c r="U62">
        <v>8334158300</v>
      </c>
      <c r="V62">
        <v>10677771100</v>
      </c>
      <c r="W62">
        <v>2.97</v>
      </c>
      <c r="X62">
        <v>0.05</v>
      </c>
      <c r="Y62">
        <v>-16.21</v>
      </c>
      <c r="Z62" t="s">
        <v>2727</v>
      </c>
      <c r="AA62" t="s">
        <v>2728</v>
      </c>
      <c r="AB62" t="s">
        <v>1767</v>
      </c>
      <c r="AC62" t="s">
        <v>2435</v>
      </c>
      <c r="AD62" t="s">
        <v>117</v>
      </c>
      <c r="AE62">
        <v>780830850</v>
      </c>
      <c r="AF62" t="s">
        <v>1702</v>
      </c>
      <c r="AG62" t="s">
        <v>2729</v>
      </c>
      <c r="AH62" t="s">
        <v>1703</v>
      </c>
      <c r="AI62" t="s">
        <v>2730</v>
      </c>
      <c r="AJ62" t="s">
        <v>1704</v>
      </c>
      <c r="AK62" t="s">
        <v>2731</v>
      </c>
      <c r="AL62" t="s">
        <v>1705</v>
      </c>
      <c r="AM62" t="s">
        <v>117</v>
      </c>
      <c r="AN62" t="s">
        <v>2732</v>
      </c>
      <c r="AO62" t="s">
        <v>2733</v>
      </c>
      <c r="AP62" t="s">
        <v>2734</v>
      </c>
      <c r="AQ62" t="s">
        <v>2735</v>
      </c>
      <c r="AR62" t="s">
        <v>2736</v>
      </c>
      <c r="AS62" t="s">
        <v>2737</v>
      </c>
      <c r="AT62" t="s">
        <v>2738</v>
      </c>
      <c r="AU62" t="s">
        <v>2739</v>
      </c>
      <c r="AV62" t="s">
        <v>2740</v>
      </c>
      <c r="AW62" t="s">
        <v>2741</v>
      </c>
      <c r="AX62" t="s">
        <v>1091</v>
      </c>
      <c r="AY62" t="s">
        <v>782</v>
      </c>
      <c r="AZ62" t="s">
        <v>499</v>
      </c>
      <c r="BA62" t="s">
        <v>183</v>
      </c>
      <c r="BB62" t="s">
        <v>501</v>
      </c>
      <c r="BC62" t="s">
        <v>1092</v>
      </c>
      <c r="BD62" t="s">
        <v>602</v>
      </c>
      <c r="BE62" t="s">
        <v>500</v>
      </c>
      <c r="BF62" t="s">
        <v>184</v>
      </c>
      <c r="BG62" t="s">
        <v>502</v>
      </c>
      <c r="BH62" t="s">
        <v>1699</v>
      </c>
      <c r="BI62" t="s">
        <v>2742</v>
      </c>
      <c r="BJ62" t="s">
        <v>1091</v>
      </c>
      <c r="BK62" t="s">
        <v>1700</v>
      </c>
      <c r="BL62" t="s">
        <v>2743</v>
      </c>
      <c r="BM62" t="s">
        <v>1092</v>
      </c>
      <c r="BN62">
        <v>-4.3600000000000003</v>
      </c>
      <c r="BO62">
        <v>1.5</v>
      </c>
      <c r="BP62">
        <v>3.21</v>
      </c>
      <c r="BQ62">
        <v>0.02</v>
      </c>
      <c r="BR62">
        <v>1.83</v>
      </c>
      <c r="BS62">
        <v>4.7</v>
      </c>
      <c r="BT62" t="s">
        <v>1706</v>
      </c>
      <c r="BU62" t="s">
        <v>847</v>
      </c>
      <c r="BV62">
        <v>11.1</v>
      </c>
      <c r="BW62">
        <v>14.93</v>
      </c>
      <c r="BX62">
        <v>16.23</v>
      </c>
      <c r="BY62">
        <v>-1.19</v>
      </c>
      <c r="BZ62">
        <v>1.69</v>
      </c>
      <c r="CA62">
        <v>4.22</v>
      </c>
      <c r="CB62">
        <v>2.19</v>
      </c>
      <c r="CC62">
        <v>-23.08</v>
      </c>
      <c r="CD62" t="s">
        <v>867</v>
      </c>
      <c r="CE62" t="s">
        <v>2744</v>
      </c>
      <c r="CF62" s="9">
        <v>1.0669995168304074</v>
      </c>
      <c r="CG62" s="10">
        <v>-1.579789184758529</v>
      </c>
      <c r="CH62" s="9">
        <v>-0.77640974521636963</v>
      </c>
      <c r="CI62" s="9">
        <v>-0.16833554208278656</v>
      </c>
      <c r="CJ62" s="9">
        <v>0.14470626413822174</v>
      </c>
      <c r="CK62" s="9">
        <v>0.17615346610546112</v>
      </c>
      <c r="CL62" s="9">
        <v>0.10481614619493484</v>
      </c>
      <c r="CM62" s="10">
        <v>4.0750212669372559</v>
      </c>
      <c r="CN62" s="10">
        <v>-0.58643031120300293</v>
      </c>
      <c r="CO62" s="10">
        <v>3.1293928623199463E-2</v>
      </c>
      <c r="CP62" s="10">
        <v>-0.23010289669036865</v>
      </c>
      <c r="CQ62" s="10">
        <v>0.13312886655330658</v>
      </c>
      <c r="CR62">
        <v>4.4623522388059698</v>
      </c>
      <c r="CS62">
        <v>0.42984157276847285</v>
      </c>
      <c r="CT62">
        <v>1.7857142857142858</v>
      </c>
      <c r="CU62" s="9">
        <v>-0.1038138821721077</v>
      </c>
      <c r="CV62" s="10">
        <v>0.68458217084407802</v>
      </c>
      <c r="CW62">
        <v>0.06</v>
      </c>
      <c r="CX62" t="e">
        <v>#VALUE!</v>
      </c>
      <c r="CY62" t="s">
        <v>1097</v>
      </c>
      <c r="CZ62">
        <v>-0.1038138821721077</v>
      </c>
      <c r="DA62">
        <v>5.3207104180203597</v>
      </c>
      <c r="DB62" t="s">
        <v>2745</v>
      </c>
      <c r="DC62">
        <v>-9.8623188063502315E-2</v>
      </c>
      <c r="DD62">
        <v>2.6603552090101799</v>
      </c>
      <c r="DE62" t="s">
        <v>2746</v>
      </c>
      <c r="DF62">
        <v>-9.1356216311454783E-2</v>
      </c>
      <c r="DG62">
        <v>1.5962131254061078</v>
      </c>
      <c r="DH62" t="s">
        <v>2747</v>
      </c>
      <c r="DI62">
        <v>-8.3051105737686162E-2</v>
      </c>
      <c r="DJ62">
        <v>0.79810656270305391</v>
      </c>
      <c r="DK62" t="s">
        <v>2748</v>
      </c>
      <c r="DL62">
        <v>-7.266971752047538E-2</v>
      </c>
      <c r="DM62">
        <v>6156000000</v>
      </c>
      <c r="DN62">
        <v>-0.1038138821721077</v>
      </c>
      <c r="DO62">
        <v>98262880000</v>
      </c>
      <c r="DP62">
        <v>35227769999.999985</v>
      </c>
      <c r="DQ62">
        <v>3838</v>
      </c>
      <c r="DR62">
        <v>1.1708133990025151</v>
      </c>
      <c r="DS62">
        <v>-2.264371355602607</v>
      </c>
      <c r="DT62" s="7">
        <v>-0.80666666666666664</v>
      </c>
      <c r="DU62">
        <v>-0.8650000000000001</v>
      </c>
      <c r="DV62">
        <v>-1.6716666666666669</v>
      </c>
      <c r="DW62">
        <v>-3.0800714285714283</v>
      </c>
      <c r="DX62">
        <v>0.32487927499773078</v>
      </c>
      <c r="DY62">
        <v>-3.0116006905194612</v>
      </c>
      <c r="DZ62">
        <v>1640</v>
      </c>
      <c r="EA62">
        <v>-3.0078775726228044</v>
      </c>
      <c r="EB62">
        <v>3</v>
      </c>
      <c r="EC62">
        <v>1.6295535685345419E-2</v>
      </c>
      <c r="ED62">
        <v>0.1124766572304589</v>
      </c>
      <c r="EE62" s="11">
        <v>4.3368086899420177E-19</v>
      </c>
      <c r="EF62">
        <v>1.3610000000000001E-2</v>
      </c>
      <c r="EG62">
        <v>18.144879274997731</v>
      </c>
      <c r="EH62">
        <v>-1</v>
      </c>
      <c r="EI62">
        <v>0</v>
      </c>
      <c r="EJ62">
        <v>0</v>
      </c>
      <c r="EK62" s="13">
        <v>45470</v>
      </c>
      <c r="EL62" s="14">
        <v>0.68</v>
      </c>
      <c r="EM62" s="14">
        <v>-0.67</v>
      </c>
      <c r="EN62" s="14">
        <v>-0.34</v>
      </c>
      <c r="EO62" s="14">
        <v>0.34</v>
      </c>
      <c r="EP62" s="14">
        <v>-1.36</v>
      </c>
    </row>
    <row r="63" spans="1:146" ht="108" x14ac:dyDescent="0.25">
      <c r="A63" s="6"/>
      <c r="B63" s="6"/>
      <c r="C63" s="6" t="str">
        <f>""&amp;CHAR(10)&amp;Basic_Fundamental_Information_Constructure(F63)&amp;CHAR(10)&amp;Basic_Fundamental_Information_Concatenate("")</f>
        <v xml:space="preserve">
市值18.807397亿, 利润1.79亿; PE140.6; 平均PE26.74; 平均PEG.59, PB1.39; ROIC1.7567%; ROE1.76%; 股利率.7143%; 毛利16.8567%; 净利1.96%; 上一年度营收增209.57%, 利润增1579.51%; 当季营收增-55.26%, 利润增378.9%; 过往5年营收增45.19%, 利润增288.33%
Income profile:
</v>
      </c>
      <c r="D63" t="s">
        <v>71</v>
      </c>
      <c r="E63" t="s">
        <v>21</v>
      </c>
      <c r="F63">
        <v>7</v>
      </c>
      <c r="G63">
        <v>1.6</v>
      </c>
      <c r="H63" t="s">
        <v>2749</v>
      </c>
      <c r="I63">
        <v>1880739700</v>
      </c>
      <c r="J63">
        <v>140.6</v>
      </c>
      <c r="K63">
        <v>1.39</v>
      </c>
      <c r="L63" t="s">
        <v>53</v>
      </c>
      <c r="M63" t="s">
        <v>1707</v>
      </c>
      <c r="N63" t="s">
        <v>2681</v>
      </c>
      <c r="O63" t="s">
        <v>1095</v>
      </c>
      <c r="P63">
        <v>-1</v>
      </c>
      <c r="Q63" t="s">
        <v>511</v>
      </c>
      <c r="R63">
        <v>2756084</v>
      </c>
      <c r="S63" s="5">
        <v>-0.65439999999999998</v>
      </c>
      <c r="T63" t="s">
        <v>237</v>
      </c>
      <c r="U63">
        <v>268677110</v>
      </c>
      <c r="V63">
        <v>268677110</v>
      </c>
      <c r="W63">
        <v>1.45</v>
      </c>
      <c r="X63">
        <v>7.0000000000000007E-2</v>
      </c>
      <c r="Y63">
        <v>2.15</v>
      </c>
      <c r="Z63" t="s">
        <v>762</v>
      </c>
      <c r="AA63" t="s">
        <v>168</v>
      </c>
      <c r="AB63" t="s">
        <v>2750</v>
      </c>
      <c r="AC63" t="s">
        <v>2751</v>
      </c>
      <c r="AD63" t="s">
        <v>117</v>
      </c>
      <c r="AE63">
        <v>3942539</v>
      </c>
      <c r="AF63" t="s">
        <v>1710</v>
      </c>
      <c r="AG63">
        <v>265.52</v>
      </c>
      <c r="AH63" t="s">
        <v>1711</v>
      </c>
      <c r="AI63" t="s">
        <v>811</v>
      </c>
      <c r="AJ63" t="s">
        <v>1712</v>
      </c>
      <c r="AK63" t="s">
        <v>2752</v>
      </c>
      <c r="AL63" t="s">
        <v>1713</v>
      </c>
      <c r="AM63" t="s">
        <v>117</v>
      </c>
      <c r="AN63" t="s">
        <v>2753</v>
      </c>
      <c r="AO63" t="s">
        <v>1714</v>
      </c>
      <c r="AP63" t="s">
        <v>117</v>
      </c>
      <c r="AQ63" t="s">
        <v>2754</v>
      </c>
      <c r="AR63" t="s">
        <v>2755</v>
      </c>
      <c r="AS63" t="s">
        <v>249</v>
      </c>
      <c r="AT63" t="s">
        <v>2647</v>
      </c>
      <c r="AU63" t="s">
        <v>2756</v>
      </c>
      <c r="AV63" t="s">
        <v>2757</v>
      </c>
      <c r="AW63" t="s">
        <v>2758</v>
      </c>
      <c r="AX63" t="s">
        <v>623</v>
      </c>
      <c r="AY63" t="s">
        <v>783</v>
      </c>
      <c r="AZ63" t="s">
        <v>503</v>
      </c>
      <c r="BA63" t="s">
        <v>244</v>
      </c>
      <c r="BB63" t="s">
        <v>281</v>
      </c>
      <c r="BC63" t="s">
        <v>1094</v>
      </c>
      <c r="BD63" t="s">
        <v>784</v>
      </c>
      <c r="BE63" t="s">
        <v>504</v>
      </c>
      <c r="BF63" t="s">
        <v>245</v>
      </c>
      <c r="BG63" t="s">
        <v>505</v>
      </c>
      <c r="BH63" t="s">
        <v>1386</v>
      </c>
      <c r="BI63" t="s">
        <v>136</v>
      </c>
      <c r="BJ63" t="s">
        <v>623</v>
      </c>
      <c r="BK63" t="s">
        <v>1708</v>
      </c>
      <c r="BL63" t="s">
        <v>2759</v>
      </c>
      <c r="BM63" t="s">
        <v>1094</v>
      </c>
      <c r="BN63">
        <v>2.5</v>
      </c>
      <c r="BO63">
        <v>1.39</v>
      </c>
      <c r="BP63">
        <v>1.38</v>
      </c>
      <c r="BQ63">
        <v>2.65</v>
      </c>
      <c r="BR63">
        <v>0.8</v>
      </c>
      <c r="BS63">
        <v>1.83</v>
      </c>
      <c r="BT63" t="s">
        <v>1716</v>
      </c>
      <c r="BU63" t="s">
        <v>848</v>
      </c>
      <c r="BV63">
        <v>21.57</v>
      </c>
      <c r="BW63">
        <v>18.48</v>
      </c>
      <c r="BX63">
        <v>10.52</v>
      </c>
      <c r="BY63">
        <v>2.56</v>
      </c>
      <c r="BZ63">
        <v>1.49</v>
      </c>
      <c r="CA63">
        <v>1.83</v>
      </c>
      <c r="CB63">
        <v>-4.24</v>
      </c>
      <c r="CC63">
        <v>-16.21</v>
      </c>
      <c r="CD63" t="s">
        <v>2760</v>
      </c>
      <c r="CE63" t="s">
        <v>227</v>
      </c>
      <c r="CF63" s="9">
        <v>-0.55255255255255253</v>
      </c>
      <c r="CG63" s="10">
        <v>3.7890251954821892</v>
      </c>
      <c r="CH63" s="9">
        <v>2.0957310199737549</v>
      </c>
      <c r="CI63" s="9">
        <v>-0.33304578065872192</v>
      </c>
      <c r="CJ63" s="9">
        <v>0.338337242603302</v>
      </c>
      <c r="CK63" s="9">
        <v>-4.8351649194955826E-2</v>
      </c>
      <c r="CL63" s="9">
        <v>0.20689655840396881</v>
      </c>
      <c r="CM63" s="10">
        <v>15.795053482055664</v>
      </c>
      <c r="CN63" s="10">
        <v>-0.50635242462158203</v>
      </c>
      <c r="CO63" s="10">
        <v>-0.36456534266471863</v>
      </c>
      <c r="CP63" s="10">
        <v>-0.63762491941452026</v>
      </c>
      <c r="CQ63" s="10">
        <v>0.12997755408287048</v>
      </c>
      <c r="CR63">
        <v>26.742706946956513</v>
      </c>
      <c r="CS63">
        <v>0.59176608433913513</v>
      </c>
      <c r="CT63">
        <v>0.7142857142857143</v>
      </c>
      <c r="CU63" s="9">
        <v>0.45191347822546957</v>
      </c>
      <c r="CV63" s="10">
        <v>2.8832976698875425</v>
      </c>
      <c r="CW63">
        <v>0.06</v>
      </c>
      <c r="CX63">
        <v>4.7872255708404987</v>
      </c>
      <c r="CY63">
        <v>245181615.6626029</v>
      </c>
      <c r="CZ63">
        <v>0.45191347822546957</v>
      </c>
      <c r="DA63">
        <v>1.1671073797190734</v>
      </c>
      <c r="DB63">
        <v>1005682699.2924361</v>
      </c>
      <c r="DC63">
        <v>0.42931780431419608</v>
      </c>
      <c r="DD63">
        <v>0.37227511115006506</v>
      </c>
      <c r="DE63">
        <v>3152882545.3143506</v>
      </c>
      <c r="DF63">
        <v>0.39768386083841323</v>
      </c>
      <c r="DG63">
        <v>0.12938156684900085</v>
      </c>
      <c r="DH63">
        <v>9071923679.5907173</v>
      </c>
      <c r="DI63">
        <v>0.36153078258037569</v>
      </c>
      <c r="DJ63">
        <v>1.7008749975379558E-2</v>
      </c>
      <c r="DK63">
        <v>69007993044.698013</v>
      </c>
      <c r="DL63">
        <v>0.31633943475782866</v>
      </c>
      <c r="DM63">
        <v>179000000</v>
      </c>
      <c r="DN63">
        <v>0.45191347822546957</v>
      </c>
      <c r="DO63">
        <v>1173739700</v>
      </c>
      <c r="DP63">
        <v>473610000</v>
      </c>
      <c r="DQ63">
        <v>3879</v>
      </c>
      <c r="DR63">
        <v>-1.0044660307780222</v>
      </c>
      <c r="DS63">
        <v>0.90572752559464664</v>
      </c>
      <c r="DT63" s="7">
        <v>-5.6666666666666719E-2</v>
      </c>
      <c r="DU63">
        <v>0.3833333333333333</v>
      </c>
      <c r="DV63">
        <v>0.32666666666666661</v>
      </c>
      <c r="DW63">
        <v>-8.2615669339913627</v>
      </c>
      <c r="DX63">
        <v>0.31884038461538378</v>
      </c>
      <c r="DY63">
        <v>-8.0284690456982872</v>
      </c>
      <c r="DZ63">
        <v>1847</v>
      </c>
      <c r="EA63">
        <v>-8.0181789620574389</v>
      </c>
      <c r="EB63">
        <v>8</v>
      </c>
      <c r="EC63">
        <v>4.2130124147903777E-2</v>
      </c>
      <c r="ED63">
        <v>0.38708172795218765</v>
      </c>
      <c r="EE63" s="11">
        <v>2.5309999999999999E-2</v>
      </c>
      <c r="EF63">
        <v>1.111E-2</v>
      </c>
      <c r="EG63">
        <v>21.108840384615384</v>
      </c>
      <c r="EH63">
        <v>-1</v>
      </c>
      <c r="EI63">
        <v>0</v>
      </c>
      <c r="EJ63">
        <v>0</v>
      </c>
      <c r="EK63" s="13">
        <v>45470</v>
      </c>
      <c r="EL63" s="14">
        <v>3.24</v>
      </c>
      <c r="EM63" s="14">
        <v>-4.51</v>
      </c>
      <c r="EN63" s="14">
        <v>9.99</v>
      </c>
      <c r="EO63" s="14">
        <v>-0.22</v>
      </c>
      <c r="EP63" s="14">
        <v>1.42</v>
      </c>
    </row>
    <row r="64" spans="1:146" ht="36" x14ac:dyDescent="0.25">
      <c r="A64" s="6"/>
      <c r="B64" s="6" t="s">
        <v>655</v>
      </c>
      <c r="C64" s="6" t="s">
        <v>654</v>
      </c>
      <c r="D64" t="s">
        <v>589</v>
      </c>
      <c r="E64" t="s">
        <v>865</v>
      </c>
      <c r="F64">
        <v>7.65</v>
      </c>
      <c r="G64">
        <v>-10</v>
      </c>
      <c r="H64" t="s">
        <v>2761</v>
      </c>
      <c r="I64">
        <v>6729915400</v>
      </c>
      <c r="K64">
        <v>4.76</v>
      </c>
      <c r="L64" t="s">
        <v>53</v>
      </c>
      <c r="M64" t="s">
        <v>1717</v>
      </c>
      <c r="N64" t="s">
        <v>2762</v>
      </c>
      <c r="O64" t="s">
        <v>1592</v>
      </c>
      <c r="P64">
        <v>55.34</v>
      </c>
      <c r="Q64" t="s">
        <v>2763</v>
      </c>
      <c r="R64">
        <v>-8069492</v>
      </c>
      <c r="S64" s="5">
        <v>-1.141</v>
      </c>
      <c r="T64" t="s">
        <v>2764</v>
      </c>
      <c r="U64">
        <v>879727500</v>
      </c>
      <c r="V64">
        <v>879727500</v>
      </c>
      <c r="W64">
        <v>1.81</v>
      </c>
      <c r="X64">
        <v>7.0000000000000007E-2</v>
      </c>
      <c r="Y64">
        <v>-4.25</v>
      </c>
      <c r="Z64" t="s">
        <v>149</v>
      </c>
      <c r="AA64" t="s">
        <v>192</v>
      </c>
      <c r="AB64" t="s">
        <v>2765</v>
      </c>
      <c r="AC64" t="s">
        <v>2766</v>
      </c>
      <c r="AD64" t="s">
        <v>117</v>
      </c>
      <c r="AE64">
        <v>7473585</v>
      </c>
      <c r="AF64" t="s">
        <v>118</v>
      </c>
      <c r="AG64" t="s">
        <v>2767</v>
      </c>
      <c r="AH64" t="s">
        <v>1719</v>
      </c>
      <c r="AI64" t="s">
        <v>2768</v>
      </c>
      <c r="AJ64" t="s">
        <v>1720</v>
      </c>
      <c r="AK64" t="s">
        <v>2769</v>
      </c>
      <c r="AL64" t="s">
        <v>1721</v>
      </c>
      <c r="AM64" t="s">
        <v>117</v>
      </c>
      <c r="AN64" t="s">
        <v>2770</v>
      </c>
      <c r="AO64" t="s">
        <v>1732</v>
      </c>
      <c r="AP64" t="s">
        <v>1722</v>
      </c>
      <c r="AQ64" t="s">
        <v>2771</v>
      </c>
      <c r="AR64" t="s">
        <v>117</v>
      </c>
      <c r="AS64" t="s">
        <v>1526</v>
      </c>
      <c r="AT64" t="s">
        <v>1677</v>
      </c>
      <c r="AU64" t="s">
        <v>2772</v>
      </c>
      <c r="AV64" t="s">
        <v>2773</v>
      </c>
      <c r="AW64" t="s">
        <v>2774</v>
      </c>
      <c r="AX64" t="s">
        <v>385</v>
      </c>
      <c r="AY64" t="s">
        <v>277</v>
      </c>
      <c r="AZ64" t="s">
        <v>375</v>
      </c>
      <c r="BA64" t="s">
        <v>590</v>
      </c>
      <c r="BB64" t="s">
        <v>510</v>
      </c>
      <c r="BC64" t="s">
        <v>1096</v>
      </c>
      <c r="BD64" t="s">
        <v>225</v>
      </c>
      <c r="BE64" t="s">
        <v>549</v>
      </c>
      <c r="BF64" t="s">
        <v>227</v>
      </c>
      <c r="BG64" t="s">
        <v>249</v>
      </c>
      <c r="BH64" t="s">
        <v>205</v>
      </c>
      <c r="BI64" t="s">
        <v>394</v>
      </c>
      <c r="BJ64" t="s">
        <v>385</v>
      </c>
      <c r="BK64" t="s">
        <v>1718</v>
      </c>
      <c r="BL64" t="s">
        <v>2775</v>
      </c>
      <c r="BM64" t="s">
        <v>1096</v>
      </c>
      <c r="BN64" t="s">
        <v>117</v>
      </c>
      <c r="BO64">
        <v>3.41</v>
      </c>
      <c r="BP64">
        <v>6.97</v>
      </c>
      <c r="BQ64">
        <v>-2.96</v>
      </c>
      <c r="BR64">
        <v>3.46</v>
      </c>
      <c r="BS64">
        <v>8.2799999999999994</v>
      </c>
      <c r="BT64" t="s">
        <v>930</v>
      </c>
      <c r="BU64" t="s">
        <v>845</v>
      </c>
      <c r="BV64">
        <v>8.83</v>
      </c>
      <c r="BW64">
        <v>28.82</v>
      </c>
      <c r="BX64">
        <v>35.880000000000003</v>
      </c>
      <c r="BY64">
        <v>-9.5399999999999991</v>
      </c>
      <c r="BZ64">
        <v>8.56</v>
      </c>
      <c r="CA64">
        <v>15.38</v>
      </c>
      <c r="CB64">
        <v>8.36</v>
      </c>
      <c r="CC64">
        <v>3.66</v>
      </c>
      <c r="CD64" t="s">
        <v>124</v>
      </c>
      <c r="CE64" t="s">
        <v>1099</v>
      </c>
      <c r="CF64" s="9">
        <v>0.21794871794871795</v>
      </c>
      <c r="CG64" s="10">
        <v>-1.1704762226682159</v>
      </c>
      <c r="CH64" s="9">
        <v>0.10620915144681931</v>
      </c>
      <c r="CI64" s="9">
        <v>-0.24257425963878632</v>
      </c>
      <c r="CJ64" s="9">
        <v>0.30112722516059875</v>
      </c>
      <c r="CK64" s="9">
        <v>-6.3348419964313507E-2</v>
      </c>
      <c r="CL64" s="9">
        <v>-0.19830714166164398</v>
      </c>
      <c r="CM64" s="10">
        <v>8.5276812314987183E-2</v>
      </c>
      <c r="CN64" s="10">
        <v>-0.57764679193496704</v>
      </c>
      <c r="CO64" s="10">
        <v>5.9829059988260269E-2</v>
      </c>
      <c r="CP64" s="10">
        <v>0.125</v>
      </c>
      <c r="CQ64" s="10">
        <v>-0.38823530077934265</v>
      </c>
      <c r="CR64">
        <v>64.688985768724834</v>
      </c>
      <c r="CS64">
        <v>33.381507901543031</v>
      </c>
      <c r="CT64">
        <v>0</v>
      </c>
      <c r="CU64" s="9">
        <v>-1.937868893146515E-2</v>
      </c>
      <c r="CV64" s="10">
        <v>-0.13915524408221244</v>
      </c>
      <c r="CW64">
        <v>0.06</v>
      </c>
      <c r="CX64" t="e">
        <v>#VALUE!</v>
      </c>
      <c r="CY64" t="s">
        <v>1097</v>
      </c>
      <c r="CZ64">
        <v>-1.937868893146515E-2</v>
      </c>
      <c r="DA64">
        <v>37.626978946559717</v>
      </c>
      <c r="DB64" t="s">
        <v>2776</v>
      </c>
      <c r="DC64">
        <v>-1.8409754484891891E-2</v>
      </c>
      <c r="DD64">
        <v>18.813489473279859</v>
      </c>
      <c r="DE64" t="s">
        <v>2777</v>
      </c>
      <c r="DF64">
        <v>-1.705324625968933E-2</v>
      </c>
      <c r="DG64">
        <v>11.288093683967915</v>
      </c>
      <c r="DH64" t="s">
        <v>2778</v>
      </c>
      <c r="DI64">
        <v>-1.550295114517212E-2</v>
      </c>
      <c r="DJ64">
        <v>5.6440468419839576</v>
      </c>
      <c r="DK64" t="s">
        <v>2779</v>
      </c>
      <c r="DL64">
        <v>-1.3565082252025604E-2</v>
      </c>
      <c r="DM64">
        <v>56837900</v>
      </c>
      <c r="DN64">
        <v>-1.937868893146515E-2</v>
      </c>
      <c r="DO64">
        <v>6415915400</v>
      </c>
      <c r="DP64">
        <v>317323920</v>
      </c>
      <c r="DQ64">
        <v>4039</v>
      </c>
      <c r="DR64">
        <v>0.23732740688018311</v>
      </c>
      <c r="DS64">
        <v>-1.0313209785860036</v>
      </c>
      <c r="DT64" s="7">
        <v>-0.55666666666666664</v>
      </c>
      <c r="DU64">
        <v>-1.1483333333333332</v>
      </c>
      <c r="DV64">
        <v>-1.7049999999999998</v>
      </c>
      <c r="DW64">
        <v>5.437799043062201</v>
      </c>
      <c r="DX64">
        <v>0.52797250859106537</v>
      </c>
      <c r="DY64">
        <v>5.2136338973018299</v>
      </c>
      <c r="DZ64">
        <v>3082</v>
      </c>
      <c r="EA64">
        <v>5.0847846465221354</v>
      </c>
      <c r="EB64">
        <v>5</v>
      </c>
      <c r="EC64">
        <v>0.16141361955832914</v>
      </c>
      <c r="ED64">
        <v>0.33078424853150551</v>
      </c>
      <c r="EE64" s="11">
        <v>5.1196099999999998</v>
      </c>
      <c r="EF64">
        <v>5.14011</v>
      </c>
      <c r="EG64">
        <v>4.4879725085910653</v>
      </c>
      <c r="EH64" t="s">
        <v>1600</v>
      </c>
      <c r="EI64">
        <v>1</v>
      </c>
      <c r="EJ64">
        <v>0</v>
      </c>
      <c r="EK64" s="13">
        <v>45470</v>
      </c>
      <c r="EL64" s="14">
        <v>-2.95</v>
      </c>
      <c r="EM64" s="14">
        <v>-10</v>
      </c>
      <c r="EN64" s="14">
        <v>-0.69</v>
      </c>
      <c r="EO64" s="14">
        <v>0</v>
      </c>
      <c r="EP64" s="14">
        <v>-2.0499999999999998</v>
      </c>
    </row>
    <row r="65" spans="1:146" ht="108" x14ac:dyDescent="0.25">
      <c r="A65" s="6"/>
      <c r="B65" s="6"/>
      <c r="C65" s="6" t="str">
        <f>""&amp;CHAR(10)&amp;Basic_Fundamental_Information_Constructure(F65)&amp;CHAR(10)&amp;Basic_Fundamental_Information_Concatenate("")</f>
        <v xml:space="preserve">
市值21.944148亿, 利润2.80亿; PE; 平均PE38.76; 平均PEG1.97, PB1.33; ROIC4.58%; ROE-6.83%; 股利率.8398%; 毛利28.98%; 净利-2.07%; 上一年度营收增7.27%, 利润增164.15%; 当季营收增-62.08%, 利润增-509.24%; 过往5年营收增19.63%, 利润增59.09%
Income profile:
</v>
      </c>
      <c r="D65" t="s">
        <v>629</v>
      </c>
      <c r="E65" t="s">
        <v>630</v>
      </c>
      <c r="F65">
        <v>5.12</v>
      </c>
      <c r="G65">
        <v>0.2</v>
      </c>
      <c r="H65" t="s">
        <v>2780</v>
      </c>
      <c r="I65">
        <v>2194414800</v>
      </c>
      <c r="K65">
        <v>1.33</v>
      </c>
      <c r="L65" t="s">
        <v>53</v>
      </c>
      <c r="M65" t="s">
        <v>1723</v>
      </c>
      <c r="N65" t="s">
        <v>2781</v>
      </c>
      <c r="O65" t="s">
        <v>242</v>
      </c>
      <c r="P65">
        <v>-40</v>
      </c>
      <c r="Q65" t="s">
        <v>2782</v>
      </c>
      <c r="R65">
        <v>-81734643</v>
      </c>
      <c r="S65" s="5">
        <v>-4.1210000000000004</v>
      </c>
      <c r="T65" t="s">
        <v>2783</v>
      </c>
      <c r="U65">
        <v>428596640</v>
      </c>
      <c r="V65">
        <v>428596640</v>
      </c>
      <c r="W65">
        <v>3.85</v>
      </c>
      <c r="X65">
        <v>0.05</v>
      </c>
      <c r="Y65">
        <v>-27.72</v>
      </c>
      <c r="Z65" t="s">
        <v>495</v>
      </c>
      <c r="AA65" t="s">
        <v>2784</v>
      </c>
      <c r="AB65" t="s">
        <v>2785</v>
      </c>
      <c r="AC65" t="s">
        <v>2786</v>
      </c>
      <c r="AD65" t="s">
        <v>117</v>
      </c>
      <c r="AE65">
        <v>33768328</v>
      </c>
      <c r="AF65" t="s">
        <v>1468</v>
      </c>
      <c r="AG65" t="s">
        <v>2787</v>
      </c>
      <c r="AH65" t="s">
        <v>1727</v>
      </c>
      <c r="AI65" t="s">
        <v>181</v>
      </c>
      <c r="AJ65" t="s">
        <v>1728</v>
      </c>
      <c r="AK65" t="s">
        <v>2788</v>
      </c>
      <c r="AL65" t="s">
        <v>1729</v>
      </c>
      <c r="AM65" t="s">
        <v>117</v>
      </c>
      <c r="AN65" t="s">
        <v>2789</v>
      </c>
      <c r="AO65" t="s">
        <v>2762</v>
      </c>
      <c r="AP65" t="s">
        <v>2790</v>
      </c>
      <c r="AQ65" t="s">
        <v>2791</v>
      </c>
      <c r="AR65" t="s">
        <v>2792</v>
      </c>
      <c r="AS65" t="s">
        <v>2793</v>
      </c>
      <c r="AT65" t="s">
        <v>2794</v>
      </c>
      <c r="AU65" t="s">
        <v>2795</v>
      </c>
      <c r="AV65" t="s">
        <v>2796</v>
      </c>
      <c r="AW65" t="s">
        <v>1772</v>
      </c>
      <c r="AX65" t="s">
        <v>1098</v>
      </c>
      <c r="AY65" t="s">
        <v>785</v>
      </c>
      <c r="AZ65" t="s">
        <v>631</v>
      </c>
      <c r="BA65" t="s">
        <v>632</v>
      </c>
      <c r="BB65" t="s">
        <v>633</v>
      </c>
      <c r="BC65" t="s">
        <v>247</v>
      </c>
      <c r="BD65" t="s">
        <v>786</v>
      </c>
      <c r="BE65" t="s">
        <v>232</v>
      </c>
      <c r="BF65" t="s">
        <v>198</v>
      </c>
      <c r="BG65" t="s">
        <v>634</v>
      </c>
      <c r="BH65" t="s">
        <v>1724</v>
      </c>
      <c r="BI65" t="s">
        <v>2797</v>
      </c>
      <c r="BJ65" t="s">
        <v>1098</v>
      </c>
      <c r="BK65" t="s">
        <v>1725</v>
      </c>
      <c r="BL65" t="s">
        <v>2798</v>
      </c>
      <c r="BM65" t="s">
        <v>247</v>
      </c>
      <c r="BN65">
        <v>3.78</v>
      </c>
      <c r="BO65">
        <v>5.38</v>
      </c>
      <c r="BP65" t="s">
        <v>117</v>
      </c>
      <c r="BQ65">
        <v>4.59</v>
      </c>
      <c r="BR65">
        <v>6.32</v>
      </c>
      <c r="BS65">
        <v>-31.4</v>
      </c>
      <c r="BT65" t="s">
        <v>1734</v>
      </c>
      <c r="BU65" t="s">
        <v>848</v>
      </c>
      <c r="BV65">
        <v>30.52</v>
      </c>
      <c r="BW65">
        <v>32.4</v>
      </c>
      <c r="BX65">
        <v>24.02</v>
      </c>
      <c r="BY65">
        <v>1.93</v>
      </c>
      <c r="BZ65">
        <v>3.4</v>
      </c>
      <c r="CA65">
        <v>-11.54</v>
      </c>
      <c r="CB65">
        <v>1.19</v>
      </c>
      <c r="CC65">
        <v>-19.87</v>
      </c>
      <c r="CD65" t="s">
        <v>2799</v>
      </c>
      <c r="CE65" t="s">
        <v>191</v>
      </c>
      <c r="CF65" s="9">
        <v>-0.62082262210796912</v>
      </c>
      <c r="CG65" s="10">
        <v>-5.0924206146543698</v>
      </c>
      <c r="CH65" s="9">
        <v>7.2715610265731812E-2</v>
      </c>
      <c r="CI65" s="9">
        <v>-0.34082710742950439</v>
      </c>
      <c r="CJ65" s="9">
        <v>0.34445387125015259</v>
      </c>
      <c r="CK65" s="9">
        <v>0.44618561863899231</v>
      </c>
      <c r="CL65" s="9">
        <v>0.45908540487289429</v>
      </c>
      <c r="CM65" s="10">
        <v>1.6415094137191772</v>
      </c>
      <c r="CN65" s="10">
        <v>1.1948529481887817</v>
      </c>
      <c r="CO65" s="10">
        <v>-2.6738462448120117</v>
      </c>
      <c r="CP65" s="10">
        <v>1.8508771657943726</v>
      </c>
      <c r="CQ65" s="10">
        <v>0.94101691246032715</v>
      </c>
      <c r="CR65">
        <v>38.755504116331664</v>
      </c>
      <c r="CS65">
        <v>1.9740716768513726</v>
      </c>
      <c r="CT65">
        <v>0.83984375</v>
      </c>
      <c r="CU65" s="9">
        <v>0.19632267951965332</v>
      </c>
      <c r="CV65" s="10">
        <v>0.59088203907012937</v>
      </c>
      <c r="CW65">
        <v>0.06</v>
      </c>
      <c r="CX65">
        <v>16.462829273185136</v>
      </c>
      <c r="CY65">
        <v>316009764.40141785</v>
      </c>
      <c r="CZ65">
        <v>0.19632267951965332</v>
      </c>
      <c r="DA65">
        <v>4.9221964233395665</v>
      </c>
      <c r="DB65">
        <v>1056929539.6932399</v>
      </c>
      <c r="DC65">
        <v>0.18650654554367063</v>
      </c>
      <c r="DD65">
        <v>2.1417881779299086</v>
      </c>
      <c r="DE65">
        <v>2429005283.3461165</v>
      </c>
      <c r="DF65">
        <v>0.17276395797729494</v>
      </c>
      <c r="DG65">
        <v>1.1120197346308089</v>
      </c>
      <c r="DH65">
        <v>4678347549.0452547</v>
      </c>
      <c r="DI65">
        <v>0.15705814361572268</v>
      </c>
      <c r="DJ65">
        <v>0.40853483235072868</v>
      </c>
      <c r="DK65">
        <v>12734323705.190718</v>
      </c>
      <c r="DL65">
        <v>0.1374258756637573</v>
      </c>
      <c r="DM65">
        <v>280000000</v>
      </c>
      <c r="DN65">
        <v>0.19632267951965332</v>
      </c>
      <c r="DO65">
        <v>5202414800</v>
      </c>
      <c r="DP65">
        <v>-1279704499.9999995</v>
      </c>
      <c r="DQ65">
        <v>4127</v>
      </c>
      <c r="DR65">
        <v>-0.81714530162762244</v>
      </c>
      <c r="DS65">
        <v>-5.6833026537244988</v>
      </c>
      <c r="DT65" s="7">
        <v>-0.24000000000000007</v>
      </c>
      <c r="DU65">
        <v>-0.3033333333333334</v>
      </c>
      <c r="DV65">
        <v>-0.54333333333333345</v>
      </c>
      <c r="DW65">
        <v>-3.043767857142857</v>
      </c>
      <c r="DX65">
        <v>0.25295333333333347</v>
      </c>
      <c r="DY65">
        <v>-3.0049437253571427</v>
      </c>
      <c r="DZ65">
        <v>3158</v>
      </c>
      <c r="EA65">
        <v>-3.00188848373721</v>
      </c>
      <c r="EB65">
        <v>3</v>
      </c>
      <c r="EC65">
        <v>3.557820705267311E-2</v>
      </c>
      <c r="ED65">
        <v>0.31498147069001753</v>
      </c>
      <c r="EE65" s="11">
        <v>4.0579000000000001</v>
      </c>
      <c r="EF65">
        <v>4.0157999999999996</v>
      </c>
      <c r="EG65">
        <v>14.112953333333333</v>
      </c>
      <c r="EH65" t="s">
        <v>2800</v>
      </c>
      <c r="EI65">
        <v>0</v>
      </c>
      <c r="EJ65">
        <v>0</v>
      </c>
      <c r="EK65" s="13">
        <v>45470</v>
      </c>
      <c r="EL65" s="14">
        <v>-0.1</v>
      </c>
      <c r="EM65" s="14">
        <v>-1.25</v>
      </c>
      <c r="EN65" s="14">
        <v>4.5</v>
      </c>
      <c r="EO65" s="14">
        <v>-0.1</v>
      </c>
      <c r="EP65" s="14">
        <v>-4.21</v>
      </c>
    </row>
    <row r="66" spans="1:146" ht="108" x14ac:dyDescent="0.25">
      <c r="A66" s="6"/>
      <c r="B66" s="6"/>
      <c r="C66" s="6" t="str">
        <f>""&amp;CHAR(10)&amp;Basic_Fundamental_Information_Constructure(F66)&amp;CHAR(10)&amp;Basic_Fundamental_Information_Concatenate("")</f>
        <v xml:space="preserve">
市值28.095379亿, 利润3285.32万; PE75.49; 平均PE14.99; 平均PEG2.08, PB1.32; ROIC7.2833%; ROE8.5467%; 股利率1.0909%; 毛利26.22%; 净利9.2933%; 上一年度营收增-16.01%, 利润增-78.24%; 当季营收增59.62%, 利润增488.05%; 过往5年营收增7.2%, 利润增-6.06%
Income profile:
</v>
      </c>
      <c r="D66" t="s">
        <v>591</v>
      </c>
      <c r="E66" t="s">
        <v>592</v>
      </c>
      <c r="F66">
        <v>2.75</v>
      </c>
      <c r="G66">
        <v>0.36</v>
      </c>
      <c r="H66" t="s">
        <v>2801</v>
      </c>
      <c r="I66">
        <v>2809537900</v>
      </c>
      <c r="J66">
        <v>75.489999999999995</v>
      </c>
      <c r="K66">
        <v>1.32</v>
      </c>
      <c r="L66" t="s">
        <v>53</v>
      </c>
      <c r="M66" t="s">
        <v>1736</v>
      </c>
      <c r="N66" t="s">
        <v>2802</v>
      </c>
      <c r="O66" t="s">
        <v>126</v>
      </c>
      <c r="P66">
        <v>-9.89</v>
      </c>
      <c r="Q66" t="s">
        <v>2803</v>
      </c>
      <c r="R66">
        <v>32364877</v>
      </c>
      <c r="S66" s="5">
        <v>-2.75E-2</v>
      </c>
      <c r="T66" t="s">
        <v>2804</v>
      </c>
      <c r="U66">
        <v>1021650140</v>
      </c>
      <c r="V66">
        <v>1021650140</v>
      </c>
      <c r="W66">
        <v>1.37</v>
      </c>
      <c r="X66">
        <v>0.11</v>
      </c>
      <c r="Y66">
        <v>10.02</v>
      </c>
      <c r="Z66" t="s">
        <v>1393</v>
      </c>
      <c r="AA66" t="s">
        <v>2805</v>
      </c>
      <c r="AB66" t="s">
        <v>2806</v>
      </c>
      <c r="AC66" t="s">
        <v>2807</v>
      </c>
      <c r="AD66" t="s">
        <v>117</v>
      </c>
      <c r="AE66">
        <v>5001190</v>
      </c>
      <c r="AF66" t="s">
        <v>1738</v>
      </c>
      <c r="AG66" t="s">
        <v>2808</v>
      </c>
      <c r="AH66" t="s">
        <v>1739</v>
      </c>
      <c r="AI66" t="s">
        <v>2809</v>
      </c>
      <c r="AJ66" t="s">
        <v>1740</v>
      </c>
      <c r="AK66" t="s">
        <v>965</v>
      </c>
      <c r="AL66" t="s">
        <v>1741</v>
      </c>
      <c r="AM66" t="s">
        <v>117</v>
      </c>
      <c r="AN66" t="s">
        <v>2810</v>
      </c>
      <c r="AO66" t="s">
        <v>117</v>
      </c>
      <c r="AP66" t="s">
        <v>117</v>
      </c>
      <c r="AQ66" t="s">
        <v>969</v>
      </c>
      <c r="AR66" t="s">
        <v>117</v>
      </c>
      <c r="AS66" t="s">
        <v>1099</v>
      </c>
      <c r="AT66" t="s">
        <v>117</v>
      </c>
      <c r="AU66" t="s">
        <v>2811</v>
      </c>
      <c r="AV66" t="s">
        <v>2812</v>
      </c>
      <c r="AW66" t="s">
        <v>2813</v>
      </c>
      <c r="AX66" t="s">
        <v>932</v>
      </c>
      <c r="AY66" t="s">
        <v>1100</v>
      </c>
      <c r="AZ66" t="s">
        <v>593</v>
      </c>
      <c r="BA66" t="s">
        <v>594</v>
      </c>
      <c r="BB66" t="s">
        <v>595</v>
      </c>
      <c r="BC66" t="s">
        <v>762</v>
      </c>
      <c r="BD66" t="s">
        <v>730</v>
      </c>
      <c r="BE66" t="s">
        <v>409</v>
      </c>
      <c r="BF66" t="s">
        <v>144</v>
      </c>
      <c r="BG66" t="s">
        <v>430</v>
      </c>
      <c r="BH66" t="s">
        <v>1111</v>
      </c>
      <c r="BI66" t="s">
        <v>454</v>
      </c>
      <c r="BJ66" t="s">
        <v>932</v>
      </c>
      <c r="BK66" t="s">
        <v>1737</v>
      </c>
      <c r="BL66" t="s">
        <v>2814</v>
      </c>
      <c r="BM66" t="s">
        <v>762</v>
      </c>
      <c r="BN66">
        <v>4.7</v>
      </c>
      <c r="BO66">
        <v>6.11</v>
      </c>
      <c r="BP66">
        <v>11.04</v>
      </c>
      <c r="BQ66">
        <v>5.17</v>
      </c>
      <c r="BR66">
        <v>7.39</v>
      </c>
      <c r="BS66">
        <v>13.08</v>
      </c>
      <c r="BT66" t="s">
        <v>1080</v>
      </c>
      <c r="BU66" t="s">
        <v>845</v>
      </c>
      <c r="BV66">
        <v>21.92</v>
      </c>
      <c r="BW66">
        <v>25.79</v>
      </c>
      <c r="BX66">
        <v>30.95</v>
      </c>
      <c r="BY66">
        <v>2.81</v>
      </c>
      <c r="BZ66">
        <v>9.5500000000000007</v>
      </c>
      <c r="CA66">
        <v>15.52</v>
      </c>
      <c r="CB66">
        <v>-0.36</v>
      </c>
      <c r="CC66">
        <v>-14.6</v>
      </c>
      <c r="CD66" t="s">
        <v>2815</v>
      </c>
      <c r="CE66" t="s">
        <v>940</v>
      </c>
      <c r="CF66" s="9">
        <v>0.59624413145539901</v>
      </c>
      <c r="CG66" s="10">
        <v>4.8804945805956548</v>
      </c>
      <c r="CH66" s="9">
        <v>-0.16007412970066071</v>
      </c>
      <c r="CI66" s="9">
        <v>-4.3076532892882824E-3</v>
      </c>
      <c r="CJ66" s="9">
        <v>-0.13747349381446838</v>
      </c>
      <c r="CK66" s="9">
        <v>0.50479233264923096</v>
      </c>
      <c r="CL66" s="9">
        <v>0.15711645781993866</v>
      </c>
      <c r="CM66" s="10">
        <v>-0.78242915868759155</v>
      </c>
      <c r="CN66" s="10">
        <v>-0.39840638637542725</v>
      </c>
      <c r="CO66" s="10">
        <v>-0.30277776718139648</v>
      </c>
      <c r="CP66" s="10">
        <v>1.1052631139755249</v>
      </c>
      <c r="CQ66" s="10">
        <v>7.5471699237823486E-2</v>
      </c>
      <c r="CR66">
        <v>14.986157660395151</v>
      </c>
      <c r="CS66">
        <v>2.0811014323760832</v>
      </c>
      <c r="CT66">
        <v>1.0909090909090908</v>
      </c>
      <c r="CU66" s="9">
        <v>7.2010702732950446E-2</v>
      </c>
      <c r="CV66" s="10">
        <v>-6.0575699806213378E-2</v>
      </c>
      <c r="CW66">
        <v>0.06</v>
      </c>
      <c r="CX66">
        <v>40.226323782857982</v>
      </c>
      <c r="CY66">
        <v>33225454.734930348</v>
      </c>
      <c r="CZ66">
        <v>7.2010702732950446E-2</v>
      </c>
      <c r="DA66">
        <v>13.347779106968156</v>
      </c>
      <c r="DB66">
        <v>100131856.34022559</v>
      </c>
      <c r="DC66">
        <v>6.8410167596302918E-2</v>
      </c>
      <c r="DD66">
        <v>6.7053572014112657</v>
      </c>
      <c r="DE66">
        <v>199323892.80002877</v>
      </c>
      <c r="DF66">
        <v>6.3369418404996394E-2</v>
      </c>
      <c r="DG66">
        <v>4.1189778011507663</v>
      </c>
      <c r="DH66">
        <v>324482909.23699468</v>
      </c>
      <c r="DI66">
        <v>5.760856218636036E-2</v>
      </c>
      <c r="DJ66">
        <v>2.2347639681649465</v>
      </c>
      <c r="DK66">
        <v>598066694.75590503</v>
      </c>
      <c r="DL66">
        <v>5.040749191306531E-2</v>
      </c>
      <c r="DM66">
        <v>32853200</v>
      </c>
      <c r="DN66">
        <v>7.2010702732950446E-2</v>
      </c>
      <c r="DO66">
        <v>1336537900</v>
      </c>
      <c r="DP66">
        <v>1482836000</v>
      </c>
      <c r="DQ66">
        <v>4205</v>
      </c>
      <c r="DR66">
        <v>0.5242334287224486</v>
      </c>
      <c r="DS66">
        <v>4.9410702804018678</v>
      </c>
      <c r="DT66" s="7">
        <v>-0.39000000000000007</v>
      </c>
      <c r="DU66">
        <v>-0.38333333333333336</v>
      </c>
      <c r="DV66">
        <v>-0.77333333333333343</v>
      </c>
      <c r="DW66">
        <v>-2.1459999999999999</v>
      </c>
      <c r="DX66">
        <v>0.37284671532846558</v>
      </c>
      <c r="DY66">
        <v>-2.0193956204379564</v>
      </c>
      <c r="DZ66">
        <v>2395</v>
      </c>
      <c r="EA66">
        <v>-2.0103051094890514</v>
      </c>
      <c r="EB66">
        <v>2</v>
      </c>
      <c r="EC66">
        <v>3.5628635062879742E-2</v>
      </c>
      <c r="ED66">
        <v>0.26819357162717172</v>
      </c>
      <c r="EE66" s="11">
        <v>-3.02921</v>
      </c>
      <c r="EF66">
        <v>-3.0497100000000001</v>
      </c>
      <c r="EG66">
        <v>24.132846715328466</v>
      </c>
      <c r="EH66" t="s">
        <v>1679</v>
      </c>
      <c r="EI66">
        <v>0</v>
      </c>
      <c r="EJ66">
        <v>0</v>
      </c>
      <c r="EK66" s="13">
        <v>45470</v>
      </c>
      <c r="EL66" s="14">
        <v>0.63</v>
      </c>
      <c r="EM66" s="14">
        <v>-2.5</v>
      </c>
      <c r="EN66" s="14">
        <v>0.88</v>
      </c>
      <c r="EO66" s="14">
        <v>0.95</v>
      </c>
      <c r="EP66" s="14">
        <v>-2.0499999999999998</v>
      </c>
    </row>
    <row r="67" spans="1:146" ht="108" x14ac:dyDescent="0.25">
      <c r="A67" s="6"/>
      <c r="B67" s="6"/>
      <c r="C67" s="6" t="str">
        <f>""&amp;CHAR(10)&amp;Basic_Fundamental_Information_Constructure(F67)&amp;CHAR(10)&amp;Basic_Fundamental_Information_Concatenate("")</f>
        <v xml:space="preserve">
市值11.152563亿, 利润3661.92万; PE; 平均PE-20.61; 平均PEG-7.21, PB2.68; ROIC3.57%; ROE-14.9633%; 股利率0%; 毛利12.5267%; 净利-40.4533%; 上一年度营收增29.08%, 利润增110.12%; 当季营收增-76.79%, 利润增-221.69%; 过往5年营收增2.86%, 利润增-369.13%
Income profile:
</v>
      </c>
      <c r="D67" t="s">
        <v>55</v>
      </c>
      <c r="E67" t="s">
        <v>6</v>
      </c>
      <c r="F67">
        <v>2.85</v>
      </c>
      <c r="G67">
        <v>1.06</v>
      </c>
      <c r="H67" t="s">
        <v>2816</v>
      </c>
      <c r="I67">
        <v>1115256300</v>
      </c>
      <c r="K67">
        <v>2.68</v>
      </c>
      <c r="L67" t="s">
        <v>53</v>
      </c>
      <c r="M67" t="s">
        <v>979</v>
      </c>
      <c r="N67" t="s">
        <v>260</v>
      </c>
      <c r="O67" t="s">
        <v>1742</v>
      </c>
      <c r="P67">
        <v>-25.05</v>
      </c>
      <c r="Q67" t="s">
        <v>1524</v>
      </c>
      <c r="R67">
        <v>-11627144</v>
      </c>
      <c r="S67" s="5">
        <v>0.45779999999999998</v>
      </c>
      <c r="T67" t="s">
        <v>2817</v>
      </c>
      <c r="U67">
        <v>381368000</v>
      </c>
      <c r="V67">
        <v>391318000</v>
      </c>
      <c r="W67">
        <v>4.2699999999999996</v>
      </c>
      <c r="X67">
        <v>0.02</v>
      </c>
      <c r="Y67">
        <v>-28.96</v>
      </c>
      <c r="Z67" t="s">
        <v>2818</v>
      </c>
      <c r="AA67" t="s">
        <v>2819</v>
      </c>
      <c r="AB67" t="s">
        <v>2820</v>
      </c>
      <c r="AC67" t="s">
        <v>2821</v>
      </c>
      <c r="AD67" t="s">
        <v>117</v>
      </c>
      <c r="AE67">
        <v>4808596</v>
      </c>
      <c r="AF67" t="s">
        <v>1745</v>
      </c>
      <c r="AG67" t="s">
        <v>2822</v>
      </c>
      <c r="AH67" t="s">
        <v>1746</v>
      </c>
      <c r="AI67" t="s">
        <v>642</v>
      </c>
      <c r="AJ67" t="s">
        <v>1747</v>
      </c>
      <c r="AK67" t="s">
        <v>2823</v>
      </c>
      <c r="AL67" t="s">
        <v>1748</v>
      </c>
      <c r="AM67" t="s">
        <v>117</v>
      </c>
      <c r="AN67" t="s">
        <v>2824</v>
      </c>
      <c r="AO67" t="s">
        <v>2825</v>
      </c>
      <c r="AP67" t="s">
        <v>117</v>
      </c>
      <c r="AQ67" t="s">
        <v>2826</v>
      </c>
      <c r="AR67" t="s">
        <v>117</v>
      </c>
      <c r="AS67" t="s">
        <v>507</v>
      </c>
      <c r="AT67" t="s">
        <v>117</v>
      </c>
      <c r="AU67" t="s">
        <v>2827</v>
      </c>
      <c r="AV67" t="s">
        <v>2828</v>
      </c>
      <c r="AW67" t="s">
        <v>2829</v>
      </c>
      <c r="AX67" t="s">
        <v>133</v>
      </c>
      <c r="AY67" t="s">
        <v>787</v>
      </c>
      <c r="AZ67" t="s">
        <v>283</v>
      </c>
      <c r="BA67" t="s">
        <v>283</v>
      </c>
      <c r="BB67" t="s">
        <v>508</v>
      </c>
      <c r="BC67" t="s">
        <v>933</v>
      </c>
      <c r="BD67" t="s">
        <v>788</v>
      </c>
      <c r="BE67" t="s">
        <v>506</v>
      </c>
      <c r="BF67" t="s">
        <v>284</v>
      </c>
      <c r="BG67" t="s">
        <v>509</v>
      </c>
      <c r="BH67" t="s">
        <v>1743</v>
      </c>
      <c r="BI67" t="s">
        <v>420</v>
      </c>
      <c r="BJ67" t="s">
        <v>133</v>
      </c>
      <c r="BK67" t="s">
        <v>1744</v>
      </c>
      <c r="BL67" t="s">
        <v>2830</v>
      </c>
      <c r="BM67" t="s">
        <v>933</v>
      </c>
      <c r="BN67" t="s">
        <v>117</v>
      </c>
      <c r="BO67" t="s">
        <v>117</v>
      </c>
      <c r="BP67">
        <v>3.57</v>
      </c>
      <c r="BQ67">
        <v>-8.35</v>
      </c>
      <c r="BR67">
        <v>-39.47</v>
      </c>
      <c r="BS67">
        <v>2.93</v>
      </c>
      <c r="BT67" t="s">
        <v>930</v>
      </c>
      <c r="BU67" t="s">
        <v>847</v>
      </c>
      <c r="BV67">
        <v>12.42</v>
      </c>
      <c r="BW67">
        <v>7.83</v>
      </c>
      <c r="BX67">
        <v>17.329999999999998</v>
      </c>
      <c r="BY67">
        <v>-58.27</v>
      </c>
      <c r="BZ67">
        <v>-64.959999999999994</v>
      </c>
      <c r="CA67">
        <v>1.87</v>
      </c>
      <c r="CB67">
        <v>-3.39</v>
      </c>
      <c r="CC67">
        <v>-18.100000000000001</v>
      </c>
      <c r="CD67" t="s">
        <v>2831</v>
      </c>
      <c r="CE67" t="s">
        <v>135</v>
      </c>
      <c r="CF67" s="9">
        <v>-0.76788670520231217</v>
      </c>
      <c r="CG67" s="10">
        <v>-2.2169413045298501</v>
      </c>
      <c r="CH67" s="9">
        <v>0.29084381461143494</v>
      </c>
      <c r="CI67" s="9">
        <v>-0.63306981325149536</v>
      </c>
      <c r="CJ67" s="9">
        <v>0.55373591184616089</v>
      </c>
      <c r="CK67" s="9">
        <v>0</v>
      </c>
      <c r="CL67" s="9">
        <v>-6.8636797368526459E-2</v>
      </c>
      <c r="CM67" s="10">
        <v>1.1011580228805542</v>
      </c>
      <c r="CN67" s="10">
        <v>-14.715341567993164</v>
      </c>
      <c r="CO67" s="10">
        <v>-7.3039844632148743E-2</v>
      </c>
      <c r="CP67" s="10">
        <v>1.424860954284668</v>
      </c>
      <c r="CQ67" s="10">
        <v>-6.1940169334411621</v>
      </c>
      <c r="CR67">
        <v>-20.612883819031516</v>
      </c>
      <c r="CS67">
        <v>-7.2137027663291722</v>
      </c>
      <c r="CT67">
        <v>0</v>
      </c>
      <c r="CU67" s="9">
        <v>2.8574623167514801E-2</v>
      </c>
      <c r="CV67" s="10">
        <v>-3.6912758737802505</v>
      </c>
      <c r="CW67">
        <v>0.06</v>
      </c>
      <c r="CX67">
        <v>57.896139850311478</v>
      </c>
      <c r="CY67">
        <v>35533565.887448922</v>
      </c>
      <c r="CZ67">
        <v>2.8574623167514801E-2</v>
      </c>
      <c r="DA67">
        <v>19.937112694341867</v>
      </c>
      <c r="DB67">
        <v>103187273.48036948</v>
      </c>
      <c r="DC67">
        <v>2.7145892009139059E-2</v>
      </c>
      <c r="DD67">
        <v>10.508519980205763</v>
      </c>
      <c r="DE67">
        <v>195770318.16803166</v>
      </c>
      <c r="DF67">
        <v>2.5145668387413025E-2</v>
      </c>
      <c r="DG67">
        <v>6.7998125576397968</v>
      </c>
      <c r="DH67">
        <v>302546030.87383783</v>
      </c>
      <c r="DI67">
        <v>2.2859698534011843E-2</v>
      </c>
      <c r="DJ67">
        <v>4.1050604162212858</v>
      </c>
      <c r="DK67">
        <v>501151284.36860073</v>
      </c>
      <c r="DL67">
        <v>2.0002236217260359E-2</v>
      </c>
      <c r="DM67">
        <v>36619200</v>
      </c>
      <c r="DN67">
        <v>2.8574623167514801E-2</v>
      </c>
      <c r="DO67">
        <v>2057256300</v>
      </c>
      <c r="DP67">
        <v>33440000</v>
      </c>
      <c r="DQ67">
        <v>4217</v>
      </c>
      <c r="DR67">
        <v>-0.79646132836982697</v>
      </c>
      <c r="DS67">
        <v>1.4743345692504004</v>
      </c>
      <c r="DT67" s="7">
        <v>-0.44</v>
      </c>
      <c r="DU67">
        <v>-1.665</v>
      </c>
      <c r="DV67">
        <v>-2.105</v>
      </c>
      <c r="DW67">
        <v>-8.1872928176795572</v>
      </c>
      <c r="DX67">
        <v>0.3032010973451319</v>
      </c>
      <c r="DY67">
        <v>-8.0305663933701652</v>
      </c>
      <c r="DZ67">
        <v>2750</v>
      </c>
      <c r="EA67">
        <v>-8.0141167687580417</v>
      </c>
      <c r="EB67">
        <v>8</v>
      </c>
      <c r="EC67">
        <v>0.18850883424733847</v>
      </c>
      <c r="ED67">
        <v>1.1550708119738933</v>
      </c>
      <c r="EE67" s="11">
        <v>-3.0327000000000002</v>
      </c>
      <c r="EF67">
        <v>-3.0177</v>
      </c>
      <c r="EG67">
        <v>14.163201097345132</v>
      </c>
      <c r="EH67" t="s">
        <v>1149</v>
      </c>
      <c r="EI67">
        <v>0</v>
      </c>
      <c r="EJ67">
        <v>0</v>
      </c>
      <c r="EK67" s="13">
        <v>45470</v>
      </c>
      <c r="EL67" s="14">
        <v>0.72</v>
      </c>
      <c r="EM67" s="14">
        <v>-5.9</v>
      </c>
      <c r="EN67" s="14">
        <v>10.08</v>
      </c>
      <c r="EO67" s="14">
        <v>3.63</v>
      </c>
      <c r="EP67" s="14">
        <v>-1.5</v>
      </c>
    </row>
    <row r="68" spans="1:146" ht="108" x14ac:dyDescent="0.25">
      <c r="A68" s="6"/>
      <c r="B68" s="6"/>
      <c r="C68" s="6" t="str">
        <f>""&amp;CHAR(10)&amp;Basic_Fundamental_Information_Constructure(F68)&amp;CHAR(10)&amp;Basic_Fundamental_Information_Concatenate("")</f>
        <v xml:space="preserve">
市值198.3675亿, 利润1.01亿; PE102.1; 平均PE104.04; 平均PEG10.51, PB7.96; ROIC8.485%; ROE6.2233%; 股利率.4251%; 毛利28.82%; 净利.2267%; 上一年度营收增-93.01%, 利润增-69.39%; 当季营收增1080.57%, 利润增146.27%; 过往5年营收增9.9%, 利润增6.64%
Income profile:
</v>
      </c>
      <c r="D68" t="s">
        <v>635</v>
      </c>
      <c r="E68" t="s">
        <v>636</v>
      </c>
      <c r="F68">
        <v>37.64</v>
      </c>
      <c r="G68">
        <v>-2.4900000000000002</v>
      </c>
      <c r="H68" t="s">
        <v>2832</v>
      </c>
      <c r="I68">
        <v>19836750000</v>
      </c>
      <c r="J68">
        <v>102.1</v>
      </c>
      <c r="K68">
        <v>7.96</v>
      </c>
      <c r="L68" t="s">
        <v>53</v>
      </c>
      <c r="M68" t="s">
        <v>1750</v>
      </c>
      <c r="N68" t="s">
        <v>2833</v>
      </c>
      <c r="O68" t="s">
        <v>203</v>
      </c>
      <c r="P68">
        <v>0.62</v>
      </c>
      <c r="Q68" t="s">
        <v>1386</v>
      </c>
      <c r="R68">
        <v>47083307</v>
      </c>
      <c r="S68" s="5">
        <v>0.78200000000000003</v>
      </c>
      <c r="T68" t="s">
        <v>407</v>
      </c>
      <c r="U68">
        <v>527012480</v>
      </c>
      <c r="V68">
        <v>527012480</v>
      </c>
      <c r="W68">
        <v>4.88</v>
      </c>
      <c r="X68">
        <v>0.15</v>
      </c>
      <c r="Y68">
        <v>2.29</v>
      </c>
      <c r="Z68" t="s">
        <v>215</v>
      </c>
      <c r="AA68" t="s">
        <v>443</v>
      </c>
      <c r="AB68" t="s">
        <v>1242</v>
      </c>
      <c r="AC68" t="s">
        <v>159</v>
      </c>
      <c r="AD68" t="s">
        <v>117</v>
      </c>
      <c r="AE68">
        <v>35946821</v>
      </c>
      <c r="AF68" t="s">
        <v>1752</v>
      </c>
      <c r="AG68" t="s">
        <v>2834</v>
      </c>
      <c r="AH68" t="s">
        <v>1753</v>
      </c>
      <c r="AI68" t="s">
        <v>2835</v>
      </c>
      <c r="AJ68" t="s">
        <v>1754</v>
      </c>
      <c r="AK68" t="s">
        <v>2836</v>
      </c>
      <c r="AL68" t="s">
        <v>1755</v>
      </c>
      <c r="AM68" t="s">
        <v>117</v>
      </c>
      <c r="AN68" t="s">
        <v>1857</v>
      </c>
      <c r="AO68" t="s">
        <v>2837</v>
      </c>
      <c r="AP68" t="s">
        <v>2838</v>
      </c>
      <c r="AQ68" t="s">
        <v>2839</v>
      </c>
      <c r="AR68" t="s">
        <v>117</v>
      </c>
      <c r="AS68" t="s">
        <v>2840</v>
      </c>
      <c r="AT68" t="s">
        <v>1756</v>
      </c>
      <c r="AU68" t="s">
        <v>2841</v>
      </c>
      <c r="AV68" t="s">
        <v>1733</v>
      </c>
      <c r="AW68" t="s">
        <v>2842</v>
      </c>
      <c r="AX68" t="s">
        <v>1101</v>
      </c>
      <c r="AY68" t="s">
        <v>789</v>
      </c>
      <c r="AZ68" t="s">
        <v>637</v>
      </c>
      <c r="BA68" t="s">
        <v>639</v>
      </c>
      <c r="BB68" t="s">
        <v>640</v>
      </c>
      <c r="BC68" t="s">
        <v>151</v>
      </c>
      <c r="BD68" t="s">
        <v>790</v>
      </c>
      <c r="BE68" t="s">
        <v>638</v>
      </c>
      <c r="BF68" t="s">
        <v>554</v>
      </c>
      <c r="BG68" t="s">
        <v>370</v>
      </c>
      <c r="BH68" t="s">
        <v>1751</v>
      </c>
      <c r="BI68" t="s">
        <v>1133</v>
      </c>
      <c r="BJ68" t="s">
        <v>1101</v>
      </c>
      <c r="BK68" t="s">
        <v>867</v>
      </c>
      <c r="BL68" t="s">
        <v>2843</v>
      </c>
      <c r="BM68" t="s">
        <v>151</v>
      </c>
      <c r="BN68">
        <v>9.76</v>
      </c>
      <c r="BO68">
        <v>7.21</v>
      </c>
      <c r="BP68" t="s">
        <v>117</v>
      </c>
      <c r="BQ68">
        <v>21.74</v>
      </c>
      <c r="BR68">
        <v>15.64</v>
      </c>
      <c r="BS68">
        <v>-18.71</v>
      </c>
      <c r="BT68" t="s">
        <v>1757</v>
      </c>
      <c r="BU68" t="s">
        <v>848</v>
      </c>
      <c r="BV68">
        <v>31.51</v>
      </c>
      <c r="BW68">
        <v>28.9</v>
      </c>
      <c r="BX68">
        <v>26.05</v>
      </c>
      <c r="BY68">
        <v>1.42</v>
      </c>
      <c r="BZ68">
        <v>2.73</v>
      </c>
      <c r="CA68">
        <v>-3.47</v>
      </c>
      <c r="CB68">
        <v>3.78</v>
      </c>
      <c r="CC68">
        <v>-23.15</v>
      </c>
      <c r="CD68" t="s">
        <v>2844</v>
      </c>
      <c r="CE68" t="s">
        <v>248</v>
      </c>
      <c r="CF68" s="9">
        <v>10.805714285714286</v>
      </c>
      <c r="CG68" s="10">
        <v>1.4626963794420094</v>
      </c>
      <c r="CH68" s="9">
        <v>-0.93005824089050293</v>
      </c>
      <c r="CI68" s="9">
        <v>-7.9621840268373489E-3</v>
      </c>
      <c r="CJ68" s="9">
        <v>0.39378049969673157</v>
      </c>
      <c r="CK68" s="9">
        <v>0.37307441234588623</v>
      </c>
      <c r="CL68" s="9">
        <v>0.66629457473754883</v>
      </c>
      <c r="CM68" s="10">
        <v>-0.69393938779830933</v>
      </c>
      <c r="CN68" s="10">
        <v>1.7913669347763062</v>
      </c>
      <c r="CO68" s="10">
        <v>-1.8306772708892822</v>
      </c>
      <c r="CP68" s="10">
        <v>0.23645320534706116</v>
      </c>
      <c r="CQ68" s="10">
        <v>0.82882881164550781</v>
      </c>
      <c r="CR68">
        <v>104.0388986013986</v>
      </c>
      <c r="CS68">
        <v>10.50624035377489</v>
      </c>
      <c r="CT68">
        <v>0.42507970244420828</v>
      </c>
      <c r="CU68" s="9">
        <v>9.9025812372565275E-2</v>
      </c>
      <c r="CV68" s="10">
        <v>6.6406458616256714E-2</v>
      </c>
      <c r="CW68">
        <v>0.06</v>
      </c>
      <c r="CX68">
        <v>272.35637216029858</v>
      </c>
      <c r="CY68">
        <v>104718497.21663122</v>
      </c>
      <c r="CZ68">
        <v>9.9025812372565275E-2</v>
      </c>
      <c r="DA68">
        <v>88.326561740664715</v>
      </c>
      <c r="DB68">
        <v>322901168.54927135</v>
      </c>
      <c r="DC68">
        <v>9.4074521753937004E-2</v>
      </c>
      <c r="DD68">
        <v>43.037900850309384</v>
      </c>
      <c r="DE68">
        <v>662689151.57359433</v>
      </c>
      <c r="DF68">
        <v>8.7142714887857436E-2</v>
      </c>
      <c r="DG68">
        <v>25.546835433232228</v>
      </c>
      <c r="DH68">
        <v>1116410291.7772429</v>
      </c>
      <c r="DI68">
        <v>7.922064989805222E-2</v>
      </c>
      <c r="DJ68">
        <v>12.863102211152096</v>
      </c>
      <c r="DK68">
        <v>2217252847.0832629</v>
      </c>
      <c r="DL68">
        <v>6.9318068660795693E-2</v>
      </c>
      <c r="DM68">
        <v>101000000</v>
      </c>
      <c r="DN68">
        <v>9.9025812372565275E-2</v>
      </c>
      <c r="DO68">
        <v>28520750000</v>
      </c>
      <c r="DP68">
        <v>-2231148100</v>
      </c>
      <c r="DQ68">
        <v>4288</v>
      </c>
      <c r="DR68">
        <v>10.706688473341721</v>
      </c>
      <c r="DS68">
        <v>1.3962899208257527</v>
      </c>
      <c r="DT68" s="7">
        <v>-0.32333333333333331</v>
      </c>
      <c r="DU68">
        <v>-0.40000000000000008</v>
      </c>
      <c r="DV68">
        <v>-0.72333333333333338</v>
      </c>
      <c r="DW68">
        <v>6.1403639064240627</v>
      </c>
      <c r="DX68">
        <v>0.3139967479674789</v>
      </c>
      <c r="DY68">
        <v>6.0244228632497983</v>
      </c>
      <c r="DZ68">
        <v>1327</v>
      </c>
      <c r="EA68">
        <v>6.0180805658853203</v>
      </c>
      <c r="EB68">
        <v>6</v>
      </c>
      <c r="EC68">
        <v>4.0609285002131255E-2</v>
      </c>
      <c r="ED68">
        <v>0.23339105745655206</v>
      </c>
      <c r="EE68" s="11">
        <v>5.8099999999999999E-2</v>
      </c>
      <c r="EF68">
        <v>3.7699999999999997E-2</v>
      </c>
      <c r="EG68">
        <v>14.173996747967479</v>
      </c>
      <c r="EH68" t="s">
        <v>666</v>
      </c>
      <c r="EI68">
        <v>0</v>
      </c>
      <c r="EJ68">
        <v>1</v>
      </c>
      <c r="EK68" s="13">
        <v>45470</v>
      </c>
      <c r="EL68" s="14">
        <v>-1.4</v>
      </c>
      <c r="EM68" s="14">
        <v>-4.58</v>
      </c>
      <c r="EN68" s="14">
        <v>-1.02</v>
      </c>
      <c r="EO68" s="14">
        <v>5.25</v>
      </c>
      <c r="EP68" s="14">
        <v>-2.04</v>
      </c>
    </row>
    <row r="69" spans="1:146" ht="108" x14ac:dyDescent="0.25">
      <c r="A69" s="6"/>
      <c r="B69" s="6"/>
      <c r="C69" s="6" t="str">
        <f>""&amp;CHAR(10)&amp;Basic_Fundamental_Information_Constructure(F69)&amp;CHAR(10)&amp;Basic_Fundamental_Information_Concatenate("")</f>
        <v xml:space="preserve">
市值26.820967亿, 利润3.19亿; PE16.23; 平均PE12.62; 平均PEG.15, PB1.17; ROIC5.7033%; ROE7.01%; 股利率1.8069%; 毛利19.3967%; 净利5.6933%; 上一年度营收增364.57%, 利润增114.09%; 当季营收增-81.68%, 利润增-88.55%; 过往5年营收增85.68%, 利润增31.41%
Income profile:
</v>
      </c>
      <c r="D69" t="s">
        <v>79</v>
      </c>
      <c r="E69" t="s">
        <v>25</v>
      </c>
      <c r="F69">
        <v>10.46</v>
      </c>
      <c r="G69">
        <v>1.45</v>
      </c>
      <c r="H69" t="s">
        <v>2845</v>
      </c>
      <c r="I69">
        <v>2682096700</v>
      </c>
      <c r="J69">
        <v>16.23</v>
      </c>
      <c r="K69">
        <v>1.17</v>
      </c>
      <c r="L69" t="s">
        <v>53</v>
      </c>
      <c r="M69" t="s">
        <v>1758</v>
      </c>
      <c r="N69" t="s">
        <v>1390</v>
      </c>
      <c r="O69" t="s">
        <v>1051</v>
      </c>
      <c r="P69">
        <v>0.43</v>
      </c>
      <c r="Q69" t="s">
        <v>2846</v>
      </c>
      <c r="R69">
        <v>52089430</v>
      </c>
      <c r="S69" s="5">
        <v>8.6599999999999996E-2</v>
      </c>
      <c r="T69" t="s">
        <v>412</v>
      </c>
      <c r="U69">
        <v>256414600</v>
      </c>
      <c r="V69">
        <v>256414600</v>
      </c>
      <c r="W69">
        <v>1.58</v>
      </c>
      <c r="X69">
        <v>0.18</v>
      </c>
      <c r="Y69">
        <v>8.06</v>
      </c>
      <c r="Z69" t="s">
        <v>2847</v>
      </c>
      <c r="AA69" t="s">
        <v>626</v>
      </c>
      <c r="AB69" t="s">
        <v>2848</v>
      </c>
      <c r="AC69" t="s">
        <v>2849</v>
      </c>
      <c r="AD69" t="s">
        <v>117</v>
      </c>
      <c r="AE69">
        <v>4805595</v>
      </c>
      <c r="AF69" t="s">
        <v>1760</v>
      </c>
      <c r="AG69" t="s">
        <v>2850</v>
      </c>
      <c r="AH69" t="s">
        <v>1761</v>
      </c>
      <c r="AI69" t="s">
        <v>337</v>
      </c>
      <c r="AJ69" t="s">
        <v>1762</v>
      </c>
      <c r="AK69" t="s">
        <v>2851</v>
      </c>
      <c r="AL69" t="s">
        <v>1763</v>
      </c>
      <c r="AM69" t="s">
        <v>117</v>
      </c>
      <c r="AN69" t="s">
        <v>2852</v>
      </c>
      <c r="AO69" t="s">
        <v>2853</v>
      </c>
      <c r="AP69" t="s">
        <v>2854</v>
      </c>
      <c r="AQ69" t="s">
        <v>282</v>
      </c>
      <c r="AR69" t="s">
        <v>117</v>
      </c>
      <c r="AS69" t="s">
        <v>1574</v>
      </c>
      <c r="AT69" t="s">
        <v>1425</v>
      </c>
      <c r="AU69" t="s">
        <v>2855</v>
      </c>
      <c r="AV69" t="s">
        <v>2856</v>
      </c>
      <c r="AW69" t="s">
        <v>2857</v>
      </c>
      <c r="AX69" t="s">
        <v>1104</v>
      </c>
      <c r="AY69" t="s">
        <v>791</v>
      </c>
      <c r="AZ69" t="s">
        <v>511</v>
      </c>
      <c r="BA69" t="s">
        <v>286</v>
      </c>
      <c r="BB69" t="s">
        <v>512</v>
      </c>
      <c r="BC69" t="s">
        <v>1095</v>
      </c>
      <c r="BD69" t="s">
        <v>140</v>
      </c>
      <c r="BE69" t="s">
        <v>412</v>
      </c>
      <c r="BF69" t="s">
        <v>149</v>
      </c>
      <c r="BG69" t="s">
        <v>339</v>
      </c>
      <c r="BH69" t="s">
        <v>1759</v>
      </c>
      <c r="BI69" t="s">
        <v>2858</v>
      </c>
      <c r="BJ69" t="s">
        <v>1104</v>
      </c>
      <c r="BK69" t="s">
        <v>159</v>
      </c>
      <c r="BL69" t="s">
        <v>2859</v>
      </c>
      <c r="BM69" t="s">
        <v>1095</v>
      </c>
      <c r="BN69">
        <v>5.4</v>
      </c>
      <c r="BO69">
        <v>5.77</v>
      </c>
      <c r="BP69">
        <v>5.94</v>
      </c>
      <c r="BQ69">
        <v>7.07</v>
      </c>
      <c r="BR69">
        <v>7.24</v>
      </c>
      <c r="BS69">
        <v>6.72</v>
      </c>
      <c r="BT69" t="s">
        <v>1765</v>
      </c>
      <c r="BU69" t="s">
        <v>852</v>
      </c>
      <c r="BV69">
        <v>19.38</v>
      </c>
      <c r="BW69">
        <v>19.34</v>
      </c>
      <c r="BX69">
        <v>19.47</v>
      </c>
      <c r="BY69">
        <v>5.82</v>
      </c>
      <c r="BZ69">
        <v>5.24</v>
      </c>
      <c r="CA69">
        <v>6.02</v>
      </c>
      <c r="CB69">
        <v>2.75</v>
      </c>
      <c r="CC69">
        <v>-4.5599999999999996</v>
      </c>
      <c r="CD69" t="s">
        <v>2860</v>
      </c>
      <c r="CE69" t="s">
        <v>2861</v>
      </c>
      <c r="CF69" s="9">
        <v>-0.81678520625889051</v>
      </c>
      <c r="CG69" s="10">
        <v>-0.88551773626373631</v>
      </c>
      <c r="CH69" s="9">
        <v>3.6457381248474121</v>
      </c>
      <c r="CI69" s="9">
        <v>0.29062929749488831</v>
      </c>
      <c r="CJ69" s="9">
        <v>-7.6890930533409119E-2</v>
      </c>
      <c r="CK69" s="9">
        <v>0.30125060677528381</v>
      </c>
      <c r="CL69" s="9">
        <v>0.12339653819799423</v>
      </c>
      <c r="CM69" s="10">
        <v>1.1409395933151245</v>
      </c>
      <c r="CN69" s="10">
        <v>0.12030075490474701</v>
      </c>
      <c r="CO69" s="10">
        <v>-0.58307212591171265</v>
      </c>
      <c r="CP69" s="10">
        <v>0.58706468343734741</v>
      </c>
      <c r="CQ69" s="10">
        <v>0.30519479513168335</v>
      </c>
      <c r="CR69">
        <v>12.621631529411765</v>
      </c>
      <c r="CS69">
        <v>0.1473070410602336</v>
      </c>
      <c r="CT69">
        <v>1.8068833652007645</v>
      </c>
      <c r="CU69" s="9">
        <v>0.85682472735643389</v>
      </c>
      <c r="CV69" s="10">
        <v>0.31408554017543794</v>
      </c>
      <c r="CW69">
        <v>0.06</v>
      </c>
      <c r="CX69">
        <v>3.0352528836549708</v>
      </c>
      <c r="CY69">
        <v>558799139.64783239</v>
      </c>
      <c r="CZ69">
        <v>0.85682472735643389</v>
      </c>
      <c r="DA69">
        <v>0.55088801163849588</v>
      </c>
      <c r="DB69">
        <v>3078841187.6223836</v>
      </c>
      <c r="DC69">
        <v>0.81398349098861211</v>
      </c>
      <c r="DD69">
        <v>0.10772828361648698</v>
      </c>
      <c r="DE69">
        <v>15744209812.514135</v>
      </c>
      <c r="DF69">
        <v>0.75400576007366182</v>
      </c>
      <c r="DG69">
        <v>1.9285907452258659E-2</v>
      </c>
      <c r="DH69">
        <v>87944873955.171997</v>
      </c>
      <c r="DI69">
        <v>0.68545978188514711</v>
      </c>
      <c r="DJ69">
        <v>4.7737230667854828E-4</v>
      </c>
      <c r="DK69">
        <v>3552985115121.2949</v>
      </c>
      <c r="DL69">
        <v>0.59977730914950367</v>
      </c>
      <c r="DM69">
        <v>319000000</v>
      </c>
      <c r="DN69">
        <v>0.85682472735643389</v>
      </c>
      <c r="DO69">
        <v>1696096700</v>
      </c>
      <c r="DP69">
        <v>1406338000</v>
      </c>
      <c r="DQ69">
        <v>4338</v>
      </c>
      <c r="DR69">
        <v>-1.6736099336153245</v>
      </c>
      <c r="DS69">
        <v>-1.1996032764391742</v>
      </c>
      <c r="DT69" s="7">
        <v>0.12666666666666662</v>
      </c>
      <c r="DU69">
        <v>-2.3333333333333355E-2</v>
      </c>
      <c r="DV69">
        <v>0.10333333333333326</v>
      </c>
      <c r="DW69">
        <v>6.3761969904240763</v>
      </c>
      <c r="DX69">
        <v>0.31310099636572464</v>
      </c>
      <c r="DY69">
        <v>6.053834164159472</v>
      </c>
      <c r="DZ69">
        <v>3946</v>
      </c>
      <c r="EA69">
        <v>6.0122628115619623</v>
      </c>
      <c r="EB69">
        <v>6</v>
      </c>
      <c r="EC69">
        <v>2.5076575202816063E-2</v>
      </c>
      <c r="ED69">
        <v>0.17523690148688881</v>
      </c>
      <c r="EE69" s="11">
        <v>-1.0331999999999999</v>
      </c>
      <c r="EF69">
        <v>-1.0247999999999999</v>
      </c>
      <c r="EG69">
        <v>17.143100996365725</v>
      </c>
      <c r="EH69" t="s">
        <v>808</v>
      </c>
      <c r="EI69">
        <v>0</v>
      </c>
      <c r="EJ69">
        <v>0</v>
      </c>
      <c r="EK69" s="13">
        <v>45470</v>
      </c>
      <c r="EL69" s="14">
        <v>2.16</v>
      </c>
      <c r="EM69" s="14">
        <v>-2.37</v>
      </c>
      <c r="EN69" s="14">
        <v>-0.59</v>
      </c>
      <c r="EO69" s="14">
        <v>1.85</v>
      </c>
      <c r="EP69" s="14">
        <v>-0.84</v>
      </c>
    </row>
    <row r="70" spans="1:146" ht="84" x14ac:dyDescent="0.25">
      <c r="A70" s="6"/>
      <c r="B70" s="6"/>
      <c r="C70" s="6" t="s">
        <v>656</v>
      </c>
      <c r="D70" t="s">
        <v>596</v>
      </c>
      <c r="E70" t="s">
        <v>597</v>
      </c>
      <c r="F70">
        <v>4.42</v>
      </c>
      <c r="G70">
        <v>1.84</v>
      </c>
      <c r="H70" t="s">
        <v>2862</v>
      </c>
      <c r="I70">
        <v>2700429000</v>
      </c>
      <c r="K70">
        <v>1.04</v>
      </c>
      <c r="L70" t="s">
        <v>53</v>
      </c>
      <c r="M70" t="s">
        <v>1766</v>
      </c>
      <c r="N70" t="s">
        <v>2863</v>
      </c>
      <c r="O70" t="s">
        <v>1767</v>
      </c>
      <c r="P70">
        <v>-18.09</v>
      </c>
      <c r="Q70" t="s">
        <v>2864</v>
      </c>
      <c r="R70">
        <v>-85199301</v>
      </c>
      <c r="S70" s="5">
        <v>-1.9630000000000001</v>
      </c>
      <c r="T70" t="s">
        <v>182</v>
      </c>
      <c r="U70">
        <v>600006600</v>
      </c>
      <c r="V70">
        <v>610956800</v>
      </c>
      <c r="W70">
        <v>2.52</v>
      </c>
      <c r="X70">
        <v>0.08</v>
      </c>
      <c r="Y70">
        <v>-16.559999999999999</v>
      </c>
      <c r="Z70" t="s">
        <v>2320</v>
      </c>
      <c r="AA70" t="s">
        <v>1701</v>
      </c>
      <c r="AB70" t="s">
        <v>2865</v>
      </c>
      <c r="AC70" t="s">
        <v>2866</v>
      </c>
      <c r="AD70" t="s">
        <v>117</v>
      </c>
      <c r="AE70">
        <v>11191190</v>
      </c>
      <c r="AF70" t="s">
        <v>118</v>
      </c>
      <c r="AG70" t="s">
        <v>2867</v>
      </c>
      <c r="AH70" t="s">
        <v>1769</v>
      </c>
      <c r="AI70" t="s">
        <v>2868</v>
      </c>
      <c r="AJ70" t="s">
        <v>1770</v>
      </c>
      <c r="AK70" t="s">
        <v>1364</v>
      </c>
      <c r="AL70" t="s">
        <v>1771</v>
      </c>
      <c r="AM70" t="s">
        <v>117</v>
      </c>
      <c r="AN70" t="s">
        <v>2869</v>
      </c>
      <c r="AO70" t="s">
        <v>1687</v>
      </c>
      <c r="AP70" t="s">
        <v>960</v>
      </c>
      <c r="AQ70" t="s">
        <v>2870</v>
      </c>
      <c r="AR70" t="s">
        <v>117</v>
      </c>
      <c r="AS70" t="s">
        <v>2802</v>
      </c>
      <c r="AT70" t="s">
        <v>444</v>
      </c>
      <c r="AU70" t="s">
        <v>2871</v>
      </c>
      <c r="AV70" t="s">
        <v>2872</v>
      </c>
      <c r="AW70" t="s">
        <v>2037</v>
      </c>
      <c r="AX70" t="s">
        <v>1105</v>
      </c>
      <c r="AY70" t="s">
        <v>792</v>
      </c>
      <c r="AZ70" t="s">
        <v>400</v>
      </c>
      <c r="BA70" t="s">
        <v>598</v>
      </c>
      <c r="BB70" t="s">
        <v>408</v>
      </c>
      <c r="BC70" t="s">
        <v>115</v>
      </c>
      <c r="BD70" t="s">
        <v>749</v>
      </c>
      <c r="BE70" t="s">
        <v>435</v>
      </c>
      <c r="BF70" t="s">
        <v>271</v>
      </c>
      <c r="BG70" t="s">
        <v>282</v>
      </c>
      <c r="BH70" t="s">
        <v>1768</v>
      </c>
      <c r="BI70" t="s">
        <v>2873</v>
      </c>
      <c r="BJ70" t="s">
        <v>1105</v>
      </c>
      <c r="BK70" t="s">
        <v>143</v>
      </c>
      <c r="BL70" t="s">
        <v>2874</v>
      </c>
      <c r="BM70" t="s">
        <v>115</v>
      </c>
      <c r="BN70">
        <v>3.02</v>
      </c>
      <c r="BO70">
        <v>13.61</v>
      </c>
      <c r="BP70">
        <v>15.47</v>
      </c>
      <c r="BQ70">
        <v>3.66</v>
      </c>
      <c r="BR70">
        <v>20.399999999999999</v>
      </c>
      <c r="BS70">
        <v>26.58</v>
      </c>
      <c r="BT70" t="s">
        <v>1773</v>
      </c>
      <c r="BU70" t="s">
        <v>845</v>
      </c>
      <c r="BV70">
        <v>10.44</v>
      </c>
      <c r="BW70">
        <v>28.62</v>
      </c>
      <c r="BX70">
        <v>36.65</v>
      </c>
      <c r="BY70">
        <v>4.78</v>
      </c>
      <c r="BZ70">
        <v>19.260000000000002</v>
      </c>
      <c r="CA70">
        <v>19.87</v>
      </c>
      <c r="CB70">
        <v>0.23</v>
      </c>
      <c r="CC70">
        <v>-20.329999999999998</v>
      </c>
      <c r="CD70" t="s">
        <v>2875</v>
      </c>
      <c r="CE70" t="s">
        <v>2876</v>
      </c>
      <c r="CF70" s="9">
        <v>-0.59062003179650235</v>
      </c>
      <c r="CG70" s="10">
        <v>-1.8570140269808961</v>
      </c>
      <c r="CH70" s="9">
        <v>1.3441208600997925</v>
      </c>
      <c r="CI70" s="9">
        <v>1.1640597134828568E-2</v>
      </c>
      <c r="CJ70" s="9">
        <v>0.37725448608398438</v>
      </c>
      <c r="CK70" s="9">
        <v>0.1021534651517868</v>
      </c>
      <c r="CL70" s="9">
        <v>4.4370493851602077E-3</v>
      </c>
      <c r="CM70" s="10">
        <v>-0.49067163467407227</v>
      </c>
      <c r="CN70" s="10">
        <v>-1.8315019086003304E-2</v>
      </c>
      <c r="CO70" s="10">
        <v>2.1744186878204346</v>
      </c>
      <c r="CP70" s="10">
        <v>0.17808219790458679</v>
      </c>
      <c r="CQ70" s="10">
        <v>-0.13609467446804047</v>
      </c>
      <c r="CR70">
        <v>8.796185667752443</v>
      </c>
      <c r="CS70">
        <v>0.23907791881765419</v>
      </c>
      <c r="CT70">
        <v>1.1764705882352942</v>
      </c>
      <c r="CU70" s="9">
        <v>0.36792129157111048</v>
      </c>
      <c r="CV70" s="10">
        <v>0.34148391149938107</v>
      </c>
      <c r="CW70">
        <v>0.06</v>
      </c>
      <c r="CX70">
        <v>10.937787215423443</v>
      </c>
      <c r="CY70">
        <v>352304257.16878599</v>
      </c>
      <c r="CZ70">
        <v>0.36792129157111048</v>
      </c>
      <c r="DA70">
        <v>2.8471606294067144</v>
      </c>
      <c r="DB70">
        <v>1353428731.8390496</v>
      </c>
      <c r="DC70">
        <v>0.34952522699255495</v>
      </c>
      <c r="DD70">
        <v>1.0068111198445802</v>
      </c>
      <c r="DE70">
        <v>3827360389.697372</v>
      </c>
      <c r="DF70">
        <v>0.32377073658257721</v>
      </c>
      <c r="DG70">
        <v>0.40123556510001346</v>
      </c>
      <c r="DH70">
        <v>9603906869.6202946</v>
      </c>
      <c r="DI70">
        <v>0.29433703325688837</v>
      </c>
      <c r="DJ70">
        <v>7.515369639833043E-2</v>
      </c>
      <c r="DK70">
        <v>51273978322.716347</v>
      </c>
      <c r="DL70">
        <v>0.25754490409977732</v>
      </c>
      <c r="DM70">
        <v>273000000</v>
      </c>
      <c r="DN70">
        <v>0.36792129157111048</v>
      </c>
      <c r="DO70">
        <v>3853429000</v>
      </c>
      <c r="DP70">
        <v>-66342100</v>
      </c>
      <c r="DQ70">
        <v>4430</v>
      </c>
      <c r="DR70">
        <v>-0.95854132336761277</v>
      </c>
      <c r="DS70">
        <v>-2.1984979384802772</v>
      </c>
      <c r="DT70" s="7">
        <v>2.6666666666666616E-2</v>
      </c>
      <c r="DU70">
        <v>-0.56500000000000006</v>
      </c>
      <c r="DV70">
        <v>-0.53833333333333344</v>
      </c>
      <c r="DW70">
        <v>-3.0489702380952379</v>
      </c>
      <c r="DX70">
        <v>0.37181009747401728</v>
      </c>
      <c r="DY70">
        <v>-3.0079238789995162</v>
      </c>
      <c r="DZ70">
        <v>467</v>
      </c>
      <c r="EA70">
        <v>-3.0071997201946679</v>
      </c>
      <c r="EB70">
        <v>3</v>
      </c>
      <c r="EC70">
        <v>1.8036136106513587E-2</v>
      </c>
      <c r="ED70">
        <v>0.11146483679369802</v>
      </c>
      <c r="EE70" s="11">
        <v>-4.0065999999999997</v>
      </c>
      <c r="EF70">
        <v>-4.0072099999999997</v>
      </c>
      <c r="EG70">
        <v>21.161810097474017</v>
      </c>
      <c r="EH70" t="s">
        <v>1538</v>
      </c>
      <c r="EI70">
        <v>0</v>
      </c>
      <c r="EJ70">
        <v>1</v>
      </c>
      <c r="EK70" s="13">
        <v>45470</v>
      </c>
      <c r="EL70" s="14">
        <v>-0.16</v>
      </c>
      <c r="EM70" s="14">
        <v>-3.44</v>
      </c>
      <c r="EN70" s="14">
        <v>2.27</v>
      </c>
      <c r="EO70" s="14">
        <v>2.85</v>
      </c>
      <c r="EP70" s="14">
        <v>-1.38</v>
      </c>
    </row>
    <row r="71" spans="1:146" ht="108" x14ac:dyDescent="0.25">
      <c r="A71" s="6"/>
      <c r="B71" s="6"/>
      <c r="C71" s="6" t="str">
        <f>""&amp;CHAR(10)&amp;Basic_Fundamental_Information_Constructure(F71)&amp;CHAR(10)&amp;Basic_Fundamental_Information_Concatenate("")</f>
        <v xml:space="preserve">
市值16.494278亿, 利润4.92亿; PE107.7; 平均PE8.61; 平均PEG.31, PB.74; ROIC3.845%; ROE.9%; 股利率.2403%; 毛利16.4167%; 净利1.5333%; 上一年度营收增118.87%, 利润增604.64%; 当季营收增-65.64%, 利润增-89.23%; 过往5年营收增27.64%, 利润增90.67%
Income profile:
</v>
      </c>
      <c r="D71" t="s">
        <v>513</v>
      </c>
      <c r="E71" t="s">
        <v>514</v>
      </c>
      <c r="F71">
        <v>9.57</v>
      </c>
      <c r="G71">
        <v>1.27</v>
      </c>
      <c r="H71" t="s">
        <v>2877</v>
      </c>
      <c r="I71">
        <v>1649427800</v>
      </c>
      <c r="J71">
        <v>107.7</v>
      </c>
      <c r="K71">
        <v>0.74</v>
      </c>
      <c r="L71" t="s">
        <v>53</v>
      </c>
      <c r="M71" t="s">
        <v>938</v>
      </c>
      <c r="N71" t="s">
        <v>2878</v>
      </c>
      <c r="O71" t="s">
        <v>1018</v>
      </c>
      <c r="P71">
        <v>-22.69</v>
      </c>
      <c r="Q71" t="s">
        <v>2879</v>
      </c>
      <c r="R71">
        <v>15400375</v>
      </c>
      <c r="S71" s="5">
        <v>0.18060000000000001</v>
      </c>
      <c r="T71" t="s">
        <v>1273</v>
      </c>
      <c r="U71">
        <v>58674000</v>
      </c>
      <c r="V71">
        <v>172354000</v>
      </c>
      <c r="W71">
        <v>1.95</v>
      </c>
      <c r="X71">
        <v>7.0000000000000007E-2</v>
      </c>
      <c r="Y71">
        <v>4.29</v>
      </c>
      <c r="Z71" t="s">
        <v>968</v>
      </c>
      <c r="AA71" t="s">
        <v>940</v>
      </c>
      <c r="AB71" t="s">
        <v>2880</v>
      </c>
      <c r="AC71" t="s">
        <v>2881</v>
      </c>
      <c r="AD71" t="s">
        <v>117</v>
      </c>
      <c r="AE71">
        <v>11581838</v>
      </c>
      <c r="AF71" t="s">
        <v>118</v>
      </c>
      <c r="AG71" t="s">
        <v>2882</v>
      </c>
      <c r="AH71" t="s">
        <v>1776</v>
      </c>
      <c r="AI71" t="s">
        <v>1431</v>
      </c>
      <c r="AJ71" t="s">
        <v>1777</v>
      </c>
      <c r="AK71" t="s">
        <v>2883</v>
      </c>
      <c r="AL71" t="s">
        <v>1778</v>
      </c>
      <c r="AM71" t="s">
        <v>117</v>
      </c>
      <c r="AN71" t="s">
        <v>2884</v>
      </c>
      <c r="AO71" t="s">
        <v>1403</v>
      </c>
      <c r="AP71" t="s">
        <v>164</v>
      </c>
      <c r="AQ71" t="s">
        <v>2885</v>
      </c>
      <c r="AR71" t="s">
        <v>117</v>
      </c>
      <c r="AS71" t="s">
        <v>119</v>
      </c>
      <c r="AT71" t="s">
        <v>1592</v>
      </c>
      <c r="AU71" t="s">
        <v>2886</v>
      </c>
      <c r="AV71" t="s">
        <v>2887</v>
      </c>
      <c r="AW71" t="s">
        <v>2888</v>
      </c>
      <c r="AX71" t="s">
        <v>1106</v>
      </c>
      <c r="AY71" t="s">
        <v>600</v>
      </c>
      <c r="AZ71" t="s">
        <v>515</v>
      </c>
      <c r="BA71" t="s">
        <v>516</v>
      </c>
      <c r="BB71" t="s">
        <v>517</v>
      </c>
      <c r="BC71" t="s">
        <v>1107</v>
      </c>
      <c r="BD71" t="s">
        <v>314</v>
      </c>
      <c r="BE71" t="s">
        <v>131</v>
      </c>
      <c r="BF71" t="s">
        <v>201</v>
      </c>
      <c r="BG71" t="s">
        <v>285</v>
      </c>
      <c r="BH71" t="s">
        <v>1774</v>
      </c>
      <c r="BI71" t="s">
        <v>1029</v>
      </c>
      <c r="BJ71" t="s">
        <v>1106</v>
      </c>
      <c r="BK71" t="s">
        <v>1775</v>
      </c>
      <c r="BL71" t="s">
        <v>674</v>
      </c>
      <c r="BM71" t="s">
        <v>1107</v>
      </c>
      <c r="BN71">
        <v>0.95</v>
      </c>
      <c r="BO71" t="s">
        <v>117</v>
      </c>
      <c r="BP71">
        <v>6.74</v>
      </c>
      <c r="BQ71">
        <v>0.23</v>
      </c>
      <c r="BR71">
        <v>-4.32</v>
      </c>
      <c r="BS71">
        <v>6.79</v>
      </c>
      <c r="BT71" t="s">
        <v>1779</v>
      </c>
      <c r="BU71" t="s">
        <v>847</v>
      </c>
      <c r="BV71">
        <v>13.85</v>
      </c>
      <c r="BW71">
        <v>13.91</v>
      </c>
      <c r="BX71">
        <v>21.49</v>
      </c>
      <c r="BY71">
        <v>0.61</v>
      </c>
      <c r="BZ71">
        <v>-6.17</v>
      </c>
      <c r="CA71">
        <v>10.16</v>
      </c>
      <c r="CB71">
        <v>-1.54</v>
      </c>
      <c r="CC71">
        <v>-17.899999999999999</v>
      </c>
      <c r="CD71" t="s">
        <v>2889</v>
      </c>
      <c r="CE71" t="s">
        <v>2890</v>
      </c>
      <c r="CF71" s="9">
        <v>-0.65641569459172855</v>
      </c>
      <c r="CG71" s="10">
        <v>-0.89230506993006997</v>
      </c>
      <c r="CH71" s="9">
        <v>1.188747763633728</v>
      </c>
      <c r="CI71" s="9">
        <v>0.22444440424442291</v>
      </c>
      <c r="CJ71" s="9">
        <v>0.14503811299800873</v>
      </c>
      <c r="CK71" s="9">
        <v>-0.22739183902740479</v>
      </c>
      <c r="CL71" s="9">
        <v>5.0964187830686569E-2</v>
      </c>
      <c r="CM71" s="10">
        <v>6.0464434623718262</v>
      </c>
      <c r="CN71" s="10">
        <v>-1.7275701761245728</v>
      </c>
      <c r="CO71" s="10">
        <v>-0.45081967115402222</v>
      </c>
      <c r="CP71" s="10">
        <v>4.7210302203893661E-2</v>
      </c>
      <c r="CQ71" s="10">
        <v>0.61805558204650879</v>
      </c>
      <c r="CR71">
        <v>8.6094115591955358</v>
      </c>
      <c r="CS71">
        <v>0.31152826656556576</v>
      </c>
      <c r="CT71">
        <v>0.24033437826541276</v>
      </c>
      <c r="CU71" s="9">
        <v>0.27636052593588828</v>
      </c>
      <c r="CV71" s="10">
        <v>0.90666389986872675</v>
      </c>
      <c r="CW71">
        <v>0.06</v>
      </c>
      <c r="CX71">
        <v>2.8652248483064078</v>
      </c>
      <c r="CY71">
        <v>592423942.22684634</v>
      </c>
      <c r="CZ71">
        <v>0.27636052593588828</v>
      </c>
      <c r="DA71">
        <v>0.80243458113413502</v>
      </c>
      <c r="DB71">
        <v>2115347269.3074999</v>
      </c>
      <c r="DC71">
        <v>0.26254249963909387</v>
      </c>
      <c r="DD71">
        <v>0.3172369850298552</v>
      </c>
      <c r="DE71">
        <v>5350661745.3203163</v>
      </c>
      <c r="DF71">
        <v>0.2431972628235817</v>
      </c>
      <c r="DG71">
        <v>0.14609287758829745</v>
      </c>
      <c r="DH71">
        <v>11618826516.536285</v>
      </c>
      <c r="DI71">
        <v>0.22108842074871063</v>
      </c>
      <c r="DJ71">
        <v>3.9711204118871073E-2</v>
      </c>
      <c r="DK71">
        <v>42744304476.86599</v>
      </c>
      <c r="DL71">
        <v>0.19345236815512179</v>
      </c>
      <c r="DM71">
        <v>492000000</v>
      </c>
      <c r="DN71">
        <v>0.27636052593588828</v>
      </c>
      <c r="DO71">
        <v>1697427800</v>
      </c>
      <c r="DP71">
        <v>1286341500</v>
      </c>
      <c r="DQ71">
        <v>4463</v>
      </c>
      <c r="DR71">
        <v>-0.93277622052761688</v>
      </c>
      <c r="DS71">
        <v>-1.7989689697987967</v>
      </c>
      <c r="DT71" s="7">
        <v>-7.333333333333332E-2</v>
      </c>
      <c r="DU71">
        <v>-0.79</v>
      </c>
      <c r="DV71">
        <v>-0.8633333333333334</v>
      </c>
      <c r="DW71">
        <v>-3.0214880952380954</v>
      </c>
      <c r="DX71">
        <v>0.30721196530860723</v>
      </c>
      <c r="DY71">
        <v>-3.0027335428259767</v>
      </c>
      <c r="DZ71">
        <v>350</v>
      </c>
      <c r="EA71">
        <v>-3.0025463138652935</v>
      </c>
      <c r="EB71">
        <v>3</v>
      </c>
      <c r="EC71">
        <v>2.656915418267055E-2</v>
      </c>
      <c r="ED71">
        <v>0.20885735172957981</v>
      </c>
      <c r="EE71" s="11">
        <v>-2.0601099999999999</v>
      </c>
      <c r="EF71">
        <v>-2.0886100000000001</v>
      </c>
      <c r="EG71">
        <v>18.127211965308607</v>
      </c>
      <c r="EH71" t="s">
        <v>1566</v>
      </c>
      <c r="EI71">
        <v>0</v>
      </c>
      <c r="EJ71">
        <v>1</v>
      </c>
      <c r="EK71" s="13">
        <v>45470</v>
      </c>
      <c r="EL71" s="14">
        <v>-0.63</v>
      </c>
      <c r="EM71" s="14">
        <v>-3.46</v>
      </c>
      <c r="EN71" s="14">
        <v>-1.36</v>
      </c>
      <c r="EO71" s="14">
        <v>2.27</v>
      </c>
      <c r="EP71" s="14">
        <v>-2.85</v>
      </c>
    </row>
    <row r="72" spans="1:146" ht="108" x14ac:dyDescent="0.25">
      <c r="A72" s="6"/>
      <c r="B72" s="6"/>
      <c r="C72" s="6" t="str">
        <f>""&amp;CHAR(10)&amp;Basic_Fundamental_Information_Constructure(F72)&amp;CHAR(10)&amp;Basic_Fundamental_Information_Concatenate("")</f>
        <v xml:space="preserve">
市值18.109796亿, 利润2.77亿; PE144.1; 平均PE18.8; 平均PEG.34, PB2.3; ROIC2.3467%; ROE3.5867%; 股利率2.1398%; 毛利26.72%; 净利4.0833%; 上一年度营收增239.24%, 利润增2355.54%; 当季营收增-78.96%, 利润增-95.44%; 过往5年营收增55.28%, 利润增449.06%
Income profile:
</v>
      </c>
      <c r="D72" t="s">
        <v>250</v>
      </c>
      <c r="E72" t="s">
        <v>251</v>
      </c>
      <c r="F72">
        <v>14.02</v>
      </c>
      <c r="G72">
        <v>0.79</v>
      </c>
      <c r="H72" t="s">
        <v>2891</v>
      </c>
      <c r="I72">
        <v>1810979600</v>
      </c>
      <c r="J72">
        <v>144.1</v>
      </c>
      <c r="K72">
        <v>2.2999999999999998</v>
      </c>
      <c r="L72" t="s">
        <v>53</v>
      </c>
      <c r="M72" t="s">
        <v>174</v>
      </c>
      <c r="N72" t="s">
        <v>2892</v>
      </c>
      <c r="O72" t="s">
        <v>1780</v>
      </c>
      <c r="P72">
        <v>-5.92</v>
      </c>
      <c r="Q72" t="s">
        <v>2893</v>
      </c>
      <c r="R72">
        <v>1732337</v>
      </c>
      <c r="S72" s="5">
        <v>-0.13850000000000001</v>
      </c>
      <c r="T72" t="s">
        <v>1458</v>
      </c>
      <c r="U72">
        <v>129171152</v>
      </c>
      <c r="V72">
        <v>129171152</v>
      </c>
      <c r="W72">
        <v>1.49</v>
      </c>
      <c r="X72">
        <v>7.0000000000000007E-2</v>
      </c>
      <c r="Y72">
        <v>1.95</v>
      </c>
      <c r="Z72" t="s">
        <v>2894</v>
      </c>
      <c r="AA72" t="s">
        <v>2895</v>
      </c>
      <c r="AB72" t="s">
        <v>2896</v>
      </c>
      <c r="AC72" t="s">
        <v>2897</v>
      </c>
      <c r="AD72" t="s">
        <v>117</v>
      </c>
      <c r="AE72">
        <v>-1756475</v>
      </c>
      <c r="AF72" t="s">
        <v>1782</v>
      </c>
      <c r="AG72" t="s">
        <v>2898</v>
      </c>
      <c r="AH72" t="s">
        <v>1783</v>
      </c>
      <c r="AI72" t="s">
        <v>2899</v>
      </c>
      <c r="AJ72" t="s">
        <v>1784</v>
      </c>
      <c r="AK72" t="s">
        <v>2900</v>
      </c>
      <c r="AL72" t="s">
        <v>1785</v>
      </c>
      <c r="AM72" t="s">
        <v>117</v>
      </c>
      <c r="AN72" t="s">
        <v>2901</v>
      </c>
      <c r="AO72" t="s">
        <v>989</v>
      </c>
      <c r="AP72" t="s">
        <v>2902</v>
      </c>
      <c r="AQ72" t="s">
        <v>2903</v>
      </c>
      <c r="AR72" t="s">
        <v>117</v>
      </c>
      <c r="AS72" t="s">
        <v>863</v>
      </c>
      <c r="AT72" t="s">
        <v>117</v>
      </c>
      <c r="AU72" t="s">
        <v>2904</v>
      </c>
      <c r="AV72" t="s">
        <v>2905</v>
      </c>
      <c r="AW72" t="s">
        <v>2906</v>
      </c>
      <c r="AX72" t="s">
        <v>853</v>
      </c>
      <c r="AY72" t="s">
        <v>590</v>
      </c>
      <c r="AZ72" t="s">
        <v>174</v>
      </c>
      <c r="BA72" t="s">
        <v>252</v>
      </c>
      <c r="BB72" t="s">
        <v>325</v>
      </c>
      <c r="BC72" t="s">
        <v>1108</v>
      </c>
      <c r="BD72" t="s">
        <v>793</v>
      </c>
      <c r="BE72" t="s">
        <v>518</v>
      </c>
      <c r="BF72" t="s">
        <v>253</v>
      </c>
      <c r="BG72" t="s">
        <v>519</v>
      </c>
      <c r="BH72" t="s">
        <v>1103</v>
      </c>
      <c r="BI72" t="s">
        <v>2907</v>
      </c>
      <c r="BJ72" t="s">
        <v>853</v>
      </c>
      <c r="BK72" t="s">
        <v>1781</v>
      </c>
      <c r="BL72" t="s">
        <v>2908</v>
      </c>
      <c r="BM72" t="s">
        <v>1108</v>
      </c>
      <c r="BN72">
        <v>1.53</v>
      </c>
      <c r="BO72">
        <v>0.22</v>
      </c>
      <c r="BP72">
        <v>5.29</v>
      </c>
      <c r="BQ72">
        <v>2.5099999999999998</v>
      </c>
      <c r="BR72">
        <v>1.42</v>
      </c>
      <c r="BS72">
        <v>6.83</v>
      </c>
      <c r="BT72" t="s">
        <v>936</v>
      </c>
      <c r="BU72" t="s">
        <v>848</v>
      </c>
      <c r="BV72">
        <v>26.66</v>
      </c>
      <c r="BW72">
        <v>25.91</v>
      </c>
      <c r="BX72">
        <v>27.59</v>
      </c>
      <c r="BY72">
        <v>1.74</v>
      </c>
      <c r="BZ72">
        <v>1.65</v>
      </c>
      <c r="CA72">
        <v>8.86</v>
      </c>
      <c r="CB72">
        <v>0.94</v>
      </c>
      <c r="CC72">
        <v>-1.41</v>
      </c>
      <c r="CD72" t="s">
        <v>2909</v>
      </c>
      <c r="CE72" t="s">
        <v>2910</v>
      </c>
      <c r="CF72" s="9">
        <v>-0.78958416075650117</v>
      </c>
      <c r="CG72" s="10">
        <v>-0.9544265758181627</v>
      </c>
      <c r="CH72" s="9">
        <v>2.3923864364624023</v>
      </c>
      <c r="CI72" s="9">
        <v>3.0165912583470345E-2</v>
      </c>
      <c r="CJ72" s="9">
        <v>0.47991070151329041</v>
      </c>
      <c r="CK72" s="9">
        <v>-6.6666670143604279E-2</v>
      </c>
      <c r="CL72" s="9">
        <v>-7.1566730737686157E-2</v>
      </c>
      <c r="CM72" s="10">
        <v>23.555431365966797</v>
      </c>
      <c r="CN72" s="10">
        <v>-0.80806297063827515</v>
      </c>
      <c r="CO72" s="10">
        <v>-8.4452211856842041E-2</v>
      </c>
      <c r="CP72" s="10">
        <v>-0.24185000360012054</v>
      </c>
      <c r="CQ72" s="10">
        <v>3.2163932919502258E-2</v>
      </c>
      <c r="CR72">
        <v>18.80068351791639</v>
      </c>
      <c r="CS72">
        <v>0.34007094020041551</v>
      </c>
      <c r="CT72">
        <v>2.1398002853067046</v>
      </c>
      <c r="CU72" s="9">
        <v>0.55284592993557458</v>
      </c>
      <c r="CV72" s="10">
        <v>4.4906460225582121</v>
      </c>
      <c r="CW72">
        <v>0.06</v>
      </c>
      <c r="CX72">
        <v>3.6298983233829158</v>
      </c>
      <c r="CY72">
        <v>405790870.36995673</v>
      </c>
      <c r="CZ72">
        <v>0.55284592993557458</v>
      </c>
      <c r="DA72">
        <v>0.81958380526622343</v>
      </c>
      <c r="DB72">
        <v>1797228777.0151041</v>
      </c>
      <c r="DC72">
        <v>0.52520363343879584</v>
      </c>
      <c r="DD72">
        <v>0.23095594468391348</v>
      </c>
      <c r="DE72">
        <v>6377751401.965086</v>
      </c>
      <c r="DF72">
        <v>0.48650441834330566</v>
      </c>
      <c r="DG72">
        <v>6.7929995126076309E-2</v>
      </c>
      <c r="DH72">
        <v>21683787806.346638</v>
      </c>
      <c r="DI72">
        <v>0.44227674394845967</v>
      </c>
      <c r="DJ72">
        <v>5.8187351902660141E-3</v>
      </c>
      <c r="DK72">
        <v>253144291987.04608</v>
      </c>
      <c r="DL72">
        <v>0.38699215095490219</v>
      </c>
      <c r="DM72">
        <v>277000000</v>
      </c>
      <c r="DN72">
        <v>0.55284592993557458</v>
      </c>
      <c r="DO72">
        <v>1472979600</v>
      </c>
      <c r="DP72">
        <v>426624270</v>
      </c>
      <c r="DQ72">
        <v>4508</v>
      </c>
      <c r="DR72">
        <v>-1.3424300906920759</v>
      </c>
      <c r="DS72">
        <v>-5.4450725983763748</v>
      </c>
      <c r="DT72" s="7">
        <v>-6.6666666666666714E-3</v>
      </c>
      <c r="DU72">
        <v>-0.55666666666666675</v>
      </c>
      <c r="DV72">
        <v>-0.56333333333333346</v>
      </c>
      <c r="DW72">
        <v>-1.41E-2</v>
      </c>
      <c r="DX72">
        <v>0.37917105836668452</v>
      </c>
      <c r="DY72">
        <v>-2.244311922970242E-3</v>
      </c>
      <c r="DZ72">
        <v>429</v>
      </c>
      <c r="EA72">
        <v>-2.0558951294371236E-3</v>
      </c>
      <c r="EB72">
        <v>0</v>
      </c>
      <c r="EC72">
        <v>3.7317929935315589E-2</v>
      </c>
      <c r="ED72">
        <v>0.23445172959361701</v>
      </c>
      <c r="EE72" s="11">
        <v>2.4199999999999999E-2</v>
      </c>
      <c r="EF72">
        <v>1.7310000000000002E-2</v>
      </c>
      <c r="EG72">
        <v>22.159171058366685</v>
      </c>
      <c r="EH72">
        <v>-1</v>
      </c>
      <c r="EI72">
        <v>0</v>
      </c>
      <c r="EJ72">
        <v>1</v>
      </c>
      <c r="EK72" s="13">
        <v>45470</v>
      </c>
      <c r="EL72" s="14">
        <v>0.99</v>
      </c>
      <c r="EM72" s="14">
        <v>-4.29</v>
      </c>
      <c r="EN72">
        <v>4.2</v>
      </c>
      <c r="EO72">
        <v>-0.16</v>
      </c>
      <c r="EP72">
        <v>-4.1500000000000004</v>
      </c>
    </row>
    <row r="73" spans="1:146" ht="108" x14ac:dyDescent="0.25">
      <c r="C73" s="6" t="str">
        <f>""&amp;CHAR(10)&amp;Basic_Fundamental_Information_Constructure(F73)&amp;CHAR(10)&amp;Basic_Fundamental_Information_Concatenate("")</f>
        <v xml:space="preserve">
市值36.7875亿, 利润7.24亿; PE74.13; 平均PE13.71; 平均PEG1.43, PB1.19; ROIC7.07%; ROE8.3433%; 股利率.9786%; 毛利20.1633%; 净利7.1133%; 上一年度营收增-6.7%, 利润增210.73%; 当季营收增-13.47%, 利润增-95.34%; 过往5年营收增9.58%, 利润增62.75%
Income profile:
</v>
      </c>
      <c r="D73" t="s">
        <v>815</v>
      </c>
      <c r="E73" t="s">
        <v>816</v>
      </c>
      <c r="F73">
        <v>3.27</v>
      </c>
      <c r="G73">
        <v>1.55</v>
      </c>
      <c r="H73" t="s">
        <v>2911</v>
      </c>
      <c r="I73">
        <v>3678750000</v>
      </c>
      <c r="J73">
        <v>74.13</v>
      </c>
      <c r="K73">
        <v>1.19</v>
      </c>
      <c r="L73" t="s">
        <v>53</v>
      </c>
      <c r="M73" t="s">
        <v>1786</v>
      </c>
      <c r="N73" t="s">
        <v>2912</v>
      </c>
      <c r="O73" t="s">
        <v>1743</v>
      </c>
      <c r="P73">
        <v>-22.87</v>
      </c>
      <c r="Q73" t="s">
        <v>2504</v>
      </c>
      <c r="R73">
        <v>9030817</v>
      </c>
      <c r="S73" s="5">
        <v>-0.69330000000000003</v>
      </c>
      <c r="T73" t="s">
        <v>2913</v>
      </c>
      <c r="U73">
        <v>571500000</v>
      </c>
      <c r="V73">
        <v>1125000000</v>
      </c>
      <c r="W73">
        <v>1.77</v>
      </c>
      <c r="X73">
        <v>0.1</v>
      </c>
      <c r="Y73">
        <v>2.0499999999999998</v>
      </c>
      <c r="Z73" t="s">
        <v>1225</v>
      </c>
      <c r="AA73" t="s">
        <v>467</v>
      </c>
      <c r="AB73" t="s">
        <v>2914</v>
      </c>
      <c r="AC73" t="s">
        <v>2915</v>
      </c>
      <c r="AD73" t="s">
        <v>117</v>
      </c>
      <c r="AE73">
        <v>1835675</v>
      </c>
      <c r="AF73" t="s">
        <v>1789</v>
      </c>
      <c r="AG73" t="s">
        <v>2916</v>
      </c>
      <c r="AH73" t="s">
        <v>1790</v>
      </c>
      <c r="AI73" t="s">
        <v>444</v>
      </c>
      <c r="AJ73" t="s">
        <v>1791</v>
      </c>
      <c r="AK73" t="s">
        <v>2917</v>
      </c>
      <c r="AL73" t="s">
        <v>1793</v>
      </c>
      <c r="AM73" t="s">
        <v>117</v>
      </c>
      <c r="AN73" t="s">
        <v>2918</v>
      </c>
      <c r="AO73" t="s">
        <v>117</v>
      </c>
      <c r="AP73" t="s">
        <v>2634</v>
      </c>
      <c r="AQ73" t="s">
        <v>2919</v>
      </c>
      <c r="AR73" t="s">
        <v>117</v>
      </c>
      <c r="AS73" t="s">
        <v>2920</v>
      </c>
      <c r="AT73" t="s">
        <v>860</v>
      </c>
      <c r="AU73" t="s">
        <v>2921</v>
      </c>
      <c r="AV73" t="s">
        <v>2922</v>
      </c>
      <c r="AW73" t="s">
        <v>1040</v>
      </c>
      <c r="AX73" t="s">
        <v>1109</v>
      </c>
      <c r="AY73" t="s">
        <v>817</v>
      </c>
      <c r="AZ73" t="s">
        <v>818</v>
      </c>
      <c r="BA73" t="s">
        <v>805</v>
      </c>
      <c r="BB73" t="s">
        <v>810</v>
      </c>
      <c r="BC73" t="s">
        <v>201</v>
      </c>
      <c r="BD73" t="s">
        <v>540</v>
      </c>
      <c r="BE73" t="s">
        <v>218</v>
      </c>
      <c r="BF73" t="s">
        <v>191</v>
      </c>
      <c r="BG73" t="s">
        <v>819</v>
      </c>
      <c r="BH73" t="s">
        <v>1787</v>
      </c>
      <c r="BI73" t="s">
        <v>947</v>
      </c>
      <c r="BJ73" t="s">
        <v>1109</v>
      </c>
      <c r="BK73" t="s">
        <v>1788</v>
      </c>
      <c r="BL73" t="s">
        <v>953</v>
      </c>
      <c r="BM73" t="s">
        <v>201</v>
      </c>
      <c r="BN73">
        <v>2.34</v>
      </c>
      <c r="BO73">
        <v>7.89</v>
      </c>
      <c r="BP73">
        <v>10.98</v>
      </c>
      <c r="BQ73">
        <v>2.58</v>
      </c>
      <c r="BR73">
        <v>9.3800000000000008</v>
      </c>
      <c r="BS73">
        <v>13.07</v>
      </c>
      <c r="BT73" t="s">
        <v>1794</v>
      </c>
      <c r="BU73" t="s">
        <v>849</v>
      </c>
      <c r="BV73">
        <v>17.45</v>
      </c>
      <c r="BW73">
        <v>21.18</v>
      </c>
      <c r="BX73">
        <v>21.86</v>
      </c>
      <c r="BY73">
        <v>3.18</v>
      </c>
      <c r="BZ73">
        <v>9.27</v>
      </c>
      <c r="CA73">
        <v>8.89</v>
      </c>
      <c r="CB73">
        <v>-0.61</v>
      </c>
      <c r="CC73">
        <v>-14.58</v>
      </c>
      <c r="CD73" t="s">
        <v>2923</v>
      </c>
      <c r="CE73" t="s">
        <v>2924</v>
      </c>
      <c r="CF73" s="9">
        <v>-0.13474025974025974</v>
      </c>
      <c r="CG73" s="10">
        <v>-0.95344939690721653</v>
      </c>
      <c r="CH73" s="9">
        <v>-6.6964283585548401E-2</v>
      </c>
      <c r="CI73" s="9">
        <v>1.2429353781044483E-2</v>
      </c>
      <c r="CJ73" s="9">
        <v>0.31565910577774048</v>
      </c>
      <c r="CK73" s="9">
        <v>0.10879120975732803</v>
      </c>
      <c r="CL73" s="9">
        <v>0.10907987505197525</v>
      </c>
      <c r="CM73" s="10">
        <v>2.1072962284088135</v>
      </c>
      <c r="CN73" s="10">
        <v>4.01785708963871E-2</v>
      </c>
      <c r="CO73" s="10">
        <v>0.13705584406852722</v>
      </c>
      <c r="CP73" s="10">
        <v>0.4592592716217041</v>
      </c>
      <c r="CQ73" s="10">
        <v>0.39370089769363403</v>
      </c>
      <c r="CR73">
        <v>13.710782100653942</v>
      </c>
      <c r="CS73">
        <v>1.4312022710051959</v>
      </c>
      <c r="CT73">
        <v>0.9785932721712538</v>
      </c>
      <c r="CU73" s="9">
        <v>9.5799052156507969E-2</v>
      </c>
      <c r="CV73" s="10">
        <v>0.62749816253781321</v>
      </c>
      <c r="CW73">
        <v>0.06</v>
      </c>
      <c r="CX73">
        <v>4.1014685587390982</v>
      </c>
      <c r="CY73">
        <v>748451428.07670915</v>
      </c>
      <c r="CZ73">
        <v>9.5799052156507969E-2</v>
      </c>
      <c r="DA73">
        <v>1.333760408878311</v>
      </c>
      <c r="DB73">
        <v>2301575290.1090021</v>
      </c>
      <c r="DC73">
        <v>9.1009099548682568E-2</v>
      </c>
      <c r="DD73">
        <v>0.65227506327464579</v>
      </c>
      <c r="DE73">
        <v>4706220079.2849512</v>
      </c>
      <c r="DF73">
        <v>8.4303165897727017E-2</v>
      </c>
      <c r="DG73">
        <v>0.3887998249966671</v>
      </c>
      <c r="DH73">
        <v>7895451084.6971569</v>
      </c>
      <c r="DI73">
        <v>7.6639241725206378E-2</v>
      </c>
      <c r="DJ73">
        <v>0.19758227498401326</v>
      </c>
      <c r="DK73">
        <v>15536565717.994587</v>
      </c>
      <c r="DL73">
        <v>6.7059336509555575E-2</v>
      </c>
      <c r="DM73">
        <v>724000000</v>
      </c>
      <c r="DN73">
        <v>9.5799052156507969E-2</v>
      </c>
      <c r="DO73">
        <v>3069750000</v>
      </c>
      <c r="DP73">
        <v>2400004600</v>
      </c>
      <c r="DQ73">
        <v>4645</v>
      </c>
      <c r="DR73">
        <v>-0.23053931189676771</v>
      </c>
      <c r="DS73">
        <v>-1.5809475594450297</v>
      </c>
      <c r="DT73" s="7">
        <v>-0.3066666666666667</v>
      </c>
      <c r="DU73">
        <v>7.6666666666666591E-2</v>
      </c>
      <c r="DV73">
        <v>-0.23000000000000009</v>
      </c>
      <c r="DW73">
        <v>-2.1457999999999999</v>
      </c>
      <c r="DX73">
        <v>0.36751939851555604</v>
      </c>
      <c r="DY73">
        <v>-2.0185923283035683</v>
      </c>
      <c r="DZ73">
        <v>58</v>
      </c>
      <c r="EA73">
        <v>-2.018381299919692</v>
      </c>
      <c r="EB73">
        <v>2</v>
      </c>
      <c r="EC73">
        <v>1.1295022222222222E-2</v>
      </c>
      <c r="ED73">
        <v>8.8574933333333328E-2</v>
      </c>
      <c r="EE73" s="11">
        <v>2.0447000000000002</v>
      </c>
      <c r="EF73">
        <v>2.0297000000000001</v>
      </c>
      <c r="EG73">
        <v>24.127519398515556</v>
      </c>
      <c r="EH73" t="s">
        <v>2087</v>
      </c>
      <c r="EI73">
        <v>0</v>
      </c>
      <c r="EJ73">
        <v>1</v>
      </c>
      <c r="EK73" s="13">
        <v>45470</v>
      </c>
      <c r="EL73" s="14">
        <v>-0.81</v>
      </c>
      <c r="EM73" s="14">
        <v>-0.74</v>
      </c>
      <c r="EN73">
        <v>-3.58</v>
      </c>
      <c r="EO73">
        <v>1.06</v>
      </c>
      <c r="EP73">
        <v>-1.5</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建筑材料&quot;,&quot;&quot;'" altText="更新基本面按钮_x000a_">
                <anchor moveWithCells="1" sizeWithCells="1">
                  <from>
                    <xdr:col>147</xdr:col>
                    <xdr:colOff>311150</xdr:colOff>
                    <xdr:row>0</xdr:row>
                    <xdr:rowOff>165100</xdr:rowOff>
                  </from>
                  <to>
                    <xdr:col>147</xdr:col>
                    <xdr:colOff>1447800</xdr:colOff>
                    <xdr:row>0</xdr:row>
                    <xdr:rowOff>476250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建筑材料</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2024-07-10T22:04:53Z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