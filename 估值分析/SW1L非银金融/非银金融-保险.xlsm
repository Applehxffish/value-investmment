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New-非银金融\"/>
    </mc:Choice>
  </mc:AlternateContent>
  <bookViews>
    <workbookView xWindow="0" yWindow="0" windowWidth="3800" windowHeight="2950"/>
  </bookViews>
  <sheets>
    <sheet name="保险及其他" sheetId="7" r:id="rId1"/>
    <sheet name="估值-增速与年化收益" sheetId="14" r:id="rId2"/>
  </sheets>
  <functionGroups builtInGroupCount="18"/>
  <definedNames>
    <definedName name="_xlnm._FilterDatabase" localSheetId="0" hidden="1">保险及其他!$BU$1:$BU$9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5" i="7"/>
  <c r="C6" i="7"/>
  <c r="C7" i="7"/>
  <c r="C3" i="7"/>
  <c r="C2" i="7"/>
  <c r="C4" i="7"/>
</calcChain>
</file>

<file path=xl/sharedStrings.xml><?xml version="1.0" encoding="utf-8"?>
<sst xmlns="http://schemas.openxmlformats.org/spreadsheetml/2006/main" count="527" uniqueCount="378">
  <si>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</si>
  <si>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</si>
  <si>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</si>
  <si>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</si>
  <si>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</si>
  <si>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中国太保</t>
  </si>
  <si>
    <t>代码</t>
  </si>
  <si>
    <t>总市值</t>
  </si>
  <si>
    <t>TTM市盈率</t>
  </si>
  <si>
    <t>所属行业</t>
  </si>
  <si>
    <t>SH601601</t>
  </si>
  <si>
    <t>--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</si>
  <si>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</si>
  <si>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</si>
  <si>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</si>
  <si>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</si>
  <si>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</si>
  <si>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</si>
  <si>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</si>
  <si>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</si>
  <si>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</si>
  <si>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</si>
  <si>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</si>
  <si>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0亿</t>
  </si>
  <si>
    <t>3854.89亿</t>
  </si>
  <si>
    <t>277.41亿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</si>
  <si>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</si>
  <si>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</si>
  <si>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</si>
  <si>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</si>
  <si>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</si>
  <si>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</si>
  <si>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</si>
  <si>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</si>
  <si>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</si>
  <si>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</si>
  <si>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</si>
  <si>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</si>
  <si>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</si>
  <si>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14.86亿</t>
  </si>
  <si>
    <t>4.71亿</t>
  </si>
  <si>
    <t>4221.82亿</t>
  </si>
  <si>
    <t>245.84亿</t>
  </si>
  <si>
    <t>3543.63亿</t>
  </si>
  <si>
    <t>180.19亿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</si>
  <si>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</si>
  <si>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</si>
  <si>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</si>
  <si>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</si>
  <si>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</si>
  <si>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</si>
  <si>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</si>
  <si>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</si>
  <si>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</si>
  <si>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</si>
  <si>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扣非对比净利润</t>
    <phoneticPr fontId="1" type="noConversion"/>
  </si>
  <si>
    <t>近期roe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</si>
  <si>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</si>
  <si>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</si>
  <si>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</si>
  <si>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</si>
  <si>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</si>
  <si>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</si>
  <si>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</si>
  <si>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</si>
  <si>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</si>
  <si>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</si>
  <si>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</si>
  <si>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</si>
  <si>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20增速</t>
  </si>
  <si>
    <t>当期自由现金流估计值</t>
  </si>
  <si>
    <t>自由现金流估计增速</t>
  </si>
  <si>
    <t>承担负债现期溢价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</si>
  <si>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</si>
  <si>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</si>
  <si>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</si>
  <si>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</si>
  <si>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</si>
  <si>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</si>
  <si>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</si>
  <si>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</si>
  <si>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</si>
  <si>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销售毛利率%[20201231]</t>
  </si>
  <si>
    <t>销售净利率%[20201231]</t>
  </si>
  <si>
    <t>保险</t>
  </si>
  <si>
    <t>涨幅%</t>
  </si>
  <si>
    <t>流通股本</t>
  </si>
  <si>
    <t>净利润[20201231]</t>
  </si>
  <si>
    <t>投入资本回报率roic%[20201231]</t>
  </si>
  <si>
    <t>净资产收益率%[20201231]</t>
  </si>
  <si>
    <t>5.04亿</t>
  </si>
  <si>
    <t>4406.43亿</t>
  </si>
  <si>
    <t>268.34亿</t>
  </si>
  <si>
    <t xml:space="preserve">    名称</t>
  </si>
  <si>
    <t>成交量[20220902]</t>
  </si>
  <si>
    <t>营业收入(同比增长率) %[20220630]</t>
  </si>
  <si>
    <t>LY营业总收入[20211231]</t>
  </si>
  <si>
    <t>净利润?</t>
  </si>
  <si>
    <t>净利润[20211231]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</si>
  <si>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</si>
  <si>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</si>
  <si>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</si>
  <si>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</si>
  <si>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</si>
  <si>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销售费用[20220630]</t>
  </si>
  <si>
    <t>管理费用[20220630]</t>
  </si>
  <si>
    <t>研发费用总额[20220630]</t>
  </si>
  <si>
    <t>其他收入[20220630]</t>
  </si>
  <si>
    <t>扣非净利润</t>
  </si>
  <si>
    <t>货币资金[20220630]</t>
  </si>
  <si>
    <t>应收票据[20220630]</t>
  </si>
  <si>
    <t>固定资产[20220630]</t>
  </si>
  <si>
    <t>在建工程[20220630]</t>
  </si>
  <si>
    <t>短期借款[20220630]</t>
  </si>
  <si>
    <t>应付票据[20220630]</t>
  </si>
  <si>
    <t>应付账款[20220630]</t>
  </si>
  <si>
    <t>预收款项[20220630]</t>
  </si>
  <si>
    <t>流动负债[20220630]</t>
  </si>
  <si>
    <t>长期借款[20220630]</t>
  </si>
  <si>
    <t>经营活动产生的现金流量净额[20220630]</t>
  </si>
  <si>
    <t>投资活动产生的现金流量净额[20220630]</t>
  </si>
  <si>
    <t>筹资活动产生的现金流量净额[20220630]</t>
  </si>
  <si>
    <t>营业总收入[20201231]</t>
  </si>
  <si>
    <t>CYLQ营业收入[20220331]</t>
  </si>
  <si>
    <t>LYCQ营业收入[20210630]</t>
  </si>
  <si>
    <t>LYLQ营业收入[20210331]</t>
  </si>
  <si>
    <t>CYLQ净利润[20220331]</t>
  </si>
  <si>
    <t>LYCQ净利润[20210630]</t>
  </si>
  <si>
    <t>LYLQ净利润[20210331]</t>
  </si>
  <si>
    <t>投入资本回报率roic%[20220331]</t>
  </si>
  <si>
    <t>投入资本回报率roic%[20211231]</t>
  </si>
  <si>
    <t>净资产收益率%[20211231]</t>
  </si>
  <si>
    <t>细分行业</t>
  </si>
  <si>
    <t>销售毛利率%[20220331]</t>
  </si>
  <si>
    <t>销售净利率%[20220331]</t>
  </si>
  <si>
    <t>区间涨跌幅:前复权%[20220829-20220902]</t>
  </si>
  <si>
    <t>区间涨跌幅:前复权%[20220725-20220902]</t>
  </si>
  <si>
    <t>区间成交量[20220829-20220902]</t>
  </si>
  <si>
    <t>指数@区间成交量[20220725-20220902]</t>
  </si>
  <si>
    <t>单季营收增速</t>
  </si>
  <si>
    <t>单季利润增速</t>
  </si>
  <si>
    <t>亏损</t>
  </si>
  <si>
    <t>扭亏</t>
  </si>
  <si>
    <t>市销率</t>
    <phoneticPr fontId="1" type="noConversion"/>
  </si>
  <si>
    <t>原始顺序</t>
    <phoneticPr fontId="1" type="noConversion"/>
  </si>
  <si>
    <t>营收成长策略</t>
    <phoneticPr fontId="1" type="noConversion"/>
  </si>
  <si>
    <t>成交量综合策略</t>
    <phoneticPr fontId="1" type="noConversion"/>
  </si>
  <si>
    <t>量价齐升策略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</si>
  <si>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</si>
  <si>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</si>
  <si>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</si>
  <si>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</si>
  <si>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</si>
  <si>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</si>
  <si>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</si>
  <si>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</si>
  <si>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</si>
  <si>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</si>
  <si>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</si>
  <si>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</si>
  <si>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</si>
  <si>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不分配不转增</t>
  </si>
  <si>
    <t>2.74亿</t>
  </si>
  <si>
    <t>SZ000627</t>
  </si>
  <si>
    <t>天茂集团</t>
  </si>
  <si>
    <t>495.83亿</t>
  </si>
  <si>
    <t>412.00亿</t>
  </si>
  <si>
    <t>501.92亿</t>
  </si>
  <si>
    <t>309.51亿</t>
  </si>
  <si>
    <t>5.80亿</t>
  </si>
  <si>
    <t>17.76亿</t>
  </si>
  <si>
    <t>13.27亿</t>
  </si>
  <si>
    <t>SH601318</t>
  </si>
  <si>
    <t>中国平安</t>
  </si>
  <si>
    <t>11804.44亿</t>
  </si>
  <si>
    <t>1016.18亿</t>
  </si>
  <si>
    <t>12183.15亿</t>
  </si>
  <si>
    <t>11688.67亿</t>
  </si>
  <si>
    <t>9768.32亿</t>
  </si>
  <si>
    <t>1430.99亿</t>
  </si>
  <si>
    <t>1494.07亿</t>
  </si>
  <si>
    <t>1074.04亿</t>
  </si>
  <si>
    <t>10派15元(含税)</t>
  </si>
  <si>
    <t>SH601319</t>
  </si>
  <si>
    <t>中国人保</t>
  </si>
  <si>
    <t>5976.91亿</t>
  </si>
  <si>
    <t>216.38亿</t>
  </si>
  <si>
    <t>5836.96亿</t>
  </si>
  <si>
    <t>5555.15亿</t>
  </si>
  <si>
    <t>5037.99亿</t>
  </si>
  <si>
    <t>200.69亿</t>
  </si>
  <si>
    <t>224.01亿</t>
  </si>
  <si>
    <t>134.50亿</t>
  </si>
  <si>
    <t>新华保险</t>
  </si>
  <si>
    <t>2223.80亿</t>
  </si>
  <si>
    <t>149.47亿</t>
  </si>
  <si>
    <t>2065.38亿</t>
  </si>
  <si>
    <t>1745.66亿</t>
  </si>
  <si>
    <t>1541.67亿</t>
  </si>
  <si>
    <t>142.94亿</t>
  </si>
  <si>
    <t>145.59亿</t>
  </si>
  <si>
    <t>79.22亿</t>
  </si>
  <si>
    <t>SH601628</t>
  </si>
  <si>
    <t>中国人寿</t>
  </si>
  <si>
    <t>8250.49亿</t>
  </si>
  <si>
    <t>7451.65亿</t>
  </si>
  <si>
    <t>6431.01亿</t>
  </si>
  <si>
    <t>502.57亿</t>
  </si>
  <si>
    <t>582.87亿</t>
  </si>
  <si>
    <t>113.95亿</t>
  </si>
  <si>
    <t>1.保险里股利最高；</t>
    <phoneticPr fontId="1" type="noConversion"/>
  </si>
  <si>
    <t>1.74亿</t>
  </si>
  <si>
    <t>1-0</t>
  </si>
  <si>
    <t>496.16亿</t>
  </si>
  <si>
    <t>-1-1</t>
  </si>
  <si>
    <t>SH601336</t>
  </si>
  <si>
    <t>10派10.2元(含税)</t>
  </si>
  <si>
    <t>8260.55亿</t>
  </si>
  <si>
    <t>320.82亿</t>
  </si>
  <si>
    <t>8585.08亿</t>
  </si>
  <si>
    <t>507.66亿</t>
  </si>
  <si>
    <t>2545.41万</t>
  </si>
  <si>
    <t>2683.02亿</t>
  </si>
  <si>
    <t>335.52亿</t>
  </si>
  <si>
    <t>174.87亿</t>
  </si>
  <si>
    <t>496.99亿</t>
  </si>
  <si>
    <t>-6.52亿</t>
  </si>
  <si>
    <t>1687160600亿</t>
  </si>
  <si>
    <t>584.96万</t>
  </si>
  <si>
    <t>-96777185亿</t>
  </si>
  <si>
    <t>211.87亿</t>
  </si>
  <si>
    <t>13.87亿</t>
  </si>
  <si>
    <t>338.36万</t>
  </si>
  <si>
    <t>16.96亿</t>
  </si>
  <si>
    <t>-200.63亿</t>
  </si>
  <si>
    <t>148.30亿</t>
  </si>
  <si>
    <t>-17.25亿</t>
  </si>
  <si>
    <t>219.28亿</t>
  </si>
  <si>
    <t>4520.51万</t>
  </si>
  <si>
    <t>1.38亿</t>
  </si>
  <si>
    <t>9.95亿</t>
  </si>
  <si>
    <t>5267.18万</t>
  </si>
  <si>
    <t>103544.53亿</t>
  </si>
  <si>
    <t>12421.40亿</t>
  </si>
  <si>
    <t>2455.69亿</t>
  </si>
  <si>
    <t>5530.97亿</t>
  </si>
  <si>
    <t>227.73亿</t>
  </si>
  <si>
    <t>-6971000000亿</t>
  </si>
  <si>
    <t>1.89亿</t>
  </si>
  <si>
    <t>36692000000亿</t>
  </si>
  <si>
    <t>6402.21亿</t>
  </si>
  <si>
    <t>460.06亿</t>
  </si>
  <si>
    <t>935.41亿</t>
  </si>
  <si>
    <t>1389.54亿</t>
  </si>
  <si>
    <t>749.58亿</t>
  </si>
  <si>
    <t>-1.77亿</t>
  </si>
  <si>
    <t>-120.22亿</t>
  </si>
  <si>
    <t>8803.55亿</t>
  </si>
  <si>
    <t>1110.08亿</t>
  </si>
  <si>
    <t>9137.89亿</t>
  </si>
  <si>
    <t>1377.69亿</t>
  </si>
  <si>
    <t>856.65亿</t>
  </si>
  <si>
    <t>117.21亿</t>
  </si>
  <si>
    <t>2.19亿</t>
  </si>
  <si>
    <t>12.59亿</t>
  </si>
  <si>
    <t>022773000000</t>
  </si>
  <si>
    <t>068319000000</t>
  </si>
  <si>
    <t>0136638000000</t>
  </si>
  <si>
    <t>0227730000000</t>
  </si>
  <si>
    <t>0455460000000</t>
  </si>
  <si>
    <t>6101.18万</t>
  </si>
  <si>
    <t>12254.90亿</t>
  </si>
  <si>
    <t>3369.79亿</t>
  </si>
  <si>
    <t>1387.78亿</t>
  </si>
  <si>
    <t>70.55亿</t>
  </si>
  <si>
    <t>15.31亿</t>
  </si>
  <si>
    <t>2494000000亿</t>
  </si>
  <si>
    <t>3600.00万</t>
  </si>
  <si>
    <t>8928000000亿</t>
  </si>
  <si>
    <t>202.35亿</t>
  </si>
  <si>
    <t>319.74亿</t>
  </si>
  <si>
    <t>331.54亿</t>
  </si>
  <si>
    <t>53.06亿</t>
  </si>
  <si>
    <t>-395.76亿</t>
  </si>
  <si>
    <t>5296.33亿</t>
  </si>
  <si>
    <t>253.69亿</t>
  </si>
  <si>
    <t>17.26亿</t>
  </si>
  <si>
    <t>4.18亿</t>
  </si>
  <si>
    <t>10派1.56元(含税)</t>
  </si>
  <si>
    <t>2.95亿</t>
  </si>
  <si>
    <t>17.52亿</t>
  </si>
  <si>
    <t>01531000000</t>
  </si>
  <si>
    <t>04593000000</t>
  </si>
  <si>
    <t>09186000000</t>
  </si>
  <si>
    <t>015310000000</t>
  </si>
  <si>
    <t>030620000000</t>
  </si>
  <si>
    <t>1318.26万</t>
  </si>
  <si>
    <t>12981.65亿</t>
  </si>
  <si>
    <t>940.28亿</t>
  </si>
  <si>
    <t>264.79亿</t>
  </si>
  <si>
    <t>69.14亿</t>
  </si>
  <si>
    <t>-1719000000亿</t>
  </si>
  <si>
    <t>100.00万</t>
  </si>
  <si>
    <t>4953000000亿</t>
  </si>
  <si>
    <t>253.73亿</t>
  </si>
  <si>
    <t>160.18亿</t>
  </si>
  <si>
    <t>22.86亿</t>
  </si>
  <si>
    <t>376.58亿</t>
  </si>
  <si>
    <t>82.62亿</t>
  </si>
  <si>
    <t>-424.39亿</t>
  </si>
  <si>
    <t>1080.48亿</t>
  </si>
  <si>
    <t>215.00亿</t>
  </si>
  <si>
    <t>715.47亿</t>
  </si>
  <si>
    <t>87.12亿</t>
  </si>
  <si>
    <t>8412.13万</t>
  </si>
  <si>
    <t>10派8.5元(含税)</t>
  </si>
  <si>
    <t>5938.82万</t>
  </si>
  <si>
    <t>0504000000</t>
  </si>
  <si>
    <t>01512000000</t>
  </si>
  <si>
    <t>03024000000</t>
  </si>
  <si>
    <t>05040000000</t>
  </si>
  <si>
    <t>010080000000</t>
  </si>
  <si>
    <t>5-1</t>
  </si>
  <si>
    <t>2556.28万</t>
  </si>
  <si>
    <t>20762.58亿</t>
  </si>
  <si>
    <t>2762.71亿</t>
  </si>
  <si>
    <t>954.28亿</t>
  </si>
  <si>
    <t>16.15亿</t>
  </si>
  <si>
    <t>2674.35万</t>
  </si>
  <si>
    <t>-1547000000亿</t>
  </si>
  <si>
    <t>300.00万</t>
  </si>
  <si>
    <t>11752000000亿</t>
  </si>
  <si>
    <t>427.23亿</t>
  </si>
  <si>
    <t>186.74亿</t>
  </si>
  <si>
    <t>24.59亿</t>
  </si>
  <si>
    <t>498.87亿</t>
  </si>
  <si>
    <t>6.17亿</t>
  </si>
  <si>
    <t>-277.21亿</t>
  </si>
  <si>
    <t>3321.40亿</t>
  </si>
  <si>
    <t>373.81亿</t>
  </si>
  <si>
    <t>3239.45亿</t>
  </si>
  <si>
    <t>2.14亿</t>
  </si>
  <si>
    <t>272.57亿</t>
  </si>
  <si>
    <t>-2899.50万</t>
  </si>
  <si>
    <t>1.22亿</t>
  </si>
  <si>
    <t>6.53亿</t>
  </si>
  <si>
    <t>026743500</t>
  </si>
  <si>
    <t>080230500</t>
  </si>
  <si>
    <t>0160461000</t>
  </si>
  <si>
    <t>0267435000</t>
  </si>
  <si>
    <t>0534870000</t>
  </si>
  <si>
    <t>981.95万</t>
  </si>
  <si>
    <t>53160.11亿</t>
  </si>
  <si>
    <t>4907.48亿</t>
  </si>
  <si>
    <t>1209.70亿</t>
  </si>
  <si>
    <t>1732.12亿</t>
  </si>
  <si>
    <t>70.22亿</t>
  </si>
  <si>
    <t>5464000000亿</t>
  </si>
  <si>
    <t>1100.00万</t>
  </si>
  <si>
    <t>20714000000亿</t>
  </si>
  <si>
    <t>2578.78亿</t>
  </si>
  <si>
    <t>474.90亿</t>
  </si>
  <si>
    <t>53.35亿</t>
  </si>
  <si>
    <t>128.90亿</t>
  </si>
  <si>
    <t>1837.59亿</t>
  </si>
  <si>
    <t>2800.00万</t>
  </si>
  <si>
    <t>-776.44亿</t>
  </si>
  <si>
    <t>8378.59亿</t>
  </si>
  <si>
    <t>290.39亿</t>
  </si>
  <si>
    <t>211.10亿</t>
  </si>
  <si>
    <t>10派4.3元(含税)</t>
  </si>
  <si>
    <t>5836.55万</t>
  </si>
  <si>
    <t>2.79亿</t>
  </si>
  <si>
    <t>07022000000</t>
  </si>
  <si>
    <t>021066000000</t>
  </si>
  <si>
    <t>042132000000</t>
  </si>
  <si>
    <t>070220000000</t>
  </si>
  <si>
    <t>0140440000000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</si>
</sst>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5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254000</xdr:colOff>
          <xdr:row>0</xdr:row>
          <xdr:rowOff>101600</xdr:rowOff>
        </xdr:from>
        <xdr:to>
          <xdr:col>147</xdr:col>
          <xdr:colOff>1301750</xdr:colOff>
          <xdr:row>0</xdr:row>
          <xdr:rowOff>406400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7"/>
  <sheetViews>
    <sheetView tabSelected="1" zoomScale="85" zoomScaleNormal="85" workbookViewId="0">
      <pane xSplit="5" ySplit="1" topLeftCell="DQ2" activePane="bottomRight" state="frozen"/>
      <selection pane="topRight" activeCell="F1" sqref="F1"/>
      <selection pane="bottomLeft" activeCell="A2" sqref="A2"/>
      <selection pane="bottomRight" activeCell="D7" sqref="D7:EP7"/>
    </sheetView>
  </sheetViews>
  <sheetFormatPr defaultRowHeight="14" x14ac:dyDescent="0.25"/>
  <cols>
    <col min="1" max="1" width="34.08984375" customWidth="1"/>
    <col min="2" max="2" width="31.6328125" customWidth="1"/>
    <col min="3" max="3" width="38.1796875" customWidth="1"/>
    <col min="148" max="148" width="22.08984375" customWidth="1"/>
  </cols>
  <sheetData>
    <row r="1" spans="1:146" ht="39" customHeight="1" x14ac:dyDescent="0.25">
      <c r="A1" s="3" t="s">
        <v>12</v>
      </c>
      <c r="B1" s="4" t="s">
        <v>13</v>
      </c>
      <c r="C1" s="3" t="s">
        <v>14</v>
      </c>
      <c r="D1" t="s">
        <v>6</v>
      </c>
      <c r="E1" t="s">
        <v>93</v>
      </c>
      <c r="F1" t="s">
        <v>3</v>
      </c>
      <c r="G1" t="s">
        <v>85</v>
      </c>
      <c r="H1" t="s">
        <v>94</v>
      </c>
      <c r="I1" t="s">
        <v>7</v>
      </c>
      <c r="J1" t="s">
        <v>8</v>
      </c>
      <c r="K1" t="s">
        <v>4</v>
      </c>
      <c r="L1" t="s">
        <v>9</v>
      </c>
      <c r="M1" t="s">
        <v>15</v>
      </c>
      <c r="N1" t="s">
        <v>16</v>
      </c>
      <c r="O1" t="s">
        <v>17</v>
      </c>
      <c r="P1" t="s">
        <v>95</v>
      </c>
      <c r="Q1" t="s">
        <v>96</v>
      </c>
      <c r="R1" t="s">
        <v>97</v>
      </c>
      <c r="S1" t="s">
        <v>18</v>
      </c>
      <c r="T1" t="s">
        <v>98</v>
      </c>
      <c r="U1" t="s">
        <v>86</v>
      </c>
      <c r="V1" t="s">
        <v>19</v>
      </c>
      <c r="W1" t="s">
        <v>99</v>
      </c>
      <c r="X1" t="s">
        <v>100</v>
      </c>
      <c r="Y1" t="s">
        <v>101</v>
      </c>
      <c r="Z1" t="s">
        <v>102</v>
      </c>
      <c r="AA1" t="s">
        <v>103</v>
      </c>
      <c r="AB1" t="s">
        <v>104</v>
      </c>
      <c r="AC1" t="s">
        <v>105</v>
      </c>
      <c r="AD1" t="s">
        <v>106</v>
      </c>
      <c r="AE1" t="s">
        <v>20</v>
      </c>
      <c r="AF1" t="s">
        <v>21</v>
      </c>
      <c r="AG1" t="s">
        <v>107</v>
      </c>
      <c r="AH1" t="s">
        <v>108</v>
      </c>
      <c r="AI1" t="s">
        <v>109</v>
      </c>
      <c r="AJ1" t="s">
        <v>22</v>
      </c>
      <c r="AK1" t="s">
        <v>110</v>
      </c>
      <c r="AL1" t="s">
        <v>26</v>
      </c>
      <c r="AM1" t="s">
        <v>111</v>
      </c>
      <c r="AN1" t="s">
        <v>112</v>
      </c>
      <c r="AO1" t="s">
        <v>113</v>
      </c>
      <c r="AP1" t="s">
        <v>114</v>
      </c>
      <c r="AQ1" t="s">
        <v>115</v>
      </c>
      <c r="AR1" t="s">
        <v>116</v>
      </c>
      <c r="AS1" t="s">
        <v>117</v>
      </c>
      <c r="AT1" t="s">
        <v>118</v>
      </c>
      <c r="AU1" t="s">
        <v>119</v>
      </c>
      <c r="AV1" t="s">
        <v>120</v>
      </c>
      <c r="AW1" t="s">
        <v>121</v>
      </c>
      <c r="AX1" t="s">
        <v>122</v>
      </c>
      <c r="AY1" t="s">
        <v>27</v>
      </c>
      <c r="AZ1" t="s">
        <v>28</v>
      </c>
      <c r="BA1" t="s">
        <v>29</v>
      </c>
      <c r="BB1" t="s">
        <v>30</v>
      </c>
      <c r="BC1" t="s">
        <v>87</v>
      </c>
      <c r="BD1" t="s">
        <v>31</v>
      </c>
      <c r="BE1" t="s">
        <v>32</v>
      </c>
      <c r="BF1" t="s">
        <v>33</v>
      </c>
      <c r="BG1" t="s">
        <v>34</v>
      </c>
      <c r="BH1" t="s">
        <v>123</v>
      </c>
      <c r="BI1" t="s">
        <v>124</v>
      </c>
      <c r="BJ1" t="s">
        <v>125</v>
      </c>
      <c r="BK1" t="s">
        <v>126</v>
      </c>
      <c r="BL1" t="s">
        <v>127</v>
      </c>
      <c r="BM1" t="s">
        <v>128</v>
      </c>
      <c r="BN1" t="s">
        <v>129</v>
      </c>
      <c r="BO1" t="s">
        <v>130</v>
      </c>
      <c r="BP1" t="s">
        <v>88</v>
      </c>
      <c r="BQ1" t="s">
        <v>35</v>
      </c>
      <c r="BR1" t="s">
        <v>131</v>
      </c>
      <c r="BS1" t="s">
        <v>89</v>
      </c>
      <c r="BT1" t="s">
        <v>36</v>
      </c>
      <c r="BU1" t="s">
        <v>132</v>
      </c>
      <c r="BV1" t="s">
        <v>133</v>
      </c>
      <c r="BW1" t="s">
        <v>82</v>
      </c>
      <c r="BX1" t="s">
        <v>37</v>
      </c>
      <c r="BY1" t="s">
        <v>134</v>
      </c>
      <c r="BZ1" t="s">
        <v>83</v>
      </c>
      <c r="CA1" t="s">
        <v>38</v>
      </c>
      <c r="CB1" t="s">
        <v>135</v>
      </c>
      <c r="CC1" t="s">
        <v>136</v>
      </c>
      <c r="CD1" t="s">
        <v>137</v>
      </c>
      <c r="CE1" t="s">
        <v>138</v>
      </c>
      <c r="CF1" s="1" t="s">
        <v>139</v>
      </c>
      <c r="CG1" s="1" t="s">
        <v>140</v>
      </c>
      <c r="CH1" s="1" t="s">
        <v>45</v>
      </c>
      <c r="CI1" s="1" t="s">
        <v>46</v>
      </c>
      <c r="CJ1" s="1" t="s">
        <v>47</v>
      </c>
      <c r="CK1" s="1" t="s">
        <v>48</v>
      </c>
      <c r="CL1" s="1" t="s">
        <v>49</v>
      </c>
      <c r="CM1" s="1" t="s">
        <v>50</v>
      </c>
      <c r="CN1" s="1" t="s">
        <v>51</v>
      </c>
      <c r="CO1" s="1" t="s">
        <v>52</v>
      </c>
      <c r="CP1" s="1" t="s">
        <v>53</v>
      </c>
      <c r="CQ1" s="1" t="s">
        <v>54</v>
      </c>
      <c r="CR1" s="1" t="s">
        <v>143</v>
      </c>
      <c r="CS1" s="1" t="s">
        <v>55</v>
      </c>
      <c r="CT1" s="1" t="s">
        <v>56</v>
      </c>
      <c r="CU1" s="1" t="s">
        <v>57</v>
      </c>
      <c r="CV1" s="1" t="s">
        <v>58</v>
      </c>
      <c r="CW1" s="1" t="s">
        <v>59</v>
      </c>
      <c r="CX1">
        <v>1</v>
      </c>
      <c r="CY1" t="s">
        <v>60</v>
      </c>
      <c r="CZ1" t="s">
        <v>61</v>
      </c>
      <c r="DA1">
        <v>3</v>
      </c>
      <c r="DB1" t="s">
        <v>62</v>
      </c>
      <c r="DC1" t="s">
        <v>63</v>
      </c>
      <c r="DD1">
        <v>6</v>
      </c>
      <c r="DE1" t="s">
        <v>64</v>
      </c>
      <c r="DF1" t="s">
        <v>65</v>
      </c>
      <c r="DG1">
        <v>10</v>
      </c>
      <c r="DH1" t="s">
        <v>66</v>
      </c>
      <c r="DI1" t="s">
        <v>67</v>
      </c>
      <c r="DJ1">
        <v>20</v>
      </c>
      <c r="DK1" t="s">
        <v>68</v>
      </c>
      <c r="DL1" t="s">
        <v>69</v>
      </c>
      <c r="DM1" t="s">
        <v>70</v>
      </c>
      <c r="DN1" s="2" t="s">
        <v>71</v>
      </c>
      <c r="DO1" t="s">
        <v>72</v>
      </c>
      <c r="DP1" t="s">
        <v>73</v>
      </c>
      <c r="DQ1" s="7" t="s">
        <v>144</v>
      </c>
      <c r="DR1" s="1" t="s">
        <v>74</v>
      </c>
      <c r="DS1" s="1" t="s">
        <v>75</v>
      </c>
      <c r="DT1" t="s">
        <v>145</v>
      </c>
      <c r="DU1" t="s">
        <v>76</v>
      </c>
      <c r="DV1" t="s">
        <v>77</v>
      </c>
      <c r="DW1" t="s">
        <v>78</v>
      </c>
      <c r="DX1" t="s">
        <v>146</v>
      </c>
      <c r="DY1" t="s">
        <v>147</v>
      </c>
      <c r="DZ1" t="s">
        <v>79</v>
      </c>
      <c r="EA1" t="s">
        <v>80</v>
      </c>
      <c r="EB1" t="s">
        <v>81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K1" s="8" t="s">
        <v>155</v>
      </c>
      <c r="EL1" t="s">
        <v>156</v>
      </c>
      <c r="EM1" t="s">
        <v>157</v>
      </c>
      <c r="EN1" t="s">
        <v>158</v>
      </c>
      <c r="EO1" t="s">
        <v>159</v>
      </c>
      <c r="EP1" t="s">
        <v>160</v>
      </c>
    </row>
    <row r="2" spans="1:146" ht="108" x14ac:dyDescent="0.25">
      <c r="C2" s="6" t="str">
        <f>""&amp;CHAR(10)&amp;Basic_Fundamental_Information_Constructure(F2)&amp;CHAR(10)&amp;Basic_Fundamental_Information_Concatenate("")</f>
        <v xml:space="preserve">
市值86.955073亿, 利润-6.52亿; PE; 平均PE13.82; 平均PEG1.07, PB.423; ROIC0%; ROE.8%; 股利率0%; 毛利0%; 净利.0767%; 上一年度营收增.17%, 利润增-337.96%; 当季营收增-20.25%, 利润增-298.82%; 过往5年营收增12.97%, 利润增-86.42%
Income profile:
</v>
      </c>
      <c r="D2" t="s">
        <v>163</v>
      </c>
      <c r="E2" t="s">
        <v>164</v>
      </c>
      <c r="F2">
        <v>1.76</v>
      </c>
      <c r="G2">
        <v>0.56999999999999995</v>
      </c>
      <c r="H2" t="s">
        <v>221</v>
      </c>
      <c r="I2">
        <v>8695507300</v>
      </c>
      <c r="K2">
        <v>0.42299999999999999</v>
      </c>
      <c r="L2" t="s">
        <v>84</v>
      </c>
      <c r="M2" t="s">
        <v>222</v>
      </c>
      <c r="N2" t="s">
        <v>223</v>
      </c>
      <c r="O2" t="s">
        <v>224</v>
      </c>
      <c r="P2" s="5">
        <v>-20.25</v>
      </c>
      <c r="Q2" t="s">
        <v>225</v>
      </c>
      <c r="R2">
        <v>-89876620</v>
      </c>
      <c r="S2">
        <v>-2.988</v>
      </c>
      <c r="T2" t="s">
        <v>226</v>
      </c>
      <c r="U2">
        <v>4552504200</v>
      </c>
      <c r="V2">
        <v>4940629200</v>
      </c>
      <c r="W2">
        <v>8.42</v>
      </c>
      <c r="X2">
        <v>0.06</v>
      </c>
      <c r="Y2">
        <v>-0.98</v>
      </c>
      <c r="Z2" t="s">
        <v>11</v>
      </c>
      <c r="AA2" t="s">
        <v>11</v>
      </c>
      <c r="AB2" t="s">
        <v>11</v>
      </c>
      <c r="AC2" t="s">
        <v>11</v>
      </c>
      <c r="AD2" t="s">
        <v>11</v>
      </c>
      <c r="AE2">
        <v>0</v>
      </c>
      <c r="AF2" t="s">
        <v>227</v>
      </c>
      <c r="AG2" t="s">
        <v>228</v>
      </c>
      <c r="AH2" t="s">
        <v>229</v>
      </c>
      <c r="AI2" t="s">
        <v>230</v>
      </c>
      <c r="AJ2" t="s">
        <v>23</v>
      </c>
      <c r="AK2" t="s">
        <v>11</v>
      </c>
      <c r="AL2" t="s">
        <v>23</v>
      </c>
      <c r="AM2" t="s">
        <v>231</v>
      </c>
      <c r="AN2" t="s">
        <v>232</v>
      </c>
      <c r="AO2" t="s">
        <v>11</v>
      </c>
      <c r="AP2" t="s">
        <v>11</v>
      </c>
      <c r="AQ2" t="s">
        <v>11</v>
      </c>
      <c r="AR2" t="s">
        <v>11</v>
      </c>
      <c r="AS2" t="s">
        <v>11</v>
      </c>
      <c r="AT2" t="s">
        <v>233</v>
      </c>
      <c r="AU2" t="s">
        <v>234</v>
      </c>
      <c r="AV2" t="s">
        <v>235</v>
      </c>
      <c r="AW2" t="s">
        <v>236</v>
      </c>
      <c r="AX2" t="s">
        <v>213</v>
      </c>
      <c r="AY2" t="s">
        <v>165</v>
      </c>
      <c r="AZ2" t="s">
        <v>166</v>
      </c>
      <c r="BA2" t="s">
        <v>167</v>
      </c>
      <c r="BB2" t="s">
        <v>168</v>
      </c>
      <c r="BC2" t="s">
        <v>162</v>
      </c>
      <c r="BD2" t="s">
        <v>40</v>
      </c>
      <c r="BE2" t="s">
        <v>169</v>
      </c>
      <c r="BF2" t="s">
        <v>170</v>
      </c>
      <c r="BG2" t="s">
        <v>171</v>
      </c>
      <c r="BH2" t="s">
        <v>225</v>
      </c>
      <c r="BI2" t="s">
        <v>237</v>
      </c>
      <c r="BJ2" t="s">
        <v>213</v>
      </c>
      <c r="BK2" t="s">
        <v>226</v>
      </c>
      <c r="BL2" t="s">
        <v>238</v>
      </c>
      <c r="BM2" t="s">
        <v>162</v>
      </c>
      <c r="BN2" t="s">
        <v>11</v>
      </c>
      <c r="BO2" t="s">
        <v>11</v>
      </c>
      <c r="BP2" t="s">
        <v>11</v>
      </c>
      <c r="BQ2">
        <v>-1.01</v>
      </c>
      <c r="BR2">
        <v>1.25</v>
      </c>
      <c r="BS2">
        <v>2.16</v>
      </c>
      <c r="BT2" t="s">
        <v>161</v>
      </c>
      <c r="BU2" t="s">
        <v>84</v>
      </c>
      <c r="BV2" t="s">
        <v>11</v>
      </c>
      <c r="BW2" t="s">
        <v>11</v>
      </c>
      <c r="BX2" t="s">
        <v>11</v>
      </c>
      <c r="BY2">
        <v>-2.58</v>
      </c>
      <c r="BZ2">
        <v>1.03</v>
      </c>
      <c r="CA2">
        <v>1.78</v>
      </c>
      <c r="CB2">
        <v>0.56999999999999995</v>
      </c>
      <c r="CC2" s="1">
        <v>-25.11</v>
      </c>
      <c r="CD2" s="1" t="s">
        <v>239</v>
      </c>
      <c r="CE2" s="1" t="s">
        <v>240</v>
      </c>
      <c r="CF2" s="9">
        <v>-0.20252645020065668</v>
      </c>
      <c r="CG2" s="10">
        <v>-2.9881964645582024</v>
      </c>
      <c r="CH2" s="9">
        <v>1.6728745540603995E-3</v>
      </c>
      <c r="CI2" s="9">
        <v>6.6549773328006268E-4</v>
      </c>
      <c r="CJ2" s="9">
        <v>0.20347088575363159</v>
      </c>
      <c r="CK2" s="9">
        <v>-0.17915201187133789</v>
      </c>
      <c r="CL2" s="9">
        <v>0.62165999412536621</v>
      </c>
      <c r="CM2" s="10">
        <v>-3.3795621395111084</v>
      </c>
      <c r="CN2" s="10">
        <v>-0.41825902462005615</v>
      </c>
      <c r="CO2" s="10">
        <v>-0.18793103098869324</v>
      </c>
      <c r="CP2" s="10">
        <v>-0.6734234094619751</v>
      </c>
      <c r="CQ2" s="10">
        <v>0.33835712075233459</v>
      </c>
      <c r="CR2" s="1">
        <v>13.817013718220338</v>
      </c>
      <c r="CS2" s="1">
        <v>1.0656059147781767</v>
      </c>
      <c r="CT2" s="1">
        <v>0</v>
      </c>
      <c r="CU2" s="9">
        <v>0.12966344805900007</v>
      </c>
      <c r="CV2" s="10">
        <v>-0.86416369676589966</v>
      </c>
      <c r="CW2">
        <v>0.06</v>
      </c>
      <c r="CX2" t="e">
        <v>#VALUE!</v>
      </c>
      <c r="CY2" t="s">
        <v>141</v>
      </c>
      <c r="CZ2">
        <v>0.12966344805900007</v>
      </c>
      <c r="DA2" t="e">
        <v>#VALUE!</v>
      </c>
      <c r="DB2" t="s">
        <v>142</v>
      </c>
      <c r="DC2">
        <v>0.12318027565605005</v>
      </c>
      <c r="DD2" t="e">
        <v>#VALUE!</v>
      </c>
      <c r="DE2" t="s">
        <v>142</v>
      </c>
      <c r="DF2">
        <v>0.11410383429192006</v>
      </c>
      <c r="DG2" t="e">
        <v>#VALUE!</v>
      </c>
      <c r="DH2" t="s">
        <v>142</v>
      </c>
      <c r="DI2">
        <v>0.10373075844720006</v>
      </c>
      <c r="DJ2" t="e">
        <v>#VALUE!</v>
      </c>
      <c r="DK2" t="s">
        <v>142</v>
      </c>
      <c r="DL2">
        <v>9.0764413641300043E-2</v>
      </c>
      <c r="DM2">
        <v>-652000000</v>
      </c>
      <c r="DN2">
        <v>0.12966344805900007</v>
      </c>
      <c r="DO2">
        <v>243445507300</v>
      </c>
      <c r="DP2">
        <v>0</v>
      </c>
      <c r="DQ2" s="11">
        <v>184</v>
      </c>
      <c r="DR2">
        <v>-0.33218989825965672</v>
      </c>
      <c r="DS2">
        <v>-2.1240327677923028</v>
      </c>
      <c r="DT2">
        <v>-0.22333333333333336</v>
      </c>
      <c r="DU2">
        <v>-2.0649999999999999</v>
      </c>
      <c r="DV2">
        <v>-2.2883333333333331</v>
      </c>
      <c r="DW2">
        <v>-3.1030297619047618</v>
      </c>
      <c r="DX2">
        <v>0.35869346733668306</v>
      </c>
      <c r="DY2">
        <v>-3.0142895549174442</v>
      </c>
      <c r="DZ2">
        <v>4572</v>
      </c>
      <c r="EA2">
        <v>-3.0015044580324042</v>
      </c>
      <c r="EB2" s="12">
        <v>3</v>
      </c>
      <c r="EC2" s="12">
        <v>2.7931665059988717E-2</v>
      </c>
      <c r="ED2">
        <v>0.2013913531499186</v>
      </c>
      <c r="EE2">
        <v>-1.0363100000000001</v>
      </c>
      <c r="EF2">
        <v>-1.0639099999999999</v>
      </c>
      <c r="EG2">
        <v>22.138693467336683</v>
      </c>
      <c r="EH2" s="8" t="s">
        <v>214</v>
      </c>
      <c r="EI2" s="13">
        <v>0</v>
      </c>
      <c r="EJ2" s="13">
        <v>0</v>
      </c>
      <c r="EK2" s="13">
        <v>45470</v>
      </c>
      <c r="EL2" s="13">
        <v>0.54</v>
      </c>
      <c r="EM2" s="13">
        <v>-4.8600000000000003</v>
      </c>
      <c r="EN2" s="13">
        <v>0</v>
      </c>
      <c r="EO2" s="13">
        <v>2.84</v>
      </c>
      <c r="EP2" s="13">
        <v>-2.76</v>
      </c>
    </row>
    <row r="3" spans="1:146" ht="288" x14ac:dyDescent="0.25">
      <c r="C3" s="6" t="str">
        <f>"公司为经营区域覆盖全国，以保险业务为核心，以统一的品牌向客户提供包括保险、银行、证券、信托等多元化金融服务的全国领先的综合性金融服务集团。通过多渠道分销网络，以统一的品牌，借助旗下平安寿险、平安产险、平安养老险、平安健康险、平安银行、平安信托、平安证券、平安资产管理及平安融资租赁等公司经营保险、银行、资产管理三大核心金融业务，借助陆金所控股、金融壹账通、平安好医生、平安医保科技、汽车之家等公司经营科技业务，向客户提供多种金融产品和服务。"&amp;CHAR(10)&amp;Basic_Fundamental_Information_Constructure(F3)&amp;CHAR(10)&amp;Basic_Fundamental_Information_Concatenate("寿险及健康险 3427.56亿 56.00% 38.75% 8.86%
财产保险 1444.25亿 23.59% 11.96% 6.49%
银行 920.22亿 15.03% 35.69% 30.39%
其他资产管理 225.99亿 3.69% 4.64% 16.08%
科技 134.62亿 2.20% 6.27% 36.50%
证券 99.47亿 1.63% 3.75% 29.53%
信托 21.49亿 0.35% 2.11% 76.92%")</f>
        <v>公司为经营区域覆盖全国，以保险业务为核心，以统一的品牌向客户提供包括保险、银行、证券、信托等多元化金融服务的全国领先的综合性金融服务集团。通过多渠道分销网络，以统一的品牌，借助旗下平安寿险、平安产险、平安养老险、平安健康险、平安银行、平安信托、平安证券、平安资产管理及平安融资租赁等公司经营保险、银行、资产管理三大核心金融业务，借助陆金所控股、金融壹账通、平安好医生、平安医保科技、汽车之家等公司经营科技业务，向客户提供多种金融产品和服务。
市值7488.0485亿, 利润227.73亿; PE8.91; 平均PE7.07; 平均PEG.85, PB.827; ROIC0%; ROE10.9667%; 股利率3.6479%; 毛利0%; 净利10.65%; 上一年度营收增-37.17%, 利润增-79.49%; 当季营收增78.25%, 利润增213.19%; 过往5年营收增-8.36%, 利润增-12.87%
Income profile:
寿险及健康险 3427.56亿 56.00% 38.75% 8.86%
财产保险 1444.25亿 23.59% 11.96% 6.49%
银行 920.22亿 15.03% 35.69% 30.39%
其他资产管理 225.99亿 3.69% 4.64% 16.08%
科技 134.62亿 2.20% 6.27% 36.50%
证券 99.47亿 1.63% 3.75% 29.53%
信托 21.49亿 0.35% 2.11% 76.92%</v>
      </c>
      <c r="D3" t="s">
        <v>172</v>
      </c>
      <c r="E3" t="s">
        <v>173</v>
      </c>
      <c r="F3">
        <v>41.12</v>
      </c>
      <c r="G3">
        <v>-2.0499999999999998</v>
      </c>
      <c r="H3" t="s">
        <v>241</v>
      </c>
      <c r="I3">
        <v>748804850000</v>
      </c>
      <c r="J3">
        <v>8.91</v>
      </c>
      <c r="K3">
        <v>0.82699999999999996</v>
      </c>
      <c r="L3" t="s">
        <v>84</v>
      </c>
      <c r="M3" t="s">
        <v>242</v>
      </c>
      <c r="N3" t="s">
        <v>243</v>
      </c>
      <c r="O3" t="s">
        <v>244</v>
      </c>
      <c r="P3" s="5">
        <v>-3.23</v>
      </c>
      <c r="Q3" t="s">
        <v>245</v>
      </c>
      <c r="R3">
        <v>36709000000</v>
      </c>
      <c r="S3">
        <v>-4.2799999999999998E-2</v>
      </c>
      <c r="T3" t="s">
        <v>246</v>
      </c>
      <c r="U3">
        <v>10762657700</v>
      </c>
      <c r="V3">
        <v>18210235000</v>
      </c>
      <c r="W3">
        <v>9.65</v>
      </c>
      <c r="X3">
        <v>0.02</v>
      </c>
      <c r="Y3">
        <v>18.350000000000001</v>
      </c>
      <c r="Z3" t="s">
        <v>11</v>
      </c>
      <c r="AA3" t="s">
        <v>11</v>
      </c>
      <c r="AB3" t="s">
        <v>11</v>
      </c>
      <c r="AC3" t="s">
        <v>11</v>
      </c>
      <c r="AD3" t="s">
        <v>11</v>
      </c>
      <c r="AE3">
        <v>0</v>
      </c>
      <c r="AF3" t="s">
        <v>247</v>
      </c>
      <c r="AG3" t="s">
        <v>248</v>
      </c>
      <c r="AH3" t="s">
        <v>249</v>
      </c>
      <c r="AI3" t="s">
        <v>250</v>
      </c>
      <c r="AJ3" t="s">
        <v>23</v>
      </c>
      <c r="AK3" t="s">
        <v>11</v>
      </c>
      <c r="AL3" t="s">
        <v>23</v>
      </c>
      <c r="AM3" t="s">
        <v>251</v>
      </c>
      <c r="AN3" t="s">
        <v>11</v>
      </c>
      <c r="AO3" t="s">
        <v>252</v>
      </c>
      <c r="AP3" t="s">
        <v>11</v>
      </c>
      <c r="AQ3" t="s">
        <v>11</v>
      </c>
      <c r="AR3" t="s">
        <v>11</v>
      </c>
      <c r="AS3" t="s">
        <v>11</v>
      </c>
      <c r="AT3" t="s">
        <v>253</v>
      </c>
      <c r="AU3" t="s">
        <v>254</v>
      </c>
      <c r="AV3" t="s">
        <v>255</v>
      </c>
      <c r="AW3" t="s">
        <v>256</v>
      </c>
      <c r="AX3" t="s">
        <v>257</v>
      </c>
      <c r="AY3" t="s">
        <v>174</v>
      </c>
      <c r="AZ3" t="s">
        <v>176</v>
      </c>
      <c r="BA3" t="s">
        <v>177</v>
      </c>
      <c r="BB3" t="s">
        <v>178</v>
      </c>
      <c r="BC3" t="s">
        <v>258</v>
      </c>
      <c r="BD3" t="s">
        <v>175</v>
      </c>
      <c r="BE3" t="s">
        <v>179</v>
      </c>
      <c r="BF3" t="s">
        <v>180</v>
      </c>
      <c r="BG3" t="s">
        <v>181</v>
      </c>
      <c r="BH3" t="s">
        <v>259</v>
      </c>
      <c r="BI3" t="s">
        <v>260</v>
      </c>
      <c r="BJ3" t="s">
        <v>257</v>
      </c>
      <c r="BK3" t="s">
        <v>261</v>
      </c>
      <c r="BL3" t="s">
        <v>262</v>
      </c>
      <c r="BM3" t="s">
        <v>258</v>
      </c>
      <c r="BN3" t="s">
        <v>11</v>
      </c>
      <c r="BO3" t="s">
        <v>11</v>
      </c>
      <c r="BP3" t="s">
        <v>11</v>
      </c>
      <c r="BQ3">
        <v>9.8000000000000007</v>
      </c>
      <c r="BR3">
        <v>10.1</v>
      </c>
      <c r="BS3">
        <v>13</v>
      </c>
      <c r="BT3" t="s">
        <v>182</v>
      </c>
      <c r="BU3" t="s">
        <v>84</v>
      </c>
      <c r="BV3" t="s">
        <v>11</v>
      </c>
      <c r="BW3" t="s">
        <v>11</v>
      </c>
      <c r="BX3" t="s">
        <v>11</v>
      </c>
      <c r="BY3">
        <v>11.96</v>
      </c>
      <c r="BZ3">
        <v>9.67</v>
      </c>
      <c r="CA3">
        <v>10.32</v>
      </c>
      <c r="CB3">
        <v>-0.57999999999999996</v>
      </c>
      <c r="CC3" s="1">
        <v>-8.17</v>
      </c>
      <c r="CD3" s="1" t="s">
        <v>263</v>
      </c>
      <c r="CE3" s="1" t="s">
        <v>264</v>
      </c>
      <c r="CF3" s="9">
        <v>0.78246920569939538</v>
      </c>
      <c r="CG3" s="10">
        <v>2.1319000085316953</v>
      </c>
      <c r="CH3" s="9">
        <v>-0.3717341423034668</v>
      </c>
      <c r="CI3" s="9">
        <v>-0.25421705842018127</v>
      </c>
      <c r="CJ3" s="9">
        <v>-3.1084757298231125E-2</v>
      </c>
      <c r="CK3" s="9">
        <v>4.2304296046495438E-2</v>
      </c>
      <c r="CL3" s="9">
        <v>0.19658955931663513</v>
      </c>
      <c r="CM3" s="10">
        <v>-0.794852614402771</v>
      </c>
      <c r="CN3" s="10">
        <v>9.2404872179031372E-2</v>
      </c>
      <c r="CO3" s="10">
        <v>-0.28987625241279602</v>
      </c>
      <c r="CP3" s="10">
        <v>-4.2220268398523331E-2</v>
      </c>
      <c r="CQ3" s="10">
        <v>0.39107486605644226</v>
      </c>
      <c r="CR3" s="1">
        <v>7.0718801402152343</v>
      </c>
      <c r="CS3" s="1">
        <v>0.84563119753414195</v>
      </c>
      <c r="CT3" s="1">
        <v>3.6478599221789887</v>
      </c>
      <c r="CU3" s="9">
        <v>-8.3628420531749723E-2</v>
      </c>
      <c r="CV3" s="10">
        <v>-0.12869387939572335</v>
      </c>
      <c r="CW3">
        <v>0.06</v>
      </c>
      <c r="CX3">
        <v>433.01795327800465</v>
      </c>
      <c r="CY3" t="s">
        <v>265</v>
      </c>
      <c r="CZ3">
        <v>-8.3628420531749723E-2</v>
      </c>
      <c r="DA3">
        <v>144.33931775933488</v>
      </c>
      <c r="DB3" t="s">
        <v>266</v>
      </c>
      <c r="DC3">
        <v>-7.9446999505162236E-2</v>
      </c>
      <c r="DD3">
        <v>72.169658879667438</v>
      </c>
      <c r="DE3" t="s">
        <v>267</v>
      </c>
      <c r="DF3">
        <v>-7.3593010067939751E-2</v>
      </c>
      <c r="DG3">
        <v>43.301795327800463</v>
      </c>
      <c r="DH3" t="s">
        <v>268</v>
      </c>
      <c r="DI3">
        <v>-6.6902736425399775E-2</v>
      </c>
      <c r="DJ3">
        <v>21.650897663900231</v>
      </c>
      <c r="DK3" t="s">
        <v>269</v>
      </c>
      <c r="DL3">
        <v>-5.8539894372224802E-2</v>
      </c>
      <c r="DM3">
        <v>22773000000</v>
      </c>
      <c r="DN3">
        <v>-8.3628420531749723E-2</v>
      </c>
      <c r="DO3">
        <v>9861117850000</v>
      </c>
      <c r="DP3">
        <v>0</v>
      </c>
      <c r="DQ3" s="11">
        <v>3709</v>
      </c>
      <c r="DR3">
        <v>0.86609762623114506</v>
      </c>
      <c r="DS3">
        <v>2.2605938879274188</v>
      </c>
      <c r="DT3">
        <v>-0.65666666666666662</v>
      </c>
      <c r="DU3">
        <v>-0.3666666666666667</v>
      </c>
      <c r="DV3">
        <v>-1.0233333333333334</v>
      </c>
      <c r="DW3">
        <v>-2.0817000000000001</v>
      </c>
      <c r="DX3">
        <v>0.48394756859996363</v>
      </c>
      <c r="DY3">
        <v>-2.0142115163546173</v>
      </c>
      <c r="DZ3">
        <v>2136</v>
      </c>
      <c r="EA3">
        <v>-2.0082710468960139</v>
      </c>
      <c r="EB3" s="12">
        <v>2</v>
      </c>
      <c r="EC3" s="12">
        <v>1.202620394519895E-2</v>
      </c>
      <c r="ED3">
        <v>6.9136944141577519E-2</v>
      </c>
      <c r="EE3">
        <v>-1.0616099999999999</v>
      </c>
      <c r="EF3">
        <v>-1.0878099999999999</v>
      </c>
      <c r="EG3">
        <v>31.173947568599964</v>
      </c>
      <c r="EH3" s="8" t="s">
        <v>214</v>
      </c>
      <c r="EI3" s="13">
        <v>0</v>
      </c>
      <c r="EJ3" s="13">
        <v>0</v>
      </c>
      <c r="EK3" s="13">
        <v>45470</v>
      </c>
      <c r="EL3" s="13">
        <v>-0.5</v>
      </c>
      <c r="EM3" s="13">
        <v>-3.11</v>
      </c>
      <c r="EN3">
        <v>0</v>
      </c>
      <c r="EO3">
        <v>2.82</v>
      </c>
      <c r="EP3">
        <v>-2.62</v>
      </c>
    </row>
    <row r="4" spans="1:146" ht="108" x14ac:dyDescent="0.25">
      <c r="C4" s="6" t="str">
        <f>""&amp;CHAR(10)&amp;Basic_Fundamental_Information_Constructure(F4)&amp;CHAR(10)&amp;Basic_Fundamental_Information_Concatenate("")</f>
        <v xml:space="preserve">
市值2286.3803亿, 利润15.31亿; PE11.42; 平均PE13.13; 平均PEG.71, PB.923; ROIC0%; ROE10.02%; 股利率3.0174%; 毛利0%; 净利5.4467%; 上一年度营收增-98.67%, 利润增-93.97%; 当季营收增7940.44%, 利润增2044.26%; 过往5年营收增-18.46%, 利润增-2.55%
Income profile:
</v>
      </c>
      <c r="D4" t="s">
        <v>183</v>
      </c>
      <c r="E4" t="s">
        <v>184</v>
      </c>
      <c r="F4">
        <v>5.17</v>
      </c>
      <c r="G4">
        <v>-1.9</v>
      </c>
      <c r="H4" t="s">
        <v>270</v>
      </c>
      <c r="I4">
        <v>228638030000</v>
      </c>
      <c r="J4">
        <v>11.42</v>
      </c>
      <c r="K4">
        <v>0.92300000000000004</v>
      </c>
      <c r="L4" t="s">
        <v>84</v>
      </c>
      <c r="M4" t="s">
        <v>271</v>
      </c>
      <c r="N4" t="s">
        <v>272</v>
      </c>
      <c r="O4" t="s">
        <v>273</v>
      </c>
      <c r="P4" s="5">
        <v>0.73</v>
      </c>
      <c r="Q4" t="s">
        <v>274</v>
      </c>
      <c r="R4">
        <v>8963000000</v>
      </c>
      <c r="S4">
        <v>-0.23530000000000001</v>
      </c>
      <c r="T4" t="s">
        <v>275</v>
      </c>
      <c r="U4">
        <v>35497757000</v>
      </c>
      <c r="V4">
        <v>44223991000</v>
      </c>
      <c r="W4">
        <v>4.67</v>
      </c>
      <c r="X4">
        <v>0.09</v>
      </c>
      <c r="Y4">
        <v>8.69</v>
      </c>
      <c r="Z4" t="s">
        <v>11</v>
      </c>
      <c r="AA4" t="s">
        <v>11</v>
      </c>
      <c r="AB4" t="s">
        <v>11</v>
      </c>
      <c r="AC4" t="s">
        <v>11</v>
      </c>
      <c r="AD4" t="s">
        <v>11</v>
      </c>
      <c r="AE4">
        <v>0</v>
      </c>
      <c r="AF4" t="s">
        <v>276</v>
      </c>
      <c r="AG4" t="s">
        <v>277</v>
      </c>
      <c r="AH4" t="s">
        <v>278</v>
      </c>
      <c r="AI4" t="s">
        <v>279</v>
      </c>
      <c r="AJ4" t="s">
        <v>23</v>
      </c>
      <c r="AK4" t="s">
        <v>11</v>
      </c>
      <c r="AL4" t="s">
        <v>23</v>
      </c>
      <c r="AM4" t="s">
        <v>280</v>
      </c>
      <c r="AN4" t="s">
        <v>11</v>
      </c>
      <c r="AO4" t="s">
        <v>11</v>
      </c>
      <c r="AP4" t="s">
        <v>11</v>
      </c>
      <c r="AQ4" t="s">
        <v>11</v>
      </c>
      <c r="AR4" t="s">
        <v>11</v>
      </c>
      <c r="AS4" t="s">
        <v>11</v>
      </c>
      <c r="AT4" t="s">
        <v>11</v>
      </c>
      <c r="AU4" t="s">
        <v>281</v>
      </c>
      <c r="AV4" t="s">
        <v>282</v>
      </c>
      <c r="AW4" t="s">
        <v>283</v>
      </c>
      <c r="AX4" t="s">
        <v>284</v>
      </c>
      <c r="AY4" t="s">
        <v>185</v>
      </c>
      <c r="AZ4" t="s">
        <v>187</v>
      </c>
      <c r="BA4" t="s">
        <v>188</v>
      </c>
      <c r="BB4" t="s">
        <v>189</v>
      </c>
      <c r="BC4" t="s">
        <v>285</v>
      </c>
      <c r="BD4" t="s">
        <v>186</v>
      </c>
      <c r="BE4" t="s">
        <v>190</v>
      </c>
      <c r="BF4" t="s">
        <v>191</v>
      </c>
      <c r="BG4" t="s">
        <v>192</v>
      </c>
      <c r="BH4" t="s">
        <v>245</v>
      </c>
      <c r="BI4" t="s">
        <v>286</v>
      </c>
      <c r="BJ4" t="s">
        <v>284</v>
      </c>
      <c r="BK4" t="s">
        <v>246</v>
      </c>
      <c r="BL4" t="s">
        <v>287</v>
      </c>
      <c r="BM4" t="s">
        <v>285</v>
      </c>
      <c r="BN4" t="s">
        <v>11</v>
      </c>
      <c r="BO4" t="s">
        <v>11</v>
      </c>
      <c r="BP4" t="s">
        <v>11</v>
      </c>
      <c r="BQ4">
        <v>8.6999999999999993</v>
      </c>
      <c r="BR4">
        <v>11.1</v>
      </c>
      <c r="BS4">
        <v>10.26</v>
      </c>
      <c r="BT4" t="s">
        <v>288</v>
      </c>
      <c r="BU4" t="s">
        <v>84</v>
      </c>
      <c r="BV4" t="s">
        <v>11</v>
      </c>
      <c r="BW4" t="s">
        <v>11</v>
      </c>
      <c r="BX4" t="s">
        <v>11</v>
      </c>
      <c r="BY4">
        <v>5.69</v>
      </c>
      <c r="BZ4">
        <v>5.53</v>
      </c>
      <c r="CA4">
        <v>5.12</v>
      </c>
      <c r="CB4">
        <v>0.39</v>
      </c>
      <c r="CC4" s="1">
        <v>-5.83</v>
      </c>
      <c r="CD4" s="1" t="s">
        <v>289</v>
      </c>
      <c r="CE4" s="1" t="s">
        <v>290</v>
      </c>
      <c r="CF4" s="9">
        <v>79.404403244495938</v>
      </c>
      <c r="CG4" s="10">
        <v>20.442583732057415</v>
      </c>
      <c r="CH4" s="9">
        <v>-0.98667943477630615</v>
      </c>
      <c r="CI4" s="9">
        <v>-0.11386823654174805</v>
      </c>
      <c r="CJ4" s="9">
        <v>2.3976549506187439E-2</v>
      </c>
      <c r="CK4" s="9">
        <v>5.0729513168334961E-2</v>
      </c>
      <c r="CL4" s="9">
        <v>0.10265205055475235</v>
      </c>
      <c r="CM4" s="10">
        <v>-0.93965071439743042</v>
      </c>
      <c r="CN4" s="10">
        <v>0.17242810130119324</v>
      </c>
      <c r="CO4" s="10">
        <v>7.8180357813835144E-2</v>
      </c>
      <c r="CP4" s="10">
        <v>-0.10410250723361969</v>
      </c>
      <c r="CQ4" s="10">
        <v>0.66550177335739136</v>
      </c>
      <c r="CR4" s="1">
        <v>13.132820655191559</v>
      </c>
      <c r="CS4" s="1">
        <v>0.71127432823111647</v>
      </c>
      <c r="CT4" s="1">
        <v>3.0174081237911028</v>
      </c>
      <c r="CU4" s="9">
        <v>-0.18463791161775589</v>
      </c>
      <c r="CV4" s="10">
        <v>-2.5528597831726074E-2</v>
      </c>
      <c r="CW4">
        <v>0.06</v>
      </c>
      <c r="CX4">
        <v>729.68584585238409</v>
      </c>
      <c r="CY4" t="s">
        <v>291</v>
      </c>
      <c r="CZ4">
        <v>-0.18463791161775589</v>
      </c>
      <c r="DA4">
        <v>243.22861528412801</v>
      </c>
      <c r="DB4" t="s">
        <v>292</v>
      </c>
      <c r="DC4">
        <v>-0.17540601603686809</v>
      </c>
      <c r="DD4">
        <v>121.61430764206401</v>
      </c>
      <c r="DE4" t="s">
        <v>293</v>
      </c>
      <c r="DF4">
        <v>-0.16248136222362519</v>
      </c>
      <c r="DG4">
        <v>72.968584585238403</v>
      </c>
      <c r="DH4" t="s">
        <v>294</v>
      </c>
      <c r="DI4">
        <v>-0.14771032929420472</v>
      </c>
      <c r="DJ4">
        <v>36.484292292619202</v>
      </c>
      <c r="DK4" t="s">
        <v>295</v>
      </c>
      <c r="DL4">
        <v>-0.12924653813242912</v>
      </c>
      <c r="DM4">
        <v>1531000000</v>
      </c>
      <c r="DN4">
        <v>-0.18463791161775589</v>
      </c>
      <c r="DO4">
        <v>1117149030000</v>
      </c>
      <c r="DP4">
        <v>0</v>
      </c>
      <c r="DQ4" s="11">
        <v>3710</v>
      </c>
      <c r="DR4">
        <v>79.589041156113694</v>
      </c>
      <c r="DS4">
        <v>20.468112329889141</v>
      </c>
      <c r="DT4">
        <v>-0.77333333333333332</v>
      </c>
      <c r="DU4">
        <v>1.666666666666668E-2</v>
      </c>
      <c r="DV4">
        <v>-0.7566666666666666</v>
      </c>
      <c r="DW4">
        <v>-1.0583</v>
      </c>
      <c r="DX4">
        <v>0.4283789954337911</v>
      </c>
      <c r="DY4">
        <v>-1.00981649543379</v>
      </c>
      <c r="DZ4">
        <v>3185</v>
      </c>
      <c r="EA4">
        <v>-1.003697994855195</v>
      </c>
      <c r="EB4" s="12">
        <v>1</v>
      </c>
      <c r="EC4" s="12">
        <v>6.6705874646184691E-3</v>
      </c>
      <c r="ED4">
        <v>3.9616505891564603E-2</v>
      </c>
      <c r="EE4">
        <v>1.0759000000000001</v>
      </c>
      <c r="EF4">
        <v>1.0704</v>
      </c>
      <c r="EG4">
        <v>26.168378995433791</v>
      </c>
      <c r="EH4" s="8" t="s">
        <v>212</v>
      </c>
      <c r="EI4" s="13">
        <v>0</v>
      </c>
      <c r="EJ4" s="13">
        <v>0</v>
      </c>
      <c r="EK4" s="13">
        <v>45470</v>
      </c>
      <c r="EL4" s="13">
        <v>0.39</v>
      </c>
      <c r="EM4" s="13">
        <v>0.31</v>
      </c>
      <c r="EN4">
        <v>-0.6</v>
      </c>
      <c r="EO4">
        <v>0.24</v>
      </c>
      <c r="EP4">
        <v>-0.55000000000000004</v>
      </c>
    </row>
    <row r="5" spans="1:146" ht="156" x14ac:dyDescent="0.25">
      <c r="A5" t="s">
        <v>210</v>
      </c>
      <c r="C5" s="6" t="str">
        <f>"公司是一家全国大型的寿险公司,公司主要从事于人寿保险业务,业务按客户分为个体寿险及团体保险,且公司销售六大类寿险产品:传统型寿险、分红型寿险、万能寿险、投资连结型保险、健康险及意外险."&amp;CHAR(10)&amp;Basic_Fundamental_Information_Constructure(F5)&amp;CHAR(10)&amp;Basic_Fundamental_Information_Concatenate("保险业务收入 1025.86亿 81.01%
投资收益 235.29亿 18.58%")</f>
        <v>公司是一家全国大型的寿险公司,公司主要从事于人寿保险业务,业务按客户分为个体寿险及团体保险,且公司销售六大类寿险产品:传统型寿险、分红型寿险、万能寿险、投资连结型保险、健康险及意外险.
市值934.61616亿, 利润5.04亿; PE13.87; 平均PE7.61; 平均PEG.36, PB.994; ROIC0%; ROE10.68%; 股利率2.8371%; 毛利0%; 净利7.8267%; 上一年度营收增-93.6%, 利润增-97.66%; 当季营收增1681.9%, 利润增5774.85%; 过往5年营收增-21.16%, 利润增6.54%
Income profile:
保险业务收入 1025.86亿 81.01%
投资收益 235.29亿 18.58%</v>
      </c>
      <c r="D5" t="s">
        <v>215</v>
      </c>
      <c r="E5" t="s">
        <v>193</v>
      </c>
      <c r="F5">
        <v>29.96</v>
      </c>
      <c r="G5">
        <v>-3.26</v>
      </c>
      <c r="H5" t="s">
        <v>296</v>
      </c>
      <c r="I5">
        <v>93461616000</v>
      </c>
      <c r="J5">
        <v>13.87</v>
      </c>
      <c r="K5">
        <v>0.99399999999999999</v>
      </c>
      <c r="L5" t="s">
        <v>84</v>
      </c>
      <c r="M5" t="s">
        <v>297</v>
      </c>
      <c r="N5" t="s">
        <v>298</v>
      </c>
      <c r="O5" t="s">
        <v>299</v>
      </c>
      <c r="P5" s="5">
        <v>-8.7100000000000009</v>
      </c>
      <c r="Q5" t="s">
        <v>300</v>
      </c>
      <c r="R5">
        <v>4942000000</v>
      </c>
      <c r="S5">
        <v>-0.28549999999999998</v>
      </c>
      <c r="T5" t="s">
        <v>90</v>
      </c>
      <c r="U5">
        <v>2085439300</v>
      </c>
      <c r="V5">
        <v>3119546600</v>
      </c>
      <c r="W5">
        <v>15.2</v>
      </c>
      <c r="X5">
        <v>0.02</v>
      </c>
      <c r="Y5">
        <v>18.670000000000002</v>
      </c>
      <c r="Z5" t="s">
        <v>11</v>
      </c>
      <c r="AA5" t="s">
        <v>11</v>
      </c>
      <c r="AB5" t="s">
        <v>11</v>
      </c>
      <c r="AC5" t="s">
        <v>11</v>
      </c>
      <c r="AD5" t="s">
        <v>11</v>
      </c>
      <c r="AE5">
        <v>0</v>
      </c>
      <c r="AF5" t="s">
        <v>301</v>
      </c>
      <c r="AG5" t="s">
        <v>302</v>
      </c>
      <c r="AH5" t="s">
        <v>303</v>
      </c>
      <c r="AI5" t="s">
        <v>304</v>
      </c>
      <c r="AJ5" t="s">
        <v>23</v>
      </c>
      <c r="AK5" t="s">
        <v>11</v>
      </c>
      <c r="AL5" t="s">
        <v>23</v>
      </c>
      <c r="AM5" t="s">
        <v>305</v>
      </c>
      <c r="AN5" t="s">
        <v>306</v>
      </c>
      <c r="AO5" t="s">
        <v>11</v>
      </c>
      <c r="AP5" t="s">
        <v>11</v>
      </c>
      <c r="AQ5" t="s">
        <v>11</v>
      </c>
      <c r="AR5" t="s">
        <v>11</v>
      </c>
      <c r="AS5" t="s">
        <v>11</v>
      </c>
      <c r="AT5" t="s">
        <v>11</v>
      </c>
      <c r="AU5" t="s">
        <v>307</v>
      </c>
      <c r="AV5" t="s">
        <v>308</v>
      </c>
      <c r="AW5" t="s">
        <v>309</v>
      </c>
      <c r="AX5" t="s">
        <v>310</v>
      </c>
      <c r="AY5" t="s">
        <v>194</v>
      </c>
      <c r="AZ5" t="s">
        <v>196</v>
      </c>
      <c r="BA5" t="s">
        <v>197</v>
      </c>
      <c r="BB5" t="s">
        <v>198</v>
      </c>
      <c r="BC5" t="s">
        <v>311</v>
      </c>
      <c r="BD5" t="s">
        <v>195</v>
      </c>
      <c r="BE5" t="s">
        <v>199</v>
      </c>
      <c r="BF5" t="s">
        <v>200</v>
      </c>
      <c r="BG5" t="s">
        <v>201</v>
      </c>
      <c r="BH5" t="s">
        <v>312</v>
      </c>
      <c r="BI5" t="s">
        <v>39</v>
      </c>
      <c r="BJ5" t="s">
        <v>310</v>
      </c>
      <c r="BK5" t="s">
        <v>313</v>
      </c>
      <c r="BL5" t="s">
        <v>314</v>
      </c>
      <c r="BM5" t="s">
        <v>311</v>
      </c>
      <c r="BN5" t="s">
        <v>11</v>
      </c>
      <c r="BO5" t="s">
        <v>11</v>
      </c>
      <c r="BP5" t="s">
        <v>11</v>
      </c>
      <c r="BQ5">
        <v>8.5299999999999994</v>
      </c>
      <c r="BR5">
        <v>9.2899999999999991</v>
      </c>
      <c r="BS5">
        <v>14.22</v>
      </c>
      <c r="BT5" t="s">
        <v>315</v>
      </c>
      <c r="BU5" t="s">
        <v>84</v>
      </c>
      <c r="BV5" t="s">
        <v>11</v>
      </c>
      <c r="BW5" t="s">
        <v>11</v>
      </c>
      <c r="BX5" t="s">
        <v>11</v>
      </c>
      <c r="BY5">
        <v>12.18</v>
      </c>
      <c r="BZ5">
        <v>4.58</v>
      </c>
      <c r="CA5">
        <v>6.72</v>
      </c>
      <c r="CB5">
        <v>-0.23</v>
      </c>
      <c r="CC5" s="1">
        <v>-13.36</v>
      </c>
      <c r="CD5" s="1" t="s">
        <v>316</v>
      </c>
      <c r="CE5" s="1" t="s">
        <v>289</v>
      </c>
      <c r="CF5" s="9">
        <v>16.818977119784659</v>
      </c>
      <c r="CG5" s="10">
        <v>57.748497705099673</v>
      </c>
      <c r="CH5" s="9">
        <v>-0.93600994348526001</v>
      </c>
      <c r="CI5" s="9">
        <v>-0.51412898302078247</v>
      </c>
      <c r="CJ5" s="9">
        <v>7.6702594757080078E-2</v>
      </c>
      <c r="CK5" s="9">
        <v>0.18315136432647705</v>
      </c>
      <c r="CL5" s="9">
        <v>0.13231752812862396</v>
      </c>
      <c r="CM5" s="10">
        <v>-0.97655808925628662</v>
      </c>
      <c r="CN5" s="10">
        <v>0.43841573596000671</v>
      </c>
      <c r="CO5" s="10">
        <v>4.568355530500412E-2</v>
      </c>
      <c r="CP5" s="10">
        <v>-1.8201796337962151E-2</v>
      </c>
      <c r="CQ5" s="10">
        <v>0.83779346942901611</v>
      </c>
      <c r="CR5" s="1">
        <v>7.6061321107885957</v>
      </c>
      <c r="CS5" s="1">
        <v>0.3594691021807484</v>
      </c>
      <c r="CT5" s="1">
        <v>2.837116154873164</v>
      </c>
      <c r="CU5" s="9">
        <v>-0.21159348785877227</v>
      </c>
      <c r="CV5" s="10">
        <v>6.5426575019955635E-2</v>
      </c>
      <c r="CW5">
        <v>0.06</v>
      </c>
      <c r="CX5">
        <v>2574.6004285714284</v>
      </c>
      <c r="CY5" t="s">
        <v>317</v>
      </c>
      <c r="CZ5">
        <v>-0.21159348785877227</v>
      </c>
      <c r="DA5">
        <v>858.20014285714285</v>
      </c>
      <c r="DB5" t="s">
        <v>318</v>
      </c>
      <c r="DC5">
        <v>-0.20101381346583366</v>
      </c>
      <c r="DD5">
        <v>429.10007142857143</v>
      </c>
      <c r="DE5" t="s">
        <v>319</v>
      </c>
      <c r="DF5">
        <v>-0.18620226931571959</v>
      </c>
      <c r="DG5">
        <v>257.46004285714287</v>
      </c>
      <c r="DH5" t="s">
        <v>320</v>
      </c>
      <c r="DI5">
        <v>-0.16927479028701783</v>
      </c>
      <c r="DJ5">
        <v>128.73002142857143</v>
      </c>
      <c r="DK5" t="s">
        <v>321</v>
      </c>
      <c r="DL5">
        <v>-0.14811544150114059</v>
      </c>
      <c r="DM5">
        <v>504000000</v>
      </c>
      <c r="DN5">
        <v>-0.21159348785877227</v>
      </c>
      <c r="DO5">
        <v>1297598616000</v>
      </c>
      <c r="DP5">
        <v>0</v>
      </c>
      <c r="DQ5" s="11">
        <v>3715</v>
      </c>
      <c r="DR5">
        <v>17.03057060764343</v>
      </c>
      <c r="DS5">
        <v>57.683071130079718</v>
      </c>
      <c r="DT5">
        <v>-0.80666666666666664</v>
      </c>
      <c r="DU5">
        <v>1.666666666666668E-2</v>
      </c>
      <c r="DV5">
        <v>-0.78999999999999992</v>
      </c>
      <c r="DW5">
        <v>-2.1335999999999999</v>
      </c>
      <c r="DX5">
        <v>0.48131593220338931</v>
      </c>
      <c r="DY5">
        <v>-2.0268958085423727</v>
      </c>
      <c r="DZ5">
        <v>4044</v>
      </c>
      <c r="EA5">
        <v>-2.0056107498837905</v>
      </c>
      <c r="EB5" s="12">
        <v>2</v>
      </c>
      <c r="EC5" s="12">
        <v>1.9037446018597703E-2</v>
      </c>
      <c r="ED5">
        <v>9.4565024289106625E-2</v>
      </c>
      <c r="EE5">
        <v>5.11761</v>
      </c>
      <c r="EF5">
        <v>5.1271100000000001</v>
      </c>
      <c r="EG5">
        <v>28.201315932203389</v>
      </c>
      <c r="EH5" s="8" t="s">
        <v>322</v>
      </c>
      <c r="EI5" s="13">
        <v>0</v>
      </c>
      <c r="EJ5" s="13">
        <v>0</v>
      </c>
      <c r="EK5" s="13">
        <v>45470</v>
      </c>
      <c r="EL5" s="13">
        <v>0.31</v>
      </c>
      <c r="EM5" s="13">
        <v>-0.93</v>
      </c>
      <c r="EN5">
        <v>-0.63</v>
      </c>
      <c r="EO5">
        <v>0</v>
      </c>
      <c r="EP5">
        <v>-0.95</v>
      </c>
    </row>
    <row r="6" spans="1:146" ht="96" x14ac:dyDescent="0.25">
      <c r="C6" s="6" t="str">
        <f>""&amp;CHAR(10)&amp;Basic_Fundamental_Information_Constructure(F6)&amp;CHAR(10)&amp;Basic_Fundamental_Information_Concatenate("")</f>
        <v xml:space="preserve">
市值2687.9234亿, 利润2674.35万; PE9.81; 平均PE11.98; 平均PEG.59, PB1.04; ROIC0%; ROE10.9667%; 股利率3.6507%; 毛利0%; 净利6.81%; 上一年度营收增-99.51%, 利润增-99.93%; 当季营收增44492.52%, 利润增40655.27%; 过往5年营收增-20.29%, 利润增-1.78%
Income profile:
</v>
      </c>
      <c r="D6" t="s">
        <v>10</v>
      </c>
      <c r="E6" t="s">
        <v>5</v>
      </c>
      <c r="F6">
        <v>27.94</v>
      </c>
      <c r="G6">
        <v>-2.34</v>
      </c>
      <c r="H6" t="s">
        <v>323</v>
      </c>
      <c r="I6">
        <v>268792340000</v>
      </c>
      <c r="J6">
        <v>9.81</v>
      </c>
      <c r="K6">
        <v>1.04</v>
      </c>
      <c r="L6" t="s">
        <v>84</v>
      </c>
      <c r="M6" t="s">
        <v>324</v>
      </c>
      <c r="N6" t="s">
        <v>325</v>
      </c>
      <c r="O6" t="s">
        <v>326</v>
      </c>
      <c r="P6" s="5">
        <v>1.1000000000000001</v>
      </c>
      <c r="Q6" t="s">
        <v>327</v>
      </c>
      <c r="R6">
        <v>11759000000</v>
      </c>
      <c r="S6">
        <v>1.14E-2</v>
      </c>
      <c r="T6" t="s">
        <v>328</v>
      </c>
      <c r="U6">
        <v>6845041500</v>
      </c>
      <c r="V6">
        <v>9620341500</v>
      </c>
      <c r="W6">
        <v>8.84</v>
      </c>
      <c r="X6">
        <v>0.04</v>
      </c>
      <c r="Y6">
        <v>12.67</v>
      </c>
      <c r="Z6" t="s">
        <v>11</v>
      </c>
      <c r="AA6" t="s">
        <v>11</v>
      </c>
      <c r="AB6" t="s">
        <v>11</v>
      </c>
      <c r="AC6" t="s">
        <v>11</v>
      </c>
      <c r="AD6" t="s">
        <v>11</v>
      </c>
      <c r="AE6">
        <v>0</v>
      </c>
      <c r="AF6" t="s">
        <v>329</v>
      </c>
      <c r="AG6" t="s">
        <v>330</v>
      </c>
      <c r="AH6" t="s">
        <v>331</v>
      </c>
      <c r="AI6" t="s">
        <v>332</v>
      </c>
      <c r="AJ6" t="s">
        <v>23</v>
      </c>
      <c r="AK6" t="s">
        <v>11</v>
      </c>
      <c r="AL6" t="s">
        <v>23</v>
      </c>
      <c r="AM6" t="s">
        <v>333</v>
      </c>
      <c r="AN6" t="s">
        <v>334</v>
      </c>
      <c r="AO6" t="s">
        <v>11</v>
      </c>
      <c r="AP6" t="s">
        <v>11</v>
      </c>
      <c r="AQ6" t="s">
        <v>11</v>
      </c>
      <c r="AR6" t="s">
        <v>11</v>
      </c>
      <c r="AS6" t="s">
        <v>11</v>
      </c>
      <c r="AT6" t="s">
        <v>11</v>
      </c>
      <c r="AU6" t="s">
        <v>335</v>
      </c>
      <c r="AV6" t="s">
        <v>336</v>
      </c>
      <c r="AW6" t="s">
        <v>337</v>
      </c>
      <c r="AX6" t="s">
        <v>338</v>
      </c>
      <c r="AY6" t="s">
        <v>91</v>
      </c>
      <c r="AZ6" t="s">
        <v>41</v>
      </c>
      <c r="BA6" t="s">
        <v>24</v>
      </c>
      <c r="BB6" t="s">
        <v>43</v>
      </c>
      <c r="BC6" t="s">
        <v>339</v>
      </c>
      <c r="BD6" t="s">
        <v>92</v>
      </c>
      <c r="BE6" t="s">
        <v>42</v>
      </c>
      <c r="BF6" t="s">
        <v>25</v>
      </c>
      <c r="BG6" t="s">
        <v>44</v>
      </c>
      <c r="BH6" t="s">
        <v>340</v>
      </c>
      <c r="BI6" t="s">
        <v>341</v>
      </c>
      <c r="BJ6" t="s">
        <v>338</v>
      </c>
      <c r="BK6" t="s">
        <v>342</v>
      </c>
      <c r="BL6" t="s">
        <v>343</v>
      </c>
      <c r="BM6" t="s">
        <v>339</v>
      </c>
      <c r="BN6" t="s">
        <v>11</v>
      </c>
      <c r="BO6" t="s">
        <v>11</v>
      </c>
      <c r="BP6" t="s">
        <v>11</v>
      </c>
      <c r="BQ6">
        <v>9.9</v>
      </c>
      <c r="BR6">
        <v>10.8</v>
      </c>
      <c r="BS6">
        <v>12.2</v>
      </c>
      <c r="BT6" t="s">
        <v>216</v>
      </c>
      <c r="BU6" t="s">
        <v>84</v>
      </c>
      <c r="BV6" t="s">
        <v>11</v>
      </c>
      <c r="BW6" t="s">
        <v>11</v>
      </c>
      <c r="BX6" t="s">
        <v>11</v>
      </c>
      <c r="BY6">
        <v>8.6199999999999992</v>
      </c>
      <c r="BZ6">
        <v>5.54</v>
      </c>
      <c r="CA6">
        <v>6.27</v>
      </c>
      <c r="CB6">
        <v>0.28999999999999998</v>
      </c>
      <c r="CC6" s="1">
        <v>-5.83</v>
      </c>
      <c r="CD6" s="1" t="s">
        <v>344</v>
      </c>
      <c r="CE6" s="1" t="s">
        <v>345</v>
      </c>
      <c r="CF6" s="9">
        <v>444.92523364485982</v>
      </c>
      <c r="CG6" s="10">
        <v>406.55268149680978</v>
      </c>
      <c r="CH6" s="9">
        <v>-0.99513757228851318</v>
      </c>
      <c r="CI6" s="9">
        <v>-0.24623790383338928</v>
      </c>
      <c r="CJ6" s="9">
        <v>4.3727587908506393E-2</v>
      </c>
      <c r="CK6" s="9">
        <v>9.5185548067092896E-2</v>
      </c>
      <c r="CL6" s="9">
        <v>8.7836466729640961E-2</v>
      </c>
      <c r="CM6" s="10">
        <v>-0.99928456544876099</v>
      </c>
      <c r="CN6" s="10">
        <v>0.39304620027542114</v>
      </c>
      <c r="CO6" s="10">
        <v>9.1522961854934692E-2</v>
      </c>
      <c r="CP6" s="10">
        <v>-0.11380268633365631</v>
      </c>
      <c r="CQ6" s="10">
        <v>0.53954154253005981</v>
      </c>
      <c r="CR6" s="1">
        <v>11.983097154714608</v>
      </c>
      <c r="CS6" s="1">
        <v>0.59051801598369436</v>
      </c>
      <c r="CT6" s="1">
        <v>3.6506800286327841</v>
      </c>
      <c r="CU6" s="9">
        <v>-0.20292517468333243</v>
      </c>
      <c r="CV6" s="10">
        <v>-1.779530942440033E-2</v>
      </c>
      <c r="CW6">
        <v>0.06</v>
      </c>
      <c r="CX6">
        <v>77356.342288780448</v>
      </c>
      <c r="CY6" t="s">
        <v>346</v>
      </c>
      <c r="CZ6">
        <v>-0.20292517468333243</v>
      </c>
      <c r="DA6">
        <v>25785.447429593485</v>
      </c>
      <c r="DB6" t="s">
        <v>347</v>
      </c>
      <c r="DC6">
        <v>-0.1927789159491658</v>
      </c>
      <c r="DD6">
        <v>12892.723714796743</v>
      </c>
      <c r="DE6" t="s">
        <v>348</v>
      </c>
      <c r="DF6">
        <v>-0.17857415372133253</v>
      </c>
      <c r="DG6">
        <v>7735.6342288780452</v>
      </c>
      <c r="DH6" t="s">
        <v>349</v>
      </c>
      <c r="DI6">
        <v>-0.16234013974666595</v>
      </c>
      <c r="DJ6">
        <v>3867.8171144390226</v>
      </c>
      <c r="DK6" t="s">
        <v>350</v>
      </c>
      <c r="DL6">
        <v>-0.1420476222783327</v>
      </c>
      <c r="DM6">
        <v>26743500</v>
      </c>
      <c r="DN6">
        <v>-0.20292517468333243</v>
      </c>
      <c r="DO6">
        <v>2068779340000</v>
      </c>
      <c r="DP6">
        <v>0</v>
      </c>
      <c r="DQ6" s="11">
        <v>3745</v>
      </c>
      <c r="DR6">
        <v>445.12815881954316</v>
      </c>
      <c r="DS6">
        <v>406.57047680623418</v>
      </c>
      <c r="DT6">
        <v>-0.92333333333333334</v>
      </c>
      <c r="DU6">
        <v>-8.3333333333333329E-2</v>
      </c>
      <c r="DV6">
        <v>-1.0066666666666666</v>
      </c>
      <c r="DW6">
        <v>-1.0583</v>
      </c>
      <c r="DX6">
        <v>0.44683001531393729</v>
      </c>
      <c r="DY6">
        <v>-1.0108921898928025</v>
      </c>
      <c r="DZ6">
        <v>734</v>
      </c>
      <c r="EA6">
        <v>-1.0093276365892179</v>
      </c>
      <c r="EB6" s="12">
        <v>1</v>
      </c>
      <c r="EC6" s="12">
        <v>1.2681462503176212E-2</v>
      </c>
      <c r="ED6">
        <v>6.7877008316180876E-2</v>
      </c>
      <c r="EE6">
        <v>1.0466</v>
      </c>
      <c r="EF6">
        <v>1.0201</v>
      </c>
      <c r="EG6">
        <v>26.186830015313937</v>
      </c>
      <c r="EH6" s="8" t="s">
        <v>212</v>
      </c>
      <c r="EI6" s="13">
        <v>0</v>
      </c>
      <c r="EJ6" s="13">
        <v>1</v>
      </c>
      <c r="EK6" s="13">
        <v>45470</v>
      </c>
      <c r="EL6" s="13">
        <v>-0.79</v>
      </c>
      <c r="EM6" s="13">
        <v>-2.2400000000000002</v>
      </c>
      <c r="EN6">
        <v>1.89</v>
      </c>
      <c r="EO6">
        <v>0</v>
      </c>
      <c r="EP6">
        <v>-2.65</v>
      </c>
    </row>
    <row r="7" spans="1:146" ht="180" x14ac:dyDescent="0.25">
      <c r="C7" s="6" t="str">
        <f>"公司的主营业务为提供个人人寿保险、团体人寿保险、意外险和健康险等产品与服务。公司的主要产品为个人人寿保险、团体人寿保险、意外险、健康险。"&amp;CHAR(10)&amp;Basic_Fundamental_Information_Constructure(F7)&amp;CHAR(10)&amp;Basic_Fundamental_Information_Concatenate("寿险业务 4455.90亿 84.34% 37.31% 2.10%
健康险业务 622.67亿 11.79% 24.38% 9.84%
其他业务 142.08亿 2.69% 30.58% 54.09%
意外险业务 78.37亿 1.48% 7.72% 24.74%")</f>
        <v>公司的主营业务为提供个人人寿保险、团体人寿保险、意外险和健康险等产品与服务。公司的主要产品为个人人寿保险、团体人寿保险、意外险、健康险。
市值8473.7586亿, 利润70.22亿; PE44.64; 平均PE24.23; 平均PEG2.32, PB1.76; ROIC0%; ROE7.2167%; 股利率1.4343%; 毛利0%; 净利4.29%; 上一年度营收增-79.03%, 利润增-78.11%; 当季营收增316.58%, 利润增11764.37%; 过往5年营收增-10.43%, 利润增56.77%
Income profile:
寿险业务 4455.90亿 84.34% 37.31% 2.10%
健康险业务 622.67亿 11.79% 24.38% 9.84%
其他业务 142.08亿 2.69% 30.58% 54.09%
意外险业务 78.37亿 1.48% 7.72% 24.74%</v>
      </c>
      <c r="D7" t="s">
        <v>202</v>
      </c>
      <c r="E7" t="s">
        <v>203</v>
      </c>
      <c r="F7">
        <v>29.98</v>
      </c>
      <c r="G7">
        <v>-2.41</v>
      </c>
      <c r="H7" t="s">
        <v>351</v>
      </c>
      <c r="I7">
        <v>847375860000</v>
      </c>
      <c r="J7">
        <v>44.64</v>
      </c>
      <c r="K7">
        <v>1.76</v>
      </c>
      <c r="L7" t="s">
        <v>84</v>
      </c>
      <c r="M7" t="s">
        <v>352</v>
      </c>
      <c r="N7" t="s">
        <v>353</v>
      </c>
      <c r="O7" t="s">
        <v>354</v>
      </c>
      <c r="P7" s="5">
        <v>14.43</v>
      </c>
      <c r="Q7" t="s">
        <v>355</v>
      </c>
      <c r="R7">
        <v>20644000000</v>
      </c>
      <c r="S7">
        <v>-9.3399999999999997E-2</v>
      </c>
      <c r="T7" t="s">
        <v>356</v>
      </c>
      <c r="U7">
        <v>20823530000</v>
      </c>
      <c r="V7">
        <v>28264705000</v>
      </c>
      <c r="W7">
        <v>12.37</v>
      </c>
      <c r="X7">
        <v>0.02</v>
      </c>
      <c r="Y7">
        <v>17.38</v>
      </c>
      <c r="Z7" t="s">
        <v>11</v>
      </c>
      <c r="AA7" t="s">
        <v>11</v>
      </c>
      <c r="AB7" t="s">
        <v>11</v>
      </c>
      <c r="AC7" t="s">
        <v>11</v>
      </c>
      <c r="AD7" t="s">
        <v>11</v>
      </c>
      <c r="AE7">
        <v>0</v>
      </c>
      <c r="AF7" t="s">
        <v>357</v>
      </c>
      <c r="AG7" t="s">
        <v>358</v>
      </c>
      <c r="AH7" t="s">
        <v>359</v>
      </c>
      <c r="AI7" t="s">
        <v>360</v>
      </c>
      <c r="AJ7" t="s">
        <v>23</v>
      </c>
      <c r="AK7" t="s">
        <v>11</v>
      </c>
      <c r="AL7" t="s">
        <v>23</v>
      </c>
      <c r="AM7" t="s">
        <v>361</v>
      </c>
      <c r="AN7" t="s">
        <v>362</v>
      </c>
      <c r="AO7" t="s">
        <v>11</v>
      </c>
      <c r="AP7" t="s">
        <v>11</v>
      </c>
      <c r="AQ7" t="s">
        <v>11</v>
      </c>
      <c r="AR7" t="s">
        <v>11</v>
      </c>
      <c r="AS7" t="s">
        <v>11</v>
      </c>
      <c r="AT7" t="s">
        <v>363</v>
      </c>
      <c r="AU7" t="s">
        <v>364</v>
      </c>
      <c r="AV7" t="s">
        <v>365</v>
      </c>
      <c r="AW7" t="s">
        <v>366</v>
      </c>
      <c r="AX7" t="s">
        <v>217</v>
      </c>
      <c r="AY7" t="s">
        <v>219</v>
      </c>
      <c r="AZ7" t="s">
        <v>204</v>
      </c>
      <c r="BA7" t="s">
        <v>205</v>
      </c>
      <c r="BB7" t="s">
        <v>206</v>
      </c>
      <c r="BC7" t="s">
        <v>218</v>
      </c>
      <c r="BD7" t="s">
        <v>220</v>
      </c>
      <c r="BE7" t="s">
        <v>207</v>
      </c>
      <c r="BF7" t="s">
        <v>208</v>
      </c>
      <c r="BG7" t="s">
        <v>209</v>
      </c>
      <c r="BH7" t="s">
        <v>367</v>
      </c>
      <c r="BI7" t="s">
        <v>368</v>
      </c>
      <c r="BJ7" t="s">
        <v>217</v>
      </c>
      <c r="BK7" t="s">
        <v>369</v>
      </c>
      <c r="BL7" t="s">
        <v>211</v>
      </c>
      <c r="BM7" t="s">
        <v>218</v>
      </c>
      <c r="BN7" t="s">
        <v>11</v>
      </c>
      <c r="BO7" t="s">
        <v>11</v>
      </c>
      <c r="BP7" t="s">
        <v>11</v>
      </c>
      <c r="BQ7">
        <v>3.67</v>
      </c>
      <c r="BR7">
        <v>7.01</v>
      </c>
      <c r="BS7">
        <v>10.97</v>
      </c>
      <c r="BT7" t="s">
        <v>370</v>
      </c>
      <c r="BU7" t="s">
        <v>84</v>
      </c>
      <c r="BV7" t="s">
        <v>11</v>
      </c>
      <c r="BW7" t="s">
        <v>11</v>
      </c>
      <c r="BX7" t="s">
        <v>11</v>
      </c>
      <c r="BY7">
        <v>2.7</v>
      </c>
      <c r="BZ7">
        <v>4.0599999999999996</v>
      </c>
      <c r="CA7">
        <v>6.11</v>
      </c>
      <c r="CB7">
        <v>-3.45</v>
      </c>
      <c r="CC7" s="1">
        <v>-8.43</v>
      </c>
      <c r="CD7" s="1" t="s">
        <v>371</v>
      </c>
      <c r="CE7" s="1" t="s">
        <v>372</v>
      </c>
      <c r="CF7" s="9">
        <v>3.1657770584386515</v>
      </c>
      <c r="CG7" s="10">
        <v>117.64367816091954</v>
      </c>
      <c r="CH7" s="9">
        <v>-0.79031425714492798</v>
      </c>
      <c r="CI7" s="9">
        <v>-3.7801593542098999E-2</v>
      </c>
      <c r="CJ7" s="9">
        <v>4.055389016866684E-2</v>
      </c>
      <c r="CK7" s="9">
        <v>0.10720308870077133</v>
      </c>
      <c r="CL7" s="9">
        <v>0.15870600938796997</v>
      </c>
      <c r="CM7" s="10">
        <v>-0.78112334012985229</v>
      </c>
      <c r="CN7" s="10">
        <v>-0.36804160475730896</v>
      </c>
      <c r="CO7" s="10">
        <v>1.0127977468073368E-2</v>
      </c>
      <c r="CP7" s="10">
        <v>-0.13776661455631256</v>
      </c>
      <c r="CQ7" s="10">
        <v>4.115138053894043</v>
      </c>
      <c r="CR7" s="1">
        <v>24.23277914674776</v>
      </c>
      <c r="CS7" s="1">
        <v>2.3226920517489957</v>
      </c>
      <c r="CT7" s="1">
        <v>1.4342895263509006</v>
      </c>
      <c r="CU7" s="9">
        <v>-0.10433057248592377</v>
      </c>
      <c r="CV7" s="10">
        <v>0.56766689438372853</v>
      </c>
      <c r="CW7">
        <v>0.06</v>
      </c>
      <c r="CX7">
        <v>807.83806038165767</v>
      </c>
      <c r="CY7" t="s">
        <v>373</v>
      </c>
      <c r="CZ7">
        <v>-0.10433057248592377</v>
      </c>
      <c r="DA7">
        <v>269.27935346055256</v>
      </c>
      <c r="DB7" t="s">
        <v>374</v>
      </c>
      <c r="DC7">
        <v>-9.9114043861627574E-2</v>
      </c>
      <c r="DD7">
        <v>134.63967673027628</v>
      </c>
      <c r="DE7" t="s">
        <v>375</v>
      </c>
      <c r="DF7">
        <v>-9.1810903787612919E-2</v>
      </c>
      <c r="DG7">
        <v>80.783806038165764</v>
      </c>
      <c r="DH7" t="s">
        <v>376</v>
      </c>
      <c r="DI7">
        <v>-8.3464457988739027E-2</v>
      </c>
      <c r="DJ7">
        <v>40.391903019082882</v>
      </c>
      <c r="DK7" t="s">
        <v>377</v>
      </c>
      <c r="DL7">
        <v>-7.3031400740146635E-2</v>
      </c>
      <c r="DM7">
        <v>7022000000</v>
      </c>
      <c r="DN7">
        <v>-0.10433057248592377</v>
      </c>
      <c r="DO7">
        <v>5672638860000</v>
      </c>
      <c r="DP7">
        <v>0</v>
      </c>
      <c r="DQ7" s="11">
        <v>3755</v>
      </c>
      <c r="DR7">
        <v>3.2701076309245751</v>
      </c>
      <c r="DS7">
        <v>117.0760112665358</v>
      </c>
      <c r="DT7">
        <v>-0.67333333333333334</v>
      </c>
      <c r="DU7">
        <v>0.18833333333333327</v>
      </c>
      <c r="DV7">
        <v>-0.4850000000000001</v>
      </c>
      <c r="DW7">
        <v>-8.4092526690391463</v>
      </c>
      <c r="DX7">
        <v>0.40919534050179324</v>
      </c>
      <c r="DY7">
        <v>-8.0856137514509108</v>
      </c>
      <c r="DZ7">
        <v>1503</v>
      </c>
      <c r="EA7">
        <v>-8.0604322507795381</v>
      </c>
      <c r="EB7" s="12">
        <v>8</v>
      </c>
      <c r="EC7" s="12">
        <v>2.0649605223192671E-3</v>
      </c>
      <c r="ED7">
        <v>9.8709680500822499E-3</v>
      </c>
      <c r="EE7">
        <v>0.10430999999999999</v>
      </c>
      <c r="EF7">
        <v>0.12391000000000001</v>
      </c>
      <c r="EG7">
        <v>20.209195340501793</v>
      </c>
      <c r="EH7" s="8">
        <v>-1</v>
      </c>
      <c r="EI7" s="13">
        <v>0</v>
      </c>
      <c r="EJ7" s="13">
        <v>0</v>
      </c>
      <c r="EK7" s="13">
        <v>45470</v>
      </c>
      <c r="EL7" s="13">
        <v>-0.33</v>
      </c>
      <c r="EM7" s="13">
        <v>-1.99</v>
      </c>
      <c r="EN7">
        <v>0.68</v>
      </c>
      <c r="EO7">
        <v>2.68</v>
      </c>
      <c r="EP7">
        <v>-1.96</v>
      </c>
    </row>
  </sheetData>
  <autoFilter ref="BU1:BU9"/>
  <sortState ref="A2:D71">
    <sortCondition ref="C2:C71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保险&quot;,&quot;&quot;'" altText="更新基本面按钮_x000a_">
                <anchor moveWithCells="1" sizeWithCells="1">
                  <from>
                    <xdr:col>147</xdr:col>
                    <xdr:colOff>254000</xdr:colOff>
                    <xdr:row>0</xdr:row>
                    <xdr:rowOff>101600</xdr:rowOff>
                  </from>
                  <to>
                    <xdr:col>147</xdr:col>
                    <xdr:colOff>1301750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保险及其他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2024-07-09T13:52:16Z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