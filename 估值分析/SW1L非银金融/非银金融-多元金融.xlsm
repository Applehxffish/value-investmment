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非银金融\"/>
    </mc:Choice>
  </mc:AlternateContent>
  <bookViews>
    <workbookView xWindow="0" yWindow="0" windowWidth="3800" windowHeight="2950"/>
  </bookViews>
  <sheets>
    <sheet name="保险及其他" sheetId="7" r:id="rId1"/>
    <sheet name="估值-增速与年化收益" sheetId="14" r:id="rId2"/>
  </sheets>
  <functionGroups builtInGroupCount="18"/>
  <definedNames>
    <definedName name="_xlnm._FilterDatabase" localSheetId="0" hidden="1">保险及其他!$BU$1:$BU$32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6" i="7"/>
  <c r="C3" i="7"/>
  <c r="C25" i="7"/>
  <c r="C9" i="7"/>
  <c r="C22" i="7"/>
  <c r="C18" i="7"/>
  <c r="C20" i="7"/>
  <c r="C12" i="7"/>
  <c r="C6" i="7"/>
  <c r="C30" i="7"/>
  <c r="C7" i="7"/>
  <c r="C8" i="7"/>
  <c r="C14" i="7"/>
  <c r="C16" i="7"/>
  <c r="C15" i="7"/>
  <c r="C13" i="7"/>
  <c r="C5" i="7"/>
  <c r="C24" i="7"/>
  <c r="C17" i="7"/>
  <c r="C2" i="7"/>
  <c r="C11" i="7"/>
  <c r="C4" i="7"/>
  <c r="C27" i="7"/>
  <c r="C10" i="7"/>
  <c r="C29" i="7"/>
  <c r="C19" i="7"/>
  <c r="C28" i="7"/>
  <c r="C23" i="7"/>
  <c r="C21" i="7"/>
</calcChain>
</file>

<file path=xl/sharedStrings.xml><?xml version="1.0" encoding="utf-8"?>
<sst xmlns="http://schemas.openxmlformats.org/spreadsheetml/2006/main" count="1799" uniqueCount="1260">
  <si>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</si>
  <si>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</si>
  <si>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</si>
  <si>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</si>
  <si>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</si>
  <si>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仁东控股</t>
  </si>
  <si>
    <t>九鼎投资</t>
  </si>
  <si>
    <t>华金资本</t>
  </si>
  <si>
    <t>新力金融</t>
  </si>
  <si>
    <t>鲁信创投</t>
  </si>
  <si>
    <t>爱建集团</t>
  </si>
  <si>
    <t>陕国投Ａ</t>
  </si>
  <si>
    <t>中油资本</t>
  </si>
  <si>
    <t>浙江东方</t>
  </si>
  <si>
    <t>海德股份</t>
  </si>
  <si>
    <t>香溢融通</t>
  </si>
  <si>
    <t>五矿资本</t>
  </si>
  <si>
    <t>渤海租赁</t>
  </si>
  <si>
    <t>代码</t>
  </si>
  <si>
    <t>总市值</t>
  </si>
  <si>
    <t>TTM市盈率</t>
  </si>
  <si>
    <t>所属行业</t>
  </si>
  <si>
    <t>SH600783</t>
  </si>
  <si>
    <t>保险及其他</t>
  </si>
  <si>
    <t>SZ002647</t>
  </si>
  <si>
    <t>SZ000958</t>
  </si>
  <si>
    <t>SZ002961</t>
  </si>
  <si>
    <t>瑞达期货</t>
  </si>
  <si>
    <t>SH600830</t>
  </si>
  <si>
    <t>SZ000532</t>
  </si>
  <si>
    <t>SH600318</t>
  </si>
  <si>
    <t>SZ000563</t>
  </si>
  <si>
    <t>SZ000567</t>
  </si>
  <si>
    <t>SH600053</t>
  </si>
  <si>
    <t>SH600120</t>
  </si>
  <si>
    <t>SZ000987</t>
  </si>
  <si>
    <t>SH600705</t>
  </si>
  <si>
    <t>SZ000617</t>
  </si>
  <si>
    <t>SH600390</t>
  </si>
  <si>
    <t>SH600901</t>
  </si>
  <si>
    <t>SZ000415</t>
  </si>
  <si>
    <t>SH600643</t>
  </si>
  <si>
    <t>SZ002423</t>
  </si>
  <si>
    <t>中粮资本</t>
  </si>
  <si>
    <t>SH600816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</si>
  <si>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</si>
  <si>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</si>
  <si>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</si>
  <si>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</si>
  <si>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</si>
  <si>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</si>
  <si>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</si>
  <si>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</si>
  <si>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</si>
  <si>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</si>
  <si>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</si>
  <si>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</si>
  <si>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388.03亿</t>
  </si>
  <si>
    <t>18.48亿</t>
  </si>
  <si>
    <t>4.33亿</t>
  </si>
  <si>
    <t>7082.14万</t>
  </si>
  <si>
    <t>1.02亿</t>
  </si>
  <si>
    <t>17.56亿</t>
  </si>
  <si>
    <t>5.82亿</t>
  </si>
  <si>
    <t>0亿</t>
  </si>
  <si>
    <t>3.07亿</t>
  </si>
  <si>
    <t>1.10亿</t>
  </si>
  <si>
    <t>77.93亿</t>
  </si>
  <si>
    <t>3.39亿</t>
  </si>
  <si>
    <t>13.34亿</t>
  </si>
  <si>
    <t>6.27亿</t>
  </si>
  <si>
    <t>11.79亿</t>
  </si>
  <si>
    <t>9.92亿</t>
  </si>
  <si>
    <t>6.52亿</t>
  </si>
  <si>
    <t>9.51亿</t>
  </si>
  <si>
    <t>1.21亿</t>
  </si>
  <si>
    <t>3.12亿</t>
  </si>
  <si>
    <t>9.31亿</t>
  </si>
  <si>
    <t>22.01亿</t>
  </si>
  <si>
    <t>7.92亿</t>
  </si>
  <si>
    <t>2.07亿</t>
  </si>
  <si>
    <t>5.18亿</t>
  </si>
  <si>
    <t>3228.07万</t>
  </si>
  <si>
    <t>5.15亿</t>
  </si>
  <si>
    <t>27.35亿</t>
  </si>
  <si>
    <t>SH600517</t>
  </si>
  <si>
    <t>国网英大</t>
  </si>
  <si>
    <t>1.79亿</t>
  </si>
  <si>
    <t>13.19亿</t>
  </si>
  <si>
    <t>12.51亿</t>
  </si>
  <si>
    <t>30.64亿</t>
  </si>
  <si>
    <t>2.22亿</t>
  </si>
  <si>
    <t>2.24亿</t>
  </si>
  <si>
    <t>-2.67亿</t>
  </si>
  <si>
    <t>-39.93亿</t>
  </si>
  <si>
    <t>2667.76万</t>
  </si>
  <si>
    <t>30.66亿</t>
  </si>
  <si>
    <t>15.83亿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</si>
  <si>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</si>
  <si>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</si>
  <si>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</si>
  <si>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</si>
  <si>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</si>
  <si>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</si>
  <si>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</si>
  <si>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</si>
  <si>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</si>
  <si>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</si>
  <si>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</si>
  <si>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</si>
  <si>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</si>
  <si>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50.07亿</t>
  </si>
  <si>
    <t>1.63亿</t>
  </si>
  <si>
    <t>274.18亿</t>
  </si>
  <si>
    <t>-77.04亿</t>
  </si>
  <si>
    <t>412.91亿</t>
  </si>
  <si>
    <t>22.79亿</t>
  </si>
  <si>
    <t>5.30亿</t>
  </si>
  <si>
    <t>4.79亿</t>
  </si>
  <si>
    <t>2.12亿</t>
  </si>
  <si>
    <t>5466.93万</t>
  </si>
  <si>
    <t>4828.48万</t>
  </si>
  <si>
    <t>21.26亿</t>
  </si>
  <si>
    <t>6.86亿</t>
  </si>
  <si>
    <t>10.27亿</t>
  </si>
  <si>
    <t>3.19亿</t>
  </si>
  <si>
    <t>1.28亿</t>
  </si>
  <si>
    <t>78.44亿</t>
  </si>
  <si>
    <t>7.95亿</t>
  </si>
  <si>
    <t>3.75亿</t>
  </si>
  <si>
    <t>73.22亿</t>
  </si>
  <si>
    <t>12.71亿</t>
  </si>
  <si>
    <t>84.93亿</t>
  </si>
  <si>
    <t>93.65亿</t>
  </si>
  <si>
    <t>8.93亿</t>
  </si>
  <si>
    <t>46.15亿</t>
  </si>
  <si>
    <t>66.71亿</t>
  </si>
  <si>
    <t>4.50亿</t>
  </si>
  <si>
    <t>10.54亿</t>
  </si>
  <si>
    <t>3.27亿</t>
  </si>
  <si>
    <t>13.10亿</t>
  </si>
  <si>
    <t>5.10亿</t>
  </si>
  <si>
    <t>1.93亿</t>
  </si>
  <si>
    <t>14.86亿</t>
  </si>
  <si>
    <t>9.53亿</t>
  </si>
  <si>
    <t>5298.69万</t>
  </si>
  <si>
    <t>13.42亿</t>
  </si>
  <si>
    <t>2.49亿</t>
  </si>
  <si>
    <t>4.71亿</t>
  </si>
  <si>
    <t>1.15亿</t>
  </si>
  <si>
    <t>1.59亿</t>
  </si>
  <si>
    <t>1.92亿</t>
  </si>
  <si>
    <t>-4.39亿</t>
  </si>
  <si>
    <t>3.36亿</t>
  </si>
  <si>
    <t>8.15亿</t>
  </si>
  <si>
    <t>3.35亿</t>
  </si>
  <si>
    <t>1.24亿</t>
  </si>
  <si>
    <t>108.44亿</t>
  </si>
  <si>
    <t>98.93亿</t>
  </si>
  <si>
    <t>4.92亿</t>
  </si>
  <si>
    <t>-800.00万</t>
  </si>
  <si>
    <t>5.33亿</t>
  </si>
  <si>
    <t>5297.13万</t>
  </si>
  <si>
    <t>37.52亿</t>
  </si>
  <si>
    <t>63.65亿</t>
  </si>
  <si>
    <t>50.03亿</t>
  </si>
  <si>
    <t>22.49亿</t>
  </si>
  <si>
    <t>51.82亿</t>
  </si>
  <si>
    <t>49.29亿</t>
  </si>
  <si>
    <t>1937.50万</t>
  </si>
  <si>
    <t>13.52亿</t>
  </si>
  <si>
    <t>16.98亿</t>
  </si>
  <si>
    <t>9.48亿</t>
  </si>
  <si>
    <t>11.58亿</t>
  </si>
  <si>
    <t>32.74亿</t>
  </si>
  <si>
    <t>104.41亿</t>
  </si>
  <si>
    <t>74.49亿</t>
  </si>
  <si>
    <t>31.66亿</t>
  </si>
  <si>
    <t>1.86亿</t>
  </si>
  <si>
    <t>1.87亿</t>
  </si>
  <si>
    <t>-12.64亿</t>
  </si>
  <si>
    <t>-67.38亿</t>
  </si>
  <si>
    <t>2.05亿</t>
  </si>
  <si>
    <t>-18.33亿</t>
  </si>
  <si>
    <t>-2232.71万</t>
  </si>
  <si>
    <t>2.93亿</t>
  </si>
  <si>
    <t>7.01亿</t>
  </si>
  <si>
    <t>3075.29万</t>
  </si>
  <si>
    <t>1.33亿</t>
  </si>
  <si>
    <t>37.53亿</t>
  </si>
  <si>
    <t>18.77亿</t>
  </si>
  <si>
    <t>24.37亿</t>
  </si>
  <si>
    <t>19.43亿</t>
  </si>
  <si>
    <t>7.32亿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</si>
  <si>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</si>
  <si>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</si>
  <si>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</si>
  <si>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</si>
  <si>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</si>
  <si>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</si>
  <si>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</si>
  <si>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</si>
  <si>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</si>
  <si>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</si>
  <si>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</si>
  <si>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</si>
  <si>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</si>
  <si>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</si>
  <si>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</si>
  <si>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</si>
  <si>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</si>
  <si>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</si>
  <si>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</si>
  <si>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</si>
  <si>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</si>
  <si>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</si>
  <si>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</si>
  <si>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</si>
  <si>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20增速</t>
  </si>
  <si>
    <t>当期自由现金流估计值</t>
  </si>
  <si>
    <t>自由现金流估计增速</t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</si>
  <si>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</si>
  <si>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</si>
  <si>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</si>
  <si>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</si>
  <si>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</si>
  <si>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</si>
  <si>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</si>
  <si>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</si>
  <si>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</si>
  <si>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</si>
  <si>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销售毛利率%[20201231]</t>
  </si>
  <si>
    <t>销售净利率%[20201231]</t>
  </si>
  <si>
    <t>10.83亿</t>
  </si>
  <si>
    <t>20.72亿</t>
  </si>
  <si>
    <t>3.95亿</t>
  </si>
  <si>
    <t>SZ002316</t>
  </si>
  <si>
    <t>32.79亿</t>
  </si>
  <si>
    <t>-4.86亿</t>
  </si>
  <si>
    <t>42.01亿</t>
  </si>
  <si>
    <t>39.22亿</t>
  </si>
  <si>
    <t>-1.48亿</t>
  </si>
  <si>
    <t>1.00亿</t>
  </si>
  <si>
    <t>2.38亿</t>
  </si>
  <si>
    <t>2.06亿</t>
  </si>
  <si>
    <t>1.35亿</t>
  </si>
  <si>
    <t>SZ300773</t>
  </si>
  <si>
    <t>拉卡拉</t>
  </si>
  <si>
    <t>48.99亿</t>
  </si>
  <si>
    <t>56.79亿</t>
  </si>
  <si>
    <t>8.06亿</t>
  </si>
  <si>
    <t>5.99亿</t>
  </si>
  <si>
    <t>SH600061</t>
  </si>
  <si>
    <t>国投资本</t>
  </si>
  <si>
    <t>6.68亿</t>
  </si>
  <si>
    <t>23.64亿</t>
  </si>
  <si>
    <t>1.43亿</t>
  </si>
  <si>
    <t>中航产融</t>
  </si>
  <si>
    <t>SH603300</t>
  </si>
  <si>
    <t>15.24亿</t>
  </si>
  <si>
    <t>3.23亿</t>
  </si>
  <si>
    <t>11.54亿</t>
  </si>
  <si>
    <t>8.88亿</t>
  </si>
  <si>
    <t>2.76亿</t>
  </si>
  <si>
    <t>-2878.82万</t>
  </si>
  <si>
    <t>涨幅%</t>
  </si>
  <si>
    <t>流通股本</t>
  </si>
  <si>
    <t>净利润[20201231]</t>
  </si>
  <si>
    <t>投入资本回报率roic%[20201231]</t>
  </si>
  <si>
    <t>净资产收益率%[20201231]</t>
  </si>
  <si>
    <t>267.91亿</t>
  </si>
  <si>
    <t>-12.32亿</t>
  </si>
  <si>
    <t>6.31亿</t>
  </si>
  <si>
    <t>19.09亿</t>
  </si>
  <si>
    <t>6.67亿</t>
  </si>
  <si>
    <t>3.83亿</t>
  </si>
  <si>
    <t>55.50亿</t>
  </si>
  <si>
    <t>6.16亿</t>
  </si>
  <si>
    <t>24.80亿</t>
  </si>
  <si>
    <t>13.72亿</t>
  </si>
  <si>
    <t>17.28亿</t>
  </si>
  <si>
    <t>-5238.33万</t>
  </si>
  <si>
    <t>21.10亿</t>
  </si>
  <si>
    <t>-4.31亿</t>
  </si>
  <si>
    <t>21.28亿</t>
  </si>
  <si>
    <t>5.04亿</t>
  </si>
  <si>
    <t>-3.00亿</t>
  </si>
  <si>
    <t>34.02亿</t>
  </si>
  <si>
    <t>2.32亿</t>
  </si>
  <si>
    <t>11.52亿</t>
  </si>
  <si>
    <t>44.71亿</t>
  </si>
  <si>
    <t>5.09亿</t>
  </si>
  <si>
    <t>-11.29亿</t>
  </si>
  <si>
    <t>1661.83万</t>
  </si>
  <si>
    <t>39.41亿</t>
  </si>
  <si>
    <t>SH600927</t>
  </si>
  <si>
    <t>永安期货</t>
  </si>
  <si>
    <t>378.42亿</t>
  </si>
  <si>
    <t>13.07亿</t>
  </si>
  <si>
    <t>254.69亿</t>
  </si>
  <si>
    <t>227.58亿</t>
  </si>
  <si>
    <t>157.64亿</t>
  </si>
  <si>
    <t>95.89亿</t>
  </si>
  <si>
    <t>11.46亿</t>
  </si>
  <si>
    <t>10.01亿</t>
  </si>
  <si>
    <t>8.72亿</t>
  </si>
  <si>
    <t>26.07亿</t>
  </si>
  <si>
    <t>4.98亿</t>
  </si>
  <si>
    <t xml:space="preserve">    名称</t>
  </si>
  <si>
    <t>成交量[20220902]</t>
  </si>
  <si>
    <t>营业收入(同比增长率) %[20220630]</t>
  </si>
  <si>
    <t>LY营业总收入[20211231]</t>
  </si>
  <si>
    <t>净利润?</t>
  </si>
  <si>
    <t>净利润[20211231]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</si>
  <si>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</si>
  <si>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</si>
  <si>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</si>
  <si>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</si>
  <si>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</si>
  <si>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销售费用[20220630]</t>
  </si>
  <si>
    <t>管理费用[20220630]</t>
  </si>
  <si>
    <t>研发费用总额[20220630]</t>
  </si>
  <si>
    <t>其他收入[20220630]</t>
  </si>
  <si>
    <t>扣非净利润</t>
  </si>
  <si>
    <t>货币资金[20220630]</t>
  </si>
  <si>
    <t>应收票据[20220630]</t>
  </si>
  <si>
    <t>固定资产[20220630]</t>
  </si>
  <si>
    <t>在建工程[20220630]</t>
  </si>
  <si>
    <t>短期借款[20220630]</t>
  </si>
  <si>
    <t>应付票据[20220630]</t>
  </si>
  <si>
    <t>应付账款[20220630]</t>
  </si>
  <si>
    <t>预收款项[20220630]</t>
  </si>
  <si>
    <t>流动负债[20220630]</t>
  </si>
  <si>
    <t>长期借款[20220630]</t>
  </si>
  <si>
    <t>经营活动产生的现金流量净额[20220630]</t>
  </si>
  <si>
    <t>投资活动产生的现金流量净额[20220630]</t>
  </si>
  <si>
    <t>筹资活动产生的现金流量净额[20220630]</t>
  </si>
  <si>
    <t>营业总收入[20201231]</t>
  </si>
  <si>
    <t>CYLQ营业收入[20220331]</t>
  </si>
  <si>
    <t>LYCQ营业收入[20210630]</t>
  </si>
  <si>
    <t>LYLQ营业收入[20210331]</t>
  </si>
  <si>
    <t>CYLQ净利润[20220331]</t>
  </si>
  <si>
    <t>LYCQ净利润[20210630]</t>
  </si>
  <si>
    <t>LYLQ净利润[20210331]</t>
  </si>
  <si>
    <t>投入资本回报率roic%[20220331]</t>
  </si>
  <si>
    <t>投入资本回报率roic%[20211231]</t>
  </si>
  <si>
    <t>净资产收益率%[20211231]</t>
  </si>
  <si>
    <t>细分行业</t>
  </si>
  <si>
    <t>销售毛利率%[20220331]</t>
  </si>
  <si>
    <t>销售净利率%[20220331]</t>
  </si>
  <si>
    <t>区间涨跌幅:前复权%[20220829-20220902]</t>
  </si>
  <si>
    <t>区间涨跌幅:前复权%[20220725-20220902]</t>
  </si>
  <si>
    <t>区间成交量[20220829-20220902]</t>
  </si>
  <si>
    <t>指数@区间成交量[20220725-20220902]</t>
  </si>
  <si>
    <t>单季营收增速</t>
  </si>
  <si>
    <t>单季利润增速</t>
  </si>
  <si>
    <t>多元金融</t>
  </si>
  <si>
    <t>亏损</t>
  </si>
  <si>
    <t>扭亏</t>
  </si>
  <si>
    <t>1.16亿</t>
  </si>
  <si>
    <t>2.57亿</t>
  </si>
  <si>
    <t>电投产融</t>
  </si>
  <si>
    <t>SZ001236</t>
  </si>
  <si>
    <t>弘业期货</t>
  </si>
  <si>
    <t>16.40亿</t>
  </si>
  <si>
    <t>8021.15万</t>
  </si>
  <si>
    <t>15.61亿</t>
  </si>
  <si>
    <t>6.45亿</t>
  </si>
  <si>
    <t>6632.25万</t>
  </si>
  <si>
    <t>2126.64万</t>
  </si>
  <si>
    <t>8051.41万</t>
  </si>
  <si>
    <t>19.55亿</t>
  </si>
  <si>
    <t>-2.89亿</t>
  </si>
  <si>
    <t>17.92亿</t>
  </si>
  <si>
    <t>-2542.88万</t>
  </si>
  <si>
    <t>3.05亿</t>
  </si>
  <si>
    <t>10.63亿</t>
  </si>
  <si>
    <t>15.78亿</t>
  </si>
  <si>
    <t>1.11亿</t>
  </si>
  <si>
    <t>3.31亿</t>
  </si>
  <si>
    <t>1.75亿</t>
  </si>
  <si>
    <t>1.58亿</t>
  </si>
  <si>
    <t>SH603123</t>
  </si>
  <si>
    <t>翠微股份</t>
  </si>
  <si>
    <t>34.97亿</t>
  </si>
  <si>
    <t>1.65亿</t>
  </si>
  <si>
    <t>40.93亿</t>
  </si>
  <si>
    <t>79.37亿</t>
  </si>
  <si>
    <t>8131.82万</t>
  </si>
  <si>
    <t>2.41亿</t>
  </si>
  <si>
    <t>市销率</t>
    <phoneticPr fontId="1" type="noConversion"/>
  </si>
  <si>
    <t>原始顺序</t>
    <phoneticPr fontId="1" type="noConversion"/>
  </si>
  <si>
    <t>营收成长策略</t>
    <phoneticPr fontId="1" type="noConversion"/>
  </si>
  <si>
    <t>成交量综合策略</t>
    <phoneticPr fontId="1" type="noConversion"/>
  </si>
  <si>
    <t>量价齐升策略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</si>
  <si>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</si>
  <si>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</si>
  <si>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</si>
  <si>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</si>
  <si>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</si>
  <si>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</si>
  <si>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</si>
  <si>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</si>
  <si>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</si>
  <si>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</si>
  <si>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</si>
  <si>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</si>
  <si>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</si>
  <si>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1.13亿</t>
  </si>
  <si>
    <t>不分配不转增</t>
  </si>
  <si>
    <t>3.33亿</t>
  </si>
  <si>
    <t>3410.07万</t>
  </si>
  <si>
    <t>5.39亿</t>
  </si>
  <si>
    <t>9.47亿</t>
  </si>
  <si>
    <t>越秀资本</t>
  </si>
  <si>
    <t>2.81亿</t>
  </si>
  <si>
    <t>1.68亿</t>
  </si>
  <si>
    <t>5.26亿</t>
  </si>
  <si>
    <t>4.76亿</t>
  </si>
  <si>
    <t>20.83亿</t>
  </si>
  <si>
    <t>1.64亿</t>
  </si>
  <si>
    <t>2.04亿</t>
  </si>
  <si>
    <t>10派2.2元(含税)</t>
  </si>
  <si>
    <t>5.22亿</t>
  </si>
  <si>
    <t>3.16亿</t>
  </si>
  <si>
    <t>4.94亿</t>
  </si>
  <si>
    <t>SH603093</t>
  </si>
  <si>
    <t>南华期货</t>
  </si>
  <si>
    <t>105.15亿</t>
  </si>
  <si>
    <t>2.44亿</t>
  </si>
  <si>
    <t>99.15亿</t>
  </si>
  <si>
    <t>95.38亿</t>
  </si>
  <si>
    <t>45.87亿</t>
  </si>
  <si>
    <t>9417.34万</t>
  </si>
  <si>
    <t>7949.32万</t>
  </si>
  <si>
    <t>1.76亿</t>
  </si>
  <si>
    <r>
      <rPr>
        <sz val="9"/>
        <color theme="1"/>
        <rFont val="宋体"/>
        <family val="3"/>
        <charset val="134"/>
        <scheme val="minor"/>
      </rPr>
      <t>3.公司成为国内唯一通过 Visa 认证的手机 POS 支付安全方案提供商，</t>
    </r>
    <r>
      <rPr>
        <sz val="9"/>
        <color rgb="FFFF0000"/>
        <rFont val="宋体"/>
        <family val="3"/>
        <charset val="134"/>
        <scheme val="minor"/>
      </rPr>
      <t>不依赖硬件芯片</t>
    </r>
    <r>
      <rPr>
        <sz val="9"/>
        <color theme="1"/>
        <rFont val="宋体"/>
        <family val="3"/>
        <charset val="134"/>
        <scheme val="minor"/>
      </rPr>
      <t>可达金融级别安全；4.</t>
    </r>
    <r>
      <rPr>
        <b/>
        <sz val="9"/>
        <color rgb="FFFF0000"/>
        <rFont val="宋体"/>
        <family val="3"/>
        <charset val="134"/>
        <scheme val="minor"/>
      </rPr>
      <t>数字人民币</t>
    </r>
    <r>
      <rPr>
        <sz val="9"/>
        <color theme="1"/>
        <rFont val="宋体"/>
        <family val="3"/>
        <charset val="134"/>
        <scheme val="minor"/>
      </rPr>
      <t>的先发优势。发展数字人民币是国家重要战略；</t>
    </r>
    <phoneticPr fontId="1" type="noConversion"/>
  </si>
  <si>
    <r>
      <t>1.问：目前</t>
    </r>
    <r>
      <rPr>
        <sz val="9"/>
        <color rgb="FFFF0000"/>
        <rFont val="宋体"/>
        <family val="3"/>
        <charset val="134"/>
        <scheme val="minor"/>
      </rPr>
      <t>支付行业的下降会不会是长期</t>
    </r>
    <r>
      <rPr>
        <sz val="9"/>
        <color theme="1"/>
        <rFont val="宋体"/>
        <family val="2"/>
        <charset val="134"/>
        <scheme val="minor"/>
      </rPr>
      <t>的创伤？答：支付行业在没有发生危机等极端情况下，行业会保持持续增长态势，若经济复苏，业务回弹会很快，不会是长期的创伤。2.</t>
    </r>
    <r>
      <rPr>
        <sz val="9"/>
        <color rgb="FFFF0000"/>
        <rFont val="宋体"/>
        <family val="3"/>
        <charset val="134"/>
        <scheme val="minor"/>
      </rPr>
      <t>手续费率的绝对水平已经处于底部</t>
    </r>
    <r>
      <rPr>
        <sz val="9"/>
        <color theme="1"/>
        <rFont val="宋体"/>
        <family val="2"/>
        <charset val="134"/>
        <scheme val="minor"/>
      </rPr>
      <t>，很难有往下的空间，如果费率水平平稳，公司毛利在30%左右水平。3.联想控股</t>
    </r>
    <phoneticPr fontId="1" type="noConversion"/>
  </si>
  <si>
    <t>319.22亿</t>
  </si>
  <si>
    <t>-19.86亿</t>
  </si>
  <si>
    <t>2-1</t>
  </si>
  <si>
    <t>8.86亿</t>
  </si>
  <si>
    <t>-6-1</t>
  </si>
  <si>
    <t>1241.41万</t>
  </si>
  <si>
    <t>10.16亿</t>
  </si>
  <si>
    <t>13.99亿</t>
  </si>
  <si>
    <t>288.05万</t>
  </si>
  <si>
    <t>4233.21万</t>
  </si>
  <si>
    <t>313.84万</t>
  </si>
  <si>
    <t>27876747亿</t>
  </si>
  <si>
    <t>41.49万</t>
  </si>
  <si>
    <t>35757805亿</t>
  </si>
  <si>
    <t>104031420亿</t>
  </si>
  <si>
    <t>1173.70万</t>
  </si>
  <si>
    <t>514333350亿</t>
  </si>
  <si>
    <t>8.26万</t>
  </si>
  <si>
    <t>560.34万</t>
  </si>
  <si>
    <t>46.06万</t>
  </si>
  <si>
    <t>7.98亿</t>
  </si>
  <si>
    <t>1.74亿</t>
  </si>
  <si>
    <t>6396.30万</t>
  </si>
  <si>
    <t>2128.39万</t>
  </si>
  <si>
    <t>-1.21亿</t>
  </si>
  <si>
    <t>2218.51万</t>
  </si>
  <si>
    <t>10派0.6元(含税)</t>
  </si>
  <si>
    <t>1.08亿</t>
  </si>
  <si>
    <t>11.08亿</t>
  </si>
  <si>
    <t>-2-0</t>
  </si>
  <si>
    <t>19.26亿</t>
  </si>
  <si>
    <t>8.38亿</t>
  </si>
  <si>
    <t>1-0</t>
  </si>
  <si>
    <t>9.50亿</t>
  </si>
  <si>
    <t>7.00亿</t>
  </si>
  <si>
    <t>-1-0</t>
  </si>
  <si>
    <t>10派1.1元(含税)</t>
  </si>
  <si>
    <t>12.82亿</t>
  </si>
  <si>
    <t>10派1.7元(含税)</t>
  </si>
  <si>
    <t>15.28亿</t>
  </si>
  <si>
    <t>1238.19万</t>
  </si>
  <si>
    <t>亚联发展</t>
  </si>
  <si>
    <t>16.57亿</t>
  </si>
  <si>
    <t>-9157.09万</t>
  </si>
  <si>
    <t>3.89亿</t>
  </si>
  <si>
    <t>5.97亿</t>
  </si>
  <si>
    <t>63.47亿</t>
  </si>
  <si>
    <t>15.72亿</t>
  </si>
  <si>
    <t>8.19亿</t>
  </si>
  <si>
    <t>2.18亿</t>
  </si>
  <si>
    <t>1.19亿</t>
  </si>
  <si>
    <t>21.06亿</t>
  </si>
  <si>
    <t>2.94亿</t>
  </si>
  <si>
    <t>2.56亿</t>
  </si>
  <si>
    <t>6.05亿</t>
  </si>
  <si>
    <t>2.37亿</t>
  </si>
  <si>
    <t>-1-1</t>
  </si>
  <si>
    <t>4.32亿</t>
  </si>
  <si>
    <t>1.73亿</t>
  </si>
  <si>
    <t>1.05亿</t>
  </si>
  <si>
    <t>29.42亿</t>
  </si>
  <si>
    <t>9.60亿</t>
  </si>
  <si>
    <t>10.99亿</t>
  </si>
  <si>
    <t>150.35亿</t>
  </si>
  <si>
    <t>3.30亿</t>
  </si>
  <si>
    <t>25.30亿</t>
  </si>
  <si>
    <t>7.70亿</t>
  </si>
  <si>
    <t>19.91亿</t>
  </si>
  <si>
    <t>62.98亿</t>
  </si>
  <si>
    <t>57.13亿</t>
  </si>
  <si>
    <t>50.44亿</t>
  </si>
  <si>
    <t>6.59亿</t>
  </si>
  <si>
    <t>19.13亿</t>
  </si>
  <si>
    <t>17.78亿</t>
  </si>
  <si>
    <t>6.66亿</t>
  </si>
  <si>
    <t>7.10亿</t>
  </si>
  <si>
    <t>1.29亿</t>
  </si>
  <si>
    <t>105.59亿</t>
  </si>
  <si>
    <t>103.28亿</t>
  </si>
  <si>
    <t>1-1</t>
  </si>
  <si>
    <t>4.81亿</t>
  </si>
  <si>
    <t>2.28亿</t>
  </si>
  <si>
    <t>1.61亿</t>
  </si>
  <si>
    <t>建元信托</t>
  </si>
  <si>
    <t>-10.43亿</t>
  </si>
  <si>
    <t>890.39万</t>
  </si>
  <si>
    <t>7.39亿</t>
  </si>
  <si>
    <t>8562.96万</t>
  </si>
  <si>
    <t>10派0.1元(含税)</t>
  </si>
  <si>
    <t>江苏金租</t>
  </si>
  <si>
    <t>43.46亿</t>
  </si>
  <si>
    <t>24.12亿</t>
  </si>
  <si>
    <t>10.21亿</t>
  </si>
  <si>
    <t>347.75亿</t>
  </si>
  <si>
    <t>6.72亿</t>
  </si>
  <si>
    <t>2-0</t>
  </si>
  <si>
    <t>68.23亿</t>
  </si>
  <si>
    <t>2.46亿</t>
  </si>
  <si>
    <t>39.66亿</t>
  </si>
  <si>
    <t>4.26亿</t>
  </si>
  <si>
    <t>32.78亿</t>
  </si>
  <si>
    <t>2.62亿</t>
  </si>
  <si>
    <t>1.27亿</t>
  </si>
  <si>
    <r>
      <t>0.海德股份已形成</t>
    </r>
    <r>
      <rPr>
        <sz val="9"/>
        <color rgb="FFFF0000"/>
        <rFont val="宋体"/>
        <family val="3"/>
        <charset val="134"/>
        <scheme val="minor"/>
      </rPr>
      <t>机构困境、个人困境和 优质资产管理（储能，钒液电池）</t>
    </r>
    <r>
      <rPr>
        <sz val="9"/>
        <color theme="1"/>
        <rFont val="宋体"/>
        <family val="2"/>
        <charset val="134"/>
        <scheme val="minor"/>
      </rPr>
      <t>领域三大资产管理业务版图。1.从机构困境资产管理业务的业务领域看，目前公司的困境资产业务主要集中于</t>
    </r>
    <r>
      <rPr>
        <b/>
        <sz val="9"/>
        <color rgb="FFFF0000"/>
        <rFont val="宋体"/>
        <family val="3"/>
        <charset val="134"/>
        <scheme val="minor"/>
      </rPr>
      <t>能源领域、商业地产领域、上市公司领域</t>
    </r>
    <r>
      <rPr>
        <sz val="9"/>
        <color theme="1"/>
        <rFont val="宋体"/>
        <family val="2"/>
        <charset val="134"/>
        <scheme val="minor"/>
      </rPr>
      <t>和其他领域；</t>
    </r>
    <phoneticPr fontId="1" type="noConversion"/>
  </si>
  <si>
    <t>4177.79万</t>
  </si>
  <si>
    <t>2159.32亿</t>
  </si>
  <si>
    <t>465.49亿</t>
  </si>
  <si>
    <t>85.66亿</t>
  </si>
  <si>
    <t>336.75亿</t>
  </si>
  <si>
    <t>12.81亿</t>
  </si>
  <si>
    <t>76.60亿</t>
  </si>
  <si>
    <t>49.33亿</t>
  </si>
  <si>
    <t>3618.80万</t>
  </si>
  <si>
    <t>4.42亿</t>
  </si>
  <si>
    <t>-28000000亿</t>
  </si>
  <si>
    <t>214439000亿</t>
  </si>
  <si>
    <t>48.64亿</t>
  </si>
  <si>
    <t>1970580000亿</t>
  </si>
  <si>
    <t>2000.00万</t>
  </si>
  <si>
    <t>12565700000亿</t>
  </si>
  <si>
    <t>80.50万</t>
  </si>
  <si>
    <t>20.29亿</t>
  </si>
  <si>
    <t>473.46亿</t>
  </si>
  <si>
    <t>619.06亿</t>
  </si>
  <si>
    <t>56.24亿</t>
  </si>
  <si>
    <t>-40.62亿</t>
  </si>
  <si>
    <t>-38.62亿</t>
  </si>
  <si>
    <t>65.10亿</t>
  </si>
  <si>
    <t>18.23亿</t>
  </si>
  <si>
    <t>01281000000</t>
  </si>
  <si>
    <t>03843000000</t>
  </si>
  <si>
    <t>07686000000</t>
  </si>
  <si>
    <t>012810000000</t>
  </si>
  <si>
    <t>025620000000</t>
  </si>
  <si>
    <t>3737.42万</t>
  </si>
  <si>
    <t>69.45亿</t>
  </si>
  <si>
    <t>174.57亿</t>
  </si>
  <si>
    <t>7.15亿</t>
  </si>
  <si>
    <t>28.13亿</t>
  </si>
  <si>
    <t>10.82亿</t>
  </si>
  <si>
    <t>212256810亿</t>
  </si>
  <si>
    <t>356891500亿</t>
  </si>
  <si>
    <t>5796.85万</t>
  </si>
  <si>
    <t>-2.11亿</t>
  </si>
  <si>
    <t>-1.93亿</t>
  </si>
  <si>
    <t>-5.33亿</t>
  </si>
  <si>
    <t>6.04亿</t>
  </si>
  <si>
    <t>3.34亿</t>
  </si>
  <si>
    <t>10派0.7元(含税)</t>
  </si>
  <si>
    <t>1.62亿</t>
  </si>
  <si>
    <t>11.02亿</t>
  </si>
  <si>
    <t>567.62万</t>
  </si>
  <si>
    <t>39.77亿</t>
  </si>
  <si>
    <t>57.28亿</t>
  </si>
  <si>
    <t>3.45亿</t>
  </si>
  <si>
    <t>12.30亿</t>
  </si>
  <si>
    <t>8.80亿</t>
  </si>
  <si>
    <t>9091.99万</t>
  </si>
  <si>
    <t>145.35万</t>
  </si>
  <si>
    <t>3343.87万</t>
  </si>
  <si>
    <t>-5755571亿</t>
  </si>
  <si>
    <t>232617590亿</t>
  </si>
  <si>
    <t>1.42亿</t>
  </si>
  <si>
    <t>284509920亿</t>
  </si>
  <si>
    <t>3836453000亿</t>
  </si>
  <si>
    <t>8.65亿</t>
  </si>
  <si>
    <t>617.31万</t>
  </si>
  <si>
    <t>2.30万</t>
  </si>
  <si>
    <t>15.00亿</t>
  </si>
  <si>
    <t>20.50亿</t>
  </si>
  <si>
    <t>7062.47万</t>
  </si>
  <si>
    <t>-2646.22万</t>
  </si>
  <si>
    <t>-1.19亿</t>
  </si>
  <si>
    <t>10转4.5股派4.25元(含税)</t>
  </si>
  <si>
    <t>3234.44万</t>
  </si>
  <si>
    <t>2.09亿</t>
  </si>
  <si>
    <t>2395.11万</t>
  </si>
  <si>
    <t>8890.70亿</t>
  </si>
  <si>
    <t>1883.47亿</t>
  </si>
  <si>
    <t>1.94亿</t>
  </si>
  <si>
    <t>49.26亿</t>
  </si>
  <si>
    <t>65.86亿</t>
  </si>
  <si>
    <t>2.31亿</t>
  </si>
  <si>
    <t>6.50亿</t>
  </si>
  <si>
    <t>1160597790亿</t>
  </si>
  <si>
    <t>280.53万</t>
  </si>
  <si>
    <t>1719199700亿</t>
  </si>
  <si>
    <t>340.03亿</t>
  </si>
  <si>
    <t>83006416亿</t>
  </si>
  <si>
    <t>635890880000亿</t>
  </si>
  <si>
    <t>4997.01万</t>
  </si>
  <si>
    <t>333.73亿</t>
  </si>
  <si>
    <t>3680.19万</t>
  </si>
  <si>
    <t>8.10亿</t>
  </si>
  <si>
    <t>8037.26亿</t>
  </si>
  <si>
    <t>97.72亿</t>
  </si>
  <si>
    <t>-138.15亿</t>
  </si>
  <si>
    <t>195.64亿</t>
  </si>
  <si>
    <t>62.72亿</t>
  </si>
  <si>
    <t>7.45亿</t>
  </si>
  <si>
    <t>49.18亿</t>
  </si>
  <si>
    <t>21.89亿</t>
  </si>
  <si>
    <t>10派1.17元(含税)</t>
  </si>
  <si>
    <t>1.40亿</t>
  </si>
  <si>
    <t>12.25亿</t>
  </si>
  <si>
    <t>1223.48万</t>
  </si>
  <si>
    <t>168.44亿</t>
  </si>
  <si>
    <t>294.06亿</t>
  </si>
  <si>
    <t>12.46亿</t>
  </si>
  <si>
    <t>51.14亿</t>
  </si>
  <si>
    <t>12.70亿</t>
  </si>
  <si>
    <t>11.44亿</t>
  </si>
  <si>
    <t>9.14亿</t>
  </si>
  <si>
    <t>1668.86万</t>
  </si>
  <si>
    <t>103472340亿</t>
  </si>
  <si>
    <t>112.12万</t>
  </si>
  <si>
    <t>330418120亿</t>
  </si>
  <si>
    <t>21.64亿</t>
  </si>
  <si>
    <t>4030309900亿</t>
  </si>
  <si>
    <t>25537173000亿</t>
  </si>
  <si>
    <t>4.11亿</t>
  </si>
  <si>
    <t>14.77亿</t>
  </si>
  <si>
    <t>15.46亿</t>
  </si>
  <si>
    <t>5345.97万</t>
  </si>
  <si>
    <t>67.68亿</t>
  </si>
  <si>
    <t>85.53亿</t>
  </si>
  <si>
    <t>-2.84亿</t>
  </si>
  <si>
    <t>50.99亿</t>
  </si>
  <si>
    <t>65.88亿</t>
  </si>
  <si>
    <t>103.00亿</t>
  </si>
  <si>
    <t>13.40亿</t>
  </si>
  <si>
    <t>3.00亿</t>
  </si>
  <si>
    <t>10派0.63元(含税)</t>
  </si>
  <si>
    <t>6875.62万</t>
  </si>
  <si>
    <t>8.39亿</t>
  </si>
  <si>
    <t>01270000000</t>
  </si>
  <si>
    <t>03810000000</t>
  </si>
  <si>
    <t>07620000000</t>
  </si>
  <si>
    <t>012700000000</t>
  </si>
  <si>
    <t>025400000000</t>
  </si>
  <si>
    <t>952.34万</t>
  </si>
  <si>
    <t>1456.24亿</t>
  </si>
  <si>
    <t>416.12亿</t>
  </si>
  <si>
    <t>11.81亿</t>
  </si>
  <si>
    <t>24.04亿</t>
  </si>
  <si>
    <t>29.14亿</t>
  </si>
  <si>
    <t>2.23亿</t>
  </si>
  <si>
    <t>28.30万</t>
  </si>
  <si>
    <t>2.00亿</t>
  </si>
  <si>
    <t>678563300亿</t>
  </si>
  <si>
    <t>3.18万</t>
  </si>
  <si>
    <t>412306200亿</t>
  </si>
  <si>
    <t>196.26亿</t>
  </si>
  <si>
    <t>446814100亿</t>
  </si>
  <si>
    <t>108840746000亿</t>
  </si>
  <si>
    <t>4050.83万</t>
  </si>
  <si>
    <t>39.35亿</t>
  </si>
  <si>
    <t>663.64亿</t>
  </si>
  <si>
    <t>558.90亿</t>
  </si>
  <si>
    <t>20.11亿</t>
  </si>
  <si>
    <t>-41.86亿</t>
  </si>
  <si>
    <t>31.72亿</t>
  </si>
  <si>
    <t>3.55亿</t>
  </si>
  <si>
    <t>25.13亿</t>
  </si>
  <si>
    <t>2.10亿</t>
  </si>
  <si>
    <t>7.12亿</t>
  </si>
  <si>
    <t>6009.15万</t>
  </si>
  <si>
    <t>458.39万</t>
  </si>
  <si>
    <t>74.66亿</t>
  </si>
  <si>
    <t>18.34亿</t>
  </si>
  <si>
    <t>779.15万</t>
  </si>
  <si>
    <t>14844224亿</t>
  </si>
  <si>
    <t>5.43万</t>
  </si>
  <si>
    <t>-13226428亿</t>
  </si>
  <si>
    <t>62.00亿</t>
  </si>
  <si>
    <t>3.13亿</t>
  </si>
  <si>
    <t>5478.28万</t>
  </si>
  <si>
    <t>5413.18万</t>
  </si>
  <si>
    <t>16.99亿</t>
  </si>
  <si>
    <t>-3.20亿</t>
  </si>
  <si>
    <t>-1524.22万</t>
  </si>
  <si>
    <t>583.01万</t>
  </si>
  <si>
    <t>10派0.04元(含税)</t>
  </si>
  <si>
    <t>2241.40万</t>
  </si>
  <si>
    <t>897.28万</t>
  </si>
  <si>
    <t>6.97亿</t>
  </si>
  <si>
    <t>8700.91万</t>
  </si>
  <si>
    <t>8329.32万</t>
  </si>
  <si>
    <t>6.03亿</t>
  </si>
  <si>
    <t>-2000.58万</t>
  </si>
  <si>
    <t>7929.57万</t>
  </si>
  <si>
    <t>6719.57万</t>
  </si>
  <si>
    <t>408.74万</t>
  </si>
  <si>
    <t>536.88万</t>
  </si>
  <si>
    <t>1285008亿</t>
  </si>
  <si>
    <t>333671亿</t>
  </si>
  <si>
    <t>206915750亿</t>
  </si>
  <si>
    <t>467.16万</t>
  </si>
  <si>
    <t>604829360亿</t>
  </si>
  <si>
    <t>500.00万</t>
  </si>
  <si>
    <t>3.66亿</t>
  </si>
  <si>
    <t>73.39万</t>
  </si>
  <si>
    <t>6.46亿</t>
  </si>
  <si>
    <t>365.51万</t>
  </si>
  <si>
    <t>179.63万</t>
  </si>
  <si>
    <t>-95.25万</t>
  </si>
  <si>
    <t>-491.75万</t>
  </si>
  <si>
    <t>4585.63万</t>
  </si>
  <si>
    <t>3.38亿</t>
  </si>
  <si>
    <t>1107.34万</t>
  </si>
  <si>
    <t>983.15亿</t>
  </si>
  <si>
    <t>279.05亿</t>
  </si>
  <si>
    <t>30.59亿</t>
  </si>
  <si>
    <t>70.91亿</t>
  </si>
  <si>
    <t>3.40亿</t>
  </si>
  <si>
    <t>1319865730亿</t>
  </si>
  <si>
    <t>125.00万</t>
  </si>
  <si>
    <t>626575310亿</t>
  </si>
  <si>
    <t>124.95亿</t>
  </si>
  <si>
    <t>604368660亿</t>
  </si>
  <si>
    <t>60339500000亿</t>
  </si>
  <si>
    <t>5.93亿</t>
  </si>
  <si>
    <t>5.41亿</t>
  </si>
  <si>
    <t>2959.31万</t>
  </si>
  <si>
    <t>381.62亿</t>
  </si>
  <si>
    <t>33.34亿</t>
  </si>
  <si>
    <t>-9.07亿</t>
  </si>
  <si>
    <t>-19.63亿</t>
  </si>
  <si>
    <t>45.27亿</t>
  </si>
  <si>
    <t>8.57亿</t>
  </si>
  <si>
    <t>3.76亿</t>
  </si>
  <si>
    <t>10派1.33元(含税)</t>
  </si>
  <si>
    <t>6663.15万</t>
  </si>
  <si>
    <t>803.16万</t>
  </si>
  <si>
    <t>43.13亿</t>
  </si>
  <si>
    <t>8730.66万</t>
  </si>
  <si>
    <t>3.73亿</t>
  </si>
  <si>
    <t>18.00亿</t>
  </si>
  <si>
    <t>-2.15亿</t>
  </si>
  <si>
    <t>2.98亿</t>
  </si>
  <si>
    <t>1102.02万</t>
  </si>
  <si>
    <t>3343.71万</t>
  </si>
  <si>
    <t>-28681436亿</t>
  </si>
  <si>
    <t>29.07亿</t>
  </si>
  <si>
    <t>81048846亿</t>
  </si>
  <si>
    <t>3147590600亿</t>
  </si>
  <si>
    <t>1.96亿</t>
  </si>
  <si>
    <t>44.33亿</t>
  </si>
  <si>
    <t>2972.29万</t>
  </si>
  <si>
    <t>-3315.15万</t>
  </si>
  <si>
    <t>-998.46万</t>
  </si>
  <si>
    <t>-1.41亿</t>
  </si>
  <si>
    <t>4.64亿</t>
  </si>
  <si>
    <t>-3149.53万</t>
  </si>
  <si>
    <t>4891.11万</t>
  </si>
  <si>
    <t>3.65亿</t>
  </si>
  <si>
    <t>233.10万</t>
  </si>
  <si>
    <t>111.25亿</t>
  </si>
  <si>
    <t>27.71亿</t>
  </si>
  <si>
    <t>2.80亿</t>
  </si>
  <si>
    <t>9.26亿</t>
  </si>
  <si>
    <t>-4341707亿</t>
  </si>
  <si>
    <t>1.81万</t>
  </si>
  <si>
    <t>70498126亿</t>
  </si>
  <si>
    <t>73.88亿</t>
  </si>
  <si>
    <t>1.25亿</t>
  </si>
  <si>
    <t>-1.58亿</t>
  </si>
  <si>
    <t>-1.12亿</t>
  </si>
  <si>
    <t>878.99万</t>
  </si>
  <si>
    <t>5471.65万</t>
  </si>
  <si>
    <t>1172.38万</t>
  </si>
  <si>
    <t>6913.75万</t>
  </si>
  <si>
    <t>680.37万</t>
  </si>
  <si>
    <t>85.15亿</t>
  </si>
  <si>
    <t>39.58亿</t>
  </si>
  <si>
    <t>14.94亿</t>
  </si>
  <si>
    <t>59.34亿</t>
  </si>
  <si>
    <t>4.58亿</t>
  </si>
  <si>
    <t>12.17亿</t>
  </si>
  <si>
    <t>9.85亿</t>
  </si>
  <si>
    <t>6223.89万</t>
  </si>
  <si>
    <t>-16521804亿</t>
  </si>
  <si>
    <t>44.10万</t>
  </si>
  <si>
    <t>228672480亿</t>
  </si>
  <si>
    <t>63.63亿</t>
  </si>
  <si>
    <t>741637720亿</t>
  </si>
  <si>
    <t>7373842500亿</t>
  </si>
  <si>
    <t>2.30亿</t>
  </si>
  <si>
    <t>4158.75万</t>
  </si>
  <si>
    <t>7.82亿</t>
  </si>
  <si>
    <t>70.65亿</t>
  </si>
  <si>
    <t>-7056.53万</t>
  </si>
  <si>
    <t>-1.61亿</t>
  </si>
  <si>
    <t>53.66亿</t>
  </si>
  <si>
    <t>65.96亿</t>
  </si>
  <si>
    <t>55.57亿</t>
  </si>
  <si>
    <t>-14.37亿</t>
  </si>
  <si>
    <t>15.20亿</t>
  </si>
  <si>
    <t>2.58亿</t>
  </si>
  <si>
    <t>10派5元(含税)</t>
  </si>
  <si>
    <t>3924.18万</t>
  </si>
  <si>
    <t>-3-1</t>
  </si>
  <si>
    <t>1087.05万</t>
  </si>
  <si>
    <t>4.89亿</t>
  </si>
  <si>
    <t>29.17亿</t>
  </si>
  <si>
    <t>4989.96万</t>
  </si>
  <si>
    <t>19.29亿</t>
  </si>
  <si>
    <t>4.23亿</t>
  </si>
  <si>
    <t>898676亿</t>
  </si>
  <si>
    <t>1589299亿</t>
  </si>
  <si>
    <t>112529439亿</t>
  </si>
  <si>
    <t>2304362900亿</t>
  </si>
  <si>
    <t>1444.52万</t>
  </si>
  <si>
    <t>282.60万</t>
  </si>
  <si>
    <t>-2372.69万</t>
  </si>
  <si>
    <t>3653.76万</t>
  </si>
  <si>
    <t>-165.96万</t>
  </si>
  <si>
    <t>1534.51万</t>
  </si>
  <si>
    <t>6457.56万</t>
  </si>
  <si>
    <t>5414.79万</t>
  </si>
  <si>
    <t>2.15亿</t>
  </si>
  <si>
    <t>1222.08万</t>
  </si>
  <si>
    <t>2213.05亿</t>
  </si>
  <si>
    <t>594.80亿</t>
  </si>
  <si>
    <t>2.60亿</t>
  </si>
  <si>
    <t>102.22亿</t>
  </si>
  <si>
    <t>13.33亿</t>
  </si>
  <si>
    <t>-891747830亿</t>
  </si>
  <si>
    <t>336433260亿</t>
  </si>
  <si>
    <t>613.09亿</t>
  </si>
  <si>
    <t>897616150亿</t>
  </si>
  <si>
    <t>245243100000亿</t>
  </si>
  <si>
    <t>1.71亿</t>
  </si>
  <si>
    <t>-143.88亿</t>
  </si>
  <si>
    <t>-4158.84万</t>
  </si>
  <si>
    <t>-35.12亿</t>
  </si>
  <si>
    <t>19.37亿</t>
  </si>
  <si>
    <t>27.73亿</t>
  </si>
  <si>
    <t>23.57亿</t>
  </si>
  <si>
    <t>10派1.1031元(含税)</t>
  </si>
  <si>
    <t>6849.74万</t>
  </si>
  <si>
    <t>5-1</t>
  </si>
  <si>
    <t>709.96万</t>
  </si>
  <si>
    <t>219.96亿</t>
  </si>
  <si>
    <t>172.69亿</t>
  </si>
  <si>
    <t>25.81亿</t>
  </si>
  <si>
    <t>43.23亿</t>
  </si>
  <si>
    <t>3197.98万</t>
  </si>
  <si>
    <t>153986660亿</t>
  </si>
  <si>
    <t>52.98万</t>
  </si>
  <si>
    <t>42084008亿</t>
  </si>
  <si>
    <t>58.04亿</t>
  </si>
  <si>
    <t>102251607亿</t>
  </si>
  <si>
    <t>17946412000亿</t>
  </si>
  <si>
    <t>8.04亿</t>
  </si>
  <si>
    <t>3.71亿</t>
  </si>
  <si>
    <t>955.63万</t>
  </si>
  <si>
    <t>-16.22亿</t>
  </si>
  <si>
    <t>9.40亿</t>
  </si>
  <si>
    <t>188.12亿</t>
  </si>
  <si>
    <t>154.54亿</t>
  </si>
  <si>
    <t>11.78亿</t>
  </si>
  <si>
    <t>4.85亿</t>
  </si>
  <si>
    <t>6707.35万</t>
  </si>
  <si>
    <t>10派0.58元(含税)</t>
  </si>
  <si>
    <t>3586.95万</t>
  </si>
  <si>
    <t>2.86亿</t>
  </si>
  <si>
    <t>031979800</t>
  </si>
  <si>
    <t>095939400</t>
  </si>
  <si>
    <t>0191878800</t>
  </si>
  <si>
    <t>0319798000</t>
  </si>
  <si>
    <t>0639596000</t>
  </si>
  <si>
    <t>4-1</t>
  </si>
  <si>
    <t>1372.07万</t>
  </si>
  <si>
    <t>20.13亿</t>
  </si>
  <si>
    <t>21.31亿</t>
  </si>
  <si>
    <t>8389.58万</t>
  </si>
  <si>
    <t>8.25亿</t>
  </si>
  <si>
    <t>636.45万</t>
  </si>
  <si>
    <t>4472.30万</t>
  </si>
  <si>
    <t>1321.82万</t>
  </si>
  <si>
    <t>21.34万</t>
  </si>
  <si>
    <t>1543.77万</t>
  </si>
  <si>
    <t>7620114亿</t>
  </si>
  <si>
    <t>13046211亿</t>
  </si>
  <si>
    <t>8239521亿</t>
  </si>
  <si>
    <t>2766.10万</t>
  </si>
  <si>
    <t>1902038100亿</t>
  </si>
  <si>
    <t>6.08亿</t>
  </si>
  <si>
    <t>7835.00万</t>
  </si>
  <si>
    <t>221.36万</t>
  </si>
  <si>
    <t>54.92万</t>
  </si>
  <si>
    <t>15.63亿</t>
  </si>
  <si>
    <t>2346.60万</t>
  </si>
  <si>
    <t>-1.95万</t>
  </si>
  <si>
    <t>-6544.45万</t>
  </si>
  <si>
    <t>-1.39亿</t>
  </si>
  <si>
    <t>2849.66万</t>
  </si>
  <si>
    <t>-1867.43万</t>
  </si>
  <si>
    <t>7950.48万</t>
  </si>
  <si>
    <t>1514.36万</t>
  </si>
  <si>
    <t>1056.41亿</t>
  </si>
  <si>
    <t>630.77亿</t>
  </si>
  <si>
    <t>2.19亿</t>
  </si>
  <si>
    <t>45.18亿</t>
  </si>
  <si>
    <t>4815.64万</t>
  </si>
  <si>
    <t>15.98亿</t>
  </si>
  <si>
    <t>2.20亿</t>
  </si>
  <si>
    <t>538.68万</t>
  </si>
  <si>
    <t>17472290亿</t>
  </si>
  <si>
    <t>11.85万</t>
  </si>
  <si>
    <t>430880200亿</t>
  </si>
  <si>
    <t>216.49亿</t>
  </si>
  <si>
    <t>159216530亿</t>
  </si>
  <si>
    <t>101739476000亿</t>
  </si>
  <si>
    <t>353.86亿</t>
  </si>
  <si>
    <t>3.04亿</t>
  </si>
  <si>
    <t>4429.29万</t>
  </si>
  <si>
    <t>173.70万</t>
  </si>
  <si>
    <t>929.32亿</t>
  </si>
  <si>
    <t>32.69亿</t>
  </si>
  <si>
    <t>5.14亿</t>
  </si>
  <si>
    <t>15.38亿</t>
  </si>
  <si>
    <t>-9.92亿</t>
  </si>
  <si>
    <t>5.54亿</t>
  </si>
  <si>
    <t>7.41亿</t>
  </si>
  <si>
    <t>22.56亿</t>
  </si>
  <si>
    <t>-1082.74万</t>
  </si>
  <si>
    <t>10派1.15元(含税)</t>
  </si>
  <si>
    <t>9713.51万</t>
  </si>
  <si>
    <t>6.48亿</t>
  </si>
  <si>
    <t>-4-1</t>
  </si>
  <si>
    <t>1239.39万</t>
  </si>
  <si>
    <t>208.61亿</t>
  </si>
  <si>
    <t>240.56亿</t>
  </si>
  <si>
    <t>10.74亿</t>
  </si>
  <si>
    <t>48.74亿</t>
  </si>
  <si>
    <t>1.03亿</t>
  </si>
  <si>
    <t>14.59亿</t>
  </si>
  <si>
    <t>6576.86万</t>
  </si>
  <si>
    <t>3.15亿</t>
  </si>
  <si>
    <t>-32007047亿</t>
  </si>
  <si>
    <t>130.39万</t>
  </si>
  <si>
    <t>414168100亿</t>
  </si>
  <si>
    <t>63.44亿</t>
  </si>
  <si>
    <t>3256324400亿</t>
  </si>
  <si>
    <t>35.68万</t>
  </si>
  <si>
    <t>36183372000亿</t>
  </si>
  <si>
    <t>7225.30万</t>
  </si>
  <si>
    <t>37.57亿</t>
  </si>
  <si>
    <t>79.72万</t>
  </si>
  <si>
    <t>197.76亿</t>
  </si>
  <si>
    <t>-6.00亿</t>
  </si>
  <si>
    <t>4.78亿</t>
  </si>
  <si>
    <t>-3500.20万</t>
  </si>
  <si>
    <t>70.81亿</t>
  </si>
  <si>
    <t>11.01亿</t>
  </si>
  <si>
    <t>15.02亿</t>
  </si>
  <si>
    <t>8.70亿</t>
  </si>
  <si>
    <t>70.71亿</t>
  </si>
  <si>
    <t>13.64亿</t>
  </si>
  <si>
    <t>-5040.86万</t>
  </si>
  <si>
    <t>10派0.72元(含税)</t>
  </si>
  <si>
    <t>6090.50万</t>
  </si>
  <si>
    <t>4.14亿</t>
  </si>
  <si>
    <t>612.77万</t>
  </si>
  <si>
    <t>122.21亿</t>
  </si>
  <si>
    <t>125.17亿</t>
  </si>
  <si>
    <t>3.91亿</t>
  </si>
  <si>
    <t>29.86亿</t>
  </si>
  <si>
    <t>2429.87万</t>
  </si>
  <si>
    <t>4.67亿</t>
  </si>
  <si>
    <t>2.95亿</t>
  </si>
  <si>
    <t>142.20万</t>
  </si>
  <si>
    <t>9001394亿</t>
  </si>
  <si>
    <t>125142253亿</t>
  </si>
  <si>
    <t>11.20亿</t>
  </si>
  <si>
    <t>336410150亿</t>
  </si>
  <si>
    <t>9799106100亿</t>
  </si>
  <si>
    <t>1.75万</t>
  </si>
  <si>
    <t>34.27亿</t>
  </si>
  <si>
    <t>6000.00万</t>
  </si>
  <si>
    <t>75.59亿</t>
  </si>
  <si>
    <t>24.58亿</t>
  </si>
  <si>
    <t>1.85亿</t>
  </si>
  <si>
    <t>-2.65亿</t>
  </si>
  <si>
    <t>4.83亿</t>
  </si>
  <si>
    <t>14.78亿</t>
  </si>
  <si>
    <t>7.61亿</t>
  </si>
  <si>
    <t>9950.15万</t>
  </si>
  <si>
    <t>-997.33万</t>
  </si>
  <si>
    <t>10派0.2元(含税)</t>
  </si>
  <si>
    <t>3894.13万</t>
  </si>
  <si>
    <t>2992.89万</t>
  </si>
  <si>
    <t>4406.29亿</t>
  </si>
  <si>
    <t>646.51亿</t>
  </si>
  <si>
    <t>15.04亿</t>
  </si>
  <si>
    <t>-1.95亿</t>
  </si>
  <si>
    <t>33.09亿</t>
  </si>
  <si>
    <t>12.77亿</t>
  </si>
  <si>
    <t>340526790亿</t>
  </si>
  <si>
    <t>166.06万</t>
  </si>
  <si>
    <t>-367654280亿</t>
  </si>
  <si>
    <t>774.46亿</t>
  </si>
  <si>
    <t>316751260亿</t>
  </si>
  <si>
    <t>1005.00万</t>
  </si>
  <si>
    <t>262156660000亿</t>
  </si>
  <si>
    <t>6832.67万</t>
  </si>
  <si>
    <t>271.45亿</t>
  </si>
  <si>
    <t>5.32亿</t>
  </si>
  <si>
    <t>2.14亿</t>
  </si>
  <si>
    <t>24.24亿</t>
  </si>
  <si>
    <t>2668.43亿</t>
  </si>
  <si>
    <t>516.94亿</t>
  </si>
  <si>
    <t>-507.89亿</t>
  </si>
  <si>
    <t>-49.54亿</t>
  </si>
  <si>
    <t>4.46亿</t>
  </si>
  <si>
    <t>112.46亿</t>
  </si>
  <si>
    <t>16.82亿</t>
  </si>
  <si>
    <t>111.38亿</t>
  </si>
  <si>
    <t>2.90亿</t>
  </si>
  <si>
    <t>912.35万</t>
  </si>
  <si>
    <t>1.82亿</t>
  </si>
  <si>
    <t>15.30亿</t>
  </si>
  <si>
    <t>160.64万</t>
  </si>
  <si>
    <t>40.61亿</t>
  </si>
  <si>
    <t>45.03亿</t>
  </si>
  <si>
    <t>1665.99万</t>
  </si>
  <si>
    <t>33.48亿</t>
  </si>
  <si>
    <t>2.64亿</t>
  </si>
  <si>
    <t>6501.37万</t>
  </si>
  <si>
    <t>1092.88万</t>
  </si>
  <si>
    <t>92.20万</t>
  </si>
  <si>
    <t>1871.58万</t>
  </si>
  <si>
    <t>-5593636亿</t>
  </si>
  <si>
    <t>-152855960亿</t>
  </si>
  <si>
    <t>6.90亿</t>
  </si>
  <si>
    <t>23347452亿</t>
  </si>
  <si>
    <t>1969.65万</t>
  </si>
  <si>
    <t>1681296500亿</t>
  </si>
  <si>
    <t>915.33万</t>
  </si>
  <si>
    <t>-578.50万</t>
  </si>
  <si>
    <t>-2.02亿</t>
  </si>
  <si>
    <t>9407.69万</t>
  </si>
  <si>
    <t>8029.28万</t>
  </si>
  <si>
    <t>10.02亿</t>
  </si>
  <si>
    <t>2.54亿</t>
  </si>
  <si>
    <t>8277.86万</t>
  </si>
  <si>
    <t>881.01万</t>
  </si>
  <si>
    <t>2513.46万</t>
  </si>
  <si>
    <t>84.92亿</t>
  </si>
  <si>
    <t>138.12亿</t>
  </si>
  <si>
    <t>5190.15万</t>
  </si>
  <si>
    <t>5166.49万</t>
  </si>
  <si>
    <t>5914029亿</t>
  </si>
  <si>
    <t>11.90万</t>
  </si>
  <si>
    <t>38316162亿</t>
  </si>
  <si>
    <t>6045.81万</t>
  </si>
  <si>
    <t>438757400亿</t>
  </si>
  <si>
    <t>12831777200亿</t>
  </si>
  <si>
    <t>720.13万</t>
  </si>
  <si>
    <t>1976.57万</t>
  </si>
  <si>
    <t>84.77亿</t>
  </si>
  <si>
    <t>-2549.21万</t>
  </si>
  <si>
    <t>-23.19亿</t>
  </si>
  <si>
    <t>-229.26万</t>
  </si>
  <si>
    <t>4247.95万</t>
  </si>
  <si>
    <t>2929.87万</t>
  </si>
  <si>
    <t>9850.77万</t>
  </si>
  <si>
    <t>9.62亿</t>
  </si>
  <si>
    <t>0218000000</t>
  </si>
  <si>
    <t>0654000000</t>
  </si>
  <si>
    <t>01308000000</t>
  </si>
  <si>
    <t>02180000000</t>
  </si>
  <si>
    <t>04360000000</t>
  </si>
  <si>
    <t>3446.21万</t>
  </si>
  <si>
    <t>11.65亿</t>
  </si>
  <si>
    <t>28.10亿</t>
  </si>
  <si>
    <t>7402.74万</t>
  </si>
  <si>
    <t>23.08亿</t>
  </si>
  <si>
    <t>-6.26亿</t>
  </si>
  <si>
    <t>5442.34万</t>
  </si>
  <si>
    <t>2880.55万</t>
  </si>
  <si>
    <t>829.88万</t>
  </si>
  <si>
    <t>1745.00万</t>
  </si>
  <si>
    <t>246968亿</t>
  </si>
  <si>
    <t>21160183亿</t>
  </si>
  <si>
    <t>8.47亿</t>
  </si>
  <si>
    <t>11378225亿</t>
  </si>
  <si>
    <t>2296593700亿</t>
  </si>
  <si>
    <t>144.28万</t>
  </si>
  <si>
    <t>243.02万</t>
  </si>
  <si>
    <t>8.64亿</t>
  </si>
  <si>
    <t>8.43亿</t>
  </si>
  <si>
    <t>-3.43亿</t>
  </si>
  <si>
    <t>-2.33万</t>
  </si>
  <si>
    <t>6.17亿</t>
  </si>
  <si>
    <t>2219.80万</t>
  </si>
  <si>
    <t>708.24万</t>
  </si>
  <si>
    <t>10派0.15元(含税)</t>
  </si>
  <si>
    <t>10.30亿</t>
  </si>
  <si>
    <t>-3-0</t>
  </si>
  <si>
    <t>2465.95万</t>
  </si>
  <si>
    <t>1020.71亿</t>
  </si>
  <si>
    <t>189.12亿</t>
  </si>
  <si>
    <t>60.98亿</t>
  </si>
  <si>
    <t>7808.78万</t>
  </si>
  <si>
    <t>82.54万</t>
  </si>
  <si>
    <t>700501400亿</t>
  </si>
  <si>
    <t>15.74亿</t>
  </si>
  <si>
    <t>-28.54亿</t>
  </si>
  <si>
    <t>-7.09亿</t>
  </si>
  <si>
    <t>29.93亿</t>
  </si>
  <si>
    <t>47.87亿</t>
  </si>
  <si>
    <t>26.60亿</t>
  </si>
  <si>
    <t>8737.84万</t>
  </si>
  <si>
    <t>10派3.2元(含税)</t>
  </si>
  <si>
    <t>1.56亿</t>
  </si>
  <si>
    <t>8.45亿</t>
  </si>
  <si>
    <t>161.53万</t>
  </si>
  <si>
    <t>580.24亿</t>
  </si>
  <si>
    <t>124.74亿</t>
  </si>
  <si>
    <t>43.38亿</t>
  </si>
  <si>
    <t>72.05亿</t>
  </si>
  <si>
    <t>24.62亿</t>
  </si>
  <si>
    <t>139288860亿</t>
  </si>
  <si>
    <t>73020484亿</t>
  </si>
  <si>
    <t>231.45亿</t>
  </si>
  <si>
    <t>9500.41万</t>
  </si>
  <si>
    <t>6.60亿</t>
  </si>
  <si>
    <t>-116.19亿</t>
  </si>
  <si>
    <t>-212.05万</t>
  </si>
  <si>
    <t>-2.09亿</t>
  </si>
  <si>
    <t>238.23亿</t>
  </si>
  <si>
    <t>18.05亿</t>
  </si>
  <si>
    <t>7.29亿</t>
  </si>
  <si>
    <t>6.58亿</t>
  </si>
  <si>
    <t>10派0.81元(含税)</t>
  </si>
  <si>
    <t>1172.56万</t>
  </si>
  <si>
    <t>8127.79万</t>
  </si>
  <si>
    <t>287.64万</t>
  </si>
  <si>
    <t>326.13亿</t>
  </si>
  <si>
    <t>38.13亿</t>
  </si>
  <si>
    <t>4843.55万</t>
  </si>
  <si>
    <t>-144607620亿</t>
  </si>
  <si>
    <t>21.99万</t>
  </si>
  <si>
    <t>85018199亿</t>
  </si>
  <si>
    <t>186.40亿</t>
  </si>
  <si>
    <t>-25.89亿</t>
  </si>
  <si>
    <t>-6.33亿</t>
  </si>
  <si>
    <t>-6023.42万</t>
  </si>
  <si>
    <t>62.47亿</t>
  </si>
  <si>
    <t>4.02亿</t>
  </si>
  <si>
    <t>2608.93万</t>
  </si>
  <si>
    <t>10派0.66元(含税)</t>
  </si>
  <si>
    <t>1534.76万</t>
  </si>
  <si>
    <t>9837.64万</t>
  </si>
  <si>
    <t>048435500</t>
  </si>
  <si>
    <t>0145306500</t>
  </si>
  <si>
    <t>0290613000</t>
  </si>
  <si>
    <t>0484355000</t>
  </si>
  <si>
    <t>0968710000</t>
  </si>
  <si>
    <t>1031.23万</t>
  </si>
  <si>
    <t>40.36亿</t>
  </si>
  <si>
    <t>10.19亿</t>
  </si>
  <si>
    <t>2.13亿</t>
  </si>
  <si>
    <t>4.91亿</t>
  </si>
  <si>
    <t>6273.17万</t>
  </si>
  <si>
    <t>1328458亿</t>
  </si>
  <si>
    <t>33.66万</t>
  </si>
  <si>
    <t>-112004124亿</t>
  </si>
  <si>
    <t>17.06亿</t>
  </si>
  <si>
    <t>53229829亿</t>
  </si>
  <si>
    <t>2008766600亿</t>
  </si>
  <si>
    <t>512.83万</t>
  </si>
  <si>
    <t>2.50亿</t>
  </si>
  <si>
    <t>2.48亿</t>
  </si>
  <si>
    <t>1040.65万</t>
  </si>
  <si>
    <t>19.73亿</t>
  </si>
  <si>
    <t>-5652.26万</t>
  </si>
  <si>
    <t>-18.10万</t>
  </si>
  <si>
    <t>-5806.61万</t>
  </si>
  <si>
    <t>36.60亿</t>
  </si>
  <si>
    <t>-5.84亿</t>
  </si>
  <si>
    <t>4627.82万</t>
  </si>
  <si>
    <t>6728.94万</t>
  </si>
  <si>
    <t>3.60亿</t>
  </si>
  <si>
    <t>开始亏损</t>
  </si>
  <si>
    <t>0639000000</t>
  </si>
  <si>
    <t>01278000000</t>
  </si>
  <si>
    <t>02130000000</t>
  </si>
  <si>
    <t>04260000000</t>
  </si>
  <si>
    <t>-5-1</t>
  </si>
  <si>
    <t>XD华铁应</t>
  </si>
  <si>
    <t>918.85万</t>
  </si>
  <si>
    <t>135.58亿</t>
  </si>
  <si>
    <t>58.46亿</t>
  </si>
  <si>
    <t>11.05亿</t>
  </si>
  <si>
    <t>41.27亿</t>
  </si>
  <si>
    <t>1.98亿</t>
  </si>
  <si>
    <t>6.30亿</t>
  </si>
  <si>
    <t>5036.67万</t>
  </si>
  <si>
    <t>-430456亿</t>
  </si>
  <si>
    <t>45.11万</t>
  </si>
  <si>
    <t>158669990亿</t>
  </si>
  <si>
    <t>5830.95万</t>
  </si>
  <si>
    <t>3431708800亿</t>
  </si>
  <si>
    <t>4146495700亿</t>
  </si>
  <si>
    <t>573.02万</t>
  </si>
  <si>
    <t>10.71亿</t>
  </si>
  <si>
    <t>9.44亿</t>
  </si>
  <si>
    <t>53.54亿</t>
  </si>
  <si>
    <t>-2.55亿</t>
  </si>
  <si>
    <t>-4.38亿</t>
  </si>
  <si>
    <t>6.40亿</t>
  </si>
  <si>
    <t>44.44亿</t>
  </si>
  <si>
    <t>13.00亿</t>
  </si>
  <si>
    <t>8.01亿</t>
  </si>
  <si>
    <t>1.46亿</t>
  </si>
  <si>
    <t>10派0.2189元(含税)</t>
  </si>
  <si>
    <t>4609.07万</t>
  </si>
  <si>
    <t>5.84亿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</si>
</sst>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Fon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254000</xdr:colOff>
          <xdr:row>0</xdr:row>
          <xdr:rowOff>101600</xdr:rowOff>
        </xdr:from>
        <xdr:to>
          <xdr:col>147</xdr:col>
          <xdr:colOff>1301750</xdr:colOff>
          <xdr:row>0</xdr:row>
          <xdr:rowOff>406400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30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30" sqref="D30:EP30"/>
    </sheetView>
  </sheetViews>
  <sheetFormatPr defaultRowHeight="14" x14ac:dyDescent="0.25"/>
  <cols>
    <col min="1" max="1" width="34.08984375" customWidth="1"/>
    <col min="2" max="2" width="31.6328125" customWidth="1"/>
    <col min="3" max="3" width="38.1796875" customWidth="1"/>
    <col min="148" max="148" width="22.08984375" customWidth="1"/>
  </cols>
  <sheetData>
    <row r="1" spans="1:146" ht="39" customHeight="1" x14ac:dyDescent="0.25">
      <c r="A1" s="3" t="s">
        <v>46</v>
      </c>
      <c r="B1" s="4" t="s">
        <v>47</v>
      </c>
      <c r="C1" s="3" t="s">
        <v>48</v>
      </c>
      <c r="D1" t="s">
        <v>18</v>
      </c>
      <c r="E1" t="s">
        <v>308</v>
      </c>
      <c r="F1" t="s">
        <v>3</v>
      </c>
      <c r="G1" t="s">
        <v>265</v>
      </c>
      <c r="H1" t="s">
        <v>309</v>
      </c>
      <c r="I1" t="s">
        <v>19</v>
      </c>
      <c r="J1" t="s">
        <v>20</v>
      </c>
      <c r="K1" t="s">
        <v>4</v>
      </c>
      <c r="L1" t="s">
        <v>21</v>
      </c>
      <c r="M1" t="s">
        <v>49</v>
      </c>
      <c r="N1" t="s">
        <v>50</v>
      </c>
      <c r="O1" t="s">
        <v>51</v>
      </c>
      <c r="P1" t="s">
        <v>310</v>
      </c>
      <c r="Q1" t="s">
        <v>311</v>
      </c>
      <c r="R1" t="s">
        <v>312</v>
      </c>
      <c r="S1" t="s">
        <v>52</v>
      </c>
      <c r="T1" t="s">
        <v>313</v>
      </c>
      <c r="U1" t="s">
        <v>266</v>
      </c>
      <c r="V1" t="s">
        <v>53</v>
      </c>
      <c r="W1" t="s">
        <v>314</v>
      </c>
      <c r="X1" t="s">
        <v>315</v>
      </c>
      <c r="Y1" t="s">
        <v>316</v>
      </c>
      <c r="Z1" t="s">
        <v>317</v>
      </c>
      <c r="AA1" t="s">
        <v>318</v>
      </c>
      <c r="AB1" t="s">
        <v>319</v>
      </c>
      <c r="AC1" t="s">
        <v>320</v>
      </c>
      <c r="AD1" t="s">
        <v>321</v>
      </c>
      <c r="AE1" t="s">
        <v>54</v>
      </c>
      <c r="AF1" t="s">
        <v>55</v>
      </c>
      <c r="AG1" t="s">
        <v>322</v>
      </c>
      <c r="AH1" t="s">
        <v>323</v>
      </c>
      <c r="AI1" t="s">
        <v>324</v>
      </c>
      <c r="AJ1" t="s">
        <v>56</v>
      </c>
      <c r="AK1" t="s">
        <v>325</v>
      </c>
      <c r="AL1" t="s">
        <v>98</v>
      </c>
      <c r="AM1" t="s">
        <v>326</v>
      </c>
      <c r="AN1" t="s">
        <v>327</v>
      </c>
      <c r="AO1" t="s">
        <v>328</v>
      </c>
      <c r="AP1" t="s">
        <v>329</v>
      </c>
      <c r="AQ1" t="s">
        <v>330</v>
      </c>
      <c r="AR1" t="s">
        <v>331</v>
      </c>
      <c r="AS1" t="s">
        <v>332</v>
      </c>
      <c r="AT1" t="s">
        <v>333</v>
      </c>
      <c r="AU1" t="s">
        <v>334</v>
      </c>
      <c r="AV1" t="s">
        <v>335</v>
      </c>
      <c r="AW1" t="s">
        <v>336</v>
      </c>
      <c r="AX1" t="s">
        <v>337</v>
      </c>
      <c r="AY1" t="s">
        <v>99</v>
      </c>
      <c r="AZ1" t="s">
        <v>100</v>
      </c>
      <c r="BA1" t="s">
        <v>101</v>
      </c>
      <c r="BB1" t="s">
        <v>102</v>
      </c>
      <c r="BC1" t="s">
        <v>267</v>
      </c>
      <c r="BD1" t="s">
        <v>103</v>
      </c>
      <c r="BE1" t="s">
        <v>104</v>
      </c>
      <c r="BF1" t="s">
        <v>105</v>
      </c>
      <c r="BG1" t="s">
        <v>106</v>
      </c>
      <c r="BH1" t="s">
        <v>338</v>
      </c>
      <c r="BI1" t="s">
        <v>339</v>
      </c>
      <c r="BJ1" t="s">
        <v>340</v>
      </c>
      <c r="BK1" t="s">
        <v>341</v>
      </c>
      <c r="BL1" t="s">
        <v>342</v>
      </c>
      <c r="BM1" t="s">
        <v>343</v>
      </c>
      <c r="BN1" t="s">
        <v>344</v>
      </c>
      <c r="BO1" t="s">
        <v>345</v>
      </c>
      <c r="BP1" t="s">
        <v>268</v>
      </c>
      <c r="BQ1" t="s">
        <v>107</v>
      </c>
      <c r="BR1" t="s">
        <v>346</v>
      </c>
      <c r="BS1" t="s">
        <v>269</v>
      </c>
      <c r="BT1" t="s">
        <v>108</v>
      </c>
      <c r="BU1" t="s">
        <v>347</v>
      </c>
      <c r="BV1" t="s">
        <v>348</v>
      </c>
      <c r="BW1" t="s">
        <v>231</v>
      </c>
      <c r="BX1" t="s">
        <v>109</v>
      </c>
      <c r="BY1" t="s">
        <v>349</v>
      </c>
      <c r="BZ1" t="s">
        <v>232</v>
      </c>
      <c r="CA1" t="s">
        <v>110</v>
      </c>
      <c r="CB1" t="s">
        <v>350</v>
      </c>
      <c r="CC1" t="s">
        <v>351</v>
      </c>
      <c r="CD1" t="s">
        <v>352</v>
      </c>
      <c r="CE1" t="s">
        <v>353</v>
      </c>
      <c r="CF1" s="1" t="s">
        <v>354</v>
      </c>
      <c r="CG1" s="1" t="s">
        <v>355</v>
      </c>
      <c r="CH1" s="1" t="s">
        <v>194</v>
      </c>
      <c r="CI1" s="1" t="s">
        <v>195</v>
      </c>
      <c r="CJ1" s="1" t="s">
        <v>196</v>
      </c>
      <c r="CK1" s="1" t="s">
        <v>197</v>
      </c>
      <c r="CL1" s="1" t="s">
        <v>198</v>
      </c>
      <c r="CM1" s="1" t="s">
        <v>199</v>
      </c>
      <c r="CN1" s="1" t="s">
        <v>200</v>
      </c>
      <c r="CO1" s="1" t="s">
        <v>201</v>
      </c>
      <c r="CP1" s="1" t="s">
        <v>202</v>
      </c>
      <c r="CQ1" s="1" t="s">
        <v>203</v>
      </c>
      <c r="CR1" s="1" t="s">
        <v>390</v>
      </c>
      <c r="CS1" s="1" t="s">
        <v>204</v>
      </c>
      <c r="CT1" s="1" t="s">
        <v>205</v>
      </c>
      <c r="CU1" s="1" t="s">
        <v>206</v>
      </c>
      <c r="CV1" s="1" t="s">
        <v>207</v>
      </c>
      <c r="CW1" s="1" t="s">
        <v>208</v>
      </c>
      <c r="CX1">
        <v>1</v>
      </c>
      <c r="CY1" t="s">
        <v>209</v>
      </c>
      <c r="CZ1" t="s">
        <v>210</v>
      </c>
      <c r="DA1">
        <v>3</v>
      </c>
      <c r="DB1" t="s">
        <v>211</v>
      </c>
      <c r="DC1" t="s">
        <v>212</v>
      </c>
      <c r="DD1">
        <v>6</v>
      </c>
      <c r="DE1" t="s">
        <v>213</v>
      </c>
      <c r="DF1" t="s">
        <v>214</v>
      </c>
      <c r="DG1">
        <v>10</v>
      </c>
      <c r="DH1" t="s">
        <v>215</v>
      </c>
      <c r="DI1" t="s">
        <v>216</v>
      </c>
      <c r="DJ1">
        <v>20</v>
      </c>
      <c r="DK1" t="s">
        <v>217</v>
      </c>
      <c r="DL1" t="s">
        <v>218</v>
      </c>
      <c r="DM1" t="s">
        <v>219</v>
      </c>
      <c r="DN1" s="2" t="s">
        <v>220</v>
      </c>
      <c r="DO1" t="s">
        <v>221</v>
      </c>
      <c r="DP1" t="s">
        <v>222</v>
      </c>
      <c r="DQ1" s="7" t="s">
        <v>391</v>
      </c>
      <c r="DR1" s="1" t="s">
        <v>223</v>
      </c>
      <c r="DS1" s="1" t="s">
        <v>224</v>
      </c>
      <c r="DT1" t="s">
        <v>392</v>
      </c>
      <c r="DU1" t="s">
        <v>225</v>
      </c>
      <c r="DV1" t="s">
        <v>226</v>
      </c>
      <c r="DW1" t="s">
        <v>227</v>
      </c>
      <c r="DX1" t="s">
        <v>393</v>
      </c>
      <c r="DY1" t="s">
        <v>394</v>
      </c>
      <c r="DZ1" t="s">
        <v>228</v>
      </c>
      <c r="EA1" t="s">
        <v>229</v>
      </c>
      <c r="EB1" t="s">
        <v>230</v>
      </c>
      <c r="EC1" t="s">
        <v>395</v>
      </c>
      <c r="ED1" t="s">
        <v>396</v>
      </c>
      <c r="EE1" t="s">
        <v>397</v>
      </c>
      <c r="EF1" t="s">
        <v>398</v>
      </c>
      <c r="EG1" t="s">
        <v>399</v>
      </c>
      <c r="EH1" t="s">
        <v>400</v>
      </c>
      <c r="EI1" t="s">
        <v>401</v>
      </c>
      <c r="EK1" s="8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</row>
    <row r="2" spans="1:146" ht="108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市值155.84994亿, 利润12.81亿; PE10.94; 平均PE-16.96; 平均PEG-6.52, PB.513; ROIC2.46%; ROE-3.0667%; 股利率0%; 毛利39.9133%; 净利-2.08%; 上一年度营收增5.49%, 利润增164.5%; 当季营收增31.58%, 利润增58.01%; 过往5年营收增-2.6%, 利润增-69.7%
Income profile:
</v>
      </c>
      <c r="D2" t="s">
        <v>40</v>
      </c>
      <c r="E2" t="s">
        <v>17</v>
      </c>
      <c r="F2">
        <v>2.52</v>
      </c>
      <c r="G2">
        <v>0</v>
      </c>
      <c r="H2" t="s">
        <v>542</v>
      </c>
      <c r="I2">
        <v>15584994000</v>
      </c>
      <c r="J2">
        <v>10.94</v>
      </c>
      <c r="K2">
        <v>0.51300000000000001</v>
      </c>
      <c r="L2" t="s">
        <v>356</v>
      </c>
      <c r="M2" t="s">
        <v>543</v>
      </c>
      <c r="N2" t="s">
        <v>544</v>
      </c>
      <c r="O2" t="s">
        <v>545</v>
      </c>
      <c r="P2">
        <v>31.58</v>
      </c>
      <c r="Q2" t="s">
        <v>546</v>
      </c>
      <c r="R2">
        <v>388706000</v>
      </c>
      <c r="S2" s="5">
        <v>0.58209999999999995</v>
      </c>
      <c r="T2" t="s">
        <v>547</v>
      </c>
      <c r="U2">
        <v>5392739100</v>
      </c>
      <c r="V2">
        <v>6184521300</v>
      </c>
      <c r="W2">
        <v>5.62</v>
      </c>
      <c r="X2">
        <v>0.03</v>
      </c>
      <c r="Y2">
        <v>7.47</v>
      </c>
      <c r="Z2" t="s">
        <v>548</v>
      </c>
      <c r="AA2" t="s">
        <v>549</v>
      </c>
      <c r="AB2" t="s">
        <v>550</v>
      </c>
      <c r="AC2" t="s">
        <v>551</v>
      </c>
      <c r="AD2" t="s">
        <v>45</v>
      </c>
      <c r="AE2">
        <v>2243702000</v>
      </c>
      <c r="AF2" t="s">
        <v>552</v>
      </c>
      <c r="AG2" t="s">
        <v>45</v>
      </c>
      <c r="AH2" t="s">
        <v>553</v>
      </c>
      <c r="AI2" t="s">
        <v>554</v>
      </c>
      <c r="AJ2" t="s">
        <v>555</v>
      </c>
      <c r="AK2" t="s">
        <v>556</v>
      </c>
      <c r="AL2" t="s">
        <v>557</v>
      </c>
      <c r="AM2" t="s">
        <v>45</v>
      </c>
      <c r="AN2" t="s">
        <v>558</v>
      </c>
      <c r="AO2" t="s">
        <v>45</v>
      </c>
      <c r="AP2" t="s">
        <v>45</v>
      </c>
      <c r="AQ2" t="s">
        <v>509</v>
      </c>
      <c r="AR2" t="s">
        <v>559</v>
      </c>
      <c r="AS2" t="s">
        <v>560</v>
      </c>
      <c r="AT2" t="s">
        <v>561</v>
      </c>
      <c r="AU2" t="s">
        <v>562</v>
      </c>
      <c r="AV2" t="s">
        <v>563</v>
      </c>
      <c r="AW2" t="s">
        <v>564</v>
      </c>
      <c r="AX2" t="s">
        <v>438</v>
      </c>
      <c r="AY2" t="s">
        <v>270</v>
      </c>
      <c r="AZ2" t="s">
        <v>113</v>
      </c>
      <c r="BA2" t="s">
        <v>57</v>
      </c>
      <c r="BB2" t="s">
        <v>115</v>
      </c>
      <c r="BC2" t="s">
        <v>439</v>
      </c>
      <c r="BD2" t="s">
        <v>271</v>
      </c>
      <c r="BE2" t="s">
        <v>114</v>
      </c>
      <c r="BF2" t="s">
        <v>58</v>
      </c>
      <c r="BG2" t="s">
        <v>116</v>
      </c>
      <c r="BH2" t="s">
        <v>546</v>
      </c>
      <c r="BI2" t="s">
        <v>565</v>
      </c>
      <c r="BJ2" t="s">
        <v>438</v>
      </c>
      <c r="BK2" t="s">
        <v>547</v>
      </c>
      <c r="BL2" t="s">
        <v>535</v>
      </c>
      <c r="BM2" t="s">
        <v>439</v>
      </c>
      <c r="BN2">
        <v>2.46</v>
      </c>
      <c r="BO2" t="s">
        <v>45</v>
      </c>
      <c r="BP2" t="s">
        <v>45</v>
      </c>
      <c r="BQ2">
        <v>2.92</v>
      </c>
      <c r="BR2">
        <v>-7.45</v>
      </c>
      <c r="BS2">
        <v>-4.67</v>
      </c>
      <c r="BT2" t="s">
        <v>409</v>
      </c>
      <c r="BU2" t="s">
        <v>356</v>
      </c>
      <c r="BV2">
        <v>43.48</v>
      </c>
      <c r="BW2">
        <v>37.549999999999997</v>
      </c>
      <c r="BX2">
        <v>38.71</v>
      </c>
      <c r="BY2">
        <v>5.4</v>
      </c>
      <c r="BZ2">
        <v>-7.43</v>
      </c>
      <c r="CA2">
        <v>-4.21</v>
      </c>
      <c r="CB2">
        <v>-1.18</v>
      </c>
      <c r="CC2">
        <v>3.28</v>
      </c>
      <c r="CD2" t="s">
        <v>539</v>
      </c>
      <c r="CE2" t="s">
        <v>566</v>
      </c>
      <c r="CF2" s="9">
        <v>0.31582181259600633</v>
      </c>
      <c r="CG2" s="10">
        <v>0.58010569105691057</v>
      </c>
      <c r="CH2" s="9">
        <v>5.4915104061365128E-2</v>
      </c>
      <c r="CI2" s="9">
        <v>0.19151952862739563</v>
      </c>
      <c r="CJ2" s="9">
        <v>-2.2868163883686066E-2</v>
      </c>
      <c r="CK2" s="9">
        <v>-0.29340517520904541</v>
      </c>
      <c r="CL2" s="9">
        <v>-6.0255270451307297E-2</v>
      </c>
      <c r="CM2" s="10">
        <v>1.6450150012969971</v>
      </c>
      <c r="CN2" s="10">
        <v>-0.61201298236846924</v>
      </c>
      <c r="CO2" s="10">
        <v>0.84008306264877319</v>
      </c>
      <c r="CP2" s="10">
        <v>-5.1688313484191895</v>
      </c>
      <c r="CQ2" s="10">
        <v>-0.18911805748939514</v>
      </c>
      <c r="CR2">
        <v>-16.958644178454843</v>
      </c>
      <c r="CS2">
        <v>-6.5178437112889354</v>
      </c>
      <c r="CT2">
        <v>0</v>
      </c>
      <c r="CU2" s="9">
        <v>-2.6018795371055604E-2</v>
      </c>
      <c r="CV2" s="10">
        <v>-0.69697286486625676</v>
      </c>
      <c r="CW2">
        <v>0.06</v>
      </c>
      <c r="CX2">
        <v>144.3934379391101</v>
      </c>
      <c r="CY2" t="s">
        <v>567</v>
      </c>
      <c r="CZ2">
        <v>-2.6018795371055604E-2</v>
      </c>
      <c r="DA2">
        <v>48.131145979703362</v>
      </c>
      <c r="DB2" t="s">
        <v>568</v>
      </c>
      <c r="DC2">
        <v>-2.4717855602502822E-2</v>
      </c>
      <c r="DD2">
        <v>24.065572989851681</v>
      </c>
      <c r="DE2" t="s">
        <v>569</v>
      </c>
      <c r="DF2">
        <v>-2.289653992652893E-2</v>
      </c>
      <c r="DG2">
        <v>14.439343793911009</v>
      </c>
      <c r="DH2" t="s">
        <v>570</v>
      </c>
      <c r="DI2">
        <v>-2.0815036296844485E-2</v>
      </c>
      <c r="DJ2">
        <v>7.2196718969555045</v>
      </c>
      <c r="DK2" t="s">
        <v>571</v>
      </c>
      <c r="DL2">
        <v>-1.8213156759738922E-2</v>
      </c>
      <c r="DM2">
        <v>1281000000</v>
      </c>
      <c r="DN2">
        <v>-2.6018795371055604E-2</v>
      </c>
      <c r="DO2">
        <v>184967994000.00003</v>
      </c>
      <c r="DP2">
        <v>-34780300000</v>
      </c>
      <c r="DQ2">
        <v>79</v>
      </c>
      <c r="DR2">
        <v>0.34184060796706195</v>
      </c>
      <c r="DS2">
        <v>1.2770785559231674</v>
      </c>
      <c r="DT2" s="11">
        <v>-0.40666666666666668</v>
      </c>
      <c r="DU2">
        <v>-1.0633333333333335</v>
      </c>
      <c r="DV2">
        <v>-1.4700000000000002</v>
      </c>
      <c r="DW2">
        <v>1.0327999999999999</v>
      </c>
      <c r="DX2">
        <v>0.32371913922214929</v>
      </c>
      <c r="DY2">
        <v>1.0047139877664863</v>
      </c>
      <c r="DZ2">
        <v>3993</v>
      </c>
      <c r="EA2">
        <v>1.001030435290639</v>
      </c>
      <c r="EB2">
        <v>1</v>
      </c>
      <c r="EC2">
        <v>4.2363828547247462E-2</v>
      </c>
      <c r="ED2">
        <v>0.29476816580775622</v>
      </c>
      <c r="EE2" s="12">
        <v>2.0150000000000001</v>
      </c>
      <c r="EF2">
        <v>2.0214099999999999</v>
      </c>
      <c r="EG2">
        <v>18.143719139222149</v>
      </c>
      <c r="EH2" t="s">
        <v>440</v>
      </c>
      <c r="EI2">
        <v>0</v>
      </c>
      <c r="EJ2">
        <v>0</v>
      </c>
      <c r="EK2" s="8">
        <v>45470</v>
      </c>
      <c r="EL2" s="13">
        <v>-0.83</v>
      </c>
      <c r="EM2" s="13">
        <v>1.25</v>
      </c>
      <c r="EN2" s="13">
        <v>1.23</v>
      </c>
      <c r="EO2" s="13">
        <v>0.41</v>
      </c>
      <c r="EP2" s="13">
        <v>-3.64</v>
      </c>
    </row>
    <row r="3" spans="1:146" ht="108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市值40.330876亿, 利润1.43亿; PE62.54; 平均PE35.97; 平均PEG4.84, PB3.05; ROIC7.2967%; ROE12.1833%; 股利率.5128%; 毛利44.6267%; 净利27.4267%; 上一年度营收增3.33%, 利润增-25.91%; 当季营收增-47.09%, 利润增-74.63%; 过往5年营收增7.43%, 利润增33.08%
Income profile:
</v>
      </c>
      <c r="D3" t="s">
        <v>29</v>
      </c>
      <c r="E3" t="s">
        <v>7</v>
      </c>
      <c r="F3">
        <v>11.7</v>
      </c>
      <c r="G3">
        <v>-4.3E-3</v>
      </c>
      <c r="H3" t="s">
        <v>443</v>
      </c>
      <c r="I3">
        <v>4033087600</v>
      </c>
      <c r="J3">
        <v>62.54</v>
      </c>
      <c r="K3">
        <v>3.05</v>
      </c>
      <c r="L3" t="s">
        <v>23</v>
      </c>
      <c r="M3" t="s">
        <v>444</v>
      </c>
      <c r="N3" t="s">
        <v>445</v>
      </c>
      <c r="O3" t="s">
        <v>263</v>
      </c>
      <c r="P3">
        <v>-47.1</v>
      </c>
      <c r="Q3" t="s">
        <v>73</v>
      </c>
      <c r="R3">
        <v>44988214</v>
      </c>
      <c r="S3" s="5">
        <v>-0.63649999999999995</v>
      </c>
      <c r="T3" t="s">
        <v>256</v>
      </c>
      <c r="U3">
        <v>343549750</v>
      </c>
      <c r="V3">
        <v>344708340</v>
      </c>
      <c r="W3">
        <v>1.73</v>
      </c>
      <c r="X3">
        <v>0.11</v>
      </c>
      <c r="Y3">
        <v>18.88</v>
      </c>
      <c r="Z3" t="s">
        <v>288</v>
      </c>
      <c r="AA3" t="s">
        <v>381</v>
      </c>
      <c r="AB3" t="s">
        <v>446</v>
      </c>
      <c r="AC3" t="s">
        <v>447</v>
      </c>
      <c r="AD3" t="s">
        <v>448</v>
      </c>
      <c r="AE3">
        <v>20074367</v>
      </c>
      <c r="AF3" t="s">
        <v>449</v>
      </c>
      <c r="AG3" t="s">
        <v>450</v>
      </c>
      <c r="AH3" t="s">
        <v>451</v>
      </c>
      <c r="AI3" t="s">
        <v>139</v>
      </c>
      <c r="AJ3" t="s">
        <v>452</v>
      </c>
      <c r="AK3" t="s">
        <v>453</v>
      </c>
      <c r="AL3" t="s">
        <v>454</v>
      </c>
      <c r="AM3" t="s">
        <v>45</v>
      </c>
      <c r="AN3" t="s">
        <v>455</v>
      </c>
      <c r="AO3" t="s">
        <v>59</v>
      </c>
      <c r="AP3" t="s">
        <v>456</v>
      </c>
      <c r="AQ3" t="s">
        <v>188</v>
      </c>
      <c r="AR3" t="s">
        <v>457</v>
      </c>
      <c r="AS3" t="s">
        <v>458</v>
      </c>
      <c r="AT3" t="s">
        <v>459</v>
      </c>
      <c r="AU3" t="s">
        <v>460</v>
      </c>
      <c r="AV3" t="s">
        <v>461</v>
      </c>
      <c r="AW3" t="s">
        <v>462</v>
      </c>
      <c r="AX3" t="s">
        <v>272</v>
      </c>
      <c r="AY3" t="s">
        <v>83</v>
      </c>
      <c r="AZ3" t="s">
        <v>59</v>
      </c>
      <c r="BA3" t="s">
        <v>117</v>
      </c>
      <c r="BB3" t="s">
        <v>118</v>
      </c>
      <c r="BC3" t="s">
        <v>142</v>
      </c>
      <c r="BD3" t="s">
        <v>112</v>
      </c>
      <c r="BE3" t="s">
        <v>60</v>
      </c>
      <c r="BF3" t="s">
        <v>120</v>
      </c>
      <c r="BG3" t="s">
        <v>121</v>
      </c>
      <c r="BH3" t="s">
        <v>435</v>
      </c>
      <c r="BI3" t="s">
        <v>423</v>
      </c>
      <c r="BJ3" t="s">
        <v>410</v>
      </c>
      <c r="BK3" t="s">
        <v>463</v>
      </c>
      <c r="BL3" t="s">
        <v>156</v>
      </c>
      <c r="BM3" t="s">
        <v>411</v>
      </c>
      <c r="BN3">
        <v>1.2</v>
      </c>
      <c r="BO3">
        <v>10.45</v>
      </c>
      <c r="BP3">
        <v>10.24</v>
      </c>
      <c r="BQ3">
        <v>1.1200000000000001</v>
      </c>
      <c r="BR3">
        <v>17.8</v>
      </c>
      <c r="BS3">
        <v>17.63</v>
      </c>
      <c r="BT3" t="s">
        <v>464</v>
      </c>
      <c r="BU3" t="s">
        <v>356</v>
      </c>
      <c r="BV3">
        <v>44.29</v>
      </c>
      <c r="BW3">
        <v>44.43</v>
      </c>
      <c r="BX3">
        <v>45.16</v>
      </c>
      <c r="BY3">
        <v>16.329999999999998</v>
      </c>
      <c r="BZ3">
        <v>31.49</v>
      </c>
      <c r="CA3">
        <v>34.46</v>
      </c>
      <c r="CB3">
        <v>-7.95</v>
      </c>
      <c r="CC3">
        <v>-25.48</v>
      </c>
      <c r="CD3" t="s">
        <v>465</v>
      </c>
      <c r="CE3" t="s">
        <v>466</v>
      </c>
      <c r="CF3" s="9">
        <v>-0.47089947089947087</v>
      </c>
      <c r="CG3" s="10">
        <v>-0.74634825855151266</v>
      </c>
      <c r="CH3" s="9">
        <v>3.3280506730079651E-2</v>
      </c>
      <c r="CI3" s="9">
        <v>0.22524271905422211</v>
      </c>
      <c r="CJ3" s="9">
        <v>0.18937644362449646</v>
      </c>
      <c r="CK3" s="9">
        <v>-0.18301886320114136</v>
      </c>
      <c r="CL3" s="9">
        <v>0.10647181421518326</v>
      </c>
      <c r="CM3" s="10">
        <v>-0.2590673565864563</v>
      </c>
      <c r="CN3" s="10">
        <v>0.1840490847826004</v>
      </c>
      <c r="CO3" s="10">
        <v>1.3015642166137695</v>
      </c>
      <c r="CP3" s="10">
        <v>0.29545101523399353</v>
      </c>
      <c r="CQ3" s="10">
        <v>0.13222587108612061</v>
      </c>
      <c r="CR3">
        <v>35.96820276600441</v>
      </c>
      <c r="CS3">
        <v>4.84286373488482</v>
      </c>
      <c r="CT3">
        <v>0.51282051282051289</v>
      </c>
      <c r="CU3" s="9">
        <v>7.4270524084568024E-2</v>
      </c>
      <c r="CV3" s="10">
        <v>0.33084456622600555</v>
      </c>
      <c r="CW3">
        <v>0.06</v>
      </c>
      <c r="CX3">
        <v>25.186014874286425</v>
      </c>
      <c r="CY3">
        <v>144925174.47555962</v>
      </c>
      <c r="CZ3">
        <v>7.4270524084568024E-2</v>
      </c>
      <c r="DA3">
        <v>8.3411113523317724</v>
      </c>
      <c r="DB3">
        <v>437602070.73360932</v>
      </c>
      <c r="DC3">
        <v>7.0556997880339617E-2</v>
      </c>
      <c r="DD3">
        <v>4.1796107712342243</v>
      </c>
      <c r="DE3">
        <v>873308018.32586491</v>
      </c>
      <c r="DF3">
        <v>6.5358061194419864E-2</v>
      </c>
      <c r="DG3">
        <v>2.560248487266946</v>
      </c>
      <c r="DH3">
        <v>1425677084.9209454</v>
      </c>
      <c r="DI3">
        <v>5.9416419267654424E-2</v>
      </c>
      <c r="DJ3">
        <v>1.3807474604896202</v>
      </c>
      <c r="DK3">
        <v>2643559162.3001504</v>
      </c>
      <c r="DL3">
        <v>5.1989366859197611E-2</v>
      </c>
      <c r="DM3">
        <v>143000000</v>
      </c>
      <c r="DN3">
        <v>7.4270524084568024E-2</v>
      </c>
      <c r="DO3">
        <v>3650087600</v>
      </c>
      <c r="DP3">
        <v>-283666650</v>
      </c>
      <c r="DQ3">
        <v>119</v>
      </c>
      <c r="DR3">
        <v>-0.54516999498403895</v>
      </c>
      <c r="DS3">
        <v>-1.0771928247775182</v>
      </c>
      <c r="DT3" s="11">
        <v>-0.27333333333333337</v>
      </c>
      <c r="DU3">
        <v>-7.3333333333333403E-2</v>
      </c>
      <c r="DV3">
        <v>-0.34666666666666679</v>
      </c>
      <c r="DW3">
        <v>-9.3120094191522771</v>
      </c>
      <c r="DX3">
        <v>0.21747292418772524</v>
      </c>
      <c r="DY3">
        <v>-9.0304124704588862</v>
      </c>
      <c r="DZ3">
        <v>3025</v>
      </c>
      <c r="EA3">
        <v>-9.0124301164443956</v>
      </c>
      <c r="EB3">
        <v>9</v>
      </c>
      <c r="EC3">
        <v>0.31330834641250627</v>
      </c>
      <c r="ED3">
        <v>3.2143115539357128</v>
      </c>
      <c r="EE3" s="12">
        <v>-2.1043099999999999</v>
      </c>
      <c r="EF3">
        <v>-2.1043530000000001</v>
      </c>
      <c r="EG3">
        <v>12.097472924187725</v>
      </c>
      <c r="EH3" t="s">
        <v>467</v>
      </c>
      <c r="EI3">
        <v>0</v>
      </c>
      <c r="EJ3">
        <v>0</v>
      </c>
      <c r="EK3" s="8">
        <v>45359</v>
      </c>
      <c r="EL3" s="13">
        <v>-3.38</v>
      </c>
      <c r="EM3" s="13">
        <v>-1.79</v>
      </c>
      <c r="EN3" s="13">
        <v>2.16</v>
      </c>
      <c r="EO3" s="13">
        <v>-4.63</v>
      </c>
      <c r="EP3" s="13">
        <v>-4.3E-3</v>
      </c>
    </row>
    <row r="4" spans="1:146" ht="108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市值139.09999亿, 利润10.82亿; PE12.46; 平均PE19.69; 平均PEG.76, PB.797; ROIC4.1633%; ROE5.9367%; 股利率2.5735%; 毛利0%; 净利40.12%; 上一年度营收增46.05%, 利润增29.12%; 当季营收增18.38%, 利润增10.06%; 过往5年营收增25.76%, 利润增30.12%
Income profile:
</v>
      </c>
      <c r="D4" t="s">
        <v>31</v>
      </c>
      <c r="E4" t="s">
        <v>11</v>
      </c>
      <c r="F4">
        <v>2.72</v>
      </c>
      <c r="G4">
        <v>-0.37</v>
      </c>
      <c r="H4" t="s">
        <v>572</v>
      </c>
      <c r="I4">
        <v>13909999000</v>
      </c>
      <c r="J4">
        <v>12.46</v>
      </c>
      <c r="K4">
        <v>0.79700000000000004</v>
      </c>
      <c r="L4" t="s">
        <v>356</v>
      </c>
      <c r="M4" t="s">
        <v>573</v>
      </c>
      <c r="N4" t="s">
        <v>574</v>
      </c>
      <c r="O4" t="s">
        <v>575</v>
      </c>
      <c r="P4">
        <v>18.350000000000001</v>
      </c>
      <c r="Q4" t="s">
        <v>576</v>
      </c>
      <c r="R4">
        <v>367597040</v>
      </c>
      <c r="S4" s="5">
        <v>0.1003</v>
      </c>
      <c r="T4" t="s">
        <v>577</v>
      </c>
      <c r="U4">
        <v>5113970400</v>
      </c>
      <c r="V4">
        <v>5113970400</v>
      </c>
      <c r="W4">
        <v>1.43</v>
      </c>
      <c r="X4">
        <v>0.03</v>
      </c>
      <c r="Y4">
        <v>51.44</v>
      </c>
      <c r="Z4" t="s">
        <v>45</v>
      </c>
      <c r="AA4" t="s">
        <v>45</v>
      </c>
      <c r="AB4" t="s">
        <v>45</v>
      </c>
      <c r="AC4" t="s">
        <v>45</v>
      </c>
      <c r="AD4" t="s">
        <v>45</v>
      </c>
      <c r="AE4">
        <v>0</v>
      </c>
      <c r="AF4" t="s">
        <v>578</v>
      </c>
      <c r="AG4">
        <v>0.67</v>
      </c>
      <c r="AH4" t="s">
        <v>579</v>
      </c>
      <c r="AI4" t="s">
        <v>45</v>
      </c>
      <c r="AJ4" t="s">
        <v>64</v>
      </c>
      <c r="AK4" t="s">
        <v>45</v>
      </c>
      <c r="AL4" t="s">
        <v>64</v>
      </c>
      <c r="AM4" t="s">
        <v>580</v>
      </c>
      <c r="AN4" t="s">
        <v>45</v>
      </c>
      <c r="AO4" t="s">
        <v>45</v>
      </c>
      <c r="AP4" t="s">
        <v>45</v>
      </c>
      <c r="AQ4" t="s">
        <v>45</v>
      </c>
      <c r="AR4" t="s">
        <v>45</v>
      </c>
      <c r="AS4" t="s">
        <v>45</v>
      </c>
      <c r="AT4" t="s">
        <v>45</v>
      </c>
      <c r="AU4" t="s">
        <v>581</v>
      </c>
      <c r="AV4" t="s">
        <v>582</v>
      </c>
      <c r="AW4" t="s">
        <v>583</v>
      </c>
      <c r="AX4" t="s">
        <v>468</v>
      </c>
      <c r="AY4" t="s">
        <v>273</v>
      </c>
      <c r="AZ4" t="s">
        <v>122</v>
      </c>
      <c r="BA4" t="s">
        <v>62</v>
      </c>
      <c r="BB4" t="s">
        <v>124</v>
      </c>
      <c r="BC4" t="s">
        <v>469</v>
      </c>
      <c r="BD4" t="s">
        <v>193</v>
      </c>
      <c r="BE4" t="s">
        <v>123</v>
      </c>
      <c r="BF4" t="s">
        <v>63</v>
      </c>
      <c r="BG4" t="s">
        <v>125</v>
      </c>
      <c r="BH4" t="s">
        <v>576</v>
      </c>
      <c r="BI4" t="s">
        <v>584</v>
      </c>
      <c r="BJ4" t="s">
        <v>468</v>
      </c>
      <c r="BK4" t="s">
        <v>577</v>
      </c>
      <c r="BL4" t="s">
        <v>585</v>
      </c>
      <c r="BM4" t="s">
        <v>469</v>
      </c>
      <c r="BN4">
        <v>3.63</v>
      </c>
      <c r="BO4">
        <v>4.34</v>
      </c>
      <c r="BP4">
        <v>4.5199999999999996</v>
      </c>
      <c r="BQ4">
        <v>5.01</v>
      </c>
      <c r="BR4">
        <v>6.71</v>
      </c>
      <c r="BS4">
        <v>6.09</v>
      </c>
      <c r="BT4" t="s">
        <v>586</v>
      </c>
      <c r="BU4" t="s">
        <v>356</v>
      </c>
      <c r="BV4" t="s">
        <v>45</v>
      </c>
      <c r="BW4" t="s">
        <v>45</v>
      </c>
      <c r="BX4" t="s">
        <v>45</v>
      </c>
      <c r="BY4">
        <v>38.479999999999997</v>
      </c>
      <c r="BZ4">
        <v>43.51</v>
      </c>
      <c r="CA4">
        <v>38.369999999999997</v>
      </c>
      <c r="CB4">
        <v>-1.0900000000000001</v>
      </c>
      <c r="CC4">
        <v>-7.17</v>
      </c>
      <c r="CD4" t="s">
        <v>587</v>
      </c>
      <c r="CE4" t="s">
        <v>588</v>
      </c>
      <c r="CF4" s="9">
        <v>0.18377483443708609</v>
      </c>
      <c r="CG4" s="10">
        <v>0.10058994011976048</v>
      </c>
      <c r="CH4" s="9">
        <v>0.46053993701934814</v>
      </c>
      <c r="CI4" s="9">
        <v>8.9052198454737663E-3</v>
      </c>
      <c r="CJ4" s="9">
        <v>-0.10206964612007141</v>
      </c>
      <c r="CK4" s="9">
        <v>0.21070614457130432</v>
      </c>
      <c r="CL4" s="9">
        <v>0.70983445644378662</v>
      </c>
      <c r="CM4" s="10">
        <v>0.29116946458816528</v>
      </c>
      <c r="CN4" s="10">
        <v>0.14480873942375183</v>
      </c>
      <c r="CO4" s="10">
        <v>6.7055396735668182E-2</v>
      </c>
      <c r="CP4" s="10">
        <v>0.17869415879249573</v>
      </c>
      <c r="CQ4" s="10">
        <v>0.82445138692855835</v>
      </c>
      <c r="CR4">
        <v>19.688604387827318</v>
      </c>
      <c r="CS4">
        <v>0.76435895971998935</v>
      </c>
      <c r="CT4">
        <v>2.5735294117647056</v>
      </c>
      <c r="CU4" s="9">
        <v>0.25758322235196829</v>
      </c>
      <c r="CV4" s="10">
        <v>0.30123582929372789</v>
      </c>
      <c r="CW4">
        <v>0.06</v>
      </c>
      <c r="CX4">
        <v>2.6470681129905329</v>
      </c>
      <c r="CY4">
        <v>1283684006.2121034</v>
      </c>
      <c r="CZ4">
        <v>0.25758322235196829</v>
      </c>
      <c r="DA4">
        <v>0.7527089497719861</v>
      </c>
      <c r="DB4">
        <v>4514359768.1804323</v>
      </c>
      <c r="DC4">
        <v>0.24470406123436986</v>
      </c>
      <c r="DD4">
        <v>0.30440001513150494</v>
      </c>
      <c r="DE4">
        <v>11162939655.347975</v>
      </c>
      <c r="DF4">
        <v>0.2266732356697321</v>
      </c>
      <c r="DG4">
        <v>0.1442740952190639</v>
      </c>
      <c r="DH4">
        <v>23552384749.601257</v>
      </c>
      <c r="DI4">
        <v>0.20606657788157465</v>
      </c>
      <c r="DJ4">
        <v>4.2197073573042677E-2</v>
      </c>
      <c r="DK4">
        <v>80526887584.232605</v>
      </c>
      <c r="DL4">
        <v>0.18030825564637779</v>
      </c>
      <c r="DM4">
        <v>1082000000</v>
      </c>
      <c r="DN4">
        <v>0.25758322235196829</v>
      </c>
      <c r="DO4">
        <v>3397999000</v>
      </c>
      <c r="DP4">
        <v>0</v>
      </c>
      <c r="DQ4">
        <v>142</v>
      </c>
      <c r="DR4">
        <v>-7.3808387914882201E-2</v>
      </c>
      <c r="DS4">
        <v>-0.20064588917396742</v>
      </c>
      <c r="DT4" s="11">
        <v>4.33333333333333E-2</v>
      </c>
      <c r="DU4">
        <v>0.48333333333333334</v>
      </c>
      <c r="DV4">
        <v>0.52666666666666662</v>
      </c>
      <c r="DW4">
        <v>-2.0716999999999999</v>
      </c>
      <c r="DX4">
        <v>0.43700544464609775</v>
      </c>
      <c r="DY4">
        <v>-2.0105402903811251</v>
      </c>
      <c r="DZ4">
        <v>675</v>
      </c>
      <c r="EA4">
        <v>-2.0091479819648317</v>
      </c>
      <c r="EB4">
        <v>2</v>
      </c>
      <c r="EC4">
        <v>3.1677930713091336E-2</v>
      </c>
      <c r="ED4">
        <v>0.21548814596189295</v>
      </c>
      <c r="EE4" s="12">
        <v>1.00031</v>
      </c>
      <c r="EF4">
        <v>1.01461</v>
      </c>
      <c r="EG4">
        <v>29.147005444646098</v>
      </c>
      <c r="EH4" t="s">
        <v>517</v>
      </c>
      <c r="EI4">
        <v>0</v>
      </c>
      <c r="EJ4">
        <v>1</v>
      </c>
      <c r="EK4" s="8">
        <v>45470</v>
      </c>
      <c r="EL4" s="13">
        <v>0.72</v>
      </c>
      <c r="EM4" s="13">
        <v>-1.42</v>
      </c>
      <c r="EN4" s="13">
        <v>-0.36</v>
      </c>
      <c r="EO4" s="13">
        <v>1.0900000000000001</v>
      </c>
      <c r="EP4" s="13">
        <v>-1.43</v>
      </c>
    </row>
    <row r="5" spans="1:146" ht="168" x14ac:dyDescent="0.25">
      <c r="A5" s="6" t="s">
        <v>541</v>
      </c>
      <c r="B5" s="6"/>
      <c r="C5" s="6" t="str">
        <f>"公司从事的主要业务有科技清收个贷不良服务业务、机构困境资管业务、优质资产管理业务。公司的主要产品及服务为资产管理。"&amp;CHAR(10)&amp;Basic_Fundamental_Information_Constructure(F5)&amp;CHAR(10)&amp;Basic_Fundamental_Information_Concatenate("金融业-不良资产处置 4.89亿 88.88% 4.75亿 98.07% 97.17%
金融业-金融科技服务 3338.14万 6.06% 938.18万 1.93% 28.10%")</f>
        <v>公司从事的主要业务有科技清收个贷不良服务业务、机构困境资管业务、优质资产管理业务。公司的主要产品及服务为资产管理。
市值104.57068亿, 利润8.80亿; PE11.35; 平均PE27.02; 平均PEG.75, PB1.84; ROIC9.78%; ROE12.3433%; 股利率7.9439%; 毛利96.05%; 净利64.9667%; 上一年度营收增15.71%, 利润增25.71%; 当季营收增13.11%, 利润增21.5%; 过往5年营收增36.21%, 利润增62.99%
Income profile:
金融业-不良资产处置 4.89亿 88.88% 4.75亿 98.07% 97.17%
金融业-金融科技服务 3338.14万 6.06% 938.18万 1.93% 28.10%</v>
      </c>
      <c r="D5" t="s">
        <v>32</v>
      </c>
      <c r="E5" t="s">
        <v>14</v>
      </c>
      <c r="F5">
        <v>5.35</v>
      </c>
      <c r="G5">
        <v>0.75</v>
      </c>
      <c r="H5" t="s">
        <v>589</v>
      </c>
      <c r="I5">
        <v>10457068000</v>
      </c>
      <c r="J5">
        <v>11.35</v>
      </c>
      <c r="K5">
        <v>1.84</v>
      </c>
      <c r="L5" t="s">
        <v>356</v>
      </c>
      <c r="M5" t="s">
        <v>590</v>
      </c>
      <c r="N5" t="s">
        <v>591</v>
      </c>
      <c r="O5" t="s">
        <v>592</v>
      </c>
      <c r="P5">
        <v>13.16</v>
      </c>
      <c r="Q5" t="s">
        <v>593</v>
      </c>
      <c r="R5">
        <v>233284990</v>
      </c>
      <c r="S5" s="5">
        <v>0.21490000000000001</v>
      </c>
      <c r="T5" t="s">
        <v>594</v>
      </c>
      <c r="U5">
        <v>1949930600</v>
      </c>
      <c r="V5">
        <v>1954592200</v>
      </c>
      <c r="W5">
        <v>1.68</v>
      </c>
      <c r="X5">
        <v>0.04</v>
      </c>
      <c r="Y5">
        <v>66.45</v>
      </c>
      <c r="Z5" t="s">
        <v>595</v>
      </c>
      <c r="AA5" t="s">
        <v>596</v>
      </c>
      <c r="AB5" t="s">
        <v>45</v>
      </c>
      <c r="AC5" t="s">
        <v>597</v>
      </c>
      <c r="AD5" t="s">
        <v>45</v>
      </c>
      <c r="AE5">
        <v>52517839</v>
      </c>
      <c r="AF5" t="s">
        <v>598</v>
      </c>
      <c r="AG5" t="s">
        <v>45</v>
      </c>
      <c r="AH5" t="s">
        <v>599</v>
      </c>
      <c r="AI5" t="s">
        <v>600</v>
      </c>
      <c r="AJ5" t="s">
        <v>601</v>
      </c>
      <c r="AK5" t="s">
        <v>45</v>
      </c>
      <c r="AL5" t="s">
        <v>602</v>
      </c>
      <c r="AM5" t="s">
        <v>45</v>
      </c>
      <c r="AN5">
        <v>0</v>
      </c>
      <c r="AO5" t="s">
        <v>603</v>
      </c>
      <c r="AP5" t="s">
        <v>45</v>
      </c>
      <c r="AQ5" t="s">
        <v>604</v>
      </c>
      <c r="AR5" t="s">
        <v>605</v>
      </c>
      <c r="AS5" t="s">
        <v>606</v>
      </c>
      <c r="AT5" t="s">
        <v>607</v>
      </c>
      <c r="AU5" t="s">
        <v>608</v>
      </c>
      <c r="AV5" t="s">
        <v>609</v>
      </c>
      <c r="AW5" t="s">
        <v>610</v>
      </c>
      <c r="AX5" t="s">
        <v>376</v>
      </c>
      <c r="AY5" t="s">
        <v>274</v>
      </c>
      <c r="AZ5" t="s">
        <v>76</v>
      </c>
      <c r="BA5" t="s">
        <v>65</v>
      </c>
      <c r="BB5" t="s">
        <v>68</v>
      </c>
      <c r="BC5" t="s">
        <v>472</v>
      </c>
      <c r="BD5" t="s">
        <v>275</v>
      </c>
      <c r="BE5" t="s">
        <v>126</v>
      </c>
      <c r="BF5" t="s">
        <v>66</v>
      </c>
      <c r="BG5" t="s">
        <v>75</v>
      </c>
      <c r="BH5" t="s">
        <v>593</v>
      </c>
      <c r="BI5" t="s">
        <v>375</v>
      </c>
      <c r="BJ5" t="s">
        <v>376</v>
      </c>
      <c r="BK5" t="s">
        <v>594</v>
      </c>
      <c r="BL5" t="s">
        <v>151</v>
      </c>
      <c r="BM5" t="s">
        <v>472</v>
      </c>
      <c r="BN5">
        <v>10.48</v>
      </c>
      <c r="BO5">
        <v>11.41</v>
      </c>
      <c r="BP5">
        <v>7.45</v>
      </c>
      <c r="BQ5">
        <v>14.38</v>
      </c>
      <c r="BR5">
        <v>14.22</v>
      </c>
      <c r="BS5">
        <v>8.43</v>
      </c>
      <c r="BT5" t="s">
        <v>611</v>
      </c>
      <c r="BU5" t="s">
        <v>356</v>
      </c>
      <c r="BV5">
        <v>94.63</v>
      </c>
      <c r="BW5">
        <v>97.47</v>
      </c>
      <c r="BX5" t="s">
        <v>45</v>
      </c>
      <c r="BY5">
        <v>71.31</v>
      </c>
      <c r="BZ5">
        <v>66.08</v>
      </c>
      <c r="CA5">
        <v>57.51</v>
      </c>
      <c r="CB5">
        <v>-4.63</v>
      </c>
      <c r="CC5">
        <v>-18.64</v>
      </c>
      <c r="CD5" t="s">
        <v>612</v>
      </c>
      <c r="CE5" t="s">
        <v>613</v>
      </c>
      <c r="CF5" s="9">
        <v>0.13114754098360656</v>
      </c>
      <c r="CG5" s="10">
        <v>0.21502598958333333</v>
      </c>
      <c r="CH5" s="9">
        <v>0.15710254013538361</v>
      </c>
      <c r="CI5" s="9">
        <v>0.59370315074920654</v>
      </c>
      <c r="CJ5" s="9">
        <v>1.1378204822540283</v>
      </c>
      <c r="CK5" s="9">
        <v>1.6286645084619522E-2</v>
      </c>
      <c r="CL5" s="9">
        <v>-9.4395279884338379E-2</v>
      </c>
      <c r="CM5" s="10">
        <v>0.25714287161827087</v>
      </c>
      <c r="CN5" s="10">
        <v>0.82767623662948608</v>
      </c>
      <c r="CO5" s="10">
        <v>1.9921875</v>
      </c>
      <c r="CP5" s="10">
        <v>0.16363635659217834</v>
      </c>
      <c r="CQ5" s="10">
        <v>-9.0909093618392944E-2</v>
      </c>
      <c r="CR5">
        <v>27.020847545219638</v>
      </c>
      <c r="CS5">
        <v>0.74621888418740556</v>
      </c>
      <c r="CT5">
        <v>7.94392523364486</v>
      </c>
      <c r="CU5" s="9">
        <v>0.36210350766777993</v>
      </c>
      <c r="CV5" s="10">
        <v>0.62994677424430845</v>
      </c>
      <c r="CW5">
        <v>0.06</v>
      </c>
      <c r="CX5">
        <v>7.6990144855580258</v>
      </c>
      <c r="CY5">
        <v>1130802912.0260816</v>
      </c>
      <c r="CZ5">
        <v>0.36210350766777993</v>
      </c>
      <c r="DA5">
        <v>2.0133208796358524</v>
      </c>
      <c r="DB5">
        <v>4324232708.2877417</v>
      </c>
      <c r="DC5">
        <v>0.34399833228439092</v>
      </c>
      <c r="DD5">
        <v>0.71703919655319492</v>
      </c>
      <c r="DE5">
        <v>12141690498.72035</v>
      </c>
      <c r="DF5">
        <v>0.31865108674764636</v>
      </c>
      <c r="DG5">
        <v>0.28844242133229808</v>
      </c>
      <c r="DH5">
        <v>30183036045.069927</v>
      </c>
      <c r="DI5">
        <v>0.28968280613422398</v>
      </c>
      <c r="DJ5">
        <v>5.535143466177992E-2</v>
      </c>
      <c r="DK5">
        <v>157287124592.12057</v>
      </c>
      <c r="DL5">
        <v>0.25347245536744595</v>
      </c>
      <c r="DM5">
        <v>880000000.00000012</v>
      </c>
      <c r="DN5">
        <v>0.36210350766777993</v>
      </c>
      <c r="DO5">
        <v>8706068000</v>
      </c>
      <c r="DP5">
        <v>2336453000</v>
      </c>
      <c r="DQ5">
        <v>146</v>
      </c>
      <c r="DR5">
        <v>-0.23095596668417337</v>
      </c>
      <c r="DS5">
        <v>-0.41492078466097515</v>
      </c>
      <c r="DT5" s="11">
        <v>0.14333333333333331</v>
      </c>
      <c r="DU5">
        <v>1.25</v>
      </c>
      <c r="DV5">
        <v>1.3933333333333333</v>
      </c>
      <c r="DW5">
        <v>-8.2483905579399135</v>
      </c>
      <c r="DX5">
        <v>0.36475789473684284</v>
      </c>
      <c r="DY5">
        <v>-8.0384403998192901</v>
      </c>
      <c r="DZ5">
        <v>72</v>
      </c>
      <c r="EA5">
        <v>-8.0378987738335788</v>
      </c>
      <c r="EB5">
        <v>8</v>
      </c>
      <c r="EC5">
        <v>1.6547901910178502E-2</v>
      </c>
      <c r="ED5">
        <v>0.10692767524601807</v>
      </c>
      <c r="EE5" s="12">
        <v>6.7610000000000003E-2</v>
      </c>
      <c r="EF5">
        <v>8.3409999999999998E-2</v>
      </c>
      <c r="EG5">
        <v>21.154757894736843</v>
      </c>
      <c r="EH5">
        <v>-1</v>
      </c>
      <c r="EI5">
        <v>0</v>
      </c>
      <c r="EJ5">
        <v>1</v>
      </c>
      <c r="EK5" s="8">
        <v>45470</v>
      </c>
      <c r="EL5" s="13">
        <v>-0.67</v>
      </c>
      <c r="EM5" s="13">
        <v>-7.12</v>
      </c>
      <c r="EN5" s="13">
        <v>0.73</v>
      </c>
      <c r="EO5" s="13">
        <v>2.9</v>
      </c>
      <c r="EP5" s="13">
        <v>-1.58</v>
      </c>
    </row>
    <row r="6" spans="1:146" ht="108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市值697.84277亿, 利润49.26亿; PE15.63; 平均PE10.92; 平均PEG2.25, PB.687; ROIC1.1533%; ROE5.57%; 股利率2.1196%; 毛利27.4767%; 净利1487.37%; 上一年度营收增3.36%, 利润增.16%; 当季营收增3.74%, 利润增-21.06%; 过往5年营收增4.84%, 利润增-6.68%
Income profile:
</v>
      </c>
      <c r="D6" t="s">
        <v>37</v>
      </c>
      <c r="E6" t="s">
        <v>12</v>
      </c>
      <c r="F6">
        <v>5.52</v>
      </c>
      <c r="G6">
        <v>0.36</v>
      </c>
      <c r="H6" t="s">
        <v>614</v>
      </c>
      <c r="I6">
        <v>69784277000</v>
      </c>
      <c r="J6">
        <v>15.63</v>
      </c>
      <c r="K6">
        <v>0.68700000000000006</v>
      </c>
      <c r="L6" t="s">
        <v>356</v>
      </c>
      <c r="M6" t="s">
        <v>615</v>
      </c>
      <c r="N6" t="s">
        <v>616</v>
      </c>
      <c r="O6" t="s">
        <v>617</v>
      </c>
      <c r="P6">
        <v>3.74</v>
      </c>
      <c r="Q6" t="s">
        <v>504</v>
      </c>
      <c r="R6">
        <v>1728026200</v>
      </c>
      <c r="S6" s="5">
        <v>-0.2107</v>
      </c>
      <c r="T6" t="s">
        <v>618</v>
      </c>
      <c r="U6">
        <v>12642079100</v>
      </c>
      <c r="V6">
        <v>12642079100</v>
      </c>
      <c r="W6">
        <v>5.41</v>
      </c>
      <c r="X6">
        <v>0</v>
      </c>
      <c r="Y6">
        <v>37.75</v>
      </c>
      <c r="Z6" t="s">
        <v>619</v>
      </c>
      <c r="AA6" t="s">
        <v>620</v>
      </c>
      <c r="AB6" t="s">
        <v>45</v>
      </c>
      <c r="AC6" t="s">
        <v>621</v>
      </c>
      <c r="AD6" t="s">
        <v>45</v>
      </c>
      <c r="AE6">
        <v>17854258</v>
      </c>
      <c r="AF6" t="s">
        <v>622</v>
      </c>
      <c r="AG6" t="s">
        <v>623</v>
      </c>
      <c r="AH6" t="s">
        <v>624</v>
      </c>
      <c r="AI6" t="s">
        <v>625</v>
      </c>
      <c r="AJ6" t="s">
        <v>626</v>
      </c>
      <c r="AK6" t="s">
        <v>45</v>
      </c>
      <c r="AL6" t="s">
        <v>627</v>
      </c>
      <c r="AM6" t="s">
        <v>45</v>
      </c>
      <c r="AN6" t="s">
        <v>628</v>
      </c>
      <c r="AO6" t="s">
        <v>629</v>
      </c>
      <c r="AP6" t="s">
        <v>45</v>
      </c>
      <c r="AQ6" t="s">
        <v>630</v>
      </c>
      <c r="AR6" t="s">
        <v>631</v>
      </c>
      <c r="AS6" t="s">
        <v>632</v>
      </c>
      <c r="AT6" t="s">
        <v>633</v>
      </c>
      <c r="AU6" t="s">
        <v>634</v>
      </c>
      <c r="AV6" t="s">
        <v>635</v>
      </c>
      <c r="AW6" t="s">
        <v>636</v>
      </c>
      <c r="AX6" t="s">
        <v>637</v>
      </c>
      <c r="AY6" t="s">
        <v>524</v>
      </c>
      <c r="AZ6" t="s">
        <v>486</v>
      </c>
      <c r="BA6" t="s">
        <v>128</v>
      </c>
      <c r="BB6" t="s">
        <v>70</v>
      </c>
      <c r="BC6" t="s">
        <v>638</v>
      </c>
      <c r="BD6" t="s">
        <v>276</v>
      </c>
      <c r="BE6" t="s">
        <v>127</v>
      </c>
      <c r="BF6" t="s">
        <v>67</v>
      </c>
      <c r="BG6" t="s">
        <v>130</v>
      </c>
      <c r="BH6" t="s">
        <v>504</v>
      </c>
      <c r="BI6" t="s">
        <v>179</v>
      </c>
      <c r="BJ6" t="s">
        <v>637</v>
      </c>
      <c r="BK6" t="s">
        <v>618</v>
      </c>
      <c r="BL6" t="s">
        <v>639</v>
      </c>
      <c r="BM6" t="s">
        <v>638</v>
      </c>
      <c r="BN6">
        <v>1</v>
      </c>
      <c r="BO6">
        <v>1.1599999999999999</v>
      </c>
      <c r="BP6">
        <v>1.3</v>
      </c>
      <c r="BQ6">
        <v>5.37</v>
      </c>
      <c r="BR6">
        <v>5.23</v>
      </c>
      <c r="BS6">
        <v>6.11</v>
      </c>
      <c r="BT6" t="s">
        <v>640</v>
      </c>
      <c r="BU6" t="s">
        <v>356</v>
      </c>
      <c r="BV6">
        <v>23.97</v>
      </c>
      <c r="BW6">
        <v>26.06</v>
      </c>
      <c r="BX6">
        <v>32.4</v>
      </c>
      <c r="BY6">
        <v>1438.57</v>
      </c>
      <c r="BZ6">
        <v>1454.37</v>
      </c>
      <c r="CA6">
        <v>1569.17</v>
      </c>
      <c r="CB6">
        <v>0</v>
      </c>
      <c r="CC6">
        <v>-4.33</v>
      </c>
      <c r="CD6" t="s">
        <v>641</v>
      </c>
      <c r="CE6" t="s">
        <v>642</v>
      </c>
      <c r="CF6" s="9">
        <v>3.7433155080213901E-2</v>
      </c>
      <c r="CG6" s="10">
        <v>-0.21058647784376427</v>
      </c>
      <c r="CH6" s="9">
        <v>3.3557046204805374E-2</v>
      </c>
      <c r="CI6" s="9">
        <v>8.1190802156925201E-3</v>
      </c>
      <c r="CJ6" s="9">
        <v>-9.7680099308490753E-2</v>
      </c>
      <c r="CK6" s="9">
        <v>3.0188679695129395E-2</v>
      </c>
      <c r="CL6" s="9">
        <v>0.26794257760047913</v>
      </c>
      <c r="CM6" s="10">
        <v>1.626677461899817E-3</v>
      </c>
      <c r="CN6" s="10">
        <v>-0.11387386918067932</v>
      </c>
      <c r="CO6" s="10">
        <v>-0.29245278239250183</v>
      </c>
      <c r="CP6" s="10">
        <v>6.5443101339042187E-3</v>
      </c>
      <c r="CQ6" s="10">
        <v>6.43266960978508E-2</v>
      </c>
      <c r="CR6">
        <v>10.917155424608245</v>
      </c>
      <c r="CS6">
        <v>2.2544248681675767</v>
      </c>
      <c r="CT6">
        <v>2.1195652173913042</v>
      </c>
      <c r="CU6" s="9">
        <v>4.8425456881523131E-2</v>
      </c>
      <c r="CV6" s="10">
        <v>-6.6765793575905258E-2</v>
      </c>
      <c r="CW6">
        <v>0.06</v>
      </c>
      <c r="CX6">
        <v>158.14324462218133</v>
      </c>
      <c r="CY6">
        <v>4872211132.6399841</v>
      </c>
      <c r="CZ6">
        <v>4.8425456881523131E-2</v>
      </c>
      <c r="DA6">
        <v>53.540250042039979</v>
      </c>
      <c r="DB6">
        <v>14391178158.394764</v>
      </c>
      <c r="DC6">
        <v>4.6004184037446973E-2</v>
      </c>
      <c r="DD6">
        <v>27.611843150214842</v>
      </c>
      <c r="DE6">
        <v>27904956319.22366</v>
      </c>
      <c r="DF6">
        <v>4.2614402055740352E-2</v>
      </c>
      <c r="DG6">
        <v>17.455848170848647</v>
      </c>
      <c r="DH6">
        <v>44140351672.326706</v>
      </c>
      <c r="DI6">
        <v>3.8740365505218505E-2</v>
      </c>
      <c r="DJ6">
        <v>10.05703099479501</v>
      </c>
      <c r="DK6">
        <v>76613791624.861664</v>
      </c>
      <c r="DL6">
        <v>3.3897819817066188E-2</v>
      </c>
      <c r="DM6">
        <v>4926000000</v>
      </c>
      <c r="DN6">
        <v>4.8425456881523131E-2</v>
      </c>
      <c r="DO6">
        <v>770507277000.00012</v>
      </c>
      <c r="DP6">
        <v>-167835120000</v>
      </c>
      <c r="DQ6">
        <v>177</v>
      </c>
      <c r="DR6">
        <v>-1.099230180130923E-2</v>
      </c>
      <c r="DS6">
        <v>-0.14382068426785902</v>
      </c>
      <c r="DT6" s="11">
        <v>-0.34</v>
      </c>
      <c r="DU6">
        <v>-0.35333333333333333</v>
      </c>
      <c r="DV6">
        <v>-0.69333333333333336</v>
      </c>
      <c r="DW6">
        <v>-1.0432999999999999</v>
      </c>
      <c r="DX6">
        <v>0.31428572025656082</v>
      </c>
      <c r="DY6">
        <v>-1.0049485716871092</v>
      </c>
      <c r="DZ6">
        <v>3186</v>
      </c>
      <c r="EA6">
        <v>-1.0018632195549899</v>
      </c>
      <c r="EB6">
        <v>1</v>
      </c>
      <c r="EC6">
        <v>1.1074127830761634E-2</v>
      </c>
      <c r="ED6">
        <v>9.6898618519164301E-2</v>
      </c>
      <c r="EE6" s="12">
        <v>6.4100000000000008E-3</v>
      </c>
      <c r="EF6">
        <v>1.9009999999999999E-2</v>
      </c>
      <c r="EG6">
        <v>20.114285720256561</v>
      </c>
      <c r="EH6">
        <v>-1</v>
      </c>
      <c r="EI6">
        <v>0</v>
      </c>
      <c r="EJ6">
        <v>0</v>
      </c>
      <c r="EK6" s="8">
        <v>45470</v>
      </c>
      <c r="EL6" s="13">
        <v>0.18</v>
      </c>
      <c r="EM6" s="13">
        <v>-1.62</v>
      </c>
      <c r="EN6" s="13">
        <v>-0.18</v>
      </c>
      <c r="EO6" s="13">
        <v>1.46</v>
      </c>
      <c r="EP6" s="13">
        <v>-1.26</v>
      </c>
    </row>
    <row r="7" spans="1:146" ht="108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市值195.41809亿, 利润12.70亿; PE15.02; 平均PE16.57; 平均PEG1.79, PB.993; ROIC4.0733%; ROE5.6267%; 股利率1.7355%; 毛利23.35%; 净利30.99%; 上一年度营收增.29%, 利润增26.87%; 当季营收增-7.01%, 利润增10.3%; 过往5年营收增-9.28%, 利润增10.19%
Income profile:
</v>
      </c>
      <c r="D7" t="s">
        <v>25</v>
      </c>
      <c r="E7" t="s">
        <v>361</v>
      </c>
      <c r="F7">
        <v>3.63</v>
      </c>
      <c r="G7">
        <v>0.28000000000000003</v>
      </c>
      <c r="H7" t="s">
        <v>643</v>
      </c>
      <c r="I7">
        <v>19541809000</v>
      </c>
      <c r="J7">
        <v>15.02</v>
      </c>
      <c r="K7">
        <v>0.99299999999999999</v>
      </c>
      <c r="L7" t="s">
        <v>356</v>
      </c>
      <c r="M7" t="s">
        <v>644</v>
      </c>
      <c r="N7" t="s">
        <v>645</v>
      </c>
      <c r="O7" t="s">
        <v>646</v>
      </c>
      <c r="P7">
        <v>-6.98</v>
      </c>
      <c r="Q7" t="s">
        <v>647</v>
      </c>
      <c r="R7">
        <v>330898360</v>
      </c>
      <c r="S7" s="5">
        <v>0.10199999999999999</v>
      </c>
      <c r="T7" t="s">
        <v>648</v>
      </c>
      <c r="U7">
        <v>5383396000</v>
      </c>
      <c r="V7">
        <v>5383418500</v>
      </c>
      <c r="W7">
        <v>1.58</v>
      </c>
      <c r="X7">
        <v>0.03</v>
      </c>
      <c r="Y7">
        <v>26.5</v>
      </c>
      <c r="Z7" t="s">
        <v>649</v>
      </c>
      <c r="AA7" t="s">
        <v>650</v>
      </c>
      <c r="AB7" t="s">
        <v>651</v>
      </c>
      <c r="AC7" t="s">
        <v>497</v>
      </c>
      <c r="AD7" t="s">
        <v>45</v>
      </c>
      <c r="AE7">
        <v>90393301</v>
      </c>
      <c r="AF7" t="s">
        <v>652</v>
      </c>
      <c r="AG7" t="s">
        <v>653</v>
      </c>
      <c r="AH7" t="s">
        <v>654</v>
      </c>
      <c r="AI7" t="s">
        <v>655</v>
      </c>
      <c r="AJ7" t="s">
        <v>656</v>
      </c>
      <c r="AK7" t="s">
        <v>45</v>
      </c>
      <c r="AL7" t="s">
        <v>657</v>
      </c>
      <c r="AM7" t="s">
        <v>45</v>
      </c>
      <c r="AN7" t="s">
        <v>658</v>
      </c>
      <c r="AO7" t="s">
        <v>659</v>
      </c>
      <c r="AP7" t="s">
        <v>45</v>
      </c>
      <c r="AQ7" t="s">
        <v>660</v>
      </c>
      <c r="AR7" t="s">
        <v>661</v>
      </c>
      <c r="AS7" t="s">
        <v>662</v>
      </c>
      <c r="AT7" t="s">
        <v>663</v>
      </c>
      <c r="AU7" t="s">
        <v>389</v>
      </c>
      <c r="AV7" t="s">
        <v>519</v>
      </c>
      <c r="AW7" t="s">
        <v>664</v>
      </c>
      <c r="AX7" t="s">
        <v>665</v>
      </c>
      <c r="AY7" t="s">
        <v>666</v>
      </c>
      <c r="AZ7" t="s">
        <v>667</v>
      </c>
      <c r="BA7" t="s">
        <v>132</v>
      </c>
      <c r="BB7" t="s">
        <v>133</v>
      </c>
      <c r="BC7" t="s">
        <v>304</v>
      </c>
      <c r="BD7" t="s">
        <v>298</v>
      </c>
      <c r="BE7" t="s">
        <v>131</v>
      </c>
      <c r="BF7" t="s">
        <v>69</v>
      </c>
      <c r="BG7" t="s">
        <v>134</v>
      </c>
      <c r="BH7" t="s">
        <v>647</v>
      </c>
      <c r="BI7" t="s">
        <v>668</v>
      </c>
      <c r="BJ7" t="s">
        <v>665</v>
      </c>
      <c r="BK7" t="s">
        <v>648</v>
      </c>
      <c r="BL7" t="s">
        <v>669</v>
      </c>
      <c r="BM7" t="s">
        <v>304</v>
      </c>
      <c r="BN7">
        <v>3.11</v>
      </c>
      <c r="BO7">
        <v>4.88</v>
      </c>
      <c r="BP7">
        <v>4.2300000000000004</v>
      </c>
      <c r="BQ7">
        <v>3.84</v>
      </c>
      <c r="BR7">
        <v>5.55</v>
      </c>
      <c r="BS7">
        <v>7.49</v>
      </c>
      <c r="BT7" t="s">
        <v>670</v>
      </c>
      <c r="BU7" t="s">
        <v>356</v>
      </c>
      <c r="BV7">
        <v>27.25</v>
      </c>
      <c r="BW7">
        <v>27.87</v>
      </c>
      <c r="BX7">
        <v>14.93</v>
      </c>
      <c r="BY7">
        <v>30.54</v>
      </c>
      <c r="BZ7">
        <v>28.94</v>
      </c>
      <c r="CA7">
        <v>33.49</v>
      </c>
      <c r="CB7">
        <v>-0.82</v>
      </c>
      <c r="CC7">
        <v>-9.86</v>
      </c>
      <c r="CD7" t="s">
        <v>671</v>
      </c>
      <c r="CE7" t="s">
        <v>672</v>
      </c>
      <c r="CF7" s="9">
        <v>-7.0149253731343286E-2</v>
      </c>
      <c r="CG7" s="10">
        <v>0.10299453333333333</v>
      </c>
      <c r="CH7" s="9">
        <v>2.9417660553008318E-3</v>
      </c>
      <c r="CI7" s="9">
        <v>-0.2260170578956604</v>
      </c>
      <c r="CJ7" s="9">
        <v>-0.36038833856582642</v>
      </c>
      <c r="CK7" s="9">
        <v>0.2127634584903717</v>
      </c>
      <c r="CL7" s="9">
        <v>-9.3112654983997345E-2</v>
      </c>
      <c r="CM7" s="10">
        <v>0.26873126626014709</v>
      </c>
      <c r="CN7" s="10">
        <v>-0.23412398993968964</v>
      </c>
      <c r="CO7" s="10">
        <v>2.8324153274297714E-2</v>
      </c>
      <c r="CP7" s="10">
        <v>-4.722633957862854E-2</v>
      </c>
      <c r="CQ7" s="10">
        <v>0.49384099245071411</v>
      </c>
      <c r="CR7">
        <v>16.570216789146411</v>
      </c>
      <c r="CS7">
        <v>1.7863042835516221</v>
      </c>
      <c r="CT7">
        <v>1.7355371900826446</v>
      </c>
      <c r="CU7" s="9">
        <v>-9.2762565379962331E-2</v>
      </c>
      <c r="CV7" s="10">
        <v>0.10190921649336815</v>
      </c>
      <c r="CW7">
        <v>0.06</v>
      </c>
      <c r="CX7">
        <v>5.4959125984251971</v>
      </c>
      <c r="CY7" t="s">
        <v>673</v>
      </c>
      <c r="CZ7">
        <v>-9.2762565379962331E-2</v>
      </c>
      <c r="DA7">
        <v>1.8319708661417322</v>
      </c>
      <c r="DB7" t="s">
        <v>674</v>
      </c>
      <c r="DC7">
        <v>-8.812443711096421E-2</v>
      </c>
      <c r="DD7">
        <v>0.91598543307086611</v>
      </c>
      <c r="DE7" t="s">
        <v>675</v>
      </c>
      <c r="DF7">
        <v>-8.1631057534366849E-2</v>
      </c>
      <c r="DG7">
        <v>0.54959125984251966</v>
      </c>
      <c r="DH7" t="s">
        <v>676</v>
      </c>
      <c r="DI7">
        <v>-7.4210052303969862E-2</v>
      </c>
      <c r="DJ7">
        <v>0.27479562992125983</v>
      </c>
      <c r="DK7" t="s">
        <v>677</v>
      </c>
      <c r="DL7">
        <v>-6.4933795765973634E-2</v>
      </c>
      <c r="DM7">
        <v>1270000000</v>
      </c>
      <c r="DN7">
        <v>-9.2762565379962331E-2</v>
      </c>
      <c r="DO7">
        <v>6979809000</v>
      </c>
      <c r="DP7">
        <v>18769173000</v>
      </c>
      <c r="DQ7">
        <v>395</v>
      </c>
      <c r="DR7">
        <v>2.2613311648619044E-2</v>
      </c>
      <c r="DS7">
        <v>1.0853168399651836E-3</v>
      </c>
      <c r="DT7" s="11">
        <v>-0.60666666666666669</v>
      </c>
      <c r="DU7">
        <v>0.11666666666666665</v>
      </c>
      <c r="DV7">
        <v>-0.49000000000000005</v>
      </c>
      <c r="DW7">
        <v>-2.0985999999999998</v>
      </c>
      <c r="DX7">
        <v>0.29195017878426821</v>
      </c>
      <c r="DY7">
        <v>-2.0080802876281285</v>
      </c>
      <c r="DZ7">
        <v>2864</v>
      </c>
      <c r="EA7">
        <v>-2.0035515315093497</v>
      </c>
      <c r="EB7">
        <v>2</v>
      </c>
      <c r="EC7">
        <v>1.2771847479440806E-2</v>
      </c>
      <c r="ED7">
        <v>0.15584892759126937</v>
      </c>
      <c r="EE7" s="12">
        <v>1.00501</v>
      </c>
      <c r="EF7">
        <v>1.0132099999999999</v>
      </c>
      <c r="EG7">
        <v>21.081950178784268</v>
      </c>
      <c r="EH7" t="s">
        <v>517</v>
      </c>
      <c r="EI7">
        <v>0</v>
      </c>
      <c r="EJ7">
        <v>0</v>
      </c>
      <c r="EK7" s="8">
        <v>45470</v>
      </c>
      <c r="EL7" s="13">
        <v>0.54</v>
      </c>
      <c r="EM7" s="13">
        <v>-1.62</v>
      </c>
      <c r="EN7" s="13">
        <v>0</v>
      </c>
      <c r="EO7" s="13">
        <v>0.82</v>
      </c>
      <c r="EP7" s="13">
        <v>-0.82</v>
      </c>
    </row>
    <row r="8" spans="1:146" ht="108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市值245.83949亿, 利润24.04亿; PE11.39; 平均PE10.81; 平均PEG.05, PB.844; ROIC2.17%; ROE9.11%; 股利率3.4694%; 毛利79.41%; 净利280.99%; 上一年度营收增232.68%, 利润增-4.34%; 当季营收增50.48%, 利润增-34.38%; 过往5年营收增232.68%, 利润增80.83%
Income profile:
</v>
      </c>
      <c r="D8" t="s">
        <v>35</v>
      </c>
      <c r="E8" t="s">
        <v>414</v>
      </c>
      <c r="F8">
        <v>4.9000000000000004</v>
      </c>
      <c r="G8">
        <v>0.2</v>
      </c>
      <c r="H8" t="s">
        <v>678</v>
      </c>
      <c r="I8">
        <v>24583949000</v>
      </c>
      <c r="J8">
        <v>11.39</v>
      </c>
      <c r="K8">
        <v>0.84399999999999997</v>
      </c>
      <c r="L8" t="s">
        <v>356</v>
      </c>
      <c r="M8" t="s">
        <v>679</v>
      </c>
      <c r="N8" t="s">
        <v>680</v>
      </c>
      <c r="O8" t="s">
        <v>424</v>
      </c>
      <c r="P8">
        <v>50.2</v>
      </c>
      <c r="Q8" t="s">
        <v>681</v>
      </c>
      <c r="R8">
        <v>467233190</v>
      </c>
      <c r="S8" s="5">
        <v>-0.34410000000000002</v>
      </c>
      <c r="T8" t="s">
        <v>682</v>
      </c>
      <c r="U8">
        <v>5015231700</v>
      </c>
      <c r="V8">
        <v>5017132500</v>
      </c>
      <c r="W8">
        <v>4.67</v>
      </c>
      <c r="X8">
        <v>0</v>
      </c>
      <c r="Y8">
        <v>13.47</v>
      </c>
      <c r="Z8" t="s">
        <v>683</v>
      </c>
      <c r="AA8" t="s">
        <v>684</v>
      </c>
      <c r="AB8" t="s">
        <v>685</v>
      </c>
      <c r="AC8" t="s">
        <v>686</v>
      </c>
      <c r="AD8" t="s">
        <v>45</v>
      </c>
      <c r="AE8">
        <v>-137030160</v>
      </c>
      <c r="AF8" t="s">
        <v>687</v>
      </c>
      <c r="AG8" t="s">
        <v>688</v>
      </c>
      <c r="AH8" t="s">
        <v>689</v>
      </c>
      <c r="AI8" t="s">
        <v>690</v>
      </c>
      <c r="AJ8" t="s">
        <v>691</v>
      </c>
      <c r="AK8" t="s">
        <v>45</v>
      </c>
      <c r="AL8" t="s">
        <v>692</v>
      </c>
      <c r="AM8" t="s">
        <v>45</v>
      </c>
      <c r="AN8" t="s">
        <v>693</v>
      </c>
      <c r="AO8" t="s">
        <v>302</v>
      </c>
      <c r="AP8" t="s">
        <v>646</v>
      </c>
      <c r="AQ8" t="s">
        <v>420</v>
      </c>
      <c r="AR8" t="s">
        <v>694</v>
      </c>
      <c r="AS8" t="s">
        <v>695</v>
      </c>
      <c r="AT8" t="s">
        <v>696</v>
      </c>
      <c r="AU8" t="s">
        <v>697</v>
      </c>
      <c r="AV8" t="s">
        <v>698</v>
      </c>
      <c r="AW8" t="s">
        <v>699</v>
      </c>
      <c r="AX8" t="s">
        <v>700</v>
      </c>
      <c r="AY8" t="s">
        <v>45</v>
      </c>
      <c r="AZ8" t="s">
        <v>45</v>
      </c>
      <c r="BA8" t="s">
        <v>45</v>
      </c>
      <c r="BB8" t="s">
        <v>136</v>
      </c>
      <c r="BC8" t="s">
        <v>701</v>
      </c>
      <c r="BD8" t="s">
        <v>278</v>
      </c>
      <c r="BE8" t="s">
        <v>135</v>
      </c>
      <c r="BF8" t="s">
        <v>71</v>
      </c>
      <c r="BG8" t="s">
        <v>137</v>
      </c>
      <c r="BH8" t="s">
        <v>681</v>
      </c>
      <c r="BI8" t="s">
        <v>702</v>
      </c>
      <c r="BJ8" t="s">
        <v>700</v>
      </c>
      <c r="BK8" t="s">
        <v>682</v>
      </c>
      <c r="BL8" t="s">
        <v>703</v>
      </c>
      <c r="BM8" t="s">
        <v>701</v>
      </c>
      <c r="BN8">
        <v>1.63</v>
      </c>
      <c r="BO8">
        <v>2.27</v>
      </c>
      <c r="BP8">
        <v>2.61</v>
      </c>
      <c r="BQ8">
        <v>7.45</v>
      </c>
      <c r="BR8">
        <v>9.66</v>
      </c>
      <c r="BS8">
        <v>10.220000000000001</v>
      </c>
      <c r="BT8" t="s">
        <v>476</v>
      </c>
      <c r="BU8" t="s">
        <v>356</v>
      </c>
      <c r="BV8">
        <v>79.41</v>
      </c>
      <c r="BW8" t="s">
        <v>45</v>
      </c>
      <c r="BX8" t="s">
        <v>45</v>
      </c>
      <c r="BY8">
        <v>280.99</v>
      </c>
      <c r="BZ8" t="s">
        <v>45</v>
      </c>
      <c r="CA8" t="s">
        <v>45</v>
      </c>
      <c r="CB8">
        <v>-1.21</v>
      </c>
      <c r="CC8">
        <v>-9.59</v>
      </c>
      <c r="CD8" t="s">
        <v>704</v>
      </c>
      <c r="CE8" t="s">
        <v>658</v>
      </c>
      <c r="CF8" s="9">
        <v>0.50476190476190474</v>
      </c>
      <c r="CG8" s="10">
        <v>-0.3437736095505618</v>
      </c>
      <c r="CH8" s="9">
        <v>2.3267602920532227</v>
      </c>
      <c r="CI8" s="9" t="s">
        <v>45</v>
      </c>
      <c r="CJ8" s="9" t="s">
        <v>45</v>
      </c>
      <c r="CK8" s="9" t="s">
        <v>45</v>
      </c>
      <c r="CL8" s="9" t="s">
        <v>45</v>
      </c>
      <c r="CM8" s="10">
        <v>-4.3374426662921906E-2</v>
      </c>
      <c r="CN8" s="10">
        <v>1.3306425884366035E-2</v>
      </c>
      <c r="CO8" s="10">
        <v>-0.46262189745903015</v>
      </c>
      <c r="CP8" s="10">
        <v>2.9143340587615967</v>
      </c>
      <c r="CQ8" s="10">
        <v>1.6200001239776611</v>
      </c>
      <c r="CR8">
        <v>10.813261051242577</v>
      </c>
      <c r="CS8">
        <v>4.6473463932550356E-2</v>
      </c>
      <c r="CT8">
        <v>3.4693877551020407</v>
      </c>
      <c r="CU8" s="9">
        <v>2.3267602920532227</v>
      </c>
      <c r="CV8" s="10">
        <v>0.8083288569003344</v>
      </c>
      <c r="CW8">
        <v>0.06</v>
      </c>
      <c r="CX8">
        <v>17.044221934438514</v>
      </c>
      <c r="CY8">
        <v>7544841266.1282511</v>
      </c>
      <c r="CZ8">
        <v>2.3267602920532227</v>
      </c>
      <c r="DA8">
        <v>1.3378450921298057</v>
      </c>
      <c r="DB8">
        <v>96121703294.7211</v>
      </c>
      <c r="DC8">
        <v>2.2104222774505615</v>
      </c>
      <c r="DD8">
        <v>6.1881466586981057E-2</v>
      </c>
      <c r="DE8">
        <v>2078101184289.8804</v>
      </c>
      <c r="DF8">
        <v>2.0475490570068358</v>
      </c>
      <c r="DG8">
        <v>1.6391047568841176E-3</v>
      </c>
      <c r="DH8">
        <v>78454991030870.125</v>
      </c>
      <c r="DI8">
        <v>1.8614082336425781</v>
      </c>
      <c r="DJ8">
        <v>4.1236869477903707E-7</v>
      </c>
      <c r="DK8">
        <v>3.1184702095028486E+17</v>
      </c>
      <c r="DL8">
        <v>1.6287322044372559</v>
      </c>
      <c r="DM8">
        <v>2404000000</v>
      </c>
      <c r="DN8">
        <v>2.3267602920532227</v>
      </c>
      <c r="DO8">
        <v>128595949000</v>
      </c>
      <c r="DP8">
        <v>42476746000</v>
      </c>
      <c r="DQ8">
        <v>419</v>
      </c>
      <c r="DR8">
        <v>-1.8219983872913179</v>
      </c>
      <c r="DS8">
        <v>-1.1521024664508963</v>
      </c>
      <c r="DT8" s="11">
        <v>-0.42000000000000015</v>
      </c>
      <c r="DU8">
        <v>0.28333333333333327</v>
      </c>
      <c r="DV8">
        <v>-0.13666666666666688</v>
      </c>
      <c r="DW8">
        <v>-2.0958999999999999</v>
      </c>
      <c r="DX8">
        <v>0.32620802919707997</v>
      </c>
      <c r="DY8">
        <v>-2.0140213500000002</v>
      </c>
      <c r="DZ8">
        <v>2033</v>
      </c>
      <c r="EA8">
        <v>-2.0084429929452057</v>
      </c>
      <c r="EB8">
        <v>2</v>
      </c>
      <c r="EC8">
        <v>1.197725991888793E-2</v>
      </c>
      <c r="ED8">
        <v>8.1919303506534868E-2</v>
      </c>
      <c r="EE8" s="12">
        <v>2.0209999999999999E-2</v>
      </c>
      <c r="EF8">
        <v>3.5910000000000004E-2</v>
      </c>
      <c r="EG8">
        <v>18.14620802919708</v>
      </c>
      <c r="EH8">
        <v>-1</v>
      </c>
      <c r="EI8">
        <v>0</v>
      </c>
      <c r="EJ8">
        <v>0</v>
      </c>
      <c r="EK8" s="8">
        <v>45470</v>
      </c>
      <c r="EL8" s="13">
        <v>0</v>
      </c>
      <c r="EM8" s="13">
        <v>-2.74</v>
      </c>
      <c r="EN8" s="13">
        <v>0</v>
      </c>
      <c r="EO8" s="13">
        <v>2.21</v>
      </c>
      <c r="EP8" s="13">
        <v>-1.57</v>
      </c>
    </row>
    <row r="9" spans="1:146" ht="108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市值68.730444亿, 利润779.15万; PE; 平均PE153.59; 平均PEG4.46, PB3.75; ROIC0%; ROE1.8667%; 股利率.0587%; 毛利0%; 净利2.0333%; 上一年度营收增27.16%, 利润增-37.07%; 当季营收增8.48%, 利润增-327.56%; 过往5年营收增34.42%, 利润增7.52%
Income profile:
</v>
      </c>
      <c r="D9" t="s">
        <v>362</v>
      </c>
      <c r="E9" t="s">
        <v>363</v>
      </c>
      <c r="F9">
        <v>6.82</v>
      </c>
      <c r="G9">
        <v>1.94</v>
      </c>
      <c r="H9" t="s">
        <v>705</v>
      </c>
      <c r="I9">
        <v>6873044400</v>
      </c>
      <c r="K9">
        <v>3.75</v>
      </c>
      <c r="L9" t="s">
        <v>356</v>
      </c>
      <c r="M9" t="s">
        <v>706</v>
      </c>
      <c r="N9" t="s">
        <v>707</v>
      </c>
      <c r="O9" t="s">
        <v>87</v>
      </c>
      <c r="P9">
        <v>8.27</v>
      </c>
      <c r="Q9" t="s">
        <v>192</v>
      </c>
      <c r="R9">
        <v>-13266963</v>
      </c>
      <c r="S9" s="5">
        <v>-3.2759999999999998</v>
      </c>
      <c r="T9" t="s">
        <v>708</v>
      </c>
      <c r="U9">
        <v>326435660</v>
      </c>
      <c r="V9">
        <v>1007777780</v>
      </c>
      <c r="W9">
        <v>6.27</v>
      </c>
      <c r="X9">
        <v>0.02</v>
      </c>
      <c r="Y9">
        <v>-7.41</v>
      </c>
      <c r="Z9" t="s">
        <v>45</v>
      </c>
      <c r="AA9" t="s">
        <v>45</v>
      </c>
      <c r="AB9" t="s">
        <v>45</v>
      </c>
      <c r="AC9" t="s">
        <v>45</v>
      </c>
      <c r="AD9" t="s">
        <v>45</v>
      </c>
      <c r="AE9">
        <v>0</v>
      </c>
      <c r="AF9" t="s">
        <v>709</v>
      </c>
      <c r="AG9" t="s">
        <v>710</v>
      </c>
      <c r="AH9" t="s">
        <v>711</v>
      </c>
      <c r="AI9" t="s">
        <v>712</v>
      </c>
      <c r="AJ9" t="s">
        <v>64</v>
      </c>
      <c r="AK9" t="s">
        <v>45</v>
      </c>
      <c r="AL9" t="s">
        <v>64</v>
      </c>
      <c r="AM9" t="s">
        <v>713</v>
      </c>
      <c r="AN9" t="s">
        <v>45</v>
      </c>
      <c r="AO9" t="s">
        <v>714</v>
      </c>
      <c r="AP9" t="s">
        <v>45</v>
      </c>
      <c r="AQ9" t="s">
        <v>45</v>
      </c>
      <c r="AR9" t="s">
        <v>45</v>
      </c>
      <c r="AS9" t="s">
        <v>45</v>
      </c>
      <c r="AT9" t="s">
        <v>715</v>
      </c>
      <c r="AU9" t="s">
        <v>716</v>
      </c>
      <c r="AV9" t="s">
        <v>717</v>
      </c>
      <c r="AW9" t="s">
        <v>718</v>
      </c>
      <c r="AX9" t="s">
        <v>477</v>
      </c>
      <c r="AY9" t="s">
        <v>364</v>
      </c>
      <c r="AZ9" t="s">
        <v>366</v>
      </c>
      <c r="BA9" t="s">
        <v>367</v>
      </c>
      <c r="BB9" t="s">
        <v>277</v>
      </c>
      <c r="BC9" t="s">
        <v>478</v>
      </c>
      <c r="BD9" t="s">
        <v>365</v>
      </c>
      <c r="BE9" t="s">
        <v>368</v>
      </c>
      <c r="BF9" t="s">
        <v>369</v>
      </c>
      <c r="BG9" t="s">
        <v>370</v>
      </c>
      <c r="BH9" t="s">
        <v>192</v>
      </c>
      <c r="BI9" t="s">
        <v>385</v>
      </c>
      <c r="BJ9" t="s">
        <v>477</v>
      </c>
      <c r="BK9" t="s">
        <v>708</v>
      </c>
      <c r="BL9" t="s">
        <v>719</v>
      </c>
      <c r="BM9" t="s">
        <v>478</v>
      </c>
      <c r="BN9" t="s">
        <v>45</v>
      </c>
      <c r="BO9" t="s">
        <v>45</v>
      </c>
      <c r="BP9" t="s">
        <v>45</v>
      </c>
      <c r="BQ9">
        <v>0.05</v>
      </c>
      <c r="BR9">
        <v>0.71</v>
      </c>
      <c r="BS9">
        <v>4.84</v>
      </c>
      <c r="BT9" t="s">
        <v>720</v>
      </c>
      <c r="BU9" t="s">
        <v>356</v>
      </c>
      <c r="BV9" t="s">
        <v>45</v>
      </c>
      <c r="BW9" t="s">
        <v>45</v>
      </c>
      <c r="BX9" t="s">
        <v>45</v>
      </c>
      <c r="BY9">
        <v>0.4</v>
      </c>
      <c r="BZ9">
        <v>0.81</v>
      </c>
      <c r="CA9">
        <v>4.8899999999999997</v>
      </c>
      <c r="CB9">
        <v>-4.08</v>
      </c>
      <c r="CC9">
        <v>-24.97</v>
      </c>
      <c r="CD9" t="s">
        <v>721</v>
      </c>
      <c r="CE9" t="s">
        <v>359</v>
      </c>
      <c r="CF9" s="9">
        <v>8.4848484848484854E-2</v>
      </c>
      <c r="CG9" s="10">
        <v>-3.2755978456630248</v>
      </c>
      <c r="CH9" s="9">
        <v>0.27159690856933594</v>
      </c>
      <c r="CI9" s="9">
        <v>-6.8292684853076935E-2</v>
      </c>
      <c r="CJ9" s="9">
        <v>5.0608627498149872E-2</v>
      </c>
      <c r="CK9" s="9">
        <v>1.4201549291610718</v>
      </c>
      <c r="CL9" s="9">
        <v>4.7077920287847519E-2</v>
      </c>
      <c r="CM9" s="10">
        <v>-0.37073469161987305</v>
      </c>
      <c r="CN9" s="10">
        <v>-0.8456343412399292</v>
      </c>
      <c r="CO9" s="10">
        <v>0.20941616594791412</v>
      </c>
      <c r="CP9" s="10">
        <v>2.1186518669128418</v>
      </c>
      <c r="CQ9" s="10">
        <v>-0.73586738109588623</v>
      </c>
      <c r="CR9">
        <v>153.59450612113244</v>
      </c>
      <c r="CS9">
        <v>4.4619844229903736</v>
      </c>
      <c r="CT9">
        <v>5.8651026392961873E-2</v>
      </c>
      <c r="CU9" s="9">
        <v>0.34422914013266565</v>
      </c>
      <c r="CV9" s="10">
        <v>7.5166323781013483E-2</v>
      </c>
      <c r="CW9">
        <v>0.06</v>
      </c>
      <c r="CX9">
        <v>1265.6007471511173</v>
      </c>
      <c r="CY9">
        <v>9880718.2503242102</v>
      </c>
      <c r="CZ9">
        <v>0.34422914013266565</v>
      </c>
      <c r="DA9">
        <v>335.67949052245217</v>
      </c>
      <c r="DB9">
        <v>37252929.514809281</v>
      </c>
      <c r="DC9">
        <v>0.32701768312603235</v>
      </c>
      <c r="DD9">
        <v>122.19388675509434</v>
      </c>
      <c r="DE9">
        <v>102337725.16838823</v>
      </c>
      <c r="DF9">
        <v>0.30292164331674576</v>
      </c>
      <c r="DG9">
        <v>50.582396428834699</v>
      </c>
      <c r="DH9">
        <v>247221272.27786797</v>
      </c>
      <c r="DI9">
        <v>0.27538331210613254</v>
      </c>
      <c r="DJ9">
        <v>10.452598812876925</v>
      </c>
      <c r="DK9">
        <v>1196357444.1022835</v>
      </c>
      <c r="DL9">
        <v>0.24096039809286593</v>
      </c>
      <c r="DM9">
        <v>7791500</v>
      </c>
      <c r="DN9">
        <v>0.34422914013266565</v>
      </c>
      <c r="DO9">
        <v>12505044400</v>
      </c>
      <c r="DP9">
        <v>0</v>
      </c>
      <c r="DQ9">
        <v>455</v>
      </c>
      <c r="DR9">
        <v>-0.25938065528418081</v>
      </c>
      <c r="DS9">
        <v>-3.3507641694440382</v>
      </c>
      <c r="DT9" s="11">
        <v>-4.0000000000000036E-2</v>
      </c>
      <c r="DU9">
        <v>-1.0149999999999999</v>
      </c>
      <c r="DV9">
        <v>-1.0549999999999999</v>
      </c>
      <c r="DW9">
        <v>-8.1633960752903487</v>
      </c>
      <c r="DX9">
        <v>0.44322413793103621</v>
      </c>
      <c r="DY9">
        <v>-8.0315720657892928</v>
      </c>
      <c r="DZ9">
        <v>3615</v>
      </c>
      <c r="EA9">
        <v>-8.009236837251466</v>
      </c>
      <c r="EB9">
        <v>8</v>
      </c>
      <c r="EC9">
        <v>2.2241014283922791E-2</v>
      </c>
      <c r="ED9">
        <v>0.11510474065026517</v>
      </c>
      <c r="EE9" s="12">
        <v>-2.0476000000000001</v>
      </c>
      <c r="EF9">
        <v>-2.0085000000000002</v>
      </c>
      <c r="EG9">
        <v>25.193224137931036</v>
      </c>
      <c r="EH9" t="s">
        <v>467</v>
      </c>
      <c r="EI9">
        <v>0</v>
      </c>
      <c r="EJ9">
        <v>0</v>
      </c>
      <c r="EK9" s="8">
        <v>45470</v>
      </c>
      <c r="EL9" s="13">
        <v>-0.39</v>
      </c>
      <c r="EM9" s="13">
        <v>-6.87</v>
      </c>
      <c r="EN9" s="13">
        <v>0</v>
      </c>
      <c r="EO9" s="13">
        <v>3.34</v>
      </c>
      <c r="EP9" s="13">
        <v>-3.91</v>
      </c>
    </row>
    <row r="10" spans="1:146" ht="108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市值12.226032亿, 利润-2000.58万; PE; 平均PE-7.85; 平均PEG-.29, PB19.66; ROIC0%; ROE31.1%; 股利率0%; 毛利15.12%; 净利-7.62%; 上一年度营收增-63.61%, 利润增78.15%; 当季营收增-34.41%, 利润增132.58%; 过往5年营收增-26.81%, 利润增-57.88%
Income profile:
</v>
      </c>
      <c r="D10" t="s">
        <v>236</v>
      </c>
      <c r="E10" t="s">
        <v>479</v>
      </c>
      <c r="F10">
        <v>3.11</v>
      </c>
      <c r="G10">
        <v>2.2999999999999998</v>
      </c>
      <c r="H10" t="s">
        <v>722</v>
      </c>
      <c r="I10">
        <v>1222603200</v>
      </c>
      <c r="K10">
        <v>19.66</v>
      </c>
      <c r="L10" t="s">
        <v>356</v>
      </c>
      <c r="M10" t="s">
        <v>723</v>
      </c>
      <c r="N10" t="s">
        <v>724</v>
      </c>
      <c r="O10" t="s">
        <v>725</v>
      </c>
      <c r="P10">
        <v>-34.36</v>
      </c>
      <c r="Q10" t="s">
        <v>726</v>
      </c>
      <c r="R10">
        <v>1601995</v>
      </c>
      <c r="S10" s="5">
        <v>1.3260000000000001</v>
      </c>
      <c r="T10" t="s">
        <v>727</v>
      </c>
      <c r="U10">
        <v>315007500</v>
      </c>
      <c r="V10">
        <v>393120000</v>
      </c>
      <c r="W10">
        <v>8.44</v>
      </c>
      <c r="X10">
        <v>0.11</v>
      </c>
      <c r="Y10">
        <v>5.19</v>
      </c>
      <c r="Z10" t="s">
        <v>728</v>
      </c>
      <c r="AA10" t="s">
        <v>729</v>
      </c>
      <c r="AB10" t="s">
        <v>730</v>
      </c>
      <c r="AC10" t="s">
        <v>731</v>
      </c>
      <c r="AD10" t="s">
        <v>45</v>
      </c>
      <c r="AE10">
        <v>-51794</v>
      </c>
      <c r="AF10" t="s">
        <v>732</v>
      </c>
      <c r="AG10">
        <v>3601.36</v>
      </c>
      <c r="AH10" t="s">
        <v>733</v>
      </c>
      <c r="AI10" t="s">
        <v>514</v>
      </c>
      <c r="AJ10" t="s">
        <v>734</v>
      </c>
      <c r="AK10" t="s">
        <v>735</v>
      </c>
      <c r="AL10" t="s">
        <v>736</v>
      </c>
      <c r="AM10" t="s">
        <v>45</v>
      </c>
      <c r="AN10">
        <v>0</v>
      </c>
      <c r="AO10" t="s">
        <v>737</v>
      </c>
      <c r="AP10" t="s">
        <v>45</v>
      </c>
      <c r="AQ10" t="s">
        <v>738</v>
      </c>
      <c r="AR10" t="s">
        <v>739</v>
      </c>
      <c r="AS10" t="s">
        <v>740</v>
      </c>
      <c r="AT10" t="s">
        <v>45</v>
      </c>
      <c r="AU10" t="s">
        <v>741</v>
      </c>
      <c r="AV10" t="s">
        <v>742</v>
      </c>
      <c r="AW10" t="s">
        <v>743</v>
      </c>
      <c r="AX10" t="s">
        <v>480</v>
      </c>
      <c r="AY10" t="s">
        <v>371</v>
      </c>
      <c r="AZ10" t="s">
        <v>237</v>
      </c>
      <c r="BA10" t="s">
        <v>239</v>
      </c>
      <c r="BB10" t="s">
        <v>240</v>
      </c>
      <c r="BC10" t="s">
        <v>481</v>
      </c>
      <c r="BD10" t="s">
        <v>372</v>
      </c>
      <c r="BE10" t="s">
        <v>238</v>
      </c>
      <c r="BF10" t="s">
        <v>241</v>
      </c>
      <c r="BG10" t="s">
        <v>242</v>
      </c>
      <c r="BH10" t="s">
        <v>726</v>
      </c>
      <c r="BI10" t="s">
        <v>540</v>
      </c>
      <c r="BJ10" t="s">
        <v>480</v>
      </c>
      <c r="BK10" t="s">
        <v>727</v>
      </c>
      <c r="BL10" t="s">
        <v>744</v>
      </c>
      <c r="BM10" t="s">
        <v>481</v>
      </c>
      <c r="BN10" t="s">
        <v>45</v>
      </c>
      <c r="BO10" t="s">
        <v>45</v>
      </c>
      <c r="BP10" t="s">
        <v>45</v>
      </c>
      <c r="BQ10">
        <v>-11.95</v>
      </c>
      <c r="BR10">
        <v>74.150000000000006</v>
      </c>
      <c r="BS10" t="s">
        <v>45</v>
      </c>
      <c r="BT10" t="s">
        <v>409</v>
      </c>
      <c r="BU10" t="s">
        <v>356</v>
      </c>
      <c r="BV10">
        <v>8.4499999999999993</v>
      </c>
      <c r="BW10">
        <v>17.63</v>
      </c>
      <c r="BX10">
        <v>19.28</v>
      </c>
      <c r="BY10">
        <v>-2.92</v>
      </c>
      <c r="BZ10">
        <v>-4.17</v>
      </c>
      <c r="CA10">
        <v>-15.77</v>
      </c>
      <c r="CB10">
        <v>0</v>
      </c>
      <c r="CC10">
        <v>-15.72</v>
      </c>
      <c r="CD10" t="s">
        <v>745</v>
      </c>
      <c r="CE10" t="s">
        <v>746</v>
      </c>
      <c r="CF10" s="9">
        <v>-0.34414803149606299</v>
      </c>
      <c r="CG10" s="10">
        <v>1.3257742755465176</v>
      </c>
      <c r="CH10" s="9">
        <v>-0.63608932495117188</v>
      </c>
      <c r="CI10" s="9">
        <v>-0.1524297297000885</v>
      </c>
      <c r="CJ10" s="9">
        <v>-0.40378162264823914</v>
      </c>
      <c r="CK10" s="9">
        <v>-0.2194715291261673</v>
      </c>
      <c r="CL10" s="9">
        <v>7.1137189865112305E-2</v>
      </c>
      <c r="CM10" s="10">
        <v>0.78152662515640259</v>
      </c>
      <c r="CN10" s="10">
        <v>0.68314570188522339</v>
      </c>
      <c r="CO10" s="10">
        <v>0.40534979104995728</v>
      </c>
      <c r="CP10" s="10">
        <v>-2.2837836742401123</v>
      </c>
      <c r="CQ10" s="10">
        <v>-2.4800000190734863</v>
      </c>
      <c r="CR10">
        <v>-7.849135549816296</v>
      </c>
      <c r="CS10">
        <v>-0.29273946498702996</v>
      </c>
      <c r="CT10">
        <v>0</v>
      </c>
      <c r="CU10" s="9">
        <v>-0.26812700331211092</v>
      </c>
      <c r="CV10" s="10">
        <v>-0.57875231504440305</v>
      </c>
      <c r="CW10">
        <v>0.06</v>
      </c>
      <c r="CX10" t="e">
        <v>#VALUE!</v>
      </c>
      <c r="CY10" t="s">
        <v>358</v>
      </c>
      <c r="CZ10">
        <v>-0.26812700331211092</v>
      </c>
      <c r="DA10" t="e">
        <v>#VALUE!</v>
      </c>
      <c r="DB10" t="s">
        <v>358</v>
      </c>
      <c r="DC10">
        <v>-0.25472065314650538</v>
      </c>
      <c r="DD10" t="e">
        <v>#VALUE!</v>
      </c>
      <c r="DE10" t="s">
        <v>358</v>
      </c>
      <c r="DF10">
        <v>-0.23595176291465761</v>
      </c>
      <c r="DG10" t="e">
        <v>#VALUE!</v>
      </c>
      <c r="DH10" t="s">
        <v>358</v>
      </c>
      <c r="DI10">
        <v>-0.21450160264968876</v>
      </c>
      <c r="DJ10" t="e">
        <v>#VALUE!</v>
      </c>
      <c r="DK10" t="s">
        <v>358</v>
      </c>
      <c r="DL10">
        <v>-0.18768890231847762</v>
      </c>
      <c r="DM10">
        <v>-20005800</v>
      </c>
      <c r="DN10">
        <v>-0.26812700331211092</v>
      </c>
      <c r="DO10">
        <v>1832594100</v>
      </c>
      <c r="DP10">
        <v>-41170640</v>
      </c>
      <c r="DQ10">
        <v>823</v>
      </c>
      <c r="DR10">
        <v>-7.6021028183952066E-2</v>
      </c>
      <c r="DS10">
        <v>1.9045265905909208</v>
      </c>
      <c r="DT10" s="11">
        <v>-1.1733333333333333</v>
      </c>
      <c r="DU10">
        <v>-1.3099999999999998</v>
      </c>
      <c r="DV10">
        <v>-2.4833333333333334</v>
      </c>
      <c r="DW10">
        <v>-2.1572</v>
      </c>
      <c r="DX10">
        <v>0.37566952662721831</v>
      </c>
      <c r="DY10">
        <v>-2.021327249585799</v>
      </c>
      <c r="DZ10">
        <v>4668</v>
      </c>
      <c r="EA10">
        <v>-2.0018447444847207</v>
      </c>
      <c r="EB10">
        <v>2</v>
      </c>
      <c r="EC10">
        <v>0.11664707977207978</v>
      </c>
      <c r="ED10">
        <v>0.85978835978835977</v>
      </c>
      <c r="EE10" s="12">
        <v>-1.0282</v>
      </c>
      <c r="EF10">
        <v>-1.0345</v>
      </c>
      <c r="EG10">
        <v>24.135669526627218</v>
      </c>
      <c r="EH10" t="s">
        <v>473</v>
      </c>
      <c r="EI10">
        <v>0</v>
      </c>
      <c r="EJ10">
        <v>0</v>
      </c>
      <c r="EK10" s="8">
        <v>45470</v>
      </c>
      <c r="EL10" s="13">
        <v>-1.58</v>
      </c>
      <c r="EM10" s="13">
        <v>-2.88</v>
      </c>
      <c r="EN10" s="13">
        <v>-0.66</v>
      </c>
      <c r="EO10" s="13">
        <v>5.32</v>
      </c>
      <c r="EP10" s="13">
        <v>0.63</v>
      </c>
    </row>
    <row r="11" spans="1:146" ht="108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市值172.3471亿, 利润10.21亿; PE13.54; 平均PE19.86; 平均PEG.18, PB.849; ROIC4.3567%; ROE5.35%; 股利率1.7781%; 毛利-1.52%; 净利35.0833%; 上一年度营收增-32.43%, 利润增71.02%; 当季营收增-63.13%, 利润增67.07%; 过往5年营收增109.67%, 利润增26.84%
Income profile:
</v>
      </c>
      <c r="D11" t="s">
        <v>42</v>
      </c>
      <c r="E11" t="s">
        <v>43</v>
      </c>
      <c r="F11">
        <v>7.48</v>
      </c>
      <c r="G11">
        <v>0.27</v>
      </c>
      <c r="H11" t="s">
        <v>747</v>
      </c>
      <c r="I11">
        <v>17234710000</v>
      </c>
      <c r="J11">
        <v>13.54</v>
      </c>
      <c r="K11">
        <v>0.84899999999999998</v>
      </c>
      <c r="L11" t="s">
        <v>356</v>
      </c>
      <c r="M11" t="s">
        <v>748</v>
      </c>
      <c r="N11" t="s">
        <v>749</v>
      </c>
      <c r="O11" t="s">
        <v>424</v>
      </c>
      <c r="P11">
        <v>-63.13</v>
      </c>
      <c r="Q11" t="s">
        <v>750</v>
      </c>
      <c r="R11">
        <v>628183920</v>
      </c>
      <c r="S11" s="5">
        <v>0.67269999999999996</v>
      </c>
      <c r="T11" t="s">
        <v>530</v>
      </c>
      <c r="U11">
        <v>2304105600</v>
      </c>
      <c r="V11">
        <v>2304105600</v>
      </c>
      <c r="W11">
        <v>4.74</v>
      </c>
      <c r="X11">
        <v>0</v>
      </c>
      <c r="Y11">
        <v>17.91</v>
      </c>
      <c r="Z11" t="s">
        <v>751</v>
      </c>
      <c r="AA11" t="s">
        <v>752</v>
      </c>
      <c r="AB11" t="s">
        <v>45</v>
      </c>
      <c r="AC11" t="s">
        <v>621</v>
      </c>
      <c r="AD11" t="s">
        <v>45</v>
      </c>
      <c r="AE11">
        <v>0</v>
      </c>
      <c r="AF11" t="s">
        <v>753</v>
      </c>
      <c r="AG11" t="s">
        <v>754</v>
      </c>
      <c r="AH11" t="s">
        <v>755</v>
      </c>
      <c r="AI11" t="s">
        <v>756</v>
      </c>
      <c r="AJ11" t="s">
        <v>757</v>
      </c>
      <c r="AK11" t="s">
        <v>45</v>
      </c>
      <c r="AL11" t="s">
        <v>758</v>
      </c>
      <c r="AM11" t="s">
        <v>45</v>
      </c>
      <c r="AN11">
        <v>0</v>
      </c>
      <c r="AO11" t="s">
        <v>759</v>
      </c>
      <c r="AP11" t="s">
        <v>45</v>
      </c>
      <c r="AQ11" t="s">
        <v>760</v>
      </c>
      <c r="AR11" t="s">
        <v>761</v>
      </c>
      <c r="AS11" t="s">
        <v>762</v>
      </c>
      <c r="AT11" t="s">
        <v>45</v>
      </c>
      <c r="AU11" t="s">
        <v>763</v>
      </c>
      <c r="AV11" t="s">
        <v>764</v>
      </c>
      <c r="AW11" t="s">
        <v>765</v>
      </c>
      <c r="AX11" t="s">
        <v>766</v>
      </c>
      <c r="AY11" t="s">
        <v>484</v>
      </c>
      <c r="AZ11" t="s">
        <v>485</v>
      </c>
      <c r="BA11" t="s">
        <v>139</v>
      </c>
      <c r="BB11" t="s">
        <v>140</v>
      </c>
      <c r="BC11" t="s">
        <v>483</v>
      </c>
      <c r="BD11" t="s">
        <v>279</v>
      </c>
      <c r="BE11" t="s">
        <v>138</v>
      </c>
      <c r="BF11" t="s">
        <v>73</v>
      </c>
      <c r="BG11" t="s">
        <v>141</v>
      </c>
      <c r="BH11" t="s">
        <v>750</v>
      </c>
      <c r="BI11" t="s">
        <v>767</v>
      </c>
      <c r="BJ11" t="s">
        <v>766</v>
      </c>
      <c r="BK11" t="s">
        <v>530</v>
      </c>
      <c r="BL11" t="s">
        <v>768</v>
      </c>
      <c r="BM11" t="s">
        <v>483</v>
      </c>
      <c r="BN11">
        <v>3.39</v>
      </c>
      <c r="BO11">
        <v>3.1</v>
      </c>
      <c r="BP11">
        <v>6.58</v>
      </c>
      <c r="BQ11">
        <v>5.0199999999999996</v>
      </c>
      <c r="BR11">
        <v>3.26</v>
      </c>
      <c r="BS11">
        <v>7.77</v>
      </c>
      <c r="BT11" t="s">
        <v>769</v>
      </c>
      <c r="BU11" t="s">
        <v>356</v>
      </c>
      <c r="BV11">
        <v>-2.99</v>
      </c>
      <c r="BW11">
        <v>-3.49</v>
      </c>
      <c r="BX11">
        <v>1.92</v>
      </c>
      <c r="BY11">
        <v>48.5</v>
      </c>
      <c r="BZ11">
        <v>24.28</v>
      </c>
      <c r="CA11">
        <v>32.47</v>
      </c>
      <c r="CB11">
        <v>-0.13</v>
      </c>
      <c r="CC11">
        <v>-4.59</v>
      </c>
      <c r="CD11" t="s">
        <v>770</v>
      </c>
      <c r="CE11" t="s">
        <v>412</v>
      </c>
      <c r="CF11" s="9">
        <v>-0.63127187864644108</v>
      </c>
      <c r="CG11" s="10">
        <v>0.67070191489361697</v>
      </c>
      <c r="CH11" s="9">
        <v>-0.32427656650543213</v>
      </c>
      <c r="CI11" s="9">
        <v>-0.28674960136413574</v>
      </c>
      <c r="CJ11" s="9">
        <v>3.037531852722168</v>
      </c>
      <c r="CK11" s="9">
        <v>3.8073391914367676</v>
      </c>
      <c r="CL11" s="9">
        <v>-0.7503817081451416</v>
      </c>
      <c r="CM11" s="10">
        <v>0.71021777391433716</v>
      </c>
      <c r="CN11" s="10">
        <v>-0.56486880779266357</v>
      </c>
      <c r="CO11" s="10">
        <v>0.30170777440071106</v>
      </c>
      <c r="CP11" s="10">
        <v>0.61656439304351807</v>
      </c>
      <c r="CQ11" s="10">
        <v>0.27843138575553894</v>
      </c>
      <c r="CR11">
        <v>19.863284671532849</v>
      </c>
      <c r="CS11">
        <v>0.18111988776479007</v>
      </c>
      <c r="CT11">
        <v>1.7780748663101604</v>
      </c>
      <c r="CU11" s="9">
        <v>1.0966926336288452</v>
      </c>
      <c r="CV11" s="10">
        <v>0.26841050386428833</v>
      </c>
      <c r="CW11">
        <v>0.06</v>
      </c>
      <c r="CX11">
        <v>43.398134571615557</v>
      </c>
      <c r="CY11">
        <v>2019550168.8066521</v>
      </c>
      <c r="CZ11">
        <v>1.0966926336288452</v>
      </c>
      <c r="DA11">
        <v>6.7145813221508508</v>
      </c>
      <c r="DB11">
        <v>13052892770.971039</v>
      </c>
      <c r="DC11">
        <v>1.0418580019474029</v>
      </c>
      <c r="DD11">
        <v>0.99858000226207189</v>
      </c>
      <c r="DE11">
        <v>87769342267.479263</v>
      </c>
      <c r="DF11">
        <v>0.96508951759338379</v>
      </c>
      <c r="DG11">
        <v>0.12347902977570714</v>
      </c>
      <c r="DH11">
        <v>709794287817.14429</v>
      </c>
      <c r="DI11">
        <v>0.87735410690307614</v>
      </c>
      <c r="DJ11">
        <v>1.2421420391972202E-3</v>
      </c>
      <c r="DK11">
        <v>70559329959272.297</v>
      </c>
      <c r="DL11">
        <v>0.76768484354019162</v>
      </c>
      <c r="DM11">
        <v>1021000000.0000001</v>
      </c>
      <c r="DN11">
        <v>1.0966926336288452</v>
      </c>
      <c r="DO11">
        <v>87644710000</v>
      </c>
      <c r="DP11">
        <v>22177500000</v>
      </c>
      <c r="DQ11">
        <v>927</v>
      </c>
      <c r="DR11">
        <v>-1.7279645122752862</v>
      </c>
      <c r="DS11">
        <v>0.40229141102932864</v>
      </c>
      <c r="DT11" s="11">
        <v>-0.17316666666666672</v>
      </c>
      <c r="DU11">
        <v>1.0900000000000001</v>
      </c>
      <c r="DV11">
        <v>0.91683333333333339</v>
      </c>
      <c r="DW11">
        <v>-1.0459000000000001</v>
      </c>
      <c r="DX11">
        <v>0.31362059369202072</v>
      </c>
      <c r="DY11">
        <v>-1.0056741852504638</v>
      </c>
      <c r="DZ11">
        <v>260</v>
      </c>
      <c r="EA11">
        <v>-1.0053854791516144</v>
      </c>
      <c r="EB11">
        <v>1</v>
      </c>
      <c r="EC11">
        <v>2.8918596439329865E-2</v>
      </c>
      <c r="ED11">
        <v>0.233930250419078</v>
      </c>
      <c r="EE11" s="12">
        <v>2.0661100000000001</v>
      </c>
      <c r="EF11">
        <v>2.0754100000000002</v>
      </c>
      <c r="EG11">
        <v>19.123620593692021</v>
      </c>
      <c r="EH11" t="s">
        <v>440</v>
      </c>
      <c r="EI11">
        <v>0</v>
      </c>
      <c r="EJ11">
        <v>1</v>
      </c>
      <c r="EK11" s="8">
        <v>45470</v>
      </c>
      <c r="EL11" s="13">
        <v>0.13</v>
      </c>
      <c r="EM11" s="13">
        <v>-3.15</v>
      </c>
      <c r="EN11" s="13">
        <v>0.27</v>
      </c>
      <c r="EO11" s="13">
        <v>1.49</v>
      </c>
      <c r="EP11" s="13">
        <v>-0.93</v>
      </c>
    </row>
    <row r="12" spans="1:146" ht="108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市值18.533903亿, 利润-2.15亿; PE; 平均PE-13.7; 平均PEG-2.77, PB59.11; ROIC0%; ROE-57.7133%; 股利率0%; 毛利17.8%; 净利-7.55%; 上一年度营收增8.63%, 利润增-52.48%; 当季营收增-19.61%, 利润增7.6%; 过往5年营收增4.95%, 利润增-375.35%
Income profile:
</v>
      </c>
      <c r="D12" t="s">
        <v>24</v>
      </c>
      <c r="E12" t="s">
        <v>5</v>
      </c>
      <c r="F12">
        <v>3.31</v>
      </c>
      <c r="G12">
        <v>2.16</v>
      </c>
      <c r="H12" t="s">
        <v>771</v>
      </c>
      <c r="I12">
        <v>1853390300</v>
      </c>
      <c r="K12">
        <v>59.11</v>
      </c>
      <c r="L12" t="s">
        <v>356</v>
      </c>
      <c r="M12" t="s">
        <v>772</v>
      </c>
      <c r="N12" t="s">
        <v>773</v>
      </c>
      <c r="O12" t="s">
        <v>774</v>
      </c>
      <c r="P12">
        <v>-19.7</v>
      </c>
      <c r="Q12" t="s">
        <v>775</v>
      </c>
      <c r="R12">
        <v>-29101525</v>
      </c>
      <c r="S12" s="5">
        <v>7.5999999999999998E-2</v>
      </c>
      <c r="T12" t="s">
        <v>776</v>
      </c>
      <c r="U12">
        <v>559936650</v>
      </c>
      <c r="V12">
        <v>559936650</v>
      </c>
      <c r="W12">
        <v>52.12</v>
      </c>
      <c r="X12">
        <v>0.08</v>
      </c>
      <c r="Y12">
        <v>-7.46</v>
      </c>
      <c r="Z12" t="s">
        <v>235</v>
      </c>
      <c r="AA12" t="s">
        <v>777</v>
      </c>
      <c r="AB12" t="s">
        <v>778</v>
      </c>
      <c r="AC12" t="s">
        <v>779</v>
      </c>
      <c r="AD12" t="s">
        <v>45</v>
      </c>
      <c r="AE12">
        <v>40277981</v>
      </c>
      <c r="AF12" t="s">
        <v>64</v>
      </c>
      <c r="AG12">
        <v>0.02</v>
      </c>
      <c r="AH12" t="s">
        <v>780</v>
      </c>
      <c r="AI12" t="s">
        <v>781</v>
      </c>
      <c r="AJ12" t="s">
        <v>782</v>
      </c>
      <c r="AK12" t="s">
        <v>45</v>
      </c>
      <c r="AL12" t="s">
        <v>783</v>
      </c>
      <c r="AM12" t="s">
        <v>45</v>
      </c>
      <c r="AN12">
        <v>0</v>
      </c>
      <c r="AO12" t="s">
        <v>496</v>
      </c>
      <c r="AP12" t="s">
        <v>45</v>
      </c>
      <c r="AQ12" t="s">
        <v>784</v>
      </c>
      <c r="AR12" t="s">
        <v>45</v>
      </c>
      <c r="AS12" t="s">
        <v>785</v>
      </c>
      <c r="AT12" t="s">
        <v>45</v>
      </c>
      <c r="AU12" t="s">
        <v>786</v>
      </c>
      <c r="AV12" t="s">
        <v>787</v>
      </c>
      <c r="AW12" t="s">
        <v>788</v>
      </c>
      <c r="AX12" t="s">
        <v>480</v>
      </c>
      <c r="AY12" t="s">
        <v>280</v>
      </c>
      <c r="AZ12" t="s">
        <v>282</v>
      </c>
      <c r="BA12" t="s">
        <v>373</v>
      </c>
      <c r="BB12" t="s">
        <v>143</v>
      </c>
      <c r="BC12" t="s">
        <v>789</v>
      </c>
      <c r="BD12" t="s">
        <v>281</v>
      </c>
      <c r="BE12" t="s">
        <v>283</v>
      </c>
      <c r="BF12" t="s">
        <v>374</v>
      </c>
      <c r="BG12" t="s">
        <v>145</v>
      </c>
      <c r="BH12" t="s">
        <v>775</v>
      </c>
      <c r="BI12" t="s">
        <v>790</v>
      </c>
      <c r="BJ12" t="s">
        <v>480</v>
      </c>
      <c r="BK12" t="s">
        <v>776</v>
      </c>
      <c r="BL12" t="s">
        <v>791</v>
      </c>
      <c r="BM12" t="s">
        <v>789</v>
      </c>
      <c r="BN12" t="s">
        <v>45</v>
      </c>
      <c r="BO12" t="s">
        <v>45</v>
      </c>
      <c r="BP12" t="s">
        <v>45</v>
      </c>
      <c r="BQ12">
        <v>-105.5</v>
      </c>
      <c r="BR12">
        <v>-53.76</v>
      </c>
      <c r="BS12">
        <v>-13.88</v>
      </c>
      <c r="BT12" t="s">
        <v>409</v>
      </c>
      <c r="BU12" t="s">
        <v>356</v>
      </c>
      <c r="BV12">
        <v>16.079999999999998</v>
      </c>
      <c r="BW12">
        <v>17.13</v>
      </c>
      <c r="BX12">
        <v>20.190000000000001</v>
      </c>
      <c r="BY12">
        <v>-11.85</v>
      </c>
      <c r="BZ12">
        <v>-8.14</v>
      </c>
      <c r="CA12">
        <v>-2.66</v>
      </c>
      <c r="CB12">
        <v>0.3</v>
      </c>
      <c r="CC12">
        <v>-19.46</v>
      </c>
      <c r="CD12" t="s">
        <v>792</v>
      </c>
      <c r="CE12" t="s">
        <v>793</v>
      </c>
      <c r="CF12" s="9">
        <v>-0.19612068965517232</v>
      </c>
      <c r="CG12" s="10">
        <v>7.6004197451683381E-2</v>
      </c>
      <c r="CH12" s="9">
        <v>8.6300581693649292E-2</v>
      </c>
      <c r="CI12" s="9">
        <v>-4.1087999939918518E-2</v>
      </c>
      <c r="CJ12" s="9">
        <v>-0.18104265630245209</v>
      </c>
      <c r="CK12" s="9">
        <v>0.1774553507566452</v>
      </c>
      <c r="CL12" s="9">
        <v>0.20592193305492401</v>
      </c>
      <c r="CM12" s="10">
        <v>-0.52482271194458008</v>
      </c>
      <c r="CN12" s="10">
        <v>-1.6916975975036621</v>
      </c>
      <c r="CO12" s="10">
        <v>0.87846100330352783</v>
      </c>
      <c r="CP12" s="10">
        <v>-15.949285507202148</v>
      </c>
      <c r="CQ12" s="10">
        <v>-1.4799072742462158</v>
      </c>
      <c r="CR12">
        <v>-13.697950987478585</v>
      </c>
      <c r="CS12">
        <v>-2.7667350862626723</v>
      </c>
      <c r="CT12">
        <v>0</v>
      </c>
      <c r="CU12" s="9">
        <v>4.9509441852569579E-2</v>
      </c>
      <c r="CV12" s="10">
        <v>-3.7534504175186156</v>
      </c>
      <c r="CW12">
        <v>0.06</v>
      </c>
      <c r="CX12" t="e">
        <v>#VALUE!</v>
      </c>
      <c r="CY12" t="s">
        <v>357</v>
      </c>
      <c r="CZ12">
        <v>4.9509441852569579E-2</v>
      </c>
      <c r="DA12" t="e">
        <v>#VALUE!</v>
      </c>
      <c r="DB12" t="s">
        <v>358</v>
      </c>
      <c r="DC12">
        <v>4.7033969759941098E-2</v>
      </c>
      <c r="DD12" t="e">
        <v>#VALUE!</v>
      </c>
      <c r="DE12" t="s">
        <v>358</v>
      </c>
      <c r="DF12">
        <v>4.3568308830261228E-2</v>
      </c>
      <c r="DG12" t="e">
        <v>#VALUE!</v>
      </c>
      <c r="DH12" t="s">
        <v>358</v>
      </c>
      <c r="DI12">
        <v>3.9607553482055663E-2</v>
      </c>
      <c r="DJ12" t="e">
        <v>#VALUE!</v>
      </c>
      <c r="DK12" t="s">
        <v>358</v>
      </c>
      <c r="DL12">
        <v>3.4656609296798702E-2</v>
      </c>
      <c r="DM12">
        <v>-215000000</v>
      </c>
      <c r="DN12">
        <v>4.9509441852569579E-2</v>
      </c>
      <c r="DO12">
        <v>6079083700</v>
      </c>
      <c r="DP12">
        <v>-1285409400</v>
      </c>
      <c r="DQ12">
        <v>1137</v>
      </c>
      <c r="DR12">
        <v>-0.24563013150774191</v>
      </c>
      <c r="DS12">
        <v>3.8294546149702988</v>
      </c>
      <c r="DT12" s="11">
        <v>-0.35666666666666669</v>
      </c>
      <c r="DU12">
        <v>-2.9550000000000001</v>
      </c>
      <c r="DV12">
        <v>-3.3116666666666665</v>
      </c>
      <c r="DW12">
        <v>-3.0391309523809524</v>
      </c>
      <c r="DX12">
        <v>0.32400301369863144</v>
      </c>
      <c r="DY12">
        <v>-3.0052436655479453</v>
      </c>
      <c r="DZ12">
        <v>4991</v>
      </c>
      <c r="EA12">
        <v>-3.0001221127593358</v>
      </c>
      <c r="EB12">
        <v>3</v>
      </c>
      <c r="EC12">
        <v>8.7351131596761888E-2</v>
      </c>
      <c r="ED12">
        <v>0.6518594558866615</v>
      </c>
      <c r="EE12" s="12">
        <v>-1.04471</v>
      </c>
      <c r="EF12">
        <v>-1.06521</v>
      </c>
      <c r="EG12">
        <v>19.134003013698631</v>
      </c>
      <c r="EH12" t="s">
        <v>494</v>
      </c>
      <c r="EI12">
        <v>0</v>
      </c>
      <c r="EJ12">
        <v>0</v>
      </c>
      <c r="EK12" s="8">
        <v>45470</v>
      </c>
      <c r="EL12" s="13">
        <v>-1.77</v>
      </c>
      <c r="EM12" s="13">
        <v>2.1</v>
      </c>
      <c r="EN12" s="13">
        <v>-3.82</v>
      </c>
      <c r="EO12" s="13">
        <v>4.28</v>
      </c>
      <c r="EP12" s="13">
        <v>-2.0499999999999998</v>
      </c>
    </row>
    <row r="13" spans="1:146" ht="108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市值48.018718亿, 利润2.44亿; PE18.37; 平均PE18.87; 平均PEG.65, PB1.83; ROIC0%; ROE14.1533%; 股利率2.0389%; 毛利0%; 净利21.3167%; 上一年度营收增-56.03%, 利润增-17.01%; 当季营收增-26.89%, 利润增32.25%; 过往5年营收增28.91%, 利润增30.95%
Income profile:
</v>
      </c>
      <c r="D13" t="s">
        <v>26</v>
      </c>
      <c r="E13" t="s">
        <v>27</v>
      </c>
      <c r="F13">
        <v>10.79</v>
      </c>
      <c r="G13">
        <v>1.79</v>
      </c>
      <c r="H13" t="s">
        <v>794</v>
      </c>
      <c r="I13">
        <v>4801871800</v>
      </c>
      <c r="J13">
        <v>18.37</v>
      </c>
      <c r="K13">
        <v>1.83</v>
      </c>
      <c r="L13" t="s">
        <v>356</v>
      </c>
      <c r="M13" t="s">
        <v>795</v>
      </c>
      <c r="N13" t="s">
        <v>796</v>
      </c>
      <c r="O13" t="s">
        <v>797</v>
      </c>
      <c r="P13">
        <v>-27.07</v>
      </c>
      <c r="Q13" t="s">
        <v>798</v>
      </c>
      <c r="R13">
        <v>72364659</v>
      </c>
      <c r="S13" s="5">
        <v>0.32250000000000001</v>
      </c>
      <c r="T13" t="s">
        <v>429</v>
      </c>
      <c r="U13">
        <v>445029830</v>
      </c>
      <c r="V13">
        <v>445029830</v>
      </c>
      <c r="W13">
        <v>5.13</v>
      </c>
      <c r="X13">
        <v>0.02</v>
      </c>
      <c r="Y13">
        <v>26.07</v>
      </c>
      <c r="Z13" t="s">
        <v>45</v>
      </c>
      <c r="AA13" t="s">
        <v>45</v>
      </c>
      <c r="AB13" t="s">
        <v>45</v>
      </c>
      <c r="AC13" t="s">
        <v>45</v>
      </c>
      <c r="AD13" t="s">
        <v>45</v>
      </c>
      <c r="AE13">
        <v>0</v>
      </c>
      <c r="AF13" t="s">
        <v>799</v>
      </c>
      <c r="AG13" t="s">
        <v>800</v>
      </c>
      <c r="AH13" t="s">
        <v>801</v>
      </c>
      <c r="AI13" t="s">
        <v>802</v>
      </c>
      <c r="AJ13" t="s">
        <v>64</v>
      </c>
      <c r="AK13" t="s">
        <v>45</v>
      </c>
      <c r="AL13" t="s">
        <v>64</v>
      </c>
      <c r="AM13" t="s">
        <v>803</v>
      </c>
      <c r="AN13" t="s">
        <v>45</v>
      </c>
      <c r="AO13" t="s">
        <v>45</v>
      </c>
      <c r="AP13" t="s">
        <v>45</v>
      </c>
      <c r="AQ13" t="s">
        <v>45</v>
      </c>
      <c r="AR13" t="s">
        <v>45</v>
      </c>
      <c r="AS13" t="s">
        <v>45</v>
      </c>
      <c r="AT13" t="s">
        <v>803</v>
      </c>
      <c r="AU13" t="s">
        <v>804</v>
      </c>
      <c r="AV13" t="s">
        <v>805</v>
      </c>
      <c r="AW13" t="s">
        <v>806</v>
      </c>
      <c r="AX13" t="s">
        <v>489</v>
      </c>
      <c r="AY13" t="s">
        <v>284</v>
      </c>
      <c r="AZ13" t="s">
        <v>146</v>
      </c>
      <c r="BA13" t="s">
        <v>74</v>
      </c>
      <c r="BB13" t="s">
        <v>148</v>
      </c>
      <c r="BC13" t="s">
        <v>490</v>
      </c>
      <c r="BD13" t="s">
        <v>285</v>
      </c>
      <c r="BE13" t="s">
        <v>147</v>
      </c>
      <c r="BF13" t="s">
        <v>75</v>
      </c>
      <c r="BG13" t="s">
        <v>149</v>
      </c>
      <c r="BH13" t="s">
        <v>798</v>
      </c>
      <c r="BI13" t="s">
        <v>275</v>
      </c>
      <c r="BJ13" t="s">
        <v>489</v>
      </c>
      <c r="BK13" t="s">
        <v>429</v>
      </c>
      <c r="BL13" t="s">
        <v>807</v>
      </c>
      <c r="BM13" t="s">
        <v>490</v>
      </c>
      <c r="BN13" t="s">
        <v>45</v>
      </c>
      <c r="BO13" t="s">
        <v>45</v>
      </c>
      <c r="BP13" t="s">
        <v>45</v>
      </c>
      <c r="BQ13">
        <v>6.97</v>
      </c>
      <c r="BR13">
        <v>12.09</v>
      </c>
      <c r="BS13">
        <v>23.4</v>
      </c>
      <c r="BT13" t="s">
        <v>422</v>
      </c>
      <c r="BU13" t="s">
        <v>356</v>
      </c>
      <c r="BV13" t="s">
        <v>45</v>
      </c>
      <c r="BW13" t="s">
        <v>45</v>
      </c>
      <c r="BX13" t="s">
        <v>45</v>
      </c>
      <c r="BY13">
        <v>26.32</v>
      </c>
      <c r="BZ13">
        <v>13.96</v>
      </c>
      <c r="CA13">
        <v>23.67</v>
      </c>
      <c r="CB13">
        <v>-1.46</v>
      </c>
      <c r="CC13">
        <v>-14.23</v>
      </c>
      <c r="CD13" t="s">
        <v>808</v>
      </c>
      <c r="CE13" t="s">
        <v>809</v>
      </c>
      <c r="CF13" s="9">
        <v>-0.2689295039164491</v>
      </c>
      <c r="CG13" s="10">
        <v>0.3225381557665421</v>
      </c>
      <c r="CH13" s="9">
        <v>-0.56030386686325073</v>
      </c>
      <c r="CI13" s="9">
        <v>-1.0338345542550087E-2</v>
      </c>
      <c r="CJ13" s="9">
        <v>0.58569300174713135</v>
      </c>
      <c r="CK13" s="9">
        <v>0.41114616394042969</v>
      </c>
      <c r="CL13" s="9">
        <v>1.0191082954406738</v>
      </c>
      <c r="CM13" s="10">
        <v>-0.17006802558898926</v>
      </c>
      <c r="CN13" s="10">
        <v>-0.4166666567325592</v>
      </c>
      <c r="CO13" s="10">
        <v>1.0240963697433472</v>
      </c>
      <c r="CP13" s="10">
        <v>1.0578511953353882</v>
      </c>
      <c r="CQ13" s="10">
        <v>5.2173912525177002E-2</v>
      </c>
      <c r="CR13">
        <v>18.86786561886051</v>
      </c>
      <c r="CS13">
        <v>0.65272943675872652</v>
      </c>
      <c r="CT13">
        <v>2.0389249304911958</v>
      </c>
      <c r="CU13" s="9">
        <v>0.28906104974448682</v>
      </c>
      <c r="CV13" s="10">
        <v>0.30947735905647278</v>
      </c>
      <c r="CW13">
        <v>0.06</v>
      </c>
      <c r="CX13">
        <v>44.336579583256139</v>
      </c>
      <c r="CY13">
        <v>296727260.50722146</v>
      </c>
      <c r="CZ13">
        <v>0.28906104974448682</v>
      </c>
      <c r="DA13">
        <v>12.290229668961958</v>
      </c>
      <c r="DB13">
        <v>1070433356.7682755</v>
      </c>
      <c r="DC13">
        <v>0.27460799725726248</v>
      </c>
      <c r="DD13">
        <v>4.7847069228275396</v>
      </c>
      <c r="DE13">
        <v>2749566903.9276266</v>
      </c>
      <c r="DF13">
        <v>0.25437372377514839</v>
      </c>
      <c r="DG13">
        <v>2.1605454705031133</v>
      </c>
      <c r="DH13">
        <v>6089143681.3576851</v>
      </c>
      <c r="DI13">
        <v>0.23124883979558947</v>
      </c>
      <c r="DJ13">
        <v>0.55848993904120048</v>
      </c>
      <c r="DK13">
        <v>23556148249.66341</v>
      </c>
      <c r="DL13">
        <v>0.20234273482114076</v>
      </c>
      <c r="DM13">
        <v>244000000</v>
      </c>
      <c r="DN13">
        <v>0.28906104974448682</v>
      </c>
      <c r="DO13">
        <v>13155871800</v>
      </c>
      <c r="DP13">
        <v>0</v>
      </c>
      <c r="DQ13">
        <v>1421</v>
      </c>
      <c r="DR13">
        <v>-0.55799055366093597</v>
      </c>
      <c r="DS13">
        <v>1.3060796710069322E-2</v>
      </c>
      <c r="DT13" s="11">
        <v>-0.15666666666666665</v>
      </c>
      <c r="DU13">
        <v>0.40333333333333332</v>
      </c>
      <c r="DV13">
        <v>0.24666666666666667</v>
      </c>
      <c r="DW13">
        <v>-2.1423000000000001</v>
      </c>
      <c r="DX13">
        <v>0.40957221944257483</v>
      </c>
      <c r="DY13">
        <v>-2.0241301268266785</v>
      </c>
      <c r="DZ13">
        <v>1148</v>
      </c>
      <c r="EA13">
        <v>-2.0187091120327398</v>
      </c>
      <c r="EB13">
        <v>2</v>
      </c>
      <c r="EC13">
        <v>2.6343852051445633E-2</v>
      </c>
      <c r="ED13">
        <v>0.15535475453409495</v>
      </c>
      <c r="EE13" s="12">
        <v>-1.00631</v>
      </c>
      <c r="EF13">
        <v>-1.0319100000000001</v>
      </c>
      <c r="EG13">
        <v>24.169572219442575</v>
      </c>
      <c r="EH13" t="s">
        <v>494</v>
      </c>
      <c r="EI13">
        <v>0</v>
      </c>
      <c r="EJ13">
        <v>1</v>
      </c>
      <c r="EK13" s="8">
        <v>45470</v>
      </c>
      <c r="EL13" s="13">
        <v>-0.17</v>
      </c>
      <c r="EM13" s="13">
        <v>-2.98</v>
      </c>
      <c r="EN13" s="13">
        <v>0.09</v>
      </c>
      <c r="EO13" s="13">
        <v>2.16</v>
      </c>
      <c r="EP13" s="13">
        <v>-2.56</v>
      </c>
    </row>
    <row r="14" spans="1:146" ht="156" x14ac:dyDescent="0.25">
      <c r="A14" s="14" t="s">
        <v>436</v>
      </c>
      <c r="B14" s="6" t="s">
        <v>437</v>
      </c>
      <c r="C14" s="6" t="str">
        <f>"公司主营业务为向商户支付类业务和商户科技服务类业务。主要服务有支付业务、科技服务、供应链运营业务。"&amp;CHAR(10)&amp;Basic_Fundamental_Information_Constructure(F14)&amp;CHAR(10)&amp;Basic_Fundamental_Information_Concatenate("支付业务 58.07亿 88.04% 78.15% 29.80%
其他 4.16亿 6.30% 7.05% 37.56%
商户科技服务 3.73亿 5.65% 14.80% 87.85%")</f>
        <v>公司主营业务为向商户支付类业务和商户科技服务类业务。主要服务有支付业务、科技服务、供应链运营业务。
市值99.60249亿, 利润4.58亿; PE24.4; 平均PE24.49; 平均PEG11.85, PB2.52; ROIC17.61%; ROE1.6267%; 股利率4.0161%; 毛利28.33%; 净利-.9033%; 上一年度营收增10.59%, 利润增131.87%; 当季营收增-1.71%, 利润增-19.22%; 过往5年营收增2.07%, 利润增-6.88%
Income profile:
支付业务 58.07亿 88.04% 78.15% 29.80%
其他 4.16亿 6.30% 7.05% 37.56%
商户科技服务 3.73亿 5.65% 14.80% 87.85%</v>
      </c>
      <c r="D14" t="s">
        <v>246</v>
      </c>
      <c r="E14" t="s">
        <v>247</v>
      </c>
      <c r="F14">
        <v>12.45</v>
      </c>
      <c r="G14">
        <v>1.55</v>
      </c>
      <c r="H14" t="s">
        <v>810</v>
      </c>
      <c r="I14">
        <v>9960249000</v>
      </c>
      <c r="J14">
        <v>24.4</v>
      </c>
      <c r="K14">
        <v>2.52</v>
      </c>
      <c r="L14" t="s">
        <v>356</v>
      </c>
      <c r="M14" t="s">
        <v>811</v>
      </c>
      <c r="N14" t="s">
        <v>812</v>
      </c>
      <c r="O14" t="s">
        <v>813</v>
      </c>
      <c r="P14">
        <v>-1.74</v>
      </c>
      <c r="Q14" t="s">
        <v>814</v>
      </c>
      <c r="R14">
        <v>208415470</v>
      </c>
      <c r="S14" s="5">
        <v>-0.192</v>
      </c>
      <c r="T14" t="s">
        <v>815</v>
      </c>
      <c r="U14">
        <v>734335410</v>
      </c>
      <c r="V14">
        <v>800020000</v>
      </c>
      <c r="W14">
        <v>2.8</v>
      </c>
      <c r="X14">
        <v>0.13</v>
      </c>
      <c r="Y14">
        <v>13.95</v>
      </c>
      <c r="Z14" t="s">
        <v>816</v>
      </c>
      <c r="AA14" t="s">
        <v>817</v>
      </c>
      <c r="AB14" t="s">
        <v>378</v>
      </c>
      <c r="AC14" t="s">
        <v>818</v>
      </c>
      <c r="AD14" t="s">
        <v>45</v>
      </c>
      <c r="AE14">
        <v>-5467741</v>
      </c>
      <c r="AF14" t="s">
        <v>819</v>
      </c>
      <c r="AG14" t="s">
        <v>820</v>
      </c>
      <c r="AH14" t="s">
        <v>821</v>
      </c>
      <c r="AI14" t="s">
        <v>822</v>
      </c>
      <c r="AJ14" t="s">
        <v>823</v>
      </c>
      <c r="AK14" t="s">
        <v>45</v>
      </c>
      <c r="AL14" t="s">
        <v>824</v>
      </c>
      <c r="AM14" t="s">
        <v>45</v>
      </c>
      <c r="AN14">
        <v>0</v>
      </c>
      <c r="AO14" t="s">
        <v>825</v>
      </c>
      <c r="AP14" t="s">
        <v>826</v>
      </c>
      <c r="AQ14" t="s">
        <v>827</v>
      </c>
      <c r="AR14" t="s">
        <v>45</v>
      </c>
      <c r="AS14" t="s">
        <v>828</v>
      </c>
      <c r="AT14" t="s">
        <v>45</v>
      </c>
      <c r="AU14" t="s">
        <v>379</v>
      </c>
      <c r="AV14" t="s">
        <v>829</v>
      </c>
      <c r="AW14" t="s">
        <v>830</v>
      </c>
      <c r="AX14" t="s">
        <v>831</v>
      </c>
      <c r="AY14" t="s">
        <v>832</v>
      </c>
      <c r="AZ14" t="s">
        <v>833</v>
      </c>
      <c r="BA14" t="s">
        <v>248</v>
      </c>
      <c r="BB14" t="s">
        <v>249</v>
      </c>
      <c r="BC14" t="s">
        <v>834</v>
      </c>
      <c r="BD14" t="s">
        <v>233</v>
      </c>
      <c r="BE14" t="s">
        <v>77</v>
      </c>
      <c r="BF14" t="s">
        <v>250</v>
      </c>
      <c r="BG14" t="s">
        <v>251</v>
      </c>
      <c r="BH14" t="s">
        <v>814</v>
      </c>
      <c r="BI14" t="s">
        <v>835</v>
      </c>
      <c r="BJ14" t="s">
        <v>831</v>
      </c>
      <c r="BK14" t="s">
        <v>815</v>
      </c>
      <c r="BL14" t="s">
        <v>836</v>
      </c>
      <c r="BM14" t="s">
        <v>834</v>
      </c>
      <c r="BN14">
        <v>14.41</v>
      </c>
      <c r="BO14" t="s">
        <v>45</v>
      </c>
      <c r="BP14">
        <v>20.81</v>
      </c>
      <c r="BQ14">
        <v>17.07</v>
      </c>
      <c r="BR14">
        <v>-35.31</v>
      </c>
      <c r="BS14">
        <v>23.12</v>
      </c>
      <c r="BT14" t="s">
        <v>837</v>
      </c>
      <c r="BU14" t="s">
        <v>356</v>
      </c>
      <c r="BV14">
        <v>28.35</v>
      </c>
      <c r="BW14">
        <v>23.07</v>
      </c>
      <c r="BX14">
        <v>33.57</v>
      </c>
      <c r="BY14">
        <v>7.7</v>
      </c>
      <c r="BZ14">
        <v>-26.81</v>
      </c>
      <c r="CA14">
        <v>16.399999999999999</v>
      </c>
      <c r="CB14">
        <v>0.16</v>
      </c>
      <c r="CC14">
        <v>-6.53</v>
      </c>
      <c r="CD14" t="s">
        <v>838</v>
      </c>
      <c r="CE14" t="s">
        <v>360</v>
      </c>
      <c r="CF14" s="9">
        <v>-1.7105263157894738E-2</v>
      </c>
      <c r="CG14" s="10">
        <v>-0.1921881007751938</v>
      </c>
      <c r="CH14" s="9">
        <v>0.10585165768861771</v>
      </c>
      <c r="CI14" s="9">
        <v>-0.18647660315036774</v>
      </c>
      <c r="CJ14" s="9">
        <v>0.18697130680084229</v>
      </c>
      <c r="CK14" s="9">
        <v>0.13431321084499359</v>
      </c>
      <c r="CL14" s="9">
        <v>-0.13734817504882813</v>
      </c>
      <c r="CM14" s="10">
        <v>1.3187196254730225</v>
      </c>
      <c r="CN14" s="10">
        <v>-2.3268697261810303</v>
      </c>
      <c r="CO14" s="10">
        <v>0.16326537728309631</v>
      </c>
      <c r="CP14" s="10">
        <v>0.15508684515953064</v>
      </c>
      <c r="CQ14" s="10">
        <v>0.3455759584903717</v>
      </c>
      <c r="CR14">
        <v>24.49241557377049</v>
      </c>
      <c r="CS14">
        <v>11.853685194918253</v>
      </c>
      <c r="CT14">
        <v>4.0160642570281126</v>
      </c>
      <c r="CU14" s="9">
        <v>2.0662279427051546E-2</v>
      </c>
      <c r="CV14" s="10">
        <v>-6.8844383955001837E-2</v>
      </c>
      <c r="CW14">
        <v>0.06</v>
      </c>
      <c r="CX14">
        <v>32.918697897116147</v>
      </c>
      <c r="CY14">
        <v>441003135.82791466</v>
      </c>
      <c r="CZ14">
        <v>2.0662279427051546E-2</v>
      </c>
      <c r="DA14">
        <v>11.413177753310782</v>
      </c>
      <c r="DB14">
        <v>1271972566.6051924</v>
      </c>
      <c r="DC14">
        <v>1.9629165455698969E-2</v>
      </c>
      <c r="DD14">
        <v>6.0676769553851546</v>
      </c>
      <c r="DE14">
        <v>2392554697.0848083</v>
      </c>
      <c r="DF14">
        <v>1.818280589580536E-2</v>
      </c>
      <c r="DG14">
        <v>3.9619026511949378</v>
      </c>
      <c r="DH14">
        <v>3664211435.2864008</v>
      </c>
      <c r="DI14">
        <v>1.6529823541641238E-2</v>
      </c>
      <c r="DJ14">
        <v>2.4343653117364314</v>
      </c>
      <c r="DK14">
        <v>5963463630.5447741</v>
      </c>
      <c r="DL14">
        <v>1.4463595598936081E-2</v>
      </c>
      <c r="DM14">
        <v>458000000</v>
      </c>
      <c r="DN14">
        <v>2.0662279427051546E-2</v>
      </c>
      <c r="DO14">
        <v>14517249000</v>
      </c>
      <c r="DP14">
        <v>308842499.99999905</v>
      </c>
      <c r="DQ14">
        <v>2231</v>
      </c>
      <c r="DR14">
        <v>-3.7767542584946287E-2</v>
      </c>
      <c r="DS14">
        <v>-0.12334371682019196</v>
      </c>
      <c r="DT14" s="11">
        <v>-0.45666666666666672</v>
      </c>
      <c r="DU14">
        <v>-0.25333333333333335</v>
      </c>
      <c r="DV14">
        <v>-0.71000000000000008</v>
      </c>
      <c r="DW14">
        <v>-2.0653000000000001</v>
      </c>
      <c r="DX14">
        <v>0.35269182879377398</v>
      </c>
      <c r="DY14">
        <v>-2.0099707764202335</v>
      </c>
      <c r="DZ14">
        <v>749</v>
      </c>
      <c r="EA14">
        <v>-2.0085093064517885</v>
      </c>
      <c r="EB14">
        <v>2</v>
      </c>
      <c r="EC14">
        <v>4.9051023724406888E-2</v>
      </c>
      <c r="ED14">
        <v>0.32124196895077617</v>
      </c>
      <c r="EE14" s="12">
        <v>-3.0070999999999999</v>
      </c>
      <c r="EF14">
        <v>-3.03051</v>
      </c>
      <c r="EG14">
        <v>20.152691828793774</v>
      </c>
      <c r="EH14" t="s">
        <v>839</v>
      </c>
      <c r="EI14">
        <v>0</v>
      </c>
      <c r="EJ14">
        <v>1</v>
      </c>
      <c r="EK14" s="8">
        <v>45470</v>
      </c>
      <c r="EL14" s="13">
        <v>1.1200000000000001</v>
      </c>
      <c r="EM14" s="13">
        <v>-3.23</v>
      </c>
      <c r="EN14" s="13">
        <v>-2.71</v>
      </c>
      <c r="EO14" s="13">
        <v>5.47</v>
      </c>
      <c r="EP14" s="13">
        <v>-3.76</v>
      </c>
    </row>
    <row r="15" spans="1:146" ht="108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市值58.007759亿, 利润4.23亿; PE132.8; 平均PE19.43; 平均PEG.13, PB2; ROIC3.4967%; ROE3.0433%; 股利率0%; 毛利98.23%; 净利24.9%; 上一年度营收增346.53%, 利润增143.1%; 当季营收增-85.24%, 利润增-91.92%; 过往5年营收增143.95%, 利润增143.1%
Income profile:
</v>
      </c>
      <c r="D15" t="s">
        <v>33</v>
      </c>
      <c r="E15" t="s">
        <v>6</v>
      </c>
      <c r="F15">
        <v>13.38</v>
      </c>
      <c r="G15">
        <v>1.9</v>
      </c>
      <c r="H15" t="s">
        <v>840</v>
      </c>
      <c r="I15">
        <v>5800775900</v>
      </c>
      <c r="J15">
        <v>132.80000000000001</v>
      </c>
      <c r="K15">
        <v>2</v>
      </c>
      <c r="L15" t="s">
        <v>356</v>
      </c>
      <c r="M15" t="s">
        <v>841</v>
      </c>
      <c r="N15" t="s">
        <v>842</v>
      </c>
      <c r="O15" t="s">
        <v>843</v>
      </c>
      <c r="P15">
        <v>309.52999999999997</v>
      </c>
      <c r="Q15" t="s">
        <v>844</v>
      </c>
      <c r="R15">
        <v>5219543</v>
      </c>
      <c r="S15" s="5">
        <v>1.226</v>
      </c>
      <c r="T15" t="s">
        <v>845</v>
      </c>
      <c r="U15">
        <v>433540800</v>
      </c>
      <c r="V15">
        <v>433540800</v>
      </c>
      <c r="W15">
        <v>1.1599999999999999</v>
      </c>
      <c r="X15" t="s">
        <v>45</v>
      </c>
      <c r="Y15">
        <v>10.06</v>
      </c>
      <c r="Z15" t="s">
        <v>45</v>
      </c>
      <c r="AA15" t="s">
        <v>45</v>
      </c>
      <c r="AB15" t="s">
        <v>45</v>
      </c>
      <c r="AC15" t="s">
        <v>45</v>
      </c>
      <c r="AD15" t="s">
        <v>45</v>
      </c>
      <c r="AE15">
        <v>1838189</v>
      </c>
      <c r="AF15" t="s">
        <v>846</v>
      </c>
      <c r="AG15">
        <v>0.04</v>
      </c>
      <c r="AH15" t="s">
        <v>847</v>
      </c>
      <c r="AI15" t="s">
        <v>491</v>
      </c>
      <c r="AJ15" t="s">
        <v>848</v>
      </c>
      <c r="AK15" t="s">
        <v>45</v>
      </c>
      <c r="AL15" t="s">
        <v>849</v>
      </c>
      <c r="AM15" t="s">
        <v>45</v>
      </c>
      <c r="AN15">
        <v>0</v>
      </c>
      <c r="AO15" t="s">
        <v>45</v>
      </c>
      <c r="AP15" t="s">
        <v>45</v>
      </c>
      <c r="AQ15" t="s">
        <v>850</v>
      </c>
      <c r="AR15" t="s">
        <v>851</v>
      </c>
      <c r="AS15" t="s">
        <v>45</v>
      </c>
      <c r="AT15" t="s">
        <v>45</v>
      </c>
      <c r="AU15" t="s">
        <v>852</v>
      </c>
      <c r="AV15" t="s">
        <v>853</v>
      </c>
      <c r="AW15" t="s">
        <v>854</v>
      </c>
      <c r="AX15" t="s">
        <v>495</v>
      </c>
      <c r="AY15" t="s">
        <v>45</v>
      </c>
      <c r="AZ15" t="s">
        <v>153</v>
      </c>
      <c r="BA15" t="s">
        <v>78</v>
      </c>
      <c r="BB15" t="s">
        <v>154</v>
      </c>
      <c r="BC15" t="s">
        <v>459</v>
      </c>
      <c r="BD15" t="s">
        <v>45</v>
      </c>
      <c r="BE15" t="s">
        <v>45</v>
      </c>
      <c r="BF15" t="s">
        <v>45</v>
      </c>
      <c r="BG15" t="s">
        <v>45</v>
      </c>
      <c r="BH15" t="s">
        <v>415</v>
      </c>
      <c r="BI15" t="s">
        <v>746</v>
      </c>
      <c r="BJ15" t="s">
        <v>495</v>
      </c>
      <c r="BK15" t="s">
        <v>855</v>
      </c>
      <c r="BL15" t="s">
        <v>856</v>
      </c>
      <c r="BM15" t="s">
        <v>459</v>
      </c>
      <c r="BN15">
        <v>1.17</v>
      </c>
      <c r="BO15">
        <v>6.15</v>
      </c>
      <c r="BP15">
        <v>3.17</v>
      </c>
      <c r="BQ15">
        <v>0.64</v>
      </c>
      <c r="BR15">
        <v>6.2</v>
      </c>
      <c r="BS15">
        <v>2.29</v>
      </c>
      <c r="BT15" t="s">
        <v>409</v>
      </c>
      <c r="BU15" t="s">
        <v>356</v>
      </c>
      <c r="BV15">
        <v>99.55</v>
      </c>
      <c r="BW15">
        <v>98.6</v>
      </c>
      <c r="BX15">
        <v>96.54</v>
      </c>
      <c r="BY15">
        <v>5.05</v>
      </c>
      <c r="BZ15">
        <v>40.17</v>
      </c>
      <c r="CA15">
        <v>29.48</v>
      </c>
      <c r="CB15">
        <v>-3.53</v>
      </c>
      <c r="CC15">
        <v>-12.55</v>
      </c>
      <c r="CD15" t="s">
        <v>857</v>
      </c>
      <c r="CE15" t="s">
        <v>858</v>
      </c>
      <c r="CF15" s="9">
        <v>-0.85236804733727811</v>
      </c>
      <c r="CG15" s="10">
        <v>-0.91917159112729885</v>
      </c>
      <c r="CH15" s="9">
        <v>3.4652776718139648</v>
      </c>
      <c r="CI15" s="9" t="s">
        <v>45</v>
      </c>
      <c r="CJ15" s="9" t="s">
        <v>45</v>
      </c>
      <c r="CK15" s="9">
        <v>-0.84734213352203369</v>
      </c>
      <c r="CL15" s="9">
        <v>1.7006133794784546</v>
      </c>
      <c r="CM15" s="10">
        <v>1.4310344457626343</v>
      </c>
      <c r="CN15" s="10" t="s">
        <v>45</v>
      </c>
      <c r="CO15" s="10" t="s">
        <v>45</v>
      </c>
      <c r="CP15" s="10" t="s">
        <v>45</v>
      </c>
      <c r="CQ15" s="10" t="s">
        <v>45</v>
      </c>
      <c r="CR15">
        <v>19.433085092127303</v>
      </c>
      <c r="CS15">
        <v>0.13499732522766258</v>
      </c>
      <c r="CT15">
        <v>0</v>
      </c>
      <c r="CU15" s="9">
        <v>1.4395163059234619</v>
      </c>
      <c r="CV15" s="10">
        <v>1.4310344457626343</v>
      </c>
      <c r="CW15">
        <v>0.06</v>
      </c>
      <c r="CX15">
        <v>3.4645693464681253</v>
      </c>
      <c r="CY15">
        <v>973505091.89209855</v>
      </c>
      <c r="CZ15">
        <v>1.4395163059234619</v>
      </c>
      <c r="DA15">
        <v>0.43417880054233288</v>
      </c>
      <c r="DB15">
        <v>7768172687.8121748</v>
      </c>
      <c r="DC15">
        <v>1.3675404906272888</v>
      </c>
      <c r="DD15">
        <v>4.4855474388936778E-2</v>
      </c>
      <c r="DE15">
        <v>75192068436.397293</v>
      </c>
      <c r="DF15">
        <v>1.2667743492126464</v>
      </c>
      <c r="DG15">
        <v>3.4098443206191792E-3</v>
      </c>
      <c r="DH15">
        <v>989128999117.34155</v>
      </c>
      <c r="DI15">
        <v>1.1516130447387696</v>
      </c>
      <c r="DJ15">
        <v>1.0663970508494032E-5</v>
      </c>
      <c r="DK15">
        <v>316277684499739.31</v>
      </c>
      <c r="DL15">
        <v>1.0076614141464233</v>
      </c>
      <c r="DM15">
        <v>423000000.00000006</v>
      </c>
      <c r="DN15">
        <v>1.4395163059234619</v>
      </c>
      <c r="DO15">
        <v>3372775900</v>
      </c>
      <c r="DP15">
        <v>2304362900</v>
      </c>
      <c r="DQ15">
        <v>2882</v>
      </c>
      <c r="DR15">
        <v>-2.2918843532607402</v>
      </c>
      <c r="DS15">
        <v>-2.3502060368899329</v>
      </c>
      <c r="DT15" s="11">
        <v>-0.21000000000000008</v>
      </c>
      <c r="DU15">
        <v>-0.32000000000000006</v>
      </c>
      <c r="DV15">
        <v>-0.53000000000000014</v>
      </c>
      <c r="DW15">
        <v>-8.2812749003984063</v>
      </c>
      <c r="DX15">
        <v>0.50185069767441703</v>
      </c>
      <c r="DY15">
        <v>-8.070839279903641</v>
      </c>
      <c r="DZ15">
        <v>3038</v>
      </c>
      <c r="EA15">
        <v>-8.0287238723992846</v>
      </c>
      <c r="EB15">
        <v>8</v>
      </c>
      <c r="EC15">
        <v>0.12489689551710012</v>
      </c>
      <c r="ED15">
        <v>0.49591641663252917</v>
      </c>
      <c r="EE15" s="12">
        <v>4.1110000000000001E-2</v>
      </c>
      <c r="EF15">
        <v>8.6209999999999995E-2</v>
      </c>
      <c r="EG15">
        <v>25.251850697674417</v>
      </c>
      <c r="EH15">
        <v>-1</v>
      </c>
      <c r="EI15">
        <v>0</v>
      </c>
      <c r="EJ15">
        <v>0</v>
      </c>
      <c r="EK15" s="8">
        <v>45470</v>
      </c>
      <c r="EL15" s="13">
        <v>-4.6500000000000004</v>
      </c>
      <c r="EM15" s="13">
        <v>-5.76</v>
      </c>
      <c r="EN15" s="13">
        <v>3.06</v>
      </c>
      <c r="EO15" s="13">
        <v>1.1399999999999999</v>
      </c>
      <c r="EP15" s="13">
        <v>-4.51</v>
      </c>
    </row>
    <row r="16" spans="1:146" ht="108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市值354.03463亿, 利润13.33亿; PE19.23; 平均PE16.56; 平均PEG.12, PB.702; ROIC1.7633%; ROE7.1633%; 股利率2.002%; 毛利.8033%; 净利247.3533%; 上一年度营收增427.72%, 利润增-54.69%; 当季营收增-90.62%, 利润增-6.79%; 过往5年营收增133.23%, 利润增-54.69%
Income profile:
</v>
      </c>
      <c r="D16" t="s">
        <v>252</v>
      </c>
      <c r="E16" t="s">
        <v>253</v>
      </c>
      <c r="F16">
        <v>5.51</v>
      </c>
      <c r="G16">
        <v>0.36</v>
      </c>
      <c r="H16" t="s">
        <v>859</v>
      </c>
      <c r="I16">
        <v>35403463000</v>
      </c>
      <c r="J16">
        <v>19.23</v>
      </c>
      <c r="K16">
        <v>0.70199999999999996</v>
      </c>
      <c r="L16" t="s">
        <v>356</v>
      </c>
      <c r="M16" t="s">
        <v>860</v>
      </c>
      <c r="N16" t="s">
        <v>861</v>
      </c>
      <c r="O16" t="s">
        <v>862</v>
      </c>
      <c r="P16">
        <v>-43.66</v>
      </c>
      <c r="Q16" t="s">
        <v>863</v>
      </c>
      <c r="R16">
        <v>349537200</v>
      </c>
      <c r="S16" s="5">
        <v>-0.59619999999999995</v>
      </c>
      <c r="T16" t="s">
        <v>864</v>
      </c>
      <c r="U16">
        <v>6425310800</v>
      </c>
      <c r="V16">
        <v>6425310800</v>
      </c>
      <c r="W16">
        <v>4.92</v>
      </c>
      <c r="X16" t="s">
        <v>45</v>
      </c>
      <c r="Y16">
        <v>15.19</v>
      </c>
      <c r="Z16" t="s">
        <v>45</v>
      </c>
      <c r="AA16" t="s">
        <v>45</v>
      </c>
      <c r="AB16" t="s">
        <v>45</v>
      </c>
      <c r="AC16" t="s">
        <v>45</v>
      </c>
      <c r="AD16" t="s">
        <v>45</v>
      </c>
      <c r="AE16">
        <v>113040677</v>
      </c>
      <c r="AF16" t="s">
        <v>865</v>
      </c>
      <c r="AG16" t="s">
        <v>688</v>
      </c>
      <c r="AH16" t="s">
        <v>866</v>
      </c>
      <c r="AI16" t="s">
        <v>867</v>
      </c>
      <c r="AJ16" t="s">
        <v>868</v>
      </c>
      <c r="AK16" t="s">
        <v>45</v>
      </c>
      <c r="AL16" t="s">
        <v>869</v>
      </c>
      <c r="AM16" t="s">
        <v>45</v>
      </c>
      <c r="AN16" t="s">
        <v>870</v>
      </c>
      <c r="AO16" t="s">
        <v>45</v>
      </c>
      <c r="AP16" t="s">
        <v>45</v>
      </c>
      <c r="AQ16" t="s">
        <v>119</v>
      </c>
      <c r="AR16" t="s">
        <v>45</v>
      </c>
      <c r="AS16" t="s">
        <v>45</v>
      </c>
      <c r="AT16" t="s">
        <v>45</v>
      </c>
      <c r="AU16" t="s">
        <v>871</v>
      </c>
      <c r="AV16" t="s">
        <v>872</v>
      </c>
      <c r="AW16" t="s">
        <v>873</v>
      </c>
      <c r="AX16" t="s">
        <v>874</v>
      </c>
      <c r="AY16" t="s">
        <v>45</v>
      </c>
      <c r="AZ16" t="s">
        <v>499</v>
      </c>
      <c r="BA16" t="s">
        <v>254</v>
      </c>
      <c r="BB16" t="s">
        <v>255</v>
      </c>
      <c r="BC16" t="s">
        <v>498</v>
      </c>
      <c r="BD16" t="s">
        <v>45</v>
      </c>
      <c r="BE16" t="s">
        <v>45</v>
      </c>
      <c r="BF16" t="s">
        <v>45</v>
      </c>
      <c r="BG16" t="s">
        <v>45</v>
      </c>
      <c r="BH16" t="s">
        <v>701</v>
      </c>
      <c r="BI16" t="s">
        <v>875</v>
      </c>
      <c r="BJ16" t="s">
        <v>874</v>
      </c>
      <c r="BK16" t="s">
        <v>876</v>
      </c>
      <c r="BL16" t="s">
        <v>129</v>
      </c>
      <c r="BM16" t="s">
        <v>498</v>
      </c>
      <c r="BN16">
        <v>1.1599999999999999</v>
      </c>
      <c r="BO16">
        <v>1.59</v>
      </c>
      <c r="BP16">
        <v>2.54</v>
      </c>
      <c r="BQ16">
        <v>4.84</v>
      </c>
      <c r="BR16">
        <v>6.04</v>
      </c>
      <c r="BS16">
        <v>10.61</v>
      </c>
      <c r="BT16" t="s">
        <v>877</v>
      </c>
      <c r="BU16" t="s">
        <v>356</v>
      </c>
      <c r="BV16">
        <v>1.55</v>
      </c>
      <c r="BW16">
        <v>0.54</v>
      </c>
      <c r="BX16">
        <v>0.32</v>
      </c>
      <c r="BY16">
        <v>117.3</v>
      </c>
      <c r="BZ16">
        <v>179.12</v>
      </c>
      <c r="CA16">
        <v>445.64</v>
      </c>
      <c r="CB16">
        <v>-0.54</v>
      </c>
      <c r="CC16">
        <v>-10.26</v>
      </c>
      <c r="CD16" t="s">
        <v>878</v>
      </c>
      <c r="CE16" t="s">
        <v>425</v>
      </c>
      <c r="CF16" s="9">
        <v>-0.9062387306166606</v>
      </c>
      <c r="CG16" s="10">
        <v>-6.7900799999999997E-2</v>
      </c>
      <c r="CH16" s="9">
        <v>4.2772331237792969</v>
      </c>
      <c r="CI16" s="9" t="s">
        <v>45</v>
      </c>
      <c r="CJ16" s="9" t="s">
        <v>45</v>
      </c>
      <c r="CK16" s="9">
        <v>0.43712574243545532</v>
      </c>
      <c r="CL16" s="9">
        <v>-0.71742808818817139</v>
      </c>
      <c r="CM16" s="10">
        <v>-0.54690688848495483</v>
      </c>
      <c r="CN16" s="10" t="s">
        <v>45</v>
      </c>
      <c r="CO16" s="10" t="s">
        <v>45</v>
      </c>
      <c r="CP16" s="10" t="s">
        <v>45</v>
      </c>
      <c r="CQ16" s="10" t="s">
        <v>45</v>
      </c>
      <c r="CR16">
        <v>16.563023625730995</v>
      </c>
      <c r="CS16">
        <v>0.12431806712881366</v>
      </c>
      <c r="CT16">
        <v>2.0019963702359349</v>
      </c>
      <c r="CU16" s="9">
        <v>1.3323102593421936</v>
      </c>
      <c r="CV16" s="10">
        <v>-0.54690688848495483</v>
      </c>
      <c r="CW16">
        <v>0.06</v>
      </c>
      <c r="CX16">
        <v>67.244842926041571</v>
      </c>
      <c r="CY16">
        <v>2932990165.7576828</v>
      </c>
      <c r="CZ16">
        <v>1.3323102593421936</v>
      </c>
      <c r="DA16">
        <v>8.982712600696372</v>
      </c>
      <c r="DB16">
        <v>21956448098.396267</v>
      </c>
      <c r="DC16">
        <v>1.2656947463750838</v>
      </c>
      <c r="DD16">
        <v>1.0363923964471562</v>
      </c>
      <c r="DE16">
        <v>190302884965.30508</v>
      </c>
      <c r="DF16">
        <v>1.1724330282211304</v>
      </c>
      <c r="DG16">
        <v>9.1242623836637907E-2</v>
      </c>
      <c r="DH16">
        <v>2161582544503.769</v>
      </c>
      <c r="DI16">
        <v>1.065848207473755</v>
      </c>
      <c r="DJ16">
        <v>4.0552775320612159E-4</v>
      </c>
      <c r="DK16">
        <v>486350099199629.31</v>
      </c>
      <c r="DL16">
        <v>0.93261718153953543</v>
      </c>
      <c r="DM16">
        <v>1333000000</v>
      </c>
      <c r="DN16">
        <v>1.3323102593421936</v>
      </c>
      <c r="DO16">
        <v>197228463000.00003</v>
      </c>
      <c r="DP16">
        <v>245243100000</v>
      </c>
      <c r="DQ16">
        <v>2890</v>
      </c>
      <c r="DR16">
        <v>-2.2385489899588542</v>
      </c>
      <c r="DS16">
        <v>0.47900608848495485</v>
      </c>
      <c r="DT16" s="11">
        <v>-0.21000000000000008</v>
      </c>
      <c r="DU16">
        <v>-1.1599999999999999</v>
      </c>
      <c r="DV16">
        <v>-1.37</v>
      </c>
      <c r="DW16">
        <v>-2.1025999999999998</v>
      </c>
      <c r="DX16">
        <v>0.34865870445344083</v>
      </c>
      <c r="DY16">
        <v>-2.0142263830769229</v>
      </c>
      <c r="DZ16">
        <v>863</v>
      </c>
      <c r="EA16">
        <v>-2.0118237669134427</v>
      </c>
      <c r="EB16">
        <v>2</v>
      </c>
      <c r="EC16">
        <v>1.066055824101147E-2</v>
      </c>
      <c r="ED16">
        <v>7.6883440408828177E-2</v>
      </c>
      <c r="EE16" s="12">
        <v>5.0371100000000002</v>
      </c>
      <c r="EF16">
        <v>5.0853099999999998</v>
      </c>
      <c r="EG16">
        <v>21.138658704453441</v>
      </c>
      <c r="EH16" t="s">
        <v>879</v>
      </c>
      <c r="EI16">
        <v>0</v>
      </c>
      <c r="EJ16">
        <v>1</v>
      </c>
      <c r="EK16" s="8">
        <v>45470</v>
      </c>
      <c r="EL16" s="13">
        <v>-1.47</v>
      </c>
      <c r="EM16" s="13">
        <v>-2.12</v>
      </c>
      <c r="EN16" s="13">
        <v>0.6</v>
      </c>
      <c r="EO16" s="13">
        <v>-1.56</v>
      </c>
      <c r="EP16" s="13">
        <v>-4.82</v>
      </c>
    </row>
    <row r="17" spans="1:146" ht="108" x14ac:dyDescent="0.25">
      <c r="A17" s="6"/>
      <c r="B17" s="6"/>
      <c r="C17" s="6" t="str">
        <f>""&amp;CHAR(10)&amp;Basic_Fundamental_Information_Constructure(F17)&amp;CHAR(10)&amp;Basic_Fundamental_Information_Concatenate("")</f>
        <v xml:space="preserve">
市值113.732204亿, 利润3197.98万; PE36.08; 平均PE23.23; 平均PEG2.42, PB.741; ROIC3.47%; ROE4.7933%; 股利率1.7417%; 毛利3.2733%; 净利3.69%; 上一年度营收增-77.02%, 利润增-96.62%; 当季营收增119.1%, 利润增-35.6%; 过往5年营收增-9.59%, 利润增-96.62%
Income profile:
</v>
      </c>
      <c r="D17" t="s">
        <v>34</v>
      </c>
      <c r="E17" t="s">
        <v>13</v>
      </c>
      <c r="F17">
        <v>3.33</v>
      </c>
      <c r="G17">
        <v>1.52</v>
      </c>
      <c r="H17" t="s">
        <v>880</v>
      </c>
      <c r="I17">
        <v>11373220400</v>
      </c>
      <c r="J17">
        <v>36.08</v>
      </c>
      <c r="K17">
        <v>0.74099999999999999</v>
      </c>
      <c r="L17" t="s">
        <v>356</v>
      </c>
      <c r="M17" t="s">
        <v>881</v>
      </c>
      <c r="N17" t="s">
        <v>882</v>
      </c>
      <c r="O17" t="s">
        <v>883</v>
      </c>
      <c r="P17">
        <v>19.649999999999999</v>
      </c>
      <c r="Q17" t="s">
        <v>884</v>
      </c>
      <c r="R17">
        <v>43193547</v>
      </c>
      <c r="S17" s="5">
        <v>-0.79720000000000002</v>
      </c>
      <c r="T17" t="s">
        <v>885</v>
      </c>
      <c r="U17">
        <v>3415381500</v>
      </c>
      <c r="V17">
        <v>3415381500</v>
      </c>
      <c r="W17">
        <v>2.41</v>
      </c>
      <c r="X17" t="s">
        <v>45</v>
      </c>
      <c r="Y17">
        <v>1.03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>
        <v>29316795</v>
      </c>
      <c r="AF17" t="s">
        <v>886</v>
      </c>
      <c r="AG17" t="s">
        <v>887</v>
      </c>
      <c r="AH17" t="s">
        <v>888</v>
      </c>
      <c r="AI17" t="s">
        <v>889</v>
      </c>
      <c r="AJ17" t="s">
        <v>890</v>
      </c>
      <c r="AK17" t="s">
        <v>45</v>
      </c>
      <c r="AL17" t="s">
        <v>891</v>
      </c>
      <c r="AM17" t="s">
        <v>45</v>
      </c>
      <c r="AN17">
        <v>0</v>
      </c>
      <c r="AO17" t="s">
        <v>45</v>
      </c>
      <c r="AP17" t="s">
        <v>892</v>
      </c>
      <c r="AQ17" t="s">
        <v>893</v>
      </c>
      <c r="AR17" t="s">
        <v>894</v>
      </c>
      <c r="AS17" t="s">
        <v>45</v>
      </c>
      <c r="AT17" t="s">
        <v>45</v>
      </c>
      <c r="AU17" t="s">
        <v>482</v>
      </c>
      <c r="AV17" t="s">
        <v>895</v>
      </c>
      <c r="AW17" t="s">
        <v>896</v>
      </c>
      <c r="AX17" t="s">
        <v>897</v>
      </c>
      <c r="AY17" t="s">
        <v>45</v>
      </c>
      <c r="AZ17" t="s">
        <v>501</v>
      </c>
      <c r="BA17" t="s">
        <v>157</v>
      </c>
      <c r="BB17" t="s">
        <v>158</v>
      </c>
      <c r="BC17" t="s">
        <v>413</v>
      </c>
      <c r="BD17" t="s">
        <v>45</v>
      </c>
      <c r="BE17" t="s">
        <v>45</v>
      </c>
      <c r="BF17" t="s">
        <v>45</v>
      </c>
      <c r="BG17" t="s">
        <v>45</v>
      </c>
      <c r="BH17" t="s">
        <v>898</v>
      </c>
      <c r="BI17" t="s">
        <v>899</v>
      </c>
      <c r="BJ17" t="s">
        <v>897</v>
      </c>
      <c r="BK17" t="s">
        <v>900</v>
      </c>
      <c r="BL17" t="s">
        <v>901</v>
      </c>
      <c r="BM17" t="s">
        <v>413</v>
      </c>
      <c r="BN17">
        <v>1.33</v>
      </c>
      <c r="BO17">
        <v>4.87</v>
      </c>
      <c r="BP17">
        <v>4.21</v>
      </c>
      <c r="BQ17">
        <v>2.66</v>
      </c>
      <c r="BR17">
        <v>6.84</v>
      </c>
      <c r="BS17">
        <v>4.88</v>
      </c>
      <c r="BT17" t="s">
        <v>902</v>
      </c>
      <c r="BU17" t="s">
        <v>356</v>
      </c>
      <c r="BV17">
        <v>2.2400000000000002</v>
      </c>
      <c r="BW17">
        <v>3.4</v>
      </c>
      <c r="BX17">
        <v>4.18</v>
      </c>
      <c r="BY17">
        <v>1.79</v>
      </c>
      <c r="BZ17">
        <v>5.0199999999999996</v>
      </c>
      <c r="CA17">
        <v>4.26</v>
      </c>
      <c r="CB17">
        <v>-0.3</v>
      </c>
      <c r="CC17">
        <v>-6.25</v>
      </c>
      <c r="CD17" t="s">
        <v>903</v>
      </c>
      <c r="CE17" t="s">
        <v>904</v>
      </c>
      <c r="CF17" s="9">
        <v>1.1910016977928692</v>
      </c>
      <c r="CG17" s="10">
        <v>-0.35602664241466453</v>
      </c>
      <c r="CH17" s="9">
        <v>-0.77019983530044556</v>
      </c>
      <c r="CI17" s="9" t="s">
        <v>45</v>
      </c>
      <c r="CJ17" s="9" t="s">
        <v>45</v>
      </c>
      <c r="CK17" s="9">
        <v>0.38648095726966858</v>
      </c>
      <c r="CL17" s="9">
        <v>9.6128582954406738E-2</v>
      </c>
      <c r="CM17" s="10">
        <v>-0.96623045206069946</v>
      </c>
      <c r="CN17" s="10" t="s">
        <v>45</v>
      </c>
      <c r="CO17" s="10" t="s">
        <v>45</v>
      </c>
      <c r="CP17" s="10" t="s">
        <v>45</v>
      </c>
      <c r="CQ17" s="10" t="s">
        <v>45</v>
      </c>
      <c r="CR17">
        <v>23.234841822068237</v>
      </c>
      <c r="CS17">
        <v>2.4237440087362656</v>
      </c>
      <c r="CT17">
        <v>1.7417417417417416</v>
      </c>
      <c r="CU17" s="9">
        <v>-9.5863431692123413E-2</v>
      </c>
      <c r="CV17" s="10">
        <v>-0.96623045206069946</v>
      </c>
      <c r="CW17">
        <v>0.06</v>
      </c>
      <c r="CX17">
        <v>503.4496901168863</v>
      </c>
      <c r="CY17" t="s">
        <v>905</v>
      </c>
      <c r="CZ17">
        <v>-9.5863431692123413E-2</v>
      </c>
      <c r="DA17">
        <v>167.81656337229543</v>
      </c>
      <c r="DB17" t="s">
        <v>906</v>
      </c>
      <c r="DC17">
        <v>-9.1070260107517231E-2</v>
      </c>
      <c r="DD17">
        <v>83.908281686147717</v>
      </c>
      <c r="DE17" t="s">
        <v>907</v>
      </c>
      <c r="DF17">
        <v>-8.4359819889068599E-2</v>
      </c>
      <c r="DG17">
        <v>50.344969011688626</v>
      </c>
      <c r="DH17" t="s">
        <v>908</v>
      </c>
      <c r="DI17">
        <v>-7.6690745353698742E-2</v>
      </c>
      <c r="DJ17">
        <v>25.172484505844313</v>
      </c>
      <c r="DK17" t="s">
        <v>909</v>
      </c>
      <c r="DL17">
        <v>-6.7104402184486378E-2</v>
      </c>
      <c r="DM17">
        <v>31979800</v>
      </c>
      <c r="DN17">
        <v>-9.5863431692123413E-2</v>
      </c>
      <c r="DO17">
        <v>16100220400</v>
      </c>
      <c r="DP17">
        <v>17946412000</v>
      </c>
      <c r="DQ17">
        <v>2937</v>
      </c>
      <c r="DR17">
        <v>1.2868651294849927</v>
      </c>
      <c r="DS17">
        <v>0.61020380964603493</v>
      </c>
      <c r="DT17" s="11">
        <v>-1.1599999999999999</v>
      </c>
      <c r="DU17">
        <v>-2.3199999999999998</v>
      </c>
      <c r="DV17">
        <v>-3.4799999999999995</v>
      </c>
      <c r="DW17">
        <v>-2.0625</v>
      </c>
      <c r="DX17">
        <v>0.36541783216783386</v>
      </c>
      <c r="DY17">
        <v>-2.0078386145104896</v>
      </c>
      <c r="DZ17">
        <v>4133</v>
      </c>
      <c r="EA17">
        <v>-2.0014986940071915</v>
      </c>
      <c r="EB17">
        <v>2</v>
      </c>
      <c r="EC17">
        <v>1.0502340660918846E-2</v>
      </c>
      <c r="ED17">
        <v>8.3738815122117394E-2</v>
      </c>
      <c r="EE17" s="12">
        <v>4.0764100000000001</v>
      </c>
      <c r="EF17">
        <v>4.0863100000000001</v>
      </c>
      <c r="EG17">
        <v>24.125417832167834</v>
      </c>
      <c r="EH17" t="s">
        <v>910</v>
      </c>
      <c r="EI17">
        <v>0</v>
      </c>
      <c r="EJ17">
        <v>0</v>
      </c>
      <c r="EK17" s="8">
        <v>45470</v>
      </c>
      <c r="EL17" s="13">
        <v>-1.1299999999999999</v>
      </c>
      <c r="EM17" s="13">
        <v>-4.08</v>
      </c>
      <c r="EN17" s="13">
        <v>0.68</v>
      </c>
      <c r="EO17" s="13">
        <v>2.5299999999999998</v>
      </c>
      <c r="EP17" s="13">
        <v>-0.99</v>
      </c>
    </row>
    <row r="18" spans="1:146" ht="108" x14ac:dyDescent="0.25">
      <c r="A18" s="6"/>
      <c r="B18" s="6"/>
      <c r="C18" s="6" t="str">
        <f>""&amp;CHAR(10)&amp;Basic_Fundamental_Information_Constructure(F18)&amp;CHAR(10)&amp;Basic_Fundamental_Information_Concatenate("")</f>
        <v xml:space="preserve">
市值32.09675亿, 利润636.45万; PE101.9; 平均PE-54.19; 平均PEG-2.35, PB3.05; ROIC3.39%; ROE-12.07%; 股利率0%; 毛利81.2367%; 净利-20.6133%; 上一年度营收增163.58%, 利润增104.58%; 当季营收增-58.87%, 利润增171.88%; 过往5年营收增23.05%, 利润增-731.12%
Income profile:
</v>
      </c>
      <c r="D18" t="s">
        <v>30</v>
      </c>
      <c r="E18" t="s">
        <v>8</v>
      </c>
      <c r="F18">
        <v>6.26</v>
      </c>
      <c r="G18">
        <v>1.29</v>
      </c>
      <c r="H18" t="s">
        <v>911</v>
      </c>
      <c r="I18">
        <v>3209675000</v>
      </c>
      <c r="J18">
        <v>101.9</v>
      </c>
      <c r="K18">
        <v>3.05</v>
      </c>
      <c r="L18" t="s">
        <v>356</v>
      </c>
      <c r="M18" t="s">
        <v>912</v>
      </c>
      <c r="N18" t="s">
        <v>913</v>
      </c>
      <c r="O18" t="s">
        <v>914</v>
      </c>
      <c r="P18">
        <v>5.59</v>
      </c>
      <c r="Q18" t="s">
        <v>915</v>
      </c>
      <c r="R18">
        <v>13423583</v>
      </c>
      <c r="S18" s="5">
        <v>0.28889999999999999</v>
      </c>
      <c r="T18" t="s">
        <v>916</v>
      </c>
      <c r="U18">
        <v>512727630</v>
      </c>
      <c r="V18">
        <v>512727630</v>
      </c>
      <c r="W18">
        <v>2.0299999999999998</v>
      </c>
      <c r="X18">
        <v>0.02</v>
      </c>
      <c r="Y18">
        <v>40.39</v>
      </c>
      <c r="Z18" t="s">
        <v>917</v>
      </c>
      <c r="AA18" t="s">
        <v>918</v>
      </c>
      <c r="AB18" t="s">
        <v>919</v>
      </c>
      <c r="AC18" t="s">
        <v>920</v>
      </c>
      <c r="AD18" t="s">
        <v>45</v>
      </c>
      <c r="AE18">
        <v>11976881</v>
      </c>
      <c r="AF18" t="s">
        <v>921</v>
      </c>
      <c r="AG18" t="s">
        <v>45</v>
      </c>
      <c r="AH18" t="s">
        <v>922</v>
      </c>
      <c r="AI18" t="s">
        <v>496</v>
      </c>
      <c r="AJ18" t="s">
        <v>923</v>
      </c>
      <c r="AK18" t="s">
        <v>924</v>
      </c>
      <c r="AL18" t="s">
        <v>925</v>
      </c>
      <c r="AM18" t="s">
        <v>45</v>
      </c>
      <c r="AN18">
        <v>0</v>
      </c>
      <c r="AO18" t="s">
        <v>926</v>
      </c>
      <c r="AP18" t="s">
        <v>927</v>
      </c>
      <c r="AQ18" t="s">
        <v>928</v>
      </c>
      <c r="AR18" t="s">
        <v>929</v>
      </c>
      <c r="AS18" t="s">
        <v>930</v>
      </c>
      <c r="AT18" t="s">
        <v>537</v>
      </c>
      <c r="AU18" t="s">
        <v>931</v>
      </c>
      <c r="AV18" t="s">
        <v>932</v>
      </c>
      <c r="AW18" t="s">
        <v>933</v>
      </c>
      <c r="AX18" t="s">
        <v>713</v>
      </c>
      <c r="AY18" t="s">
        <v>235</v>
      </c>
      <c r="AZ18" t="s">
        <v>159</v>
      </c>
      <c r="BA18" t="s">
        <v>81</v>
      </c>
      <c r="BB18" t="s">
        <v>161</v>
      </c>
      <c r="BC18" t="s">
        <v>934</v>
      </c>
      <c r="BD18" t="s">
        <v>286</v>
      </c>
      <c r="BE18" t="s">
        <v>160</v>
      </c>
      <c r="BF18" t="s">
        <v>82</v>
      </c>
      <c r="BG18" t="s">
        <v>162</v>
      </c>
      <c r="BH18" t="s">
        <v>153</v>
      </c>
      <c r="BI18" t="s">
        <v>421</v>
      </c>
      <c r="BJ18" t="s">
        <v>713</v>
      </c>
      <c r="BK18" t="s">
        <v>935</v>
      </c>
      <c r="BL18" t="s">
        <v>936</v>
      </c>
      <c r="BM18" t="s">
        <v>934</v>
      </c>
      <c r="BN18">
        <v>3.39</v>
      </c>
      <c r="BO18" t="s">
        <v>45</v>
      </c>
      <c r="BP18" t="s">
        <v>45</v>
      </c>
      <c r="BQ18">
        <v>3.71</v>
      </c>
      <c r="BR18">
        <v>-12.87</v>
      </c>
      <c r="BS18">
        <v>-27.05</v>
      </c>
      <c r="BT18" t="s">
        <v>409</v>
      </c>
      <c r="BU18" t="s">
        <v>356</v>
      </c>
      <c r="BV18">
        <v>82.33</v>
      </c>
      <c r="BW18">
        <v>80.13</v>
      </c>
      <c r="BX18">
        <v>81.25</v>
      </c>
      <c r="BY18">
        <v>29.03</v>
      </c>
      <c r="BZ18">
        <v>-29.4</v>
      </c>
      <c r="CA18">
        <v>-61.47</v>
      </c>
      <c r="CB18">
        <v>-1.26</v>
      </c>
      <c r="CC18">
        <v>-0.79</v>
      </c>
      <c r="CD18" t="s">
        <v>937</v>
      </c>
      <c r="CE18" t="s">
        <v>161</v>
      </c>
      <c r="CF18" s="9">
        <v>-0.5887460784313725</v>
      </c>
      <c r="CG18" s="10">
        <v>1.7188265691351214</v>
      </c>
      <c r="CH18" s="9">
        <v>1.6357827186584473</v>
      </c>
      <c r="CI18" s="9">
        <v>-0.20759493112564087</v>
      </c>
      <c r="CJ18" s="9">
        <v>-0.19715447723865509</v>
      </c>
      <c r="CK18" s="9">
        <v>-5.0193049013614655E-2</v>
      </c>
      <c r="CL18" s="9">
        <v>-2.8142588213086128E-2</v>
      </c>
      <c r="CM18" s="10">
        <v>1.0457876920700073</v>
      </c>
      <c r="CN18" s="10">
        <v>0.53666669130325317</v>
      </c>
      <c r="CO18" s="10">
        <v>-36.5</v>
      </c>
      <c r="CP18" s="10">
        <v>-1.247826099395752</v>
      </c>
      <c r="CQ18" s="10">
        <v>-0.39060020446777344</v>
      </c>
      <c r="CR18">
        <v>-54.189488257051885</v>
      </c>
      <c r="CS18">
        <v>-2.3505507785423005</v>
      </c>
      <c r="CT18">
        <v>0</v>
      </c>
      <c r="CU18" s="9">
        <v>0.23053953461349011</v>
      </c>
      <c r="CV18" s="10">
        <v>-7.3111943840980533</v>
      </c>
      <c r="CW18">
        <v>0.06</v>
      </c>
      <c r="CX18">
        <v>418.44640147264619</v>
      </c>
      <c r="CY18">
        <v>7388461.1962712808</v>
      </c>
      <c r="CZ18">
        <v>0.23053953461349011</v>
      </c>
      <c r="DA18">
        <v>121.64102893321811</v>
      </c>
      <c r="DB18">
        <v>25416383.165398527</v>
      </c>
      <c r="DC18">
        <v>0.2190125578828156</v>
      </c>
      <c r="DD18">
        <v>50.816012833303319</v>
      </c>
      <c r="DE18">
        <v>60840566.341596313</v>
      </c>
      <c r="DF18">
        <v>0.20287479045987131</v>
      </c>
      <c r="DG18">
        <v>25.087709020265649</v>
      </c>
      <c r="DH18">
        <v>123234648.38908048</v>
      </c>
      <c r="DI18">
        <v>0.1844316276907921</v>
      </c>
      <c r="DJ18">
        <v>8.1329878000251483</v>
      </c>
      <c r="DK18">
        <v>380140125.13217348</v>
      </c>
      <c r="DL18">
        <v>0.16137767422944307</v>
      </c>
      <c r="DM18">
        <v>6364500</v>
      </c>
      <c r="DN18">
        <v>0.23053953461349011</v>
      </c>
      <c r="DO18">
        <v>3091675000</v>
      </c>
      <c r="DP18">
        <v>339038100</v>
      </c>
      <c r="DQ18">
        <v>3091</v>
      </c>
      <c r="DR18">
        <v>-0.81928561304486258</v>
      </c>
      <c r="DS18">
        <v>9.0300209532331746</v>
      </c>
      <c r="DT18" s="11">
        <v>-0.39000000000000007</v>
      </c>
      <c r="DU18">
        <v>-0.76666666666666661</v>
      </c>
      <c r="DV18">
        <v>-1.1566666666666667</v>
      </c>
      <c r="DW18">
        <v>-7.9000000000000008E-3</v>
      </c>
      <c r="DX18">
        <v>0.34916472795497172</v>
      </c>
      <c r="DY18">
        <v>-1.1784013508442778E-3</v>
      </c>
      <c r="DZ18">
        <v>3590</v>
      </c>
      <c r="EA18">
        <v>-3.5052251531962863E-4</v>
      </c>
      <c r="EB18">
        <v>0</v>
      </c>
      <c r="EC18">
        <v>0.15506244514265791</v>
      </c>
      <c r="ED18">
        <v>1.0395382827330761</v>
      </c>
      <c r="EE18" s="12">
        <v>-3.0440100000000001</v>
      </c>
      <c r="EF18">
        <v>-3.0656099999999999</v>
      </c>
      <c r="EG18">
        <v>20.149164727954972</v>
      </c>
      <c r="EH18" t="s">
        <v>839</v>
      </c>
      <c r="EI18">
        <v>0</v>
      </c>
      <c r="EJ18">
        <v>0</v>
      </c>
      <c r="EK18" s="8">
        <v>45470</v>
      </c>
      <c r="EL18" s="13">
        <v>1.49</v>
      </c>
      <c r="EM18" s="13">
        <v>-3</v>
      </c>
      <c r="EN18" s="13">
        <v>-0.79</v>
      </c>
      <c r="EO18" s="13">
        <v>2.14</v>
      </c>
      <c r="EP18" s="13">
        <v>-2.16</v>
      </c>
    </row>
    <row r="19" spans="1:146" ht="108" x14ac:dyDescent="0.25">
      <c r="A19" s="6"/>
      <c r="B19" s="6"/>
      <c r="C19" s="6" t="str">
        <f>""&amp;CHAR(10)&amp;Basic_Fundamental_Information_Constructure(F19)&amp;CHAR(10)&amp;Basic_Fundamental_Information_Concatenate("")</f>
        <v xml:space="preserve">
市值183.07126亿, 利润4815.64万; PE10.51; 平均PE7.46; 平均PEG.06, PB.422; ROIC2.76%; ROE5.66%; 股利率2.8256%; 毛利.5967%; 净利345.2067%; 上一年度营收增715.52%, 利润增-98.1%; 当季营收增-70.45%, 利润增4153.11%; 过往5年营收增120.23%, 利润增-14.85%
Income profile:
</v>
      </c>
      <c r="D19" t="s">
        <v>38</v>
      </c>
      <c r="E19" t="s">
        <v>16</v>
      </c>
      <c r="F19">
        <v>4.07</v>
      </c>
      <c r="G19">
        <v>0.99</v>
      </c>
      <c r="H19" t="s">
        <v>938</v>
      </c>
      <c r="I19">
        <v>18307126000</v>
      </c>
      <c r="J19">
        <v>10.51</v>
      </c>
      <c r="K19">
        <v>0.42199999999999999</v>
      </c>
      <c r="L19" t="s">
        <v>356</v>
      </c>
      <c r="M19" t="s">
        <v>939</v>
      </c>
      <c r="N19" t="s">
        <v>940</v>
      </c>
      <c r="O19" t="s">
        <v>941</v>
      </c>
      <c r="P19">
        <v>18.05</v>
      </c>
      <c r="Q19" t="s">
        <v>942</v>
      </c>
      <c r="R19">
        <v>438846810</v>
      </c>
      <c r="S19" s="5">
        <v>-0.53979999999999995</v>
      </c>
      <c r="T19" t="s">
        <v>943</v>
      </c>
      <c r="U19">
        <v>4498065500</v>
      </c>
      <c r="V19">
        <v>4498065500</v>
      </c>
      <c r="W19">
        <v>2.69</v>
      </c>
      <c r="X19">
        <v>0</v>
      </c>
      <c r="Y19">
        <v>28.32</v>
      </c>
      <c r="Z19" t="s">
        <v>944</v>
      </c>
      <c r="AA19" t="s">
        <v>945</v>
      </c>
      <c r="AB19" t="s">
        <v>946</v>
      </c>
      <c r="AC19" t="s">
        <v>492</v>
      </c>
      <c r="AD19" t="s">
        <v>45</v>
      </c>
      <c r="AE19">
        <v>91483859</v>
      </c>
      <c r="AF19" t="s">
        <v>947</v>
      </c>
      <c r="AG19" t="s">
        <v>948</v>
      </c>
      <c r="AH19" t="s">
        <v>949</v>
      </c>
      <c r="AI19" t="s">
        <v>950</v>
      </c>
      <c r="AJ19" t="s">
        <v>951</v>
      </c>
      <c r="AK19" t="s">
        <v>45</v>
      </c>
      <c r="AL19" t="s">
        <v>952</v>
      </c>
      <c r="AM19" t="s">
        <v>45</v>
      </c>
      <c r="AN19">
        <v>0</v>
      </c>
      <c r="AO19" t="s">
        <v>953</v>
      </c>
      <c r="AP19" t="s">
        <v>954</v>
      </c>
      <c r="AQ19" t="s">
        <v>955</v>
      </c>
      <c r="AR19" t="s">
        <v>956</v>
      </c>
      <c r="AS19" t="s">
        <v>957</v>
      </c>
      <c r="AT19" t="s">
        <v>958</v>
      </c>
      <c r="AU19" t="s">
        <v>959</v>
      </c>
      <c r="AV19" t="s">
        <v>960</v>
      </c>
      <c r="AW19" t="s">
        <v>961</v>
      </c>
      <c r="AX19" t="s">
        <v>962</v>
      </c>
      <c r="AY19" t="s">
        <v>505</v>
      </c>
      <c r="AZ19" t="s">
        <v>506</v>
      </c>
      <c r="BA19" t="s">
        <v>164</v>
      </c>
      <c r="BB19" t="s">
        <v>165</v>
      </c>
      <c r="BC19" t="s">
        <v>503</v>
      </c>
      <c r="BD19" t="s">
        <v>287</v>
      </c>
      <c r="BE19" t="s">
        <v>163</v>
      </c>
      <c r="BF19" t="s">
        <v>84</v>
      </c>
      <c r="BG19" t="s">
        <v>166</v>
      </c>
      <c r="BH19" t="s">
        <v>500</v>
      </c>
      <c r="BI19" t="s">
        <v>963</v>
      </c>
      <c r="BJ19" t="s">
        <v>962</v>
      </c>
      <c r="BK19" t="s">
        <v>964</v>
      </c>
      <c r="BL19" t="s">
        <v>965</v>
      </c>
      <c r="BM19" t="s">
        <v>503</v>
      </c>
      <c r="BN19">
        <v>1.89</v>
      </c>
      <c r="BO19">
        <v>2.7</v>
      </c>
      <c r="BP19">
        <v>3.69</v>
      </c>
      <c r="BQ19">
        <v>3.77</v>
      </c>
      <c r="BR19">
        <v>5.4</v>
      </c>
      <c r="BS19">
        <v>7.81</v>
      </c>
      <c r="BT19" t="s">
        <v>966</v>
      </c>
      <c r="BU19" t="s">
        <v>356</v>
      </c>
      <c r="BV19">
        <v>-0.33</v>
      </c>
      <c r="BW19">
        <v>-0.18</v>
      </c>
      <c r="BX19">
        <v>2.2999999999999998</v>
      </c>
      <c r="BY19">
        <v>251.48</v>
      </c>
      <c r="BZ19">
        <v>574.5</v>
      </c>
      <c r="CA19">
        <v>209.64</v>
      </c>
      <c r="CB19">
        <v>0.49</v>
      </c>
      <c r="CC19">
        <v>-10.15</v>
      </c>
      <c r="CD19" t="s">
        <v>967</v>
      </c>
      <c r="CE19" t="s">
        <v>968</v>
      </c>
      <c r="CF19" s="9">
        <v>-0.70445344129554655</v>
      </c>
      <c r="CG19" s="10">
        <v>41.531134898498252</v>
      </c>
      <c r="CH19" s="9">
        <v>7.1552352905273437</v>
      </c>
      <c r="CI19" s="9">
        <v>-0.72174787521362305</v>
      </c>
      <c r="CJ19" s="9">
        <v>-0.68386787176132202</v>
      </c>
      <c r="CK19" s="9">
        <v>-1.0526365600526333E-2</v>
      </c>
      <c r="CL19" s="9">
        <v>0.27223673462867737</v>
      </c>
      <c r="CM19" s="10">
        <v>-0.98096585273742676</v>
      </c>
      <c r="CN19" s="10">
        <v>-0.25631988048553467</v>
      </c>
      <c r="CO19" s="10">
        <v>-9.3283548951148987E-2</v>
      </c>
      <c r="CP19" s="10">
        <v>0.37184640765190125</v>
      </c>
      <c r="CQ19" s="10">
        <v>0.21609610319137573</v>
      </c>
      <c r="CR19">
        <v>7.4640927300827</v>
      </c>
      <c r="CS19">
        <v>6.2083539238645007E-2</v>
      </c>
      <c r="CT19">
        <v>2.8255528255528253</v>
      </c>
      <c r="CU19" s="9">
        <v>1.2022659825161099</v>
      </c>
      <c r="CV19" s="10">
        <v>-0.1485253542661667</v>
      </c>
      <c r="CW19">
        <v>0.06</v>
      </c>
      <c r="CX19">
        <v>608.40590015784392</v>
      </c>
      <c r="CY19">
        <v>100050190.15135734</v>
      </c>
      <c r="CZ19">
        <v>1.2022659825161099</v>
      </c>
      <c r="DA19">
        <v>88.034505351567248</v>
      </c>
      <c r="DB19">
        <v>691446220.51217496</v>
      </c>
      <c r="DC19">
        <v>1.1421526833903044</v>
      </c>
      <c r="DD19">
        <v>11.662645343249924</v>
      </c>
      <c r="DE19">
        <v>5219324107.7360592</v>
      </c>
      <c r="DF19">
        <v>1.0579940646141768</v>
      </c>
      <c r="DG19">
        <v>1.2348698582188866</v>
      </c>
      <c r="DH19">
        <v>49293555587.952744</v>
      </c>
      <c r="DI19">
        <v>0.961812786012888</v>
      </c>
      <c r="DJ19">
        <v>8.5472300581256148E-3</v>
      </c>
      <c r="DK19">
        <v>7121737169357.168</v>
      </c>
      <c r="DL19">
        <v>0.84158618776127692</v>
      </c>
      <c r="DM19">
        <v>48156400</v>
      </c>
      <c r="DN19">
        <v>1.2022659825161099</v>
      </c>
      <c r="DO19">
        <v>60871126000.000015</v>
      </c>
      <c r="DP19">
        <v>8807476000</v>
      </c>
      <c r="DQ19">
        <v>3151</v>
      </c>
      <c r="DR19">
        <v>-1.9067194238116565</v>
      </c>
      <c r="DS19">
        <v>41.679660252764421</v>
      </c>
      <c r="DT19" s="11">
        <v>-0.60666666666666669</v>
      </c>
      <c r="DU19">
        <v>-0.26666666666666666</v>
      </c>
      <c r="DV19">
        <v>-0.87333333333333329</v>
      </c>
      <c r="DW19">
        <v>-2.1015000000000001</v>
      </c>
      <c r="DX19">
        <v>0.32989985185185261</v>
      </c>
      <c r="DY19">
        <v>-2.0152148349629631</v>
      </c>
      <c r="DZ19">
        <v>2489</v>
      </c>
      <c r="EA19">
        <v>-2.0078039300269914</v>
      </c>
      <c r="EB19">
        <v>2</v>
      </c>
      <c r="EC19">
        <v>2.159486116865128E-2</v>
      </c>
      <c r="ED19">
        <v>0.14406193062328684</v>
      </c>
      <c r="EE19" s="12">
        <v>-4.0297099999999997</v>
      </c>
      <c r="EF19">
        <v>-4.06351</v>
      </c>
      <c r="EG19">
        <v>18.149899851851853</v>
      </c>
      <c r="EH19" t="s">
        <v>969</v>
      </c>
      <c r="EI19">
        <v>0</v>
      </c>
      <c r="EJ19">
        <v>0</v>
      </c>
      <c r="EK19" s="8">
        <v>45470</v>
      </c>
      <c r="EL19" s="13">
        <v>3.02</v>
      </c>
      <c r="EM19" s="13">
        <v>-3</v>
      </c>
      <c r="EN19" s="13">
        <v>7.0000000000000007E-2</v>
      </c>
      <c r="EO19" s="13">
        <v>1.51</v>
      </c>
      <c r="EP19" s="13">
        <v>-3.38</v>
      </c>
    </row>
    <row r="20" spans="1:146" ht="108" x14ac:dyDescent="0.25">
      <c r="A20" s="6"/>
      <c r="B20" s="6"/>
      <c r="C20" s="6" t="str">
        <f>""&amp;CHAR(10)&amp;Basic_Fundamental_Information_Constructure(F20)&amp;CHAR(10)&amp;Basic_Fundamental_Information_Concatenate("")</f>
        <v xml:space="preserve">
市值239.60246亿, 利润1.03亿; PE18.07; 平均PE31.61; 平均PEG18.57, PB1.17; ROIC4.3667%; ROE6.19%; 股利率1.7184%; 毛利12.69%; 净利26.5833%; 上一年度营收增-31.17%, 利润增-90.64%; 当季营收增-6.12%, 利润增924.67%; 过往5年营收增1.7%, 利润增953.06%
Income profile:
</v>
      </c>
      <c r="D20" t="s">
        <v>85</v>
      </c>
      <c r="E20" t="s">
        <v>86</v>
      </c>
      <c r="F20">
        <v>4.1900000000000004</v>
      </c>
      <c r="G20">
        <v>0.48</v>
      </c>
      <c r="H20" t="s">
        <v>970</v>
      </c>
      <c r="I20">
        <v>23960246000</v>
      </c>
      <c r="J20">
        <v>18.07</v>
      </c>
      <c r="K20">
        <v>1.17</v>
      </c>
      <c r="L20" t="s">
        <v>356</v>
      </c>
      <c r="M20" t="s">
        <v>971</v>
      </c>
      <c r="N20" t="s">
        <v>972</v>
      </c>
      <c r="O20" t="s">
        <v>973</v>
      </c>
      <c r="P20">
        <v>-2.56</v>
      </c>
      <c r="Q20" t="s">
        <v>974</v>
      </c>
      <c r="R20">
        <v>415702790</v>
      </c>
      <c r="S20" s="5">
        <v>-8.4900000000000003E-2</v>
      </c>
      <c r="T20" t="s">
        <v>975</v>
      </c>
      <c r="U20">
        <v>5718435700</v>
      </c>
      <c r="V20">
        <v>5718435700</v>
      </c>
      <c r="W20">
        <v>1.84</v>
      </c>
      <c r="X20">
        <v>0.02</v>
      </c>
      <c r="Y20">
        <v>27.2</v>
      </c>
      <c r="Z20" t="s">
        <v>976</v>
      </c>
      <c r="AA20" t="s">
        <v>441</v>
      </c>
      <c r="AB20" t="s">
        <v>977</v>
      </c>
      <c r="AC20" t="s">
        <v>978</v>
      </c>
      <c r="AD20" t="s">
        <v>45</v>
      </c>
      <c r="AE20">
        <v>-624301</v>
      </c>
      <c r="AF20" t="s">
        <v>979</v>
      </c>
      <c r="AG20" t="s">
        <v>980</v>
      </c>
      <c r="AH20" t="s">
        <v>981</v>
      </c>
      <c r="AI20" t="s">
        <v>982</v>
      </c>
      <c r="AJ20" t="s">
        <v>983</v>
      </c>
      <c r="AK20" t="s">
        <v>984</v>
      </c>
      <c r="AL20" t="s">
        <v>985</v>
      </c>
      <c r="AM20" t="s">
        <v>45</v>
      </c>
      <c r="AN20" t="s">
        <v>986</v>
      </c>
      <c r="AO20" t="s">
        <v>418</v>
      </c>
      <c r="AP20" t="s">
        <v>417</v>
      </c>
      <c r="AQ20" t="s">
        <v>987</v>
      </c>
      <c r="AR20" t="s">
        <v>988</v>
      </c>
      <c r="AS20" t="s">
        <v>989</v>
      </c>
      <c r="AT20" t="s">
        <v>45</v>
      </c>
      <c r="AU20" t="s">
        <v>990</v>
      </c>
      <c r="AV20" t="s">
        <v>991</v>
      </c>
      <c r="AW20" t="s">
        <v>992</v>
      </c>
      <c r="AX20" t="s">
        <v>993</v>
      </c>
      <c r="AY20" t="s">
        <v>507</v>
      </c>
      <c r="AZ20" t="s">
        <v>508</v>
      </c>
      <c r="BA20" t="s">
        <v>167</v>
      </c>
      <c r="BB20" t="s">
        <v>168</v>
      </c>
      <c r="BC20" t="s">
        <v>994</v>
      </c>
      <c r="BD20" t="s">
        <v>995</v>
      </c>
      <c r="BE20" t="s">
        <v>996</v>
      </c>
      <c r="BF20" t="s">
        <v>144</v>
      </c>
      <c r="BG20" t="s">
        <v>169</v>
      </c>
      <c r="BH20" t="s">
        <v>997</v>
      </c>
      <c r="BI20" t="s">
        <v>649</v>
      </c>
      <c r="BJ20" t="s">
        <v>993</v>
      </c>
      <c r="BK20" t="s">
        <v>998</v>
      </c>
      <c r="BL20" t="s">
        <v>999</v>
      </c>
      <c r="BM20" t="s">
        <v>994</v>
      </c>
      <c r="BN20">
        <v>3.89</v>
      </c>
      <c r="BO20">
        <v>3.77</v>
      </c>
      <c r="BP20">
        <v>5.44</v>
      </c>
      <c r="BQ20">
        <v>5.94</v>
      </c>
      <c r="BR20">
        <v>5.75</v>
      </c>
      <c r="BS20">
        <v>6.88</v>
      </c>
      <c r="BT20" t="s">
        <v>1000</v>
      </c>
      <c r="BU20" t="s">
        <v>356</v>
      </c>
      <c r="BV20">
        <v>14.58</v>
      </c>
      <c r="BW20">
        <v>11.44</v>
      </c>
      <c r="BX20">
        <v>12.05</v>
      </c>
      <c r="BY20">
        <v>25.4</v>
      </c>
      <c r="BZ20">
        <v>20.48</v>
      </c>
      <c r="CA20">
        <v>33.869999999999997</v>
      </c>
      <c r="CB20">
        <v>-3.23</v>
      </c>
      <c r="CC20">
        <v>-11.79</v>
      </c>
      <c r="CD20" t="s">
        <v>1001</v>
      </c>
      <c r="CE20" t="s">
        <v>1002</v>
      </c>
      <c r="CF20" s="9">
        <v>-6.1188811188811192E-2</v>
      </c>
      <c r="CG20" s="10">
        <v>9.2466640612911295</v>
      </c>
      <c r="CH20" s="9">
        <v>-0.31167915463447571</v>
      </c>
      <c r="CI20" s="9">
        <v>0.23945388197898865</v>
      </c>
      <c r="CJ20" s="9">
        <v>0.13263288140296936</v>
      </c>
      <c r="CK20" s="9">
        <v>-2.6630718261003494E-2</v>
      </c>
      <c r="CL20" s="9">
        <v>5.1328908652067184E-2</v>
      </c>
      <c r="CM20" s="10">
        <v>-0.90644866228103638</v>
      </c>
      <c r="CN20" s="10">
        <v>-0.26697739958763123</v>
      </c>
      <c r="CO20" s="10">
        <v>0.7264367938041687</v>
      </c>
      <c r="CP20" s="10">
        <v>-8.709339052438736E-2</v>
      </c>
      <c r="CQ20" s="10">
        <v>48.187099456787109</v>
      </c>
      <c r="CR20">
        <v>31.607217083024157</v>
      </c>
      <c r="CS20">
        <v>18.569367424404259</v>
      </c>
      <c r="CT20">
        <v>1.718377088305489</v>
      </c>
      <c r="CU20" s="9">
        <v>1.7021159827709197E-2</v>
      </c>
      <c r="CV20" s="10">
        <v>9.5306033596396453</v>
      </c>
      <c r="CW20">
        <v>0.06</v>
      </c>
      <c r="CX20">
        <v>210.12403511753391</v>
      </c>
      <c r="CY20">
        <v>98823754.209673628</v>
      </c>
      <c r="CZ20">
        <v>1.7021159827709197E-2</v>
      </c>
      <c r="DA20">
        <v>73.080144481598111</v>
      </c>
      <c r="DB20">
        <v>284143472.17428911</v>
      </c>
      <c r="DC20">
        <v>1.6170101836323735E-2</v>
      </c>
      <c r="DD20">
        <v>39.005663991851783</v>
      </c>
      <c r="DE20">
        <v>532364889.47702116</v>
      </c>
      <c r="DF20">
        <v>1.4978620648384094E-2</v>
      </c>
      <c r="DG20">
        <v>25.57380809843189</v>
      </c>
      <c r="DH20">
        <v>811973168.80129647</v>
      </c>
      <c r="DI20">
        <v>1.3616927862167359E-2</v>
      </c>
      <c r="DJ20">
        <v>15.838694607618571</v>
      </c>
      <c r="DK20">
        <v>1311045292.2055652</v>
      </c>
      <c r="DL20">
        <v>1.1914811879396437E-2</v>
      </c>
      <c r="DM20">
        <v>103000000</v>
      </c>
      <c r="DN20">
        <v>1.7021159827709197E-2</v>
      </c>
      <c r="DO20">
        <v>20765246000</v>
      </c>
      <c r="DP20">
        <v>16407372000</v>
      </c>
      <c r="DQ20">
        <v>3236</v>
      </c>
      <c r="DR20">
        <v>-7.8209971016520385E-2</v>
      </c>
      <c r="DS20">
        <v>-0.28393929834851583</v>
      </c>
      <c r="DT20" s="11">
        <v>-0.45666666666666672</v>
      </c>
      <c r="DU20">
        <v>0.86166666666666669</v>
      </c>
      <c r="DV20">
        <v>0.40499999999999997</v>
      </c>
      <c r="DW20">
        <v>-8.2739609838846473</v>
      </c>
      <c r="DX20">
        <v>0.39711352657004895</v>
      </c>
      <c r="DY20">
        <v>-8.0403033664818704</v>
      </c>
      <c r="DZ20">
        <v>3792</v>
      </c>
      <c r="EA20">
        <v>-8.0103952714330937</v>
      </c>
      <c r="EB20">
        <v>8</v>
      </c>
      <c r="EC20">
        <v>1.0650639999327088E-2</v>
      </c>
      <c r="ED20">
        <v>7.2397421553590247E-2</v>
      </c>
      <c r="EE20" s="12">
        <v>-2.0367000000000002</v>
      </c>
      <c r="EF20">
        <v>-2.0139</v>
      </c>
      <c r="EG20">
        <v>25.147113526570049</v>
      </c>
      <c r="EH20" t="s">
        <v>467</v>
      </c>
      <c r="EI20">
        <v>0</v>
      </c>
      <c r="EJ20">
        <v>0</v>
      </c>
      <c r="EK20" s="8">
        <v>45470</v>
      </c>
      <c r="EL20" s="13">
        <v>-0.23</v>
      </c>
      <c r="EM20" s="13">
        <v>-2.0499999999999998</v>
      </c>
      <c r="EN20" s="13">
        <v>0.47</v>
      </c>
      <c r="EO20" s="13">
        <v>1.62</v>
      </c>
      <c r="EP20" s="13">
        <v>-2.2799999999999998</v>
      </c>
    </row>
    <row r="21" spans="1:146" ht="108" x14ac:dyDescent="0.25">
      <c r="A21" s="6"/>
      <c r="B21" s="6"/>
      <c r="C21" s="6" t="str">
        <f>""&amp;CHAR(10)&amp;Basic_Fundamental_Information_Constructure(F21)&amp;CHAR(10)&amp;Basic_Fundamental_Information_Concatenate("")</f>
        <v xml:space="preserve">
市值62.444014亿, 利润2429.87万; PE2581; 平均PE6.83; 平均PEG.21, PB.499; ROIC3.4167%; ROE5.7667%; 股利率.5195%; 毛利30.97%; 净利32.4933%; 上一年度营收增89.23%, 利润增-94.97%; 当季营收增-48.62%, 利润增1256.07%; 过往5年营收增32.63%, 利润增-30.29%
Income profile:
</v>
      </c>
      <c r="D21" t="s">
        <v>41</v>
      </c>
      <c r="E21" t="s">
        <v>10</v>
      </c>
      <c r="F21">
        <v>3.85</v>
      </c>
      <c r="G21">
        <v>1.05</v>
      </c>
      <c r="H21" t="s">
        <v>1003</v>
      </c>
      <c r="I21">
        <v>6244401400</v>
      </c>
      <c r="J21">
        <v>2581</v>
      </c>
      <c r="K21">
        <v>0.499</v>
      </c>
      <c r="L21" t="s">
        <v>356</v>
      </c>
      <c r="M21" t="s">
        <v>1004</v>
      </c>
      <c r="N21" t="s">
        <v>1005</v>
      </c>
      <c r="O21" t="s">
        <v>1006</v>
      </c>
      <c r="P21">
        <v>33.44</v>
      </c>
      <c r="Q21" t="s">
        <v>1007</v>
      </c>
      <c r="R21">
        <v>115298242</v>
      </c>
      <c r="S21" s="5">
        <v>-0.45710000000000001</v>
      </c>
      <c r="T21" t="s">
        <v>1008</v>
      </c>
      <c r="U21">
        <v>1619103400</v>
      </c>
      <c r="V21">
        <v>1621922500</v>
      </c>
      <c r="W21">
        <v>1.99</v>
      </c>
      <c r="X21">
        <v>0.02</v>
      </c>
      <c r="Y21">
        <v>18.760000000000002</v>
      </c>
      <c r="Z21" t="s">
        <v>1009</v>
      </c>
      <c r="AA21" t="s">
        <v>1010</v>
      </c>
      <c r="AB21" t="s">
        <v>1011</v>
      </c>
      <c r="AC21" t="s">
        <v>408</v>
      </c>
      <c r="AD21" t="s">
        <v>45</v>
      </c>
      <c r="AE21">
        <v>29860139</v>
      </c>
      <c r="AF21" t="s">
        <v>1012</v>
      </c>
      <c r="AG21">
        <v>3540.28</v>
      </c>
      <c r="AH21" t="s">
        <v>1013</v>
      </c>
      <c r="AI21" t="s">
        <v>1014</v>
      </c>
      <c r="AJ21" t="s">
        <v>1015</v>
      </c>
      <c r="AK21" t="s">
        <v>45</v>
      </c>
      <c r="AL21" t="s">
        <v>1016</v>
      </c>
      <c r="AM21" t="s">
        <v>45</v>
      </c>
      <c r="AN21" t="s">
        <v>1017</v>
      </c>
      <c r="AO21" t="s">
        <v>1018</v>
      </c>
      <c r="AP21" t="s">
        <v>1019</v>
      </c>
      <c r="AQ21" t="s">
        <v>502</v>
      </c>
      <c r="AR21" t="s">
        <v>540</v>
      </c>
      <c r="AS21" t="s">
        <v>1020</v>
      </c>
      <c r="AT21" t="s">
        <v>1021</v>
      </c>
      <c r="AU21" t="s">
        <v>1022</v>
      </c>
      <c r="AV21" t="s">
        <v>1023</v>
      </c>
      <c r="AW21" t="s">
        <v>805</v>
      </c>
      <c r="AX21" t="s">
        <v>377</v>
      </c>
      <c r="AY21" t="s">
        <v>510</v>
      </c>
      <c r="AZ21" t="s">
        <v>511</v>
      </c>
      <c r="BA21" t="s">
        <v>171</v>
      </c>
      <c r="BB21" t="s">
        <v>172</v>
      </c>
      <c r="BC21" t="s">
        <v>1024</v>
      </c>
      <c r="BD21" t="s">
        <v>289</v>
      </c>
      <c r="BE21" t="s">
        <v>170</v>
      </c>
      <c r="BF21" t="s">
        <v>88</v>
      </c>
      <c r="BG21" t="s">
        <v>173</v>
      </c>
      <c r="BH21" t="s">
        <v>1025</v>
      </c>
      <c r="BI21" t="s">
        <v>1026</v>
      </c>
      <c r="BJ21" t="s">
        <v>377</v>
      </c>
      <c r="BK21" t="s">
        <v>1027</v>
      </c>
      <c r="BL21" t="s">
        <v>1028</v>
      </c>
      <c r="BM21" t="s">
        <v>1024</v>
      </c>
      <c r="BN21">
        <v>2.46</v>
      </c>
      <c r="BO21">
        <v>2.5</v>
      </c>
      <c r="BP21">
        <v>5.29</v>
      </c>
      <c r="BQ21">
        <v>3.76</v>
      </c>
      <c r="BR21">
        <v>3.9</v>
      </c>
      <c r="BS21">
        <v>9.64</v>
      </c>
      <c r="BT21" t="s">
        <v>1029</v>
      </c>
      <c r="BU21" t="s">
        <v>356</v>
      </c>
      <c r="BV21">
        <v>29.2</v>
      </c>
      <c r="BW21">
        <v>34.909999999999997</v>
      </c>
      <c r="BX21">
        <v>28.8</v>
      </c>
      <c r="BY21">
        <v>6.73</v>
      </c>
      <c r="BZ21">
        <v>30.51</v>
      </c>
      <c r="CA21">
        <v>60.24</v>
      </c>
      <c r="CB21">
        <v>2.12</v>
      </c>
      <c r="CC21">
        <v>-12.1</v>
      </c>
      <c r="CD21" t="s">
        <v>1030</v>
      </c>
      <c r="CE21" t="s">
        <v>76</v>
      </c>
      <c r="CF21" s="9">
        <v>-0.48620236530880423</v>
      </c>
      <c r="CG21" s="10">
        <v>12.56069124562582</v>
      </c>
      <c r="CH21" s="9">
        <v>0.8922685980796814</v>
      </c>
      <c r="CI21" s="9">
        <v>-0.17511758208274841</v>
      </c>
      <c r="CJ21" s="9">
        <v>7.5927972793579102E-2</v>
      </c>
      <c r="CK21" s="9">
        <v>4.7114253044128418E-2</v>
      </c>
      <c r="CL21" s="9">
        <v>0.79113924503326416</v>
      </c>
      <c r="CM21" s="10">
        <v>-0.94969213008880615</v>
      </c>
      <c r="CN21" s="10">
        <v>-0.58072918653488159</v>
      </c>
      <c r="CO21" s="10">
        <v>-0.14792899787425995</v>
      </c>
      <c r="CP21" s="10">
        <v>2.5018904358148575E-2</v>
      </c>
      <c r="CQ21" s="10">
        <v>0.13903287053108215</v>
      </c>
      <c r="CR21">
        <v>6.8265979036454407</v>
      </c>
      <c r="CS21">
        <v>0.20923379993345945</v>
      </c>
      <c r="CT21">
        <v>0.51948051948051954</v>
      </c>
      <c r="CU21" s="9">
        <v>0.32626649737358093</v>
      </c>
      <c r="CV21" s="10">
        <v>-0.30285970792174338</v>
      </c>
      <c r="CW21">
        <v>0.06</v>
      </c>
      <c r="CX21">
        <v>195.65560519546133</v>
      </c>
      <c r="CY21">
        <v>30402407.301633421</v>
      </c>
      <c r="CZ21">
        <v>0.32626649737358093</v>
      </c>
      <c r="DA21">
        <v>52.641827726139717</v>
      </c>
      <c r="DB21">
        <v>112997622.93485631</v>
      </c>
      <c r="DC21">
        <v>0.3099531725049019</v>
      </c>
      <c r="DD21">
        <v>19.587469644465134</v>
      </c>
      <c r="DE21">
        <v>303684013.70724523</v>
      </c>
      <c r="DF21">
        <v>0.28711451768875124</v>
      </c>
      <c r="DG21">
        <v>8.343187665169598</v>
      </c>
      <c r="DH21">
        <v>712965072.67034876</v>
      </c>
      <c r="DI21">
        <v>0.26101319789886473</v>
      </c>
      <c r="DJ21">
        <v>1.8560321080183895</v>
      </c>
      <c r="DK21">
        <v>3204902207.4035497</v>
      </c>
      <c r="DL21">
        <v>0.22838654816150664</v>
      </c>
      <c r="DM21">
        <v>24298700</v>
      </c>
      <c r="DN21">
        <v>0.32626649737358093</v>
      </c>
      <c r="DO21">
        <v>5948401400</v>
      </c>
      <c r="DP21">
        <v>2240106100</v>
      </c>
      <c r="DQ21">
        <v>3343</v>
      </c>
      <c r="DR21">
        <v>-0.81246886268238516</v>
      </c>
      <c r="DS21">
        <v>12.863550953547565</v>
      </c>
      <c r="DT21" s="11">
        <v>-5.6666666666666719E-2</v>
      </c>
      <c r="DU21">
        <v>-0.70333333333333325</v>
      </c>
      <c r="DV21">
        <v>-0.76</v>
      </c>
      <c r="DW21">
        <v>-2.121</v>
      </c>
      <c r="DX21">
        <v>0.30481185897435764</v>
      </c>
      <c r="DY21">
        <v>-2.0151022349358976</v>
      </c>
      <c r="DZ21">
        <v>1903</v>
      </c>
      <c r="EA21">
        <v>-2.0094780562503765</v>
      </c>
      <c r="EB21">
        <v>2</v>
      </c>
      <c r="EC21">
        <v>2.4009346932421249E-2</v>
      </c>
      <c r="ED21">
        <v>0.19236430840561125</v>
      </c>
      <c r="EE21" s="12">
        <v>1.0456000000000001</v>
      </c>
      <c r="EF21">
        <v>1.0504</v>
      </c>
      <c r="EG21">
        <v>18.124811858974358</v>
      </c>
      <c r="EH21" t="s">
        <v>470</v>
      </c>
      <c r="EI21">
        <v>0</v>
      </c>
      <c r="EJ21">
        <v>0</v>
      </c>
      <c r="EK21" s="8">
        <v>45470</v>
      </c>
      <c r="EL21" s="13">
        <v>-0.33</v>
      </c>
      <c r="EM21" s="13">
        <v>0</v>
      </c>
      <c r="EN21" s="13">
        <v>-1.88</v>
      </c>
      <c r="EO21" s="13">
        <v>-1.06</v>
      </c>
      <c r="EP21" s="13">
        <v>0.48</v>
      </c>
    </row>
    <row r="22" spans="1:146" ht="108" x14ac:dyDescent="0.25">
      <c r="A22" s="6"/>
      <c r="B22" s="6"/>
      <c r="C22" s="6" t="str">
        <f>""&amp;CHAR(10)&amp;Basic_Fundamental_Information_Constructure(F22)&amp;CHAR(10)&amp;Basic_Fundamental_Information_Concatenate("")</f>
        <v xml:space="preserve">
市值197.67763亿, 利润-1.95亿; PE; 平均PE7.67; 平均PEG.99, PB.551; ROIC1.1167%; ROE5.3%; 股利率.4464%; 毛利38.53%; 净利32.3967%; 上一年度营收增-86.63%, 利润增-111.59%; 当季营收增537%, 利润增-3965.97%; 过往5年营收增-7.76%, 利润增-26.76%
Income profile:
</v>
      </c>
      <c r="D22" t="s">
        <v>36</v>
      </c>
      <c r="E22" t="s">
        <v>257</v>
      </c>
      <c r="F22">
        <v>2.2400000000000002</v>
      </c>
      <c r="G22">
        <v>1.82</v>
      </c>
      <c r="H22" t="s">
        <v>1031</v>
      </c>
      <c r="I22">
        <v>19767763000</v>
      </c>
      <c r="K22">
        <v>0.55100000000000005</v>
      </c>
      <c r="L22" t="s">
        <v>356</v>
      </c>
      <c r="M22" t="s">
        <v>1032</v>
      </c>
      <c r="N22" t="s">
        <v>1033</v>
      </c>
      <c r="O22" t="s">
        <v>419</v>
      </c>
      <c r="P22">
        <v>-9.08</v>
      </c>
      <c r="Q22" t="s">
        <v>1034</v>
      </c>
      <c r="R22">
        <v>-352712200</v>
      </c>
      <c r="S22" s="5">
        <v>-3.1070000000000002</v>
      </c>
      <c r="T22" t="s">
        <v>1035</v>
      </c>
      <c r="U22">
        <v>8804424800</v>
      </c>
      <c r="V22">
        <v>8824894300</v>
      </c>
      <c r="W22">
        <v>7.02</v>
      </c>
      <c r="X22">
        <v>0</v>
      </c>
      <c r="Y22">
        <v>0.95</v>
      </c>
      <c r="Z22" t="s">
        <v>1036</v>
      </c>
      <c r="AA22" t="s">
        <v>1037</v>
      </c>
      <c r="AB22" t="s">
        <v>592</v>
      </c>
      <c r="AC22" t="s">
        <v>686</v>
      </c>
      <c r="AD22" t="s">
        <v>45</v>
      </c>
      <c r="AE22">
        <v>527051880</v>
      </c>
      <c r="AF22" t="s">
        <v>1038</v>
      </c>
      <c r="AG22" t="s">
        <v>1039</v>
      </c>
      <c r="AH22" t="s">
        <v>1040</v>
      </c>
      <c r="AI22" t="s">
        <v>1041</v>
      </c>
      <c r="AJ22" t="s">
        <v>1042</v>
      </c>
      <c r="AK22" t="s">
        <v>1043</v>
      </c>
      <c r="AL22" t="s">
        <v>1044</v>
      </c>
      <c r="AM22" t="s">
        <v>45</v>
      </c>
      <c r="AN22" t="s">
        <v>1045</v>
      </c>
      <c r="AO22" t="s">
        <v>1046</v>
      </c>
      <c r="AP22" t="s">
        <v>1047</v>
      </c>
      <c r="AQ22" t="s">
        <v>1048</v>
      </c>
      <c r="AR22" t="s">
        <v>1049</v>
      </c>
      <c r="AS22" t="s">
        <v>1050</v>
      </c>
      <c r="AT22" t="s">
        <v>1051</v>
      </c>
      <c r="AU22" t="s">
        <v>1052</v>
      </c>
      <c r="AV22" t="s">
        <v>1053</v>
      </c>
      <c r="AW22" t="s">
        <v>1054</v>
      </c>
      <c r="AX22" t="s">
        <v>1055</v>
      </c>
      <c r="AY22" t="s">
        <v>515</v>
      </c>
      <c r="AZ22" t="s">
        <v>516</v>
      </c>
      <c r="BA22" t="s">
        <v>175</v>
      </c>
      <c r="BB22" t="s">
        <v>176</v>
      </c>
      <c r="BC22" t="s">
        <v>1056</v>
      </c>
      <c r="BD22" t="s">
        <v>290</v>
      </c>
      <c r="BE22" t="s">
        <v>174</v>
      </c>
      <c r="BF22" t="s">
        <v>90</v>
      </c>
      <c r="BG22" t="s">
        <v>177</v>
      </c>
      <c r="BH22" t="s">
        <v>1057</v>
      </c>
      <c r="BI22" t="s">
        <v>139</v>
      </c>
      <c r="BJ22" t="s">
        <v>1055</v>
      </c>
      <c r="BK22" t="s">
        <v>1058</v>
      </c>
      <c r="BL22" t="s">
        <v>1059</v>
      </c>
      <c r="BM22" t="s">
        <v>1056</v>
      </c>
      <c r="BN22">
        <v>0.59</v>
      </c>
      <c r="BO22">
        <v>0.86</v>
      </c>
      <c r="BP22">
        <v>1.9</v>
      </c>
      <c r="BQ22">
        <v>1.71</v>
      </c>
      <c r="BR22">
        <v>4.0199999999999996</v>
      </c>
      <c r="BS22">
        <v>10.17</v>
      </c>
      <c r="BT22" t="s">
        <v>526</v>
      </c>
      <c r="BU22" t="s">
        <v>356</v>
      </c>
      <c r="BV22">
        <v>35.799999999999997</v>
      </c>
      <c r="BW22">
        <v>37.299999999999997</v>
      </c>
      <c r="BX22">
        <v>42.49</v>
      </c>
      <c r="BY22">
        <v>13.32</v>
      </c>
      <c r="BZ22">
        <v>25.94</v>
      </c>
      <c r="CA22">
        <v>57.93</v>
      </c>
      <c r="CB22">
        <v>0.9</v>
      </c>
      <c r="CC22">
        <v>-24.07</v>
      </c>
      <c r="CD22" t="s">
        <v>1060</v>
      </c>
      <c r="CE22" t="s">
        <v>1061</v>
      </c>
      <c r="CF22" s="9">
        <v>5.3700305810397548</v>
      </c>
      <c r="CG22" s="10">
        <v>-39.659746807694418</v>
      </c>
      <c r="CH22" s="9">
        <v>-0.86626356840133667</v>
      </c>
      <c r="CI22" s="9">
        <v>6.5063036978244781E-2</v>
      </c>
      <c r="CJ22" s="9">
        <v>2.2366289049386978E-2</v>
      </c>
      <c r="CK22" s="9">
        <v>-1.0822663083672523E-2</v>
      </c>
      <c r="CL22" s="9">
        <v>0.40166464447975159</v>
      </c>
      <c r="CM22" s="10">
        <v>-1.1159334182739258</v>
      </c>
      <c r="CN22" s="10">
        <v>-0.62379783391952515</v>
      </c>
      <c r="CO22" s="10">
        <v>0.36560788750648499</v>
      </c>
      <c r="CP22" s="10">
        <v>6.8537816405296326E-2</v>
      </c>
      <c r="CQ22" s="10">
        <v>-3.2217349857091904E-2</v>
      </c>
      <c r="CR22">
        <v>7.6708432285603418</v>
      </c>
      <c r="CS22">
        <v>0.9885304424928586</v>
      </c>
      <c r="CT22">
        <v>0.4464285714285714</v>
      </c>
      <c r="CU22" s="9">
        <v>-7.7598452195525164E-2</v>
      </c>
      <c r="CV22" s="10">
        <v>-0.26756057962775232</v>
      </c>
      <c r="CW22">
        <v>0.06</v>
      </c>
      <c r="CX22" t="e">
        <v>#VALUE!</v>
      </c>
      <c r="CY22" t="s">
        <v>357</v>
      </c>
      <c r="CZ22">
        <v>-7.7598452195525164E-2</v>
      </c>
      <c r="DA22" t="e">
        <v>#VALUE!</v>
      </c>
      <c r="DB22" t="s">
        <v>358</v>
      </c>
      <c r="DC22">
        <v>-7.3718529585748899E-2</v>
      </c>
      <c r="DD22" t="e">
        <v>#VALUE!</v>
      </c>
      <c r="DE22" t="s">
        <v>358</v>
      </c>
      <c r="DF22">
        <v>-6.8286637932062147E-2</v>
      </c>
      <c r="DG22" t="e">
        <v>#VALUE!</v>
      </c>
      <c r="DH22" t="s">
        <v>358</v>
      </c>
      <c r="DI22">
        <v>-6.2078761756420131E-2</v>
      </c>
      <c r="DJ22" t="e">
        <v>#VALUE!</v>
      </c>
      <c r="DK22" t="s">
        <v>358</v>
      </c>
      <c r="DL22">
        <v>-5.4318916536867615E-2</v>
      </c>
      <c r="DM22">
        <v>-195000000</v>
      </c>
      <c r="DN22">
        <v>-7.7598452195525164E-2</v>
      </c>
      <c r="DO22">
        <v>395745763000</v>
      </c>
      <c r="DP22">
        <v>-4686339999.9999695</v>
      </c>
      <c r="DQ22">
        <v>3391</v>
      </c>
      <c r="DR22">
        <v>5.4476290332352804</v>
      </c>
      <c r="DS22">
        <v>-39.392186228066663</v>
      </c>
      <c r="DT22" s="11">
        <v>-0.67333333333333334</v>
      </c>
      <c r="DU22">
        <v>-1.8150000000000002</v>
      </c>
      <c r="DV22">
        <v>-2.4883333333333333</v>
      </c>
      <c r="DW22">
        <v>-3.0912678571428573</v>
      </c>
      <c r="DX22">
        <v>0.30895424836601265</v>
      </c>
      <c r="DY22">
        <v>-3.0108566993464052</v>
      </c>
      <c r="DZ22">
        <v>1884</v>
      </c>
      <c r="EA22">
        <v>-3.0068539553995115</v>
      </c>
      <c r="EB22">
        <v>3</v>
      </c>
      <c r="EC22">
        <v>2.0623476476086519E-2</v>
      </c>
      <c r="ED22">
        <v>0.17337318136490315</v>
      </c>
      <c r="EE22" s="12">
        <v>-1.0623</v>
      </c>
      <c r="EF22">
        <v>-1.0508999999999999</v>
      </c>
      <c r="EG22">
        <v>19.118954248366013</v>
      </c>
      <c r="EH22" t="s">
        <v>473</v>
      </c>
      <c r="EI22">
        <v>0</v>
      </c>
      <c r="EJ22">
        <v>0</v>
      </c>
      <c r="EK22" s="8">
        <v>45470</v>
      </c>
      <c r="EL22" s="13">
        <v>0.69</v>
      </c>
      <c r="EM22" s="13">
        <v>-1.37</v>
      </c>
      <c r="EN22" s="13">
        <v>0.46</v>
      </c>
      <c r="EO22" s="13">
        <v>0.69</v>
      </c>
      <c r="EP22" s="13">
        <v>-1.1399999999999999</v>
      </c>
    </row>
    <row r="23" spans="1:146" ht="108" x14ac:dyDescent="0.25">
      <c r="A23" s="6"/>
      <c r="B23" s="6"/>
      <c r="C23" s="6" t="str">
        <f>""&amp;CHAR(10)&amp;Basic_Fundamental_Information_Constructure(F23)&amp;CHAR(10)&amp;Basic_Fundamental_Information_Concatenate("")</f>
        <v xml:space="preserve">
市值69.002107亿, 利润2.64亿; PE621.9; 平均PE20.7; 平均PEG.04, PB1.55; ROIC6.38%; ROE8.1533%; 股利率1.1866%; 毛利35.25%; 净利373.3767%; 上一年度营收增2786.21%, 利润增-45.11%; 当季营收增-98.34%, 利润增-283.33%; 过往5年营收增549.09%, 利润增14.13%
Income profile:
</v>
      </c>
      <c r="D23" t="s">
        <v>22</v>
      </c>
      <c r="E23" t="s">
        <v>9</v>
      </c>
      <c r="F23">
        <v>9.27</v>
      </c>
      <c r="G23">
        <v>1.53</v>
      </c>
      <c r="H23" t="s">
        <v>1062</v>
      </c>
      <c r="I23">
        <v>6900210700</v>
      </c>
      <c r="J23">
        <v>621.9</v>
      </c>
      <c r="K23">
        <v>1.55</v>
      </c>
      <c r="L23" t="s">
        <v>356</v>
      </c>
      <c r="M23" t="s">
        <v>1063</v>
      </c>
      <c r="N23" t="s">
        <v>1064</v>
      </c>
      <c r="O23" t="s">
        <v>1065</v>
      </c>
      <c r="P23">
        <v>9.86</v>
      </c>
      <c r="Q23" t="s">
        <v>1066</v>
      </c>
      <c r="R23">
        <v>-151753890</v>
      </c>
      <c r="S23" s="5">
        <v>-2.6619999999999999</v>
      </c>
      <c r="T23" t="s">
        <v>1067</v>
      </c>
      <c r="U23">
        <v>744359290</v>
      </c>
      <c r="V23">
        <v>744359290</v>
      </c>
      <c r="W23">
        <v>1.92</v>
      </c>
      <c r="X23">
        <v>0</v>
      </c>
      <c r="Y23">
        <v>-913.17</v>
      </c>
      <c r="Z23" t="s">
        <v>1068</v>
      </c>
      <c r="AA23" t="s">
        <v>1069</v>
      </c>
      <c r="AB23" t="s">
        <v>1070</v>
      </c>
      <c r="AC23" t="s">
        <v>1071</v>
      </c>
      <c r="AD23" t="s">
        <v>45</v>
      </c>
      <c r="AE23">
        <v>32939367</v>
      </c>
      <c r="AF23" t="s">
        <v>1072</v>
      </c>
      <c r="AG23" t="s">
        <v>45</v>
      </c>
      <c r="AH23" t="s">
        <v>1073</v>
      </c>
      <c r="AI23" t="s">
        <v>1074</v>
      </c>
      <c r="AJ23" t="s">
        <v>1075</v>
      </c>
      <c r="AK23" t="s">
        <v>1076</v>
      </c>
      <c r="AL23" t="s">
        <v>1077</v>
      </c>
      <c r="AM23" t="s">
        <v>45</v>
      </c>
      <c r="AN23">
        <v>0</v>
      </c>
      <c r="AO23" t="s">
        <v>45</v>
      </c>
      <c r="AP23" t="s">
        <v>45</v>
      </c>
      <c r="AQ23" t="s">
        <v>1078</v>
      </c>
      <c r="AR23" t="s">
        <v>45</v>
      </c>
      <c r="AS23" t="s">
        <v>416</v>
      </c>
      <c r="AT23" t="s">
        <v>79</v>
      </c>
      <c r="AU23" t="s">
        <v>1079</v>
      </c>
      <c r="AV23" t="s">
        <v>1080</v>
      </c>
      <c r="AW23" t="s">
        <v>1081</v>
      </c>
      <c r="AX23" t="s">
        <v>359</v>
      </c>
      <c r="AY23" t="s">
        <v>245</v>
      </c>
      <c r="AZ23" t="s">
        <v>75</v>
      </c>
      <c r="BA23" t="s">
        <v>91</v>
      </c>
      <c r="BB23" t="s">
        <v>80</v>
      </c>
      <c r="BC23" t="s">
        <v>518</v>
      </c>
      <c r="BD23" t="s">
        <v>291</v>
      </c>
      <c r="BE23" t="s">
        <v>155</v>
      </c>
      <c r="BF23" t="s">
        <v>92</v>
      </c>
      <c r="BG23" t="s">
        <v>179</v>
      </c>
      <c r="BH23" t="s">
        <v>1082</v>
      </c>
      <c r="BI23" t="s">
        <v>1083</v>
      </c>
      <c r="BJ23" t="s">
        <v>359</v>
      </c>
      <c r="BK23" t="s">
        <v>1084</v>
      </c>
      <c r="BL23" t="s">
        <v>1085</v>
      </c>
      <c r="BM23" t="s">
        <v>518</v>
      </c>
      <c r="BN23">
        <v>1.4</v>
      </c>
      <c r="BO23">
        <v>8.01</v>
      </c>
      <c r="BP23">
        <v>9.73</v>
      </c>
      <c r="BQ23">
        <v>0.66</v>
      </c>
      <c r="BR23">
        <v>11.02</v>
      </c>
      <c r="BS23">
        <v>12.78</v>
      </c>
      <c r="BT23" t="s">
        <v>474</v>
      </c>
      <c r="BU23" t="s">
        <v>356</v>
      </c>
      <c r="BV23">
        <v>40.49</v>
      </c>
      <c r="BW23">
        <v>34.85</v>
      </c>
      <c r="BX23">
        <v>30.41</v>
      </c>
      <c r="BY23">
        <v>317.45999999999998</v>
      </c>
      <c r="BZ23">
        <v>418.39</v>
      </c>
      <c r="CA23">
        <v>384.28</v>
      </c>
      <c r="CB23">
        <v>-0.64</v>
      </c>
      <c r="CC23">
        <v>-12.96</v>
      </c>
      <c r="CD23" t="s">
        <v>1086</v>
      </c>
      <c r="CE23" t="s">
        <v>61</v>
      </c>
      <c r="CF23" s="9">
        <v>-0.98337335329341313</v>
      </c>
      <c r="CG23" s="10">
        <v>-2.8332502603329845</v>
      </c>
      <c r="CH23" s="9">
        <v>27.862068176269531</v>
      </c>
      <c r="CI23" s="9">
        <v>-0.14074073731899261</v>
      </c>
      <c r="CJ23" s="9">
        <v>0.11570248007774353</v>
      </c>
      <c r="CK23" s="9">
        <v>-0.45495495200157166</v>
      </c>
      <c r="CL23" s="9">
        <v>7.2463765740394592E-2</v>
      </c>
      <c r="CM23" s="10">
        <v>-0.45114344358444214</v>
      </c>
      <c r="CN23" s="10">
        <v>-5.500982329249382E-2</v>
      </c>
      <c r="CO23" s="10">
        <v>0.51940298080444336</v>
      </c>
      <c r="CP23" s="10">
        <v>0.49553570151329041</v>
      </c>
      <c r="CQ23" s="10">
        <v>0.1978609561920166</v>
      </c>
      <c r="CR23">
        <v>20.7006321</v>
      </c>
      <c r="CS23">
        <v>3.7699835902348836E-2</v>
      </c>
      <c r="CT23">
        <v>1.1866235167206043</v>
      </c>
      <c r="CU23" s="9">
        <v>5.4909077465534208</v>
      </c>
      <c r="CV23" s="10">
        <v>0.14132927432656289</v>
      </c>
      <c r="CW23">
        <v>0.06</v>
      </c>
      <c r="CX23">
        <v>3.9949257468713149</v>
      </c>
      <c r="CY23">
        <v>1616603438.7642481</v>
      </c>
      <c r="CZ23">
        <v>5.4909077465534208</v>
      </c>
      <c r="DA23">
        <v>0.10110732444321882</v>
      </c>
      <c r="DB23">
        <v>63874805663.825935</v>
      </c>
      <c r="DC23">
        <v>5.2163623592257498</v>
      </c>
      <c r="DD23">
        <v>7.216680341385781E-4</v>
      </c>
      <c r="DE23">
        <v>8949004797903.8848</v>
      </c>
      <c r="DF23">
        <v>4.8319988169670101</v>
      </c>
      <c r="DG23">
        <v>1.6921394149946525E-6</v>
      </c>
      <c r="DH23">
        <v>3816594922836431.5</v>
      </c>
      <c r="DI23">
        <v>4.3927261972427365</v>
      </c>
      <c r="DJ23">
        <v>1.2132058388507181E-12</v>
      </c>
      <c r="DK23">
        <v>5.3232604832481904E+21</v>
      </c>
      <c r="DL23">
        <v>3.8436354225873943</v>
      </c>
      <c r="DM23">
        <v>264000000</v>
      </c>
      <c r="DN23">
        <v>5.4909077465534208</v>
      </c>
      <c r="DO23">
        <v>6458210700</v>
      </c>
      <c r="DP23">
        <v>1513296500</v>
      </c>
      <c r="DQ23">
        <v>3460</v>
      </c>
      <c r="DR23">
        <v>-6.4742810998468343</v>
      </c>
      <c r="DS23">
        <v>-2.9745795346595476</v>
      </c>
      <c r="DT23" s="11">
        <v>-0.25666666666666665</v>
      </c>
      <c r="DU23">
        <v>-0.71500000000000019</v>
      </c>
      <c r="DV23">
        <v>-0.9716666666666669</v>
      </c>
      <c r="DW23">
        <v>-2.1295999999999999</v>
      </c>
      <c r="DX23">
        <v>0.30637352941176599</v>
      </c>
      <c r="DY23">
        <v>-2.0111940094117648</v>
      </c>
      <c r="DZ23">
        <v>4155</v>
      </c>
      <c r="EA23">
        <v>-2.0020920311131576</v>
      </c>
      <c r="EB23">
        <v>2</v>
      </c>
      <c r="EC23">
        <v>1.1835816544991331E-2</v>
      </c>
      <c r="ED23">
        <v>0.13703059983304569</v>
      </c>
      <c r="EE23" s="12">
        <v>1.0718099999999999</v>
      </c>
      <c r="EF23">
        <v>1.08901</v>
      </c>
      <c r="EG23">
        <v>22.086373529411766</v>
      </c>
      <c r="EH23" t="s">
        <v>517</v>
      </c>
      <c r="EI23">
        <v>0</v>
      </c>
      <c r="EJ23">
        <v>0</v>
      </c>
      <c r="EK23" s="8">
        <v>45470</v>
      </c>
      <c r="EL23" s="13">
        <v>0.86</v>
      </c>
      <c r="EM23" s="13">
        <v>-2</v>
      </c>
      <c r="EN23" s="13">
        <v>0.57999999999999996</v>
      </c>
      <c r="EO23" s="13">
        <v>0.87</v>
      </c>
      <c r="EP23" s="13">
        <v>-1.72</v>
      </c>
    </row>
    <row r="24" spans="1:146" x14ac:dyDescent="0.25">
      <c r="A24" s="6"/>
      <c r="B24" s="6"/>
      <c r="C24" s="6" t="e">
        <f>""&amp;CHAR(10)&amp;Basic_Fundamental_Information_Constructure(F24)&amp;CHAR(10)&amp;Basic_Fundamental_Information_Concatenate("")</f>
        <v>#VALUE!</v>
      </c>
      <c r="D24" t="s">
        <v>44</v>
      </c>
      <c r="E24" t="s">
        <v>521</v>
      </c>
      <c r="F24">
        <v>2.64</v>
      </c>
      <c r="G24">
        <v>1.1499999999999999</v>
      </c>
      <c r="H24" t="s">
        <v>1087</v>
      </c>
      <c r="I24">
        <v>25989343000</v>
      </c>
      <c r="J24">
        <v>306</v>
      </c>
      <c r="K24">
        <v>1.98</v>
      </c>
      <c r="L24" t="s">
        <v>356</v>
      </c>
      <c r="M24" t="s">
        <v>1088</v>
      </c>
      <c r="N24" t="s">
        <v>1089</v>
      </c>
      <c r="O24" t="s">
        <v>45</v>
      </c>
      <c r="P24" t="s">
        <v>45</v>
      </c>
      <c r="Q24" t="s">
        <v>781</v>
      </c>
      <c r="R24">
        <v>20649782</v>
      </c>
      <c r="S24" s="5">
        <v>1.948</v>
      </c>
      <c r="T24" t="s">
        <v>487</v>
      </c>
      <c r="U24">
        <v>5469137900</v>
      </c>
      <c r="V24">
        <v>9844448300</v>
      </c>
      <c r="W24">
        <v>1.61</v>
      </c>
      <c r="X24" t="s">
        <v>45</v>
      </c>
      <c r="Y24">
        <v>47.33</v>
      </c>
      <c r="Z24" t="s">
        <v>1090</v>
      </c>
      <c r="AA24" t="s">
        <v>45</v>
      </c>
      <c r="AB24" t="s">
        <v>45</v>
      </c>
      <c r="AC24" t="s">
        <v>1091</v>
      </c>
      <c r="AD24" t="s">
        <v>45</v>
      </c>
      <c r="AE24">
        <v>0</v>
      </c>
      <c r="AF24" t="s">
        <v>1092</v>
      </c>
      <c r="AG24" t="s">
        <v>1093</v>
      </c>
      <c r="AH24" t="s">
        <v>1094</v>
      </c>
      <c r="AI24" t="s">
        <v>1095</v>
      </c>
      <c r="AJ24" t="s">
        <v>1096</v>
      </c>
      <c r="AK24" t="s">
        <v>45</v>
      </c>
      <c r="AL24" t="s">
        <v>1097</v>
      </c>
      <c r="AM24" t="s">
        <v>45</v>
      </c>
      <c r="AN24" t="s">
        <v>1098</v>
      </c>
      <c r="AO24" t="s">
        <v>45</v>
      </c>
      <c r="AP24" t="s">
        <v>45</v>
      </c>
      <c r="AQ24" t="s">
        <v>617</v>
      </c>
      <c r="AR24" t="s">
        <v>1099</v>
      </c>
      <c r="AS24" t="s">
        <v>1100</v>
      </c>
      <c r="AT24" t="s">
        <v>45</v>
      </c>
      <c r="AU24" t="s">
        <v>1101</v>
      </c>
      <c r="AV24" t="s">
        <v>1102</v>
      </c>
      <c r="AW24" t="s">
        <v>1103</v>
      </c>
      <c r="AX24" t="s">
        <v>45</v>
      </c>
      <c r="AY24" t="s">
        <v>188</v>
      </c>
      <c r="AZ24" t="s">
        <v>180</v>
      </c>
      <c r="BA24" t="s">
        <v>93</v>
      </c>
      <c r="BB24" t="s">
        <v>182</v>
      </c>
      <c r="BC24" t="s">
        <v>522</v>
      </c>
      <c r="BD24" t="s">
        <v>292</v>
      </c>
      <c r="BE24" t="s">
        <v>181</v>
      </c>
      <c r="BF24" t="s">
        <v>94</v>
      </c>
      <c r="BG24" t="s">
        <v>183</v>
      </c>
      <c r="BH24" t="s">
        <v>45</v>
      </c>
      <c r="BI24" t="s">
        <v>70</v>
      </c>
      <c r="BJ24" t="s">
        <v>45</v>
      </c>
      <c r="BK24" t="s">
        <v>1104</v>
      </c>
      <c r="BL24" t="s">
        <v>1105</v>
      </c>
      <c r="BM24" t="s">
        <v>522</v>
      </c>
      <c r="BN24">
        <v>0.28999999999999998</v>
      </c>
      <c r="BO24" t="s">
        <v>45</v>
      </c>
      <c r="BP24" t="s">
        <v>45</v>
      </c>
      <c r="BQ24">
        <v>0.46</v>
      </c>
      <c r="BR24" t="s">
        <v>45</v>
      </c>
      <c r="BS24">
        <v>-345.82</v>
      </c>
      <c r="BT24" t="s">
        <v>409</v>
      </c>
      <c r="BU24" t="s">
        <v>356</v>
      </c>
      <c r="BV24" t="s">
        <v>45</v>
      </c>
      <c r="BW24" t="s">
        <v>45</v>
      </c>
      <c r="BX24" t="s">
        <v>45</v>
      </c>
      <c r="BY24" t="s">
        <v>45</v>
      </c>
      <c r="BZ24" t="s">
        <v>45</v>
      </c>
      <c r="CA24">
        <v>-847.78</v>
      </c>
      <c r="CB24">
        <v>-2.58</v>
      </c>
      <c r="CC24">
        <v>-4.6900000000000004</v>
      </c>
      <c r="CD24" t="s">
        <v>1106</v>
      </c>
      <c r="CE24" t="s">
        <v>1107</v>
      </c>
      <c r="CF24" s="9" t="s">
        <v>45</v>
      </c>
      <c r="CG24" s="10">
        <v>-0.29519801219849345</v>
      </c>
      <c r="CH24" s="9" t="s">
        <v>45</v>
      </c>
      <c r="CI24" s="9" t="s">
        <v>45</v>
      </c>
      <c r="CJ24" s="9">
        <v>1.1052215099334717</v>
      </c>
      <c r="CK24" s="9">
        <v>-3.7340824604034424</v>
      </c>
      <c r="CL24" s="9">
        <v>-2.3024389743804932</v>
      </c>
      <c r="CM24" s="10">
        <v>1.2090123891830444</v>
      </c>
      <c r="CN24" s="10">
        <v>7.6173551380634308E-2</v>
      </c>
      <c r="CO24" s="10">
        <v>0.83244287967681885</v>
      </c>
      <c r="CP24" s="10">
        <v>-0.68745303153991699</v>
      </c>
      <c r="CQ24" s="10">
        <v>-1.1783961057662964</v>
      </c>
      <c r="CR24">
        <v>-10.740877393580384</v>
      </c>
      <c r="CS24">
        <v>-6.5343079252512246E-2</v>
      </c>
      <c r="CT24">
        <v>0</v>
      </c>
      <c r="CU24" s="9">
        <v>-1.6437666416168213</v>
      </c>
      <c r="CV24" s="10">
        <v>5.0355936586856845E-2</v>
      </c>
      <c r="CW24">
        <v>0.06</v>
      </c>
      <c r="CX24">
        <v>94.813500000000005</v>
      </c>
      <c r="CY24" t="s">
        <v>1108</v>
      </c>
      <c r="CZ24">
        <v>-1.6437666416168213</v>
      </c>
      <c r="DA24">
        <v>31.604500000000002</v>
      </c>
      <c r="DB24" t="s">
        <v>1109</v>
      </c>
      <c r="DC24">
        <v>-1.5615783095359801</v>
      </c>
      <c r="DD24">
        <v>15.802250000000001</v>
      </c>
      <c r="DE24" t="s">
        <v>1110</v>
      </c>
      <c r="DF24">
        <v>-1.4465146446228028</v>
      </c>
      <c r="DG24">
        <v>9.4813500000000008</v>
      </c>
      <c r="DH24" t="s">
        <v>1111</v>
      </c>
      <c r="DI24">
        <v>-1.3150133132934572</v>
      </c>
      <c r="DJ24">
        <v>4.7406750000000004</v>
      </c>
      <c r="DK24" t="s">
        <v>1112</v>
      </c>
      <c r="DL24">
        <v>-1.1506366491317748</v>
      </c>
      <c r="DM24">
        <v>218000000.00000003</v>
      </c>
      <c r="DN24">
        <v>-1.6437666416168213</v>
      </c>
      <c r="DO24">
        <v>20669343000</v>
      </c>
      <c r="DP24">
        <v>4354777200</v>
      </c>
      <c r="DQ24">
        <v>3488</v>
      </c>
      <c r="DR24" t="e">
        <v>#VALUE!</v>
      </c>
      <c r="DS24">
        <v>-0.34555394878535028</v>
      </c>
      <c r="DT24" s="11" t="e">
        <v>#VALUE!</v>
      </c>
      <c r="DU24">
        <v>-1.72</v>
      </c>
      <c r="DV24" t="e">
        <v>#VALUE!</v>
      </c>
      <c r="DW24">
        <v>-8.5501066098081022</v>
      </c>
      <c r="DX24">
        <v>0.44239885239085569</v>
      </c>
      <c r="DY24">
        <v>-8.0563302855369727</v>
      </c>
      <c r="DZ24">
        <v>4767</v>
      </c>
      <c r="EA24">
        <v>-8.0037810739607007</v>
      </c>
      <c r="EB24">
        <v>8</v>
      </c>
      <c r="EC24">
        <v>1.0006421588907121E-2</v>
      </c>
      <c r="ED24">
        <v>9.77200520216049E-2</v>
      </c>
      <c r="EE24" s="12">
        <v>1.0851</v>
      </c>
      <c r="EF24">
        <v>1.075</v>
      </c>
      <c r="EG24">
        <v>34.102398852390856</v>
      </c>
      <c r="EH24" t="s">
        <v>470</v>
      </c>
      <c r="EI24">
        <v>0</v>
      </c>
      <c r="EJ24">
        <v>0</v>
      </c>
      <c r="EK24" s="8">
        <v>45470</v>
      </c>
      <c r="EL24" s="13">
        <v>-1.49</v>
      </c>
      <c r="EM24" s="13">
        <v>-3.52</v>
      </c>
      <c r="EN24" s="13">
        <v>2.08</v>
      </c>
      <c r="EO24" s="13">
        <v>1.02</v>
      </c>
      <c r="EP24" s="13">
        <v>-1.01</v>
      </c>
    </row>
    <row r="25" spans="1:146" ht="108" x14ac:dyDescent="0.25">
      <c r="A25" s="6"/>
      <c r="B25" s="6"/>
      <c r="C25" s="6" t="str">
        <f>""&amp;CHAR(10)&amp;Basic_Fundamental_Information_Constructure(F25)&amp;CHAR(10)&amp;Basic_Fundamental_Information_Concatenate("")</f>
        <v xml:space="preserve">
市值33.710748亿, 利润-6.26亿; PE143.3; 平均PE-35.78; 平均PEG-.14, PB1.57; ROIC.6867%; ROE.78%; 股利率.2022%; 毛利68.24%; 净利18.02%; 上一年度营收增1351.57%, 利润增-7130.63%; 当季营收增-88%, 利润增199.41%; 过往5年营收增261.87%, 利润增-1439.91%
Income profile:
</v>
      </c>
      <c r="D25" t="s">
        <v>28</v>
      </c>
      <c r="E25" t="s">
        <v>15</v>
      </c>
      <c r="F25">
        <v>7.42</v>
      </c>
      <c r="G25">
        <v>2.2000000000000002</v>
      </c>
      <c r="H25" t="s">
        <v>1113</v>
      </c>
      <c r="I25">
        <v>3371074800</v>
      </c>
      <c r="J25">
        <v>143.30000000000001</v>
      </c>
      <c r="K25">
        <v>1.57</v>
      </c>
      <c r="L25" t="s">
        <v>356</v>
      </c>
      <c r="M25" t="s">
        <v>1114</v>
      </c>
      <c r="N25" t="s">
        <v>1115</v>
      </c>
      <c r="O25" t="s">
        <v>1116</v>
      </c>
      <c r="P25">
        <v>18.25</v>
      </c>
      <c r="Q25" t="s">
        <v>1117</v>
      </c>
      <c r="R25">
        <v>21205121</v>
      </c>
      <c r="S25" s="5">
        <v>6.7000000000000004E-2</v>
      </c>
      <c r="T25" t="s">
        <v>1118</v>
      </c>
      <c r="U25">
        <v>454322750</v>
      </c>
      <c r="V25">
        <v>454322750</v>
      </c>
      <c r="W25">
        <v>1.61</v>
      </c>
      <c r="X25">
        <v>0.02</v>
      </c>
      <c r="Y25">
        <v>31.49</v>
      </c>
      <c r="Z25" t="s">
        <v>1119</v>
      </c>
      <c r="AA25" t="s">
        <v>1120</v>
      </c>
      <c r="AB25" t="s">
        <v>1121</v>
      </c>
      <c r="AC25" t="s">
        <v>1122</v>
      </c>
      <c r="AD25" t="s">
        <v>45</v>
      </c>
      <c r="AE25">
        <v>-2434996</v>
      </c>
      <c r="AF25" t="s">
        <v>1123</v>
      </c>
      <c r="AG25">
        <v>0.37</v>
      </c>
      <c r="AH25" t="s">
        <v>1124</v>
      </c>
      <c r="AI25" t="s">
        <v>1125</v>
      </c>
      <c r="AJ25" t="s">
        <v>1126</v>
      </c>
      <c r="AK25" t="s">
        <v>45</v>
      </c>
      <c r="AL25" t="s">
        <v>1127</v>
      </c>
      <c r="AM25" t="s">
        <v>45</v>
      </c>
      <c r="AN25">
        <v>0</v>
      </c>
      <c r="AO25" t="s">
        <v>45</v>
      </c>
      <c r="AP25" t="s">
        <v>45</v>
      </c>
      <c r="AQ25" t="s">
        <v>1128</v>
      </c>
      <c r="AR25" t="s">
        <v>1129</v>
      </c>
      <c r="AS25" t="s">
        <v>1130</v>
      </c>
      <c r="AT25" t="s">
        <v>1131</v>
      </c>
      <c r="AU25" t="s">
        <v>1132</v>
      </c>
      <c r="AV25" t="s">
        <v>1133</v>
      </c>
      <c r="AW25" t="s">
        <v>1047</v>
      </c>
      <c r="AX25" t="s">
        <v>150</v>
      </c>
      <c r="AY25" t="s">
        <v>520</v>
      </c>
      <c r="AZ25" t="s">
        <v>525</v>
      </c>
      <c r="BA25" t="s">
        <v>185</v>
      </c>
      <c r="BB25" t="s">
        <v>186</v>
      </c>
      <c r="BC25" t="s">
        <v>523</v>
      </c>
      <c r="BD25" t="s">
        <v>293</v>
      </c>
      <c r="BE25" t="s">
        <v>184</v>
      </c>
      <c r="BF25" t="s">
        <v>95</v>
      </c>
      <c r="BG25" t="s">
        <v>187</v>
      </c>
      <c r="BH25" t="s">
        <v>178</v>
      </c>
      <c r="BI25" t="s">
        <v>1134</v>
      </c>
      <c r="BJ25" t="s">
        <v>150</v>
      </c>
      <c r="BK25" t="s">
        <v>1135</v>
      </c>
      <c r="BL25" t="s">
        <v>1136</v>
      </c>
      <c r="BM25" t="s">
        <v>523</v>
      </c>
      <c r="BN25">
        <v>0.72</v>
      </c>
      <c r="BO25">
        <v>0.44</v>
      </c>
      <c r="BP25">
        <v>0.9</v>
      </c>
      <c r="BQ25">
        <v>1.1200000000000001</v>
      </c>
      <c r="BR25">
        <v>0.42</v>
      </c>
      <c r="BS25">
        <v>0.8</v>
      </c>
      <c r="BT25" t="s">
        <v>1137</v>
      </c>
      <c r="BU25" t="s">
        <v>356</v>
      </c>
      <c r="BV25">
        <v>65.48</v>
      </c>
      <c r="BW25">
        <v>63.48</v>
      </c>
      <c r="BX25">
        <v>75.760000000000005</v>
      </c>
      <c r="BY25">
        <v>20.36</v>
      </c>
      <c r="BZ25">
        <v>13.63</v>
      </c>
      <c r="CA25">
        <v>20.07</v>
      </c>
      <c r="CB25">
        <v>6.61</v>
      </c>
      <c r="CC25">
        <v>14.77</v>
      </c>
      <c r="CD25" t="s">
        <v>420</v>
      </c>
      <c r="CE25" t="s">
        <v>1138</v>
      </c>
      <c r="CF25" s="9">
        <v>-0.88002042139384118</v>
      </c>
      <c r="CG25" s="10">
        <v>1.994058652434203</v>
      </c>
      <c r="CH25" s="9">
        <v>13.51572322845459</v>
      </c>
      <c r="CI25" s="9">
        <v>-1.2422360479831696E-2</v>
      </c>
      <c r="CJ25" s="9">
        <v>0.88019096851348877</v>
      </c>
      <c r="CK25" s="9">
        <v>-0.70774883031845093</v>
      </c>
      <c r="CL25" s="9">
        <v>-0.58202570676803589</v>
      </c>
      <c r="CM25" s="10">
        <v>-71.306266784667969</v>
      </c>
      <c r="CN25" s="10">
        <v>-0.46421113610267639</v>
      </c>
      <c r="CO25" s="10">
        <v>1.744310736656189</v>
      </c>
      <c r="CP25" s="10">
        <v>-1.8369231224060059</v>
      </c>
      <c r="CQ25" s="10">
        <v>-0.13251759111881256</v>
      </c>
      <c r="CR25">
        <v>-35.775317736353109</v>
      </c>
      <c r="CS25">
        <v>-0.13661253301225484</v>
      </c>
      <c r="CT25">
        <v>0.20215633423180593</v>
      </c>
      <c r="CU25" s="9">
        <v>2.6187434598803518</v>
      </c>
      <c r="CV25" s="10">
        <v>-14.399121579527854</v>
      </c>
      <c r="CW25">
        <v>0.06</v>
      </c>
      <c r="CX25" t="e">
        <v>#VALUE!</v>
      </c>
      <c r="CY25" t="s">
        <v>358</v>
      </c>
      <c r="CZ25">
        <v>2.6187434598803518</v>
      </c>
      <c r="DA25" t="e">
        <v>#VALUE!</v>
      </c>
      <c r="DB25" t="s">
        <v>358</v>
      </c>
      <c r="DC25">
        <v>2.4878062868863342</v>
      </c>
      <c r="DD25" t="e">
        <v>#VALUE!</v>
      </c>
      <c r="DE25" t="s">
        <v>358</v>
      </c>
      <c r="DF25">
        <v>2.3044942446947094</v>
      </c>
      <c r="DG25" t="e">
        <v>#VALUE!</v>
      </c>
      <c r="DH25" t="s">
        <v>358</v>
      </c>
      <c r="DI25">
        <v>2.0949947679042817</v>
      </c>
      <c r="DJ25" t="e">
        <v>#VALUE!</v>
      </c>
      <c r="DK25" t="s">
        <v>358</v>
      </c>
      <c r="DL25">
        <v>1.8331204219162462</v>
      </c>
      <c r="DM25">
        <v>-626000000</v>
      </c>
      <c r="DN25">
        <v>2.6187434598803518</v>
      </c>
      <c r="DO25">
        <v>1726074800</v>
      </c>
      <c r="DP25">
        <v>1432593700</v>
      </c>
      <c r="DQ25">
        <v>3501</v>
      </c>
      <c r="DR25">
        <v>-3.498763881274193</v>
      </c>
      <c r="DS25">
        <v>16.393180231962056</v>
      </c>
      <c r="DT25" s="11">
        <v>-0.20666666666666669</v>
      </c>
      <c r="DU25">
        <v>-0.68333333333333324</v>
      </c>
      <c r="DV25">
        <v>-0.8899999999999999</v>
      </c>
      <c r="DW25">
        <v>9.4475287745429934</v>
      </c>
      <c r="DX25">
        <v>0.41922330097087213</v>
      </c>
      <c r="DY25">
        <v>9.0712570087621849</v>
      </c>
      <c r="DZ25">
        <v>1838</v>
      </c>
      <c r="EA25">
        <v>9.045626796999974</v>
      </c>
      <c r="EB25">
        <v>9</v>
      </c>
      <c r="EC25">
        <v>0.36097686061285728</v>
      </c>
      <c r="ED25">
        <v>2.2671107709222138</v>
      </c>
      <c r="EE25" s="12">
        <v>-3.0968</v>
      </c>
      <c r="EF25">
        <v>-3.0705</v>
      </c>
      <c r="EG25">
        <v>26.159223300970872</v>
      </c>
      <c r="EH25" t="s">
        <v>1139</v>
      </c>
      <c r="EI25">
        <v>1</v>
      </c>
      <c r="EJ25">
        <v>0</v>
      </c>
      <c r="EK25" s="8">
        <v>45470</v>
      </c>
      <c r="EL25" s="13">
        <v>0.9</v>
      </c>
      <c r="EM25" s="13">
        <v>-3.74</v>
      </c>
      <c r="EN25" s="13">
        <v>0.74</v>
      </c>
      <c r="EO25" s="13">
        <v>4.96</v>
      </c>
      <c r="EP25" s="13">
        <v>-2.63</v>
      </c>
    </row>
    <row r="26" spans="1:146" ht="108" x14ac:dyDescent="0.25">
      <c r="A26" s="6"/>
      <c r="B26" s="6"/>
      <c r="C26" s="6" t="str">
        <f>""&amp;CHAR(10)&amp;Basic_Fundamental_Information_Constructure(F26)&amp;CHAR(10)&amp;Basic_Fundamental_Information_Concatenate("")</f>
        <v xml:space="preserve">
市值227.23281亿, 利润7808.78万; PE8.44; 平均PE14.7; 平均PEG.71, PB1.2; ROIC0%; ROE14.5067%; 股利率6.1538%; 毛利0%; 净利54.55%; 上一年度营收增40.31%, 利润增-96.76%; 当季营收增-32.98%, 利润增714.75%; 过往5年营收增20.76%, 利润增-4.97%
Income profile:
</v>
      </c>
      <c r="D26" t="s">
        <v>39</v>
      </c>
      <c r="E26" t="s">
        <v>527</v>
      </c>
      <c r="F26">
        <v>5.2</v>
      </c>
      <c r="G26">
        <v>-0.56999999999999995</v>
      </c>
      <c r="H26" t="s">
        <v>1140</v>
      </c>
      <c r="I26">
        <v>22723281000</v>
      </c>
      <c r="J26">
        <v>8.44</v>
      </c>
      <c r="K26">
        <v>1.2</v>
      </c>
      <c r="L26" t="s">
        <v>356</v>
      </c>
      <c r="M26" t="s">
        <v>1141</v>
      </c>
      <c r="N26" t="s">
        <v>1142</v>
      </c>
      <c r="O26" t="s">
        <v>475</v>
      </c>
      <c r="P26">
        <v>5.84</v>
      </c>
      <c r="Q26" t="s">
        <v>1143</v>
      </c>
      <c r="R26">
        <v>711913100</v>
      </c>
      <c r="S26" s="5">
        <v>4.6800000000000001E-2</v>
      </c>
      <c r="T26" t="s">
        <v>1144</v>
      </c>
      <c r="U26">
        <v>4356795100</v>
      </c>
      <c r="V26">
        <v>4369861800</v>
      </c>
      <c r="W26">
        <v>6.73</v>
      </c>
      <c r="X26">
        <v>0.01</v>
      </c>
      <c r="Y26">
        <v>55.54</v>
      </c>
      <c r="Z26" t="s">
        <v>45</v>
      </c>
      <c r="AA26" t="s">
        <v>45</v>
      </c>
      <c r="AB26" t="s">
        <v>45</v>
      </c>
      <c r="AC26" t="s">
        <v>45</v>
      </c>
      <c r="AD26" t="s">
        <v>45</v>
      </c>
      <c r="AE26">
        <v>0</v>
      </c>
      <c r="AF26" t="s">
        <v>64</v>
      </c>
      <c r="AG26" t="s">
        <v>1145</v>
      </c>
      <c r="AH26" t="s">
        <v>1146</v>
      </c>
      <c r="AI26" t="s">
        <v>45</v>
      </c>
      <c r="AJ26" t="s">
        <v>64</v>
      </c>
      <c r="AK26" t="s">
        <v>45</v>
      </c>
      <c r="AL26" t="s">
        <v>64</v>
      </c>
      <c r="AM26" t="s">
        <v>1147</v>
      </c>
      <c r="AN26" t="s">
        <v>45</v>
      </c>
      <c r="AO26" t="s">
        <v>45</v>
      </c>
      <c r="AP26" t="s">
        <v>45</v>
      </c>
      <c r="AQ26" t="s">
        <v>45</v>
      </c>
      <c r="AR26" t="s">
        <v>45</v>
      </c>
      <c r="AS26" t="s">
        <v>45</v>
      </c>
      <c r="AT26" t="s">
        <v>45</v>
      </c>
      <c r="AU26" t="s">
        <v>1148</v>
      </c>
      <c r="AV26" t="s">
        <v>1149</v>
      </c>
      <c r="AW26" t="s">
        <v>1150</v>
      </c>
      <c r="AX26" t="s">
        <v>528</v>
      </c>
      <c r="AY26" t="s">
        <v>294</v>
      </c>
      <c r="AZ26" t="s">
        <v>189</v>
      </c>
      <c r="BA26" t="s">
        <v>96</v>
      </c>
      <c r="BB26" t="s">
        <v>191</v>
      </c>
      <c r="BC26" t="s">
        <v>529</v>
      </c>
      <c r="BD26" t="s">
        <v>234</v>
      </c>
      <c r="BE26" t="s">
        <v>190</v>
      </c>
      <c r="BF26" t="s">
        <v>97</v>
      </c>
      <c r="BG26" t="s">
        <v>89</v>
      </c>
      <c r="BH26" t="s">
        <v>1151</v>
      </c>
      <c r="BI26" t="s">
        <v>510</v>
      </c>
      <c r="BJ26" t="s">
        <v>528</v>
      </c>
      <c r="BK26" t="s">
        <v>1152</v>
      </c>
      <c r="BL26" t="s">
        <v>1153</v>
      </c>
      <c r="BM26" t="s">
        <v>529</v>
      </c>
      <c r="BN26" t="s">
        <v>45</v>
      </c>
      <c r="BO26" t="s">
        <v>45</v>
      </c>
      <c r="BP26" t="s">
        <v>45</v>
      </c>
      <c r="BQ26">
        <v>12.27</v>
      </c>
      <c r="BR26">
        <v>15.89</v>
      </c>
      <c r="BS26">
        <v>15.36</v>
      </c>
      <c r="BT26" t="s">
        <v>1154</v>
      </c>
      <c r="BU26" t="s">
        <v>356</v>
      </c>
      <c r="BV26" t="s">
        <v>45</v>
      </c>
      <c r="BW26" t="s">
        <v>45</v>
      </c>
      <c r="BX26" t="s">
        <v>45</v>
      </c>
      <c r="BY26">
        <v>55.57</v>
      </c>
      <c r="BZ26">
        <v>55.49</v>
      </c>
      <c r="CA26">
        <v>52.59</v>
      </c>
      <c r="CB26">
        <v>2.97</v>
      </c>
      <c r="CC26">
        <v>4.63</v>
      </c>
      <c r="CD26" t="s">
        <v>1155</v>
      </c>
      <c r="CE26" t="s">
        <v>1156</v>
      </c>
      <c r="CF26" s="9">
        <v>-0.32984840564558288</v>
      </c>
      <c r="CG26" s="10">
        <v>7.1474723730349838</v>
      </c>
      <c r="CH26" s="9">
        <v>0.40312933921813965</v>
      </c>
      <c r="CI26" s="9">
        <v>0.10276578366756439</v>
      </c>
      <c r="CJ26" s="9">
        <v>5.0093259662389755E-2</v>
      </c>
      <c r="CK26" s="9">
        <v>0.2240704745054245</v>
      </c>
      <c r="CL26" s="9">
        <v>0.25810420513153076</v>
      </c>
      <c r="CM26" s="10">
        <v>-0.96762531995773315</v>
      </c>
      <c r="CN26" s="10">
        <v>0.16409265995025635</v>
      </c>
      <c r="CO26" s="10">
        <v>0.10388921946287155</v>
      </c>
      <c r="CP26" s="10">
        <v>0.18572321534156799</v>
      </c>
      <c r="CQ26" s="10">
        <v>0.26538768410682678</v>
      </c>
      <c r="CR26">
        <v>14.702727822764711</v>
      </c>
      <c r="CS26">
        <v>0.70811264426127307</v>
      </c>
      <c r="CT26">
        <v>6.1538461538461542</v>
      </c>
      <c r="CU26" s="9">
        <v>0.20763261243700981</v>
      </c>
      <c r="CV26" s="10">
        <v>-4.9706508219242093E-2</v>
      </c>
      <c r="CW26">
        <v>0.06</v>
      </c>
      <c r="CX26">
        <v>1190.1758500676704</v>
      </c>
      <c r="CY26">
        <v>88963560.295715794</v>
      </c>
      <c r="CZ26">
        <v>0.20763261243700981</v>
      </c>
      <c r="DA26">
        <v>352.54668689514</v>
      </c>
      <c r="DB26">
        <v>300335487.28680348</v>
      </c>
      <c r="DC26">
        <v>0.19725098181515932</v>
      </c>
      <c r="DD26">
        <v>151.35769786892641</v>
      </c>
      <c r="DE26">
        <v>699550022.83195758</v>
      </c>
      <c r="DF26">
        <v>0.18271669894456863</v>
      </c>
      <c r="DG26">
        <v>77.300327283991535</v>
      </c>
      <c r="DH26">
        <v>1369752040.1304643</v>
      </c>
      <c r="DI26">
        <v>0.16610608994960785</v>
      </c>
      <c r="DJ26">
        <v>27.267254157547207</v>
      </c>
      <c r="DK26">
        <v>3883129573.2318254</v>
      </c>
      <c r="DL26">
        <v>0.14534282870590687</v>
      </c>
      <c r="DM26">
        <v>78087800</v>
      </c>
      <c r="DN26">
        <v>0.20763261243700981</v>
      </c>
      <c r="DO26">
        <v>105882281000</v>
      </c>
      <c r="DP26">
        <v>0</v>
      </c>
      <c r="DQ26">
        <v>3560</v>
      </c>
      <c r="DR26">
        <v>-0.53748101808259263</v>
      </c>
      <c r="DS26">
        <v>7.1971788812542261</v>
      </c>
      <c r="DT26" s="11">
        <v>-5.6666666666666719E-2</v>
      </c>
      <c r="DU26">
        <v>3.3333333333333291E-2</v>
      </c>
      <c r="DV26">
        <v>-2.3333333333333428E-2</v>
      </c>
      <c r="DW26">
        <v>8.6414686825053995</v>
      </c>
      <c r="DX26">
        <v>0.36461538461538395</v>
      </c>
      <c r="DY26">
        <v>8.1184249875394592</v>
      </c>
      <c r="DZ26">
        <v>1841</v>
      </c>
      <c r="EA26">
        <v>8.0757595468231891</v>
      </c>
      <c r="EB26">
        <v>8</v>
      </c>
      <c r="EC26">
        <v>3.5699069476293276E-2</v>
      </c>
      <c r="ED26">
        <v>0.19336995966325524</v>
      </c>
      <c r="EE26" s="12">
        <v>1.3509999999999999E-2</v>
      </c>
      <c r="EF26">
        <v>7.6099999999999996E-3</v>
      </c>
      <c r="EG26">
        <v>18.184615384615384</v>
      </c>
      <c r="EH26">
        <v>-1</v>
      </c>
      <c r="EI26">
        <v>0</v>
      </c>
      <c r="EJ26">
        <v>0</v>
      </c>
      <c r="EK26" s="8">
        <v>45470</v>
      </c>
      <c r="EL26" s="13">
        <v>-0.04</v>
      </c>
      <c r="EM26" s="13">
        <v>1.98</v>
      </c>
      <c r="EN26" s="13">
        <v>-0.83</v>
      </c>
      <c r="EO26" s="13">
        <v>0</v>
      </c>
      <c r="EP26" s="13">
        <v>0.59</v>
      </c>
    </row>
    <row r="27" spans="1:146" ht="108" x14ac:dyDescent="0.25">
      <c r="A27" s="6"/>
      <c r="B27" s="6"/>
      <c r="C27" s="6" t="str">
        <f>""&amp;CHAR(10)&amp;Basic_Fundamental_Information_Constructure(F27)&amp;CHAR(10)&amp;Basic_Fundamental_Information_Concatenate("")</f>
        <v xml:space="preserve">
市值161.71222亿, 利润24.62亿; PE27.03; 平均PE13.01; 平均PEG3.72, PB1.3; ROIC0%; ROE8.5967%; 股利率.7291%; 毛利0%; 净利2.8133%; 上一年度营收增-79.28%, 利润增266.37%; 当季营收增140.33%, 利润增-88.15%; 过往5年营收增3.49%, 利润增52.22%
Income profile:
</v>
      </c>
      <c r="D27" t="s">
        <v>295</v>
      </c>
      <c r="E27" t="s">
        <v>296</v>
      </c>
      <c r="F27">
        <v>11.11</v>
      </c>
      <c r="G27">
        <v>0.91</v>
      </c>
      <c r="H27" t="s">
        <v>1157</v>
      </c>
      <c r="I27">
        <v>16171222000</v>
      </c>
      <c r="J27">
        <v>27.03</v>
      </c>
      <c r="K27">
        <v>1.3</v>
      </c>
      <c r="L27" t="s">
        <v>356</v>
      </c>
      <c r="M27" t="s">
        <v>1158</v>
      </c>
      <c r="N27" t="s">
        <v>1159</v>
      </c>
      <c r="O27" t="s">
        <v>1160</v>
      </c>
      <c r="P27">
        <v>-19.12</v>
      </c>
      <c r="Q27" t="s">
        <v>1161</v>
      </c>
      <c r="R27">
        <v>77963440</v>
      </c>
      <c r="S27" s="5">
        <v>-0.62580000000000002</v>
      </c>
      <c r="T27" t="s">
        <v>1162</v>
      </c>
      <c r="U27">
        <v>527518000</v>
      </c>
      <c r="V27">
        <v>1455555600</v>
      </c>
      <c r="W27">
        <v>4.5999999999999996</v>
      </c>
      <c r="X27">
        <v>7.0000000000000007E-2</v>
      </c>
      <c r="Y27">
        <v>1.8</v>
      </c>
      <c r="Z27" t="s">
        <v>45</v>
      </c>
      <c r="AA27" t="s">
        <v>45</v>
      </c>
      <c r="AB27" t="s">
        <v>45</v>
      </c>
      <c r="AC27" t="s">
        <v>45</v>
      </c>
      <c r="AD27" t="s">
        <v>45</v>
      </c>
      <c r="AE27">
        <v>0</v>
      </c>
      <c r="AF27" t="s">
        <v>1163</v>
      </c>
      <c r="AG27">
        <v>0.37</v>
      </c>
      <c r="AH27" t="s">
        <v>1164</v>
      </c>
      <c r="AI27" t="s">
        <v>1165</v>
      </c>
      <c r="AJ27" t="s">
        <v>64</v>
      </c>
      <c r="AK27" t="s">
        <v>45</v>
      </c>
      <c r="AL27" t="s">
        <v>64</v>
      </c>
      <c r="AM27" t="s">
        <v>1166</v>
      </c>
      <c r="AN27" t="s">
        <v>45</v>
      </c>
      <c r="AO27" t="s">
        <v>1167</v>
      </c>
      <c r="AP27" t="s">
        <v>45</v>
      </c>
      <c r="AQ27" t="s">
        <v>45</v>
      </c>
      <c r="AR27" t="s">
        <v>45</v>
      </c>
      <c r="AS27" t="s">
        <v>45</v>
      </c>
      <c r="AT27" t="s">
        <v>45</v>
      </c>
      <c r="AU27" t="s">
        <v>1168</v>
      </c>
      <c r="AV27" t="s">
        <v>1169</v>
      </c>
      <c r="AW27" t="s">
        <v>1170</v>
      </c>
      <c r="AX27" t="s">
        <v>531</v>
      </c>
      <c r="AY27" t="s">
        <v>297</v>
      </c>
      <c r="AZ27" t="s">
        <v>299</v>
      </c>
      <c r="BA27" t="s">
        <v>300</v>
      </c>
      <c r="BB27" t="s">
        <v>301</v>
      </c>
      <c r="BC27" t="s">
        <v>532</v>
      </c>
      <c r="BD27" t="s">
        <v>298</v>
      </c>
      <c r="BE27" t="s">
        <v>303</v>
      </c>
      <c r="BF27" t="s">
        <v>304</v>
      </c>
      <c r="BG27" t="s">
        <v>305</v>
      </c>
      <c r="BH27" t="s">
        <v>1171</v>
      </c>
      <c r="BI27" t="s">
        <v>1172</v>
      </c>
      <c r="BJ27" t="s">
        <v>531</v>
      </c>
      <c r="BK27" t="s">
        <v>1173</v>
      </c>
      <c r="BL27" t="s">
        <v>1174</v>
      </c>
      <c r="BM27" t="s">
        <v>532</v>
      </c>
      <c r="BN27" t="s">
        <v>45</v>
      </c>
      <c r="BO27" t="s">
        <v>45</v>
      </c>
      <c r="BP27" t="s">
        <v>45</v>
      </c>
      <c r="BQ27">
        <v>4.5999999999999996</v>
      </c>
      <c r="BR27">
        <v>5.71</v>
      </c>
      <c r="BS27">
        <v>15.48</v>
      </c>
      <c r="BT27" t="s">
        <v>1175</v>
      </c>
      <c r="BU27" t="s">
        <v>356</v>
      </c>
      <c r="BV27" t="s">
        <v>45</v>
      </c>
      <c r="BW27" t="s">
        <v>45</v>
      </c>
      <c r="BX27" t="s">
        <v>45</v>
      </c>
      <c r="BY27">
        <v>3.06</v>
      </c>
      <c r="BZ27">
        <v>1.93</v>
      </c>
      <c r="CA27">
        <v>3.45</v>
      </c>
      <c r="CB27">
        <v>-0.36</v>
      </c>
      <c r="CC27">
        <v>-10.4</v>
      </c>
      <c r="CD27" t="s">
        <v>1176</v>
      </c>
      <c r="CE27" t="s">
        <v>1177</v>
      </c>
      <c r="CF27" s="9">
        <v>1.4033240997229917</v>
      </c>
      <c r="CG27" s="10">
        <v>-0.88151452887537995</v>
      </c>
      <c r="CH27" s="9">
        <v>-0.79281091690063477</v>
      </c>
      <c r="CI27" s="9">
        <v>-8.1047587096691132E-2</v>
      </c>
      <c r="CJ27" s="9">
        <v>0.48580637574195862</v>
      </c>
      <c r="CK27" s="9">
        <v>0.11912290006875992</v>
      </c>
      <c r="CL27" s="9">
        <v>0.44366917014122009</v>
      </c>
      <c r="CM27" s="10">
        <v>2.6636905670166016</v>
      </c>
      <c r="CN27" s="10">
        <v>-0.48584547638893127</v>
      </c>
      <c r="CO27" s="10">
        <v>0.14048871397972107</v>
      </c>
      <c r="CP27" s="10">
        <v>0.14485514163970947</v>
      </c>
      <c r="CQ27" s="10">
        <v>0.14793577790260315</v>
      </c>
      <c r="CR27">
        <v>13.006344772117963</v>
      </c>
      <c r="CS27">
        <v>3.7216290181372087</v>
      </c>
      <c r="CT27">
        <v>0.72907290729072916</v>
      </c>
      <c r="CU27" s="9">
        <v>3.4947988390922544E-2</v>
      </c>
      <c r="CV27" s="10">
        <v>0.52222494482994075</v>
      </c>
      <c r="CW27">
        <v>0.06</v>
      </c>
      <c r="CX27">
        <v>25.676380793606963</v>
      </c>
      <c r="CY27">
        <v>2403813157.9419351</v>
      </c>
      <c r="CZ27">
        <v>3.4947988390922544E-2</v>
      </c>
      <c r="DA27">
        <v>8.7937219426730806</v>
      </c>
      <c r="DB27">
        <v>7018782536.2645283</v>
      </c>
      <c r="DC27">
        <v>3.3200588971376413E-2</v>
      </c>
      <c r="DD27">
        <v>4.6028535588390662</v>
      </c>
      <c r="DE27">
        <v>13409338622.445192</v>
      </c>
      <c r="DF27">
        <v>3.0754229784011839E-2</v>
      </c>
      <c r="DG27">
        <v>2.9564927205877241</v>
      </c>
      <c r="DH27">
        <v>20876500581.313923</v>
      </c>
      <c r="DI27">
        <v>2.7958390712738035E-2</v>
      </c>
      <c r="DJ27">
        <v>1.7589413167328278</v>
      </c>
      <c r="DK27">
        <v>35089983624.152405</v>
      </c>
      <c r="DL27">
        <v>2.4463591873645781E-2</v>
      </c>
      <c r="DM27">
        <v>2462000000</v>
      </c>
      <c r="DN27">
        <v>3.4947988390922544E-2</v>
      </c>
      <c r="DO27">
        <v>61721222000</v>
      </c>
      <c r="DP27">
        <v>0</v>
      </c>
      <c r="DQ27">
        <v>3572</v>
      </c>
      <c r="DR27">
        <v>1.3683761113320692</v>
      </c>
      <c r="DS27">
        <v>-1.4037394737053206</v>
      </c>
      <c r="DT27" s="11">
        <v>-0.54</v>
      </c>
      <c r="DU27">
        <v>-0.29000000000000004</v>
      </c>
      <c r="DV27">
        <v>-0.83000000000000007</v>
      </c>
      <c r="DW27">
        <v>-2.1040000000000001</v>
      </c>
      <c r="DX27">
        <v>0.29426553125680999</v>
      </c>
      <c r="DY27">
        <v>-2.0150036152507083</v>
      </c>
      <c r="DZ27">
        <v>479</v>
      </c>
      <c r="EA27">
        <v>-2.0135972098289687</v>
      </c>
      <c r="EB27">
        <v>2</v>
      </c>
      <c r="EC27">
        <v>8.0557554792135729E-3</v>
      </c>
      <c r="ED27">
        <v>5.5839776920922839E-2</v>
      </c>
      <c r="EE27" s="12">
        <v>8.6209999999999995E-2</v>
      </c>
      <c r="EF27">
        <v>7.1309999999999998E-2</v>
      </c>
      <c r="EG27">
        <v>15.14426553125681</v>
      </c>
      <c r="EH27">
        <v>-1</v>
      </c>
      <c r="EI27">
        <v>0</v>
      </c>
      <c r="EJ27">
        <v>1</v>
      </c>
      <c r="EK27" s="8">
        <v>45470</v>
      </c>
      <c r="EL27" s="13">
        <v>-0.15</v>
      </c>
      <c r="EM27" s="13">
        <v>-1.55</v>
      </c>
      <c r="EN27" s="13">
        <v>0.87</v>
      </c>
      <c r="EO27" s="13">
        <v>-0.39</v>
      </c>
      <c r="EP27" s="13">
        <v>1.49</v>
      </c>
    </row>
    <row r="28" spans="1:146" ht="108" x14ac:dyDescent="0.25">
      <c r="C28" s="6" t="str">
        <f>""&amp;CHAR(10)&amp;Basic_Fundamental_Information_Constructure(F28)&amp;CHAR(10)&amp;Basic_Fundamental_Information_Concatenate("")</f>
        <v xml:space="preserve">
市值53.136739亿, 利润4843.55万; PE12.5; 平均PE38.13; 平均PEG28.18, PB1.4; ROIC0%; ROE8.3%; 股利率.7577%; 毛利0%; 净利4.12%; 上一年度营收增-89.59%, 利润增-80.31%; 当季营收增381.55%, 利润增228.19%; 过往5年营收增-1.35%, 利润增12.44%
Income profile:
</v>
      </c>
      <c r="D28" t="s">
        <v>426</v>
      </c>
      <c r="E28" t="s">
        <v>427</v>
      </c>
      <c r="F28">
        <v>8.7100000000000009</v>
      </c>
      <c r="G28">
        <v>2.23</v>
      </c>
      <c r="H28" t="s">
        <v>1178</v>
      </c>
      <c r="I28">
        <v>5313673900</v>
      </c>
      <c r="J28">
        <v>12.5</v>
      </c>
      <c r="K28">
        <v>1.4</v>
      </c>
      <c r="L28" t="s">
        <v>356</v>
      </c>
      <c r="M28" t="s">
        <v>1179</v>
      </c>
      <c r="N28" t="s">
        <v>1180</v>
      </c>
      <c r="O28" t="s">
        <v>72</v>
      </c>
      <c r="P28" s="5">
        <v>-28.3</v>
      </c>
      <c r="Q28" t="s">
        <v>513</v>
      </c>
      <c r="R28">
        <v>85623760</v>
      </c>
      <c r="S28">
        <v>0.37380000000000002</v>
      </c>
      <c r="T28" t="s">
        <v>1181</v>
      </c>
      <c r="U28">
        <v>610065890</v>
      </c>
      <c r="V28">
        <v>610065890</v>
      </c>
      <c r="W28">
        <v>9.5</v>
      </c>
      <c r="X28">
        <v>0.03</v>
      </c>
      <c r="Y28">
        <v>8.61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>
        <v>0</v>
      </c>
      <c r="AF28" t="s">
        <v>1182</v>
      </c>
      <c r="AG28" t="s">
        <v>1183</v>
      </c>
      <c r="AH28" t="s">
        <v>1184</v>
      </c>
      <c r="AI28" t="s">
        <v>1185</v>
      </c>
      <c r="AJ28" t="s">
        <v>64</v>
      </c>
      <c r="AK28" t="s">
        <v>45</v>
      </c>
      <c r="AL28" t="s">
        <v>64</v>
      </c>
      <c r="AM28" t="s">
        <v>243</v>
      </c>
      <c r="AN28" t="s">
        <v>45</v>
      </c>
      <c r="AO28" t="s">
        <v>962</v>
      </c>
      <c r="AP28" t="s">
        <v>45</v>
      </c>
      <c r="AQ28" t="s">
        <v>45</v>
      </c>
      <c r="AR28" t="s">
        <v>45</v>
      </c>
      <c r="AS28" t="s">
        <v>45</v>
      </c>
      <c r="AT28" t="s">
        <v>45</v>
      </c>
      <c r="AU28" t="s">
        <v>1186</v>
      </c>
      <c r="AV28" t="s">
        <v>1187</v>
      </c>
      <c r="AW28" t="s">
        <v>1188</v>
      </c>
      <c r="AX28" t="s">
        <v>534</v>
      </c>
      <c r="AY28" t="s">
        <v>428</v>
      </c>
      <c r="AZ28" t="s">
        <v>430</v>
      </c>
      <c r="BA28" t="s">
        <v>431</v>
      </c>
      <c r="BB28" t="s">
        <v>432</v>
      </c>
      <c r="BC28" t="s">
        <v>535</v>
      </c>
      <c r="BD28" t="s">
        <v>429</v>
      </c>
      <c r="BE28" t="s">
        <v>433</v>
      </c>
      <c r="BF28" t="s">
        <v>434</v>
      </c>
      <c r="BG28" t="s">
        <v>156</v>
      </c>
      <c r="BH28" t="s">
        <v>1189</v>
      </c>
      <c r="BI28" t="s">
        <v>244</v>
      </c>
      <c r="BJ28" t="s">
        <v>534</v>
      </c>
      <c r="BK28" t="s">
        <v>1190</v>
      </c>
      <c r="BL28" t="s">
        <v>1191</v>
      </c>
      <c r="BM28" t="s">
        <v>535</v>
      </c>
      <c r="BN28" t="s">
        <v>45</v>
      </c>
      <c r="BO28" t="s">
        <v>45</v>
      </c>
      <c r="BP28" t="s">
        <v>45</v>
      </c>
      <c r="BQ28">
        <v>8.56</v>
      </c>
      <c r="BR28">
        <v>7.75</v>
      </c>
      <c r="BS28">
        <v>8.59</v>
      </c>
      <c r="BT28" t="s">
        <v>1192</v>
      </c>
      <c r="BU28" t="s">
        <v>356</v>
      </c>
      <c r="BV28" t="s">
        <v>45</v>
      </c>
      <c r="BW28" t="s">
        <v>45</v>
      </c>
      <c r="BX28" t="s">
        <v>45</v>
      </c>
      <c r="BY28">
        <v>6.45</v>
      </c>
      <c r="BZ28">
        <v>3.6</v>
      </c>
      <c r="CA28">
        <v>2.31</v>
      </c>
      <c r="CB28">
        <v>0.57999999999999996</v>
      </c>
      <c r="CC28" s="1">
        <v>-15.88</v>
      </c>
      <c r="CD28" s="1" t="s">
        <v>1193</v>
      </c>
      <c r="CE28" s="1" t="s">
        <v>1194</v>
      </c>
      <c r="CF28" s="9">
        <v>3.8155339805825244</v>
      </c>
      <c r="CG28" s="10">
        <v>2.2819493048874442</v>
      </c>
      <c r="CH28" s="9">
        <v>-0.89594018459320068</v>
      </c>
      <c r="CI28" s="9">
        <v>-0.35111746191978455</v>
      </c>
      <c r="CJ28" s="9">
        <v>6.0514423996210098E-2</v>
      </c>
      <c r="CK28" s="9">
        <v>3.952610120177269E-2</v>
      </c>
      <c r="CL28" s="9">
        <v>1.0793547630310059</v>
      </c>
      <c r="CM28" s="10">
        <v>-0.80310767889022827</v>
      </c>
      <c r="CN28" s="10">
        <v>8.1967208534479141E-3</v>
      </c>
      <c r="CO28" s="10">
        <v>1.5909650325775146</v>
      </c>
      <c r="CP28" s="10">
        <v>0.18467240035533905</v>
      </c>
      <c r="CQ28" s="10">
        <v>-0.35892581939697266</v>
      </c>
      <c r="CR28" s="1">
        <v>38.131758549583836</v>
      </c>
      <c r="CS28" s="1">
        <v>28.177970378696298</v>
      </c>
      <c r="CT28" s="1">
        <v>0.7577497129735935</v>
      </c>
      <c r="CU28" s="9">
        <v>-1.3532471656799317E-2</v>
      </c>
      <c r="CV28" s="10">
        <v>0.12436013109982014</v>
      </c>
      <c r="CW28">
        <v>0.06</v>
      </c>
      <c r="CX28">
        <v>704.31138111509119</v>
      </c>
      <c r="CY28" t="s">
        <v>1195</v>
      </c>
      <c r="CZ28">
        <v>-1.3532471656799317E-2</v>
      </c>
      <c r="DA28">
        <v>234.77046037169706</v>
      </c>
      <c r="DB28" t="s">
        <v>1196</v>
      </c>
      <c r="DC28">
        <v>-1.285584807395935E-2</v>
      </c>
      <c r="DD28">
        <v>117.38523018584853</v>
      </c>
      <c r="DE28" t="s">
        <v>1197</v>
      </c>
      <c r="DF28">
        <v>-1.1908575057983399E-2</v>
      </c>
      <c r="DG28">
        <v>70.431138111509114</v>
      </c>
      <c r="DH28" t="s">
        <v>1198</v>
      </c>
      <c r="DI28">
        <v>-1.0825977325439454E-2</v>
      </c>
      <c r="DJ28">
        <v>35.215569055754557</v>
      </c>
      <c r="DK28" t="s">
        <v>1199</v>
      </c>
      <c r="DL28">
        <v>-9.472730159759522E-3</v>
      </c>
      <c r="DM28">
        <v>48435500</v>
      </c>
      <c r="DN28">
        <v>-1.3532471656799317E-2</v>
      </c>
      <c r="DO28">
        <v>34113673900</v>
      </c>
      <c r="DP28">
        <v>0</v>
      </c>
      <c r="DQ28" s="11">
        <v>3923</v>
      </c>
      <c r="DR28">
        <v>3.8290664522393238</v>
      </c>
      <c r="DS28">
        <v>2.157589173787624</v>
      </c>
      <c r="DT28">
        <v>-0.72333333333333327</v>
      </c>
      <c r="DU28">
        <v>-4.9999999999999968E-2</v>
      </c>
      <c r="DV28">
        <v>-0.77333333333333321</v>
      </c>
      <c r="DW28">
        <v>-2.1587999999999998</v>
      </c>
      <c r="DX28">
        <v>0.38600896149889463</v>
      </c>
      <c r="DY28">
        <v>-2.0247742230860246</v>
      </c>
      <c r="DZ28">
        <v>971</v>
      </c>
      <c r="EA28">
        <v>-2.020066635881224</v>
      </c>
      <c r="EB28" s="12">
        <v>2</v>
      </c>
      <c r="EC28" s="12">
        <v>2.5157282601064618E-2</v>
      </c>
      <c r="ED28">
        <v>0.1612553686618998</v>
      </c>
      <c r="EE28">
        <v>-6.0125099999999998</v>
      </c>
      <c r="EF28">
        <v>-6.0214100000000004</v>
      </c>
      <c r="EG28">
        <v>23.156008961498895</v>
      </c>
      <c r="EH28" s="8" t="s">
        <v>442</v>
      </c>
      <c r="EI28" s="13">
        <v>0</v>
      </c>
      <c r="EJ28" s="13">
        <v>1</v>
      </c>
      <c r="EK28" s="13">
        <v>45470</v>
      </c>
      <c r="EL28" s="13">
        <v>-1.73</v>
      </c>
      <c r="EM28" s="13">
        <v>-1.4</v>
      </c>
      <c r="EN28">
        <v>0.84</v>
      </c>
      <c r="EO28">
        <v>-6</v>
      </c>
      <c r="EP28">
        <v>-0.89</v>
      </c>
    </row>
    <row r="29" spans="1:146" ht="108" x14ac:dyDescent="0.25">
      <c r="C29" s="6" t="str">
        <f>""&amp;CHAR(10)&amp;Basic_Fundamental_Information_Constructure(F29)&amp;CHAR(10)&amp;Basic_Fundamental_Information_Concatenate("")</f>
        <v xml:space="preserve">
市值47.444958亿, 利润2.13亿; PE; 平均PE65.24; 平均PEG4.99, PB1.75; ROIC4.37%; ROE-6.0767%; 股利率0%; 毛利28.05%; 净利-7.4933%; 上一年度营收增-74.31%, 利润增148.52%; 当季营收增164.56%, 利润增-337.6%; 过往5年营收增-13.07%, 利润增-28.64%
Income profile:
</v>
      </c>
      <c r="D29" t="s">
        <v>382</v>
      </c>
      <c r="E29" t="s">
        <v>383</v>
      </c>
      <c r="F29">
        <v>5.94</v>
      </c>
      <c r="G29">
        <v>1.37</v>
      </c>
      <c r="H29" t="s">
        <v>1200</v>
      </c>
      <c r="I29">
        <v>4744495800</v>
      </c>
      <c r="K29">
        <v>1.75</v>
      </c>
      <c r="L29" t="s">
        <v>356</v>
      </c>
      <c r="M29" t="s">
        <v>1201</v>
      </c>
      <c r="N29" t="s">
        <v>84</v>
      </c>
      <c r="O29" t="s">
        <v>70</v>
      </c>
      <c r="P29">
        <v>-37.26</v>
      </c>
      <c r="Q29" t="s">
        <v>1202</v>
      </c>
      <c r="R29">
        <v>-109955497</v>
      </c>
      <c r="S29" s="5">
        <v>-6.73</v>
      </c>
      <c r="T29" t="s">
        <v>1203</v>
      </c>
      <c r="U29">
        <v>652275950</v>
      </c>
      <c r="V29">
        <v>798736670</v>
      </c>
      <c r="W29">
        <v>2.44</v>
      </c>
      <c r="X29">
        <v>0.09</v>
      </c>
      <c r="Y29">
        <v>-17.829999999999998</v>
      </c>
      <c r="Z29" t="s">
        <v>963</v>
      </c>
      <c r="AA29" t="s">
        <v>1204</v>
      </c>
      <c r="AB29" t="s">
        <v>514</v>
      </c>
      <c r="AC29" t="s">
        <v>1205</v>
      </c>
      <c r="AD29" t="s">
        <v>45</v>
      </c>
      <c r="AE29">
        <v>19922914</v>
      </c>
      <c r="AF29" t="s">
        <v>1206</v>
      </c>
      <c r="AG29" t="s">
        <v>1207</v>
      </c>
      <c r="AH29" t="s">
        <v>1208</v>
      </c>
      <c r="AI29" t="s">
        <v>1209</v>
      </c>
      <c r="AJ29" t="s">
        <v>1210</v>
      </c>
      <c r="AK29" t="s">
        <v>45</v>
      </c>
      <c r="AL29" t="s">
        <v>1211</v>
      </c>
      <c r="AM29" t="s">
        <v>45</v>
      </c>
      <c r="AN29" t="s">
        <v>1212</v>
      </c>
      <c r="AO29" t="s">
        <v>1213</v>
      </c>
      <c r="AP29" t="s">
        <v>45</v>
      </c>
      <c r="AQ29" t="s">
        <v>1214</v>
      </c>
      <c r="AR29" t="s">
        <v>1215</v>
      </c>
      <c r="AS29" t="s">
        <v>1216</v>
      </c>
      <c r="AT29" t="s">
        <v>45</v>
      </c>
      <c r="AU29" t="s">
        <v>1217</v>
      </c>
      <c r="AV29" t="s">
        <v>1218</v>
      </c>
      <c r="AW29" t="s">
        <v>1219</v>
      </c>
      <c r="AX29" t="s">
        <v>536</v>
      </c>
      <c r="AY29" t="s">
        <v>384</v>
      </c>
      <c r="AZ29" t="s">
        <v>386</v>
      </c>
      <c r="BA29" t="s">
        <v>387</v>
      </c>
      <c r="BB29" t="s">
        <v>111</v>
      </c>
      <c r="BC29" t="s">
        <v>152</v>
      </c>
      <c r="BD29" t="s">
        <v>385</v>
      </c>
      <c r="BE29" t="s">
        <v>388</v>
      </c>
      <c r="BF29" t="s">
        <v>389</v>
      </c>
      <c r="BG29" t="s">
        <v>380</v>
      </c>
      <c r="BH29" t="s">
        <v>1220</v>
      </c>
      <c r="BI29" t="s">
        <v>493</v>
      </c>
      <c r="BJ29" t="s">
        <v>536</v>
      </c>
      <c r="BK29" t="s">
        <v>1221</v>
      </c>
      <c r="BL29" t="s">
        <v>1222</v>
      </c>
      <c r="BM29" t="s">
        <v>152</v>
      </c>
      <c r="BN29" t="s">
        <v>45</v>
      </c>
      <c r="BO29" t="s">
        <v>45</v>
      </c>
      <c r="BP29">
        <v>4.37</v>
      </c>
      <c r="BQ29">
        <v>-10.56</v>
      </c>
      <c r="BR29">
        <v>-12.04</v>
      </c>
      <c r="BS29">
        <v>4.37</v>
      </c>
      <c r="BT29" t="s">
        <v>409</v>
      </c>
      <c r="BU29" t="s">
        <v>356</v>
      </c>
      <c r="BV29">
        <v>24.34</v>
      </c>
      <c r="BW29">
        <v>26.81</v>
      </c>
      <c r="BX29">
        <v>33</v>
      </c>
      <c r="BY29">
        <v>-16.11</v>
      </c>
      <c r="BZ29">
        <v>-11.17</v>
      </c>
      <c r="CA29">
        <v>4.8</v>
      </c>
      <c r="CB29">
        <v>0</v>
      </c>
      <c r="CC29">
        <v>-14.41</v>
      </c>
      <c r="CD29" t="s">
        <v>1223</v>
      </c>
      <c r="CE29" t="s">
        <v>1224</v>
      </c>
      <c r="CF29" s="9">
        <v>1.6455696202531647</v>
      </c>
      <c r="CG29" s="10">
        <v>-3.3759674533581685</v>
      </c>
      <c r="CH29" s="9">
        <v>-0.74306601285934448</v>
      </c>
      <c r="CI29" s="9">
        <v>0.13411493599414825</v>
      </c>
      <c r="CJ29" s="9">
        <v>-0.14561446011066437</v>
      </c>
      <c r="CK29" s="9">
        <v>-0.48431396484375</v>
      </c>
      <c r="CL29" s="9">
        <v>0.58518069982528687</v>
      </c>
      <c r="CM29" s="10">
        <v>1.4851936101913452</v>
      </c>
      <c r="CN29" s="10">
        <v>-3.6606061458587646</v>
      </c>
      <c r="CO29" s="10">
        <v>1.0290660858154297</v>
      </c>
      <c r="CP29" s="10">
        <v>-0.66258007287979126</v>
      </c>
      <c r="CQ29" s="10">
        <v>0.37714284658432007</v>
      </c>
      <c r="CR29">
        <v>65.243610740968393</v>
      </c>
      <c r="CS29">
        <v>4.990341923675035</v>
      </c>
      <c r="CT29">
        <v>0</v>
      </c>
      <c r="CU29" s="9">
        <v>-0.13073976039886476</v>
      </c>
      <c r="CV29" s="10">
        <v>-0.28635673522949218</v>
      </c>
      <c r="CW29">
        <v>0.06</v>
      </c>
      <c r="CX29" t="e">
        <v>#VALUE!</v>
      </c>
      <c r="CY29" t="s">
        <v>1225</v>
      </c>
      <c r="CZ29">
        <v>-0.13073976039886476</v>
      </c>
      <c r="DA29">
        <v>9.4608697965571213</v>
      </c>
      <c r="DB29" t="s">
        <v>1226</v>
      </c>
      <c r="DC29">
        <v>-0.12420277237892151</v>
      </c>
      <c r="DD29">
        <v>4.7304348982785607</v>
      </c>
      <c r="DE29" t="s">
        <v>1227</v>
      </c>
      <c r="DF29">
        <v>-0.11505098915100098</v>
      </c>
      <c r="DG29">
        <v>2.838260938967136</v>
      </c>
      <c r="DH29" t="s">
        <v>1228</v>
      </c>
      <c r="DI29">
        <v>-0.10459180831909182</v>
      </c>
      <c r="DJ29">
        <v>1.419130469483568</v>
      </c>
      <c r="DK29" t="s">
        <v>1229</v>
      </c>
      <c r="DL29">
        <v>-9.1517832279205319E-2</v>
      </c>
      <c r="DM29">
        <v>213000000</v>
      </c>
      <c r="DN29">
        <v>-0.13073976039886476</v>
      </c>
      <c r="DO29">
        <v>6045495800</v>
      </c>
      <c r="DP29">
        <v>35766600</v>
      </c>
      <c r="DQ29">
        <v>3949</v>
      </c>
      <c r="DR29">
        <v>1.7763093806520294</v>
      </c>
      <c r="DS29">
        <v>-3.0896107181286765</v>
      </c>
      <c r="DT29" s="11">
        <v>-0.79</v>
      </c>
      <c r="DU29">
        <v>-1.1483333333333332</v>
      </c>
      <c r="DV29">
        <v>-1.9383333333333332</v>
      </c>
      <c r="DW29">
        <v>-2.1440999999999999</v>
      </c>
      <c r="DX29">
        <v>0.36691499999999905</v>
      </c>
      <c r="DY29">
        <v>-2.0269344514999998</v>
      </c>
      <c r="DZ29">
        <v>3242</v>
      </c>
      <c r="EA29">
        <v>-2.0098460969475536</v>
      </c>
      <c r="EB29">
        <v>2</v>
      </c>
      <c r="EC29">
        <v>8.4244786207198927E-2</v>
      </c>
      <c r="ED29">
        <v>0.45071174708931294</v>
      </c>
      <c r="EE29" s="12">
        <v>-5.0106000000000002</v>
      </c>
      <c r="EF29">
        <v>-5.00481</v>
      </c>
      <c r="EG29">
        <v>18.186914999999999</v>
      </c>
      <c r="EH29" t="s">
        <v>1230</v>
      </c>
      <c r="EI29">
        <v>0</v>
      </c>
      <c r="EJ29">
        <v>0</v>
      </c>
      <c r="EK29" s="8">
        <v>45470</v>
      </c>
      <c r="EL29" s="13">
        <v>0.19</v>
      </c>
      <c r="EM29" s="13">
        <v>-4.4000000000000004</v>
      </c>
      <c r="EN29">
        <v>0.6</v>
      </c>
      <c r="EO29">
        <v>3.58</v>
      </c>
      <c r="EP29">
        <v>-1.54</v>
      </c>
    </row>
    <row r="30" spans="1:146" ht="108" x14ac:dyDescent="0.25">
      <c r="C30" s="6" t="str">
        <f>""&amp;CHAR(10)&amp;Basic_Fundamental_Information_Constructure(F30)&amp;CHAR(10)&amp;Basic_Fundamental_Information_Concatenate("")</f>
        <v xml:space="preserve">
市值102.668601亿, 利润1.98亿; PE12.57; 平均PE32.32; 平均PEG.87, PB1.79; ROIC11.8167%; ROE14.0133%; 股利率.4202%; 毛利49.4633%; 净利20.9167%; 上一年度营收增25.9%, 利润增-69.06%; 当季营收增-15%, 利润增7.24%; 过往5年营收增36.94%, 利润增217.88%
Income profile:
</v>
      </c>
      <c r="D30" t="s">
        <v>258</v>
      </c>
      <c r="E30" t="s">
        <v>1231</v>
      </c>
      <c r="F30">
        <v>5.21</v>
      </c>
      <c r="G30">
        <v>-0.38</v>
      </c>
      <c r="H30" t="s">
        <v>1232</v>
      </c>
      <c r="I30">
        <v>10266860100</v>
      </c>
      <c r="J30">
        <v>12.57</v>
      </c>
      <c r="K30">
        <v>1.79</v>
      </c>
      <c r="L30" t="s">
        <v>356</v>
      </c>
      <c r="M30" t="s">
        <v>1233</v>
      </c>
      <c r="N30" t="s">
        <v>1234</v>
      </c>
      <c r="O30" t="s">
        <v>1235</v>
      </c>
      <c r="P30">
        <v>31</v>
      </c>
      <c r="Q30" t="s">
        <v>1236</v>
      </c>
      <c r="R30">
        <v>156571460</v>
      </c>
      <c r="S30" s="5">
        <v>0.1157</v>
      </c>
      <c r="T30" t="s">
        <v>1237</v>
      </c>
      <c r="U30">
        <v>1970606600</v>
      </c>
      <c r="V30">
        <v>1970606600</v>
      </c>
      <c r="W30">
        <v>3.36</v>
      </c>
      <c r="X30">
        <v>0.06</v>
      </c>
      <c r="Y30">
        <v>14.52</v>
      </c>
      <c r="Z30" t="s">
        <v>471</v>
      </c>
      <c r="AA30" t="s">
        <v>1238</v>
      </c>
      <c r="AB30" t="s">
        <v>488</v>
      </c>
      <c r="AC30" t="s">
        <v>1239</v>
      </c>
      <c r="AD30" t="s">
        <v>45</v>
      </c>
      <c r="AE30">
        <v>128990165</v>
      </c>
      <c r="AF30" t="s">
        <v>1240</v>
      </c>
      <c r="AG30" t="s">
        <v>1241</v>
      </c>
      <c r="AH30" t="s">
        <v>1242</v>
      </c>
      <c r="AI30" t="s">
        <v>1243</v>
      </c>
      <c r="AJ30" t="s">
        <v>1244</v>
      </c>
      <c r="AK30" t="s">
        <v>975</v>
      </c>
      <c r="AL30" t="s">
        <v>1245</v>
      </c>
      <c r="AM30" t="s">
        <v>45</v>
      </c>
      <c r="AN30" t="s">
        <v>1246</v>
      </c>
      <c r="AO30" t="s">
        <v>1247</v>
      </c>
      <c r="AP30" t="s">
        <v>45</v>
      </c>
      <c r="AQ30" t="s">
        <v>1248</v>
      </c>
      <c r="AR30" t="s">
        <v>45</v>
      </c>
      <c r="AS30" t="s">
        <v>1249</v>
      </c>
      <c r="AT30" t="s">
        <v>128</v>
      </c>
      <c r="AU30" t="s">
        <v>512</v>
      </c>
      <c r="AV30" t="s">
        <v>1250</v>
      </c>
      <c r="AW30" t="s">
        <v>1251</v>
      </c>
      <c r="AX30" t="s">
        <v>538</v>
      </c>
      <c r="AY30" t="s">
        <v>306</v>
      </c>
      <c r="AZ30" t="s">
        <v>259</v>
      </c>
      <c r="BA30" t="s">
        <v>261</v>
      </c>
      <c r="BB30" t="s">
        <v>262</v>
      </c>
      <c r="BC30" t="s">
        <v>1252</v>
      </c>
      <c r="BD30" t="s">
        <v>307</v>
      </c>
      <c r="BE30" t="s">
        <v>260</v>
      </c>
      <c r="BF30" t="s">
        <v>263</v>
      </c>
      <c r="BG30" t="s">
        <v>264</v>
      </c>
      <c r="BH30" t="s">
        <v>1253</v>
      </c>
      <c r="BI30" t="s">
        <v>1254</v>
      </c>
      <c r="BJ30" t="s">
        <v>538</v>
      </c>
      <c r="BK30" t="s">
        <v>1255</v>
      </c>
      <c r="BL30" t="s">
        <v>1256</v>
      </c>
      <c r="BM30" t="s">
        <v>1252</v>
      </c>
      <c r="BN30">
        <v>9.5</v>
      </c>
      <c r="BO30">
        <v>13.77</v>
      </c>
      <c r="BP30">
        <v>12.18</v>
      </c>
      <c r="BQ30">
        <v>11.48</v>
      </c>
      <c r="BR30">
        <v>16.18</v>
      </c>
      <c r="BS30">
        <v>14.38</v>
      </c>
      <c r="BT30" t="s">
        <v>1257</v>
      </c>
      <c r="BU30" t="s">
        <v>356</v>
      </c>
      <c r="BV30">
        <v>46.5</v>
      </c>
      <c r="BW30">
        <v>50.27</v>
      </c>
      <c r="BX30">
        <v>51.62</v>
      </c>
      <c r="BY30">
        <v>18.91</v>
      </c>
      <c r="BZ30">
        <v>20.85</v>
      </c>
      <c r="CA30">
        <v>22.99</v>
      </c>
      <c r="CB30">
        <v>-4.1900000000000004</v>
      </c>
      <c r="CC30">
        <v>-17.93</v>
      </c>
      <c r="CD30" t="s">
        <v>1258</v>
      </c>
      <c r="CE30" t="s">
        <v>1259</v>
      </c>
      <c r="CF30" s="9">
        <v>-0.15</v>
      </c>
      <c r="CG30" s="10">
        <v>7.240726027397261E-2</v>
      </c>
      <c r="CH30" s="9">
        <v>0.25899934768676758</v>
      </c>
      <c r="CI30" s="9">
        <v>0.25738397240638733</v>
      </c>
      <c r="CJ30" s="9">
        <v>0.71062994003295898</v>
      </c>
      <c r="CK30" s="9">
        <v>0.32062390446662903</v>
      </c>
      <c r="CL30" s="9">
        <v>0.29954954981803894</v>
      </c>
      <c r="CM30" s="10">
        <v>-0.69062501192092896</v>
      </c>
      <c r="CN30" s="10">
        <v>0.28514057397842407</v>
      </c>
      <c r="CO30" s="10">
        <v>0.54179567098617554</v>
      </c>
      <c r="CP30" s="10">
        <v>0.17028985917568207</v>
      </c>
      <c r="CQ30" s="10">
        <v>10.587261199951172</v>
      </c>
      <c r="CR30">
        <v>32.316010529365101</v>
      </c>
      <c r="CS30">
        <v>0.87473589641081051</v>
      </c>
      <c r="CT30">
        <v>0.42015355086372363</v>
      </c>
      <c r="CU30" s="9">
        <v>0.36943734288215635</v>
      </c>
      <c r="CV30" s="10">
        <v>2.1787724584341048</v>
      </c>
      <c r="CW30">
        <v>0.06</v>
      </c>
      <c r="CX30">
        <v>70.284678347564792</v>
      </c>
      <c r="CY30">
        <v>255800560.27421412</v>
      </c>
      <c r="CZ30">
        <v>0.36943734288215635</v>
      </c>
      <c r="DA30">
        <v>18.273582988434793</v>
      </c>
      <c r="DB30">
        <v>983871641.99701166</v>
      </c>
      <c r="DC30">
        <v>0.35096547573804854</v>
      </c>
      <c r="DD30">
        <v>6.4499041658237743</v>
      </c>
      <c r="DE30">
        <v>2787461586.6798325</v>
      </c>
      <c r="DF30">
        <v>0.3251048617362976</v>
      </c>
      <c r="DG30">
        <v>2.5641537954658968</v>
      </c>
      <c r="DH30">
        <v>7011615345.3008118</v>
      </c>
      <c r="DI30">
        <v>0.2955498743057251</v>
      </c>
      <c r="DJ30">
        <v>0.47725448314678975</v>
      </c>
      <c r="DK30">
        <v>37671432610.660713</v>
      </c>
      <c r="DL30">
        <v>0.25860614001750942</v>
      </c>
      <c r="DM30">
        <v>198000000</v>
      </c>
      <c r="DN30">
        <v>0.36943734288215635</v>
      </c>
      <c r="DO30">
        <v>17978860100</v>
      </c>
      <c r="DP30">
        <v>-1207504300</v>
      </c>
      <c r="DQ30">
        <v>4070</v>
      </c>
      <c r="DR30">
        <v>-0.51943734288215637</v>
      </c>
      <c r="DS30">
        <v>-2.1063651981601321</v>
      </c>
      <c r="DT30" s="11">
        <v>0.35999999999999993</v>
      </c>
      <c r="DU30">
        <v>0.57333333333333336</v>
      </c>
      <c r="DV30">
        <v>0.93333333333333335</v>
      </c>
      <c r="DW30">
        <v>-8.2336865588399331</v>
      </c>
      <c r="DX30">
        <v>0.31892243150685018</v>
      </c>
      <c r="DY30">
        <v>-8.0184431114341166</v>
      </c>
      <c r="DZ30">
        <v>57</v>
      </c>
      <c r="EA30">
        <v>-8.0182373859249694</v>
      </c>
      <c r="EB30">
        <v>8</v>
      </c>
      <c r="EC30">
        <v>2.3389092475382962E-2</v>
      </c>
      <c r="ED30">
        <v>0.29635544709938555</v>
      </c>
      <c r="EE30" s="12">
        <v>2.0314000000000001</v>
      </c>
      <c r="EF30">
        <v>2.0295999999999998</v>
      </c>
      <c r="EG30">
        <v>24.07892243150685</v>
      </c>
      <c r="EH30" t="s">
        <v>533</v>
      </c>
      <c r="EI30">
        <v>0</v>
      </c>
      <c r="EJ30">
        <v>1</v>
      </c>
      <c r="EK30" s="8">
        <v>45470</v>
      </c>
      <c r="EL30" s="13">
        <v>0.36</v>
      </c>
      <c r="EM30" s="13">
        <v>-4.62</v>
      </c>
      <c r="EN30">
        <v>-0.19</v>
      </c>
      <c r="EO30">
        <v>1.68</v>
      </c>
      <c r="EP30">
        <v>-0.18</v>
      </c>
    </row>
  </sheetData>
  <autoFilter ref="BU1:BU32"/>
  <sortState ref="A2:D71">
    <sortCondition ref="C2:C7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多元金融&quot;,&quot;&quot;'" altText="更新基本面按钮_x000a_">
                <anchor moveWithCells="1" sizeWithCells="1">
                  <from>
                    <xdr:col>147</xdr:col>
                    <xdr:colOff>254000</xdr:colOff>
                    <xdr:row>0</xdr:row>
                    <xdr:rowOff>101600</xdr:rowOff>
                  </from>
                  <to>
                    <xdr:col>147</xdr:col>
                    <xdr:colOff>1301750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保险及其他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2024-07-09T13:54:20Z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