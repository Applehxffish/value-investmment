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非银金融\"/>
    </mc:Choice>
  </mc:AlternateContent>
  <bookViews>
    <workbookView xWindow="0" yWindow="0" windowWidth="3800" windowHeight="2950"/>
  </bookViews>
  <sheets>
    <sheet name="证券" sheetId="7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<sst xmlns="http://schemas.openxmlformats.org/spreadsheetml/2006/main" count="3144" uniqueCount="1778">
  <si>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</si>
  <si>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</si>
  <si>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</si>
  <si>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</si>
  <si>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</si>
  <si>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华林证券</t>
  </si>
  <si>
    <t>东方财富</t>
  </si>
  <si>
    <t>天风证券</t>
  </si>
  <si>
    <t>锦龙股份</t>
  </si>
  <si>
    <t>南京证券</t>
  </si>
  <si>
    <t>第一创业</t>
  </si>
  <si>
    <t>中信建投</t>
  </si>
  <si>
    <t>浙商证券</t>
  </si>
  <si>
    <t>长城证券</t>
  </si>
  <si>
    <t>中原证券</t>
  </si>
  <si>
    <t>西部证券</t>
  </si>
  <si>
    <t>太平洋</t>
  </si>
  <si>
    <t>国信证券</t>
  </si>
  <si>
    <t>国盛金控</t>
  </si>
  <si>
    <t>财通证券</t>
  </si>
  <si>
    <t>东兴证券</t>
  </si>
  <si>
    <t>招商证券</t>
  </si>
  <si>
    <t>华鑫股份</t>
  </si>
  <si>
    <t>华安证券</t>
  </si>
  <si>
    <t>山西证券</t>
  </si>
  <si>
    <t>中信证券</t>
  </si>
  <si>
    <t>申万宏源</t>
  </si>
  <si>
    <t>华泰证券</t>
  </si>
  <si>
    <t>国海证券</t>
  </si>
  <si>
    <t>方正证券</t>
  </si>
  <si>
    <t>中国银河</t>
  </si>
  <si>
    <t>国金证券</t>
  </si>
  <si>
    <t>华西证券</t>
  </si>
  <si>
    <t>广发证券</t>
  </si>
  <si>
    <t>长江证券</t>
  </si>
  <si>
    <t>西南证券</t>
  </si>
  <si>
    <t>兴业证券</t>
  </si>
  <si>
    <t>国泰君安</t>
  </si>
  <si>
    <t>东吴证券</t>
  </si>
  <si>
    <t>东北证券</t>
  </si>
  <si>
    <t>国元证券</t>
  </si>
  <si>
    <t>海通证券</t>
  </si>
  <si>
    <t>光大证券</t>
  </si>
  <si>
    <t>哈投股份</t>
  </si>
  <si>
    <t>--</t>
  </si>
  <si>
    <t>代码</t>
  </si>
  <si>
    <t>总市值</t>
  </si>
  <si>
    <t>TTM市盈率</t>
  </si>
  <si>
    <t>所属行业</t>
  </si>
  <si>
    <t>SZ000712</t>
  </si>
  <si>
    <t>证券</t>
  </si>
  <si>
    <t>SH600621</t>
  </si>
  <si>
    <t>SH601162</t>
  </si>
  <si>
    <t>SH600155</t>
  </si>
  <si>
    <t>SH601236</t>
  </si>
  <si>
    <t>红塔证券</t>
  </si>
  <si>
    <t>SH601375</t>
  </si>
  <si>
    <t>SZ002945</t>
  </si>
  <si>
    <t>SZ002673</t>
  </si>
  <si>
    <t>SZ002797</t>
  </si>
  <si>
    <t>SH601990</t>
  </si>
  <si>
    <t>SZ300059</t>
  </si>
  <si>
    <t>SH601066</t>
  </si>
  <si>
    <t>SH601901</t>
  </si>
  <si>
    <t>SZ002939</t>
  </si>
  <si>
    <t>SZ000750</t>
  </si>
  <si>
    <t>SH601788</t>
  </si>
  <si>
    <t>SH600369</t>
  </si>
  <si>
    <t>SH601878</t>
  </si>
  <si>
    <t>SH601377</t>
  </si>
  <si>
    <t>SZ002500</t>
  </si>
  <si>
    <t>SH600958</t>
  </si>
  <si>
    <t>SH601108</t>
  </si>
  <si>
    <t>SZ000783</t>
  </si>
  <si>
    <t>SZ000728</t>
  </si>
  <si>
    <t>SH601688</t>
  </si>
  <si>
    <t>SH601198</t>
  </si>
  <si>
    <t>SH600909</t>
  </si>
  <si>
    <t>SH601555</t>
  </si>
  <si>
    <t>SZ002926</t>
  </si>
  <si>
    <t>SH600030</t>
  </si>
  <si>
    <t>SZ000686</t>
  </si>
  <si>
    <t>SH601881</t>
  </si>
  <si>
    <t>SH600109</t>
  </si>
  <si>
    <t>SH600864</t>
  </si>
  <si>
    <t>SZ000166</t>
  </si>
  <si>
    <t>SH601211</t>
  </si>
  <si>
    <t>SH600999</t>
  </si>
  <si>
    <t>SZ000776</t>
  </si>
  <si>
    <t>SZ002736</t>
  </si>
  <si>
    <t>SH600837</t>
  </si>
  <si>
    <t>SH601696</t>
  </si>
  <si>
    <t>中银证券</t>
  </si>
  <si>
    <t>SZ002670</t>
  </si>
  <si>
    <t>SH601099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</si>
  <si>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</si>
  <si>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</si>
  <si>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</si>
  <si>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</si>
  <si>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</si>
  <si>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</si>
  <si>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</si>
  <si>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</si>
  <si>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</si>
  <si>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</si>
  <si>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</si>
  <si>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245.93亿</t>
  </si>
  <si>
    <t>57.35亿</t>
  </si>
  <si>
    <t>0亿</t>
  </si>
  <si>
    <t>3.01亿</t>
  </si>
  <si>
    <t>79.69亿</t>
  </si>
  <si>
    <t>10.07亿</t>
  </si>
  <si>
    <t>15.19亿</t>
  </si>
  <si>
    <t>7057.75万</t>
  </si>
  <si>
    <t>31.99亿</t>
  </si>
  <si>
    <t>9.14亿</t>
  </si>
  <si>
    <t>35.60亿</t>
  </si>
  <si>
    <t>4.88亿</t>
  </si>
  <si>
    <t>1.46亿</t>
  </si>
  <si>
    <t>228.10亿</t>
  </si>
  <si>
    <t>75.39亿</t>
  </si>
  <si>
    <t>70.33亿</t>
  </si>
  <si>
    <t>16.66亿</t>
  </si>
  <si>
    <t>51.02亿</t>
  </si>
  <si>
    <t>5.10亿</t>
  </si>
  <si>
    <t>3.86亿</t>
  </si>
  <si>
    <t>36.81亿</t>
  </si>
  <si>
    <t>6.10亿</t>
  </si>
  <si>
    <t>140.93亿</t>
  </si>
  <si>
    <t>49.10亿</t>
  </si>
  <si>
    <t>25.83亿</t>
  </si>
  <si>
    <t>5.13亿</t>
  </si>
  <si>
    <t>39.37亿</t>
  </si>
  <si>
    <t>14.32亿</t>
  </si>
  <si>
    <t>38.99亿</t>
  </si>
  <si>
    <t>9.92亿</t>
  </si>
  <si>
    <t>10.11亿</t>
  </si>
  <si>
    <t>4.42亿</t>
  </si>
  <si>
    <t>18.31亿</t>
  </si>
  <si>
    <t>431.40亿</t>
  </si>
  <si>
    <t>SH600095</t>
  </si>
  <si>
    <t>43.50亿</t>
  </si>
  <si>
    <t>34.89亿</t>
  </si>
  <si>
    <t>10.42亿</t>
  </si>
  <si>
    <t>6.50亿</t>
  </si>
  <si>
    <t>6423.76万</t>
  </si>
  <si>
    <t>95.23亿</t>
  </si>
  <si>
    <t>2.46亿</t>
  </si>
  <si>
    <t>32.32亿</t>
  </si>
  <si>
    <t>11.08亿</t>
  </si>
  <si>
    <t>25.25亿</t>
  </si>
  <si>
    <t>SH600918</t>
  </si>
  <si>
    <t>中泰证券</t>
  </si>
  <si>
    <t>190.52亿</t>
  </si>
  <si>
    <t>24.35亿</t>
  </si>
  <si>
    <t>187.08亿</t>
  </si>
  <si>
    <t>72.82亿</t>
  </si>
  <si>
    <t>136.93亿</t>
  </si>
  <si>
    <t>55.02亿</t>
  </si>
  <si>
    <t>40.03亿</t>
  </si>
  <si>
    <t>17.77亿</t>
  </si>
  <si>
    <t>4.63亿</t>
  </si>
  <si>
    <t>49.52亿</t>
  </si>
  <si>
    <t>18.73亿</t>
  </si>
  <si>
    <t>38.46亿</t>
  </si>
  <si>
    <t>3.08亿</t>
  </si>
  <si>
    <t>12.21亿</t>
  </si>
  <si>
    <t>299.49亿</t>
  </si>
  <si>
    <t>86.37亿</t>
  </si>
  <si>
    <t>20.66亿</t>
  </si>
  <si>
    <t>8.38亿</t>
  </si>
  <si>
    <t>23.73亿</t>
  </si>
  <si>
    <t>5822.27万</t>
  </si>
  <si>
    <t>142.50亿</t>
  </si>
  <si>
    <t>17.63亿</t>
  </si>
  <si>
    <t>SH601456</t>
  </si>
  <si>
    <t>国联证券</t>
  </si>
  <si>
    <t>16.19亿</t>
  </si>
  <si>
    <t>5.21亿</t>
  </si>
  <si>
    <t>51.30亿</t>
  </si>
  <si>
    <t>10.37亿</t>
  </si>
  <si>
    <t>248.63亿</t>
  </si>
  <si>
    <t>90.02亿</t>
  </si>
  <si>
    <t>29.08亿</t>
  </si>
  <si>
    <t>7.98亿</t>
  </si>
  <si>
    <t>100.57亿</t>
  </si>
  <si>
    <t>5.68亿</t>
  </si>
  <si>
    <t>56.59亿</t>
  </si>
  <si>
    <t>9.68亿</t>
  </si>
  <si>
    <t>170.41亿</t>
  </si>
  <si>
    <t>52.28亿</t>
  </si>
  <si>
    <t>65.95亿</t>
  </si>
  <si>
    <t>10.08亿</t>
  </si>
  <si>
    <t>22.02亿</t>
  </si>
  <si>
    <t>7.10亿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</si>
  <si>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</si>
  <si>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</si>
  <si>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</si>
  <si>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</si>
  <si>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</si>
  <si>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</si>
  <si>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</si>
  <si>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</si>
  <si>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</si>
  <si>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</si>
  <si>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</si>
  <si>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</si>
  <si>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</si>
  <si>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294.09亿</t>
  </si>
  <si>
    <t>77.66亿</t>
  </si>
  <si>
    <t>152.77亿</t>
  </si>
  <si>
    <t>41.60亿</t>
  </si>
  <si>
    <t>66.10亿</t>
  </si>
  <si>
    <t>13.33亿</t>
  </si>
  <si>
    <t>67.80亿</t>
  </si>
  <si>
    <t>44.82亿</t>
  </si>
  <si>
    <t>6.67亿</t>
  </si>
  <si>
    <t>16.73亿</t>
  </si>
  <si>
    <t>6607.54万</t>
  </si>
  <si>
    <t>9.79亿</t>
  </si>
  <si>
    <t>-1.81亿</t>
  </si>
  <si>
    <t>1.94亿</t>
  </si>
  <si>
    <t>45.29亿</t>
  </si>
  <si>
    <t>13.70亿</t>
  </si>
  <si>
    <t>12.68亿</t>
  </si>
  <si>
    <t>22.92亿</t>
  </si>
  <si>
    <t>25.38亿</t>
  </si>
  <si>
    <t>33.76亿</t>
  </si>
  <si>
    <t>6.70亿</t>
  </si>
  <si>
    <t>12.04亿</t>
  </si>
  <si>
    <t>7.25亿</t>
  </si>
  <si>
    <t>21.23亿</t>
  </si>
  <si>
    <t>7314.28万</t>
  </si>
  <si>
    <t>291.53亿</t>
  </si>
  <si>
    <t>100.38亿</t>
  </si>
  <si>
    <t>152.70亿</t>
  </si>
  <si>
    <t>43.00亿</t>
  </si>
  <si>
    <t>77.84亿</t>
  </si>
  <si>
    <t>20.85亿</t>
  </si>
  <si>
    <t>43.69亿</t>
  </si>
  <si>
    <t>2.57亿</t>
  </si>
  <si>
    <t>33.42亿</t>
  </si>
  <si>
    <t>7.51亿</t>
  </si>
  <si>
    <t>1.35亿</t>
  </si>
  <si>
    <t>1.24亿</t>
  </si>
  <si>
    <t>68.51亿</t>
  </si>
  <si>
    <t>2.22亿</t>
  </si>
  <si>
    <t>-3.66亿</t>
  </si>
  <si>
    <t>135.06万</t>
  </si>
  <si>
    <t>185.52万</t>
  </si>
  <si>
    <t>7732.96万</t>
  </si>
  <si>
    <t>-4.29亿</t>
  </si>
  <si>
    <t>51.84亿</t>
  </si>
  <si>
    <t>11.17亿</t>
  </si>
  <si>
    <t>22.37亿</t>
  </si>
  <si>
    <t>31.70亿</t>
  </si>
  <si>
    <t>2.00亿</t>
  </si>
  <si>
    <t>7.52亿</t>
  </si>
  <si>
    <t>187.84亿</t>
  </si>
  <si>
    <t>66.16亿</t>
  </si>
  <si>
    <t>100.31亿</t>
  </si>
  <si>
    <t>34.23亿</t>
  </si>
  <si>
    <t>14.24亿</t>
  </si>
  <si>
    <t>31.20亿</t>
  </si>
  <si>
    <t>8.13亿</t>
  </si>
  <si>
    <t>17.70亿</t>
  </si>
  <si>
    <t>46.83亿</t>
  </si>
  <si>
    <t>19.00亿</t>
  </si>
  <si>
    <t>25.45亿</t>
  </si>
  <si>
    <t>8.45亿</t>
  </si>
  <si>
    <t>68.69亿</t>
  </si>
  <si>
    <t>15.02亿</t>
  </si>
  <si>
    <t>27.53亿</t>
  </si>
  <si>
    <t>34.84亿</t>
  </si>
  <si>
    <t>5.86亿</t>
  </si>
  <si>
    <t>14.90亿</t>
  </si>
  <si>
    <t>8.12亿</t>
  </si>
  <si>
    <t>10.01亿</t>
  </si>
  <si>
    <t>3.45亿</t>
  </si>
  <si>
    <t>47.78亿</t>
  </si>
  <si>
    <t>14.78亿</t>
  </si>
  <si>
    <t>13.10亿</t>
  </si>
  <si>
    <t>9.59亿</t>
  </si>
  <si>
    <t>543.83亿</t>
  </si>
  <si>
    <t>372.21亿</t>
  </si>
  <si>
    <t>7.05亿</t>
  </si>
  <si>
    <t>湘财股份</t>
  </si>
  <si>
    <t>3.56亿</t>
  </si>
  <si>
    <t>4.67亿</t>
  </si>
  <si>
    <t>2.99亿</t>
  </si>
  <si>
    <t>60.63亿</t>
  </si>
  <si>
    <t>37.66亿</t>
  </si>
  <si>
    <t>12.01亿</t>
  </si>
  <si>
    <t>6.58亿</t>
  </si>
  <si>
    <t>2.34亿</t>
  </si>
  <si>
    <t>-1.42亿</t>
  </si>
  <si>
    <t>10.91亿</t>
  </si>
  <si>
    <t>27.44亿</t>
  </si>
  <si>
    <t>2.27亿</t>
  </si>
  <si>
    <t>7.08亿</t>
  </si>
  <si>
    <t>1.47亿</t>
  </si>
  <si>
    <t>1.15亿</t>
  </si>
  <si>
    <t>2184.63万</t>
  </si>
  <si>
    <t>382.20亿</t>
  </si>
  <si>
    <t>108.75亿</t>
  </si>
  <si>
    <t>348.60亿</t>
  </si>
  <si>
    <t>237.65亿</t>
  </si>
  <si>
    <t>52.11亿</t>
  </si>
  <si>
    <t>4.55亿</t>
  </si>
  <si>
    <t>12.71亿</t>
  </si>
  <si>
    <t>3.58亿</t>
  </si>
  <si>
    <t>SH600906</t>
  </si>
  <si>
    <t>财达证券</t>
  </si>
  <si>
    <t>20.50亿</t>
  </si>
  <si>
    <t>5.32亿</t>
  </si>
  <si>
    <t>18.13亿</t>
  </si>
  <si>
    <t>14.61亿</t>
  </si>
  <si>
    <t>7363.24万</t>
  </si>
  <si>
    <t>33.57亿</t>
  </si>
  <si>
    <t>17.61亿</t>
  </si>
  <si>
    <t>17.33亿</t>
  </si>
  <si>
    <t>5.54亿</t>
  </si>
  <si>
    <t>6.02亿</t>
  </si>
  <si>
    <t>103.52亿</t>
  </si>
  <si>
    <t>97.09亿</t>
  </si>
  <si>
    <t>70.25亿</t>
  </si>
  <si>
    <t>22.49亿</t>
  </si>
  <si>
    <t>10.09亿</t>
  </si>
  <si>
    <t>231.34亿</t>
  </si>
  <si>
    <t>27.23亿</t>
  </si>
  <si>
    <t>103.03亿</t>
  </si>
  <si>
    <t>12.31亿</t>
  </si>
  <si>
    <t>242.78亿</t>
  </si>
  <si>
    <t>94.92亿</t>
  </si>
  <si>
    <t>113.22亿</t>
  </si>
  <si>
    <t>44.25亿</t>
  </si>
  <si>
    <t>233.51亿</t>
  </si>
  <si>
    <t>95.09亿</t>
  </si>
  <si>
    <t>27.55亿</t>
  </si>
  <si>
    <t>109.07亿</t>
  </si>
  <si>
    <t>30.87亿</t>
  </si>
  <si>
    <t>11.72亿</t>
  </si>
  <si>
    <t>-7.61亿</t>
  </si>
  <si>
    <t>2.32亿</t>
  </si>
  <si>
    <t>3.93亿</t>
  </si>
  <si>
    <t>-13.22亿</t>
  </si>
  <si>
    <t>65.28亿</t>
  </si>
  <si>
    <t>31.68亿</t>
  </si>
  <si>
    <t>8.19亿</t>
  </si>
  <si>
    <t>43.60亿</t>
  </si>
  <si>
    <t>32.77亿</t>
  </si>
  <si>
    <t>3.03亿</t>
  </si>
  <si>
    <t>56.87亿</t>
  </si>
  <si>
    <t>15.40亿</t>
  </si>
  <si>
    <t>44.75亿</t>
  </si>
  <si>
    <t>33.14亿</t>
  </si>
  <si>
    <t>352.00亿</t>
  </si>
  <si>
    <t>111.22亿</t>
  </si>
  <si>
    <t>227.19亿</t>
  </si>
  <si>
    <t>67.08亿</t>
  </si>
  <si>
    <t>55.85亿</t>
  </si>
  <si>
    <t>14.13亿</t>
  </si>
  <si>
    <t>4.84亿</t>
  </si>
  <si>
    <t>31.03亿</t>
  </si>
  <si>
    <t>1.04亿</t>
  </si>
  <si>
    <t>16.50亿</t>
  </si>
  <si>
    <t>21.48亿</t>
  </si>
  <si>
    <t>6578.76万</t>
  </si>
  <si>
    <t>175.80亿</t>
  </si>
  <si>
    <t>64.99亿</t>
  </si>
  <si>
    <t>18.76亿</t>
  </si>
  <si>
    <t>5.88亿</t>
  </si>
  <si>
    <t>9.90亿</t>
  </si>
  <si>
    <t>5058.80万</t>
  </si>
  <si>
    <t>4.95亿</t>
  </si>
  <si>
    <t>73.56亿</t>
  </si>
  <si>
    <t>17.07亿</t>
  </si>
  <si>
    <t>41.62亿</t>
  </si>
  <si>
    <t>314.45亿</t>
  </si>
  <si>
    <t>108.22亿</t>
  </si>
  <si>
    <t>161.08亿</t>
  </si>
  <si>
    <t>50.33亿</t>
  </si>
  <si>
    <t>32.44亿</t>
  </si>
  <si>
    <t>8.83亿</t>
  </si>
  <si>
    <t>158.66亿</t>
  </si>
  <si>
    <t>23.34亿</t>
  </si>
  <si>
    <t>77.12亿</t>
  </si>
  <si>
    <t>1.03亿</t>
  </si>
  <si>
    <t>106.37亿</t>
  </si>
  <si>
    <t>16.27亿</t>
  </si>
  <si>
    <t>36.95亿</t>
  </si>
  <si>
    <t>7.37亿</t>
  </si>
  <si>
    <t>237.49亿</t>
  </si>
  <si>
    <t>72.44亿</t>
  </si>
  <si>
    <t>99.25亿</t>
  </si>
  <si>
    <t>28.87亿</t>
  </si>
  <si>
    <t>75.42亿</t>
  </si>
  <si>
    <t>10.96亿</t>
  </si>
  <si>
    <t>57.23亿</t>
  </si>
  <si>
    <t>6.61亿</t>
  </si>
  <si>
    <t>23.65亿</t>
  </si>
  <si>
    <t>8.10亿</t>
  </si>
  <si>
    <t>12.34亿</t>
  </si>
  <si>
    <t>SH601995</t>
  </si>
  <si>
    <t>中金公司</t>
  </si>
  <si>
    <t>236.60亿</t>
  </si>
  <si>
    <t>72.07亿</t>
  </si>
  <si>
    <t>157.55亿</t>
  </si>
  <si>
    <t>129.14亿</t>
  </si>
  <si>
    <t>42.39亿</t>
  </si>
  <si>
    <t>34.92亿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</si>
  <si>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</si>
  <si>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</si>
  <si>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</si>
  <si>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</si>
  <si>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</si>
  <si>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</si>
  <si>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</si>
  <si>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</si>
  <si>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</si>
  <si>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</si>
  <si>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</si>
  <si>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</si>
  <si>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</si>
  <si>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</si>
  <si>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</si>
  <si>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1.27亿</t>
  </si>
  <si>
    <t>16.58亿</t>
  </si>
  <si>
    <t>1.21亿</t>
  </si>
  <si>
    <t>8.89亿</t>
  </si>
  <si>
    <t>涨幅%</t>
  </si>
  <si>
    <t>流通股本</t>
  </si>
  <si>
    <t>净利润[20201231]</t>
  </si>
  <si>
    <t>投入资本回报率roic%[20201231]</t>
  </si>
  <si>
    <t>净资产收益率%[20201231]</t>
  </si>
  <si>
    <t>343.07亿</t>
  </si>
  <si>
    <t>93.98亿</t>
  </si>
  <si>
    <t>74.78亿</t>
  </si>
  <si>
    <t>16.24亿</t>
  </si>
  <si>
    <t>-1.31亿</t>
  </si>
  <si>
    <t>10.06亿</t>
  </si>
  <si>
    <t>61.10亿</t>
  </si>
  <si>
    <t>19.09亿</t>
  </si>
  <si>
    <t>51.70亿</t>
  </si>
  <si>
    <t>7.65亿</t>
  </si>
  <si>
    <t>342.50亿</t>
  </si>
  <si>
    <t>108.54亿</t>
  </si>
  <si>
    <t>29.67亿</t>
  </si>
  <si>
    <t>86.23亿</t>
  </si>
  <si>
    <t>24.10亿</t>
  </si>
  <si>
    <t>39.94亿</t>
  </si>
  <si>
    <t>8.04亿</t>
  </si>
  <si>
    <t>7688.86万</t>
  </si>
  <si>
    <t>67.51亿</t>
  </si>
  <si>
    <t>14.10亿</t>
  </si>
  <si>
    <t>238.18亿</t>
  </si>
  <si>
    <t>101.15亿</t>
  </si>
  <si>
    <t>32.55亿</t>
  </si>
  <si>
    <t>7.45亿</t>
  </si>
  <si>
    <t>51.22亿</t>
  </si>
  <si>
    <t>16.32亿</t>
  </si>
  <si>
    <t>16.30亿</t>
  </si>
  <si>
    <t>77.57亿</t>
  </si>
  <si>
    <t>17.66亿</t>
  </si>
  <si>
    <t>13.95亿</t>
  </si>
  <si>
    <t>85.53亿</t>
  </si>
  <si>
    <t>7.31亿</t>
  </si>
  <si>
    <t>23.17亿</t>
  </si>
  <si>
    <t>32.50亿</t>
  </si>
  <si>
    <t>30.96亿</t>
  </si>
  <si>
    <t>10.38亿</t>
  </si>
  <si>
    <t>432.05亿</t>
  </si>
  <si>
    <t>128.27亿</t>
  </si>
  <si>
    <t>2.38亿</t>
  </si>
  <si>
    <t>25.24亿</t>
  </si>
  <si>
    <t>6.80亿</t>
  </si>
  <si>
    <t>6.09亿</t>
  </si>
  <si>
    <t>34.83亿</t>
  </si>
  <si>
    <t>131.50亿</t>
  </si>
  <si>
    <t>32.00亿</t>
  </si>
  <si>
    <t>243.70亿</t>
  </si>
  <si>
    <t>53.71亿</t>
  </si>
  <si>
    <t>294.29亿</t>
  </si>
  <si>
    <t>116.45亿</t>
  </si>
  <si>
    <t>298.72亿</t>
  </si>
  <si>
    <t>102.39亿</t>
  </si>
  <si>
    <t>64.08亿</t>
  </si>
  <si>
    <t>25.66亿</t>
  </si>
  <si>
    <t>44.06亿</t>
  </si>
  <si>
    <t>53.76亿</t>
  </si>
  <si>
    <t>16.52亿</t>
  </si>
  <si>
    <t>428.17亿</t>
  </si>
  <si>
    <t>150.13亿</t>
  </si>
  <si>
    <t>67.34亿</t>
  </si>
  <si>
    <t>15.76亿</t>
  </si>
  <si>
    <t>44.21亿</t>
  </si>
  <si>
    <t>189.72亿</t>
  </si>
  <si>
    <t>47.43亿</t>
  </si>
  <si>
    <t>92.45亿</t>
  </si>
  <si>
    <t>23.92亿</t>
  </si>
  <si>
    <t>379.05亿</t>
  </si>
  <si>
    <t>133.46亿</t>
  </si>
  <si>
    <t>33.34亿</t>
  </si>
  <si>
    <t>9.62亿</t>
  </si>
  <si>
    <t>167.07亿</t>
  </si>
  <si>
    <t>164.18亿</t>
  </si>
  <si>
    <t>21.96亿</t>
  </si>
  <si>
    <t>359.84亿</t>
  </si>
  <si>
    <t>104.30亿</t>
  </si>
  <si>
    <t>86.21亿</t>
  </si>
  <si>
    <t>18.22亿</t>
  </si>
  <si>
    <t>27.42亿</t>
  </si>
  <si>
    <t>9.77亿</t>
  </si>
  <si>
    <t>301.31亿</t>
  </si>
  <si>
    <t>107.78亿</t>
  </si>
  <si>
    <t xml:space="preserve">    名称</t>
  </si>
  <si>
    <t>成交量[20220902]</t>
  </si>
  <si>
    <t>营业收入(同比增长率) %[20220630]</t>
  </si>
  <si>
    <t>LY营业总收入[20211231]</t>
  </si>
  <si>
    <t>净利润?</t>
  </si>
  <si>
    <t>净利润[20211231]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</si>
  <si>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</si>
  <si>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</si>
  <si>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</si>
  <si>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</si>
  <si>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</si>
  <si>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销售费用[20220630]</t>
  </si>
  <si>
    <t>管理费用[20220630]</t>
  </si>
  <si>
    <t>研发费用总额[20220630]</t>
  </si>
  <si>
    <t>其他收入[20220630]</t>
  </si>
  <si>
    <t>扣非净利润</t>
  </si>
  <si>
    <t>货币资金[20220630]</t>
  </si>
  <si>
    <t>应收票据[20220630]</t>
  </si>
  <si>
    <t>固定资产[20220630]</t>
  </si>
  <si>
    <t>在建工程[20220630]</t>
  </si>
  <si>
    <t>短期借款[20220630]</t>
  </si>
  <si>
    <t>应付票据[20220630]</t>
  </si>
  <si>
    <t>应付账款[20220630]</t>
  </si>
  <si>
    <t>预收款项[20220630]</t>
  </si>
  <si>
    <t>流动负债[20220630]</t>
  </si>
  <si>
    <t>长期借款[20220630]</t>
  </si>
  <si>
    <t>经营活动产生的现金流量净额[20220630]</t>
  </si>
  <si>
    <t>投资活动产生的现金流量净额[20220630]</t>
  </si>
  <si>
    <t>筹资活动产生的现金流量净额[20220630]</t>
  </si>
  <si>
    <t>营业总收入[20201231]</t>
  </si>
  <si>
    <t>CYLQ营业收入[20220331]</t>
  </si>
  <si>
    <t>LYCQ营业收入[20210630]</t>
  </si>
  <si>
    <t>LYLQ营业收入[20210331]</t>
  </si>
  <si>
    <t>CYLQ净利润[20220331]</t>
  </si>
  <si>
    <t>LYCQ净利润[20210630]</t>
  </si>
  <si>
    <t>LYLQ净利润[20210331]</t>
  </si>
  <si>
    <t>投入资本回报率roic%[20220331]</t>
  </si>
  <si>
    <t>投入资本回报率roic%[20211231]</t>
  </si>
  <si>
    <t>净资产收益率%[20211231]</t>
  </si>
  <si>
    <t>细分行业</t>
  </si>
  <si>
    <t>销售毛利率%[20220331]</t>
  </si>
  <si>
    <t>销售净利率%[20220331]</t>
  </si>
  <si>
    <t>区间涨跌幅:前复权%[20220829-20220902]</t>
  </si>
  <si>
    <t>区间涨跌幅:前复权%[20220725-20220902]</t>
  </si>
  <si>
    <t>区间成交量[20220829-20220902]</t>
  </si>
  <si>
    <t>指数@区间成交量[20220725-20220902]</t>
  </si>
  <si>
    <t>单季营收增速</t>
  </si>
  <si>
    <t>单季利润增速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</si>
  <si>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</si>
  <si>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</si>
  <si>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</si>
  <si>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</si>
  <si>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</si>
  <si>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</si>
  <si>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</si>
  <si>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</si>
  <si>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</si>
  <si>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</si>
  <si>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</si>
  <si>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</si>
  <si>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</si>
  <si>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</si>
  <si>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</si>
  <si>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</si>
  <si>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</si>
  <si>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</si>
  <si>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</si>
  <si>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</si>
  <si>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</si>
  <si>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</si>
  <si>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</si>
  <si>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</si>
  <si>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</si>
  <si>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</si>
  <si>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</si>
  <si>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</si>
  <si>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</si>
  <si>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</si>
  <si>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</si>
  <si>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</si>
  <si>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</si>
  <si>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</si>
  <si>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</si>
  <si>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</si>
  <si>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</si>
  <si>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</si>
  <si>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</si>
  <si>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</si>
  <si>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</si>
  <si>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</si>
  <si>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亏损</t>
  </si>
  <si>
    <t>扭亏</t>
  </si>
  <si>
    <t>3.52亿</t>
  </si>
  <si>
    <t/>
  </si>
  <si>
    <t>3.29亿</t>
  </si>
  <si>
    <t>4.12亿</t>
  </si>
  <si>
    <t>26.37亿</t>
  </si>
  <si>
    <t>2.07亿</t>
  </si>
  <si>
    <t>东方证券</t>
  </si>
  <si>
    <t>3.79亿</t>
  </si>
  <si>
    <t>1.75亿</t>
  </si>
  <si>
    <t>1.22亿</t>
  </si>
  <si>
    <t>187.29亿</t>
  </si>
  <si>
    <t>53.41亿</t>
  </si>
  <si>
    <t>10派1元(含税)</t>
  </si>
  <si>
    <t>10派1.8元(含税)</t>
  </si>
  <si>
    <t>10派0.35元(含税)</t>
  </si>
  <si>
    <t>8.59亿</t>
  </si>
  <si>
    <t>10派1.2元(含税)</t>
  </si>
  <si>
    <t>1.61亿</t>
  </si>
  <si>
    <t>不分配不转增</t>
  </si>
  <si>
    <t>10派0.4元(含税)</t>
  </si>
  <si>
    <t>4.34亿</t>
  </si>
  <si>
    <t>10派1.5元(含税)</t>
  </si>
  <si>
    <t>2.49亿</t>
  </si>
  <si>
    <t>5.43亿</t>
  </si>
  <si>
    <t>1.95亿</t>
  </si>
  <si>
    <t>10派0.8元(含税)</t>
  </si>
  <si>
    <t>1.07亿</t>
  </si>
  <si>
    <t>5.97亿</t>
  </si>
  <si>
    <t>SH601136</t>
  </si>
  <si>
    <t>首创证券</t>
  </si>
  <si>
    <t>21.13亿</t>
  </si>
  <si>
    <t>13.40亿</t>
  </si>
  <si>
    <t>8.15亿</t>
  </si>
  <si>
    <t>6.11亿</t>
  </si>
  <si>
    <t>1.92亿</t>
  </si>
  <si>
    <t>4.53亿</t>
  </si>
  <si>
    <t>15.88亿</t>
  </si>
  <si>
    <t>3.09亿</t>
  </si>
  <si>
    <t>1-0</t>
  </si>
  <si>
    <t>3.23亿</t>
  </si>
  <si>
    <t>1-1</t>
  </si>
  <si>
    <t>1.37亿</t>
  </si>
  <si>
    <t>15.09亿</t>
  </si>
  <si>
    <t>1.02亿</t>
  </si>
  <si>
    <t>2.94亿</t>
  </si>
  <si>
    <t>2.36亿</t>
  </si>
  <si>
    <t>206.10亿</t>
  </si>
  <si>
    <t>27.89亿</t>
  </si>
  <si>
    <t>20.96亿</t>
  </si>
  <si>
    <t>10派0.3元(含税)</t>
  </si>
  <si>
    <t>50.77亿</t>
  </si>
  <si>
    <t>2.31亿</t>
  </si>
  <si>
    <t>3-0</t>
  </si>
  <si>
    <t>2.47亿</t>
  </si>
  <si>
    <t>-3.92亿</t>
  </si>
  <si>
    <t>3.49亿</t>
  </si>
  <si>
    <t>36.17亿</t>
  </si>
  <si>
    <t>1.82亿</t>
  </si>
  <si>
    <t>251.32亿</t>
  </si>
  <si>
    <t>79.29亿</t>
  </si>
  <si>
    <t>-1-1</t>
  </si>
  <si>
    <t>1.19亿</t>
  </si>
  <si>
    <t>63.72亿</t>
  </si>
  <si>
    <t>-1-0</t>
  </si>
  <si>
    <t>1.23亿</t>
  </si>
  <si>
    <t>41.61亿</t>
  </si>
  <si>
    <t>5.74亿</t>
  </si>
  <si>
    <t>2.43亿</t>
  </si>
  <si>
    <t>-4.37亿</t>
  </si>
  <si>
    <t>4.50亿</t>
  </si>
  <si>
    <t>52.56万</t>
  </si>
  <si>
    <t>449.71万</t>
  </si>
  <si>
    <t>75.48万</t>
  </si>
  <si>
    <t>1.46万</t>
  </si>
  <si>
    <t>3.39亿</t>
  </si>
  <si>
    <t>53.08亿</t>
  </si>
  <si>
    <t>5.93亿</t>
  </si>
  <si>
    <t>158.76亿</t>
  </si>
  <si>
    <t>60.88亿</t>
  </si>
  <si>
    <t>7.67亿</t>
  </si>
  <si>
    <t>10派2.7元(含税)</t>
  </si>
  <si>
    <t>154.07亿</t>
  </si>
  <si>
    <t>26.11亿</t>
  </si>
  <si>
    <t>4.01亿</t>
  </si>
  <si>
    <t>13.65亿</t>
  </si>
  <si>
    <t>-7.18亿</t>
  </si>
  <si>
    <t>4.22亿</t>
  </si>
  <si>
    <t>1.05亿</t>
  </si>
  <si>
    <t>8.99亿</t>
  </si>
  <si>
    <t>1.36亿</t>
  </si>
  <si>
    <t>6.26亿</t>
  </si>
  <si>
    <t>13.98亿</t>
  </si>
  <si>
    <t>4.65亿</t>
  </si>
  <si>
    <t>1.48亿</t>
  </si>
  <si>
    <t>85.09亿</t>
  </si>
  <si>
    <t>4.25亿</t>
  </si>
  <si>
    <t>24.76亿</t>
  </si>
  <si>
    <t>54.05亿</t>
  </si>
  <si>
    <t>32.52亿</t>
  </si>
  <si>
    <t>46.29亿</t>
  </si>
  <si>
    <t>2-1</t>
  </si>
  <si>
    <t>651.09亿</t>
  </si>
  <si>
    <t>213.17亿</t>
  </si>
  <si>
    <t>-3.26亿</t>
  </si>
  <si>
    <t>17.69亿</t>
  </si>
  <si>
    <t>57.33亿</t>
  </si>
  <si>
    <t>11.98亿</t>
  </si>
  <si>
    <t>2.10亿</t>
  </si>
  <si>
    <t>25.32亿</t>
  </si>
  <si>
    <t>17.87亿</t>
  </si>
  <si>
    <t>12.33亿</t>
  </si>
  <si>
    <t>4.54亿</t>
  </si>
  <si>
    <t>5.90亿</t>
  </si>
  <si>
    <t>1.30亿</t>
  </si>
  <si>
    <t>1.54亿</t>
  </si>
  <si>
    <t>1.06亿</t>
  </si>
  <si>
    <t>259.48亿</t>
  </si>
  <si>
    <t>65.45亿</t>
  </si>
  <si>
    <t>10.78亿</t>
  </si>
  <si>
    <t>2.12亿</t>
  </si>
  <si>
    <t>16.47亿</t>
  </si>
  <si>
    <t>16.70亿</t>
  </si>
  <si>
    <t>6.48亿</t>
  </si>
  <si>
    <t>5.66亿</t>
  </si>
  <si>
    <t>16.44亿</t>
  </si>
  <si>
    <t>1.44亿</t>
  </si>
  <si>
    <t>10派0.5元(含税)</t>
  </si>
  <si>
    <t>1.77亿</t>
  </si>
  <si>
    <t>31.59亿</t>
  </si>
  <si>
    <t>3.32亿</t>
  </si>
  <si>
    <t>93.25亿</t>
  </si>
  <si>
    <t>6.46亿</t>
  </si>
  <si>
    <t>30.11亿</t>
  </si>
  <si>
    <t>4.93亿</t>
  </si>
  <si>
    <t>7.71亿</t>
  </si>
  <si>
    <t>31.26亿</t>
  </si>
  <si>
    <t>5.87亿</t>
  </si>
  <si>
    <t>192.19亿</t>
  </si>
  <si>
    <t>SH601059</t>
  </si>
  <si>
    <t>信达证券</t>
  </si>
  <si>
    <t>34.38亿</t>
  </si>
  <si>
    <t>12.27亿</t>
  </si>
  <si>
    <t>3.88亿</t>
  </si>
  <si>
    <t>38.03亿</t>
  </si>
  <si>
    <t>31.62亿</t>
  </si>
  <si>
    <t>22.23亿</t>
  </si>
  <si>
    <t>16.59亿</t>
  </si>
  <si>
    <t>8.20亿</t>
  </si>
  <si>
    <t>6995.74万</t>
  </si>
  <si>
    <t>275.65亿</t>
  </si>
  <si>
    <t>6.28亿</t>
  </si>
  <si>
    <t>-4.59亿</t>
  </si>
  <si>
    <t>48.27亿</t>
  </si>
  <si>
    <t>15.17亿</t>
  </si>
  <si>
    <t>9.14万</t>
  </si>
  <si>
    <t>1.74亿</t>
  </si>
  <si>
    <t>4.89亿</t>
  </si>
  <si>
    <t>17.21亿</t>
  </si>
  <si>
    <t>4.62亿</t>
  </si>
  <si>
    <t>34.29亿</t>
  </si>
  <si>
    <t>5.17亿</t>
  </si>
  <si>
    <t>354.71亿</t>
  </si>
  <si>
    <t>8.36亿</t>
  </si>
  <si>
    <t>3852.51万</t>
  </si>
  <si>
    <t>2.21亿</t>
  </si>
  <si>
    <t>-5.46亿</t>
  </si>
  <si>
    <t>1.90亿</t>
  </si>
  <si>
    <t>2-0</t>
  </si>
  <si>
    <t>18.81亿</t>
  </si>
  <si>
    <t>1.93亿</t>
  </si>
  <si>
    <t>2.51亿</t>
  </si>
  <si>
    <t>106.60亿</t>
  </si>
  <si>
    <t>26.23亿</t>
  </si>
  <si>
    <t>1.89亿</t>
  </si>
  <si>
    <t>104.86亿</t>
  </si>
  <si>
    <t>17.35亿</t>
  </si>
  <si>
    <t>36.52亿</t>
  </si>
  <si>
    <t>320.32亿</t>
  </si>
  <si>
    <t>45.53亿</t>
  </si>
  <si>
    <t>29.59亿</t>
  </si>
  <si>
    <t>8.08亿</t>
  </si>
  <si>
    <t>7.00亿</t>
  </si>
  <si>
    <t>107.80亿</t>
  </si>
  <si>
    <t>31.89亿</t>
  </si>
  <si>
    <t>6.84亿</t>
  </si>
  <si>
    <t>5.03亿</t>
  </si>
  <si>
    <t>168.14亿</t>
  </si>
  <si>
    <t>16.54亿</t>
  </si>
  <si>
    <t>336.42亿</t>
  </si>
  <si>
    <t>77.77亿</t>
  </si>
  <si>
    <t>16.68亿</t>
  </si>
  <si>
    <t>2.17亿</t>
  </si>
  <si>
    <t>5.04亿</t>
  </si>
  <si>
    <t>20.08亿</t>
  </si>
  <si>
    <t>260.87亿</t>
  </si>
  <si>
    <t>75.98亿</t>
  </si>
  <si>
    <t>5650.72万</t>
  </si>
  <si>
    <t>5066.43亿</t>
  </si>
  <si>
    <t>1309.76亿</t>
  </si>
  <si>
    <t>56.80亿</t>
  </si>
  <si>
    <t>215.01亿</t>
  </si>
  <si>
    <t>46.06亿</t>
  </si>
  <si>
    <t>-1729602200亿</t>
  </si>
  <si>
    <t>31.57万</t>
  </si>
  <si>
    <t>1323148030亿</t>
  </si>
  <si>
    <t>1043.78亿</t>
  </si>
  <si>
    <t>12.13亿</t>
  </si>
  <si>
    <t>8.97亿</t>
  </si>
  <si>
    <t>-125.79亿</t>
  </si>
  <si>
    <t>142.56亿</t>
  </si>
  <si>
    <t>-10.51亿</t>
  </si>
  <si>
    <t>57.65亿</t>
  </si>
  <si>
    <t>20.11亿</t>
  </si>
  <si>
    <t>10派0.56元(含税)</t>
  </si>
  <si>
    <t>16.65亿</t>
  </si>
  <si>
    <t>899.31万</t>
  </si>
  <si>
    <t>644.35亿</t>
  </si>
  <si>
    <t>189.39亿</t>
  </si>
  <si>
    <t>11.79亿</t>
  </si>
  <si>
    <t>64.75亿</t>
  </si>
  <si>
    <t>6.68亿</t>
  </si>
  <si>
    <t>418386840亿</t>
  </si>
  <si>
    <t>308.58万</t>
  </si>
  <si>
    <t>11668413亿</t>
  </si>
  <si>
    <t>234.54亿</t>
  </si>
  <si>
    <t>21.87亿</t>
  </si>
  <si>
    <t>4522.89万</t>
  </si>
  <si>
    <t>7.85亿</t>
  </si>
  <si>
    <t>18.44亿</t>
  </si>
  <si>
    <t>3.73亿</t>
  </si>
  <si>
    <t>5193.32万</t>
  </si>
  <si>
    <t>4.46亿</t>
  </si>
  <si>
    <t>5083.86万</t>
  </si>
  <si>
    <t>153.55亿</t>
  </si>
  <si>
    <t>44.48亿</t>
  </si>
  <si>
    <t>2444.25万</t>
  </si>
  <si>
    <t>-3.84亿</t>
  </si>
  <si>
    <t>94395560亿</t>
  </si>
  <si>
    <t>17.16万</t>
  </si>
  <si>
    <t>-101089648亿</t>
  </si>
  <si>
    <t>49.83亿</t>
  </si>
  <si>
    <t>6494.67万</t>
  </si>
  <si>
    <t>16.82亿</t>
  </si>
  <si>
    <t>39.51亿</t>
  </si>
  <si>
    <t>2.01亿</t>
  </si>
  <si>
    <t>7780.76万</t>
  </si>
  <si>
    <t>-9535.84万</t>
  </si>
  <si>
    <t>1.99亿</t>
  </si>
  <si>
    <t>-248.54万</t>
  </si>
  <si>
    <t>4.32亿</t>
  </si>
  <si>
    <t>1978.94万</t>
  </si>
  <si>
    <t>982.61亿</t>
  </si>
  <si>
    <t>352.65亿</t>
  </si>
  <si>
    <t>14.04亿</t>
  </si>
  <si>
    <t>63.55亿</t>
  </si>
  <si>
    <t>18.68亿</t>
  </si>
  <si>
    <t>489893700亿</t>
  </si>
  <si>
    <t>459495510亿</t>
  </si>
  <si>
    <t>260.54亿</t>
  </si>
  <si>
    <t>11.59亿</t>
  </si>
  <si>
    <t>22.39亿</t>
  </si>
  <si>
    <t>34.53亿</t>
  </si>
  <si>
    <t>-11.66亿</t>
  </si>
  <si>
    <t>-14.59亿</t>
  </si>
  <si>
    <t>15.50亿</t>
  </si>
  <si>
    <t>5.20亿</t>
  </si>
  <si>
    <t>2567.24万</t>
  </si>
  <si>
    <t>470.18亿</t>
  </si>
  <si>
    <t>228.00亿</t>
  </si>
  <si>
    <t>8.02亿</t>
  </si>
  <si>
    <t>41.88亿</t>
  </si>
  <si>
    <t>3.27亿</t>
  </si>
  <si>
    <t>138027470亿</t>
  </si>
  <si>
    <t>7.83万</t>
  </si>
  <si>
    <t>91347403亿</t>
  </si>
  <si>
    <t>203.90亿</t>
  </si>
  <si>
    <t>9.40亿</t>
  </si>
  <si>
    <t>130.25亿</t>
  </si>
  <si>
    <t>-109.97亿</t>
  </si>
  <si>
    <t>-12.74亿</t>
  </si>
  <si>
    <t>9.89亿</t>
  </si>
  <si>
    <t>2.26亿</t>
  </si>
  <si>
    <t>1.38亿</t>
  </si>
  <si>
    <t>10.75亿</t>
  </si>
  <si>
    <t>1717.86万</t>
  </si>
  <si>
    <t>5415.06亿</t>
  </si>
  <si>
    <t>1450.94亿</t>
  </si>
  <si>
    <t>49.49亿</t>
  </si>
  <si>
    <t>233.00亿</t>
  </si>
  <si>
    <t>69.78亿</t>
  </si>
  <si>
    <t>750966940亿</t>
  </si>
  <si>
    <t>1.58万</t>
  </si>
  <si>
    <t>1527539000亿</t>
  </si>
  <si>
    <t>1288.96亿</t>
  </si>
  <si>
    <t>29.38亿</t>
  </si>
  <si>
    <t>71.93亿</t>
  </si>
  <si>
    <t>-118.62亿</t>
  </si>
  <si>
    <t>86.08亿</t>
  </si>
  <si>
    <t>82.95亿</t>
  </si>
  <si>
    <t>64.77亿</t>
  </si>
  <si>
    <t>21.57亿</t>
  </si>
  <si>
    <t>10派3元(含税)</t>
  </si>
  <si>
    <t>8449.23万</t>
  </si>
  <si>
    <t>5.19亿</t>
  </si>
  <si>
    <t>2343.86万</t>
  </si>
  <si>
    <t>1359.59亿</t>
  </si>
  <si>
    <t>375.47亿</t>
  </si>
  <si>
    <t>13.32亿</t>
  </si>
  <si>
    <t>68.96亿</t>
  </si>
  <si>
    <t>15.48亿</t>
  </si>
  <si>
    <t>-451917670亿</t>
  </si>
  <si>
    <t>25.16万</t>
  </si>
  <si>
    <t>386341430亿</t>
  </si>
  <si>
    <t>422.26亿</t>
  </si>
  <si>
    <t>11.45亿</t>
  </si>
  <si>
    <t>1283.34万</t>
  </si>
  <si>
    <t>60.26亿</t>
  </si>
  <si>
    <t>-6144.22万</t>
  </si>
  <si>
    <t>-57.64亿</t>
  </si>
  <si>
    <t>21.51亿</t>
  </si>
  <si>
    <t>7.56亿</t>
  </si>
  <si>
    <t>13.42亿</t>
  </si>
  <si>
    <t>1429.89万</t>
  </si>
  <si>
    <t>594.37亿</t>
  </si>
  <si>
    <t>183.11亿</t>
  </si>
  <si>
    <t>6.31亿</t>
  </si>
  <si>
    <t>34.71亿</t>
  </si>
  <si>
    <t>6.20亿</t>
  </si>
  <si>
    <t>190509330亿</t>
  </si>
  <si>
    <t>70.18万</t>
  </si>
  <si>
    <t>153983020亿</t>
  </si>
  <si>
    <t>221.30亿</t>
  </si>
  <si>
    <t>3.75亿</t>
  </si>
  <si>
    <t>12.73亿</t>
  </si>
  <si>
    <t>-2489.56万</t>
  </si>
  <si>
    <t>-8.23亿</t>
  </si>
  <si>
    <t>11.41亿</t>
  </si>
  <si>
    <t>10派0.9元(含税)</t>
  </si>
  <si>
    <t>7957.59万</t>
  </si>
  <si>
    <t>5.78亿</t>
  </si>
  <si>
    <t>0620000000</t>
  </si>
  <si>
    <t>01860000000</t>
  </si>
  <si>
    <t>03720000000</t>
  </si>
  <si>
    <t>06200000000</t>
  </si>
  <si>
    <t>012400000000</t>
  </si>
  <si>
    <t>2120.33万</t>
  </si>
  <si>
    <t>215.73亿</t>
  </si>
  <si>
    <t>109.75亿</t>
  </si>
  <si>
    <t>45.38万</t>
  </si>
  <si>
    <t>142.70万</t>
  </si>
  <si>
    <t>-2998.41万</t>
  </si>
  <si>
    <t>4.51亿</t>
  </si>
  <si>
    <t>62322347亿</t>
  </si>
  <si>
    <t>70.75万</t>
  </si>
  <si>
    <t>19021550亿</t>
  </si>
  <si>
    <t>90.87亿</t>
  </si>
  <si>
    <t>647817020亿</t>
  </si>
  <si>
    <t>29801580000亿</t>
  </si>
  <si>
    <t>5.00亿</t>
  </si>
  <si>
    <t>244.77亿</t>
  </si>
  <si>
    <t>6.44亿</t>
  </si>
  <si>
    <t>-11.07亿</t>
  </si>
  <si>
    <t>-512.60万</t>
  </si>
  <si>
    <t>-5002.82万</t>
  </si>
  <si>
    <t>18.02万</t>
  </si>
  <si>
    <t>4517.42万</t>
  </si>
  <si>
    <t>-5.79万</t>
  </si>
  <si>
    <t>9960.90万</t>
  </si>
  <si>
    <t>8.73亿</t>
  </si>
  <si>
    <t>2933.46万</t>
  </si>
  <si>
    <t>680.97亿</t>
  </si>
  <si>
    <t>283.26亿</t>
  </si>
  <si>
    <t>15.95亿</t>
  </si>
  <si>
    <t>68.94亿</t>
  </si>
  <si>
    <t>11.66亿</t>
  </si>
  <si>
    <t>361926060亿</t>
  </si>
  <si>
    <t>33.65万</t>
  </si>
  <si>
    <t>188542250亿</t>
  </si>
  <si>
    <t>157.18亿</t>
  </si>
  <si>
    <t>3.36亿</t>
  </si>
  <si>
    <t>2502.78万</t>
  </si>
  <si>
    <t>21.68亿</t>
  </si>
  <si>
    <t>-8011.61万</t>
  </si>
  <si>
    <t>-1.75亿</t>
  </si>
  <si>
    <t>4.31亿</t>
  </si>
  <si>
    <t>12.26亿</t>
  </si>
  <si>
    <t>1219.33万</t>
  </si>
  <si>
    <t>3525.01亿</t>
  </si>
  <si>
    <t>1131.53亿</t>
  </si>
  <si>
    <t>33.62亿</t>
  </si>
  <si>
    <t>173.17亿</t>
  </si>
  <si>
    <t>64.27亿</t>
  </si>
  <si>
    <t>739270360亿</t>
  </si>
  <si>
    <t>66.32万</t>
  </si>
  <si>
    <t>1223796300亿</t>
  </si>
  <si>
    <t>686.27亿</t>
  </si>
  <si>
    <t>23.93亿</t>
  </si>
  <si>
    <t>5720.05万</t>
  </si>
  <si>
    <t>181.79万</t>
  </si>
  <si>
    <t>91.34亿</t>
  </si>
  <si>
    <t>-6196.56万</t>
  </si>
  <si>
    <t>12.66亿</t>
  </si>
  <si>
    <t>41.63亿</t>
  </si>
  <si>
    <t>17.68亿</t>
  </si>
  <si>
    <t>6512.18万</t>
  </si>
  <si>
    <t>9.15亿</t>
  </si>
  <si>
    <t>2396.69万</t>
  </si>
  <si>
    <t>299.88亿</t>
  </si>
  <si>
    <t>155.31亿</t>
  </si>
  <si>
    <t>6.73亿</t>
  </si>
  <si>
    <t>24.89亿</t>
  </si>
  <si>
    <t>3.31亿</t>
  </si>
  <si>
    <t>205827520亿</t>
  </si>
  <si>
    <t>64.77万</t>
  </si>
  <si>
    <t>139898810亿</t>
  </si>
  <si>
    <t>92.48亿</t>
  </si>
  <si>
    <t>2.65亿</t>
  </si>
  <si>
    <t>-1.68亿</t>
  </si>
  <si>
    <t>-5607.87万</t>
  </si>
  <si>
    <t>9.32亿</t>
  </si>
  <si>
    <t>6.92亿</t>
  </si>
  <si>
    <t>1.41亿</t>
  </si>
  <si>
    <t>10派0.32元(含税)</t>
  </si>
  <si>
    <t>7.54亿</t>
  </si>
  <si>
    <t>648.52万</t>
  </si>
  <si>
    <t>660.88亿</t>
  </si>
  <si>
    <t>229.08亿</t>
  </si>
  <si>
    <t>31.81亿</t>
  </si>
  <si>
    <t>84176744亿</t>
  </si>
  <si>
    <t>14.72万</t>
  </si>
  <si>
    <t>122592908亿</t>
  </si>
  <si>
    <t>225.82亿</t>
  </si>
  <si>
    <t>5.84亿</t>
  </si>
  <si>
    <t>-11.78亿</t>
  </si>
  <si>
    <t>22.84亿</t>
  </si>
  <si>
    <t>-9.68亿</t>
  </si>
  <si>
    <t>11.27亿</t>
  </si>
  <si>
    <t>4.02亿</t>
  </si>
  <si>
    <t>3805.27万</t>
  </si>
  <si>
    <t>1137.62万</t>
  </si>
  <si>
    <t>865.73亿</t>
  </si>
  <si>
    <t>295.72亿</t>
  </si>
  <si>
    <t>9.06亿</t>
  </si>
  <si>
    <t>39.91亿</t>
  </si>
  <si>
    <t>14.38亿</t>
  </si>
  <si>
    <t>754391870亿</t>
  </si>
  <si>
    <t>50.14万</t>
  </si>
  <si>
    <t>349756660亿</t>
  </si>
  <si>
    <t>185.74亿</t>
  </si>
  <si>
    <t>1.33亿</t>
  </si>
  <si>
    <t>47.46亿</t>
  </si>
  <si>
    <t>-34.32亿</t>
  </si>
  <si>
    <t>11.20亿</t>
  </si>
  <si>
    <t>10派1.15元(含税)</t>
  </si>
  <si>
    <t>5991.02万</t>
  </si>
  <si>
    <t>3.67亿</t>
  </si>
  <si>
    <t>808.32万</t>
  </si>
  <si>
    <t>132.58亿</t>
  </si>
  <si>
    <t>62.73亿</t>
  </si>
  <si>
    <t>2.73亿</t>
  </si>
  <si>
    <t>10.15亿</t>
  </si>
  <si>
    <t>3168.61万</t>
  </si>
  <si>
    <t>86788528亿</t>
  </si>
  <si>
    <t>56.16万</t>
  </si>
  <si>
    <t>72776323亿</t>
  </si>
  <si>
    <t>82.30亿</t>
  </si>
  <si>
    <t>6077.73万</t>
  </si>
  <si>
    <t>2026.39万</t>
  </si>
  <si>
    <t>58.00亿</t>
  </si>
  <si>
    <t>-57.57亿</t>
  </si>
  <si>
    <t>-8.16亿</t>
  </si>
  <si>
    <t>6289.49万</t>
  </si>
  <si>
    <t>10派0.04元(含税)</t>
  </si>
  <si>
    <t>3006.75万</t>
  </si>
  <si>
    <t>2.02亿</t>
  </si>
  <si>
    <t>1676.15亿</t>
  </si>
  <si>
    <t>734.84亿</t>
  </si>
  <si>
    <t>38.88亿</t>
  </si>
  <si>
    <t>81.93亿</t>
  </si>
  <si>
    <t>10.41亿</t>
  </si>
  <si>
    <t>1.26亿</t>
  </si>
  <si>
    <t>8346.99万</t>
  </si>
  <si>
    <t>5.62亿</t>
  </si>
  <si>
    <t>569753740亿</t>
  </si>
  <si>
    <t>375.82万</t>
  </si>
  <si>
    <t>1936855200亿</t>
  </si>
  <si>
    <t>812.52亿</t>
  </si>
  <si>
    <t>704354080亿</t>
  </si>
  <si>
    <t>232263160000亿</t>
  </si>
  <si>
    <t>6.96亿</t>
  </si>
  <si>
    <t>77.68亿</t>
  </si>
  <si>
    <t>11.58万</t>
  </si>
  <si>
    <t>1671.47亿</t>
  </si>
  <si>
    <t>195.68亿</t>
  </si>
  <si>
    <t>-12.46亿</t>
  </si>
  <si>
    <t>19.10亿</t>
  </si>
  <si>
    <t>20.29亿</t>
  </si>
  <si>
    <t>10.31亿</t>
  </si>
  <si>
    <t>43.49亿</t>
  </si>
  <si>
    <t>7867.84万</t>
  </si>
  <si>
    <t>11791.60亿</t>
  </si>
  <si>
    <t>2859.05亿</t>
  </si>
  <si>
    <t>137.55亿</t>
  </si>
  <si>
    <t>732.22亿</t>
  </si>
  <si>
    <t>45.27亿</t>
  </si>
  <si>
    <t>2281853700亿</t>
  </si>
  <si>
    <t>165.51万</t>
  </si>
  <si>
    <t>4905307100亿</t>
  </si>
  <si>
    <t>3343.49亿</t>
  </si>
  <si>
    <t>66.42亿</t>
  </si>
  <si>
    <t>704.95亿</t>
  </si>
  <si>
    <t>-366.62亿</t>
  </si>
  <si>
    <t>-13.94亿</t>
  </si>
  <si>
    <t>600.68亿</t>
  </si>
  <si>
    <t>177.92亿</t>
  </si>
  <si>
    <t>197.21亿</t>
  </si>
  <si>
    <t>15.16亿</t>
  </si>
  <si>
    <t>10派4.75元(含税)</t>
  </si>
  <si>
    <t>2.61亿</t>
  </si>
  <si>
    <t>1525.06万</t>
  </si>
  <si>
    <t>211.42亿</t>
  </si>
  <si>
    <t>120.08亿</t>
  </si>
  <si>
    <t>690.60亿</t>
  </si>
  <si>
    <t>45.22亿</t>
  </si>
  <si>
    <t>79671926亿</t>
  </si>
  <si>
    <t>121.88万</t>
  </si>
  <si>
    <t>88285278亿</t>
  </si>
  <si>
    <t>116.12亿</t>
  </si>
  <si>
    <t>60678419亿</t>
  </si>
  <si>
    <t>29309696000亿</t>
  </si>
  <si>
    <t>1.53亿</t>
  </si>
  <si>
    <t>199.24万</t>
  </si>
  <si>
    <t>20.47亿</t>
  </si>
  <si>
    <t>-1186.27万</t>
  </si>
  <si>
    <t>5.79亿</t>
  </si>
  <si>
    <t>158.85亿</t>
  </si>
  <si>
    <t>15.72亿</t>
  </si>
  <si>
    <t>8363.26万</t>
  </si>
  <si>
    <t>1391.87万</t>
  </si>
  <si>
    <t>842.36亿</t>
  </si>
  <si>
    <t>331.26亿</t>
  </si>
  <si>
    <t>14.83亿</t>
  </si>
  <si>
    <t>45.72亿</t>
  </si>
  <si>
    <t>2731.35万</t>
  </si>
  <si>
    <t>258733840亿</t>
  </si>
  <si>
    <t>79.69万</t>
  </si>
  <si>
    <t>361737490亿</t>
  </si>
  <si>
    <t>278.94亿</t>
  </si>
  <si>
    <t>58.30亿</t>
  </si>
  <si>
    <t>-1.24亿</t>
  </si>
  <si>
    <t>-20.57亿</t>
  </si>
  <si>
    <t>67.30亿</t>
  </si>
  <si>
    <t>11.02亿</t>
  </si>
  <si>
    <t>17.18亿</t>
  </si>
  <si>
    <t>5020.99万</t>
  </si>
  <si>
    <t>10派1.4元(含税)</t>
  </si>
  <si>
    <t>7575.01万</t>
  </si>
  <si>
    <t>华创云信</t>
  </si>
  <si>
    <t>1976.02万</t>
  </si>
  <si>
    <t>319.10亿</t>
  </si>
  <si>
    <t>211.38亿</t>
  </si>
  <si>
    <t>5.81亿</t>
  </si>
  <si>
    <t>2102.31万</t>
  </si>
  <si>
    <t>489542150亿</t>
  </si>
  <si>
    <t>15710446亿</t>
  </si>
  <si>
    <t>90.05亿</t>
  </si>
  <si>
    <t>9.65亿</t>
  </si>
  <si>
    <t>2185.97万</t>
  </si>
  <si>
    <t>-3549.51万</t>
  </si>
  <si>
    <t>6.22亿</t>
  </si>
  <si>
    <t>-1.15亿</t>
  </si>
  <si>
    <t>30.04亿</t>
  </si>
  <si>
    <t>1586.90万</t>
  </si>
  <si>
    <t>8899.75万</t>
  </si>
  <si>
    <t>-2-1</t>
  </si>
  <si>
    <t>2034.85万</t>
  </si>
  <si>
    <t>592.73亿</t>
  </si>
  <si>
    <t>256.14亿</t>
  </si>
  <si>
    <t>5.85亿</t>
  </si>
  <si>
    <t>234.79亿</t>
  </si>
  <si>
    <t>-2.75亿</t>
  </si>
  <si>
    <t>171203620亿</t>
  </si>
  <si>
    <t>19.70万</t>
  </si>
  <si>
    <t>229373740亿</t>
  </si>
  <si>
    <t>140.64亿</t>
  </si>
  <si>
    <t>11.76亿</t>
  </si>
  <si>
    <t>32.83亿</t>
  </si>
  <si>
    <t>8.68亿</t>
  </si>
  <si>
    <t>-61.24亿</t>
  </si>
  <si>
    <t>23.29亿</t>
  </si>
  <si>
    <t>1.09亿</t>
  </si>
  <si>
    <t>1132.01万</t>
  </si>
  <si>
    <t>293.24亿</t>
  </si>
  <si>
    <t>79.87亿</t>
  </si>
  <si>
    <t>322.74万</t>
  </si>
  <si>
    <t>43.90亿</t>
  </si>
  <si>
    <t>-19.97亿</t>
  </si>
  <si>
    <t>242.33万</t>
  </si>
  <si>
    <t>2181.63万</t>
  </si>
  <si>
    <t>75092814亿</t>
  </si>
  <si>
    <t>24.89万</t>
  </si>
  <si>
    <t>57625154亿</t>
  </si>
  <si>
    <t>90.44亿</t>
  </si>
  <si>
    <t>82433111亿</t>
  </si>
  <si>
    <t>38757910000亿</t>
  </si>
  <si>
    <t>940.88万</t>
  </si>
  <si>
    <t>5600.67万</t>
  </si>
  <si>
    <t>1.89万</t>
  </si>
  <si>
    <t>307.65亿</t>
  </si>
  <si>
    <t>3134.40万</t>
  </si>
  <si>
    <t>-3.72亿</t>
  </si>
  <si>
    <t>1446.06万</t>
  </si>
  <si>
    <t>3.97亿</t>
  </si>
  <si>
    <t>547.57万</t>
  </si>
  <si>
    <t>10派1.13元(含税)</t>
  </si>
  <si>
    <t>6121.61万</t>
  </si>
  <si>
    <t>-6-1</t>
  </si>
  <si>
    <t>3494.00万</t>
  </si>
  <si>
    <t>5797.87亿</t>
  </si>
  <si>
    <t>1726.46亿</t>
  </si>
  <si>
    <t>47.62亿</t>
  </si>
  <si>
    <t>8654.83万</t>
  </si>
  <si>
    <t>6219.66万</t>
  </si>
  <si>
    <t>528842690亿</t>
  </si>
  <si>
    <t>2384.97万</t>
  </si>
  <si>
    <t>527329110亿</t>
  </si>
  <si>
    <t>1590.22亿</t>
  </si>
  <si>
    <t>157.80亿</t>
  </si>
  <si>
    <t>2.79亿</t>
  </si>
  <si>
    <t>344.44亿</t>
  </si>
  <si>
    <t>384.45亿</t>
  </si>
  <si>
    <t>-69.24亿</t>
  </si>
  <si>
    <t>250.26亿</t>
  </si>
  <si>
    <t>-10.14亿</t>
  </si>
  <si>
    <t>229.53亿</t>
  </si>
  <si>
    <t>2194.22万</t>
  </si>
  <si>
    <t>1470.72万</t>
  </si>
  <si>
    <t>1.52亿</t>
  </si>
  <si>
    <t>15.75亿</t>
  </si>
  <si>
    <t>062196600</t>
  </si>
  <si>
    <t>0186589800</t>
  </si>
  <si>
    <t>0373179600</t>
  </si>
  <si>
    <t>0621966000</t>
  </si>
  <si>
    <t>01243932000</t>
  </si>
  <si>
    <t>-10-1</t>
  </si>
  <si>
    <t>1490.24万</t>
  </si>
  <si>
    <t>270.11亿</t>
  </si>
  <si>
    <t>125.68亿</t>
  </si>
  <si>
    <t>7.66亿</t>
  </si>
  <si>
    <t>1357.14万</t>
  </si>
  <si>
    <t>89.25万</t>
  </si>
  <si>
    <t>256644430亿</t>
  </si>
  <si>
    <t>31.71万</t>
  </si>
  <si>
    <t>102970013亿</t>
  </si>
  <si>
    <t>74.24亿</t>
  </si>
  <si>
    <t>337450610亿</t>
  </si>
  <si>
    <t>234.63万</t>
  </si>
  <si>
    <t>32671657000亿</t>
  </si>
  <si>
    <t>4179.59万</t>
  </si>
  <si>
    <t>9.00亿</t>
  </si>
  <si>
    <t>12.24亿</t>
  </si>
  <si>
    <t>207.83亿</t>
  </si>
  <si>
    <t>19.53亿</t>
  </si>
  <si>
    <t>-5567.42万</t>
  </si>
  <si>
    <t>-2.63亿</t>
  </si>
  <si>
    <t>-10.13亿</t>
  </si>
  <si>
    <t>17.34亿</t>
  </si>
  <si>
    <t>5650.91万</t>
  </si>
  <si>
    <t>348.77万</t>
  </si>
  <si>
    <t>8096.92万</t>
  </si>
  <si>
    <t>013571400</t>
  </si>
  <si>
    <t>040714200</t>
  </si>
  <si>
    <t>081428400</t>
  </si>
  <si>
    <t>0135714000</t>
  </si>
  <si>
    <t>0271428000</t>
  </si>
  <si>
    <t>1248.60万</t>
  </si>
  <si>
    <t>351.16亿</t>
  </si>
  <si>
    <t>116.97亿</t>
  </si>
  <si>
    <t>45.38亿</t>
  </si>
  <si>
    <t>22.00亿</t>
  </si>
  <si>
    <t>112721931亿</t>
  </si>
  <si>
    <t>15.03万</t>
  </si>
  <si>
    <t>109985394亿</t>
  </si>
  <si>
    <t>131.48亿</t>
  </si>
  <si>
    <t>2455.12万</t>
  </si>
  <si>
    <t>-461.19万</t>
  </si>
  <si>
    <t>9.88亿</t>
  </si>
  <si>
    <t>12.42亿</t>
  </si>
  <si>
    <t>6.06亿</t>
  </si>
  <si>
    <t>5.47亿</t>
  </si>
  <si>
    <t>7868.22万</t>
  </si>
  <si>
    <t>4.58亿</t>
  </si>
  <si>
    <t>1915.63万</t>
  </si>
  <si>
    <t>584.09亿</t>
  </si>
  <si>
    <t>214.99亿</t>
  </si>
  <si>
    <t>8.32亿</t>
  </si>
  <si>
    <t>563.64亿</t>
  </si>
  <si>
    <t>9.73亿</t>
  </si>
  <si>
    <t>191378010亿</t>
  </si>
  <si>
    <t>277156580亿</t>
  </si>
  <si>
    <t>159.63亿</t>
  </si>
  <si>
    <t>13.96亿</t>
  </si>
  <si>
    <t>766.38万</t>
  </si>
  <si>
    <t>21.73亿</t>
  </si>
  <si>
    <t>-2.40亿</t>
  </si>
  <si>
    <t>12.51亿</t>
  </si>
  <si>
    <t>11.82亿</t>
  </si>
  <si>
    <t>161.39亿</t>
  </si>
  <si>
    <t>12.74亿</t>
  </si>
  <si>
    <t>3.00亿</t>
  </si>
  <si>
    <t>9743.71万</t>
  </si>
  <si>
    <t>1240.05万</t>
  </si>
  <si>
    <t>1533.31亿</t>
  </si>
  <si>
    <t>426.72亿</t>
  </si>
  <si>
    <t>25.39亿</t>
  </si>
  <si>
    <t>742.93亿</t>
  </si>
  <si>
    <t>287.50亿</t>
  </si>
  <si>
    <t>254978340亿</t>
  </si>
  <si>
    <t>1788.24万</t>
  </si>
  <si>
    <t>307102040亿</t>
  </si>
  <si>
    <t>600.31亿</t>
  </si>
  <si>
    <t>32.69亿</t>
  </si>
  <si>
    <t>25.37亿</t>
  </si>
  <si>
    <t>11.35亿</t>
  </si>
  <si>
    <t>-3.38亿</t>
  </si>
  <si>
    <t>30.24亿</t>
  </si>
  <si>
    <t>127.62亿</t>
  </si>
  <si>
    <t>187.95亿</t>
  </si>
  <si>
    <t>18.00亿</t>
  </si>
  <si>
    <t>82.19亿</t>
  </si>
  <si>
    <t>6431.95万</t>
  </si>
  <si>
    <t>2232.90万</t>
  </si>
  <si>
    <t>3049.30亿</t>
  </si>
  <si>
    <t>801.28亿</t>
  </si>
  <si>
    <t>36.11亿</t>
  </si>
  <si>
    <t>75.97亿</t>
  </si>
  <si>
    <t>3.40亿</t>
  </si>
  <si>
    <t>403449890亿</t>
  </si>
  <si>
    <t>794110160亿</t>
  </si>
  <si>
    <t>849.80亿</t>
  </si>
  <si>
    <t>18.20亿</t>
  </si>
  <si>
    <t>13.64亿</t>
  </si>
  <si>
    <t>-227.98亿</t>
  </si>
  <si>
    <t>91.03亿</t>
  </si>
  <si>
    <t>-55.81亿</t>
  </si>
  <si>
    <t>170.90亿</t>
  </si>
  <si>
    <t>17.94亿</t>
  </si>
  <si>
    <t>27.54亿</t>
  </si>
  <si>
    <t>9386.58万</t>
  </si>
  <si>
    <t>7.47亿</t>
  </si>
  <si>
    <t>979.22万</t>
  </si>
  <si>
    <t>5738.16亿</t>
  </si>
  <si>
    <t>1243.79亿</t>
  </si>
  <si>
    <t>42.99亿</t>
  </si>
  <si>
    <t>58.45亿</t>
  </si>
  <si>
    <t>19.25亿</t>
  </si>
  <si>
    <t>-242494160亿</t>
  </si>
  <si>
    <t>858.88万</t>
  </si>
  <si>
    <t>2158840600亿</t>
  </si>
  <si>
    <t>899.96亿</t>
  </si>
  <si>
    <t>14.79亿</t>
  </si>
  <si>
    <t>3385.58万</t>
  </si>
  <si>
    <t>58.41亿</t>
  </si>
  <si>
    <t>21.04亿</t>
  </si>
  <si>
    <t>-104.39亿</t>
  </si>
  <si>
    <t>-267.38亿</t>
  </si>
  <si>
    <t>80.70亿</t>
  </si>
  <si>
    <t>198.21亿</t>
  </si>
  <si>
    <t>14.58亿</t>
  </si>
  <si>
    <t>87.64亿</t>
  </si>
  <si>
    <t>5.16亿</t>
  </si>
  <si>
    <t>10派2.52元(含税)</t>
  </si>
  <si>
    <t>5982.09万</t>
  </si>
  <si>
    <t>1027.02万</t>
  </si>
  <si>
    <t>595.84亿</t>
  </si>
  <si>
    <t>185.20亿</t>
  </si>
  <si>
    <t>8.35亿</t>
  </si>
  <si>
    <t>1249.99亿</t>
  </si>
  <si>
    <t>20.57亿</t>
  </si>
  <si>
    <t>414006370亿</t>
  </si>
  <si>
    <t>180667080亿</t>
  </si>
  <si>
    <t>174.50亿</t>
  </si>
  <si>
    <t>9862.79万</t>
  </si>
  <si>
    <t>4.17亿</t>
  </si>
  <si>
    <t>-23.07亿</t>
  </si>
  <si>
    <t>18.69亿</t>
  </si>
  <si>
    <t>11.91亿</t>
  </si>
  <si>
    <t>277.33亿</t>
  </si>
  <si>
    <t>14.67亿</t>
  </si>
  <si>
    <t>10派0.46元(含税)</t>
  </si>
  <si>
    <t>5001.77万</t>
  </si>
  <si>
    <t>786.19万</t>
  </si>
  <si>
    <t>4252.26亿</t>
  </si>
  <si>
    <t>1031.29亿</t>
  </si>
  <si>
    <t>42.94亿</t>
  </si>
  <si>
    <t>223.37亿</t>
  </si>
  <si>
    <t>-26.58亿</t>
  </si>
  <si>
    <t>-943034970亿</t>
  </si>
  <si>
    <t>23.96万</t>
  </si>
  <si>
    <t>1228081790亿</t>
  </si>
  <si>
    <t>1094.84亿</t>
  </si>
  <si>
    <t>7.62亿</t>
  </si>
  <si>
    <t>43.18亿</t>
  </si>
  <si>
    <t>-22.46亿</t>
  </si>
  <si>
    <t>75.19亿</t>
  </si>
  <si>
    <t>232.43亿</t>
  </si>
  <si>
    <t>43.06亿</t>
  </si>
  <si>
    <t>70.34亿</t>
  </si>
  <si>
    <t>301.90万</t>
  </si>
  <si>
    <t>10派2.5元(含税)</t>
  </si>
  <si>
    <t>3570.71万</t>
  </si>
  <si>
    <t>2.72亿</t>
  </si>
  <si>
    <t>3-1</t>
  </si>
  <si>
    <t>1.18亿</t>
  </si>
  <si>
    <t>64.39亿</t>
  </si>
  <si>
    <t>95.19亿</t>
  </si>
  <si>
    <t>2.78亿</t>
  </si>
  <si>
    <t>89.85亿</t>
  </si>
  <si>
    <t>24.99亿</t>
  </si>
  <si>
    <t>77646405亿</t>
  </si>
  <si>
    <t>1.64万</t>
  </si>
  <si>
    <t>247116690亿</t>
  </si>
  <si>
    <t>50.36亿</t>
  </si>
  <si>
    <t>-2.56亿</t>
  </si>
  <si>
    <t>3025.15万</t>
  </si>
  <si>
    <t>-6088.93万</t>
  </si>
  <si>
    <t>13.71亿</t>
  </si>
  <si>
    <t>24.27亿</t>
  </si>
  <si>
    <t>5.36亿</t>
  </si>
  <si>
    <t>45.01亿</t>
  </si>
  <si>
    <t>2048.53万</t>
  </si>
  <si>
    <t>991.27亿</t>
  </si>
  <si>
    <t>351.55亿</t>
  </si>
  <si>
    <t>1411.00亿</t>
  </si>
  <si>
    <t>-10.46亿</t>
  </si>
  <si>
    <t>-680814140亿</t>
  </si>
  <si>
    <t>1.10万</t>
  </si>
  <si>
    <t>420732250亿</t>
  </si>
  <si>
    <t>212.22亿</t>
  </si>
  <si>
    <t>14.89亿</t>
  </si>
  <si>
    <t>909.00万</t>
  </si>
  <si>
    <t>51.20亿</t>
  </si>
  <si>
    <t>-13.61亿</t>
  </si>
  <si>
    <t>-9.07亿</t>
  </si>
  <si>
    <t>65.17亿</t>
  </si>
  <si>
    <t>250.68亿</t>
  </si>
  <si>
    <t>22.52亿</t>
  </si>
  <si>
    <t>-29.26亿</t>
  </si>
  <si>
    <t>1.01亿</t>
  </si>
  <si>
    <t>4322.24万</t>
  </si>
  <si>
    <t>308.39亿</t>
  </si>
  <si>
    <t>126.54亿</t>
  </si>
  <si>
    <t>5.64亿</t>
  </si>
  <si>
    <t>177.56亿</t>
  </si>
  <si>
    <t>11.24亿</t>
  </si>
  <si>
    <t>277370570亿</t>
  </si>
  <si>
    <t>2.61万</t>
  </si>
  <si>
    <t>217130230亿</t>
  </si>
  <si>
    <t>61.17亿</t>
  </si>
  <si>
    <t>4004.44万</t>
  </si>
  <si>
    <t>-29.50亿</t>
  </si>
  <si>
    <t>17.88亿</t>
  </si>
  <si>
    <t>5.55亿</t>
  </si>
  <si>
    <t>19.27亿</t>
  </si>
  <si>
    <t>33.84亿</t>
  </si>
  <si>
    <t>7.01亿</t>
  </si>
  <si>
    <t>1.69亿</t>
  </si>
  <si>
    <t>13.30亿</t>
  </si>
  <si>
    <t>749.62亿</t>
  </si>
  <si>
    <t>241.75亿</t>
  </si>
  <si>
    <t>1.85亿</t>
  </si>
  <si>
    <t>104.22亿</t>
  </si>
  <si>
    <t>71177872亿</t>
  </si>
  <si>
    <t>23.50万</t>
  </si>
  <si>
    <t>-379720870亿</t>
  </si>
  <si>
    <t>243.50亿</t>
  </si>
  <si>
    <t>25.82亿</t>
  </si>
  <si>
    <t>-14.35亿</t>
  </si>
  <si>
    <t>-15.03亿</t>
  </si>
  <si>
    <t>34.27亿</t>
  </si>
  <si>
    <t>24.58亿</t>
  </si>
  <si>
    <t>3.07亿</t>
  </si>
  <si>
    <t>44.52亿</t>
  </si>
  <si>
    <t>1506.97万</t>
  </si>
  <si>
    <t>721.71亿</t>
  </si>
  <si>
    <t>276.48亿</t>
  </si>
  <si>
    <t>19.80亿</t>
  </si>
  <si>
    <t>-475858100亿</t>
  </si>
  <si>
    <t>25.53万</t>
  </si>
  <si>
    <t>357609230亿</t>
  </si>
  <si>
    <t>112.52亿</t>
  </si>
  <si>
    <t>-52.85亿</t>
  </si>
  <si>
    <t>76.75亿</t>
  </si>
  <si>
    <t>-11.50亿</t>
  </si>
  <si>
    <t>47.35亿</t>
  </si>
  <si>
    <t>7357.37万</t>
  </si>
  <si>
    <t>10派1.02元(含税)</t>
  </si>
  <si>
    <t>8519.58万</t>
  </si>
  <si>
    <t>5.98亿</t>
  </si>
  <si>
    <t>0323000000</t>
  </si>
  <si>
    <t>0969000000</t>
  </si>
  <si>
    <t>01938000000</t>
  </si>
  <si>
    <t>03230000000</t>
  </si>
  <si>
    <t>06460000000</t>
  </si>
  <si>
    <t>-2-0</t>
  </si>
  <si>
    <t>1969.25万</t>
  </si>
  <si>
    <t>7520.24亿</t>
  </si>
  <si>
    <t>1759.75亿</t>
  </si>
  <si>
    <t>79.83亿</t>
  </si>
  <si>
    <t>869.71亿</t>
  </si>
  <si>
    <t>8306.44万</t>
  </si>
  <si>
    <t>-3019048000亿</t>
  </si>
  <si>
    <t>68.12万</t>
  </si>
  <si>
    <t>2049710200亿</t>
  </si>
  <si>
    <t>1781.62亿</t>
  </si>
  <si>
    <t>38.75亿</t>
  </si>
  <si>
    <t>174.65亿</t>
  </si>
  <si>
    <t>5.50亿</t>
  </si>
  <si>
    <t>-130.16亿</t>
  </si>
  <si>
    <t>184.21亿</t>
  </si>
  <si>
    <t>-21.96亿</t>
  </si>
  <si>
    <t>115.09亿</t>
  </si>
  <si>
    <t>361.41亿</t>
  </si>
  <si>
    <t>210.07亿</t>
  </si>
  <si>
    <t>93.74亿</t>
  </si>
  <si>
    <t>-6828.76万</t>
  </si>
  <si>
    <t>10派4元(含税)</t>
  </si>
  <si>
    <t>10.50亿</t>
  </si>
  <si>
    <t>864.86万</t>
  </si>
  <si>
    <t>236.63亿</t>
  </si>
  <si>
    <t>236.31亿</t>
  </si>
  <si>
    <t>1287.57亿</t>
  </si>
  <si>
    <t>44.29亿</t>
  </si>
  <si>
    <t>121308436亿</t>
  </si>
  <si>
    <t>20.18万</t>
  </si>
  <si>
    <t>119014711亿</t>
  </si>
  <si>
    <t>45.86亿</t>
  </si>
  <si>
    <t>6215.94万</t>
  </si>
  <si>
    <t>479.93万</t>
  </si>
  <si>
    <t>-789.57万</t>
  </si>
  <si>
    <t>-5.83亿</t>
  </si>
  <si>
    <t>263.93亿</t>
  </si>
  <si>
    <t>3.12亿</t>
  </si>
  <si>
    <t>15.38亿</t>
  </si>
  <si>
    <t>10派0.6元(含税)</t>
  </si>
  <si>
    <t>5200.01万</t>
  </si>
  <si>
    <t>1914.00万</t>
  </si>
  <si>
    <t>375.51亿</t>
  </si>
  <si>
    <t>142.77亿</t>
  </si>
  <si>
    <t>106.27亿</t>
  </si>
  <si>
    <t>19.64亿</t>
  </si>
  <si>
    <t>427807610亿</t>
  </si>
  <si>
    <t>72.89万</t>
  </si>
  <si>
    <t>126639435亿</t>
  </si>
  <si>
    <t>111.17亿</t>
  </si>
  <si>
    <t>700.46万</t>
  </si>
  <si>
    <t>-1674.61万</t>
  </si>
  <si>
    <t>-3.98亿</t>
  </si>
  <si>
    <t>19.68亿</t>
  </si>
  <si>
    <t>41.69亿</t>
  </si>
  <si>
    <t>8.28亿</t>
  </si>
  <si>
    <t>10派0.14元(含税)</t>
  </si>
  <si>
    <t>2523.98万</t>
  </si>
  <si>
    <t>2126.41亿</t>
  </si>
  <si>
    <t>615.88亿</t>
  </si>
  <si>
    <t>23.77亿</t>
  </si>
  <si>
    <t>67.97亿</t>
  </si>
  <si>
    <t>-1601865100亿</t>
  </si>
  <si>
    <t>926.02万</t>
  </si>
  <si>
    <t>296780660亿</t>
  </si>
  <si>
    <t>603.83亿</t>
  </si>
  <si>
    <t>13.89亿</t>
  </si>
  <si>
    <t>-16.57亿</t>
  </si>
  <si>
    <t>-13.79亿</t>
  </si>
  <si>
    <t>-79.18亿</t>
  </si>
  <si>
    <t>17.52亿</t>
  </si>
  <si>
    <t>7398.56万</t>
  </si>
  <si>
    <t>4961.18万</t>
  </si>
  <si>
    <t>690.05亿</t>
  </si>
  <si>
    <t>182.68亿</t>
  </si>
  <si>
    <t>1.73亿</t>
  </si>
  <si>
    <t>50.64亿</t>
  </si>
  <si>
    <t>2.16亿</t>
  </si>
  <si>
    <t>-867995650亿</t>
  </si>
  <si>
    <t>82.45万</t>
  </si>
  <si>
    <t>-226728570亿</t>
  </si>
  <si>
    <t>129.00亿</t>
  </si>
  <si>
    <t>9386.83万</t>
  </si>
  <si>
    <t>1747.21万</t>
  </si>
  <si>
    <t>-10.19亿</t>
  </si>
  <si>
    <t>26.46亿</t>
  </si>
  <si>
    <t>29.55亿</t>
  </si>
  <si>
    <t>10.49亿</t>
  </si>
  <si>
    <t>6.71亿</t>
  </si>
  <si>
    <t>1114.86万</t>
  </si>
  <si>
    <t>10派1.42元(含税)</t>
  </si>
  <si>
    <t>12.11亿</t>
  </si>
  <si>
    <t>2884.01万</t>
  </si>
  <si>
    <t>1172.03亿</t>
  </si>
  <si>
    <t>409.31亿</t>
  </si>
  <si>
    <t>22.25亿</t>
  </si>
  <si>
    <t>30.55亿</t>
  </si>
  <si>
    <t>1.91亿</t>
  </si>
  <si>
    <t>610026770亿</t>
  </si>
  <si>
    <t>5.77万</t>
  </si>
  <si>
    <t>446007960亿</t>
  </si>
  <si>
    <t>286.92亿</t>
  </si>
  <si>
    <t>22.53亿</t>
  </si>
  <si>
    <t>8.72亿</t>
  </si>
  <si>
    <t>-116.87亿</t>
  </si>
  <si>
    <t>-18.85亿</t>
  </si>
  <si>
    <t>112.81亿</t>
  </si>
  <si>
    <t>7.72亿</t>
  </si>
  <si>
    <t>20.02亿</t>
  </si>
  <si>
    <t>9721.75万</t>
  </si>
  <si>
    <t>10派1.88元(含税)</t>
  </si>
  <si>
    <t>3882.14万</t>
  </si>
  <si>
    <t>7232.91亿</t>
  </si>
  <si>
    <t>1847.22亿</t>
  </si>
  <si>
    <t>61.05亿</t>
  </si>
  <si>
    <t>197.01亿</t>
  </si>
  <si>
    <t>939296840亿</t>
  </si>
  <si>
    <t>293.48万</t>
  </si>
  <si>
    <t>2239147100亿</t>
  </si>
  <si>
    <t>1587.29亿</t>
  </si>
  <si>
    <t>44.67亿</t>
  </si>
  <si>
    <t>48.93亿</t>
  </si>
  <si>
    <t>315.62亿</t>
  </si>
  <si>
    <t>-6.75亿</t>
  </si>
  <si>
    <t>-209.55亿</t>
  </si>
  <si>
    <t>110.54亿</t>
  </si>
  <si>
    <t>365.78亿</t>
  </si>
  <si>
    <t>44.69亿</t>
  </si>
  <si>
    <t>127.51亿</t>
  </si>
  <si>
    <t>10派4.3元(含税)</t>
  </si>
  <si>
    <t>1398.51万</t>
  </si>
  <si>
    <t>522.23亿</t>
  </si>
  <si>
    <t>174.36亿</t>
  </si>
  <si>
    <t>6.15亿</t>
  </si>
  <si>
    <t>26.16亿</t>
  </si>
  <si>
    <t>-50619914亿</t>
  </si>
  <si>
    <t>15.98万</t>
  </si>
  <si>
    <t>199879830亿</t>
  </si>
  <si>
    <t>203.59亿</t>
  </si>
  <si>
    <t>7567.71万</t>
  </si>
  <si>
    <t>19.37亿</t>
  </si>
  <si>
    <t>-18.53亿</t>
  </si>
  <si>
    <t>-10.87亿</t>
  </si>
  <si>
    <t>29.40亿</t>
  </si>
  <si>
    <t>9.01亿</t>
  </si>
  <si>
    <t>10派0.34元(含税)</t>
  </si>
  <si>
    <t>6495.99万</t>
  </si>
  <si>
    <t>3.82亿</t>
  </si>
  <si>
    <t>0349000000</t>
  </si>
  <si>
    <t>01047000000</t>
  </si>
  <si>
    <t>02094000000</t>
  </si>
  <si>
    <t>03490000000</t>
  </si>
  <si>
    <t>06980000000</t>
  </si>
  <si>
    <t>-4-1</t>
  </si>
  <si>
    <t>2342.21万</t>
  </si>
  <si>
    <t>1917.09亿</t>
  </si>
  <si>
    <t>686.61亿</t>
  </si>
  <si>
    <t>22.04亿</t>
  </si>
  <si>
    <t>226.73亿</t>
  </si>
  <si>
    <t>-726736930亿</t>
  </si>
  <si>
    <t>85.83万</t>
  </si>
  <si>
    <t>687822660亿</t>
  </si>
  <si>
    <t>612.93亿</t>
  </si>
  <si>
    <t>8.62亿</t>
  </si>
  <si>
    <t>16.67亿</t>
  </si>
  <si>
    <t>44.33亿</t>
  </si>
  <si>
    <t>34.58亿</t>
  </si>
  <si>
    <t>-113.06亿</t>
  </si>
  <si>
    <t>56.96亿</t>
  </si>
  <si>
    <t>42.71亿</t>
  </si>
  <si>
    <t>9724.64万</t>
  </si>
  <si>
    <t>10派2.803元(含税)</t>
  </si>
  <si>
    <t>4304.26万</t>
  </si>
  <si>
    <t>1172.56亿</t>
  </si>
  <si>
    <t>287.75亿</t>
  </si>
  <si>
    <t>38.82亿</t>
  </si>
  <si>
    <t>122.20亿</t>
  </si>
  <si>
    <t>13.43亿</t>
  </si>
  <si>
    <t>-159496160亿</t>
  </si>
  <si>
    <t>2.75万</t>
  </si>
  <si>
    <t>440330770亿</t>
  </si>
  <si>
    <t>419.02亿</t>
  </si>
  <si>
    <t>8.56亿</t>
  </si>
  <si>
    <t>2.96亿</t>
  </si>
  <si>
    <t>32.93亿</t>
  </si>
  <si>
    <t>-3085.93万</t>
  </si>
  <si>
    <t>-4.64亿</t>
  </si>
  <si>
    <t>176.38亿</t>
  </si>
  <si>
    <t>28.76亿</t>
  </si>
  <si>
    <t>17.54亿</t>
  </si>
  <si>
    <t>3.90亿</t>
  </si>
  <si>
    <t>3564.61万</t>
  </si>
  <si>
    <t>5327.11亿</t>
  </si>
  <si>
    <t>1330.34亿</t>
  </si>
  <si>
    <t>72.14亿</t>
  </si>
  <si>
    <t>33.23亿</t>
  </si>
  <si>
    <t>-2280461000亿</t>
  </si>
  <si>
    <t>11.20万</t>
  </si>
  <si>
    <t>1632526300亿</t>
  </si>
  <si>
    <t>1573.05亿</t>
  </si>
  <si>
    <t>101.64亿</t>
  </si>
  <si>
    <t>823.44亿</t>
  </si>
  <si>
    <t>-352.87亿</t>
  </si>
  <si>
    <t>-49.21亿</t>
  </si>
  <si>
    <t>336.44亿</t>
  </si>
  <si>
    <t>7.83亿</t>
  </si>
  <si>
    <t>78.79亿</t>
  </si>
  <si>
    <t>10派2.2元(含税)</t>
  </si>
  <si>
    <t>1.67亿</t>
  </si>
  <si>
    <t>13.17亿</t>
  </si>
  <si>
    <t>5520.90万</t>
  </si>
  <si>
    <t>1763.50亿</t>
  </si>
  <si>
    <t>470.38亿</t>
  </si>
  <si>
    <t>19.85亿</t>
  </si>
  <si>
    <t>105.02亿</t>
  </si>
  <si>
    <t>322227670亿</t>
  </si>
  <si>
    <t>31.52万</t>
  </si>
  <si>
    <t>764284010亿</t>
  </si>
  <si>
    <t>503.77亿</t>
  </si>
  <si>
    <t>1577.00万</t>
  </si>
  <si>
    <t>-58.24亿</t>
  </si>
  <si>
    <t>-1339.15万</t>
  </si>
  <si>
    <t>55.81亿</t>
  </si>
  <si>
    <t>71.19亿</t>
  </si>
  <si>
    <t>21.52亿</t>
  </si>
  <si>
    <t>10派0.23元(含税)</t>
  </si>
  <si>
    <t>1099.69万</t>
  </si>
  <si>
    <t>409.88亿</t>
  </si>
  <si>
    <t>177.53亿</t>
  </si>
  <si>
    <t>8.82亿</t>
  </si>
  <si>
    <t>1224.04亿</t>
  </si>
  <si>
    <t>193000080亿</t>
  </si>
  <si>
    <t>9.45万</t>
  </si>
  <si>
    <t>256579530亿</t>
  </si>
  <si>
    <t>120.84亿</t>
  </si>
  <si>
    <t>7.91亿</t>
  </si>
  <si>
    <t>2677.50万</t>
  </si>
  <si>
    <t>8.33亿</t>
  </si>
  <si>
    <t>-325.91万</t>
  </si>
  <si>
    <t>280.50亿</t>
  </si>
  <si>
    <t>6.77亿</t>
  </si>
  <si>
    <t>5715.33万</t>
  </si>
  <si>
    <t>1020.50万</t>
  </si>
  <si>
    <t>5194.09亿</t>
  </si>
  <si>
    <t>1062.30亿</t>
  </si>
  <si>
    <t>38.74亿</t>
  </si>
  <si>
    <t>23.40亿</t>
  </si>
  <si>
    <t>5228.29万</t>
  </si>
  <si>
    <t>3435649000亿</t>
  </si>
  <si>
    <t>60.58万</t>
  </si>
  <si>
    <t>1216702410亿</t>
  </si>
  <si>
    <t>1385.18亿</t>
  </si>
  <si>
    <t>10.88亿</t>
  </si>
  <si>
    <t>6.75亿</t>
  </si>
  <si>
    <t>128.15亿</t>
  </si>
  <si>
    <t>18.28亿</t>
  </si>
  <si>
    <t>12.52亿</t>
  </si>
  <si>
    <t>229.90亿</t>
  </si>
  <si>
    <t>61.56亿</t>
  </si>
  <si>
    <t>-1013.44万</t>
  </si>
  <si>
    <t>5069.47万</t>
  </si>
  <si>
    <t>052282900</t>
  </si>
  <si>
    <t>0156848700</t>
  </si>
  <si>
    <t>0313697400</t>
  </si>
  <si>
    <t>0522829000</t>
  </si>
  <si>
    <t>01045658000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</si>
</sst>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9" fontId="0" fillId="0" borderId="0" xfId="0" applyNumberForma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273050</xdr:colOff>
          <xdr:row>0</xdr:row>
          <xdr:rowOff>165100</xdr:rowOff>
        </xdr:from>
        <xdr:to>
          <xdr:col>147</xdr:col>
          <xdr:colOff>1555750</xdr:colOff>
          <xdr:row>0</xdr:row>
          <xdr:rowOff>476250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52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51" sqref="D51:EP51"/>
    </sheetView>
  </sheetViews>
  <sheetFormatPr defaultRowHeight="14" x14ac:dyDescent="0.25"/>
  <cols>
    <col min="1" max="1" width="32.36328125" customWidth="1"/>
    <col min="2" max="2" width="37.26953125" customWidth="1"/>
    <col min="3" max="3" width="43.6328125" customWidth="1"/>
    <col min="148" max="148" width="27.08984375" customWidth="1"/>
  </cols>
  <sheetData>
    <row r="1" spans="1:146" ht="51.5" customHeight="1" x14ac:dyDescent="0.25">
      <c r="A1" s="3" t="s">
        <v>95</v>
      </c>
      <c r="B1" s="4" t="s">
        <v>96</v>
      </c>
      <c r="C1" s="3" t="s">
        <v>97</v>
      </c>
      <c r="D1" t="s">
        <v>45</v>
      </c>
      <c r="E1" t="s">
        <v>515</v>
      </c>
      <c r="F1" t="s">
        <v>3</v>
      </c>
      <c r="G1" t="s">
        <v>430</v>
      </c>
      <c r="H1" t="s">
        <v>516</v>
      </c>
      <c r="I1" t="s">
        <v>46</v>
      </c>
      <c r="J1" t="s">
        <v>47</v>
      </c>
      <c r="K1" t="s">
        <v>4</v>
      </c>
      <c r="L1" t="s">
        <v>48</v>
      </c>
      <c r="M1" t="s">
        <v>98</v>
      </c>
      <c r="N1" t="s">
        <v>99</v>
      </c>
      <c r="O1" t="s">
        <v>100</v>
      </c>
      <c r="P1" t="s">
        <v>517</v>
      </c>
      <c r="Q1" t="s">
        <v>518</v>
      </c>
      <c r="R1" t="s">
        <v>519</v>
      </c>
      <c r="S1" t="s">
        <v>101</v>
      </c>
      <c r="T1" t="s">
        <v>520</v>
      </c>
      <c r="U1" t="s">
        <v>431</v>
      </c>
      <c r="V1" t="s">
        <v>102</v>
      </c>
      <c r="W1" t="s">
        <v>521</v>
      </c>
      <c r="X1" t="s">
        <v>522</v>
      </c>
      <c r="Y1" t="s">
        <v>523</v>
      </c>
      <c r="Z1" t="s">
        <v>524</v>
      </c>
      <c r="AA1" t="s">
        <v>525</v>
      </c>
      <c r="AB1" t="s">
        <v>526</v>
      </c>
      <c r="AC1" t="s">
        <v>527</v>
      </c>
      <c r="AD1" t="s">
        <v>528</v>
      </c>
      <c r="AE1" t="s">
        <v>103</v>
      </c>
      <c r="AF1" t="s">
        <v>104</v>
      </c>
      <c r="AG1" t="s">
        <v>529</v>
      </c>
      <c r="AH1" t="s">
        <v>530</v>
      </c>
      <c r="AI1" t="s">
        <v>531</v>
      </c>
      <c r="AJ1" t="s">
        <v>105</v>
      </c>
      <c r="AK1" t="s">
        <v>532</v>
      </c>
      <c r="AL1" t="s">
        <v>195</v>
      </c>
      <c r="AM1" t="s">
        <v>533</v>
      </c>
      <c r="AN1" t="s">
        <v>534</v>
      </c>
      <c r="AO1" t="s">
        <v>535</v>
      </c>
      <c r="AP1" t="s">
        <v>536</v>
      </c>
      <c r="AQ1" t="s">
        <v>537</v>
      </c>
      <c r="AR1" t="s">
        <v>538</v>
      </c>
      <c r="AS1" t="s">
        <v>539</v>
      </c>
      <c r="AT1" t="s">
        <v>540</v>
      </c>
      <c r="AU1" t="s">
        <v>541</v>
      </c>
      <c r="AV1" t="s">
        <v>542</v>
      </c>
      <c r="AW1" t="s">
        <v>543</v>
      </c>
      <c r="AX1" t="s">
        <v>544</v>
      </c>
      <c r="AY1" t="s">
        <v>196</v>
      </c>
      <c r="AZ1" t="s">
        <v>197</v>
      </c>
      <c r="BA1" t="s">
        <v>198</v>
      </c>
      <c r="BB1" t="s">
        <v>199</v>
      </c>
      <c r="BC1" t="s">
        <v>432</v>
      </c>
      <c r="BD1" t="s">
        <v>200</v>
      </c>
      <c r="BE1" t="s">
        <v>201</v>
      </c>
      <c r="BF1" t="s">
        <v>202</v>
      </c>
      <c r="BG1" t="s">
        <v>203</v>
      </c>
      <c r="BH1" t="s">
        <v>545</v>
      </c>
      <c r="BI1" t="s">
        <v>546</v>
      </c>
      <c r="BJ1" t="s">
        <v>547</v>
      </c>
      <c r="BK1" t="s">
        <v>548</v>
      </c>
      <c r="BL1" t="s">
        <v>549</v>
      </c>
      <c r="BM1" t="s">
        <v>550</v>
      </c>
      <c r="BN1" t="s">
        <v>551</v>
      </c>
      <c r="BO1" t="s">
        <v>552</v>
      </c>
      <c r="BP1" t="s">
        <v>433</v>
      </c>
      <c r="BQ1" t="s">
        <v>204</v>
      </c>
      <c r="BR1" t="s">
        <v>553</v>
      </c>
      <c r="BS1" t="s">
        <v>434</v>
      </c>
      <c r="BT1" t="s">
        <v>205</v>
      </c>
      <c r="BU1" t="s">
        <v>554</v>
      </c>
      <c r="BV1" t="s">
        <v>555</v>
      </c>
      <c r="BW1" t="s">
        <v>424</v>
      </c>
      <c r="BX1" t="s">
        <v>206</v>
      </c>
      <c r="BY1" t="s">
        <v>556</v>
      </c>
      <c r="BZ1" t="s">
        <v>425</v>
      </c>
      <c r="CA1" t="s">
        <v>207</v>
      </c>
      <c r="CB1" t="s">
        <v>557</v>
      </c>
      <c r="CC1" t="s">
        <v>558</v>
      </c>
      <c r="CD1" t="s">
        <v>559</v>
      </c>
      <c r="CE1" t="s">
        <v>560</v>
      </c>
      <c r="CF1" s="1" t="s">
        <v>561</v>
      </c>
      <c r="CG1" s="1" t="s">
        <v>562</v>
      </c>
      <c r="CH1" s="1" t="s">
        <v>411</v>
      </c>
      <c r="CI1" s="1" t="s">
        <v>412</v>
      </c>
      <c r="CJ1" s="1" t="s">
        <v>413</v>
      </c>
      <c r="CK1" s="1" t="s">
        <v>414</v>
      </c>
      <c r="CL1" s="1" t="s">
        <v>415</v>
      </c>
      <c r="CM1" s="1" t="s">
        <v>416</v>
      </c>
      <c r="CN1" s="1" t="s">
        <v>417</v>
      </c>
      <c r="CO1" s="1" t="s">
        <v>418</v>
      </c>
      <c r="CP1" s="1" t="s">
        <v>419</v>
      </c>
      <c r="CQ1" s="1" t="s">
        <v>420</v>
      </c>
      <c r="CR1" s="1" t="s">
        <v>563</v>
      </c>
      <c r="CS1" s="1" t="s">
        <v>564</v>
      </c>
      <c r="CT1" s="1" t="s">
        <v>565</v>
      </c>
      <c r="CU1" s="1" t="s">
        <v>566</v>
      </c>
      <c r="CV1" s="1" t="s">
        <v>567</v>
      </c>
      <c r="CW1" s="1" t="s">
        <v>568</v>
      </c>
      <c r="CX1">
        <v>1</v>
      </c>
      <c r="CY1" t="s">
        <v>569</v>
      </c>
      <c r="CZ1" t="s">
        <v>570</v>
      </c>
      <c r="DA1">
        <v>3</v>
      </c>
      <c r="DB1" t="s">
        <v>571</v>
      </c>
      <c r="DC1" t="s">
        <v>572</v>
      </c>
      <c r="DD1">
        <v>6</v>
      </c>
      <c r="DE1" t="s">
        <v>573</v>
      </c>
      <c r="DF1" t="s">
        <v>574</v>
      </c>
      <c r="DG1">
        <v>10</v>
      </c>
      <c r="DH1" t="s">
        <v>575</v>
      </c>
      <c r="DI1" t="s">
        <v>576</v>
      </c>
      <c r="DJ1">
        <v>20</v>
      </c>
      <c r="DK1" t="s">
        <v>577</v>
      </c>
      <c r="DL1" t="s">
        <v>421</v>
      </c>
      <c r="DM1" t="s">
        <v>422</v>
      </c>
      <c r="DN1" s="2" t="s">
        <v>423</v>
      </c>
      <c r="DO1" t="s">
        <v>578</v>
      </c>
      <c r="DP1" t="s">
        <v>579</v>
      </c>
      <c r="DQ1" s="8" t="s">
        <v>580</v>
      </c>
      <c r="DR1" s="1" t="s">
        <v>581</v>
      </c>
      <c r="DS1" s="1" t="s">
        <v>582</v>
      </c>
      <c r="DT1" t="s">
        <v>583</v>
      </c>
      <c r="DU1" t="s">
        <v>584</v>
      </c>
      <c r="DV1" t="s">
        <v>585</v>
      </c>
      <c r="DW1" t="s">
        <v>586</v>
      </c>
      <c r="DX1" t="s">
        <v>587</v>
      </c>
      <c r="DY1" t="s">
        <v>588</v>
      </c>
      <c r="DZ1" t="s">
        <v>589</v>
      </c>
      <c r="EA1" t="s">
        <v>590</v>
      </c>
      <c r="EB1" t="s">
        <v>591</v>
      </c>
      <c r="EC1" t="s">
        <v>592</v>
      </c>
      <c r="ED1" t="s">
        <v>593</v>
      </c>
      <c r="EE1" t="s">
        <v>594</v>
      </c>
      <c r="EF1" t="s">
        <v>595</v>
      </c>
      <c r="EG1" t="s">
        <v>596</v>
      </c>
      <c r="EH1" t="s">
        <v>597</v>
      </c>
      <c r="EI1" t="s">
        <v>598</v>
      </c>
      <c r="EK1" s="9" t="s">
        <v>599</v>
      </c>
      <c r="EL1" t="s">
        <v>600</v>
      </c>
      <c r="EM1" t="s">
        <v>601</v>
      </c>
      <c r="EN1" t="s">
        <v>602</v>
      </c>
      <c r="EO1" t="s">
        <v>603</v>
      </c>
      <c r="EP1" t="s">
        <v>604</v>
      </c>
    </row>
    <row r="2" spans="1:146" ht="96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市值1066.70164亿, 利润46.06亿; PE26.78; 平均PE18.58; 平均PEG1.51, PB1.05; ROIC0%; ROE5.8833%; 股利率1.3146%; 毛利0%; 净利22.83%; 上一年度营收增4.32%, 利润增65.15%; 当季营收增-1.47%, 利润增-31%; 过往5年营收增12.32%, 利润增17.82%
Income profile:
</v>
      </c>
      <c r="D2" t="s">
        <v>85</v>
      </c>
      <c r="E2" t="s">
        <v>26</v>
      </c>
      <c r="F2">
        <v>4.26</v>
      </c>
      <c r="G2">
        <v>-0.47</v>
      </c>
      <c r="H2" t="s">
        <v>803</v>
      </c>
      <c r="I2">
        <v>106670164000</v>
      </c>
      <c r="J2">
        <v>26.78</v>
      </c>
      <c r="K2">
        <v>1.05</v>
      </c>
      <c r="L2" t="s">
        <v>50</v>
      </c>
      <c r="M2" t="s">
        <v>804</v>
      </c>
      <c r="N2" t="s">
        <v>805</v>
      </c>
      <c r="O2" t="s">
        <v>806</v>
      </c>
      <c r="P2">
        <v>-1.47</v>
      </c>
      <c r="Q2" t="s">
        <v>807</v>
      </c>
      <c r="R2">
        <v>1387612500</v>
      </c>
      <c r="S2" s="5">
        <v>-0.31</v>
      </c>
      <c r="T2" t="s">
        <v>808</v>
      </c>
      <c r="U2">
        <v>22535507000</v>
      </c>
      <c r="V2">
        <v>25039945000</v>
      </c>
      <c r="W2">
        <v>4.8</v>
      </c>
      <c r="X2">
        <v>0.01</v>
      </c>
      <c r="Y2">
        <v>29.17</v>
      </c>
      <c r="Z2" t="s">
        <v>44</v>
      </c>
      <c r="AA2" t="s">
        <v>44</v>
      </c>
      <c r="AB2" t="s">
        <v>44</v>
      </c>
      <c r="AC2" t="s">
        <v>44</v>
      </c>
      <c r="AD2" t="s">
        <v>44</v>
      </c>
      <c r="AE2">
        <v>0</v>
      </c>
      <c r="AF2" t="s">
        <v>809</v>
      </c>
      <c r="AG2" t="s">
        <v>810</v>
      </c>
      <c r="AH2" t="s">
        <v>811</v>
      </c>
      <c r="AI2" t="s">
        <v>812</v>
      </c>
      <c r="AJ2" t="s">
        <v>108</v>
      </c>
      <c r="AK2" t="s">
        <v>44</v>
      </c>
      <c r="AL2" t="s">
        <v>108</v>
      </c>
      <c r="AM2" t="s">
        <v>813</v>
      </c>
      <c r="AN2" t="s">
        <v>771</v>
      </c>
      <c r="AO2" t="s">
        <v>814</v>
      </c>
      <c r="AP2" t="s">
        <v>44</v>
      </c>
      <c r="AQ2" t="s">
        <v>44</v>
      </c>
      <c r="AR2" t="s">
        <v>44</v>
      </c>
      <c r="AS2" t="s">
        <v>44</v>
      </c>
      <c r="AT2" t="s">
        <v>44</v>
      </c>
      <c r="AU2" t="s">
        <v>815</v>
      </c>
      <c r="AV2" t="s">
        <v>816</v>
      </c>
      <c r="AW2" t="s">
        <v>817</v>
      </c>
      <c r="AX2" t="s">
        <v>653</v>
      </c>
      <c r="AY2" t="s">
        <v>435</v>
      </c>
      <c r="AZ2" t="s">
        <v>208</v>
      </c>
      <c r="BA2" t="s">
        <v>106</v>
      </c>
      <c r="BB2" t="s">
        <v>210</v>
      </c>
      <c r="BC2" t="s">
        <v>654</v>
      </c>
      <c r="BD2" t="s">
        <v>436</v>
      </c>
      <c r="BE2" t="s">
        <v>209</v>
      </c>
      <c r="BF2" t="s">
        <v>107</v>
      </c>
      <c r="BG2" t="s">
        <v>211</v>
      </c>
      <c r="BH2" t="s">
        <v>807</v>
      </c>
      <c r="BI2" t="s">
        <v>818</v>
      </c>
      <c r="BJ2" t="s">
        <v>653</v>
      </c>
      <c r="BK2" t="s">
        <v>808</v>
      </c>
      <c r="BL2" t="s">
        <v>819</v>
      </c>
      <c r="BM2" t="s">
        <v>654</v>
      </c>
      <c r="BN2" t="s">
        <v>44</v>
      </c>
      <c r="BO2" t="s">
        <v>44</v>
      </c>
      <c r="BP2" t="s">
        <v>44</v>
      </c>
      <c r="BQ2">
        <v>4.46</v>
      </c>
      <c r="BR2">
        <v>2.93</v>
      </c>
      <c r="BS2">
        <v>10.26</v>
      </c>
      <c r="BT2" t="s">
        <v>820</v>
      </c>
      <c r="BU2" t="s">
        <v>50</v>
      </c>
      <c r="BV2" t="s">
        <v>44</v>
      </c>
      <c r="BW2" t="s">
        <v>44</v>
      </c>
      <c r="BX2" t="s">
        <v>44</v>
      </c>
      <c r="BY2">
        <v>25.47</v>
      </c>
      <c r="BZ2">
        <v>15.23</v>
      </c>
      <c r="CA2">
        <v>27.79</v>
      </c>
      <c r="CB2">
        <v>-1.1599999999999999</v>
      </c>
      <c r="CC2">
        <v>-7.19</v>
      </c>
      <c r="CD2" t="s">
        <v>777</v>
      </c>
      <c r="CE2" t="s">
        <v>821</v>
      </c>
      <c r="CF2" s="10">
        <v>-1.4744145706851692E-2</v>
      </c>
      <c r="CG2" s="11">
        <v>-0.309988811536549</v>
      </c>
      <c r="CH2" s="10">
        <v>4.3231379240751266E-2</v>
      </c>
      <c r="CI2" s="10">
        <v>-0.39924794435501099</v>
      </c>
      <c r="CJ2" s="10">
        <v>0.16654768586158752</v>
      </c>
      <c r="CK2" s="10">
        <v>0.19582803547382355</v>
      </c>
      <c r="CL2" s="10">
        <v>0.6098056435585022</v>
      </c>
      <c r="CM2" s="11">
        <v>0.65148806571960449</v>
      </c>
      <c r="CN2" s="11">
        <v>-0.70323467254638672</v>
      </c>
      <c r="CO2" s="11">
        <v>0.21014672517776489</v>
      </c>
      <c r="CP2" s="11">
        <v>0.3541412353515625</v>
      </c>
      <c r="CQ2" s="11">
        <v>0.37860578298568726</v>
      </c>
      <c r="CR2">
        <v>18.576101004237536</v>
      </c>
      <c r="CS2">
        <v>1.5073971290538284</v>
      </c>
      <c r="CT2">
        <v>1.3145539906103287</v>
      </c>
      <c r="CU2" s="10">
        <v>0.12323295995593071</v>
      </c>
      <c r="CV2" s="11">
        <v>0.17822942733764649</v>
      </c>
      <c r="CW2">
        <v>0.06</v>
      </c>
      <c r="CX2">
        <v>98.82408872646981</v>
      </c>
      <c r="CY2">
        <v>4880765107.129261</v>
      </c>
      <c r="CZ2">
        <v>0.12323295995593071</v>
      </c>
      <c r="DA2">
        <v>31.402009673178497</v>
      </c>
      <c r="DB2">
        <v>15360073097.868645</v>
      </c>
      <c r="DC2">
        <v>0.11707131195813417</v>
      </c>
      <c r="DD2">
        <v>14.882724698902154</v>
      </c>
      <c r="DE2">
        <v>32409197492.955059</v>
      </c>
      <c r="DF2">
        <v>0.10844500476121903</v>
      </c>
      <c r="DG2">
        <v>8.5572277910506855</v>
      </c>
      <c r="DH2">
        <v>56366054027.96891</v>
      </c>
      <c r="DI2">
        <v>9.858636796474457E-2</v>
      </c>
      <c r="DJ2">
        <v>4.0093544912661843</v>
      </c>
      <c r="DK2">
        <v>120302947781.42062</v>
      </c>
      <c r="DL2">
        <v>8.6263071969151492E-2</v>
      </c>
      <c r="DM2">
        <v>4606000000</v>
      </c>
      <c r="DN2">
        <v>0.12323295995593071</v>
      </c>
      <c r="DO2">
        <v>482337164000</v>
      </c>
      <c r="DP2">
        <v>0</v>
      </c>
      <c r="DQ2">
        <v>64</v>
      </c>
      <c r="DR2">
        <v>-0.1379771056627824</v>
      </c>
      <c r="DS2">
        <v>-0.48821823887419546</v>
      </c>
      <c r="DT2" s="12">
        <v>-0.13999999999999999</v>
      </c>
      <c r="DU2">
        <v>0.1633333333333333</v>
      </c>
      <c r="DV2">
        <v>2.3333333333333317E-2</v>
      </c>
      <c r="DW2">
        <v>-2.0718999999999999</v>
      </c>
      <c r="DX2">
        <v>0.44075075654537427</v>
      </c>
      <c r="DY2">
        <v>-2.0108389793956123</v>
      </c>
      <c r="DZ2">
        <v>1666</v>
      </c>
      <c r="EA2">
        <v>-2.0073051751543032</v>
      </c>
      <c r="EB2">
        <v>2</v>
      </c>
      <c r="EC2">
        <v>1.0023983678877888E-2</v>
      </c>
      <c r="ED2">
        <v>6.6493756276221838E-2</v>
      </c>
      <c r="EE2" s="13">
        <v>2.2109999999999994E-2</v>
      </c>
      <c r="EF2">
        <v>2.4410000000000001E-2</v>
      </c>
      <c r="EG2">
        <v>29.150750756545374</v>
      </c>
      <c r="EH2">
        <v>-1</v>
      </c>
      <c r="EI2">
        <v>0</v>
      </c>
      <c r="EJ2">
        <v>0</v>
      </c>
      <c r="EK2" s="9">
        <v>45470</v>
      </c>
      <c r="EL2" s="14">
        <v>-0.67</v>
      </c>
      <c r="EM2" s="14">
        <v>-1.57</v>
      </c>
      <c r="EN2" s="14">
        <v>-1.59</v>
      </c>
      <c r="EO2" s="14">
        <v>1.85</v>
      </c>
      <c r="EP2" s="14">
        <v>-0.23</v>
      </c>
    </row>
    <row r="3" spans="1:146" ht="96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市值128.490865亿, 利润6.68亿; PE40.64; 平均PE14.93; 平均PEG8.25, PB.695; ROIC0%; ROE4.6033%; 股利率1.8215%; 毛利0%; 净利12.9733%; 上一年度营收增27.54%, 利润增189.18%; 当季营收增-36.06%, 利润增-94.35%; 过往5年营收增1.81%, 利润增78.43%
Income profile:
</v>
      </c>
      <c r="D3" t="s">
        <v>81</v>
      </c>
      <c r="E3" t="s">
        <v>39</v>
      </c>
      <c r="F3">
        <v>5.49</v>
      </c>
      <c r="G3">
        <v>0.92</v>
      </c>
      <c r="H3" t="s">
        <v>822</v>
      </c>
      <c r="I3">
        <v>12849086500</v>
      </c>
      <c r="J3">
        <v>40.64</v>
      </c>
      <c r="K3">
        <v>0.69499999999999995</v>
      </c>
      <c r="L3" t="s">
        <v>50</v>
      </c>
      <c r="M3" t="s">
        <v>823</v>
      </c>
      <c r="N3" t="s">
        <v>824</v>
      </c>
      <c r="O3" t="s">
        <v>825</v>
      </c>
      <c r="P3">
        <v>-36.049999999999997</v>
      </c>
      <c r="Q3" t="s">
        <v>826</v>
      </c>
      <c r="R3">
        <v>21075682</v>
      </c>
      <c r="S3" s="5">
        <v>-0.94350000000000001</v>
      </c>
      <c r="T3" t="s">
        <v>827</v>
      </c>
      <c r="U3">
        <v>2340452900</v>
      </c>
      <c r="V3">
        <v>2340452900</v>
      </c>
      <c r="W3">
        <v>4.63</v>
      </c>
      <c r="X3">
        <v>0.01</v>
      </c>
      <c r="Y3">
        <v>3.78</v>
      </c>
      <c r="Z3" t="s">
        <v>44</v>
      </c>
      <c r="AA3" t="s">
        <v>44</v>
      </c>
      <c r="AB3" t="s">
        <v>44</v>
      </c>
      <c r="AC3" t="s">
        <v>44</v>
      </c>
      <c r="AD3" t="s">
        <v>44</v>
      </c>
      <c r="AE3">
        <v>0</v>
      </c>
      <c r="AF3" t="s">
        <v>828</v>
      </c>
      <c r="AG3" t="s">
        <v>829</v>
      </c>
      <c r="AH3" t="s">
        <v>830</v>
      </c>
      <c r="AI3" t="s">
        <v>831</v>
      </c>
      <c r="AJ3" t="s">
        <v>108</v>
      </c>
      <c r="AK3" t="s">
        <v>44</v>
      </c>
      <c r="AL3" t="s">
        <v>108</v>
      </c>
      <c r="AM3" t="s">
        <v>216</v>
      </c>
      <c r="AN3" t="s">
        <v>44</v>
      </c>
      <c r="AO3" t="s">
        <v>44</v>
      </c>
      <c r="AP3" t="s">
        <v>44</v>
      </c>
      <c r="AQ3" t="s">
        <v>44</v>
      </c>
      <c r="AR3" t="s">
        <v>44</v>
      </c>
      <c r="AS3" t="s">
        <v>44</v>
      </c>
      <c r="AT3" t="s">
        <v>44</v>
      </c>
      <c r="AU3" t="s">
        <v>832</v>
      </c>
      <c r="AV3" t="s">
        <v>833</v>
      </c>
      <c r="AW3" t="s">
        <v>834</v>
      </c>
      <c r="AX3" t="s">
        <v>657</v>
      </c>
      <c r="AY3" t="s">
        <v>437</v>
      </c>
      <c r="AZ3" t="s">
        <v>212</v>
      </c>
      <c r="BA3" t="s">
        <v>110</v>
      </c>
      <c r="BB3" t="s">
        <v>214</v>
      </c>
      <c r="BC3" t="s">
        <v>658</v>
      </c>
      <c r="BD3" t="s">
        <v>438</v>
      </c>
      <c r="BE3" t="s">
        <v>213</v>
      </c>
      <c r="BF3" t="s">
        <v>111</v>
      </c>
      <c r="BG3" t="s">
        <v>109</v>
      </c>
      <c r="BH3" t="s">
        <v>826</v>
      </c>
      <c r="BI3" t="s">
        <v>835</v>
      </c>
      <c r="BJ3" t="s">
        <v>657</v>
      </c>
      <c r="BK3" t="s">
        <v>827</v>
      </c>
      <c r="BL3" t="s">
        <v>836</v>
      </c>
      <c r="BM3" t="s">
        <v>658</v>
      </c>
      <c r="BN3" t="s">
        <v>44</v>
      </c>
      <c r="BO3" t="s">
        <v>44</v>
      </c>
      <c r="BP3" t="s">
        <v>44</v>
      </c>
      <c r="BQ3">
        <v>3.16</v>
      </c>
      <c r="BR3">
        <v>1.28</v>
      </c>
      <c r="BS3">
        <v>9.3699999999999992</v>
      </c>
      <c r="BT3" t="s">
        <v>619</v>
      </c>
      <c r="BU3" t="s">
        <v>50</v>
      </c>
      <c r="BV3" t="s">
        <v>44</v>
      </c>
      <c r="BW3" t="s">
        <v>44</v>
      </c>
      <c r="BX3" t="s">
        <v>44</v>
      </c>
      <c r="BY3">
        <v>10.74</v>
      </c>
      <c r="BZ3">
        <v>5.37</v>
      </c>
      <c r="CA3">
        <v>22.81</v>
      </c>
      <c r="CB3">
        <v>-1.61</v>
      </c>
      <c r="CC3">
        <v>-16.940000000000001</v>
      </c>
      <c r="CD3" t="s">
        <v>837</v>
      </c>
      <c r="CE3" t="s">
        <v>838</v>
      </c>
      <c r="CF3" s="10">
        <v>-0.36062906724511939</v>
      </c>
      <c r="CG3" s="11">
        <v>-0.94349683109919569</v>
      </c>
      <c r="CH3" s="10">
        <v>0.2753593921661377</v>
      </c>
      <c r="CI3" s="10">
        <v>-0.32107514142990112</v>
      </c>
      <c r="CJ3" s="10">
        <v>0.13131622970104218</v>
      </c>
      <c r="CK3" s="10">
        <v>-0.17053583264350891</v>
      </c>
      <c r="CL3" s="10">
        <v>0.17536868155002594</v>
      </c>
      <c r="CM3" s="11">
        <v>1.8917748928070068</v>
      </c>
      <c r="CN3" s="11">
        <v>-0.85775858163833618</v>
      </c>
      <c r="CO3" s="11">
        <v>0.21830463409423828</v>
      </c>
      <c r="CP3" s="11">
        <v>0.32373380661010742</v>
      </c>
      <c r="CQ3" s="11">
        <v>2.3455150127410889</v>
      </c>
      <c r="CR3">
        <v>14.929225213013169</v>
      </c>
      <c r="CS3">
        <v>8.2542715840182623</v>
      </c>
      <c r="CT3">
        <v>1.8214936247723132</v>
      </c>
      <c r="CU3" s="10">
        <v>1.8086665868759157E-2</v>
      </c>
      <c r="CV3" s="11">
        <v>0.78431395292282102</v>
      </c>
      <c r="CW3">
        <v>0.06</v>
      </c>
      <c r="CX3">
        <v>90.938741855545402</v>
      </c>
      <c r="CY3">
        <v>641586691.32106698</v>
      </c>
      <c r="CZ3">
        <v>1.8086665868759157E-2</v>
      </c>
      <c r="DA3">
        <v>31.599091895048819</v>
      </c>
      <c r="DB3">
        <v>1846416558.2284327</v>
      </c>
      <c r="DC3">
        <v>1.7182332575321198E-2</v>
      </c>
      <c r="DD3">
        <v>16.846211305613462</v>
      </c>
      <c r="DE3">
        <v>3463395148.1160846</v>
      </c>
      <c r="DF3">
        <v>1.5916265964508059E-2</v>
      </c>
      <c r="DG3">
        <v>11.031855187793338</v>
      </c>
      <c r="DH3">
        <v>5288782848.1068516</v>
      </c>
      <c r="DI3">
        <v>1.4469332695007326E-2</v>
      </c>
      <c r="DJ3">
        <v>6.8166451348232675</v>
      </c>
      <c r="DK3">
        <v>8559208429.6629133</v>
      </c>
      <c r="DL3">
        <v>1.2660666108131409E-2</v>
      </c>
      <c r="DM3">
        <v>668000000</v>
      </c>
      <c r="DN3">
        <v>1.8086665868759157E-2</v>
      </c>
      <c r="DO3">
        <v>58345086500</v>
      </c>
      <c r="DP3">
        <v>0</v>
      </c>
      <c r="DQ3">
        <v>219</v>
      </c>
      <c r="DR3">
        <v>-0.37871573311387857</v>
      </c>
      <c r="DS3">
        <v>-1.7278107840220167</v>
      </c>
      <c r="DT3" s="12">
        <v>-0.44</v>
      </c>
      <c r="DU3">
        <v>0.30499999999999994</v>
      </c>
      <c r="DV3">
        <v>-0.13500000000000006</v>
      </c>
      <c r="DW3">
        <v>-3.0106309523809522</v>
      </c>
      <c r="DX3">
        <v>0.31644215246636948</v>
      </c>
      <c r="DY3">
        <v>-3.0012378909780058</v>
      </c>
      <c r="DZ3">
        <v>2028</v>
      </c>
      <c r="EA3">
        <v>-3.0007466105663823</v>
      </c>
      <c r="EB3">
        <v>3</v>
      </c>
      <c r="EC3">
        <v>2.2189380525453002E-2</v>
      </c>
      <c r="ED3">
        <v>0.19056140800782617</v>
      </c>
      <c r="EE3" s="13">
        <v>2.0356100000000001</v>
      </c>
      <c r="EF3">
        <v>2.0495100000000002</v>
      </c>
      <c r="EG3">
        <v>20.116442152466369</v>
      </c>
      <c r="EH3" t="s">
        <v>707</v>
      </c>
      <c r="EI3">
        <v>0</v>
      </c>
      <c r="EJ3">
        <v>0</v>
      </c>
      <c r="EK3" s="9">
        <v>45470</v>
      </c>
      <c r="EL3" s="14">
        <v>0.34</v>
      </c>
      <c r="EM3" s="14">
        <v>-2.23</v>
      </c>
      <c r="EN3" s="14">
        <v>-1.05</v>
      </c>
      <c r="EO3" s="14">
        <v>1.95</v>
      </c>
      <c r="EP3" s="14">
        <v>-1.39</v>
      </c>
    </row>
    <row r="4" spans="1:146" ht="96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市值73.3824亿, 利润-3.84亿; PE; 平均PE-46.28; 平均PEG-3.2, PB3.08; ROIC0%; ROE-8.76%; 股利率0%; 毛利0%; 净利-138.5033%; 上一年度营收增-22.27%, 利润增2.04%; 当季营收增-87.72%, 利润增-3965.21%; 过往5年营收增-14.46%, 利润增-72.57%
Income profile:
</v>
      </c>
      <c r="D4" t="s">
        <v>49</v>
      </c>
      <c r="E4" t="s">
        <v>8</v>
      </c>
      <c r="F4">
        <v>8.19</v>
      </c>
      <c r="G4">
        <v>6.92</v>
      </c>
      <c r="H4" t="s">
        <v>839</v>
      </c>
      <c r="I4">
        <v>7338240000</v>
      </c>
      <c r="K4">
        <v>3.08</v>
      </c>
      <c r="L4" t="s">
        <v>50</v>
      </c>
      <c r="M4" t="s">
        <v>840</v>
      </c>
      <c r="N4" t="s">
        <v>841</v>
      </c>
      <c r="O4" t="s">
        <v>842</v>
      </c>
      <c r="P4">
        <v>-87.75</v>
      </c>
      <c r="Q4" t="s">
        <v>641</v>
      </c>
      <c r="R4">
        <v>-101036649</v>
      </c>
      <c r="S4" s="7">
        <v>-39.65</v>
      </c>
      <c r="T4" t="s">
        <v>843</v>
      </c>
      <c r="U4">
        <v>895240780</v>
      </c>
      <c r="V4">
        <v>896000000</v>
      </c>
      <c r="W4">
        <v>4.83</v>
      </c>
      <c r="X4">
        <v>0</v>
      </c>
      <c r="Y4">
        <v>-445.9</v>
      </c>
      <c r="Z4" t="s">
        <v>44</v>
      </c>
      <c r="AA4" t="s">
        <v>44</v>
      </c>
      <c r="AB4" t="s">
        <v>44</v>
      </c>
      <c r="AC4" t="s">
        <v>44</v>
      </c>
      <c r="AD4" t="s">
        <v>44</v>
      </c>
      <c r="AE4">
        <v>0</v>
      </c>
      <c r="AF4" t="s">
        <v>844</v>
      </c>
      <c r="AG4" t="s">
        <v>845</v>
      </c>
      <c r="AH4" t="s">
        <v>846</v>
      </c>
      <c r="AI4" t="s">
        <v>847</v>
      </c>
      <c r="AJ4" t="s">
        <v>108</v>
      </c>
      <c r="AK4" t="s">
        <v>44</v>
      </c>
      <c r="AL4" t="s">
        <v>108</v>
      </c>
      <c r="AM4" t="s">
        <v>848</v>
      </c>
      <c r="AN4" t="s">
        <v>763</v>
      </c>
      <c r="AO4" t="s">
        <v>849</v>
      </c>
      <c r="AP4" t="s">
        <v>44</v>
      </c>
      <c r="AQ4" t="s">
        <v>44</v>
      </c>
      <c r="AR4" t="s">
        <v>44</v>
      </c>
      <c r="AS4" t="s">
        <v>44</v>
      </c>
      <c r="AT4" t="s">
        <v>850</v>
      </c>
      <c r="AU4" t="s">
        <v>851</v>
      </c>
      <c r="AV4" t="s">
        <v>852</v>
      </c>
      <c r="AW4" t="s">
        <v>853</v>
      </c>
      <c r="AX4" t="s">
        <v>660</v>
      </c>
      <c r="AY4" t="s">
        <v>440</v>
      </c>
      <c r="AZ4" t="s">
        <v>217</v>
      </c>
      <c r="BA4" t="s">
        <v>112</v>
      </c>
      <c r="BB4" t="s">
        <v>219</v>
      </c>
      <c r="BC4" t="s">
        <v>661</v>
      </c>
      <c r="BD4" t="s">
        <v>439</v>
      </c>
      <c r="BE4" t="s">
        <v>218</v>
      </c>
      <c r="BF4" t="s">
        <v>113</v>
      </c>
      <c r="BG4" t="s">
        <v>220</v>
      </c>
      <c r="BH4" t="s">
        <v>641</v>
      </c>
      <c r="BI4" t="s">
        <v>854</v>
      </c>
      <c r="BJ4" t="s">
        <v>660</v>
      </c>
      <c r="BK4" t="s">
        <v>843</v>
      </c>
      <c r="BL4" t="s">
        <v>855</v>
      </c>
      <c r="BM4" t="s">
        <v>661</v>
      </c>
      <c r="BN4" t="s">
        <v>44</v>
      </c>
      <c r="BO4" t="s">
        <v>44</v>
      </c>
      <c r="BP4" t="s">
        <v>44</v>
      </c>
      <c r="BQ4">
        <v>-9.64</v>
      </c>
      <c r="BR4">
        <v>-12.7</v>
      </c>
      <c r="BS4">
        <v>-3.94</v>
      </c>
      <c r="BT4" t="s">
        <v>625</v>
      </c>
      <c r="BU4" t="s">
        <v>50</v>
      </c>
      <c r="BV4" t="s">
        <v>44</v>
      </c>
      <c r="BW4" t="s">
        <v>44</v>
      </c>
      <c r="BX4" t="s">
        <v>44</v>
      </c>
      <c r="BY4">
        <v>-220.71</v>
      </c>
      <c r="BZ4">
        <v>-180.83</v>
      </c>
      <c r="CA4">
        <v>-13.97</v>
      </c>
      <c r="CB4">
        <v>9.1999999999999993</v>
      </c>
      <c r="CC4">
        <v>-19.940000000000001</v>
      </c>
      <c r="CD4" t="s">
        <v>244</v>
      </c>
      <c r="CE4" t="s">
        <v>856</v>
      </c>
      <c r="CF4" s="10">
        <v>-0.87717336683417091</v>
      </c>
      <c r="CG4" s="11">
        <v>-39.652067675223307</v>
      </c>
      <c r="CH4" s="10">
        <v>-0.22267206013202667</v>
      </c>
      <c r="CI4" s="10">
        <v>-0.75447314977645874</v>
      </c>
      <c r="CJ4" s="10">
        <v>-0.39868497848510742</v>
      </c>
      <c r="CK4" s="10">
        <v>0.10138239711523056</v>
      </c>
      <c r="CL4" s="10">
        <v>0.55158329010009766</v>
      </c>
      <c r="CM4" s="11">
        <v>2.0408162847161293E-2</v>
      </c>
      <c r="CN4" s="11">
        <v>-1.9923664331436157</v>
      </c>
      <c r="CO4" s="11">
        <v>-2.9825835227966309</v>
      </c>
      <c r="CP4" s="11">
        <v>-6.3789501786231995E-2</v>
      </c>
      <c r="CQ4" s="11">
        <v>1.3899309635162354</v>
      </c>
      <c r="CR4">
        <v>-46.281152273444675</v>
      </c>
      <c r="CS4">
        <v>-3.2012328865234556</v>
      </c>
      <c r="CT4">
        <v>0</v>
      </c>
      <c r="CU4" s="10">
        <v>-0.14457290023565292</v>
      </c>
      <c r="CV4" s="11">
        <v>-0.72568006627261639</v>
      </c>
      <c r="CW4">
        <v>0.06</v>
      </c>
      <c r="CX4" t="e">
        <v>#VALUE!</v>
      </c>
      <c r="CY4" t="s">
        <v>605</v>
      </c>
      <c r="CZ4">
        <v>-0.14457290023565292</v>
      </c>
      <c r="DA4" t="e">
        <v>#VALUE!</v>
      </c>
      <c r="DB4" t="s">
        <v>606</v>
      </c>
      <c r="DC4">
        <v>-0.13734425522387025</v>
      </c>
      <c r="DD4" t="e">
        <v>#VALUE!</v>
      </c>
      <c r="DE4" t="s">
        <v>606</v>
      </c>
      <c r="DF4">
        <v>-0.12722415220737457</v>
      </c>
      <c r="DG4" t="e">
        <v>#VALUE!</v>
      </c>
      <c r="DH4" t="s">
        <v>606</v>
      </c>
      <c r="DI4">
        <v>-0.11565832018852235</v>
      </c>
      <c r="DJ4" t="e">
        <v>#VALUE!</v>
      </c>
      <c r="DK4" t="s">
        <v>606</v>
      </c>
      <c r="DL4">
        <v>-0.10120103016495703</v>
      </c>
      <c r="DM4">
        <v>-384000000</v>
      </c>
      <c r="DN4">
        <v>-0.14457290023565292</v>
      </c>
      <c r="DO4">
        <v>18245240000</v>
      </c>
      <c r="DP4">
        <v>0</v>
      </c>
      <c r="DQ4">
        <v>237</v>
      </c>
      <c r="DR4">
        <v>-0.73260046659851796</v>
      </c>
      <c r="DS4">
        <v>-38.926387608950691</v>
      </c>
      <c r="DT4" s="12">
        <v>-0.94</v>
      </c>
      <c r="DU4">
        <v>-2.5150000000000001</v>
      </c>
      <c r="DV4">
        <v>-3.4550000000000001</v>
      </c>
      <c r="DW4">
        <v>7.3157172271791353</v>
      </c>
      <c r="DX4">
        <v>0.97703703703703804</v>
      </c>
      <c r="DY4">
        <v>7.0906225374310479</v>
      </c>
      <c r="DZ4">
        <v>5021</v>
      </c>
      <c r="EA4">
        <v>7.0015783573055508</v>
      </c>
      <c r="EB4">
        <v>7</v>
      </c>
      <c r="EC4">
        <v>0.13839285714285715</v>
      </c>
      <c r="ED4">
        <v>0.48214285714285715</v>
      </c>
      <c r="EE4" s="13">
        <v>1.0935999999999999</v>
      </c>
      <c r="EF4">
        <v>1.0645</v>
      </c>
      <c r="EG4">
        <v>69.287037037037038</v>
      </c>
      <c r="EH4" t="s">
        <v>645</v>
      </c>
      <c r="EI4">
        <v>1</v>
      </c>
      <c r="EJ4">
        <v>0</v>
      </c>
      <c r="EK4" s="9">
        <v>45470</v>
      </c>
      <c r="EL4" s="14">
        <v>0.25</v>
      </c>
      <c r="EM4" s="14">
        <v>-4.1100000000000003</v>
      </c>
      <c r="EN4" s="14">
        <v>0.13</v>
      </c>
      <c r="EO4" s="14">
        <v>2.59</v>
      </c>
      <c r="EP4" s="14">
        <v>-2.91</v>
      </c>
    </row>
    <row r="5" spans="1:146" ht="96" x14ac:dyDescent="0.25">
      <c r="A5" s="6"/>
      <c r="B5" s="6"/>
      <c r="C5" s="6" t="str">
        <f>""&amp;CHAR(10)&amp;Basic_Fundamental_Information_Constructure(F5)&amp;CHAR(10)&amp;Basic_Fundamental_Information_Concatenate("")</f>
        <v xml:space="preserve">
市值258.77203亿, 利润18.68亿; PE14.29; 平均PE18.34; 平均PEG.84, PB.734; ROIC0%; ROE5.2033%; 股利率2.5295%; 毛利0%; 净利31.0467%; 上一年度营收增18.99%, 利润增7.79%; 当季营收增-9.42%, 利润增-11%; 过往5年营收增21.79%, 利润增24.84%
Income profile:
</v>
      </c>
      <c r="D5" t="s">
        <v>74</v>
      </c>
      <c r="E5" t="s">
        <v>40</v>
      </c>
      <c r="F5">
        <v>5.93</v>
      </c>
      <c r="G5">
        <v>0.51</v>
      </c>
      <c r="H5" t="s">
        <v>857</v>
      </c>
      <c r="I5">
        <v>25877203000</v>
      </c>
      <c r="J5">
        <v>14.29</v>
      </c>
      <c r="K5">
        <v>0.73399999999999999</v>
      </c>
      <c r="L5" t="s">
        <v>50</v>
      </c>
      <c r="M5" t="s">
        <v>858</v>
      </c>
      <c r="N5" t="s">
        <v>859</v>
      </c>
      <c r="O5" t="s">
        <v>860</v>
      </c>
      <c r="P5">
        <v>-9.41</v>
      </c>
      <c r="Q5" t="s">
        <v>861</v>
      </c>
      <c r="R5">
        <v>462800660</v>
      </c>
      <c r="S5" s="5">
        <v>-0.10979999999999999</v>
      </c>
      <c r="T5" t="s">
        <v>862</v>
      </c>
      <c r="U5">
        <v>4363777900</v>
      </c>
      <c r="V5">
        <v>4363777900</v>
      </c>
      <c r="W5">
        <v>3.99</v>
      </c>
      <c r="X5">
        <v>0.01</v>
      </c>
      <c r="Y5">
        <v>32.979999999999997</v>
      </c>
      <c r="Z5" t="s">
        <v>44</v>
      </c>
      <c r="AA5" t="s">
        <v>44</v>
      </c>
      <c r="AB5" t="s">
        <v>44</v>
      </c>
      <c r="AC5" t="s">
        <v>44</v>
      </c>
      <c r="AD5" t="s">
        <v>44</v>
      </c>
      <c r="AE5">
        <v>0</v>
      </c>
      <c r="AF5" t="s">
        <v>863</v>
      </c>
      <c r="AG5">
        <v>6219.21</v>
      </c>
      <c r="AH5" t="s">
        <v>864</v>
      </c>
      <c r="AI5" t="s">
        <v>865</v>
      </c>
      <c r="AJ5" t="s">
        <v>108</v>
      </c>
      <c r="AK5" t="s">
        <v>44</v>
      </c>
      <c r="AL5" t="s">
        <v>108</v>
      </c>
      <c r="AM5" t="s">
        <v>866</v>
      </c>
      <c r="AN5" t="s">
        <v>762</v>
      </c>
      <c r="AO5" t="s">
        <v>867</v>
      </c>
      <c r="AP5" t="s">
        <v>44</v>
      </c>
      <c r="AQ5" t="s">
        <v>44</v>
      </c>
      <c r="AR5" t="s">
        <v>44</v>
      </c>
      <c r="AS5" t="s">
        <v>44</v>
      </c>
      <c r="AT5" t="s">
        <v>44</v>
      </c>
      <c r="AU5" t="s">
        <v>868</v>
      </c>
      <c r="AV5" t="s">
        <v>869</v>
      </c>
      <c r="AW5" t="s">
        <v>870</v>
      </c>
      <c r="AX5" t="s">
        <v>618</v>
      </c>
      <c r="AY5" t="s">
        <v>441</v>
      </c>
      <c r="AZ5" t="s">
        <v>222</v>
      </c>
      <c r="BA5" t="s">
        <v>114</v>
      </c>
      <c r="BB5" t="s">
        <v>226</v>
      </c>
      <c r="BC5" t="s">
        <v>320</v>
      </c>
      <c r="BD5" t="s">
        <v>442</v>
      </c>
      <c r="BE5" t="s">
        <v>223</v>
      </c>
      <c r="BF5" t="s">
        <v>115</v>
      </c>
      <c r="BG5" t="s">
        <v>228</v>
      </c>
      <c r="BH5" t="s">
        <v>861</v>
      </c>
      <c r="BI5" t="s">
        <v>871</v>
      </c>
      <c r="BJ5" t="s">
        <v>618</v>
      </c>
      <c r="BK5" t="s">
        <v>862</v>
      </c>
      <c r="BL5" t="s">
        <v>872</v>
      </c>
      <c r="BM5" t="s">
        <v>320</v>
      </c>
      <c r="BN5" t="s">
        <v>44</v>
      </c>
      <c r="BO5" t="s">
        <v>44</v>
      </c>
      <c r="BP5" t="s">
        <v>44</v>
      </c>
      <c r="BQ5">
        <v>4.26</v>
      </c>
      <c r="BR5">
        <v>5.32</v>
      </c>
      <c r="BS5">
        <v>6.03</v>
      </c>
      <c r="BT5" t="s">
        <v>628</v>
      </c>
      <c r="BU5" t="s">
        <v>50</v>
      </c>
      <c r="BV5" t="s">
        <v>44</v>
      </c>
      <c r="BW5" t="s">
        <v>44</v>
      </c>
      <c r="BX5" t="s">
        <v>44</v>
      </c>
      <c r="BY5">
        <v>29.4</v>
      </c>
      <c r="BZ5">
        <v>32.47</v>
      </c>
      <c r="CA5">
        <v>31.27</v>
      </c>
      <c r="CB5">
        <v>-2.15</v>
      </c>
      <c r="CC5">
        <v>-9.0500000000000007</v>
      </c>
      <c r="CD5" t="s">
        <v>364</v>
      </c>
      <c r="CE5" t="s">
        <v>475</v>
      </c>
      <c r="CF5" s="10">
        <v>-9.4193548387096773E-2</v>
      </c>
      <c r="CG5" s="11">
        <v>-0.10999873076923077</v>
      </c>
      <c r="CH5" s="10">
        <v>0.18985201418399811</v>
      </c>
      <c r="CI5" s="10">
        <v>-0.12585923075675964</v>
      </c>
      <c r="CJ5" s="10">
        <v>0.34908372163772583</v>
      </c>
      <c r="CK5" s="10">
        <v>0.41575488448143005</v>
      </c>
      <c r="CL5" s="10">
        <v>0.26044139266014099</v>
      </c>
      <c r="CM5" s="11">
        <v>7.7899634838104248E-2</v>
      </c>
      <c r="CN5" s="11">
        <v>-9.2194870114326477E-2</v>
      </c>
      <c r="CO5" s="11">
        <v>0.39343062043190002</v>
      </c>
      <c r="CP5" s="11">
        <v>0.49890589714050293</v>
      </c>
      <c r="CQ5" s="11">
        <v>0.3641791045665741</v>
      </c>
      <c r="CR5">
        <v>18.343952977315688</v>
      </c>
      <c r="CS5">
        <v>0.84202751032465983</v>
      </c>
      <c r="CT5">
        <v>2.5295109612141653</v>
      </c>
      <c r="CU5" s="10">
        <v>0.21785455644130708</v>
      </c>
      <c r="CV5" s="11">
        <v>0.24844407737255098</v>
      </c>
      <c r="CW5">
        <v>0.06</v>
      </c>
      <c r="CX5">
        <v>41.409920861455788</v>
      </c>
      <c r="CY5">
        <v>2146181425.8795862</v>
      </c>
      <c r="CZ5">
        <v>0.21785455644130708</v>
      </c>
      <c r="DA5">
        <v>12.163550879274501</v>
      </c>
      <c r="DB5">
        <v>7306517963.5521755</v>
      </c>
      <c r="DC5">
        <v>0.20696182861924173</v>
      </c>
      <c r="DD5">
        <v>5.1589595640682466</v>
      </c>
      <c r="DE5">
        <v>17226962509.843063</v>
      </c>
      <c r="DF5">
        <v>0.19171200966835023</v>
      </c>
      <c r="DG5">
        <v>2.5954142685215285</v>
      </c>
      <c r="DH5">
        <v>34242395935.746475</v>
      </c>
      <c r="DI5">
        <v>0.17428364515304567</v>
      </c>
      <c r="DJ5">
        <v>0.88195746494421345</v>
      </c>
      <c r="DK5">
        <v>100768128319.68207</v>
      </c>
      <c r="DL5">
        <v>0.15249818950891494</v>
      </c>
      <c r="DM5">
        <v>1868000000</v>
      </c>
      <c r="DN5">
        <v>0.21785455644130708</v>
      </c>
      <c r="DO5">
        <v>88873203000</v>
      </c>
      <c r="DP5">
        <v>0</v>
      </c>
      <c r="DQ5">
        <v>251</v>
      </c>
      <c r="DR5">
        <v>-0.31204810482840384</v>
      </c>
      <c r="DS5">
        <v>-0.35844280814178175</v>
      </c>
      <c r="DT5" s="12">
        <v>7.6666666666666591E-2</v>
      </c>
      <c r="DU5">
        <v>0.34999999999999992</v>
      </c>
      <c r="DV5">
        <v>0.42666666666666653</v>
      </c>
      <c r="DW5">
        <v>-2.0905</v>
      </c>
      <c r="DX5">
        <v>0.38294117647058767</v>
      </c>
      <c r="DY5">
        <v>-2.0138411764705881</v>
      </c>
      <c r="DZ5">
        <v>829</v>
      </c>
      <c r="EA5">
        <v>-2.0115957096811328</v>
      </c>
      <c r="EB5">
        <v>2</v>
      </c>
      <c r="EC5">
        <v>2.3832560314309307E-2</v>
      </c>
      <c r="ED5">
        <v>0.15582827897817622</v>
      </c>
      <c r="EE5" s="13">
        <v>4.8010000000000004E-2</v>
      </c>
      <c r="EF5">
        <v>5.7610000000000001E-2</v>
      </c>
      <c r="EG5">
        <v>23.152941176470588</v>
      </c>
      <c r="EH5">
        <v>-1</v>
      </c>
      <c r="EI5">
        <v>0</v>
      </c>
      <c r="EJ5">
        <v>1</v>
      </c>
      <c r="EK5" s="9">
        <v>45470</v>
      </c>
      <c r="EL5" s="14">
        <v>0.16</v>
      </c>
      <c r="EM5" s="14">
        <v>-1.27</v>
      </c>
      <c r="EN5" s="14">
        <v>-0.96</v>
      </c>
      <c r="EO5" s="14">
        <v>0.97</v>
      </c>
      <c r="EP5" s="14">
        <v>-0.96</v>
      </c>
    </row>
    <row r="6" spans="1:146" ht="96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市值184.56044亿, 利润3.27亿; PE95.03; 平均PE42.15; 平均PEG2.23, PB.838; ROIC0%; ROE2.5333%; 股利率1.3841%; 毛利0%; 净利12.6633%; 上一年度营收增15.79%, 利润增31.33%; 当季营收增-18.91%, 利润增-58.6%; 过往5年营收增18.94%, 利润增117.03%
Income profile:
</v>
      </c>
      <c r="D6" t="s">
        <v>65</v>
      </c>
      <c r="E6" t="s">
        <v>28</v>
      </c>
      <c r="F6">
        <v>2.89</v>
      </c>
      <c r="G6">
        <v>0.35</v>
      </c>
      <c r="H6" t="s">
        <v>873</v>
      </c>
      <c r="I6">
        <v>18456044000</v>
      </c>
      <c r="J6">
        <v>95.03</v>
      </c>
      <c r="K6">
        <v>0.83799999999999997</v>
      </c>
      <c r="L6" t="s">
        <v>50</v>
      </c>
      <c r="M6" t="s">
        <v>874</v>
      </c>
      <c r="N6" t="s">
        <v>875</v>
      </c>
      <c r="O6" t="s">
        <v>876</v>
      </c>
      <c r="P6">
        <v>-18.850000000000001</v>
      </c>
      <c r="Q6" t="s">
        <v>877</v>
      </c>
      <c r="R6">
        <v>93564104</v>
      </c>
      <c r="S6" s="5">
        <v>-0.58660000000000001</v>
      </c>
      <c r="T6" t="s">
        <v>878</v>
      </c>
      <c r="U6">
        <v>5796204000</v>
      </c>
      <c r="V6">
        <v>6386174500</v>
      </c>
      <c r="W6">
        <v>3.33</v>
      </c>
      <c r="X6">
        <v>0.01</v>
      </c>
      <c r="Y6">
        <v>13.94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>
        <v>0</v>
      </c>
      <c r="AF6" t="s">
        <v>879</v>
      </c>
      <c r="AG6" t="s">
        <v>880</v>
      </c>
      <c r="AH6" t="s">
        <v>881</v>
      </c>
      <c r="AI6" t="s">
        <v>882</v>
      </c>
      <c r="AJ6" t="s">
        <v>108</v>
      </c>
      <c r="AK6" t="s">
        <v>44</v>
      </c>
      <c r="AL6" t="s">
        <v>108</v>
      </c>
      <c r="AM6" t="s">
        <v>883</v>
      </c>
      <c r="AN6" t="s">
        <v>44</v>
      </c>
      <c r="AO6" t="s">
        <v>44</v>
      </c>
      <c r="AP6" t="s">
        <v>44</v>
      </c>
      <c r="AQ6" t="s">
        <v>44</v>
      </c>
      <c r="AR6" t="s">
        <v>44</v>
      </c>
      <c r="AS6" t="s">
        <v>44</v>
      </c>
      <c r="AT6" t="s">
        <v>44</v>
      </c>
      <c r="AU6" t="s">
        <v>884</v>
      </c>
      <c r="AV6" t="s">
        <v>885</v>
      </c>
      <c r="AW6" t="s">
        <v>886</v>
      </c>
      <c r="AX6" t="s">
        <v>663</v>
      </c>
      <c r="AY6" t="s">
        <v>443</v>
      </c>
      <c r="AZ6" t="s">
        <v>215</v>
      </c>
      <c r="BA6" t="s">
        <v>116</v>
      </c>
      <c r="BB6" t="s">
        <v>231</v>
      </c>
      <c r="BC6" t="s">
        <v>629</v>
      </c>
      <c r="BD6" t="s">
        <v>444</v>
      </c>
      <c r="BE6" t="s">
        <v>230</v>
      </c>
      <c r="BF6" t="s">
        <v>117</v>
      </c>
      <c r="BG6" t="s">
        <v>232</v>
      </c>
      <c r="BH6" t="s">
        <v>877</v>
      </c>
      <c r="BI6" t="s">
        <v>887</v>
      </c>
      <c r="BJ6" t="s">
        <v>663</v>
      </c>
      <c r="BK6" t="s">
        <v>878</v>
      </c>
      <c r="BL6" t="s">
        <v>888</v>
      </c>
      <c r="BM6" t="s">
        <v>629</v>
      </c>
      <c r="BN6" t="s">
        <v>44</v>
      </c>
      <c r="BO6" t="s">
        <v>44</v>
      </c>
      <c r="BP6" t="s">
        <v>44</v>
      </c>
      <c r="BQ6">
        <v>2.1</v>
      </c>
      <c r="BR6">
        <v>1.34</v>
      </c>
      <c r="BS6">
        <v>4.16</v>
      </c>
      <c r="BT6" t="s">
        <v>626</v>
      </c>
      <c r="BU6" t="s">
        <v>50</v>
      </c>
      <c r="BV6" t="s">
        <v>44</v>
      </c>
      <c r="BW6" t="s">
        <v>44</v>
      </c>
      <c r="BX6" t="s">
        <v>44</v>
      </c>
      <c r="BY6">
        <v>10.029999999999999</v>
      </c>
      <c r="BZ6">
        <v>10.42</v>
      </c>
      <c r="CA6">
        <v>17.54</v>
      </c>
      <c r="CB6">
        <v>-0.69</v>
      </c>
      <c r="CC6">
        <v>-7.96</v>
      </c>
      <c r="CD6" t="s">
        <v>889</v>
      </c>
      <c r="CE6" t="s">
        <v>890</v>
      </c>
      <c r="CF6" s="10">
        <v>-0.1890798786653185</v>
      </c>
      <c r="CG6" s="11">
        <v>-0.58599953982300879</v>
      </c>
      <c r="CH6" s="10">
        <v>0.15786565840244293</v>
      </c>
      <c r="CI6" s="10">
        <v>-0.30038684606552124</v>
      </c>
      <c r="CJ6" s="10">
        <v>0.15350291132926941</v>
      </c>
      <c r="CK6" s="10">
        <v>0.25898873805999756</v>
      </c>
      <c r="CL6" s="10">
        <v>0.67687231302261353</v>
      </c>
      <c r="CM6" s="11">
        <v>0.3132530152797699</v>
      </c>
      <c r="CN6" s="11">
        <v>-0.67450982332229614</v>
      </c>
      <c r="CO6" s="11">
        <v>5.517241358757019E-2</v>
      </c>
      <c r="CP6" s="11">
        <v>0.48565572500228882</v>
      </c>
      <c r="CQ6" s="11">
        <v>5.6718802452087402</v>
      </c>
      <c r="CR6">
        <v>42.150835500833836</v>
      </c>
      <c r="CS6">
        <v>2.2258624464878274</v>
      </c>
      <c r="CT6">
        <v>1.3840830449826991</v>
      </c>
      <c r="CU6" s="10">
        <v>0.18936855494976043</v>
      </c>
      <c r="CV6" s="11">
        <v>1.1702903151512145</v>
      </c>
      <c r="CW6">
        <v>0.06</v>
      </c>
      <c r="CX6">
        <v>116.30689482195002</v>
      </c>
      <c r="CY6">
        <v>366908978.74393547</v>
      </c>
      <c r="CZ6">
        <v>0.18936855494976043</v>
      </c>
      <c r="DA6">
        <v>34.97479805820084</v>
      </c>
      <c r="DB6">
        <v>1220136966.308912</v>
      </c>
      <c r="DC6">
        <v>0.17990012720227241</v>
      </c>
      <c r="DD6">
        <v>15.344291756253321</v>
      </c>
      <c r="DE6">
        <v>2781102228.6257606</v>
      </c>
      <c r="DF6">
        <v>0.16664432835578918</v>
      </c>
      <c r="DG6">
        <v>8.0472550137867351</v>
      </c>
      <c r="DH6">
        <v>5302931735.9633675</v>
      </c>
      <c r="DI6">
        <v>0.15149484395980836</v>
      </c>
      <c r="DJ6">
        <v>3.0301407887182958</v>
      </c>
      <c r="DK6">
        <v>14083188530.012323</v>
      </c>
      <c r="DL6">
        <v>0.1325579884648323</v>
      </c>
      <c r="DM6">
        <v>327000000</v>
      </c>
      <c r="DN6">
        <v>0.18936855494976043</v>
      </c>
      <c r="DO6">
        <v>42674044000</v>
      </c>
      <c r="DP6">
        <v>0</v>
      </c>
      <c r="DQ6">
        <v>260</v>
      </c>
      <c r="DR6">
        <v>-0.37844843361507896</v>
      </c>
      <c r="DS6">
        <v>-1.7562898549742232</v>
      </c>
      <c r="DT6" s="12">
        <v>2.6666666666666689E-2</v>
      </c>
      <c r="DU6">
        <v>0.2616666666666666</v>
      </c>
      <c r="DV6">
        <v>0.28833333333333327</v>
      </c>
      <c r="DW6">
        <v>-2.0796000000000001</v>
      </c>
      <c r="DX6">
        <v>0.34837208538064002</v>
      </c>
      <c r="DY6">
        <v>-2.010218417996299</v>
      </c>
      <c r="DZ6">
        <v>1078</v>
      </c>
      <c r="EA6">
        <v>-2.0080627517340659</v>
      </c>
      <c r="EB6">
        <v>2</v>
      </c>
      <c r="EC6">
        <v>2.1609180895385806E-2</v>
      </c>
      <c r="ED6">
        <v>0.16833238740970827</v>
      </c>
      <c r="EE6" s="13">
        <v>1.09721</v>
      </c>
      <c r="EF6">
        <v>1.10731</v>
      </c>
      <c r="EG6">
        <v>22.12837208538064</v>
      </c>
      <c r="EH6" t="s">
        <v>647</v>
      </c>
      <c r="EI6">
        <v>0</v>
      </c>
      <c r="EJ6">
        <v>1</v>
      </c>
      <c r="EK6" s="9">
        <v>45470</v>
      </c>
      <c r="EL6" s="14">
        <v>0.67</v>
      </c>
      <c r="EM6" s="14">
        <v>-2.33</v>
      </c>
      <c r="EN6" s="14">
        <v>-1.02</v>
      </c>
      <c r="EO6" s="14">
        <v>2.06</v>
      </c>
      <c r="EP6" s="14">
        <v>-1.01</v>
      </c>
    </row>
    <row r="7" spans="1:146" ht="96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市值885.57039亿, 利润69.78亿; PE13.93; 平均PE11.15; 平均PEG.92, PB.767; ROIC0%; ROE7.57%; 股利率2.5818%; 毛利0%; 净利34.7867%; 上一年度营收增-7.29%, 利润增-11.99%; 当季营收增-23.59%, 利润增-28.68%; 过往5年营收增12.15%, 利润增15.53%
Income profile:
</v>
      </c>
      <c r="D7" t="s">
        <v>88</v>
      </c>
      <c r="E7" t="s">
        <v>33</v>
      </c>
      <c r="F7">
        <v>11.62</v>
      </c>
      <c r="G7">
        <v>-0.6</v>
      </c>
      <c r="H7" t="s">
        <v>891</v>
      </c>
      <c r="I7">
        <v>88557039000</v>
      </c>
      <c r="J7">
        <v>13.93</v>
      </c>
      <c r="K7">
        <v>0.76700000000000002</v>
      </c>
      <c r="L7" t="s">
        <v>50</v>
      </c>
      <c r="M7" t="s">
        <v>892</v>
      </c>
      <c r="N7" t="s">
        <v>893</v>
      </c>
      <c r="O7" t="s">
        <v>894</v>
      </c>
      <c r="P7">
        <v>-23.59</v>
      </c>
      <c r="Q7" t="s">
        <v>895</v>
      </c>
      <c r="R7">
        <v>1538328800</v>
      </c>
      <c r="S7" s="5">
        <v>-0.28670000000000001</v>
      </c>
      <c r="T7" t="s">
        <v>896</v>
      </c>
      <c r="U7">
        <v>5919291500</v>
      </c>
      <c r="V7">
        <v>7621087700</v>
      </c>
      <c r="W7">
        <v>5.24</v>
      </c>
      <c r="X7">
        <v>0.01</v>
      </c>
      <c r="Y7">
        <v>34.61</v>
      </c>
      <c r="Z7" t="s">
        <v>44</v>
      </c>
      <c r="AA7" t="s">
        <v>44</v>
      </c>
      <c r="AB7" t="s">
        <v>44</v>
      </c>
      <c r="AC7" t="s">
        <v>44</v>
      </c>
      <c r="AD7" t="s">
        <v>44</v>
      </c>
      <c r="AE7">
        <v>0</v>
      </c>
      <c r="AF7" t="s">
        <v>897</v>
      </c>
      <c r="AG7" t="s">
        <v>898</v>
      </c>
      <c r="AH7" t="s">
        <v>899</v>
      </c>
      <c r="AI7" t="s">
        <v>900</v>
      </c>
      <c r="AJ7" t="s">
        <v>108</v>
      </c>
      <c r="AK7" t="s">
        <v>44</v>
      </c>
      <c r="AL7" t="s">
        <v>108</v>
      </c>
      <c r="AM7" t="s">
        <v>901</v>
      </c>
      <c r="AN7" t="s">
        <v>147</v>
      </c>
      <c r="AO7" t="s">
        <v>902</v>
      </c>
      <c r="AP7" t="s">
        <v>44</v>
      </c>
      <c r="AQ7" t="s">
        <v>44</v>
      </c>
      <c r="AR7" t="s">
        <v>44</v>
      </c>
      <c r="AS7" t="s">
        <v>44</v>
      </c>
      <c r="AT7" t="s">
        <v>44</v>
      </c>
      <c r="AU7" t="s">
        <v>903</v>
      </c>
      <c r="AV7" t="s">
        <v>904</v>
      </c>
      <c r="AW7" t="s">
        <v>905</v>
      </c>
      <c r="AX7" t="s">
        <v>665</v>
      </c>
      <c r="AY7" t="s">
        <v>445</v>
      </c>
      <c r="AZ7" t="s">
        <v>233</v>
      </c>
      <c r="BA7" t="s">
        <v>119</v>
      </c>
      <c r="BB7" t="s">
        <v>235</v>
      </c>
      <c r="BC7" t="s">
        <v>666</v>
      </c>
      <c r="BD7" t="s">
        <v>446</v>
      </c>
      <c r="BE7" t="s">
        <v>234</v>
      </c>
      <c r="BF7" t="s">
        <v>120</v>
      </c>
      <c r="BG7" t="s">
        <v>236</v>
      </c>
      <c r="BH7" t="s">
        <v>895</v>
      </c>
      <c r="BI7" t="s">
        <v>906</v>
      </c>
      <c r="BJ7" t="s">
        <v>665</v>
      </c>
      <c r="BK7" t="s">
        <v>896</v>
      </c>
      <c r="BL7" t="s">
        <v>907</v>
      </c>
      <c r="BM7" t="s">
        <v>666</v>
      </c>
      <c r="BN7" t="s">
        <v>44</v>
      </c>
      <c r="BO7" t="s">
        <v>44</v>
      </c>
      <c r="BP7" t="s">
        <v>44</v>
      </c>
      <c r="BQ7">
        <v>4.8099999999999996</v>
      </c>
      <c r="BR7">
        <v>7.23</v>
      </c>
      <c r="BS7">
        <v>10.67</v>
      </c>
      <c r="BT7" t="s">
        <v>908</v>
      </c>
      <c r="BU7" t="s">
        <v>50</v>
      </c>
      <c r="BV7" t="s">
        <v>44</v>
      </c>
      <c r="BW7" t="s">
        <v>44</v>
      </c>
      <c r="BX7" t="s">
        <v>44</v>
      </c>
      <c r="BY7">
        <v>33.75</v>
      </c>
      <c r="BZ7">
        <v>35.409999999999997</v>
      </c>
      <c r="CA7">
        <v>35.200000000000003</v>
      </c>
      <c r="CB7">
        <v>-2.11</v>
      </c>
      <c r="CC7">
        <v>-8.7200000000000006</v>
      </c>
      <c r="CD7" t="s">
        <v>909</v>
      </c>
      <c r="CE7" t="s">
        <v>910</v>
      </c>
      <c r="CF7" s="10">
        <v>-0.23591168750964953</v>
      </c>
      <c r="CG7" s="11">
        <v>-0.28682021325915624</v>
      </c>
      <c r="CH7" s="10">
        <v>-7.2895094752311707E-2</v>
      </c>
      <c r="CI7" s="10">
        <v>-0.26621901988983154</v>
      </c>
      <c r="CJ7" s="10">
        <v>0.17483624815940857</v>
      </c>
      <c r="CK7" s="10">
        <v>0.2780798077583313</v>
      </c>
      <c r="CL7" s="10">
        <v>0.49377864599227905</v>
      </c>
      <c r="CM7" s="11">
        <v>-0.11993946880102158</v>
      </c>
      <c r="CN7" s="11">
        <v>-0.26948589086532593</v>
      </c>
      <c r="CO7" s="11">
        <v>8.1291094422340393E-2</v>
      </c>
      <c r="CP7" s="11">
        <v>0.33147630095481873</v>
      </c>
      <c r="CQ7" s="11">
        <v>0.75325566530227661</v>
      </c>
      <c r="CR7">
        <v>11.153747722406482</v>
      </c>
      <c r="CS7">
        <v>0.91788216708518011</v>
      </c>
      <c r="CT7">
        <v>2.5817555938037868</v>
      </c>
      <c r="CU7" s="10">
        <v>0.12151611745357513</v>
      </c>
      <c r="CV7" s="11">
        <v>0.15531954020261765</v>
      </c>
      <c r="CW7">
        <v>0.06</v>
      </c>
      <c r="CX7">
        <v>65.68759999599618</v>
      </c>
      <c r="CY7">
        <v>7382961761.8783464</v>
      </c>
      <c r="CZ7">
        <v>0.12151611745357513</v>
      </c>
      <c r="DA7">
        <v>20.902810900499894</v>
      </c>
      <c r="DB7">
        <v>23201139851.884796</v>
      </c>
      <c r="DC7">
        <v>0.11544031158089636</v>
      </c>
      <c r="DD7">
        <v>9.9263109358142678</v>
      </c>
      <c r="DE7">
        <v>48856926015.708916</v>
      </c>
      <c r="DF7">
        <v>0.10693418335914612</v>
      </c>
      <c r="DG7">
        <v>5.7205087065613203</v>
      </c>
      <c r="DH7">
        <v>84777257386.87352</v>
      </c>
      <c r="DI7">
        <v>9.7212893962860106E-2</v>
      </c>
      <c r="DJ7">
        <v>2.6943840253850699</v>
      </c>
      <c r="DK7">
        <v>179992545394.74576</v>
      </c>
      <c r="DL7">
        <v>8.5061282217502587E-2</v>
      </c>
      <c r="DM7">
        <v>6978000000</v>
      </c>
      <c r="DN7">
        <v>0.12151611745357513</v>
      </c>
      <c r="DO7">
        <v>484969039000</v>
      </c>
      <c r="DP7">
        <v>0</v>
      </c>
      <c r="DQ7">
        <v>274</v>
      </c>
      <c r="DR7">
        <v>-0.35742780496322468</v>
      </c>
      <c r="DS7">
        <v>-0.44213975346177392</v>
      </c>
      <c r="DT7" s="12">
        <v>-0.24000000000000007</v>
      </c>
      <c r="DU7">
        <v>-5.3333333333333365E-2</v>
      </c>
      <c r="DV7">
        <v>-0.29333333333333345</v>
      </c>
      <c r="DW7">
        <v>-2.0872000000000002</v>
      </c>
      <c r="DX7">
        <v>0.41279827360308374</v>
      </c>
      <c r="DY7">
        <v>-2.014196009458189</v>
      </c>
      <c r="DZ7">
        <v>2436</v>
      </c>
      <c r="EA7">
        <v>-2.0074285967301755</v>
      </c>
      <c r="EB7">
        <v>2</v>
      </c>
      <c r="EC7">
        <v>1.1086645807789352E-2</v>
      </c>
      <c r="ED7">
        <v>6.810051536344347E-2</v>
      </c>
      <c r="EE7" s="13">
        <v>-1.03121</v>
      </c>
      <c r="EF7">
        <v>-1.03521</v>
      </c>
      <c r="EG7">
        <v>25.162798273603084</v>
      </c>
      <c r="EH7" t="s">
        <v>667</v>
      </c>
      <c r="EI7">
        <v>0</v>
      </c>
      <c r="EJ7">
        <v>0</v>
      </c>
      <c r="EK7" s="9">
        <v>45470</v>
      </c>
      <c r="EL7" s="14">
        <v>-0.08</v>
      </c>
      <c r="EM7" s="14">
        <v>-0.64</v>
      </c>
      <c r="EN7" s="14">
        <v>-1.21</v>
      </c>
      <c r="EO7" s="14">
        <v>0.82</v>
      </c>
      <c r="EP7" s="14">
        <v>-0.4</v>
      </c>
    </row>
    <row r="8" spans="1:146" ht="96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市值265.4435亿, 利润15.48亿; PE22.22; 平均PE16.81; 平均PEG1.3, PB.806; ROIC0%; ROE5.7%; 股利率2.5%; 毛利0%; 净利24.7867%; 上一年度营收增8.22%, 利润增2.58%; 当季营收增-38.08%, 利润增-46.85%; 过往5年营收增12.91%, 利润增110.84%
Income profile:
</v>
      </c>
      <c r="D8" t="s">
        <v>73</v>
      </c>
      <c r="E8" t="s">
        <v>34</v>
      </c>
      <c r="F8">
        <v>4.8</v>
      </c>
      <c r="G8">
        <v>0.63</v>
      </c>
      <c r="H8" t="s">
        <v>911</v>
      </c>
      <c r="I8">
        <v>26544350000</v>
      </c>
      <c r="J8">
        <v>22.22</v>
      </c>
      <c r="K8">
        <v>0.80600000000000005</v>
      </c>
      <c r="L8" t="s">
        <v>50</v>
      </c>
      <c r="M8" t="s">
        <v>912</v>
      </c>
      <c r="N8" t="s">
        <v>913</v>
      </c>
      <c r="O8" t="s">
        <v>914</v>
      </c>
      <c r="P8">
        <v>-38.090000000000003</v>
      </c>
      <c r="Q8" t="s">
        <v>915</v>
      </c>
      <c r="R8">
        <v>401849550</v>
      </c>
      <c r="S8" s="5">
        <v>-0.46820000000000001</v>
      </c>
      <c r="T8" t="s">
        <v>916</v>
      </c>
      <c r="U8">
        <v>5530072900</v>
      </c>
      <c r="V8">
        <v>5530072900</v>
      </c>
      <c r="W8">
        <v>4.09</v>
      </c>
      <c r="X8">
        <v>0.01</v>
      </c>
      <c r="Y8">
        <v>29.87</v>
      </c>
      <c r="Z8" t="s">
        <v>44</v>
      </c>
      <c r="AA8" t="s">
        <v>44</v>
      </c>
      <c r="AB8" t="s">
        <v>44</v>
      </c>
      <c r="AC8" t="s">
        <v>44</v>
      </c>
      <c r="AD8" t="s">
        <v>44</v>
      </c>
      <c r="AE8">
        <v>0</v>
      </c>
      <c r="AF8" t="s">
        <v>917</v>
      </c>
      <c r="AG8" t="s">
        <v>918</v>
      </c>
      <c r="AH8" t="s">
        <v>919</v>
      </c>
      <c r="AI8" t="s">
        <v>920</v>
      </c>
      <c r="AJ8" t="s">
        <v>108</v>
      </c>
      <c r="AK8" t="s">
        <v>44</v>
      </c>
      <c r="AL8" t="s">
        <v>108</v>
      </c>
      <c r="AM8" t="s">
        <v>921</v>
      </c>
      <c r="AN8" t="s">
        <v>922</v>
      </c>
      <c r="AO8" t="s">
        <v>44</v>
      </c>
      <c r="AP8" t="s">
        <v>44</v>
      </c>
      <c r="AQ8" t="s">
        <v>44</v>
      </c>
      <c r="AR8" t="s">
        <v>44</v>
      </c>
      <c r="AS8" t="s">
        <v>44</v>
      </c>
      <c r="AT8" t="s">
        <v>44</v>
      </c>
      <c r="AU8" t="s">
        <v>923</v>
      </c>
      <c r="AV8" t="s">
        <v>924</v>
      </c>
      <c r="AW8" t="s">
        <v>925</v>
      </c>
      <c r="AX8" t="s">
        <v>669</v>
      </c>
      <c r="AY8" t="s">
        <v>448</v>
      </c>
      <c r="AZ8" t="s">
        <v>237</v>
      </c>
      <c r="BA8" t="s">
        <v>121</v>
      </c>
      <c r="BB8" t="s">
        <v>239</v>
      </c>
      <c r="BC8" t="s">
        <v>649</v>
      </c>
      <c r="BD8" t="s">
        <v>449</v>
      </c>
      <c r="BE8" t="s">
        <v>238</v>
      </c>
      <c r="BF8" t="s">
        <v>122</v>
      </c>
      <c r="BG8" t="s">
        <v>240</v>
      </c>
      <c r="BH8" t="s">
        <v>915</v>
      </c>
      <c r="BI8" t="s">
        <v>926</v>
      </c>
      <c r="BJ8" t="s">
        <v>669</v>
      </c>
      <c r="BK8" t="s">
        <v>916</v>
      </c>
      <c r="BL8" t="s">
        <v>927</v>
      </c>
      <c r="BM8" t="s">
        <v>649</v>
      </c>
      <c r="BN8" t="s">
        <v>44</v>
      </c>
      <c r="BO8" t="s">
        <v>44</v>
      </c>
      <c r="BP8" t="s">
        <v>44</v>
      </c>
      <c r="BQ8">
        <v>3.74</v>
      </c>
      <c r="BR8">
        <v>5.0199999999999996</v>
      </c>
      <c r="BS8">
        <v>8.34</v>
      </c>
      <c r="BT8" t="s">
        <v>623</v>
      </c>
      <c r="BU8" t="s">
        <v>50</v>
      </c>
      <c r="BV8" t="s">
        <v>44</v>
      </c>
      <c r="BW8" t="s">
        <v>44</v>
      </c>
      <c r="BX8" t="s">
        <v>44</v>
      </c>
      <c r="BY8">
        <v>22.34</v>
      </c>
      <c r="BZ8">
        <v>24.02</v>
      </c>
      <c r="CA8">
        <v>28</v>
      </c>
      <c r="CB8">
        <v>-0.62</v>
      </c>
      <c r="CC8">
        <v>-15.19</v>
      </c>
      <c r="CD8" t="s">
        <v>671</v>
      </c>
      <c r="CE8" t="s">
        <v>928</v>
      </c>
      <c r="CF8" s="10">
        <v>-0.3807531380753138</v>
      </c>
      <c r="CG8" s="11">
        <v>-0.46845297619047621</v>
      </c>
      <c r="CH8" s="10">
        <v>8.223482221364975E-2</v>
      </c>
      <c r="CI8" s="10">
        <v>-0.26104602217674255</v>
      </c>
      <c r="CJ8" s="10">
        <v>0.10778514295816422</v>
      </c>
      <c r="CK8" s="10">
        <v>0.10678232461214066</v>
      </c>
      <c r="CL8" s="10">
        <v>0.60975050926208496</v>
      </c>
      <c r="CM8" s="11">
        <v>2.584497444331646E-2</v>
      </c>
      <c r="CN8" s="11">
        <v>-0.37385892868041992</v>
      </c>
      <c r="CO8" s="11">
        <v>0.15587520599365234</v>
      </c>
      <c r="CP8" s="11">
        <v>0.25150063633918762</v>
      </c>
      <c r="CQ8" s="11">
        <v>5.482490062713623</v>
      </c>
      <c r="CR8">
        <v>16.809087071240103</v>
      </c>
      <c r="CS8">
        <v>1.3020070178630847</v>
      </c>
      <c r="CT8">
        <v>2.5</v>
      </c>
      <c r="CU8" s="10">
        <v>0.12910135537385942</v>
      </c>
      <c r="CV8" s="11">
        <v>1.108370390161872</v>
      </c>
      <c r="CW8">
        <v>0.06</v>
      </c>
      <c r="CX8">
        <v>75.780996367914966</v>
      </c>
      <c r="CY8">
        <v>1648914054.8289948</v>
      </c>
      <c r="CZ8">
        <v>0.12910135537385942</v>
      </c>
      <c r="DA8">
        <v>23.961543980011403</v>
      </c>
      <c r="DB8">
        <v>5214870548.585598</v>
      </c>
      <c r="DC8">
        <v>0.12264628760516644</v>
      </c>
      <c r="DD8">
        <v>11.27979760721384</v>
      </c>
      <c r="DE8">
        <v>11077889369.22821</v>
      </c>
      <c r="DF8">
        <v>0.11360919272899629</v>
      </c>
      <c r="DG8">
        <v>6.4347308384086599</v>
      </c>
      <c r="DH8">
        <v>19419048463.401199</v>
      </c>
      <c r="DI8">
        <v>0.10328108429908754</v>
      </c>
      <c r="DJ8">
        <v>2.9606880898537122</v>
      </c>
      <c r="DK8">
        <v>42205171976.144943</v>
      </c>
      <c r="DL8">
        <v>9.0370948761701583E-2</v>
      </c>
      <c r="DM8">
        <v>1548000000</v>
      </c>
      <c r="DN8">
        <v>0.12910135537385942</v>
      </c>
      <c r="DO8">
        <v>124956350000</v>
      </c>
      <c r="DP8">
        <v>0</v>
      </c>
      <c r="DQ8">
        <v>279</v>
      </c>
      <c r="DR8">
        <v>-0.50985449344917322</v>
      </c>
      <c r="DS8">
        <v>-1.5768233663523481</v>
      </c>
      <c r="DT8" s="12">
        <v>-0.39000000000000007</v>
      </c>
      <c r="DU8">
        <v>0.39000000000000007</v>
      </c>
      <c r="DV8">
        <v>0</v>
      </c>
      <c r="DW8">
        <v>-2.1518999999999999</v>
      </c>
      <c r="DX8">
        <v>0.32165424739195059</v>
      </c>
      <c r="DY8">
        <v>-2.0139222801788375</v>
      </c>
      <c r="DZ8">
        <v>1707</v>
      </c>
      <c r="EA8">
        <v>-2.0092715302247717</v>
      </c>
      <c r="EB8">
        <v>2</v>
      </c>
      <c r="EC8">
        <v>2.2242021438813219E-2</v>
      </c>
      <c r="ED8">
        <v>0.24267311195843366</v>
      </c>
      <c r="EE8" s="13">
        <v>2.1010000000000001E-2</v>
      </c>
      <c r="EF8">
        <v>3.3110000000000007E-2</v>
      </c>
      <c r="EG8">
        <v>23.091654247391951</v>
      </c>
      <c r="EH8">
        <v>-1</v>
      </c>
      <c r="EI8">
        <v>0</v>
      </c>
      <c r="EJ8">
        <v>0</v>
      </c>
      <c r="EK8" s="9">
        <v>45470</v>
      </c>
      <c r="EL8" s="14">
        <v>0.59</v>
      </c>
      <c r="EM8" s="14">
        <v>-0.98</v>
      </c>
      <c r="EN8" s="14">
        <v>-1.39</v>
      </c>
      <c r="EO8" s="14">
        <v>1.86</v>
      </c>
      <c r="EP8" s="14">
        <v>-1.21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市值165.84745亿, 利润6.20亿; PE31.42; 平均PE28.59; 平均PEG2.7, PB.926; ROIC0%; ROE3.3233%; 股利率1.9481%; 毛利0%; 净利17.0067%; 上一年度营收增-16.58%, 利润增8.01%; 当季营收增-44.7%, 利润增-36.83%; 过往5年营收增-10.58%, 利润增32.69%
Income profile:
</v>
      </c>
      <c r="D9" t="s">
        <v>70</v>
      </c>
      <c r="E9" t="s">
        <v>24</v>
      </c>
      <c r="F9">
        <v>4.62</v>
      </c>
      <c r="G9">
        <v>0.43</v>
      </c>
      <c r="H9" t="s">
        <v>929</v>
      </c>
      <c r="I9">
        <v>16584745000</v>
      </c>
      <c r="J9">
        <v>31.42</v>
      </c>
      <c r="K9">
        <v>0.92600000000000005</v>
      </c>
      <c r="L9" t="s">
        <v>50</v>
      </c>
      <c r="M9" t="s">
        <v>930</v>
      </c>
      <c r="N9" t="s">
        <v>931</v>
      </c>
      <c r="O9" t="s">
        <v>932</v>
      </c>
      <c r="P9">
        <v>-44.64</v>
      </c>
      <c r="Q9" t="s">
        <v>933</v>
      </c>
      <c r="R9">
        <v>158560110</v>
      </c>
      <c r="S9" s="5">
        <v>-0.36720000000000003</v>
      </c>
      <c r="T9" t="s">
        <v>934</v>
      </c>
      <c r="U9">
        <v>3589771500</v>
      </c>
      <c r="V9">
        <v>3589771500</v>
      </c>
      <c r="W9">
        <v>4.34</v>
      </c>
      <c r="X9">
        <v>0.01</v>
      </c>
      <c r="Y9">
        <v>23.9</v>
      </c>
      <c r="Z9" t="s">
        <v>44</v>
      </c>
      <c r="AA9" t="s">
        <v>44</v>
      </c>
      <c r="AB9" t="s">
        <v>44</v>
      </c>
      <c r="AC9" t="s">
        <v>44</v>
      </c>
      <c r="AD9" t="s">
        <v>44</v>
      </c>
      <c r="AE9">
        <v>0</v>
      </c>
      <c r="AF9" t="s">
        <v>935</v>
      </c>
      <c r="AG9" t="s">
        <v>936</v>
      </c>
      <c r="AH9" t="s">
        <v>937</v>
      </c>
      <c r="AI9" t="s">
        <v>938</v>
      </c>
      <c r="AJ9" t="s">
        <v>108</v>
      </c>
      <c r="AK9" t="s">
        <v>44</v>
      </c>
      <c r="AL9" t="s">
        <v>108</v>
      </c>
      <c r="AM9" t="s">
        <v>939</v>
      </c>
      <c r="AN9" t="s">
        <v>44</v>
      </c>
      <c r="AO9" t="s">
        <v>648</v>
      </c>
      <c r="AP9" t="s">
        <v>44</v>
      </c>
      <c r="AQ9" t="s">
        <v>44</v>
      </c>
      <c r="AR9" t="s">
        <v>44</v>
      </c>
      <c r="AS9" t="s">
        <v>44</v>
      </c>
      <c r="AT9" t="s">
        <v>44</v>
      </c>
      <c r="AU9" t="s">
        <v>940</v>
      </c>
      <c r="AV9" t="s">
        <v>941</v>
      </c>
      <c r="AW9" t="s">
        <v>942</v>
      </c>
      <c r="AX9" t="s">
        <v>672</v>
      </c>
      <c r="AY9" t="s">
        <v>450</v>
      </c>
      <c r="AZ9" t="s">
        <v>241</v>
      </c>
      <c r="BA9" t="s">
        <v>123</v>
      </c>
      <c r="BB9" t="s">
        <v>245</v>
      </c>
      <c r="BC9" t="s">
        <v>673</v>
      </c>
      <c r="BD9" t="s">
        <v>451</v>
      </c>
      <c r="BE9" t="s">
        <v>242</v>
      </c>
      <c r="BF9" t="s">
        <v>124</v>
      </c>
      <c r="BG9" t="s">
        <v>246</v>
      </c>
      <c r="BH9" t="s">
        <v>933</v>
      </c>
      <c r="BI9" t="s">
        <v>943</v>
      </c>
      <c r="BJ9" t="s">
        <v>672</v>
      </c>
      <c r="BK9" t="s">
        <v>934</v>
      </c>
      <c r="BL9" t="s">
        <v>777</v>
      </c>
      <c r="BM9" t="s">
        <v>673</v>
      </c>
      <c r="BN9" t="s">
        <v>44</v>
      </c>
      <c r="BO9" t="s">
        <v>44</v>
      </c>
      <c r="BP9" t="s">
        <v>44</v>
      </c>
      <c r="BQ9">
        <v>1.93</v>
      </c>
      <c r="BR9">
        <v>3.32</v>
      </c>
      <c r="BS9">
        <v>4.72</v>
      </c>
      <c r="BT9" t="s">
        <v>944</v>
      </c>
      <c r="BU9" t="s">
        <v>50</v>
      </c>
      <c r="BV9" t="s">
        <v>44</v>
      </c>
      <c r="BW9" t="s">
        <v>44</v>
      </c>
      <c r="BX9" t="s">
        <v>44</v>
      </c>
      <c r="BY9">
        <v>17.059999999999999</v>
      </c>
      <c r="BZ9">
        <v>13.63</v>
      </c>
      <c r="CA9">
        <v>20.329999999999998</v>
      </c>
      <c r="CB9">
        <v>-1.7</v>
      </c>
      <c r="CC9">
        <v>-8.15</v>
      </c>
      <c r="CD9" t="s">
        <v>945</v>
      </c>
      <c r="CE9" t="s">
        <v>946</v>
      </c>
      <c r="CF9" s="10">
        <v>-0.44697633654688868</v>
      </c>
      <c r="CG9" s="11">
        <v>-0.36828641434262943</v>
      </c>
      <c r="CH9" s="10">
        <v>-0.1658255010843277</v>
      </c>
      <c r="CI9" s="10">
        <v>4.1812736541032791E-2</v>
      </c>
      <c r="CJ9" s="10">
        <v>0.19509267807006836</v>
      </c>
      <c r="CK9" s="10">
        <v>-0.34496274590492249</v>
      </c>
      <c r="CL9" s="10">
        <v>-0.2552911639213562</v>
      </c>
      <c r="CM9" s="11">
        <v>8.0139376223087311E-2</v>
      </c>
      <c r="CN9" s="11">
        <v>-0.28606966137886047</v>
      </c>
      <c r="CO9" s="11">
        <v>7.0572569966316223E-2</v>
      </c>
      <c r="CP9" s="11">
        <v>0.47254902124404907</v>
      </c>
      <c r="CQ9" s="11">
        <v>1.2972972393035889</v>
      </c>
      <c r="CR9">
        <v>28.586173513358233</v>
      </c>
      <c r="CS9">
        <v>2.7010183524946725</v>
      </c>
      <c r="CT9">
        <v>1.948051948051948</v>
      </c>
      <c r="CU9" s="10">
        <v>-0.10583479925990105</v>
      </c>
      <c r="CV9" s="11">
        <v>0.32689770907163618</v>
      </c>
      <c r="CW9">
        <v>0.06</v>
      </c>
      <c r="CX9">
        <v>93.081846774193551</v>
      </c>
      <c r="CY9" t="s">
        <v>947</v>
      </c>
      <c r="CZ9">
        <v>-0.10583479925990105</v>
      </c>
      <c r="DA9">
        <v>31.027282258064517</v>
      </c>
      <c r="DB9" t="s">
        <v>948</v>
      </c>
      <c r="DC9">
        <v>-0.10054305929690599</v>
      </c>
      <c r="DD9">
        <v>15.513641129032258</v>
      </c>
      <c r="DE9" t="s">
        <v>949</v>
      </c>
      <c r="DF9">
        <v>-9.3134623348712933E-2</v>
      </c>
      <c r="DG9">
        <v>9.3081846774193551</v>
      </c>
      <c r="DH9" t="s">
        <v>950</v>
      </c>
      <c r="DI9">
        <v>-8.4667839407920845E-2</v>
      </c>
      <c r="DJ9">
        <v>4.6540923387096775</v>
      </c>
      <c r="DK9" t="s">
        <v>951</v>
      </c>
      <c r="DL9">
        <v>-7.4084359481930734E-2</v>
      </c>
      <c r="DM9">
        <v>620000000</v>
      </c>
      <c r="DN9">
        <v>-0.10583479925990105</v>
      </c>
      <c r="DO9">
        <v>57710745000</v>
      </c>
      <c r="DP9">
        <v>0</v>
      </c>
      <c r="DQ9">
        <v>997</v>
      </c>
      <c r="DR9">
        <v>-0.3411415372869876</v>
      </c>
      <c r="DS9">
        <v>-0.69518412341426561</v>
      </c>
      <c r="DT9" s="12">
        <v>-0.69</v>
      </c>
      <c r="DU9">
        <v>-5.3333333333333365E-2</v>
      </c>
      <c r="DV9">
        <v>-0.74333333333333329</v>
      </c>
      <c r="DW9">
        <v>-2.0815000000000001</v>
      </c>
      <c r="DX9">
        <v>0.34767457439446314</v>
      </c>
      <c r="DY9">
        <v>-2.0112204778131488</v>
      </c>
      <c r="DZ9">
        <v>3262</v>
      </c>
      <c r="EA9">
        <v>-2.0040578166337961</v>
      </c>
      <c r="EB9">
        <v>2</v>
      </c>
      <c r="EC9">
        <v>2.2167399791323764E-2</v>
      </c>
      <c r="ED9">
        <v>0.16101303383794763</v>
      </c>
      <c r="EE9" s="13">
        <v>1.0241</v>
      </c>
      <c r="EF9">
        <v>1.0118</v>
      </c>
      <c r="EG9">
        <v>21.137674574394463</v>
      </c>
      <c r="EH9" t="s">
        <v>645</v>
      </c>
      <c r="EI9">
        <v>0</v>
      </c>
      <c r="EJ9">
        <v>0</v>
      </c>
      <c r="EK9" s="9">
        <v>45470</v>
      </c>
      <c r="EL9" s="14">
        <v>1.83</v>
      </c>
      <c r="EM9" s="14">
        <v>-2.4</v>
      </c>
      <c r="EN9" s="14">
        <v>-1.64</v>
      </c>
      <c r="EO9" s="14">
        <v>1.46</v>
      </c>
      <c r="EP9" s="14">
        <v>-1.23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市值161.96659亿, 利润-2998.41万; PE; 平均PE-87.73; 平均PEG-1.75, PB1.48; ROIC.375%; ROE-.9333%; 股利率0%; 毛利0%; 净利-2123.17%; 上一年度营收增89.06%, 利润增93.14%; 当季营收增151.83%, 利润增-49.07%; 过往5年营收增50.02%, 利润增-181.9%
Income profile:
</v>
      </c>
      <c r="D10" t="s">
        <v>93</v>
      </c>
      <c r="E10" t="s">
        <v>18</v>
      </c>
      <c r="F10">
        <v>8.3699999999999992</v>
      </c>
      <c r="G10">
        <v>0.97</v>
      </c>
      <c r="H10" t="s">
        <v>952</v>
      </c>
      <c r="I10">
        <v>16196659000</v>
      </c>
      <c r="K10">
        <v>1.48</v>
      </c>
      <c r="L10" t="s">
        <v>50</v>
      </c>
      <c r="M10" t="s">
        <v>953</v>
      </c>
      <c r="N10" t="s">
        <v>954</v>
      </c>
      <c r="O10" t="s">
        <v>955</v>
      </c>
      <c r="P10">
        <v>151.80000000000001</v>
      </c>
      <c r="Q10" t="s">
        <v>956</v>
      </c>
      <c r="R10">
        <v>23006699</v>
      </c>
      <c r="S10" s="5">
        <v>-0.49070000000000003</v>
      </c>
      <c r="T10" t="s">
        <v>957</v>
      </c>
      <c r="U10">
        <v>1623350600</v>
      </c>
      <c r="V10">
        <v>1935084700</v>
      </c>
      <c r="W10">
        <v>3.43</v>
      </c>
      <c r="X10">
        <v>0</v>
      </c>
      <c r="Y10">
        <v>5.41</v>
      </c>
      <c r="Z10" t="s">
        <v>958</v>
      </c>
      <c r="AA10" t="s">
        <v>44</v>
      </c>
      <c r="AB10" t="s">
        <v>44</v>
      </c>
      <c r="AC10" t="s">
        <v>289</v>
      </c>
      <c r="AD10" t="s">
        <v>44</v>
      </c>
      <c r="AE10">
        <v>24255397</v>
      </c>
      <c r="AF10" t="s">
        <v>959</v>
      </c>
      <c r="AG10" t="s">
        <v>960</v>
      </c>
      <c r="AH10" t="s">
        <v>961</v>
      </c>
      <c r="AI10" t="s">
        <v>962</v>
      </c>
      <c r="AJ10" t="s">
        <v>963</v>
      </c>
      <c r="AK10" t="s">
        <v>44</v>
      </c>
      <c r="AL10" t="s">
        <v>964</v>
      </c>
      <c r="AM10" t="s">
        <v>44</v>
      </c>
      <c r="AN10">
        <v>0</v>
      </c>
      <c r="AO10" t="s">
        <v>965</v>
      </c>
      <c r="AP10" t="s">
        <v>44</v>
      </c>
      <c r="AQ10" t="s">
        <v>732</v>
      </c>
      <c r="AR10" t="s">
        <v>44</v>
      </c>
      <c r="AS10" t="s">
        <v>966</v>
      </c>
      <c r="AT10" t="s">
        <v>967</v>
      </c>
      <c r="AU10" t="s">
        <v>968</v>
      </c>
      <c r="AV10" t="s">
        <v>969</v>
      </c>
      <c r="AW10" t="s">
        <v>970</v>
      </c>
      <c r="AX10" t="s">
        <v>679</v>
      </c>
      <c r="AY10" t="s">
        <v>677</v>
      </c>
      <c r="AZ10" t="s">
        <v>678</v>
      </c>
      <c r="BA10" t="s">
        <v>248</v>
      </c>
      <c r="BB10" t="s">
        <v>249</v>
      </c>
      <c r="BC10" t="s">
        <v>675</v>
      </c>
      <c r="BD10" t="s">
        <v>452</v>
      </c>
      <c r="BE10" t="s">
        <v>247</v>
      </c>
      <c r="BF10" t="s">
        <v>250</v>
      </c>
      <c r="BG10" t="s">
        <v>251</v>
      </c>
      <c r="BH10" t="s">
        <v>956</v>
      </c>
      <c r="BI10" t="s">
        <v>971</v>
      </c>
      <c r="BJ10" t="s">
        <v>679</v>
      </c>
      <c r="BK10" t="s">
        <v>957</v>
      </c>
      <c r="BL10" t="s">
        <v>972</v>
      </c>
      <c r="BM10" t="s">
        <v>675</v>
      </c>
      <c r="BN10">
        <v>0.28999999999999998</v>
      </c>
      <c r="BO10" t="s">
        <v>44</v>
      </c>
      <c r="BP10">
        <v>0.46</v>
      </c>
      <c r="BQ10">
        <v>0.43</v>
      </c>
      <c r="BR10">
        <v>-3.91</v>
      </c>
      <c r="BS10">
        <v>0.68</v>
      </c>
      <c r="BT10" t="s">
        <v>625</v>
      </c>
      <c r="BU10" t="s">
        <v>50</v>
      </c>
      <c r="BV10" t="s">
        <v>44</v>
      </c>
      <c r="BW10" t="s">
        <v>44</v>
      </c>
      <c r="BX10" t="s">
        <v>44</v>
      </c>
      <c r="BY10">
        <v>-2123.17</v>
      </c>
      <c r="BZ10" t="s">
        <v>973</v>
      </c>
      <c r="CA10" t="s">
        <v>680</v>
      </c>
      <c r="CB10">
        <v>-1.18</v>
      </c>
      <c r="CC10">
        <v>-16.96</v>
      </c>
      <c r="CD10" t="s">
        <v>974</v>
      </c>
      <c r="CE10" t="s">
        <v>975</v>
      </c>
      <c r="CF10" s="10">
        <v>1.5183129855715871</v>
      </c>
      <c r="CG10" s="11">
        <v>-0.49071153445993509</v>
      </c>
      <c r="CH10" s="10">
        <v>0.89056706428527832</v>
      </c>
      <c r="CI10" s="10">
        <v>0.43607306480407715</v>
      </c>
      <c r="CJ10" s="10">
        <v>-0.8831247091293335</v>
      </c>
      <c r="CK10" s="10">
        <v>2.3297052383422852</v>
      </c>
      <c r="CL10" s="10">
        <v>-0.27199223637580872</v>
      </c>
      <c r="CM10" s="11">
        <v>0.93138653039932251</v>
      </c>
      <c r="CN10" s="11">
        <v>-6.6835474967956543</v>
      </c>
      <c r="CO10" s="11">
        <v>1.2100781202316284</v>
      </c>
      <c r="CP10" s="11">
        <v>-5.7329869270324707</v>
      </c>
      <c r="CQ10" s="11">
        <v>1.1802555322647095</v>
      </c>
      <c r="CR10">
        <v>-87.726074615584395</v>
      </c>
      <c r="CS10">
        <v>-1.7536597986523745</v>
      </c>
      <c r="CT10">
        <v>0</v>
      </c>
      <c r="CU10" s="10">
        <v>0.5002456843852997</v>
      </c>
      <c r="CV10" s="11">
        <v>-1.818962848186493</v>
      </c>
      <c r="CW10">
        <v>0.06</v>
      </c>
      <c r="CX10" t="e">
        <v>#VALUE!</v>
      </c>
      <c r="CY10" t="s">
        <v>606</v>
      </c>
      <c r="CZ10">
        <v>0.5002456843852997</v>
      </c>
      <c r="DA10" t="e">
        <v>#VALUE!</v>
      </c>
      <c r="DB10" t="s">
        <v>606</v>
      </c>
      <c r="DC10">
        <v>0.47523340016603471</v>
      </c>
      <c r="DD10" t="e">
        <v>#VALUE!</v>
      </c>
      <c r="DE10" t="s">
        <v>606</v>
      </c>
      <c r="DF10">
        <v>0.44021620225906372</v>
      </c>
      <c r="DG10" t="e">
        <v>#VALUE!</v>
      </c>
      <c r="DH10" t="s">
        <v>606</v>
      </c>
      <c r="DI10">
        <v>0.4001965475082398</v>
      </c>
      <c r="DJ10" t="e">
        <v>#VALUE!</v>
      </c>
      <c r="DK10" t="s">
        <v>606</v>
      </c>
      <c r="DL10">
        <v>0.35017197906970976</v>
      </c>
      <c r="DM10">
        <v>-29984100</v>
      </c>
      <c r="DN10">
        <v>0.5002456843852997</v>
      </c>
      <c r="DO10">
        <v>26794659000</v>
      </c>
      <c r="DP10">
        <v>5324580000</v>
      </c>
      <c r="DQ10">
        <v>1160</v>
      </c>
      <c r="DR10">
        <v>1.0180673011862873</v>
      </c>
      <c r="DS10">
        <v>1.3282513137265579</v>
      </c>
      <c r="DT10" s="12">
        <v>0.14833333333333334</v>
      </c>
      <c r="DU10">
        <v>-1.4233333333333336</v>
      </c>
      <c r="DV10">
        <v>-1.2750000000000001</v>
      </c>
      <c r="DW10">
        <v>-3.0108571428571427</v>
      </c>
      <c r="DX10">
        <v>0.3840996563573893</v>
      </c>
      <c r="DY10">
        <v>-3.001238796269023</v>
      </c>
      <c r="DZ10">
        <v>3834</v>
      </c>
      <c r="EA10">
        <v>-3.0003093354284291</v>
      </c>
      <c r="EB10">
        <v>3</v>
      </c>
      <c r="EC10">
        <v>5.1475266173103433E-2</v>
      </c>
      <c r="ED10">
        <v>0.45114304298928104</v>
      </c>
      <c r="EE10" s="13">
        <v>1.07901</v>
      </c>
      <c r="EF10">
        <v>1.10711</v>
      </c>
      <c r="EG10">
        <v>27.114099656357389</v>
      </c>
      <c r="EH10" t="s">
        <v>647</v>
      </c>
      <c r="EI10">
        <v>0</v>
      </c>
      <c r="EJ10">
        <v>0</v>
      </c>
      <c r="EK10" s="9">
        <v>45470</v>
      </c>
      <c r="EL10" s="14">
        <v>0.89</v>
      </c>
      <c r="EM10" s="14">
        <v>-2.3199999999999998</v>
      </c>
      <c r="EN10" s="14">
        <v>-1.02</v>
      </c>
      <c r="EO10" s="14">
        <v>1.6</v>
      </c>
      <c r="EP10" s="14">
        <v>-2.81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市值272.19753亿, 利润11.66亿; PE27.12; 平均PE33.1; 平均PEG1.15, PB.967; ROIC0%; ROE3.3633%; 股利率1.4778%; 毛利0%; 净利15.7033%; 上一年度营收增29.88%, 利润增170.53%; 当季营收增-12.02%, 利润增-45.19%; 过往5年营收增28.82%, 利润增83.09%
Income profile:
</v>
      </c>
      <c r="D11" t="s">
        <v>58</v>
      </c>
      <c r="E11" t="s">
        <v>15</v>
      </c>
      <c r="F11">
        <v>6.09</v>
      </c>
      <c r="G11">
        <v>1.1599999999999999</v>
      </c>
      <c r="H11" t="s">
        <v>976</v>
      </c>
      <c r="I11">
        <v>27219753000</v>
      </c>
      <c r="J11">
        <v>27.12</v>
      </c>
      <c r="K11">
        <v>0.96699999999999997</v>
      </c>
      <c r="L11" t="s">
        <v>50</v>
      </c>
      <c r="M11" t="s">
        <v>977</v>
      </c>
      <c r="N11" t="s">
        <v>978</v>
      </c>
      <c r="O11" t="s">
        <v>979</v>
      </c>
      <c r="P11">
        <v>-12.01</v>
      </c>
      <c r="Q11" t="s">
        <v>980</v>
      </c>
      <c r="R11">
        <v>196224550</v>
      </c>
      <c r="S11" s="5">
        <v>-0.45240000000000002</v>
      </c>
      <c r="T11" t="s">
        <v>981</v>
      </c>
      <c r="U11">
        <v>4109194600</v>
      </c>
      <c r="V11">
        <v>4469581700</v>
      </c>
      <c r="W11">
        <v>3.48</v>
      </c>
      <c r="X11">
        <v>0.02</v>
      </c>
      <c r="Y11">
        <v>12.79</v>
      </c>
      <c r="Z11" t="s">
        <v>44</v>
      </c>
      <c r="AA11" t="s">
        <v>44</v>
      </c>
      <c r="AB11" t="s">
        <v>44</v>
      </c>
      <c r="AC11" t="s">
        <v>44</v>
      </c>
      <c r="AD11" t="s">
        <v>44</v>
      </c>
      <c r="AE11">
        <v>0</v>
      </c>
      <c r="AF11" t="s">
        <v>982</v>
      </c>
      <c r="AG11" t="s">
        <v>983</v>
      </c>
      <c r="AH11" t="s">
        <v>984</v>
      </c>
      <c r="AI11" t="s">
        <v>985</v>
      </c>
      <c r="AJ11" t="s">
        <v>108</v>
      </c>
      <c r="AK11" t="s">
        <v>44</v>
      </c>
      <c r="AL11" t="s">
        <v>108</v>
      </c>
      <c r="AM11" t="s">
        <v>631</v>
      </c>
      <c r="AN11" t="s">
        <v>986</v>
      </c>
      <c r="AO11" t="s">
        <v>987</v>
      </c>
      <c r="AP11" t="s">
        <v>44</v>
      </c>
      <c r="AQ11" t="s">
        <v>44</v>
      </c>
      <c r="AR11" t="s">
        <v>44</v>
      </c>
      <c r="AS11" t="s">
        <v>44</v>
      </c>
      <c r="AT11" t="s">
        <v>44</v>
      </c>
      <c r="AU11" t="s">
        <v>988</v>
      </c>
      <c r="AV11" t="s">
        <v>989</v>
      </c>
      <c r="AW11" t="s">
        <v>990</v>
      </c>
      <c r="AX11" t="s">
        <v>682</v>
      </c>
      <c r="AY11" t="s">
        <v>453</v>
      </c>
      <c r="AZ11" t="s">
        <v>252</v>
      </c>
      <c r="BA11" t="s">
        <v>126</v>
      </c>
      <c r="BB11" t="s">
        <v>254</v>
      </c>
      <c r="BC11" t="s">
        <v>991</v>
      </c>
      <c r="BD11" t="s">
        <v>454</v>
      </c>
      <c r="BE11" t="s">
        <v>253</v>
      </c>
      <c r="BF11" t="s">
        <v>127</v>
      </c>
      <c r="BG11" t="s">
        <v>256</v>
      </c>
      <c r="BH11" t="s">
        <v>980</v>
      </c>
      <c r="BI11" t="s">
        <v>315</v>
      </c>
      <c r="BJ11" t="s">
        <v>682</v>
      </c>
      <c r="BK11" t="s">
        <v>981</v>
      </c>
      <c r="BL11" t="s">
        <v>310</v>
      </c>
      <c r="BM11" t="s">
        <v>991</v>
      </c>
      <c r="BN11" t="s">
        <v>44</v>
      </c>
      <c r="BO11" t="s">
        <v>44</v>
      </c>
      <c r="BP11" t="s">
        <v>44</v>
      </c>
      <c r="BQ11">
        <v>3.2</v>
      </c>
      <c r="BR11">
        <v>1.58</v>
      </c>
      <c r="BS11">
        <v>5.31</v>
      </c>
      <c r="BT11" t="s">
        <v>944</v>
      </c>
      <c r="BU11" t="s">
        <v>50</v>
      </c>
      <c r="BV11" t="s">
        <v>44</v>
      </c>
      <c r="BW11" t="s">
        <v>44</v>
      </c>
      <c r="BX11" t="s">
        <v>44</v>
      </c>
      <c r="BY11">
        <v>17.37</v>
      </c>
      <c r="BZ11">
        <v>8.6300000000000008</v>
      </c>
      <c r="CA11">
        <v>21.11</v>
      </c>
      <c r="CB11">
        <v>-1.62</v>
      </c>
      <c r="CC11">
        <v>-9.51</v>
      </c>
      <c r="CD11" t="s">
        <v>732</v>
      </c>
      <c r="CE11" t="s">
        <v>992</v>
      </c>
      <c r="CF11" s="10">
        <v>-0.1202426916712631</v>
      </c>
      <c r="CG11" s="11">
        <v>-0.45188673184357542</v>
      </c>
      <c r="CH11" s="10">
        <v>0.29879423975944519</v>
      </c>
      <c r="CI11" s="10">
        <v>-0.2137460857629776</v>
      </c>
      <c r="CJ11" s="10">
        <v>0.30227625370025635</v>
      </c>
      <c r="CK11" s="10">
        <v>0.40831297636032104</v>
      </c>
      <c r="CL11" s="10">
        <v>0.64550739526748657</v>
      </c>
      <c r="CM11" s="11">
        <v>1.7053364515304565</v>
      </c>
      <c r="CN11" s="11">
        <v>-0.69432622194290161</v>
      </c>
      <c r="CO11" s="11">
        <v>0.26230981945991516</v>
      </c>
      <c r="CP11" s="11">
        <v>0.83114743232727051</v>
      </c>
      <c r="CQ11" s="11">
        <v>2.0499999523162842</v>
      </c>
      <c r="CR11">
        <v>33.100631941629509</v>
      </c>
      <c r="CS11">
        <v>1.1484145249148341</v>
      </c>
      <c r="CT11">
        <v>1.4778325123152709</v>
      </c>
      <c r="CU11" s="10">
        <v>0.28822895586490632</v>
      </c>
      <c r="CV11" s="11">
        <v>0.83089348673820496</v>
      </c>
      <c r="CW11">
        <v>0.06</v>
      </c>
      <c r="CX11">
        <v>47.274736581717605</v>
      </c>
      <c r="CY11">
        <v>1417051851.4513967</v>
      </c>
      <c r="CZ11">
        <v>0.28822895586490632</v>
      </c>
      <c r="DA11">
        <v>13.113488106125029</v>
      </c>
      <c r="DB11">
        <v>5108538053.1751928</v>
      </c>
      <c r="DC11">
        <v>0.273817508071661</v>
      </c>
      <c r="DD11">
        <v>5.1103615350971312</v>
      </c>
      <c r="DE11">
        <v>13108808944.321926</v>
      </c>
      <c r="DF11">
        <v>0.25364148116111757</v>
      </c>
      <c r="DG11">
        <v>2.3105798419311325</v>
      </c>
      <c r="DH11">
        <v>28993048318.127186</v>
      </c>
      <c r="DI11">
        <v>0.23058316469192508</v>
      </c>
      <c r="DJ11">
        <v>0.59925345861229506</v>
      </c>
      <c r="DK11">
        <v>111790348536.54749</v>
      </c>
      <c r="DL11">
        <v>0.2017602691054344</v>
      </c>
      <c r="DM11">
        <v>1166000000</v>
      </c>
      <c r="DN11">
        <v>0.28822895586490632</v>
      </c>
      <c r="DO11">
        <v>66990753000</v>
      </c>
      <c r="DP11">
        <v>0</v>
      </c>
      <c r="DQ11">
        <v>1163</v>
      </c>
      <c r="DR11">
        <v>-0.40847164753616944</v>
      </c>
      <c r="DS11">
        <v>-1.2827802185817805</v>
      </c>
      <c r="DT11" s="12">
        <v>2.6666666666666689E-2</v>
      </c>
      <c r="DU11">
        <v>0.71999999999999986</v>
      </c>
      <c r="DV11">
        <v>0.74666666666666659</v>
      </c>
      <c r="DW11">
        <v>-2.0951</v>
      </c>
      <c r="DX11">
        <v>0.36745513866231505</v>
      </c>
      <c r="DY11">
        <v>-2.0111699836867865</v>
      </c>
      <c r="DZ11">
        <v>408</v>
      </c>
      <c r="EA11">
        <v>-2.0102781337172742</v>
      </c>
      <c r="EB11">
        <v>2</v>
      </c>
      <c r="EC11">
        <v>3.2217780021785929E-2</v>
      </c>
      <c r="ED11">
        <v>0.27429859935214967</v>
      </c>
      <c r="EE11" s="13">
        <v>3.9810000000000005E-2</v>
      </c>
      <c r="EF11">
        <v>6.651E-2</v>
      </c>
      <c r="EG11">
        <v>25.117455138662315</v>
      </c>
      <c r="EH11">
        <v>-1</v>
      </c>
      <c r="EI11">
        <v>0</v>
      </c>
      <c r="EJ11">
        <v>1</v>
      </c>
      <c r="EK11" s="9">
        <v>45470</v>
      </c>
      <c r="EL11" s="14">
        <v>4.8</v>
      </c>
      <c r="EM11" s="14">
        <v>-2.95</v>
      </c>
      <c r="EN11" s="14">
        <v>-3.2</v>
      </c>
      <c r="EO11" s="14">
        <v>1.59</v>
      </c>
      <c r="EP11" s="14">
        <v>-2.67</v>
      </c>
    </row>
    <row r="12" spans="1:146" ht="96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市值800.71537亿, 利润64.27亿; PE13.6; 平均PE12.78; 平均PEG.84, PB.963; ROIC0%; ROE8.07%; 股利率3.2413%; 毛利0%; 净利39.31%; 上一年度营收增9.08%, 利润增5.57%; 当季营收增-19.24%, 利润增-30.49%; 过往5年营收增15.26%, 利润增19.37%
Income profile:
</v>
      </c>
      <c r="D12" t="s">
        <v>89</v>
      </c>
      <c r="E12" t="s">
        <v>17</v>
      </c>
      <c r="F12">
        <v>8.33</v>
      </c>
      <c r="G12">
        <v>-0.6</v>
      </c>
      <c r="H12" t="s">
        <v>993</v>
      </c>
      <c r="I12">
        <v>80071537000</v>
      </c>
      <c r="J12">
        <v>13.6</v>
      </c>
      <c r="K12">
        <v>0.96299999999999997</v>
      </c>
      <c r="L12" t="s">
        <v>50</v>
      </c>
      <c r="M12" t="s">
        <v>994</v>
      </c>
      <c r="N12" t="s">
        <v>995</v>
      </c>
      <c r="O12" t="s">
        <v>996</v>
      </c>
      <c r="P12">
        <v>-19.239999999999998</v>
      </c>
      <c r="Q12" t="s">
        <v>997</v>
      </c>
      <c r="R12">
        <v>1228850030</v>
      </c>
      <c r="S12" s="5">
        <v>-0.30509999999999998</v>
      </c>
      <c r="T12" t="s">
        <v>998</v>
      </c>
      <c r="U12">
        <v>9138841800</v>
      </c>
      <c r="V12">
        <v>9612429400</v>
      </c>
      <c r="W12">
        <v>4.2</v>
      </c>
      <c r="X12">
        <v>0.01</v>
      </c>
      <c r="Y12">
        <v>36.549999999999997</v>
      </c>
      <c r="Z12" t="s">
        <v>44</v>
      </c>
      <c r="AA12" t="s">
        <v>44</v>
      </c>
      <c r="AB12" t="s">
        <v>44</v>
      </c>
      <c r="AC12" t="s">
        <v>44</v>
      </c>
      <c r="AD12" t="s">
        <v>44</v>
      </c>
      <c r="AE12">
        <v>0</v>
      </c>
      <c r="AF12" t="s">
        <v>999</v>
      </c>
      <c r="AG12" t="s">
        <v>1000</v>
      </c>
      <c r="AH12" t="s">
        <v>1001</v>
      </c>
      <c r="AI12" t="s">
        <v>1002</v>
      </c>
      <c r="AJ12" t="s">
        <v>108</v>
      </c>
      <c r="AK12" t="s">
        <v>44</v>
      </c>
      <c r="AL12" t="s">
        <v>108</v>
      </c>
      <c r="AM12" t="s">
        <v>1003</v>
      </c>
      <c r="AN12" t="s">
        <v>1004</v>
      </c>
      <c r="AO12" t="s">
        <v>1005</v>
      </c>
      <c r="AP12" t="s">
        <v>44</v>
      </c>
      <c r="AQ12" t="s">
        <v>44</v>
      </c>
      <c r="AR12" t="s">
        <v>44</v>
      </c>
      <c r="AS12" t="s">
        <v>44</v>
      </c>
      <c r="AT12" t="s">
        <v>44</v>
      </c>
      <c r="AU12" t="s">
        <v>1006</v>
      </c>
      <c r="AV12" t="s">
        <v>1007</v>
      </c>
      <c r="AW12" t="s">
        <v>1008</v>
      </c>
      <c r="AX12" t="s">
        <v>684</v>
      </c>
      <c r="AY12" t="s">
        <v>455</v>
      </c>
      <c r="AZ12" t="s">
        <v>258</v>
      </c>
      <c r="BA12" t="s">
        <v>128</v>
      </c>
      <c r="BB12" t="s">
        <v>260</v>
      </c>
      <c r="BC12" t="s">
        <v>685</v>
      </c>
      <c r="BD12" t="s">
        <v>456</v>
      </c>
      <c r="BE12" t="s">
        <v>259</v>
      </c>
      <c r="BF12" t="s">
        <v>129</v>
      </c>
      <c r="BG12" t="s">
        <v>261</v>
      </c>
      <c r="BH12" t="s">
        <v>997</v>
      </c>
      <c r="BI12" t="s">
        <v>1009</v>
      </c>
      <c r="BJ12" t="s">
        <v>684</v>
      </c>
      <c r="BK12" t="s">
        <v>998</v>
      </c>
      <c r="BL12" t="s">
        <v>1010</v>
      </c>
      <c r="BM12" t="s">
        <v>685</v>
      </c>
      <c r="BN12" t="s">
        <v>44</v>
      </c>
      <c r="BO12" t="s">
        <v>44</v>
      </c>
      <c r="BP12" t="s">
        <v>44</v>
      </c>
      <c r="BQ12">
        <v>5</v>
      </c>
      <c r="BR12">
        <v>6.5</v>
      </c>
      <c r="BS12">
        <v>12.71</v>
      </c>
      <c r="BT12" t="s">
        <v>687</v>
      </c>
      <c r="BU12" t="s">
        <v>50</v>
      </c>
      <c r="BV12" t="s">
        <v>44</v>
      </c>
      <c r="BW12" t="s">
        <v>44</v>
      </c>
      <c r="BX12" t="s">
        <v>44</v>
      </c>
      <c r="BY12">
        <v>37.119999999999997</v>
      </c>
      <c r="BZ12">
        <v>38.33</v>
      </c>
      <c r="CA12">
        <v>42.48</v>
      </c>
      <c r="CB12">
        <v>-4.1399999999999997</v>
      </c>
      <c r="CC12">
        <v>-1.88</v>
      </c>
      <c r="CD12" t="s">
        <v>1011</v>
      </c>
      <c r="CE12" t="s">
        <v>1012</v>
      </c>
      <c r="CF12" s="10">
        <v>-0.19240932020177778</v>
      </c>
      <c r="CG12" s="11">
        <v>-0.30494907805429866</v>
      </c>
      <c r="CH12" s="10">
        <v>9.0765900909900665E-2</v>
      </c>
      <c r="CI12" s="10">
        <v>-0.33344531059265137</v>
      </c>
      <c r="CJ12" s="10">
        <v>0.26799404621124268</v>
      </c>
      <c r="CK12" s="10">
        <v>0.3328603208065033</v>
      </c>
      <c r="CL12" s="10">
        <v>0.40494468808174133</v>
      </c>
      <c r="CM12" s="11">
        <v>5.5683281272649765E-2</v>
      </c>
      <c r="CN12" s="11">
        <v>-0.39812162518501282</v>
      </c>
      <c r="CO12" s="11">
        <v>0.52886945009231567</v>
      </c>
      <c r="CP12" s="11">
        <v>0.34745413064956665</v>
      </c>
      <c r="CQ12" s="11">
        <v>0.43441426753997803</v>
      </c>
      <c r="CR12">
        <v>12.784513212166368</v>
      </c>
      <c r="CS12">
        <v>0.83764802078871892</v>
      </c>
      <c r="CT12">
        <v>3.2412965186074429</v>
      </c>
      <c r="CU12" s="10">
        <v>0.15262392908334732</v>
      </c>
      <c r="CV12" s="11">
        <v>0.19365990087389945</v>
      </c>
      <c r="CW12">
        <v>0.06</v>
      </c>
      <c r="CX12">
        <v>45.705809972368989</v>
      </c>
      <c r="CY12">
        <v>6988598105.8666725</v>
      </c>
      <c r="CZ12">
        <v>0.15262392908334732</v>
      </c>
      <c r="DA12">
        <v>14.170246999910939</v>
      </c>
      <c r="DB12">
        <v>22541564519.094662</v>
      </c>
      <c r="DC12">
        <v>0.14499273262917994</v>
      </c>
      <c r="DD12">
        <v>6.4909632265389225</v>
      </c>
      <c r="DE12">
        <v>49209882393.728981</v>
      </c>
      <c r="DF12">
        <v>0.13430905759334563</v>
      </c>
      <c r="DG12">
        <v>3.5856903559215421</v>
      </c>
      <c r="DH12">
        <v>89081740277.014923</v>
      </c>
      <c r="DI12">
        <v>0.12209914326667787</v>
      </c>
      <c r="DJ12">
        <v>1.5301810810983552</v>
      </c>
      <c r="DK12">
        <v>208746233335.15698</v>
      </c>
      <c r="DL12">
        <v>0.10683675035834311</v>
      </c>
      <c r="DM12">
        <v>6427000000</v>
      </c>
      <c r="DN12">
        <v>0.15262392908334732</v>
      </c>
      <c r="DO12">
        <v>319419537000</v>
      </c>
      <c r="DP12">
        <v>0</v>
      </c>
      <c r="DQ12">
        <v>1219</v>
      </c>
      <c r="DR12">
        <v>-0.34503324928512513</v>
      </c>
      <c r="DS12">
        <v>-0.49860897892819811</v>
      </c>
      <c r="DT12" s="12">
        <v>-0.24000000000000007</v>
      </c>
      <c r="DU12">
        <v>-2.0000000000000056E-2</v>
      </c>
      <c r="DV12">
        <v>-0.26000000000000012</v>
      </c>
      <c r="DW12">
        <v>-4.454106280193237</v>
      </c>
      <c r="DX12">
        <v>0.30117136612021822</v>
      </c>
      <c r="DY12">
        <v>-4.0323193643251232</v>
      </c>
      <c r="DZ12">
        <v>2353</v>
      </c>
      <c r="EA12">
        <v>-4.0174372773863727</v>
      </c>
      <c r="EB12">
        <v>4</v>
      </c>
      <c r="EC12">
        <v>6.7747493677300765E-3</v>
      </c>
      <c r="ED12">
        <v>9.5189255694299299E-2</v>
      </c>
      <c r="EE12" s="13">
        <v>8.3000000000000001E-3</v>
      </c>
      <c r="EF12">
        <v>7.1999999999999998E-3</v>
      </c>
      <c r="EG12">
        <v>23.071171366120218</v>
      </c>
      <c r="EH12" t="s">
        <v>608</v>
      </c>
      <c r="EI12">
        <v>0</v>
      </c>
      <c r="EJ12">
        <v>0</v>
      </c>
      <c r="EK12" s="9">
        <v>45470</v>
      </c>
      <c r="EL12" s="14">
        <v>0.45</v>
      </c>
      <c r="EM12" s="14">
        <v>-0.67</v>
      </c>
      <c r="EN12" s="14">
        <v>-1.01</v>
      </c>
      <c r="EO12" s="14">
        <v>0.8</v>
      </c>
      <c r="EP12" s="14">
        <v>-0.11</v>
      </c>
    </row>
    <row r="13" spans="1:146" ht="96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市值206.75808亿, 利润3.31亿; PE62.1; 平均PE42.38; 平均PEG4.55, PB1.37; ROIC0%; ROE3.4167%; 股利率.6504%; 毛利0%; 净利19.5633%; 上一年度营收增-4.67%, 利润增-17.46%; 当季营收增-2.75%, 利润增1.56%; 过往5年营收增9.32%, 利润增60.04%
Income profile:
</v>
      </c>
      <c r="D13" t="s">
        <v>59</v>
      </c>
      <c r="E13" t="s">
        <v>10</v>
      </c>
      <c r="F13">
        <v>4.92</v>
      </c>
      <c r="G13">
        <v>0.82</v>
      </c>
      <c r="H13" t="s">
        <v>1013</v>
      </c>
      <c r="I13">
        <v>20675808000</v>
      </c>
      <c r="J13">
        <v>62.1</v>
      </c>
      <c r="K13">
        <v>1.37</v>
      </c>
      <c r="L13" t="s">
        <v>50</v>
      </c>
      <c r="M13" t="s">
        <v>1014</v>
      </c>
      <c r="N13" t="s">
        <v>1015</v>
      </c>
      <c r="O13" t="s">
        <v>1016</v>
      </c>
      <c r="P13">
        <v>-2.67</v>
      </c>
      <c r="Q13" t="s">
        <v>1017</v>
      </c>
      <c r="R13">
        <v>143197080</v>
      </c>
      <c r="S13" s="5">
        <v>1.6400000000000001E-2</v>
      </c>
      <c r="T13" t="s">
        <v>1018</v>
      </c>
      <c r="U13">
        <v>4132400000</v>
      </c>
      <c r="V13">
        <v>4202400000</v>
      </c>
      <c r="W13">
        <v>2.88</v>
      </c>
      <c r="X13">
        <v>0.01</v>
      </c>
      <c r="Y13">
        <v>22.8</v>
      </c>
      <c r="Z13" t="s">
        <v>44</v>
      </c>
      <c r="AA13" t="s">
        <v>44</v>
      </c>
      <c r="AB13" t="s">
        <v>44</v>
      </c>
      <c r="AC13" t="s">
        <v>44</v>
      </c>
      <c r="AD13" t="s">
        <v>44</v>
      </c>
      <c r="AE13">
        <v>0</v>
      </c>
      <c r="AF13" t="s">
        <v>1019</v>
      </c>
      <c r="AG13" t="s">
        <v>1020</v>
      </c>
      <c r="AH13" t="s">
        <v>1021</v>
      </c>
      <c r="AI13" t="s">
        <v>1022</v>
      </c>
      <c r="AJ13" t="s">
        <v>108</v>
      </c>
      <c r="AK13" t="s">
        <v>44</v>
      </c>
      <c r="AL13" t="s">
        <v>108</v>
      </c>
      <c r="AM13" t="s">
        <v>780</v>
      </c>
      <c r="AN13" t="s">
        <v>736</v>
      </c>
      <c r="AO13" t="s">
        <v>44</v>
      </c>
      <c r="AP13" t="s">
        <v>44</v>
      </c>
      <c r="AQ13" t="s">
        <v>44</v>
      </c>
      <c r="AR13" t="s">
        <v>44</v>
      </c>
      <c r="AS13" t="s">
        <v>44</v>
      </c>
      <c r="AT13" t="s">
        <v>1023</v>
      </c>
      <c r="AU13" t="s">
        <v>1024</v>
      </c>
      <c r="AV13" t="s">
        <v>1025</v>
      </c>
      <c r="AW13" t="s">
        <v>1026</v>
      </c>
      <c r="AX13" t="s">
        <v>689</v>
      </c>
      <c r="AY13" t="s">
        <v>457</v>
      </c>
      <c r="AZ13" t="s">
        <v>263</v>
      </c>
      <c r="BA13" t="s">
        <v>130</v>
      </c>
      <c r="BB13" t="s">
        <v>265</v>
      </c>
      <c r="BC13" t="s">
        <v>690</v>
      </c>
      <c r="BD13" t="s">
        <v>458</v>
      </c>
      <c r="BE13" t="s">
        <v>264</v>
      </c>
      <c r="BF13" t="s">
        <v>131</v>
      </c>
      <c r="BG13" t="s">
        <v>244</v>
      </c>
      <c r="BH13" t="s">
        <v>1017</v>
      </c>
      <c r="BI13" t="s">
        <v>1027</v>
      </c>
      <c r="BJ13" t="s">
        <v>689</v>
      </c>
      <c r="BK13" t="s">
        <v>1018</v>
      </c>
      <c r="BL13" t="s">
        <v>1028</v>
      </c>
      <c r="BM13" t="s">
        <v>690</v>
      </c>
      <c r="BN13" t="s">
        <v>44</v>
      </c>
      <c r="BO13" t="s">
        <v>44</v>
      </c>
      <c r="BP13" t="s">
        <v>44</v>
      </c>
      <c r="BQ13">
        <v>2.23</v>
      </c>
      <c r="BR13">
        <v>2.76</v>
      </c>
      <c r="BS13">
        <v>5.26</v>
      </c>
      <c r="BT13" t="s">
        <v>1029</v>
      </c>
      <c r="BU13" t="s">
        <v>50</v>
      </c>
      <c r="BV13" t="s">
        <v>44</v>
      </c>
      <c r="BW13" t="s">
        <v>44</v>
      </c>
      <c r="BX13" t="s">
        <v>44</v>
      </c>
      <c r="BY13">
        <v>15.57</v>
      </c>
      <c r="BZ13">
        <v>17.809999999999999</v>
      </c>
      <c r="CA13">
        <v>25.31</v>
      </c>
      <c r="CB13">
        <v>-3.34</v>
      </c>
      <c r="CC13">
        <v>-10.55</v>
      </c>
      <c r="CD13" t="s">
        <v>243</v>
      </c>
      <c r="CE13" t="s">
        <v>1030</v>
      </c>
      <c r="CF13" s="10">
        <v>-2.7456647398843931E-2</v>
      </c>
      <c r="CG13" s="11">
        <v>1.5582127659574467E-2</v>
      </c>
      <c r="CH13" s="10">
        <v>-4.672544077038765E-2</v>
      </c>
      <c r="CI13" s="10">
        <v>-0.19784945249557495</v>
      </c>
      <c r="CJ13" s="10">
        <v>4.326925054192543E-2</v>
      </c>
      <c r="CK13" s="10">
        <v>0.20789776742458344</v>
      </c>
      <c r="CL13" s="10">
        <v>0.45932206511497498</v>
      </c>
      <c r="CM13" s="11">
        <v>-0.17456358671188354</v>
      </c>
      <c r="CN13" s="11">
        <v>-0.46174496412277222</v>
      </c>
      <c r="CO13" s="11">
        <v>-8.3640836179256439E-2</v>
      </c>
      <c r="CP13" s="11">
        <v>0.58479529619216919</v>
      </c>
      <c r="CQ13" s="11">
        <v>3.1370968818664551</v>
      </c>
      <c r="CR13">
        <v>42.382934062179707</v>
      </c>
      <c r="CS13">
        <v>4.5483626586862735</v>
      </c>
      <c r="CT13">
        <v>0.65040650406504064</v>
      </c>
      <c r="CU13" s="10">
        <v>9.3182837963104254E-2</v>
      </c>
      <c r="CV13" s="11">
        <v>0.60038855820894244</v>
      </c>
      <c r="CW13">
        <v>0.06</v>
      </c>
      <c r="CX13">
        <v>102.91956187379803</v>
      </c>
      <c r="CY13">
        <v>341361810.72244102</v>
      </c>
      <c r="CZ13">
        <v>9.3182837963104254E-2</v>
      </c>
      <c r="DA13">
        <v>33.542660254223769</v>
      </c>
      <c r="DB13">
        <v>1047406727.2459702</v>
      </c>
      <c r="DC13">
        <v>8.8523696064949031E-2</v>
      </c>
      <c r="DD13">
        <v>16.452815356386093</v>
      </c>
      <c r="DE13">
        <v>2135367548.8957179</v>
      </c>
      <c r="DF13">
        <v>8.2000897407531748E-2</v>
      </c>
      <c r="DG13">
        <v>9.8400254254893724</v>
      </c>
      <c r="DH13">
        <v>3570398091.5529742</v>
      </c>
      <c r="DI13">
        <v>7.4546270370483406E-2</v>
      </c>
      <c r="DJ13">
        <v>5.037844265483443</v>
      </c>
      <c r="DK13">
        <v>6973778098.046978</v>
      </c>
      <c r="DL13">
        <v>6.5227986574172975E-2</v>
      </c>
      <c r="DM13">
        <v>331000000</v>
      </c>
      <c r="DN13">
        <v>9.3182837963104254E-2</v>
      </c>
      <c r="DO13">
        <v>35132808000</v>
      </c>
      <c r="DP13">
        <v>0</v>
      </c>
      <c r="DQ13">
        <v>1270</v>
      </c>
      <c r="DR13">
        <v>-0.12063948536194818</v>
      </c>
      <c r="DS13">
        <v>-0.58480643054936798</v>
      </c>
      <c r="DT13" s="12">
        <v>-0.37333333333333335</v>
      </c>
      <c r="DU13">
        <v>0.27999999999999997</v>
      </c>
      <c r="DV13">
        <v>-9.3333333333333379E-2</v>
      </c>
      <c r="DW13">
        <v>-8.3165876777251189</v>
      </c>
      <c r="DX13">
        <v>0.38904509283819788</v>
      </c>
      <c r="DY13">
        <v>-8.0566834701497232</v>
      </c>
      <c r="DZ13">
        <v>1933</v>
      </c>
      <c r="EA13">
        <v>-8.0352413668621665</v>
      </c>
      <c r="EB13">
        <v>8</v>
      </c>
      <c r="EC13">
        <v>3.2124500285551111E-2</v>
      </c>
      <c r="ED13">
        <v>0.17942128307633734</v>
      </c>
      <c r="EE13" s="13">
        <v>2.0093999999999999</v>
      </c>
      <c r="EF13">
        <v>2.0017</v>
      </c>
      <c r="EG13">
        <v>21.179045092838198</v>
      </c>
      <c r="EH13" t="s">
        <v>774</v>
      </c>
      <c r="EI13">
        <v>0</v>
      </c>
      <c r="EJ13">
        <v>0</v>
      </c>
      <c r="EK13" s="9">
        <v>45470</v>
      </c>
      <c r="EL13" s="14">
        <v>0.38</v>
      </c>
      <c r="EM13" s="14">
        <v>-1.52</v>
      </c>
      <c r="EN13" s="14">
        <v>-1.1599999999999999</v>
      </c>
      <c r="EO13" s="14">
        <v>1.36</v>
      </c>
      <c r="EP13" s="14">
        <v>-0.77</v>
      </c>
    </row>
    <row r="14" spans="1:146" ht="96" x14ac:dyDescent="0.25">
      <c r="A14" s="6"/>
      <c r="B14" s="6"/>
      <c r="C14" s="6" t="str">
        <f>""&amp;CHAR(10)&amp;Basic_Fundamental_Information_Constructure(F14)&amp;CHAR(10)&amp;Basic_Fundamental_Information_Concatenate("")</f>
        <v xml:space="preserve">
市值168.525亿, 利润4.25亿; PE113.1; 平均PE15.19; 平均PEG1.76, PB.736; ROIC0%; ROE3.67%; 股利率.7788%; 毛利0%; 净利19.48%; 上一年度营收增-5.78%, 利润增.71%; 当季营收增-42.5%, 利润增-68.57%; 过往5年营收增8.63%, 利润增2.92%
Income profile:
</v>
      </c>
      <c r="D14" t="s">
        <v>79</v>
      </c>
      <c r="E14" t="s">
        <v>32</v>
      </c>
      <c r="F14">
        <v>6.42</v>
      </c>
      <c r="G14">
        <v>0.31</v>
      </c>
      <c r="H14" t="s">
        <v>1031</v>
      </c>
      <c r="I14">
        <v>16852500000</v>
      </c>
      <c r="J14">
        <v>113.1</v>
      </c>
      <c r="K14">
        <v>0.73599999999999999</v>
      </c>
      <c r="L14" t="s">
        <v>50</v>
      </c>
      <c r="M14" t="s">
        <v>1032</v>
      </c>
      <c r="N14" t="s">
        <v>1033</v>
      </c>
      <c r="O14" t="s">
        <v>729</v>
      </c>
      <c r="P14">
        <v>-42.55</v>
      </c>
      <c r="Q14" t="s">
        <v>1034</v>
      </c>
      <c r="R14">
        <v>126334550</v>
      </c>
      <c r="S14" s="5">
        <v>-0.68600000000000005</v>
      </c>
      <c r="T14" t="s">
        <v>702</v>
      </c>
      <c r="U14">
        <v>2625000000</v>
      </c>
      <c r="V14">
        <v>2625000000</v>
      </c>
      <c r="W14">
        <v>3.71</v>
      </c>
      <c r="X14">
        <v>0.01</v>
      </c>
      <c r="Y14">
        <v>19.440000000000001</v>
      </c>
      <c r="Z14" t="s">
        <v>44</v>
      </c>
      <c r="AA14" t="s">
        <v>44</v>
      </c>
      <c r="AB14" t="s">
        <v>44</v>
      </c>
      <c r="AC14" t="s">
        <v>44</v>
      </c>
      <c r="AD14" t="s">
        <v>44</v>
      </c>
      <c r="AE14">
        <v>0</v>
      </c>
      <c r="AF14" t="s">
        <v>1035</v>
      </c>
      <c r="AG14" t="s">
        <v>1036</v>
      </c>
      <c r="AH14" t="s">
        <v>1037</v>
      </c>
      <c r="AI14" t="s">
        <v>1038</v>
      </c>
      <c r="AJ14" t="s">
        <v>108</v>
      </c>
      <c r="AK14" t="s">
        <v>44</v>
      </c>
      <c r="AL14" t="s">
        <v>108</v>
      </c>
      <c r="AM14" t="s">
        <v>1039</v>
      </c>
      <c r="AN14" t="s">
        <v>44</v>
      </c>
      <c r="AO14" t="s">
        <v>44</v>
      </c>
      <c r="AP14" t="s">
        <v>44</v>
      </c>
      <c r="AQ14" t="s">
        <v>44</v>
      </c>
      <c r="AR14" t="s">
        <v>44</v>
      </c>
      <c r="AS14" t="s">
        <v>44</v>
      </c>
      <c r="AT14" t="s">
        <v>44</v>
      </c>
      <c r="AU14" t="s">
        <v>1040</v>
      </c>
      <c r="AV14" t="s">
        <v>1041</v>
      </c>
      <c r="AW14" t="s">
        <v>1042</v>
      </c>
      <c r="AX14" t="s">
        <v>227</v>
      </c>
      <c r="AY14" t="s">
        <v>459</v>
      </c>
      <c r="AZ14" t="s">
        <v>266</v>
      </c>
      <c r="BA14" t="s">
        <v>132</v>
      </c>
      <c r="BB14" t="s">
        <v>268</v>
      </c>
      <c r="BC14" t="s">
        <v>693</v>
      </c>
      <c r="BD14" t="s">
        <v>460</v>
      </c>
      <c r="BE14" t="s">
        <v>267</v>
      </c>
      <c r="BF14" t="s">
        <v>133</v>
      </c>
      <c r="BG14" t="s">
        <v>269</v>
      </c>
      <c r="BH14" t="s">
        <v>1034</v>
      </c>
      <c r="BI14" t="s">
        <v>1043</v>
      </c>
      <c r="BJ14" t="s">
        <v>227</v>
      </c>
      <c r="BK14" t="s">
        <v>702</v>
      </c>
      <c r="BL14" t="s">
        <v>1044</v>
      </c>
      <c r="BM14" t="s">
        <v>693</v>
      </c>
      <c r="BN14" t="s">
        <v>44</v>
      </c>
      <c r="BO14" t="s">
        <v>44</v>
      </c>
      <c r="BP14" t="s">
        <v>44</v>
      </c>
      <c r="BQ14">
        <v>1.65</v>
      </c>
      <c r="BR14">
        <v>1.89</v>
      </c>
      <c r="BS14">
        <v>7.47</v>
      </c>
      <c r="BT14" t="s">
        <v>733</v>
      </c>
      <c r="BU14" t="s">
        <v>50</v>
      </c>
      <c r="BV14" t="s">
        <v>44</v>
      </c>
      <c r="BW14" t="s">
        <v>44</v>
      </c>
      <c r="BX14" t="s">
        <v>44</v>
      </c>
      <c r="BY14">
        <v>13.21</v>
      </c>
      <c r="BZ14">
        <v>12.38</v>
      </c>
      <c r="CA14">
        <v>32.85</v>
      </c>
      <c r="CB14">
        <v>-2.58</v>
      </c>
      <c r="CC14">
        <v>-9.4499999999999993</v>
      </c>
      <c r="CD14" t="s">
        <v>1045</v>
      </c>
      <c r="CE14" t="s">
        <v>240</v>
      </c>
      <c r="CF14" s="10">
        <v>-0.42502218278615794</v>
      </c>
      <c r="CG14" s="11">
        <v>-0.68573495024875619</v>
      </c>
      <c r="CH14" s="10">
        <v>-5.7760681957006454E-2</v>
      </c>
      <c r="CI14" s="10">
        <v>-0.34088245034217834</v>
      </c>
      <c r="CJ14" s="10">
        <v>9.3743346631526947E-2</v>
      </c>
      <c r="CK14" s="10">
        <v>0.18948434293270111</v>
      </c>
      <c r="CL14" s="10">
        <v>0.54695481061935425</v>
      </c>
      <c r="CM14" s="11">
        <v>7.1090045385062695E-3</v>
      </c>
      <c r="CN14" s="11">
        <v>-0.74142158031463623</v>
      </c>
      <c r="CO14" s="11">
        <v>-0.14105263352394104</v>
      </c>
      <c r="CP14" s="11">
        <v>0.32681563496589661</v>
      </c>
      <c r="CQ14" s="11">
        <v>0.69467455148696899</v>
      </c>
      <c r="CR14">
        <v>15.191556490384617</v>
      </c>
      <c r="CS14">
        <v>1.7601588199079663</v>
      </c>
      <c r="CT14">
        <v>0.77881619937694702</v>
      </c>
      <c r="CU14" s="10">
        <v>8.6307873576879496E-2</v>
      </c>
      <c r="CV14" s="11">
        <v>2.9224995430558919E-2</v>
      </c>
      <c r="CW14">
        <v>0.06</v>
      </c>
      <c r="CX14">
        <v>137.8321204227766</v>
      </c>
      <c r="CY14">
        <v>435547968.17940921</v>
      </c>
      <c r="CZ14">
        <v>8.6307873576879496E-2</v>
      </c>
      <c r="DA14">
        <v>45.183351886940649</v>
      </c>
      <c r="DB14">
        <v>1328642021.73879</v>
      </c>
      <c r="DC14">
        <v>8.1992479898035514E-2</v>
      </c>
      <c r="DD14">
        <v>22.335818510843364</v>
      </c>
      <c r="DE14">
        <v>2687723307.3350787</v>
      </c>
      <c r="DF14">
        <v>7.5950928747653954E-2</v>
      </c>
      <c r="DG14">
        <v>13.476265677685035</v>
      </c>
      <c r="DH14">
        <v>4454683621.9922638</v>
      </c>
      <c r="DI14">
        <v>6.9046298861503597E-2</v>
      </c>
      <c r="DJ14">
        <v>7.0336252510372796</v>
      </c>
      <c r="DK14">
        <v>8535072293.0748606</v>
      </c>
      <c r="DL14">
        <v>6.041551150381564E-2</v>
      </c>
      <c r="DM14">
        <v>425000000</v>
      </c>
      <c r="DN14">
        <v>8.6307873576879496E-2</v>
      </c>
      <c r="DO14">
        <v>60032500000</v>
      </c>
      <c r="DP14">
        <v>0</v>
      </c>
      <c r="DQ14">
        <v>1389</v>
      </c>
      <c r="DR14">
        <v>-0.51133005636303741</v>
      </c>
      <c r="DS14">
        <v>-0.71495994567931509</v>
      </c>
      <c r="DT14" s="12">
        <v>-0.37333333333333335</v>
      </c>
      <c r="DU14">
        <v>-0.42333333333333334</v>
      </c>
      <c r="DV14">
        <v>-0.79666666666666663</v>
      </c>
      <c r="DW14">
        <v>-8.2730158730158738</v>
      </c>
      <c r="DX14">
        <v>0.34806498054474561</v>
      </c>
      <c r="DY14">
        <v>-8.0404240899265016</v>
      </c>
      <c r="DZ14">
        <v>3337</v>
      </c>
      <c r="EA14">
        <v>-8.0140258143717595</v>
      </c>
      <c r="EB14">
        <v>8</v>
      </c>
      <c r="EC14">
        <v>1.4496266666666667E-2</v>
      </c>
      <c r="ED14">
        <v>9.7904761904761897E-2</v>
      </c>
      <c r="EE14" s="13">
        <v>4.1910000000000003E-2</v>
      </c>
      <c r="EF14">
        <v>5.0810000000000001E-2</v>
      </c>
      <c r="EG14">
        <v>20.148064980544746</v>
      </c>
      <c r="EH14">
        <v>-1</v>
      </c>
      <c r="EI14">
        <v>0</v>
      </c>
      <c r="EJ14">
        <v>0</v>
      </c>
      <c r="EK14" s="9">
        <v>45470</v>
      </c>
      <c r="EL14" s="14">
        <v>1.02</v>
      </c>
      <c r="EM14" s="14">
        <v>-1.74</v>
      </c>
      <c r="EN14" s="14">
        <v>-1.62</v>
      </c>
      <c r="EO14" s="14">
        <v>1.05</v>
      </c>
      <c r="EP14" s="14">
        <v>-0.89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市值266.67562亿, 利润14.38亿; PE19.89; 平均PE22.28; 平均PEG1.13, PB.917; ROIC0%; ROE5.9133%; 股利率1.7398%; 毛利0%; 净利29.5933%; 上一年度营收增27.67%, 利润增59.96%; 当季营收增-19.11%, 利润增-21.77%; 过往5年营收增19.74%, 利润增29.83%
Income profile:
</v>
      </c>
      <c r="D15" t="s">
        <v>64</v>
      </c>
      <c r="E15" t="s">
        <v>13</v>
      </c>
      <c r="F15">
        <v>6.61</v>
      </c>
      <c r="G15">
        <v>0.46</v>
      </c>
      <c r="H15" t="s">
        <v>1046</v>
      </c>
      <c r="I15">
        <v>26667562000</v>
      </c>
      <c r="J15">
        <v>19.89</v>
      </c>
      <c r="K15">
        <v>0.91700000000000004</v>
      </c>
      <c r="L15" t="s">
        <v>50</v>
      </c>
      <c r="M15" t="s">
        <v>1047</v>
      </c>
      <c r="N15" t="s">
        <v>1048</v>
      </c>
      <c r="O15" t="s">
        <v>1049</v>
      </c>
      <c r="P15">
        <v>-19.12</v>
      </c>
      <c r="Q15" t="s">
        <v>1050</v>
      </c>
      <c r="R15">
        <v>352803500</v>
      </c>
      <c r="S15" s="5">
        <v>-0.21729999999999999</v>
      </c>
      <c r="T15" t="s">
        <v>1051</v>
      </c>
      <c r="U15">
        <v>3487623000</v>
      </c>
      <c r="V15">
        <v>4034427000</v>
      </c>
      <c r="W15">
        <v>3.93</v>
      </c>
      <c r="X15">
        <v>0.01</v>
      </c>
      <c r="Y15">
        <v>39.32</v>
      </c>
      <c r="Z15" t="s">
        <v>44</v>
      </c>
      <c r="AA15" t="s">
        <v>44</v>
      </c>
      <c r="AB15" t="s">
        <v>44</v>
      </c>
      <c r="AC15" t="s">
        <v>44</v>
      </c>
      <c r="AD15" t="s">
        <v>44</v>
      </c>
      <c r="AE15">
        <v>0</v>
      </c>
      <c r="AF15" t="s">
        <v>1052</v>
      </c>
      <c r="AG15" t="s">
        <v>1053</v>
      </c>
      <c r="AH15" t="s">
        <v>1054</v>
      </c>
      <c r="AI15" t="s">
        <v>1055</v>
      </c>
      <c r="AJ15" t="s">
        <v>108</v>
      </c>
      <c r="AK15" t="s">
        <v>44</v>
      </c>
      <c r="AL15" t="s">
        <v>108</v>
      </c>
      <c r="AM15" t="s">
        <v>1056</v>
      </c>
      <c r="AN15" t="s">
        <v>44</v>
      </c>
      <c r="AO15" t="s">
        <v>44</v>
      </c>
      <c r="AP15" t="s">
        <v>44</v>
      </c>
      <c r="AQ15" t="s">
        <v>44</v>
      </c>
      <c r="AR15" t="s">
        <v>44</v>
      </c>
      <c r="AS15" t="s">
        <v>44</v>
      </c>
      <c r="AT15" t="s">
        <v>44</v>
      </c>
      <c r="AU15" t="s">
        <v>1057</v>
      </c>
      <c r="AV15" t="s">
        <v>772</v>
      </c>
      <c r="AW15" t="s">
        <v>1058</v>
      </c>
      <c r="AX15" t="s">
        <v>742</v>
      </c>
      <c r="AY15" t="s">
        <v>462</v>
      </c>
      <c r="AZ15" t="s">
        <v>270</v>
      </c>
      <c r="BA15" t="s">
        <v>134</v>
      </c>
      <c r="BB15" t="s">
        <v>272</v>
      </c>
      <c r="BC15" t="s">
        <v>695</v>
      </c>
      <c r="BD15" t="s">
        <v>463</v>
      </c>
      <c r="BE15" t="s">
        <v>271</v>
      </c>
      <c r="BF15" t="s">
        <v>135</v>
      </c>
      <c r="BG15" t="s">
        <v>274</v>
      </c>
      <c r="BH15" t="s">
        <v>1050</v>
      </c>
      <c r="BI15" t="s">
        <v>1059</v>
      </c>
      <c r="BJ15" t="s">
        <v>742</v>
      </c>
      <c r="BK15" t="s">
        <v>1051</v>
      </c>
      <c r="BL15" t="s">
        <v>958</v>
      </c>
      <c r="BM15" t="s">
        <v>695</v>
      </c>
      <c r="BN15" t="s">
        <v>44</v>
      </c>
      <c r="BO15" t="s">
        <v>44</v>
      </c>
      <c r="BP15" t="s">
        <v>44</v>
      </c>
      <c r="BQ15">
        <v>4.33</v>
      </c>
      <c r="BR15">
        <v>4.03</v>
      </c>
      <c r="BS15">
        <v>9.3800000000000008</v>
      </c>
      <c r="BT15" t="s">
        <v>1060</v>
      </c>
      <c r="BU15" t="s">
        <v>50</v>
      </c>
      <c r="BV15" t="s">
        <v>44</v>
      </c>
      <c r="BW15" t="s">
        <v>44</v>
      </c>
      <c r="BX15" t="s">
        <v>44</v>
      </c>
      <c r="BY15">
        <v>35.770000000000003</v>
      </c>
      <c r="BZ15">
        <v>29.22</v>
      </c>
      <c r="CA15">
        <v>23.79</v>
      </c>
      <c r="CB15">
        <v>-1.34</v>
      </c>
      <c r="CC15">
        <v>-9.82</v>
      </c>
      <c r="CD15" t="s">
        <v>1061</v>
      </c>
      <c r="CE15" t="s">
        <v>1062</v>
      </c>
      <c r="CF15" s="10">
        <v>-0.19107142857142856</v>
      </c>
      <c r="CG15" s="11">
        <v>-0.21773059866962305</v>
      </c>
      <c r="CH15" s="10">
        <v>0.27671143412590027</v>
      </c>
      <c r="CI15" s="10">
        <v>-0.59700912237167358</v>
      </c>
      <c r="CJ15" s="10">
        <v>0.12927645444869995</v>
      </c>
      <c r="CK15" s="10">
        <v>0.7617337703704834</v>
      </c>
      <c r="CL15" s="10">
        <v>0.41627320647239685</v>
      </c>
      <c r="CM15" s="11">
        <v>0.59955507516860962</v>
      </c>
      <c r="CN15" s="11">
        <v>-0.49093997478485107</v>
      </c>
      <c r="CO15" s="11">
        <v>0.17576564848423004</v>
      </c>
      <c r="CP15" s="11">
        <v>0.51411288976669312</v>
      </c>
      <c r="CQ15" s="11">
        <v>0.69283276796340942</v>
      </c>
      <c r="CR15">
        <v>22.27556341361548</v>
      </c>
      <c r="CS15">
        <v>1.1284642949792665</v>
      </c>
      <c r="CT15">
        <v>1.7397881996974278</v>
      </c>
      <c r="CU15" s="10">
        <v>0.19739714860916138</v>
      </c>
      <c r="CV15" s="11">
        <v>0.29826528131961821</v>
      </c>
      <c r="CW15">
        <v>0.06</v>
      </c>
      <c r="CX15">
        <v>51.50757036426171</v>
      </c>
      <c r="CY15">
        <v>1624393490.2829943</v>
      </c>
      <c r="CZ15">
        <v>0.19739714860916138</v>
      </c>
      <c r="DA15">
        <v>15.386518921101498</v>
      </c>
      <c r="DB15">
        <v>5437783713.719327</v>
      </c>
      <c r="DC15">
        <v>0.18752729117870331</v>
      </c>
      <c r="DD15">
        <v>6.6865948449834622</v>
      </c>
      <c r="DE15">
        <v>12512880463.031395</v>
      </c>
      <c r="DF15">
        <v>0.17370949077606201</v>
      </c>
      <c r="DG15">
        <v>3.466283035641974</v>
      </c>
      <c r="DH15">
        <v>24137833275.494232</v>
      </c>
      <c r="DI15">
        <v>0.15791771888732911</v>
      </c>
      <c r="DJ15">
        <v>1.2685766438758186</v>
      </c>
      <c r="DK15">
        <v>65954676372.072906</v>
      </c>
      <c r="DL15">
        <v>0.13817800402641295</v>
      </c>
      <c r="DM15">
        <v>1438000000</v>
      </c>
      <c r="DN15">
        <v>0.19739714860916138</v>
      </c>
      <c r="DO15">
        <v>83668562000</v>
      </c>
      <c r="DP15">
        <v>0</v>
      </c>
      <c r="DQ15">
        <v>1401</v>
      </c>
      <c r="DR15">
        <v>-0.38846857718058991</v>
      </c>
      <c r="DS15">
        <v>-0.51599587998924124</v>
      </c>
      <c r="DT15" s="12">
        <v>-9.0000000000000011E-2</v>
      </c>
      <c r="DU15">
        <v>0.2466666666666667</v>
      </c>
      <c r="DV15">
        <v>0.15666666666666668</v>
      </c>
      <c r="DW15">
        <v>-2.0981999999999998</v>
      </c>
      <c r="DX15">
        <v>0.39324305177111851</v>
      </c>
      <c r="DY15">
        <v>-2.0160304676839238</v>
      </c>
      <c r="DZ15">
        <v>1355</v>
      </c>
      <c r="EA15">
        <v>-2.011779727231533</v>
      </c>
      <c r="EB15">
        <v>2</v>
      </c>
      <c r="EC15">
        <v>1.4849741983186214E-2</v>
      </c>
      <c r="ED15">
        <v>9.0967069177357779E-2</v>
      </c>
      <c r="EE15" s="13">
        <v>7.0400000000000004E-2</v>
      </c>
      <c r="EF15">
        <v>5.8800000000000005E-2</v>
      </c>
      <c r="EG15">
        <v>23.163243051771119</v>
      </c>
      <c r="EH15" t="s">
        <v>608</v>
      </c>
      <c r="EI15">
        <v>0</v>
      </c>
      <c r="EJ15">
        <v>1</v>
      </c>
      <c r="EK15" s="9">
        <v>45470</v>
      </c>
      <c r="EL15" s="14">
        <v>0.28999999999999998</v>
      </c>
      <c r="EM15" s="14">
        <v>-1.71</v>
      </c>
      <c r="EN15" s="14">
        <v>-1.1599999999999999</v>
      </c>
      <c r="EO15" s="14">
        <v>1.17</v>
      </c>
      <c r="EP15" s="14">
        <v>-1.1599999999999999</v>
      </c>
    </row>
    <row r="16" spans="1:146" ht="96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市值260.28亿, 利润3168.61万; PE1102; 平均PE60.54; 平均PEG20.42, PB4.15; ROIC0%; ROE6.0767%; 股利率.0415%; 毛利0%; 净利23.68%; 上一年度营收增-27.4%, 利润增-93.19%; 当季营收增12.35%, 利润增-12.83%; 过往5年营收增2.96%, 利润增-5.14%
Income profile:
</v>
      </c>
      <c r="D16" t="s">
        <v>57</v>
      </c>
      <c r="E16" t="s">
        <v>5</v>
      </c>
      <c r="F16">
        <v>9.64</v>
      </c>
      <c r="G16">
        <v>-0.41</v>
      </c>
      <c r="H16" t="s">
        <v>1063</v>
      </c>
      <c r="I16">
        <v>26028000000</v>
      </c>
      <c r="J16">
        <v>1102</v>
      </c>
      <c r="K16">
        <v>4.1500000000000004</v>
      </c>
      <c r="L16" t="s">
        <v>50</v>
      </c>
      <c r="M16" t="s">
        <v>1064</v>
      </c>
      <c r="N16" t="s">
        <v>1065</v>
      </c>
      <c r="O16" t="s">
        <v>1066</v>
      </c>
      <c r="P16">
        <v>12.02</v>
      </c>
      <c r="Q16" t="s">
        <v>1067</v>
      </c>
      <c r="R16">
        <v>54827177</v>
      </c>
      <c r="S16" s="5">
        <v>-0.1283</v>
      </c>
      <c r="T16" t="s">
        <v>1068</v>
      </c>
      <c r="U16">
        <v>2700000000</v>
      </c>
      <c r="V16">
        <v>2700000000</v>
      </c>
      <c r="W16">
        <v>4.0599999999999996</v>
      </c>
      <c r="X16">
        <v>0.01</v>
      </c>
      <c r="Y16">
        <v>20.11</v>
      </c>
      <c r="Z16" t="s">
        <v>44</v>
      </c>
      <c r="AA16" t="s">
        <v>44</v>
      </c>
      <c r="AB16" t="s">
        <v>44</v>
      </c>
      <c r="AC16" t="s">
        <v>44</v>
      </c>
      <c r="AD16" t="s">
        <v>44</v>
      </c>
      <c r="AE16">
        <v>0</v>
      </c>
      <c r="AF16" t="s">
        <v>1069</v>
      </c>
      <c r="AG16" t="s">
        <v>1070</v>
      </c>
      <c r="AH16" t="s">
        <v>1071</v>
      </c>
      <c r="AI16" t="s">
        <v>1072</v>
      </c>
      <c r="AJ16" t="s">
        <v>108</v>
      </c>
      <c r="AK16" t="s">
        <v>44</v>
      </c>
      <c r="AL16" t="s">
        <v>108</v>
      </c>
      <c r="AM16" t="s">
        <v>1073</v>
      </c>
      <c r="AN16" t="s">
        <v>1074</v>
      </c>
      <c r="AO16" t="s">
        <v>44</v>
      </c>
      <c r="AP16" t="s">
        <v>44</v>
      </c>
      <c r="AQ16" t="s">
        <v>44</v>
      </c>
      <c r="AR16" t="s">
        <v>44</v>
      </c>
      <c r="AS16" t="s">
        <v>44</v>
      </c>
      <c r="AT16" t="s">
        <v>44</v>
      </c>
      <c r="AU16" t="s">
        <v>1075</v>
      </c>
      <c r="AV16" t="s">
        <v>1076</v>
      </c>
      <c r="AW16" t="s">
        <v>1077</v>
      </c>
      <c r="AX16" t="s">
        <v>698</v>
      </c>
      <c r="AY16" t="s">
        <v>464</v>
      </c>
      <c r="AZ16" t="s">
        <v>275</v>
      </c>
      <c r="BA16" t="s">
        <v>136</v>
      </c>
      <c r="BB16" t="s">
        <v>277</v>
      </c>
      <c r="BC16" t="s">
        <v>699</v>
      </c>
      <c r="BD16" t="s">
        <v>362</v>
      </c>
      <c r="BE16" t="s">
        <v>276</v>
      </c>
      <c r="BF16" t="s">
        <v>137</v>
      </c>
      <c r="BG16" t="s">
        <v>278</v>
      </c>
      <c r="BH16" t="s">
        <v>1067</v>
      </c>
      <c r="BI16" t="s">
        <v>674</v>
      </c>
      <c r="BJ16" t="s">
        <v>698</v>
      </c>
      <c r="BK16" t="s">
        <v>1068</v>
      </c>
      <c r="BL16" t="s">
        <v>1078</v>
      </c>
      <c r="BM16" t="s">
        <v>699</v>
      </c>
      <c r="BN16" t="s">
        <v>44</v>
      </c>
      <c r="BO16" t="s">
        <v>44</v>
      </c>
      <c r="BP16" t="s">
        <v>44</v>
      </c>
      <c r="BQ16">
        <v>2.91</v>
      </c>
      <c r="BR16">
        <v>7.39</v>
      </c>
      <c r="BS16">
        <v>7.93</v>
      </c>
      <c r="BT16" t="s">
        <v>1079</v>
      </c>
      <c r="BU16" t="s">
        <v>50</v>
      </c>
      <c r="BV16" t="s">
        <v>44</v>
      </c>
      <c r="BW16" t="s">
        <v>44</v>
      </c>
      <c r="BX16" t="s">
        <v>44</v>
      </c>
      <c r="BY16">
        <v>3.12</v>
      </c>
      <c r="BZ16">
        <v>33.25</v>
      </c>
      <c r="CA16">
        <v>34.67</v>
      </c>
      <c r="CB16">
        <v>-3.41</v>
      </c>
      <c r="CC16">
        <v>-13.51</v>
      </c>
      <c r="CD16" t="s">
        <v>1080</v>
      </c>
      <c r="CE16" t="s">
        <v>1081</v>
      </c>
      <c r="CF16" s="10">
        <v>0.12345679012345666</v>
      </c>
      <c r="CG16" s="11">
        <v>-0.12827308732504544</v>
      </c>
      <c r="CH16" s="10">
        <v>-0.27396279573440552</v>
      </c>
      <c r="CI16" s="10">
        <v>2.1504915785044432E-3</v>
      </c>
      <c r="CJ16" s="10">
        <v>-6.3758343458175659E-2</v>
      </c>
      <c r="CK16" s="10">
        <v>0.47378832101821899</v>
      </c>
      <c r="CL16" s="10">
        <v>9.9900104105472565E-3</v>
      </c>
      <c r="CM16" s="11">
        <v>-0.93185782432556152</v>
      </c>
      <c r="CN16" s="11">
        <v>-3.9256200194358826E-2</v>
      </c>
      <c r="CO16" s="11">
        <v>-0.40394088625907898</v>
      </c>
      <c r="CP16" s="11">
        <v>0.83710408210754395</v>
      </c>
      <c r="CQ16" s="11">
        <v>0.28115943074226379</v>
      </c>
      <c r="CR16">
        <v>60.537597965892054</v>
      </c>
      <c r="CS16">
        <v>20.423231916094455</v>
      </c>
      <c r="CT16">
        <v>4.1493775933609957E-2</v>
      </c>
      <c r="CU16" s="10">
        <v>2.9641536762937903E-2</v>
      </c>
      <c r="CV16" s="11">
        <v>-5.1358279585838315E-2</v>
      </c>
      <c r="CW16">
        <v>0.06</v>
      </c>
      <c r="CX16">
        <v>1072.5956085923435</v>
      </c>
      <c r="CY16">
        <v>30778608.205683134</v>
      </c>
      <c r="CZ16">
        <v>2.9641536762937903E-2</v>
      </c>
      <c r="DA16">
        <v>369.02100112193233</v>
      </c>
      <c r="DB16">
        <v>89461033.110936165</v>
      </c>
      <c r="DC16">
        <v>2.8159459924791005E-2</v>
      </c>
      <c r="DD16">
        <v>194.27858545131934</v>
      </c>
      <c r="DE16">
        <v>169926087.95925227</v>
      </c>
      <c r="DF16">
        <v>2.6084552351385355E-2</v>
      </c>
      <c r="DG16">
        <v>125.55856846206547</v>
      </c>
      <c r="DH16">
        <v>262929088.82577848</v>
      </c>
      <c r="DI16">
        <v>2.3713229410350325E-2</v>
      </c>
      <c r="DJ16">
        <v>75.616639369698149</v>
      </c>
      <c r="DK16">
        <v>436583803.18379104</v>
      </c>
      <c r="DL16">
        <v>2.074907573405653E-2</v>
      </c>
      <c r="DM16">
        <v>31686100</v>
      </c>
      <c r="DN16">
        <v>2.9641536762937903E-2</v>
      </c>
      <c r="DO16">
        <v>33013000000</v>
      </c>
      <c r="DP16">
        <v>0</v>
      </c>
      <c r="DQ16">
        <v>1406</v>
      </c>
      <c r="DR16">
        <v>9.3815253360518755E-2</v>
      </c>
      <c r="DS16">
        <v>-7.6914807739207128E-2</v>
      </c>
      <c r="DT16" s="12">
        <v>-0.49</v>
      </c>
      <c r="DU16">
        <v>-0.13333333333333333</v>
      </c>
      <c r="DV16">
        <v>-0.62333333333333329</v>
      </c>
      <c r="DW16">
        <v>-8.2524056254626199</v>
      </c>
      <c r="DX16">
        <v>0.50884900990099224</v>
      </c>
      <c r="DY16">
        <v>-8.0375703274435519</v>
      </c>
      <c r="DZ16">
        <v>3067</v>
      </c>
      <c r="EA16">
        <v>-8.0150207786628531</v>
      </c>
      <c r="EB16">
        <v>8</v>
      </c>
      <c r="EC16">
        <v>1.1136111111111111E-2</v>
      </c>
      <c r="ED16">
        <v>7.481481481481482E-2</v>
      </c>
      <c r="EE16" s="13">
        <v>1.0692999999999999</v>
      </c>
      <c r="EF16">
        <v>1.0557000000000001</v>
      </c>
      <c r="EG16">
        <v>36.148849009900992</v>
      </c>
      <c r="EH16" t="s">
        <v>645</v>
      </c>
      <c r="EI16">
        <v>0</v>
      </c>
      <c r="EJ16">
        <v>0</v>
      </c>
      <c r="EK16" s="9">
        <v>45470</v>
      </c>
      <c r="EL16" s="14">
        <v>-0.67</v>
      </c>
      <c r="EM16" s="14">
        <v>-4.62</v>
      </c>
      <c r="EN16" s="14">
        <v>0.3</v>
      </c>
      <c r="EO16" s="14">
        <v>3.62</v>
      </c>
      <c r="EP16" s="14">
        <v>-1.36</v>
      </c>
    </row>
    <row r="17" spans="1:146" ht="168" customHeight="1" x14ac:dyDescent="0.25">
      <c r="A17" s="6"/>
      <c r="B17" s="6"/>
      <c r="C17" s="6" t="str">
        <f>"公司主营业务是证券业务、金融电子商务服务业务、金融数据服务业务等。公司通过以“东方财富网”为核心，集互联网财经门户平台、金融电子商务平台、金融终端平台及移动端平台等为一体的互联网服务大平台，向海量用户提供基于互联网平台应用的产品和服务。"&amp;CHAR(10)&amp;Basic_Fundamental_Information_Constructure(F17)&amp;CHAR(10)&amp;Basic_Fundamental_Information_Concatenate("证券服务 39.58亿 62.75%
金融电子商务服务 22.02亿 34.90% 99.91% 94.66%
金融数据服务 1.18亿 1.88% 0.41% 7.20%")</f>
        <v>公司主营业务是证券业务、金融电子商务服务业务、金融数据服务业务等。公司通过以“东方财富网”为核心，集互联网财经门户平台、金融电子商务平台、金融终端平台及移动端平台等为一体的互联网服务大平台，向海量用户提供基于互联网平台应用的产品和服务。
市值1611.7039亿, 利润81.93亿; PE19.85; 平均PE29.46; 平均PEG.87, PB2.2; ROIC4.4033%; ROE15.2233%; 股利率.3918%; 毛利87.4467%; 净利184.2833%; 上一年度营收增-16.01%, 利润增-3.71%; 当季营收增-30.33%, 利润增-3.71%; 过往5年营收增33.74%, 利润增65.33%
Income profile:
证券服务 39.58亿 62.75%
金融电子商务服务 22.02亿 34.90% 99.91% 94.66%
金融数据服务 1.18亿 1.88% 0.41% 7.20%</v>
      </c>
      <c r="D17" t="s">
        <v>61</v>
      </c>
      <c r="E17" t="s">
        <v>6</v>
      </c>
      <c r="F17">
        <v>10.210000000000001</v>
      </c>
      <c r="G17">
        <v>0.79</v>
      </c>
      <c r="H17" t="s">
        <v>118</v>
      </c>
      <c r="I17">
        <v>161170390000</v>
      </c>
      <c r="J17">
        <v>19.850000000000001</v>
      </c>
      <c r="K17">
        <v>2.2000000000000002</v>
      </c>
      <c r="L17" t="s">
        <v>50</v>
      </c>
      <c r="M17" t="s">
        <v>1082</v>
      </c>
      <c r="N17" t="s">
        <v>1083</v>
      </c>
      <c r="O17" t="s">
        <v>242</v>
      </c>
      <c r="P17">
        <v>-30.34</v>
      </c>
      <c r="Q17" t="s">
        <v>1084</v>
      </c>
      <c r="R17">
        <v>1953787400</v>
      </c>
      <c r="S17" s="5">
        <v>-3.6999999999999998E-2</v>
      </c>
      <c r="T17" t="s">
        <v>1085</v>
      </c>
      <c r="U17">
        <v>13359278700</v>
      </c>
      <c r="V17">
        <v>15785542000</v>
      </c>
      <c r="W17">
        <v>3.5</v>
      </c>
      <c r="X17">
        <v>0</v>
      </c>
      <c r="Y17">
        <v>79.55</v>
      </c>
      <c r="Z17" t="s">
        <v>1086</v>
      </c>
      <c r="AA17" t="s">
        <v>1087</v>
      </c>
      <c r="AB17" t="s">
        <v>1088</v>
      </c>
      <c r="AC17" t="s">
        <v>1089</v>
      </c>
      <c r="AD17" t="s">
        <v>44</v>
      </c>
      <c r="AE17">
        <v>-40064166</v>
      </c>
      <c r="AF17" t="s">
        <v>1090</v>
      </c>
      <c r="AG17" t="s">
        <v>1091</v>
      </c>
      <c r="AH17" t="s">
        <v>1092</v>
      </c>
      <c r="AI17" t="s">
        <v>1093</v>
      </c>
      <c r="AJ17" t="s">
        <v>1094</v>
      </c>
      <c r="AK17" t="s">
        <v>44</v>
      </c>
      <c r="AL17" t="s">
        <v>1095</v>
      </c>
      <c r="AM17" t="s">
        <v>44</v>
      </c>
      <c r="AN17" t="s">
        <v>1096</v>
      </c>
      <c r="AO17" t="s">
        <v>1097</v>
      </c>
      <c r="AP17" t="s">
        <v>44</v>
      </c>
      <c r="AQ17" t="s">
        <v>854</v>
      </c>
      <c r="AR17" t="s">
        <v>1098</v>
      </c>
      <c r="AS17" t="s">
        <v>1099</v>
      </c>
      <c r="AT17" t="s">
        <v>44</v>
      </c>
      <c r="AU17" t="s">
        <v>1100</v>
      </c>
      <c r="AV17" t="s">
        <v>1101</v>
      </c>
      <c r="AW17" t="s">
        <v>1102</v>
      </c>
      <c r="AX17" t="s">
        <v>706</v>
      </c>
      <c r="AY17" t="s">
        <v>704</v>
      </c>
      <c r="AZ17" t="s">
        <v>705</v>
      </c>
      <c r="BA17" t="s">
        <v>280</v>
      </c>
      <c r="BB17" t="s">
        <v>281</v>
      </c>
      <c r="BC17" t="s">
        <v>701</v>
      </c>
      <c r="BD17" t="s">
        <v>465</v>
      </c>
      <c r="BE17" t="s">
        <v>279</v>
      </c>
      <c r="BF17" t="s">
        <v>138</v>
      </c>
      <c r="BG17" t="s">
        <v>282</v>
      </c>
      <c r="BH17" t="s">
        <v>1084</v>
      </c>
      <c r="BI17" t="s">
        <v>725</v>
      </c>
      <c r="BJ17" t="s">
        <v>706</v>
      </c>
      <c r="BK17" t="s">
        <v>1085</v>
      </c>
      <c r="BL17" t="s">
        <v>1103</v>
      </c>
      <c r="BM17" t="s">
        <v>701</v>
      </c>
      <c r="BN17">
        <v>2.85</v>
      </c>
      <c r="BO17">
        <v>4.34</v>
      </c>
      <c r="BP17">
        <v>6.02</v>
      </c>
      <c r="BQ17">
        <v>9.16</v>
      </c>
      <c r="BR17">
        <v>14.4</v>
      </c>
      <c r="BS17">
        <v>22.11</v>
      </c>
      <c r="BT17" t="s">
        <v>626</v>
      </c>
      <c r="BU17" t="s">
        <v>50</v>
      </c>
      <c r="BV17">
        <v>86.16</v>
      </c>
      <c r="BW17">
        <v>88.46</v>
      </c>
      <c r="BX17">
        <v>87.72</v>
      </c>
      <c r="BY17">
        <v>210.75</v>
      </c>
      <c r="BZ17">
        <v>183.85</v>
      </c>
      <c r="CA17">
        <v>158.25</v>
      </c>
      <c r="CB17">
        <v>-3.31</v>
      </c>
      <c r="CC17">
        <v>-19.98</v>
      </c>
      <c r="CD17" t="s">
        <v>1104</v>
      </c>
      <c r="CE17" t="s">
        <v>1105</v>
      </c>
      <c r="CF17" s="10">
        <v>-0.30333951762523192</v>
      </c>
      <c r="CG17" s="11">
        <v>-3.7068802365697387E-2</v>
      </c>
      <c r="CH17" s="10">
        <v>-0.16007781028747559</v>
      </c>
      <c r="CI17" s="10">
        <v>-0.14357076585292816</v>
      </c>
      <c r="CJ17" s="10">
        <v>0.66205418109893799</v>
      </c>
      <c r="CK17" s="10">
        <v>1.2002706527709961</v>
      </c>
      <c r="CL17" s="10">
        <v>0.12824428081512451</v>
      </c>
      <c r="CM17" s="11">
        <v>-3.7137176841497421E-2</v>
      </c>
      <c r="CN17" s="11">
        <v>-5.1443637348711491E-3</v>
      </c>
      <c r="CO17" s="11">
        <v>0.79007959365844727</v>
      </c>
      <c r="CP17" s="11">
        <v>1.609502911567688</v>
      </c>
      <c r="CQ17" s="11">
        <v>0.90928041934967041</v>
      </c>
      <c r="CR17">
        <v>29.461729275203364</v>
      </c>
      <c r="CS17">
        <v>0.87323998380565915</v>
      </c>
      <c r="CT17">
        <v>0.39177277179236042</v>
      </c>
      <c r="CU17" s="10">
        <v>0.33738410770893096</v>
      </c>
      <c r="CV17" s="11">
        <v>0.65331627679988746</v>
      </c>
      <c r="CW17">
        <v>0.06</v>
      </c>
      <c r="CX17">
        <v>24.697894527030506</v>
      </c>
      <c r="CY17">
        <v>10336969806.093653</v>
      </c>
      <c r="CZ17">
        <v>0.33738410770893096</v>
      </c>
      <c r="DA17">
        <v>6.5864461115088266</v>
      </c>
      <c r="DB17">
        <v>38761630426.74852</v>
      </c>
      <c r="DC17">
        <v>0.3205149023234844</v>
      </c>
      <c r="DD17">
        <v>2.4177259291961195</v>
      </c>
      <c r="DE17">
        <v>105595670260.64294</v>
      </c>
      <c r="DF17">
        <v>0.29689801478385924</v>
      </c>
      <c r="DG17">
        <v>1.011800878742845</v>
      </c>
      <c r="DH17">
        <v>252323748045.37634</v>
      </c>
      <c r="DI17">
        <v>0.26990728616714477</v>
      </c>
      <c r="DJ17">
        <v>0.2150609625944073</v>
      </c>
      <c r="DK17">
        <v>1187111723671.9705</v>
      </c>
      <c r="DL17">
        <v>0.23616887539625164</v>
      </c>
      <c r="DM17">
        <v>8193000000.000001</v>
      </c>
      <c r="DN17">
        <v>0.33738410770893096</v>
      </c>
      <c r="DO17">
        <v>255301390000</v>
      </c>
      <c r="DP17">
        <v>65116160000</v>
      </c>
      <c r="DQ17">
        <v>1554</v>
      </c>
      <c r="DR17">
        <v>-0.64072362533416283</v>
      </c>
      <c r="DS17">
        <v>-0.69038507916558489</v>
      </c>
      <c r="DT17" s="12">
        <v>-0.10666666666666669</v>
      </c>
      <c r="DU17">
        <v>0.69999999999999984</v>
      </c>
      <c r="DV17">
        <v>0.59333333333333316</v>
      </c>
      <c r="DW17">
        <v>-8.1656656656656654</v>
      </c>
      <c r="DX17">
        <v>0.39706598171610341</v>
      </c>
      <c r="DY17">
        <v>-8.039273693667683</v>
      </c>
      <c r="DZ17">
        <v>593</v>
      </c>
      <c r="EA17">
        <v>-8.0347161006451913</v>
      </c>
      <c r="EB17">
        <v>8</v>
      </c>
      <c r="EC17">
        <v>6.5312930021661594E-2</v>
      </c>
      <c r="ED17">
        <v>0.27550526931542801</v>
      </c>
      <c r="EE17" s="13">
        <v>1.0887100000000001</v>
      </c>
      <c r="EF17">
        <v>1.1186100000000001</v>
      </c>
      <c r="EG17">
        <v>16.237065981716103</v>
      </c>
      <c r="EH17" t="s">
        <v>647</v>
      </c>
      <c r="EI17">
        <v>0</v>
      </c>
      <c r="EJ17">
        <v>1</v>
      </c>
      <c r="EK17" s="9">
        <v>45470</v>
      </c>
      <c r="EL17" s="14">
        <v>0</v>
      </c>
      <c r="EM17" s="14">
        <v>-1.17</v>
      </c>
      <c r="EN17" s="14">
        <v>-2.2000000000000002</v>
      </c>
      <c r="EO17" s="14">
        <v>1.3</v>
      </c>
      <c r="EP17" s="14">
        <v>-2.99</v>
      </c>
    </row>
    <row r="18" spans="1:146" ht="180" x14ac:dyDescent="0.25">
      <c r="A18" s="6"/>
      <c r="B18" s="6"/>
      <c r="C18" s="6" t="str">
        <f>"公司是一家主要从事投资银行、财富管理、资产管理、金融市场等相关金融服务。公司2018年获得Euromoney颁发的“2018年最佳投资银行”称号。公司2018年获得Finance Asia颁发的最佳劵商、“一带一路”最佳银行、最佳证券承销商、最佳权益证券发行机构、最佳跨国并购交易奖、最佳公司债券奖。"&amp;CHAR(10)&amp;Basic_Fundamental_Information_Constructure(F18)&amp;CHAR(10)&amp;Basic_Fundamental_Information_Concatenate("证券投资业务 104.13亿 29.85% 50.92% 74.53%
经纪业务 82.74亿 23.72% 16.61% 30.60%
资产管理业务 60.91亿 17.46% 20.01% 50.08%")</f>
        <v>公司是一家主要从事投资银行、财富管理、资产管理、金融市场等相关金融服务。公司2018年获得Euromoney颁发的“2018年最佳投资银行”称号。公司2018年获得Finance Asia颁发的最佳劵商、“一带一路”最佳银行、最佳证券承销商、最佳权益证券发行机构、最佳跨国并购交易奖、最佳公司债券奖。
市值2639.5394亿, 利润45.27亿; PE13.7; 平均PE20.43; 平均PEG1.13, PB1.03; ROIC0%; ROE8.9767%; 股利率2.667%; 毛利0%; 净利33.2033%; 上一年度营收增12.46%, 利润增-78.76%; 当季营收增-22.69%, 利润增227.08%; 过往5年营收增18.14%, 利润增-78.76%
Income profile:
证券投资业务 104.13亿 29.85% 50.92% 74.53%
经纪业务 82.74亿 23.72% 16.61% 30.60%
资产管理业务 60.91亿 17.46% 20.01% 50.08%</v>
      </c>
      <c r="D18" t="s">
        <v>80</v>
      </c>
      <c r="E18" t="s">
        <v>25</v>
      </c>
      <c r="F18">
        <v>17.809999999999999</v>
      </c>
      <c r="G18">
        <v>-1.27</v>
      </c>
      <c r="H18" t="s">
        <v>1106</v>
      </c>
      <c r="I18">
        <v>263953940000</v>
      </c>
      <c r="J18">
        <v>13.7</v>
      </c>
      <c r="K18">
        <v>1.03</v>
      </c>
      <c r="L18" t="s">
        <v>50</v>
      </c>
      <c r="M18" t="s">
        <v>1107</v>
      </c>
      <c r="N18" t="s">
        <v>1108</v>
      </c>
      <c r="O18" t="s">
        <v>1109</v>
      </c>
      <c r="P18">
        <v>-10.38</v>
      </c>
      <c r="Q18" t="s">
        <v>1110</v>
      </c>
      <c r="R18">
        <v>4958574600</v>
      </c>
      <c r="S18" s="5">
        <v>-8.4699999999999998E-2</v>
      </c>
      <c r="T18" t="s">
        <v>1111</v>
      </c>
      <c r="U18">
        <v>11366683300</v>
      </c>
      <c r="V18">
        <v>14820547000</v>
      </c>
      <c r="W18">
        <v>5.48</v>
      </c>
      <c r="X18" t="s">
        <v>44</v>
      </c>
      <c r="Y18">
        <v>37.53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>
        <v>0</v>
      </c>
      <c r="AF18" t="s">
        <v>1112</v>
      </c>
      <c r="AG18" t="s">
        <v>1113</v>
      </c>
      <c r="AH18" t="s">
        <v>1114</v>
      </c>
      <c r="AI18" t="s">
        <v>1115</v>
      </c>
      <c r="AJ18" t="s">
        <v>108</v>
      </c>
      <c r="AK18" t="s">
        <v>44</v>
      </c>
      <c r="AL18" t="s">
        <v>108</v>
      </c>
      <c r="AM18" t="s">
        <v>1116</v>
      </c>
      <c r="AN18" t="s">
        <v>655</v>
      </c>
      <c r="AO18" t="s">
        <v>44</v>
      </c>
      <c r="AP18" t="s">
        <v>44</v>
      </c>
      <c r="AQ18" t="s">
        <v>44</v>
      </c>
      <c r="AR18" t="s">
        <v>44</v>
      </c>
      <c r="AS18" t="s">
        <v>44</v>
      </c>
      <c r="AT18" t="s">
        <v>44</v>
      </c>
      <c r="AU18" t="s">
        <v>1117</v>
      </c>
      <c r="AV18" t="s">
        <v>1118</v>
      </c>
      <c r="AW18" t="s">
        <v>1119</v>
      </c>
      <c r="AX18" t="s">
        <v>708</v>
      </c>
      <c r="AY18" t="s">
        <v>44</v>
      </c>
      <c r="AZ18" t="s">
        <v>283</v>
      </c>
      <c r="BA18" t="s">
        <v>139</v>
      </c>
      <c r="BB18" t="s">
        <v>284</v>
      </c>
      <c r="BC18" t="s">
        <v>709</v>
      </c>
      <c r="BD18" t="s">
        <v>44</v>
      </c>
      <c r="BE18" t="s">
        <v>44</v>
      </c>
      <c r="BF18" t="s">
        <v>44</v>
      </c>
      <c r="BG18" t="s">
        <v>44</v>
      </c>
      <c r="BH18" t="s">
        <v>1120</v>
      </c>
      <c r="BI18" t="s">
        <v>1121</v>
      </c>
      <c r="BJ18" t="s">
        <v>708</v>
      </c>
      <c r="BK18" t="s">
        <v>1122</v>
      </c>
      <c r="BL18" t="s">
        <v>1123</v>
      </c>
      <c r="BM18" t="s">
        <v>709</v>
      </c>
      <c r="BN18" t="s">
        <v>44</v>
      </c>
      <c r="BO18" t="s">
        <v>44</v>
      </c>
      <c r="BP18" t="s">
        <v>44</v>
      </c>
      <c r="BQ18">
        <v>6.19</v>
      </c>
      <c r="BR18">
        <v>8.67</v>
      </c>
      <c r="BS18">
        <v>12.07</v>
      </c>
      <c r="BT18" t="s">
        <v>1124</v>
      </c>
      <c r="BU18" t="s">
        <v>50</v>
      </c>
      <c r="BV18" t="s">
        <v>44</v>
      </c>
      <c r="BW18" t="s">
        <v>44</v>
      </c>
      <c r="BX18" t="s">
        <v>44</v>
      </c>
      <c r="BY18">
        <v>34.19</v>
      </c>
      <c r="BZ18">
        <v>34.049999999999997</v>
      </c>
      <c r="CA18">
        <v>31.37</v>
      </c>
      <c r="CB18">
        <v>-2.2999999999999998</v>
      </c>
      <c r="CC18">
        <v>-5.62</v>
      </c>
      <c r="CD18" t="s">
        <v>1125</v>
      </c>
      <c r="CE18" t="s">
        <v>797</v>
      </c>
      <c r="CF18" s="10">
        <v>-0.22689973021582724</v>
      </c>
      <c r="CG18" s="11">
        <v>2.2708275725593667</v>
      </c>
      <c r="CH18" s="10">
        <v>0.12460637092590332</v>
      </c>
      <c r="CI18" s="10" t="s">
        <v>44</v>
      </c>
      <c r="CJ18" s="10" t="s">
        <v>44</v>
      </c>
      <c r="CK18" s="10">
        <v>0.26061657071113586</v>
      </c>
      <c r="CL18" s="10">
        <v>0.15902321040630341</v>
      </c>
      <c r="CM18" s="11">
        <v>-0.78763431310653687</v>
      </c>
      <c r="CN18" s="11" t="s">
        <v>44</v>
      </c>
      <c r="CO18" s="11" t="s">
        <v>44</v>
      </c>
      <c r="CP18" s="11" t="s">
        <v>44</v>
      </c>
      <c r="CQ18" s="11" t="s">
        <v>44</v>
      </c>
      <c r="CR18">
        <v>20.426709487695405</v>
      </c>
      <c r="CS18">
        <v>1.1259634676885319</v>
      </c>
      <c r="CT18">
        <v>2.6670409882088717</v>
      </c>
      <c r="CU18" s="10">
        <v>0.18141538401444754</v>
      </c>
      <c r="CV18" s="11">
        <v>-0.78763431310653687</v>
      </c>
      <c r="CW18">
        <v>0.06</v>
      </c>
      <c r="CX18">
        <v>229.3530548675289</v>
      </c>
      <c r="CY18">
        <v>5045535323.9937773</v>
      </c>
      <c r="CZ18">
        <v>0.18141538401444754</v>
      </c>
      <c r="DA18">
        <v>69.424595408218053</v>
      </c>
      <c r="DB18">
        <v>16668573049.588371</v>
      </c>
      <c r="DC18">
        <v>0.17234461481372515</v>
      </c>
      <c r="DD18">
        <v>30.745553261763547</v>
      </c>
      <c r="DE18">
        <v>37638253901.228485</v>
      </c>
      <c r="DF18">
        <v>0.15964553793271383</v>
      </c>
      <c r="DG18">
        <v>16.30945841165445</v>
      </c>
      <c r="DH18">
        <v>70953241413.159317</v>
      </c>
      <c r="DI18">
        <v>0.14513230721155804</v>
      </c>
      <c r="DJ18">
        <v>6.3144603983024918</v>
      </c>
      <c r="DK18">
        <v>183263314203.55267</v>
      </c>
      <c r="DL18">
        <v>0.12699076881011326</v>
      </c>
      <c r="DM18">
        <v>4527000000</v>
      </c>
      <c r="DN18">
        <v>0.18141538401444754</v>
      </c>
      <c r="DO18">
        <v>1157208940000</v>
      </c>
      <c r="DP18">
        <v>0</v>
      </c>
      <c r="DQ18">
        <v>2869</v>
      </c>
      <c r="DR18">
        <v>-0.40831511423027478</v>
      </c>
      <c r="DS18">
        <v>3.0584618856659036</v>
      </c>
      <c r="DT18" s="12">
        <v>-0.66</v>
      </c>
      <c r="DU18">
        <v>-2.3199999999999998</v>
      </c>
      <c r="DV18">
        <v>-2.98</v>
      </c>
      <c r="DW18">
        <v>-1.0562</v>
      </c>
      <c r="DX18">
        <v>0.58647482014388452</v>
      </c>
      <c r="DY18">
        <v>-1.0087938848920863</v>
      </c>
      <c r="DZ18">
        <v>4136</v>
      </c>
      <c r="EA18">
        <v>-1.0016761729716031</v>
      </c>
      <c r="EB18">
        <v>1</v>
      </c>
      <c r="EC18">
        <v>1.7610686029334816E-2</v>
      </c>
      <c r="ED18">
        <v>0.11254645324494433</v>
      </c>
      <c r="EE18" s="13">
        <v>3.4710000000000005E-2</v>
      </c>
      <c r="EF18">
        <v>3.4710000000000005E-2</v>
      </c>
      <c r="EG18">
        <v>43.156474820143885</v>
      </c>
      <c r="EH18">
        <v>-1</v>
      </c>
      <c r="EI18">
        <v>0</v>
      </c>
      <c r="EJ18">
        <v>0</v>
      </c>
      <c r="EK18" s="9">
        <v>45470</v>
      </c>
      <c r="EL18" s="14">
        <v>-0.69</v>
      </c>
      <c r="EM18" s="14">
        <v>0</v>
      </c>
      <c r="EN18" s="14">
        <v>0</v>
      </c>
      <c r="EO18" s="14">
        <v>0.87</v>
      </c>
      <c r="EP18" s="14">
        <v>0</v>
      </c>
    </row>
    <row r="19" spans="1:146" ht="96" x14ac:dyDescent="0.25">
      <c r="A19" s="6"/>
      <c r="B19" s="6"/>
      <c r="C19" s="6" t="str">
        <f>""&amp;CHAR(10)&amp;Basic_Fundamental_Information_Constructure(F19)&amp;CHAR(10)&amp;Basic_Fundamental_Information_Concatenate("")</f>
        <v xml:space="preserve">
市值173.26678亿, 利润45.22亿; PE302.9; 平均PE8.26; 平均PEG.01, PB1.45; ROIC1.265%; ROE.95%; 股利率.5776%; 毛利1.48%; 净利6.9267%; 上一年度营收增3803.9%, 利润增1487.12%; 当季营收增-98.79%, 利润增-94.23%; 过往5年营收增1305.54%, 利润增1487.12%
Income profile:
</v>
      </c>
      <c r="D19" t="s">
        <v>140</v>
      </c>
      <c r="E19" t="s">
        <v>286</v>
      </c>
      <c r="F19">
        <v>6.06</v>
      </c>
      <c r="G19">
        <v>0.33</v>
      </c>
      <c r="H19" t="s">
        <v>1126</v>
      </c>
      <c r="I19">
        <v>17326678000</v>
      </c>
      <c r="J19">
        <v>302.89999999999998</v>
      </c>
      <c r="K19">
        <v>1.45</v>
      </c>
      <c r="L19" t="s">
        <v>50</v>
      </c>
      <c r="M19" t="s">
        <v>1127</v>
      </c>
      <c r="N19" t="s">
        <v>1128</v>
      </c>
      <c r="O19" t="s">
        <v>776</v>
      </c>
      <c r="P19">
        <v>54.05</v>
      </c>
      <c r="Q19" t="s">
        <v>1129</v>
      </c>
      <c r="R19">
        <v>90634579</v>
      </c>
      <c r="S19" s="5">
        <v>-0.40710000000000002</v>
      </c>
      <c r="T19" t="s">
        <v>1130</v>
      </c>
      <c r="U19">
        <v>2859187700</v>
      </c>
      <c r="V19">
        <v>2859187700</v>
      </c>
      <c r="W19">
        <v>3.15</v>
      </c>
      <c r="X19" t="s">
        <v>44</v>
      </c>
      <c r="Y19">
        <v>15.05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>
        <v>25257594</v>
      </c>
      <c r="AF19" t="s">
        <v>1131</v>
      </c>
      <c r="AG19" t="s">
        <v>1132</v>
      </c>
      <c r="AH19" t="s">
        <v>1133</v>
      </c>
      <c r="AI19" t="s">
        <v>1134</v>
      </c>
      <c r="AJ19" t="s">
        <v>1135</v>
      </c>
      <c r="AK19" t="s">
        <v>44</v>
      </c>
      <c r="AL19" t="s">
        <v>1136</v>
      </c>
      <c r="AM19" t="s">
        <v>44</v>
      </c>
      <c r="AN19">
        <v>0</v>
      </c>
      <c r="AO19" t="s">
        <v>44</v>
      </c>
      <c r="AP19" t="s">
        <v>44</v>
      </c>
      <c r="AQ19" t="s">
        <v>1137</v>
      </c>
      <c r="AR19" t="s">
        <v>1138</v>
      </c>
      <c r="AS19" t="s">
        <v>44</v>
      </c>
      <c r="AT19" t="s">
        <v>44</v>
      </c>
      <c r="AU19" t="s">
        <v>1139</v>
      </c>
      <c r="AV19" t="s">
        <v>1140</v>
      </c>
      <c r="AW19" t="s">
        <v>692</v>
      </c>
      <c r="AX19" t="s">
        <v>711</v>
      </c>
      <c r="AY19" t="s">
        <v>44</v>
      </c>
      <c r="AZ19" t="s">
        <v>466</v>
      </c>
      <c r="BA19" t="s">
        <v>288</v>
      </c>
      <c r="BB19" t="s">
        <v>289</v>
      </c>
      <c r="BC19" t="s">
        <v>710</v>
      </c>
      <c r="BD19" t="s">
        <v>44</v>
      </c>
      <c r="BE19" t="s">
        <v>44</v>
      </c>
      <c r="BF19" t="s">
        <v>44</v>
      </c>
      <c r="BG19" t="s">
        <v>44</v>
      </c>
      <c r="BH19" t="s">
        <v>1141</v>
      </c>
      <c r="BI19" t="s">
        <v>1142</v>
      </c>
      <c r="BJ19" t="s">
        <v>711</v>
      </c>
      <c r="BK19" t="s">
        <v>668</v>
      </c>
      <c r="BL19" t="s">
        <v>1143</v>
      </c>
      <c r="BM19" t="s">
        <v>710</v>
      </c>
      <c r="BN19">
        <v>0.59</v>
      </c>
      <c r="BO19" t="s">
        <v>44</v>
      </c>
      <c r="BP19">
        <v>1.94</v>
      </c>
      <c r="BQ19">
        <v>1.26</v>
      </c>
      <c r="BR19">
        <v>-2.68</v>
      </c>
      <c r="BS19">
        <v>4.2699999999999996</v>
      </c>
      <c r="BT19" t="s">
        <v>621</v>
      </c>
      <c r="BU19" t="s">
        <v>50</v>
      </c>
      <c r="BV19">
        <v>2.09</v>
      </c>
      <c r="BW19">
        <v>1.32</v>
      </c>
      <c r="BX19">
        <v>1.03</v>
      </c>
      <c r="BY19">
        <v>20.190000000000001</v>
      </c>
      <c r="BZ19">
        <v>-18.55</v>
      </c>
      <c r="CA19">
        <v>19.14</v>
      </c>
      <c r="CB19">
        <v>1.68</v>
      </c>
      <c r="CC19">
        <v>-10.16</v>
      </c>
      <c r="CD19" t="s">
        <v>1144</v>
      </c>
      <c r="CE19" t="s">
        <v>991</v>
      </c>
      <c r="CF19" s="10">
        <v>-0.98785017311929491</v>
      </c>
      <c r="CG19" s="11">
        <v>-0.94234441539440206</v>
      </c>
      <c r="CH19" s="10">
        <v>38.039005279541016</v>
      </c>
      <c r="CI19" s="10" t="s">
        <v>44</v>
      </c>
      <c r="CJ19" s="10" t="s">
        <v>44</v>
      </c>
      <c r="CK19" s="10">
        <v>0.56531047821044922</v>
      </c>
      <c r="CL19" s="10">
        <v>0.56187289953231812</v>
      </c>
      <c r="CM19" s="11">
        <v>14.87116527557373</v>
      </c>
      <c r="CN19" s="11" t="s">
        <v>44</v>
      </c>
      <c r="CO19" s="11" t="s">
        <v>44</v>
      </c>
      <c r="CP19" s="11" t="s">
        <v>44</v>
      </c>
      <c r="CQ19" s="11" t="s">
        <v>44</v>
      </c>
      <c r="CR19">
        <v>8.2586644423260243</v>
      </c>
      <c r="CS19">
        <v>6.3258627342516385E-3</v>
      </c>
      <c r="CT19">
        <v>0.57755775577557755</v>
      </c>
      <c r="CU19" s="10">
        <v>13.055396219094595</v>
      </c>
      <c r="CV19" s="11">
        <v>14.87116527557373</v>
      </c>
      <c r="CW19">
        <v>0.06</v>
      </c>
      <c r="CX19">
        <v>0.44129924287986005</v>
      </c>
      <c r="CY19">
        <v>59960850662.967697</v>
      </c>
      <c r="CZ19">
        <v>13.055396219094595</v>
      </c>
      <c r="DA19">
        <v>2.667170892925428E-3</v>
      </c>
      <c r="DB19">
        <v>9920878362232.4199</v>
      </c>
      <c r="DC19">
        <v>12.402626408139865</v>
      </c>
      <c r="DD19">
        <v>2.0020363818442456E-6</v>
      </c>
      <c r="DE19">
        <v>1.3216881691043408E+16</v>
      </c>
      <c r="DF19">
        <v>11.488748672803244</v>
      </c>
      <c r="DG19">
        <v>2.4672794439833093E-10</v>
      </c>
      <c r="DH19">
        <v>1.0724637642698652E+20</v>
      </c>
      <c r="DI19">
        <v>10.444316975275676</v>
      </c>
      <c r="DJ19">
        <v>1.2756095820753574E-19</v>
      </c>
      <c r="DK19">
        <v>2.0743555372914107E+29</v>
      </c>
      <c r="DL19">
        <v>9.1387773533662156</v>
      </c>
      <c r="DM19">
        <v>4522000000</v>
      </c>
      <c r="DN19">
        <v>13.055396219094595</v>
      </c>
      <c r="DO19">
        <v>26460678000</v>
      </c>
      <c r="DP19">
        <v>29309696000</v>
      </c>
      <c r="DQ19">
        <v>2913</v>
      </c>
      <c r="DR19">
        <v>-14.04324639221389</v>
      </c>
      <c r="DS19">
        <v>-15.813509690968132</v>
      </c>
      <c r="DT19" s="12">
        <v>-0.21000000000000008</v>
      </c>
      <c r="DU19">
        <v>-0.42000000000000015</v>
      </c>
      <c r="DV19">
        <v>-0.63000000000000023</v>
      </c>
      <c r="DW19">
        <v>-2.1015999999999999</v>
      </c>
      <c r="DX19">
        <v>0.41404315545243731</v>
      </c>
      <c r="DY19">
        <v>-2.0197147845939676</v>
      </c>
      <c r="DZ19">
        <v>4049</v>
      </c>
      <c r="EA19">
        <v>-2.0040934220066928</v>
      </c>
      <c r="EB19">
        <v>2</v>
      </c>
      <c r="EC19">
        <v>2.9250475580879141E-2</v>
      </c>
      <c r="ED19">
        <v>0.15074211462227538</v>
      </c>
      <c r="EE19" s="13">
        <v>2.0144099999999998</v>
      </c>
      <c r="EF19">
        <v>2.1112099999999998</v>
      </c>
      <c r="EG19">
        <v>22.194043155452437</v>
      </c>
      <c r="EH19" t="s">
        <v>707</v>
      </c>
      <c r="EI19">
        <v>0</v>
      </c>
      <c r="EJ19">
        <v>0</v>
      </c>
      <c r="EK19" s="9">
        <v>45470</v>
      </c>
      <c r="EL19" s="14">
        <v>2.59</v>
      </c>
      <c r="EM19" s="14">
        <v>0.23</v>
      </c>
      <c r="EN19" s="14">
        <v>0.23</v>
      </c>
      <c r="EO19" s="14">
        <v>6.41</v>
      </c>
      <c r="EP19" s="14">
        <v>-9.68</v>
      </c>
    </row>
    <row r="20" spans="1:146" ht="96" x14ac:dyDescent="0.25">
      <c r="A20" s="6"/>
      <c r="B20" s="6"/>
      <c r="C20" s="6" t="str">
        <f>""&amp;CHAR(10)&amp;Basic_Fundamental_Information_Constructure(F20)&amp;CHAR(10)&amp;Basic_Fundamental_Information_Concatenate("")</f>
        <v xml:space="preserve">
市值274.7294亿, 利润2731.35万; PE18.46; 平均PE44.84; 平均PEG3.88, PB.838; ROIC0%; ROE5.99%; 股利率1.8919%; 毛利0%; 净利26.5367%; 上一年度营收增-20.25%, 利润增-97.72%; 当季营收增34.57%, 利润增630.64%; 过往5年营收增11.55%, 利润增-97.72%
Income profile:
</v>
      </c>
      <c r="D20" t="s">
        <v>83</v>
      </c>
      <c r="E20" t="s">
        <v>31</v>
      </c>
      <c r="F20">
        <v>7.4</v>
      </c>
      <c r="G20">
        <v>0.54</v>
      </c>
      <c r="H20" t="s">
        <v>1145</v>
      </c>
      <c r="I20">
        <v>27472940000</v>
      </c>
      <c r="J20">
        <v>18.46</v>
      </c>
      <c r="K20">
        <v>0.83799999999999997</v>
      </c>
      <c r="L20" t="s">
        <v>50</v>
      </c>
      <c r="M20" t="s">
        <v>1146</v>
      </c>
      <c r="N20" t="s">
        <v>1147</v>
      </c>
      <c r="O20" t="s">
        <v>1148</v>
      </c>
      <c r="P20">
        <v>-24.03</v>
      </c>
      <c r="Q20" t="s">
        <v>1149</v>
      </c>
      <c r="R20">
        <v>366854020</v>
      </c>
      <c r="S20" s="5">
        <v>-0.38600000000000001</v>
      </c>
      <c r="T20" t="s">
        <v>1150</v>
      </c>
      <c r="U20">
        <v>3199557000</v>
      </c>
      <c r="V20">
        <v>3712559500</v>
      </c>
      <c r="W20">
        <v>3.35</v>
      </c>
      <c r="X20" t="s">
        <v>44</v>
      </c>
      <c r="Y20">
        <v>25.34</v>
      </c>
      <c r="Z20" t="s">
        <v>44</v>
      </c>
      <c r="AA20" t="s">
        <v>44</v>
      </c>
      <c r="AB20" t="s">
        <v>44</v>
      </c>
      <c r="AC20" t="s">
        <v>44</v>
      </c>
      <c r="AD20" t="s">
        <v>44</v>
      </c>
      <c r="AE20">
        <v>0</v>
      </c>
      <c r="AF20" t="s">
        <v>1151</v>
      </c>
      <c r="AG20" t="s">
        <v>1152</v>
      </c>
      <c r="AH20" t="s">
        <v>1153</v>
      </c>
      <c r="AI20" t="s">
        <v>1154</v>
      </c>
      <c r="AJ20" t="s">
        <v>108</v>
      </c>
      <c r="AK20" t="s">
        <v>44</v>
      </c>
      <c r="AL20" t="s">
        <v>108</v>
      </c>
      <c r="AM20" t="s">
        <v>387</v>
      </c>
      <c r="AN20" t="s">
        <v>44</v>
      </c>
      <c r="AO20" t="s">
        <v>44</v>
      </c>
      <c r="AP20" t="s">
        <v>44</v>
      </c>
      <c r="AQ20" t="s">
        <v>44</v>
      </c>
      <c r="AR20" t="s">
        <v>44</v>
      </c>
      <c r="AS20" t="s">
        <v>44</v>
      </c>
      <c r="AT20" t="s">
        <v>44</v>
      </c>
      <c r="AU20" t="s">
        <v>1155</v>
      </c>
      <c r="AV20" t="s">
        <v>1156</v>
      </c>
      <c r="AW20" t="s">
        <v>1157</v>
      </c>
      <c r="AX20" t="s">
        <v>712</v>
      </c>
      <c r="AY20" t="s">
        <v>44</v>
      </c>
      <c r="AZ20" t="s">
        <v>290</v>
      </c>
      <c r="BA20" t="s">
        <v>141</v>
      </c>
      <c r="BB20" t="s">
        <v>291</v>
      </c>
      <c r="BC20" t="s">
        <v>713</v>
      </c>
      <c r="BD20" t="s">
        <v>44</v>
      </c>
      <c r="BE20" t="s">
        <v>44</v>
      </c>
      <c r="BF20" t="s">
        <v>44</v>
      </c>
      <c r="BG20" t="s">
        <v>44</v>
      </c>
      <c r="BH20" t="s">
        <v>1158</v>
      </c>
      <c r="BI20" t="s">
        <v>1159</v>
      </c>
      <c r="BJ20" t="s">
        <v>712</v>
      </c>
      <c r="BK20" t="s">
        <v>1160</v>
      </c>
      <c r="BL20" t="s">
        <v>1161</v>
      </c>
      <c r="BM20" t="s">
        <v>713</v>
      </c>
      <c r="BN20" t="s">
        <v>44</v>
      </c>
      <c r="BO20" t="s">
        <v>44</v>
      </c>
      <c r="BP20" t="s">
        <v>44</v>
      </c>
      <c r="BQ20">
        <v>3.9</v>
      </c>
      <c r="BR20">
        <v>4.17</v>
      </c>
      <c r="BS20">
        <v>9.9</v>
      </c>
      <c r="BT20" t="s">
        <v>1162</v>
      </c>
      <c r="BU20" t="s">
        <v>50</v>
      </c>
      <c r="BV20" t="s">
        <v>44</v>
      </c>
      <c r="BW20" t="s">
        <v>44</v>
      </c>
      <c r="BX20" t="s">
        <v>44</v>
      </c>
      <c r="BY20">
        <v>25.94</v>
      </c>
      <c r="BZ20">
        <v>21.01</v>
      </c>
      <c r="CA20">
        <v>32.659999999999997</v>
      </c>
      <c r="CB20">
        <v>-1.99</v>
      </c>
      <c r="CC20">
        <v>-10.95</v>
      </c>
      <c r="CD20" t="s">
        <v>1163</v>
      </c>
      <c r="CE20" t="s">
        <v>792</v>
      </c>
      <c r="CF20" s="10">
        <v>0.34573502722323052</v>
      </c>
      <c r="CG20" s="11">
        <v>6.3064080988012323</v>
      </c>
      <c r="CH20" s="10">
        <v>-0.20251175761222839</v>
      </c>
      <c r="CI20" s="10" t="s">
        <v>44</v>
      </c>
      <c r="CJ20" s="10" t="s">
        <v>44</v>
      </c>
      <c r="CK20" s="10">
        <v>0.39379307627677917</v>
      </c>
      <c r="CL20" s="10">
        <v>0.15507176518440247</v>
      </c>
      <c r="CM20" s="11">
        <v>-0.97720074653625488</v>
      </c>
      <c r="CN20" s="11" t="s">
        <v>44</v>
      </c>
      <c r="CO20" s="11" t="s">
        <v>44</v>
      </c>
      <c r="CP20" s="11" t="s">
        <v>44</v>
      </c>
      <c r="CQ20" s="11" t="s">
        <v>44</v>
      </c>
      <c r="CR20">
        <v>44.842303622705536</v>
      </c>
      <c r="CS20">
        <v>3.8840973890905111</v>
      </c>
      <c r="CT20">
        <v>1.8918918918918917</v>
      </c>
      <c r="CU20" s="10">
        <v>0.11545102794965108</v>
      </c>
      <c r="CV20" s="11">
        <v>-0.97720074653625488</v>
      </c>
      <c r="CW20">
        <v>0.06</v>
      </c>
      <c r="CX20">
        <v>2734.0488827246454</v>
      </c>
      <c r="CY20">
        <v>28742331.747078106</v>
      </c>
      <c r="CZ20">
        <v>0.11545102794965108</v>
      </c>
      <c r="DA20">
        <v>874.46702756440015</v>
      </c>
      <c r="DB20">
        <v>89863811.353610769</v>
      </c>
      <c r="DC20">
        <v>0.10967847655216852</v>
      </c>
      <c r="DD20">
        <v>418.16989652043497</v>
      </c>
      <c r="DE20">
        <v>187921083.40146822</v>
      </c>
      <c r="DF20">
        <v>0.10159690459569296</v>
      </c>
      <c r="DG20">
        <v>242.94091825744431</v>
      </c>
      <c r="DH20">
        <v>323465229.99771374</v>
      </c>
      <c r="DI20">
        <v>9.2360822359720873E-2</v>
      </c>
      <c r="DJ20">
        <v>116.55019427514215</v>
      </c>
      <c r="DK20">
        <v>674241175.56155968</v>
      </c>
      <c r="DL20">
        <v>8.081571956475575E-2</v>
      </c>
      <c r="DM20">
        <v>27313500</v>
      </c>
      <c r="DN20">
        <v>0.11545102794965108</v>
      </c>
      <c r="DO20">
        <v>78582940000</v>
      </c>
      <c r="DP20">
        <v>0</v>
      </c>
      <c r="DQ20">
        <v>2926</v>
      </c>
      <c r="DR20">
        <v>0.23028399927357945</v>
      </c>
      <c r="DS20">
        <v>7.2836088453374872</v>
      </c>
      <c r="DT20" s="12">
        <v>-0.91</v>
      </c>
      <c r="DU20">
        <v>-2.3199999999999998</v>
      </c>
      <c r="DV20">
        <v>-3.23</v>
      </c>
      <c r="DW20">
        <v>-2.1095000000000002</v>
      </c>
      <c r="DX20">
        <v>0.37059661232604424</v>
      </c>
      <c r="DY20">
        <v>-2.0164903290497018</v>
      </c>
      <c r="DZ20">
        <v>3663</v>
      </c>
      <c r="EA20">
        <v>-2.0046695706721955</v>
      </c>
      <c r="EB20">
        <v>2</v>
      </c>
      <c r="EC20">
        <v>2.0403740330626349E-2</v>
      </c>
      <c r="ED20">
        <v>0.13548604406205475</v>
      </c>
      <c r="EE20" s="13">
        <v>0.10081</v>
      </c>
      <c r="EF20">
        <v>0.10921</v>
      </c>
      <c r="EG20">
        <v>22.150596612326044</v>
      </c>
      <c r="EH20">
        <v>-1</v>
      </c>
      <c r="EI20">
        <v>0</v>
      </c>
      <c r="EJ20">
        <v>0</v>
      </c>
      <c r="EK20" s="9">
        <v>45470</v>
      </c>
      <c r="EL20" s="14">
        <v>2.12</v>
      </c>
      <c r="EM20" s="14">
        <v>-3.73</v>
      </c>
      <c r="EN20" s="14">
        <v>0.43</v>
      </c>
      <c r="EO20" s="14">
        <v>2.15</v>
      </c>
      <c r="EP20" s="14">
        <v>-0.84</v>
      </c>
    </row>
    <row r="21" spans="1:146" ht="96" x14ac:dyDescent="0.25">
      <c r="A21" s="6"/>
      <c r="B21" s="6"/>
      <c r="C21" s="6" t="str">
        <f>""&amp;CHAR(10)&amp;Basic_Fundamental_Information_Constructure(F21)&amp;CHAR(10)&amp;Basic_Fundamental_Information_Concatenate("")</f>
        <v xml:space="preserve">
市值134.102422亿, 利润2102.31万; PE38.76; 平均PE67.05; 平均PEG.16, PB.678; ROIC0%; ROE3.4033%; 股利率0%; 毛利0%; 净利18.8667%; 上一年度营收增-77.05%, 利润增-94.45%; 当季营收增278.88%, 利润增16.58%; 过往5年营收增424.04%, 利润增-94.45%
Income profile:
</v>
      </c>
      <c r="D21" t="s">
        <v>53</v>
      </c>
      <c r="E21" t="s">
        <v>1164</v>
      </c>
      <c r="F21">
        <v>5.93</v>
      </c>
      <c r="G21">
        <v>1.19</v>
      </c>
      <c r="H21" t="s">
        <v>1165</v>
      </c>
      <c r="I21">
        <v>13410242200</v>
      </c>
      <c r="J21">
        <v>38.76</v>
      </c>
      <c r="K21">
        <v>0.67800000000000005</v>
      </c>
      <c r="L21" t="s">
        <v>50</v>
      </c>
      <c r="M21" t="s">
        <v>1166</v>
      </c>
      <c r="N21" t="s">
        <v>1167</v>
      </c>
      <c r="O21" t="s">
        <v>127</v>
      </c>
      <c r="P21">
        <v>-17.690000000000001</v>
      </c>
      <c r="Q21" t="s">
        <v>1168</v>
      </c>
      <c r="R21">
        <v>18500681</v>
      </c>
      <c r="S21" s="5">
        <v>-0.86280000000000001</v>
      </c>
      <c r="T21" t="s">
        <v>1169</v>
      </c>
      <c r="U21">
        <v>2261423600</v>
      </c>
      <c r="V21">
        <v>2261423600</v>
      </c>
      <c r="W21">
        <v>2.71</v>
      </c>
      <c r="X21" t="s">
        <v>44</v>
      </c>
      <c r="Y21">
        <v>3.39</v>
      </c>
      <c r="Z21" t="s">
        <v>44</v>
      </c>
      <c r="AA21" t="s">
        <v>44</v>
      </c>
      <c r="AB21" t="s">
        <v>44</v>
      </c>
      <c r="AC21" t="s">
        <v>44</v>
      </c>
      <c r="AD21" t="s">
        <v>44</v>
      </c>
      <c r="AE21">
        <v>0</v>
      </c>
      <c r="AF21" t="s">
        <v>1170</v>
      </c>
      <c r="AG21">
        <v>12.03</v>
      </c>
      <c r="AH21" t="s">
        <v>1171</v>
      </c>
      <c r="AI21" t="s">
        <v>1172</v>
      </c>
      <c r="AJ21" t="s">
        <v>108</v>
      </c>
      <c r="AK21" t="s">
        <v>44</v>
      </c>
      <c r="AL21" t="s">
        <v>108</v>
      </c>
      <c r="AM21" t="s">
        <v>1173</v>
      </c>
      <c r="AN21" t="s">
        <v>1174</v>
      </c>
      <c r="AO21" t="s">
        <v>44</v>
      </c>
      <c r="AP21" t="s">
        <v>44</v>
      </c>
      <c r="AQ21" t="s">
        <v>44</v>
      </c>
      <c r="AR21" t="s">
        <v>44</v>
      </c>
      <c r="AS21" t="s">
        <v>44</v>
      </c>
      <c r="AT21" t="s">
        <v>44</v>
      </c>
      <c r="AU21" t="s">
        <v>1175</v>
      </c>
      <c r="AV21" t="s">
        <v>1176</v>
      </c>
      <c r="AW21" t="s">
        <v>1177</v>
      </c>
      <c r="AX21" t="s">
        <v>715</v>
      </c>
      <c r="AY21" t="s">
        <v>44</v>
      </c>
      <c r="AZ21" t="s">
        <v>468</v>
      </c>
      <c r="BA21" t="s">
        <v>294</v>
      </c>
      <c r="BB21" t="s">
        <v>118</v>
      </c>
      <c r="BC21" t="s">
        <v>614</v>
      </c>
      <c r="BD21" t="s">
        <v>44</v>
      </c>
      <c r="BE21" t="s">
        <v>44</v>
      </c>
      <c r="BF21" t="s">
        <v>44</v>
      </c>
      <c r="BG21" t="s">
        <v>44</v>
      </c>
      <c r="BH21" t="s">
        <v>1178</v>
      </c>
      <c r="BI21" t="s">
        <v>624</v>
      </c>
      <c r="BJ21" t="s">
        <v>715</v>
      </c>
      <c r="BK21" t="s">
        <v>765</v>
      </c>
      <c r="BL21" t="s">
        <v>1179</v>
      </c>
      <c r="BM21" t="s">
        <v>614</v>
      </c>
      <c r="BN21" t="s">
        <v>44</v>
      </c>
      <c r="BO21" t="s">
        <v>44</v>
      </c>
      <c r="BP21" t="s">
        <v>44</v>
      </c>
      <c r="BQ21">
        <v>1.71</v>
      </c>
      <c r="BR21">
        <v>2.2799999999999998</v>
      </c>
      <c r="BS21">
        <v>6.22</v>
      </c>
      <c r="BT21" t="s">
        <v>625</v>
      </c>
      <c r="BU21" t="s">
        <v>50</v>
      </c>
      <c r="BV21" t="s">
        <v>44</v>
      </c>
      <c r="BW21" t="s">
        <v>44</v>
      </c>
      <c r="BX21" t="s">
        <v>44</v>
      </c>
      <c r="BY21">
        <v>15.51</v>
      </c>
      <c r="BZ21">
        <v>15.21</v>
      </c>
      <c r="CA21">
        <v>25.88</v>
      </c>
      <c r="CB21">
        <v>0.34</v>
      </c>
      <c r="CC21">
        <v>-13.68</v>
      </c>
      <c r="CD21" t="s">
        <v>1180</v>
      </c>
      <c r="CE21" t="s">
        <v>399</v>
      </c>
      <c r="CF21" s="10">
        <v>2.7888198757763973</v>
      </c>
      <c r="CG21" s="11">
        <v>0.16583785997857459</v>
      </c>
      <c r="CH21" s="10">
        <v>-0.77053713798522949</v>
      </c>
      <c r="CI21" s="10" t="s">
        <v>44</v>
      </c>
      <c r="CJ21" s="10" t="s">
        <v>44</v>
      </c>
      <c r="CK21" s="10">
        <v>12.888889312744141</v>
      </c>
      <c r="CL21" s="10">
        <v>0.60273975133895874</v>
      </c>
      <c r="CM21" s="11">
        <v>-0.94453006982803345</v>
      </c>
      <c r="CN21" s="11" t="s">
        <v>44</v>
      </c>
      <c r="CO21" s="11" t="s">
        <v>44</v>
      </c>
      <c r="CP21" s="11" t="s">
        <v>44</v>
      </c>
      <c r="CQ21" s="11" t="s">
        <v>44</v>
      </c>
      <c r="CR21">
        <v>67.047339016171819</v>
      </c>
      <c r="CS21">
        <v>0.15811694327580789</v>
      </c>
      <c r="CT21">
        <v>0</v>
      </c>
      <c r="CU21" s="10">
        <v>4.2403639753659563</v>
      </c>
      <c r="CV21" s="11">
        <v>-0.94453006982803345</v>
      </c>
      <c r="CW21">
        <v>0.06</v>
      </c>
      <c r="CX21">
        <v>232.67205375176499</v>
      </c>
      <c r="CY21">
        <v>103932731.97218494</v>
      </c>
      <c r="CZ21">
        <v>4.2403639753659563</v>
      </c>
      <c r="DA21">
        <v>8.5844797000187754</v>
      </c>
      <c r="DB21">
        <v>2816972378.645978</v>
      </c>
      <c r="DC21">
        <v>4.028345776597658</v>
      </c>
      <c r="DD21">
        <v>0.11285762108964903</v>
      </c>
      <c r="DE21">
        <v>214272124173.08276</v>
      </c>
      <c r="DF21">
        <v>3.7315202983220415</v>
      </c>
      <c r="DG21">
        <v>5.8478919758450665E-4</v>
      </c>
      <c r="DH21">
        <v>41352067206243.969</v>
      </c>
      <c r="DI21">
        <v>3.3922911802927653</v>
      </c>
      <c r="DJ21">
        <v>2.8837595861373226E-9</v>
      </c>
      <c r="DK21">
        <v>8.3856651283441838E+18</v>
      </c>
      <c r="DL21">
        <v>2.9682547827561692</v>
      </c>
      <c r="DM21">
        <v>21023100</v>
      </c>
      <c r="DN21">
        <v>4.2403639753659563</v>
      </c>
      <c r="DO21">
        <v>24182242200</v>
      </c>
      <c r="DP21">
        <v>0</v>
      </c>
      <c r="DQ21">
        <v>2961</v>
      </c>
      <c r="DR21">
        <v>-1.451544099589559</v>
      </c>
      <c r="DS21">
        <v>1.110367929806608</v>
      </c>
      <c r="DT21" s="12">
        <v>-1.1599999999999999</v>
      </c>
      <c r="DU21">
        <v>-2.3199999999999998</v>
      </c>
      <c r="DV21">
        <v>-3.4799999999999995</v>
      </c>
      <c r="DW21">
        <v>-2.1368</v>
      </c>
      <c r="DX21">
        <v>0.41464070196671687</v>
      </c>
      <c r="DY21">
        <v>-2.018418848029047</v>
      </c>
      <c r="DZ21">
        <v>806</v>
      </c>
      <c r="EA21">
        <v>-2.0155136442107668</v>
      </c>
      <c r="EB21">
        <v>2</v>
      </c>
      <c r="EC21">
        <v>3.9354634841521949E-2</v>
      </c>
      <c r="ED21">
        <v>0.29229375690604803</v>
      </c>
      <c r="EE21" s="13">
        <v>-2.06481</v>
      </c>
      <c r="EF21">
        <v>-2.0727099999999998</v>
      </c>
      <c r="EG21">
        <v>28.134640701966717</v>
      </c>
      <c r="EH21" t="s">
        <v>1181</v>
      </c>
      <c r="EI21">
        <v>0</v>
      </c>
      <c r="EJ21">
        <v>1</v>
      </c>
      <c r="EK21" s="9">
        <v>45470</v>
      </c>
      <c r="EL21" s="14">
        <v>0.22</v>
      </c>
      <c r="EM21" s="14">
        <v>-2.89</v>
      </c>
      <c r="EN21" s="14">
        <v>0.69</v>
      </c>
      <c r="EO21" s="14">
        <v>0.56999999999999995</v>
      </c>
      <c r="EP21" s="14">
        <v>-0.79</v>
      </c>
    </row>
    <row r="22" spans="1:146" ht="96" x14ac:dyDescent="0.25">
      <c r="A22" s="6"/>
      <c r="B22" s="6"/>
      <c r="C22" s="6" t="str">
        <f>""&amp;CHAR(10)&amp;Basic_Fundamental_Information_Constructure(F22)&amp;CHAR(10)&amp;Basic_Fundamental_Information_Concatenate("")</f>
        <v xml:space="preserve">
市值237.89491亿, 利润-2.75亿; PE39.24; 平均PE41.59; 平均PEG.18, PB.928; ROIC0%; ROE2.5367%; 股利率.9777%; 毛利0%; 净利25.31%; 上一年度营收增1213.88%, 利润增-189%; 当季营收增-88.19%, 利润增125.03%; 过往5年营收增237.45%, 利润增19.93%
Income profile:
</v>
      </c>
      <c r="D22" t="s">
        <v>67</v>
      </c>
      <c r="E22" t="s">
        <v>35</v>
      </c>
      <c r="F22">
        <v>3.58</v>
      </c>
      <c r="G22">
        <v>0</v>
      </c>
      <c r="H22" t="s">
        <v>1182</v>
      </c>
      <c r="I22">
        <v>23789491000</v>
      </c>
      <c r="J22">
        <v>39.24</v>
      </c>
      <c r="K22">
        <v>0.92800000000000005</v>
      </c>
      <c r="L22" t="s">
        <v>50</v>
      </c>
      <c r="M22" t="s">
        <v>1183</v>
      </c>
      <c r="N22" t="s">
        <v>1184</v>
      </c>
      <c r="O22" t="s">
        <v>1185</v>
      </c>
      <c r="P22">
        <v>-20.77</v>
      </c>
      <c r="Q22" t="s">
        <v>1186</v>
      </c>
      <c r="R22">
        <v>229529420</v>
      </c>
      <c r="S22" s="5">
        <v>1.77E-2</v>
      </c>
      <c r="T22" t="s">
        <v>1187</v>
      </c>
      <c r="U22">
        <v>6315109100</v>
      </c>
      <c r="V22">
        <v>6645109100</v>
      </c>
      <c r="W22">
        <v>3.28</v>
      </c>
      <c r="X22">
        <v>0.01</v>
      </c>
      <c r="Y22">
        <v>38.880000000000003</v>
      </c>
      <c r="Z22" t="s">
        <v>44</v>
      </c>
      <c r="AA22" t="s">
        <v>44</v>
      </c>
      <c r="AB22" t="s">
        <v>44</v>
      </c>
      <c r="AC22" t="s">
        <v>44</v>
      </c>
      <c r="AD22" t="s">
        <v>44</v>
      </c>
      <c r="AE22">
        <v>0</v>
      </c>
      <c r="AF22" t="s">
        <v>1188</v>
      </c>
      <c r="AG22" t="s">
        <v>1189</v>
      </c>
      <c r="AH22" t="s">
        <v>1190</v>
      </c>
      <c r="AI22" t="s">
        <v>1191</v>
      </c>
      <c r="AJ22" t="s">
        <v>108</v>
      </c>
      <c r="AK22" t="s">
        <v>44</v>
      </c>
      <c r="AL22" t="s">
        <v>108</v>
      </c>
      <c r="AM22" t="s">
        <v>1192</v>
      </c>
      <c r="AN22" t="s">
        <v>44</v>
      </c>
      <c r="AO22" t="s">
        <v>44</v>
      </c>
      <c r="AP22" t="s">
        <v>44</v>
      </c>
      <c r="AQ22" t="s">
        <v>44</v>
      </c>
      <c r="AR22" t="s">
        <v>44</v>
      </c>
      <c r="AS22" t="s">
        <v>44</v>
      </c>
      <c r="AT22" t="s">
        <v>44</v>
      </c>
      <c r="AU22" t="s">
        <v>1193</v>
      </c>
      <c r="AV22" t="s">
        <v>1194</v>
      </c>
      <c r="AW22" t="s">
        <v>1195</v>
      </c>
      <c r="AX22" t="s">
        <v>716</v>
      </c>
      <c r="AY22" t="s">
        <v>469</v>
      </c>
      <c r="AZ22" t="s">
        <v>255</v>
      </c>
      <c r="BA22" t="s">
        <v>142</v>
      </c>
      <c r="BB22" t="s">
        <v>297</v>
      </c>
      <c r="BC22" t="s">
        <v>644</v>
      </c>
      <c r="BD22" t="s">
        <v>470</v>
      </c>
      <c r="BE22" t="s">
        <v>296</v>
      </c>
      <c r="BF22" t="s">
        <v>143</v>
      </c>
      <c r="BG22" t="s">
        <v>298</v>
      </c>
      <c r="BH22" t="s">
        <v>1196</v>
      </c>
      <c r="BI22" t="s">
        <v>162</v>
      </c>
      <c r="BJ22" t="s">
        <v>716</v>
      </c>
      <c r="BK22" t="s">
        <v>322</v>
      </c>
      <c r="BL22" t="s">
        <v>650</v>
      </c>
      <c r="BM22" t="s">
        <v>644</v>
      </c>
      <c r="BN22" t="s">
        <v>44</v>
      </c>
      <c r="BO22" t="s">
        <v>44</v>
      </c>
      <c r="BP22" t="s">
        <v>44</v>
      </c>
      <c r="BQ22">
        <v>2.27</v>
      </c>
      <c r="BR22">
        <v>1.23</v>
      </c>
      <c r="BS22">
        <v>4.1100000000000003</v>
      </c>
      <c r="BT22" t="s">
        <v>621</v>
      </c>
      <c r="BU22" t="s">
        <v>50</v>
      </c>
      <c r="BV22" t="s">
        <v>44</v>
      </c>
      <c r="BW22" t="s">
        <v>44</v>
      </c>
      <c r="BX22" t="s">
        <v>44</v>
      </c>
      <c r="BY22">
        <v>25.7</v>
      </c>
      <c r="BZ22">
        <v>17.11</v>
      </c>
      <c r="CA22">
        <v>33.119999999999997</v>
      </c>
      <c r="CB22">
        <v>0</v>
      </c>
      <c r="CC22">
        <v>-6.41</v>
      </c>
      <c r="CD22" t="s">
        <v>1197</v>
      </c>
      <c r="CE22" t="s">
        <v>788</v>
      </c>
      <c r="CF22" s="10">
        <v>-0.88186591276252024</v>
      </c>
      <c r="CG22" s="11">
        <v>1.2502884313725491</v>
      </c>
      <c r="CH22" s="10">
        <v>12.138778686523438</v>
      </c>
      <c r="CI22" s="10">
        <v>-0.4228036105632782</v>
      </c>
      <c r="CJ22" s="10">
        <v>-2.3343808948993683E-2</v>
      </c>
      <c r="CK22" s="10">
        <v>-9.1430231928825378E-2</v>
      </c>
      <c r="CL22" s="10">
        <v>0.27150142192840576</v>
      </c>
      <c r="CM22" s="11">
        <v>-1.889967679977417</v>
      </c>
      <c r="CN22" s="11">
        <v>-0.70231211185455322</v>
      </c>
      <c r="CO22" s="11">
        <v>-4.8579342663288116E-2</v>
      </c>
      <c r="CP22" s="11">
        <v>4.7025013715028763E-2</v>
      </c>
      <c r="CQ22" s="11">
        <v>3.5903084278106689</v>
      </c>
      <c r="CR22">
        <v>41.590019230769229</v>
      </c>
      <c r="CS22">
        <v>0.17514975794837098</v>
      </c>
      <c r="CT22">
        <v>0.97765363128491611</v>
      </c>
      <c r="CU22" s="10">
        <v>2.3745404914021493</v>
      </c>
      <c r="CV22" s="11">
        <v>0.19929486140608788</v>
      </c>
      <c r="CW22">
        <v>0.06</v>
      </c>
      <c r="CX22" t="e">
        <v>#VALUE!</v>
      </c>
      <c r="CY22" t="s">
        <v>606</v>
      </c>
      <c r="CZ22">
        <v>2.3745404914021493</v>
      </c>
      <c r="DA22" t="e">
        <v>#VALUE!</v>
      </c>
      <c r="DB22" t="s">
        <v>606</v>
      </c>
      <c r="DC22">
        <v>2.2558134668320418</v>
      </c>
      <c r="DD22" t="e">
        <v>#VALUE!</v>
      </c>
      <c r="DE22" t="s">
        <v>606</v>
      </c>
      <c r="DF22">
        <v>2.0895956324338916</v>
      </c>
      <c r="DG22" t="e">
        <v>#VALUE!</v>
      </c>
      <c r="DH22" t="s">
        <v>606</v>
      </c>
      <c r="DI22">
        <v>1.8996323931217196</v>
      </c>
      <c r="DJ22" t="e">
        <v>#VALUE!</v>
      </c>
      <c r="DK22" t="s">
        <v>606</v>
      </c>
      <c r="DL22">
        <v>1.6621783439815043</v>
      </c>
      <c r="DM22">
        <v>-275000000</v>
      </c>
      <c r="DN22">
        <v>2.3745404914021493</v>
      </c>
      <c r="DO22">
        <v>57448491000</v>
      </c>
      <c r="DP22">
        <v>0</v>
      </c>
      <c r="DQ22">
        <v>3133</v>
      </c>
      <c r="DR22">
        <v>-3.2564064041646694</v>
      </c>
      <c r="DS22">
        <v>1.0509935699664612</v>
      </c>
      <c r="DT22" s="12">
        <v>-0.19000000000000003</v>
      </c>
      <c r="DU22">
        <v>-5.5000000000000125E-2</v>
      </c>
      <c r="DV22">
        <v>-0.24500000000000016</v>
      </c>
      <c r="DW22">
        <v>-2.0640999999999998</v>
      </c>
      <c r="DX22">
        <v>0.37571428571428567</v>
      </c>
      <c r="DY22">
        <v>-2.0099812857142858</v>
      </c>
      <c r="DZ22">
        <v>2661</v>
      </c>
      <c r="EA22">
        <v>-2.0047835946603301</v>
      </c>
      <c r="EB22">
        <v>2</v>
      </c>
      <c r="EC22">
        <v>1.6403041448935732E-2</v>
      </c>
      <c r="ED22">
        <v>0.10534063315830285</v>
      </c>
      <c r="EE22" s="13">
        <v>2.1041099999999999</v>
      </c>
      <c r="EF22">
        <v>2.1154099999999998</v>
      </c>
      <c r="EG22">
        <v>22.155714285714286</v>
      </c>
      <c r="EH22" t="s">
        <v>707</v>
      </c>
      <c r="EI22">
        <v>0</v>
      </c>
      <c r="EJ22">
        <v>0</v>
      </c>
      <c r="EK22" s="9">
        <v>45470</v>
      </c>
      <c r="EL22" s="14">
        <v>0.56999999999999995</v>
      </c>
      <c r="EM22" s="14">
        <v>-1.42</v>
      </c>
      <c r="EN22" s="14">
        <v>1.1499999999999999</v>
      </c>
      <c r="EO22" s="14">
        <v>0.56999999999999995</v>
      </c>
      <c r="EP22" s="14">
        <v>-1.1299999999999999</v>
      </c>
    </row>
    <row r="23" spans="1:146" ht="96" x14ac:dyDescent="0.25">
      <c r="A23" s="6"/>
      <c r="B23" s="6"/>
      <c r="C23" s="6" t="str">
        <f>""&amp;CHAR(10)&amp;Basic_Fundamental_Information_Constructure(F23)&amp;CHAR(10)&amp;Basic_Fundamental_Information_Concatenate("")</f>
        <v xml:space="preserve">
市值126.459196亿, 利润-19.97亿; PE34.16; 平均PE-213.18; 平均PEG-.26, PB1.6; ROIC1.3067%; ROE5.77%; 股利率.948%; 毛利36.3867%; 净利1161.4867%; 上一年度营收增4041.51%, 利润增-667.33%; 当季营收增-99.35%, 利润增988.61%; 过往5年营收增808.01%, 利润增93.98%
Income profile:
</v>
      </c>
      <c r="D23" t="s">
        <v>51</v>
      </c>
      <c r="E23" t="s">
        <v>22</v>
      </c>
      <c r="F23">
        <v>11.92</v>
      </c>
      <c r="G23">
        <v>0.93</v>
      </c>
      <c r="H23" t="s">
        <v>1198</v>
      </c>
      <c r="I23">
        <v>12645919600</v>
      </c>
      <c r="J23">
        <v>34.159999999999997</v>
      </c>
      <c r="K23">
        <v>1.6</v>
      </c>
      <c r="L23" t="s">
        <v>50</v>
      </c>
      <c r="M23" t="s">
        <v>1199</v>
      </c>
      <c r="N23" t="s">
        <v>1200</v>
      </c>
      <c r="O23" t="s">
        <v>1201</v>
      </c>
      <c r="P23">
        <v>-26.38</v>
      </c>
      <c r="Q23" t="s">
        <v>1202</v>
      </c>
      <c r="R23">
        <v>59608942</v>
      </c>
      <c r="S23" s="5">
        <v>-0.31290000000000001</v>
      </c>
      <c r="T23" t="s">
        <v>1203</v>
      </c>
      <c r="U23">
        <v>1060899290</v>
      </c>
      <c r="V23">
        <v>1060899290</v>
      </c>
      <c r="W23">
        <v>5.37</v>
      </c>
      <c r="X23">
        <v>0</v>
      </c>
      <c r="Y23">
        <v>11.23</v>
      </c>
      <c r="Z23" t="s">
        <v>946</v>
      </c>
      <c r="AA23" t="s">
        <v>1204</v>
      </c>
      <c r="AB23">
        <v>4063.31</v>
      </c>
      <c r="AC23" t="s">
        <v>1205</v>
      </c>
      <c r="AD23" t="s">
        <v>44</v>
      </c>
      <c r="AE23">
        <v>533027</v>
      </c>
      <c r="AF23" t="s">
        <v>1206</v>
      </c>
      <c r="AG23" t="s">
        <v>1207</v>
      </c>
      <c r="AH23" t="s">
        <v>1208</v>
      </c>
      <c r="AI23" t="s">
        <v>1209</v>
      </c>
      <c r="AJ23" t="s">
        <v>1210</v>
      </c>
      <c r="AK23" t="s">
        <v>44</v>
      </c>
      <c r="AL23" t="s">
        <v>1211</v>
      </c>
      <c r="AM23" t="s">
        <v>44</v>
      </c>
      <c r="AN23" t="s">
        <v>1212</v>
      </c>
      <c r="AO23" t="s">
        <v>221</v>
      </c>
      <c r="AP23" t="s">
        <v>44</v>
      </c>
      <c r="AQ23" t="s">
        <v>1213</v>
      </c>
      <c r="AR23" t="s">
        <v>1214</v>
      </c>
      <c r="AS23" t="s">
        <v>1215</v>
      </c>
      <c r="AT23" t="s">
        <v>44</v>
      </c>
      <c r="AU23" t="s">
        <v>717</v>
      </c>
      <c r="AV23" t="s">
        <v>1216</v>
      </c>
      <c r="AW23" t="s">
        <v>1217</v>
      </c>
      <c r="AX23" t="s">
        <v>722</v>
      </c>
      <c r="AY23" t="s">
        <v>720</v>
      </c>
      <c r="AZ23" t="s">
        <v>721</v>
      </c>
      <c r="BA23" t="s">
        <v>300</v>
      </c>
      <c r="BB23" t="s">
        <v>301</v>
      </c>
      <c r="BC23" t="s">
        <v>607</v>
      </c>
      <c r="BD23" t="s">
        <v>374</v>
      </c>
      <c r="BE23" t="s">
        <v>299</v>
      </c>
      <c r="BF23" t="s">
        <v>145</v>
      </c>
      <c r="BG23" t="s">
        <v>302</v>
      </c>
      <c r="BH23" t="s">
        <v>1218</v>
      </c>
      <c r="BI23" t="s">
        <v>740</v>
      </c>
      <c r="BJ23" t="s">
        <v>722</v>
      </c>
      <c r="BK23" t="s">
        <v>1219</v>
      </c>
      <c r="BL23" t="s">
        <v>1220</v>
      </c>
      <c r="BM23" t="s">
        <v>607</v>
      </c>
      <c r="BN23">
        <v>1.18</v>
      </c>
      <c r="BO23">
        <v>1.06</v>
      </c>
      <c r="BP23">
        <v>1.68</v>
      </c>
      <c r="BQ23">
        <v>5.48</v>
      </c>
      <c r="BR23">
        <v>4.8099999999999996</v>
      </c>
      <c r="BS23">
        <v>7.02</v>
      </c>
      <c r="BT23" t="s">
        <v>1221</v>
      </c>
      <c r="BU23" t="s">
        <v>50</v>
      </c>
      <c r="BV23">
        <v>49.03</v>
      </c>
      <c r="BW23">
        <v>28.32</v>
      </c>
      <c r="BX23">
        <v>31.81</v>
      </c>
      <c r="BY23">
        <v>2767.98</v>
      </c>
      <c r="BZ23">
        <v>334.37</v>
      </c>
      <c r="CA23">
        <v>382.11</v>
      </c>
      <c r="CB23">
        <v>-2.77</v>
      </c>
      <c r="CC23">
        <v>-9.83</v>
      </c>
      <c r="CD23" t="s">
        <v>1222</v>
      </c>
      <c r="CE23" t="s">
        <v>683</v>
      </c>
      <c r="CF23" s="10">
        <v>-0.9934535496957404</v>
      </c>
      <c r="CG23" s="11">
        <v>9.8860861624997707</v>
      </c>
      <c r="CH23" s="10">
        <v>40.415096282958984</v>
      </c>
      <c r="CI23" s="10">
        <v>-0.18461538851261139</v>
      </c>
      <c r="CJ23" s="10">
        <v>-0.15584415197372437</v>
      </c>
      <c r="CK23" s="10">
        <v>4.76190485060215E-2</v>
      </c>
      <c r="CL23" s="10">
        <v>0.27826085686683655</v>
      </c>
      <c r="CM23" s="11">
        <v>-6.6732954978942871</v>
      </c>
      <c r="CN23" s="11">
        <v>-0.28888890147209167</v>
      </c>
      <c r="CO23" s="11">
        <v>-0.30084747076034546</v>
      </c>
      <c r="CP23" s="11">
        <v>10.02158260345459</v>
      </c>
      <c r="CQ23" s="11">
        <v>1.9404338598251343</v>
      </c>
      <c r="CR23">
        <v>-213.18371829765499</v>
      </c>
      <c r="CS23">
        <v>-0.2638378614757439</v>
      </c>
      <c r="CT23">
        <v>0.94798657718120793</v>
      </c>
      <c r="CU23" s="10">
        <v>8.080103329569102</v>
      </c>
      <c r="CV23" s="11">
        <v>0.9397969186306</v>
      </c>
      <c r="CW23">
        <v>0.06</v>
      </c>
      <c r="CX23" t="e">
        <v>#VALUE!</v>
      </c>
      <c r="CY23" t="s">
        <v>606</v>
      </c>
      <c r="CZ23">
        <v>8.080103329569102</v>
      </c>
      <c r="DA23" t="e">
        <v>#VALUE!</v>
      </c>
      <c r="DB23" t="s">
        <v>606</v>
      </c>
      <c r="DC23">
        <v>7.6760981630906464</v>
      </c>
      <c r="DD23" t="e">
        <v>#VALUE!</v>
      </c>
      <c r="DE23" t="s">
        <v>606</v>
      </c>
      <c r="DF23">
        <v>7.1104909300208101</v>
      </c>
      <c r="DG23" t="e">
        <v>#VALUE!</v>
      </c>
      <c r="DH23" t="s">
        <v>606</v>
      </c>
      <c r="DI23">
        <v>6.4640826636552822</v>
      </c>
      <c r="DJ23" t="e">
        <v>#VALUE!</v>
      </c>
      <c r="DK23" t="s">
        <v>606</v>
      </c>
      <c r="DL23">
        <v>5.6560723306983709</v>
      </c>
      <c r="DM23">
        <v>-1997000000</v>
      </c>
      <c r="DN23">
        <v>8.080103329569102</v>
      </c>
      <c r="DO23">
        <v>33982919600</v>
      </c>
      <c r="DP23">
        <v>7992910000.0000038</v>
      </c>
      <c r="DQ23">
        <v>3326</v>
      </c>
      <c r="DR23">
        <v>-9.0735568792648422</v>
      </c>
      <c r="DS23">
        <v>8.9462892438691703</v>
      </c>
      <c r="DT23" s="12">
        <v>-0.32333333333333336</v>
      </c>
      <c r="DU23">
        <v>0.13966666666666652</v>
      </c>
      <c r="DV23">
        <v>-0.18366666666666684</v>
      </c>
      <c r="DW23">
        <v>-8.2817904374364186</v>
      </c>
      <c r="DX23">
        <v>0.32323119730185579</v>
      </c>
      <c r="DY23">
        <v>-8.0290895642447744</v>
      </c>
      <c r="DZ23">
        <v>3698</v>
      </c>
      <c r="EA23">
        <v>-8.0080380557169519</v>
      </c>
      <c r="EB23">
        <v>8</v>
      </c>
      <c r="EC23">
        <v>5.7702084049844164E-2</v>
      </c>
      <c r="ED23">
        <v>0.55895974819626848</v>
      </c>
      <c r="EE23" s="13">
        <v>-6.0171999999999999</v>
      </c>
      <c r="EF23">
        <v>-6.0054100000000004</v>
      </c>
      <c r="EG23">
        <v>22.103231197301856</v>
      </c>
      <c r="EH23" t="s">
        <v>1223</v>
      </c>
      <c r="EI23">
        <v>0</v>
      </c>
      <c r="EJ23">
        <v>0</v>
      </c>
      <c r="EK23" s="9">
        <v>45470</v>
      </c>
      <c r="EL23" s="14">
        <v>0.44</v>
      </c>
      <c r="EM23" s="14">
        <v>-5.52</v>
      </c>
      <c r="EN23" s="14">
        <v>0</v>
      </c>
      <c r="EO23" s="14">
        <v>3.5</v>
      </c>
      <c r="EP23" s="14">
        <v>-2.2599999999999998</v>
      </c>
    </row>
    <row r="24" spans="1:146" ht="96" x14ac:dyDescent="0.25">
      <c r="A24" s="6"/>
      <c r="B24" s="6"/>
      <c r="C24" s="6" t="str">
        <f>""&amp;CHAR(10)&amp;Basic_Fundamental_Information_Constructure(F24)&amp;CHAR(10)&amp;Basic_Fundamental_Information_Concatenate("")</f>
        <v xml:space="preserve">
市值1100.00564亿, 利润6219.66万; PE; 平均PE14.65; 平均PEG1.04, PB.669; ROIC0%; ROE4.9%; 股利率1.1876%; 毛利0%; 净利16.83%; 上一年度营收增-99.67%, 利润增-99.05%; 当季营收增21602.47%, 利润增6096.28%; 过往5年营收增-14.05%, 利润增-6.63%
Income profile:
</v>
      </c>
      <c r="D24" t="s">
        <v>90</v>
      </c>
      <c r="E24" t="s">
        <v>41</v>
      </c>
      <c r="F24">
        <v>8.42</v>
      </c>
      <c r="G24">
        <v>0.72</v>
      </c>
      <c r="H24" t="s">
        <v>1224</v>
      </c>
      <c r="I24">
        <v>110000564000</v>
      </c>
      <c r="K24">
        <v>0.66900000000000004</v>
      </c>
      <c r="L24" t="s">
        <v>50</v>
      </c>
      <c r="M24" t="s">
        <v>1225</v>
      </c>
      <c r="N24" t="s">
        <v>1226</v>
      </c>
      <c r="O24" t="s">
        <v>1227</v>
      </c>
      <c r="P24">
        <v>-44.11</v>
      </c>
      <c r="Q24" t="s">
        <v>1228</v>
      </c>
      <c r="R24">
        <v>911298870</v>
      </c>
      <c r="S24" s="5">
        <v>-0.62560000000000004</v>
      </c>
      <c r="T24" t="s">
        <v>1229</v>
      </c>
      <c r="U24">
        <v>8873381200</v>
      </c>
      <c r="V24">
        <v>13064200000</v>
      </c>
      <c r="W24">
        <v>4.1399999999999997</v>
      </c>
      <c r="X24">
        <v>0.01</v>
      </c>
      <c r="Y24">
        <v>21.95</v>
      </c>
      <c r="Z24" t="s">
        <v>44</v>
      </c>
      <c r="AA24" t="s">
        <v>44</v>
      </c>
      <c r="AB24" t="s">
        <v>44</v>
      </c>
      <c r="AC24" t="s">
        <v>44</v>
      </c>
      <c r="AD24" t="s">
        <v>44</v>
      </c>
      <c r="AE24">
        <v>0</v>
      </c>
      <c r="AF24" t="s">
        <v>1230</v>
      </c>
      <c r="AG24" t="s">
        <v>1231</v>
      </c>
      <c r="AH24" t="s">
        <v>1232</v>
      </c>
      <c r="AI24" t="s">
        <v>1233</v>
      </c>
      <c r="AJ24" t="s">
        <v>108</v>
      </c>
      <c r="AK24" t="s">
        <v>44</v>
      </c>
      <c r="AL24" t="s">
        <v>108</v>
      </c>
      <c r="AM24" t="s">
        <v>1234</v>
      </c>
      <c r="AN24" t="s">
        <v>1235</v>
      </c>
      <c r="AO24" t="s">
        <v>1236</v>
      </c>
      <c r="AP24" t="s">
        <v>44</v>
      </c>
      <c r="AQ24" t="s">
        <v>44</v>
      </c>
      <c r="AR24" t="s">
        <v>44</v>
      </c>
      <c r="AS24" t="s">
        <v>44</v>
      </c>
      <c r="AT24" t="s">
        <v>1237</v>
      </c>
      <c r="AU24" t="s">
        <v>1238</v>
      </c>
      <c r="AV24" t="s">
        <v>1239</v>
      </c>
      <c r="AW24" t="s">
        <v>1240</v>
      </c>
      <c r="AX24" t="s">
        <v>723</v>
      </c>
      <c r="AY24" t="s">
        <v>471</v>
      </c>
      <c r="AZ24" t="s">
        <v>303</v>
      </c>
      <c r="BA24" t="s">
        <v>305</v>
      </c>
      <c r="BB24" t="s">
        <v>306</v>
      </c>
      <c r="BC24" t="s">
        <v>724</v>
      </c>
      <c r="BD24" t="s">
        <v>472</v>
      </c>
      <c r="BE24" t="s">
        <v>304</v>
      </c>
      <c r="BF24" t="s">
        <v>146</v>
      </c>
      <c r="BG24" t="s">
        <v>307</v>
      </c>
      <c r="BH24" t="s">
        <v>1241</v>
      </c>
      <c r="BI24" t="s">
        <v>1242</v>
      </c>
      <c r="BJ24" t="s">
        <v>723</v>
      </c>
      <c r="BK24" t="s">
        <v>192</v>
      </c>
      <c r="BL24" t="s">
        <v>1243</v>
      </c>
      <c r="BM24" t="s">
        <v>724</v>
      </c>
      <c r="BN24" t="s">
        <v>44</v>
      </c>
      <c r="BO24" t="s">
        <v>44</v>
      </c>
      <c r="BP24" t="s">
        <v>44</v>
      </c>
      <c r="BQ24">
        <v>2.62</v>
      </c>
      <c r="BR24">
        <v>3.99</v>
      </c>
      <c r="BS24">
        <v>8.09</v>
      </c>
      <c r="BT24" t="s">
        <v>619</v>
      </c>
      <c r="BU24" t="s">
        <v>50</v>
      </c>
      <c r="BV24" t="s">
        <v>44</v>
      </c>
      <c r="BW24" t="s">
        <v>44</v>
      </c>
      <c r="BX24" t="s">
        <v>44</v>
      </c>
      <c r="BY24">
        <v>-1.36</v>
      </c>
      <c r="BZ24">
        <v>20.03</v>
      </c>
      <c r="CA24">
        <v>31.82</v>
      </c>
      <c r="CB24">
        <v>-1.64</v>
      </c>
      <c r="CC24">
        <v>2.31</v>
      </c>
      <c r="CD24" t="s">
        <v>1244</v>
      </c>
      <c r="CE24" t="s">
        <v>1245</v>
      </c>
      <c r="CF24" s="10">
        <v>216.02472860515357</v>
      </c>
      <c r="CG24" s="11">
        <v>60.962771295691908</v>
      </c>
      <c r="CH24" s="10">
        <v>-0.99666452407836914</v>
      </c>
      <c r="CI24" s="10">
        <v>-0.39942136406898499</v>
      </c>
      <c r="CJ24" s="10">
        <v>0.13042908906936646</v>
      </c>
      <c r="CK24" s="10">
        <v>9.638560563325882E-2</v>
      </c>
      <c r="CL24" s="10">
        <v>0.46686297655105591</v>
      </c>
      <c r="CM24" s="11">
        <v>-0.99049705266952515</v>
      </c>
      <c r="CN24" s="11">
        <v>-0.48974817991256714</v>
      </c>
      <c r="CO24" s="11">
        <v>0.17949426174163818</v>
      </c>
      <c r="CP24" s="11">
        <v>0.14197200536727905</v>
      </c>
      <c r="CQ24" s="11">
        <v>0.82748043537139893</v>
      </c>
      <c r="CR24">
        <v>14.65267640440954</v>
      </c>
      <c r="CS24">
        <v>1.0430313920023226</v>
      </c>
      <c r="CT24">
        <v>1.1876484560570071</v>
      </c>
      <c r="CU24" s="10">
        <v>-0.14048164337873459</v>
      </c>
      <c r="CV24" s="11">
        <v>-6.6259706020355219E-2</v>
      </c>
      <c r="CW24">
        <v>0.06</v>
      </c>
      <c r="CX24">
        <v>8314.6275519883729</v>
      </c>
      <c r="CY24" t="s">
        <v>1246</v>
      </c>
      <c r="CZ24">
        <v>-0.14048164337873459</v>
      </c>
      <c r="DA24">
        <v>2771.5425173294575</v>
      </c>
      <c r="DB24" t="s">
        <v>1247</v>
      </c>
      <c r="DC24">
        <v>-0.13345756120979785</v>
      </c>
      <c r="DD24">
        <v>1385.7712586647287</v>
      </c>
      <c r="DE24" t="s">
        <v>1248</v>
      </c>
      <c r="DF24">
        <v>-0.12362384617328644</v>
      </c>
      <c r="DG24">
        <v>831.46275519883727</v>
      </c>
      <c r="DH24" t="s">
        <v>1249</v>
      </c>
      <c r="DI24">
        <v>-0.11238531470298768</v>
      </c>
      <c r="DJ24">
        <v>415.73137759941864</v>
      </c>
      <c r="DK24" t="s">
        <v>1250</v>
      </c>
      <c r="DL24">
        <v>-9.8337150365114201E-2</v>
      </c>
      <c r="DM24">
        <v>62196600</v>
      </c>
      <c r="DN24">
        <v>-0.14048164337873459</v>
      </c>
      <c r="DO24">
        <v>517141564000</v>
      </c>
      <c r="DP24">
        <v>0</v>
      </c>
      <c r="DQ24">
        <v>3507</v>
      </c>
      <c r="DR24">
        <v>216.1652102485323</v>
      </c>
      <c r="DS24">
        <v>61.029031001712262</v>
      </c>
      <c r="DT24" s="12">
        <v>-0.82333333333333325</v>
      </c>
      <c r="DU24">
        <v>-0.15</v>
      </c>
      <c r="DV24">
        <v>-0.97333333333333327</v>
      </c>
      <c r="DW24">
        <v>2.3099999999999999E-2</v>
      </c>
      <c r="DX24">
        <v>0.38650793258634492</v>
      </c>
      <c r="DY24">
        <v>2.2293332427445536E-3</v>
      </c>
      <c r="DZ24">
        <v>4781</v>
      </c>
      <c r="EA24">
        <v>1.4353241425889591E-4</v>
      </c>
      <c r="EB24">
        <v>0</v>
      </c>
      <c r="EC24">
        <v>1.1634849435862892E-2</v>
      </c>
      <c r="ED24">
        <v>0.12055847277292142</v>
      </c>
      <c r="EE24" s="13">
        <v>-10.036910000000001</v>
      </c>
      <c r="EF24">
        <v>-10.036910000000001</v>
      </c>
      <c r="EG24">
        <v>29.096507932586345</v>
      </c>
      <c r="EH24" t="s">
        <v>1251</v>
      </c>
      <c r="EI24">
        <v>0</v>
      </c>
      <c r="EJ24">
        <v>0</v>
      </c>
      <c r="EK24" s="9">
        <v>45470</v>
      </c>
      <c r="EL24" s="14">
        <v>0</v>
      </c>
      <c r="EM24" s="14">
        <v>0</v>
      </c>
      <c r="EN24" s="14">
        <v>0</v>
      </c>
      <c r="EO24" s="14">
        <v>0</v>
      </c>
      <c r="EP24" s="14">
        <v>0</v>
      </c>
    </row>
    <row r="25" spans="1:146" ht="96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市值99.243214亿, 利润1357.14万; PE63.59; 平均PE-138.34; 平均PEG-13.27, PB.788; ROIC.21%; ROE-1.89%; 股利率0%; 毛利9.1667%; 净利-13.9333%; 上一年度营收增-86.69%, 利润增101.34%; 当季营收增1255.53%, 利润增3952.56%; 过往5年营收增-10.43%, 利润增-30.79%
Income profile:
</v>
      </c>
      <c r="D25" t="s">
        <v>84</v>
      </c>
      <c r="E25" t="s">
        <v>43</v>
      </c>
      <c r="F25">
        <v>4.7699999999999996</v>
      </c>
      <c r="G25">
        <v>0.63</v>
      </c>
      <c r="H25" t="s">
        <v>1252</v>
      </c>
      <c r="I25">
        <v>9924321400</v>
      </c>
      <c r="J25">
        <v>63.59</v>
      </c>
      <c r="K25">
        <v>0.78800000000000003</v>
      </c>
      <c r="L25" t="s">
        <v>50</v>
      </c>
      <c r="M25" t="s">
        <v>1253</v>
      </c>
      <c r="N25" t="s">
        <v>1254</v>
      </c>
      <c r="O25" t="s">
        <v>1255</v>
      </c>
      <c r="P25">
        <v>4.93</v>
      </c>
      <c r="Q25" t="s">
        <v>798</v>
      </c>
      <c r="R25">
        <v>141341280</v>
      </c>
      <c r="S25" s="5">
        <v>-0.26450000000000001</v>
      </c>
      <c r="T25" t="s">
        <v>1256</v>
      </c>
      <c r="U25">
        <v>2080570500</v>
      </c>
      <c r="V25">
        <v>2080570500</v>
      </c>
      <c r="W25">
        <v>3.16</v>
      </c>
      <c r="X25">
        <v>0.02</v>
      </c>
      <c r="Y25">
        <v>13.87</v>
      </c>
      <c r="Z25" t="s">
        <v>1067</v>
      </c>
      <c r="AA25" t="s">
        <v>144</v>
      </c>
      <c r="AB25" t="s">
        <v>1257</v>
      </c>
      <c r="AC25" t="s">
        <v>780</v>
      </c>
      <c r="AD25" t="s">
        <v>44</v>
      </c>
      <c r="AE25">
        <v>14369881</v>
      </c>
      <c r="AF25" t="s">
        <v>1258</v>
      </c>
      <c r="AG25" t="s">
        <v>1259</v>
      </c>
      <c r="AH25" t="s">
        <v>1260</v>
      </c>
      <c r="AI25" t="s">
        <v>1261</v>
      </c>
      <c r="AJ25" t="s">
        <v>1262</v>
      </c>
      <c r="AK25" t="s">
        <v>1263</v>
      </c>
      <c r="AL25" t="s">
        <v>1264</v>
      </c>
      <c r="AM25" t="s">
        <v>44</v>
      </c>
      <c r="AN25" t="s">
        <v>1265</v>
      </c>
      <c r="AO25" t="s">
        <v>1266</v>
      </c>
      <c r="AP25" t="s">
        <v>44</v>
      </c>
      <c r="AQ25" t="s">
        <v>1267</v>
      </c>
      <c r="AR25" t="s">
        <v>44</v>
      </c>
      <c r="AS25" t="s">
        <v>1268</v>
      </c>
      <c r="AT25" t="s">
        <v>1027</v>
      </c>
      <c r="AU25" t="s">
        <v>1269</v>
      </c>
      <c r="AV25" t="s">
        <v>1270</v>
      </c>
      <c r="AW25" t="s">
        <v>1271</v>
      </c>
      <c r="AX25" t="s">
        <v>461</v>
      </c>
      <c r="AY25" t="s">
        <v>727</v>
      </c>
      <c r="AZ25" t="s">
        <v>728</v>
      </c>
      <c r="BA25" t="s">
        <v>309</v>
      </c>
      <c r="BB25" t="s">
        <v>229</v>
      </c>
      <c r="BC25" t="s">
        <v>1272</v>
      </c>
      <c r="BD25" t="s">
        <v>473</v>
      </c>
      <c r="BE25" t="s">
        <v>298</v>
      </c>
      <c r="BF25" t="s">
        <v>147</v>
      </c>
      <c r="BG25" t="s">
        <v>295</v>
      </c>
      <c r="BH25" t="s">
        <v>1273</v>
      </c>
      <c r="BI25" t="s">
        <v>1274</v>
      </c>
      <c r="BJ25" t="s">
        <v>461</v>
      </c>
      <c r="BK25" t="s">
        <v>612</v>
      </c>
      <c r="BL25" t="s">
        <v>1275</v>
      </c>
      <c r="BM25" t="s">
        <v>1272</v>
      </c>
      <c r="BN25">
        <v>-0.36</v>
      </c>
      <c r="BO25" t="s">
        <v>44</v>
      </c>
      <c r="BP25">
        <v>0.78</v>
      </c>
      <c r="BQ25">
        <v>0.3</v>
      </c>
      <c r="BR25">
        <v>-7.72</v>
      </c>
      <c r="BS25">
        <v>1.75</v>
      </c>
      <c r="BT25" t="s">
        <v>625</v>
      </c>
      <c r="BU25" t="s">
        <v>50</v>
      </c>
      <c r="BV25">
        <v>10.19</v>
      </c>
      <c r="BW25">
        <v>2.2999999999999998</v>
      </c>
      <c r="BX25">
        <v>15.01</v>
      </c>
      <c r="BY25">
        <v>8.07</v>
      </c>
      <c r="BZ25">
        <v>-63.68</v>
      </c>
      <c r="CA25">
        <v>13.81</v>
      </c>
      <c r="CB25">
        <v>0.42</v>
      </c>
      <c r="CC25">
        <v>-6.84</v>
      </c>
      <c r="CD25" t="s">
        <v>1276</v>
      </c>
      <c r="CE25" t="s">
        <v>743</v>
      </c>
      <c r="CF25" s="10">
        <v>12.555338874623732</v>
      </c>
      <c r="CG25" s="11">
        <v>39.525641540270094</v>
      </c>
      <c r="CH25" s="10">
        <v>-0.86687111854553223</v>
      </c>
      <c r="CI25" s="10">
        <v>-1.0321835987269878E-2</v>
      </c>
      <c r="CJ25" s="10">
        <v>-1.3772416859865189E-2</v>
      </c>
      <c r="CK25" s="10">
        <v>0.31392598152160645</v>
      </c>
      <c r="CL25" s="10">
        <v>5.5647894740104675E-2</v>
      </c>
      <c r="CM25" s="11">
        <v>1.013397216796875</v>
      </c>
      <c r="CN25" s="11">
        <v>-5.2563028335571289</v>
      </c>
      <c r="CO25" s="11">
        <v>4.8458151519298553E-2</v>
      </c>
      <c r="CP25" s="11">
        <v>-7.7235773205757141E-2</v>
      </c>
      <c r="CQ25" s="11">
        <v>2.7323944568634033</v>
      </c>
      <c r="CR25">
        <v>-138.34101265575751</v>
      </c>
      <c r="CS25">
        <v>-13.266519874956041</v>
      </c>
      <c r="CT25">
        <v>0</v>
      </c>
      <c r="CU25" s="10">
        <v>-0.10427829902619123</v>
      </c>
      <c r="CV25" s="11">
        <v>-0.30785775631666185</v>
      </c>
      <c r="CW25">
        <v>0.06</v>
      </c>
      <c r="CX25">
        <v>1795.4906199802526</v>
      </c>
      <c r="CY25" t="s">
        <v>1277</v>
      </c>
      <c r="CZ25">
        <v>-0.10427829902619123</v>
      </c>
      <c r="DA25">
        <v>598.49687332675092</v>
      </c>
      <c r="DB25" t="s">
        <v>1278</v>
      </c>
      <c r="DC25">
        <v>-9.9064384074881662E-2</v>
      </c>
      <c r="DD25">
        <v>299.24843666337546</v>
      </c>
      <c r="DE25" t="s">
        <v>1279</v>
      </c>
      <c r="DF25">
        <v>-9.176490314304829E-2</v>
      </c>
      <c r="DG25">
        <v>179.54906199802525</v>
      </c>
      <c r="DH25" t="s">
        <v>1280</v>
      </c>
      <c r="DI25">
        <v>-8.3422639220952999E-2</v>
      </c>
      <c r="DJ25">
        <v>89.774530999012626</v>
      </c>
      <c r="DK25" t="s">
        <v>1281</v>
      </c>
      <c r="DL25">
        <v>-7.2994809318333853E-2</v>
      </c>
      <c r="DM25">
        <v>13571400.000000002</v>
      </c>
      <c r="DN25">
        <v>-0.10427829902619123</v>
      </c>
      <c r="DO25">
        <v>24367321400</v>
      </c>
      <c r="DP25">
        <v>11888657000</v>
      </c>
      <c r="DQ25">
        <v>3529</v>
      </c>
      <c r="DR25">
        <v>12.659617173649924</v>
      </c>
      <c r="DS25">
        <v>39.833499296586758</v>
      </c>
      <c r="DT25" s="12">
        <v>-0.65666666666666662</v>
      </c>
      <c r="DU25">
        <v>0.67833333333333323</v>
      </c>
      <c r="DV25">
        <v>2.1666666666666612E-2</v>
      </c>
      <c r="DW25">
        <v>-2.0684</v>
      </c>
      <c r="DX25">
        <v>0.35793730834753146</v>
      </c>
      <c r="DY25">
        <v>-2.0094349118909709</v>
      </c>
      <c r="DZ25">
        <v>1607</v>
      </c>
      <c r="EA25">
        <v>-2.0064678075056892</v>
      </c>
      <c r="EB25">
        <v>2</v>
      </c>
      <c r="EC25">
        <v>3.8916825937885785E-2</v>
      </c>
      <c r="ED25">
        <v>0.28213415503103595</v>
      </c>
      <c r="EE25" s="13">
        <v>1.1227100000000001</v>
      </c>
      <c r="EF25">
        <v>1.13151</v>
      </c>
      <c r="EG25">
        <v>22.137937308347531</v>
      </c>
      <c r="EH25" t="s">
        <v>647</v>
      </c>
      <c r="EI25">
        <v>0</v>
      </c>
      <c r="EJ25">
        <v>0</v>
      </c>
      <c r="EK25" s="9">
        <v>45470</v>
      </c>
      <c r="EL25" s="14">
        <v>-1.0900000000000001</v>
      </c>
      <c r="EM25" s="14">
        <v>-1.1000000000000001</v>
      </c>
      <c r="EN25" s="14">
        <v>0.22</v>
      </c>
      <c r="EO25" s="14">
        <v>0.44</v>
      </c>
      <c r="EP25" s="14">
        <v>-0.88</v>
      </c>
    </row>
    <row r="26" spans="1:146" ht="96" x14ac:dyDescent="0.25">
      <c r="A26" s="6"/>
      <c r="B26" s="6"/>
      <c r="C26" s="6" t="str">
        <f>""&amp;CHAR(10)&amp;Basic_Fundamental_Information_Constructure(F26)&amp;CHAR(10)&amp;Basic_Fundamental_Information_Concatenate("")</f>
        <v xml:space="preserve">
市值186.263亿, 利润22.00亿; PE36.2; 平均PE25.41; 平均PEG.63, PB1.59; ROIC0%; ROE4.7233%; 股利率1.7422%; 毛利0%; 净利23.84%; 上一年度营收增176.03%, 利润增626.07%; 当季营收增-65.3%, 利润增-79.69%; 过往5年营收增40.29%, 利润增262.58%
Income profile:
</v>
      </c>
      <c r="D26" t="s">
        <v>311</v>
      </c>
      <c r="E26" t="s">
        <v>312</v>
      </c>
      <c r="F26">
        <v>5.74</v>
      </c>
      <c r="G26">
        <v>0.7</v>
      </c>
      <c r="H26" t="s">
        <v>1282</v>
      </c>
      <c r="I26">
        <v>18626300000</v>
      </c>
      <c r="J26">
        <v>36.200000000000003</v>
      </c>
      <c r="K26">
        <v>1.59</v>
      </c>
      <c r="L26" t="s">
        <v>50</v>
      </c>
      <c r="M26" t="s">
        <v>1283</v>
      </c>
      <c r="N26" t="s">
        <v>1284</v>
      </c>
      <c r="O26" t="s">
        <v>991</v>
      </c>
      <c r="P26">
        <v>-31.25</v>
      </c>
      <c r="Q26" t="s">
        <v>1285</v>
      </c>
      <c r="R26">
        <v>111070609</v>
      </c>
      <c r="S26" s="5">
        <v>-0.45129999999999998</v>
      </c>
      <c r="T26" t="s">
        <v>1286</v>
      </c>
      <c r="U26">
        <v>2124235000</v>
      </c>
      <c r="V26">
        <v>3245000000</v>
      </c>
      <c r="W26">
        <v>4.18</v>
      </c>
      <c r="X26">
        <v>0.01</v>
      </c>
      <c r="Y26">
        <v>25.8</v>
      </c>
      <c r="Z26" t="s">
        <v>44</v>
      </c>
      <c r="AA26" t="s">
        <v>44</v>
      </c>
      <c r="AB26" t="s">
        <v>44</v>
      </c>
      <c r="AC26" t="s">
        <v>44</v>
      </c>
      <c r="AD26" t="s">
        <v>44</v>
      </c>
      <c r="AE26">
        <v>0</v>
      </c>
      <c r="AF26" t="s">
        <v>1287</v>
      </c>
      <c r="AG26" t="s">
        <v>1288</v>
      </c>
      <c r="AH26" t="s">
        <v>1289</v>
      </c>
      <c r="AI26" t="s">
        <v>1290</v>
      </c>
      <c r="AJ26" t="s">
        <v>108</v>
      </c>
      <c r="AK26" t="s">
        <v>44</v>
      </c>
      <c r="AL26" t="s">
        <v>108</v>
      </c>
      <c r="AM26" t="s">
        <v>648</v>
      </c>
      <c r="AN26" t="s">
        <v>1291</v>
      </c>
      <c r="AO26" t="s">
        <v>44</v>
      </c>
      <c r="AP26" t="s">
        <v>44</v>
      </c>
      <c r="AQ26" t="s">
        <v>44</v>
      </c>
      <c r="AR26" t="s">
        <v>44</v>
      </c>
      <c r="AS26" t="s">
        <v>44</v>
      </c>
      <c r="AT26" t="s">
        <v>44</v>
      </c>
      <c r="AU26" t="s">
        <v>1192</v>
      </c>
      <c r="AV26" t="s">
        <v>1292</v>
      </c>
      <c r="AW26" t="s">
        <v>1293</v>
      </c>
      <c r="AX26" t="s">
        <v>731</v>
      </c>
      <c r="AY26" t="s">
        <v>474</v>
      </c>
      <c r="AZ26" t="s">
        <v>313</v>
      </c>
      <c r="BA26" t="s">
        <v>315</v>
      </c>
      <c r="BB26" t="s">
        <v>316</v>
      </c>
      <c r="BC26" t="s">
        <v>351</v>
      </c>
      <c r="BD26" t="s">
        <v>475</v>
      </c>
      <c r="BE26" t="s">
        <v>314</v>
      </c>
      <c r="BF26" t="s">
        <v>476</v>
      </c>
      <c r="BG26" t="s">
        <v>317</v>
      </c>
      <c r="BH26" t="s">
        <v>467</v>
      </c>
      <c r="BI26" t="s">
        <v>1294</v>
      </c>
      <c r="BJ26" t="s">
        <v>731</v>
      </c>
      <c r="BK26" t="s">
        <v>1295</v>
      </c>
      <c r="BL26" t="s">
        <v>1296</v>
      </c>
      <c r="BM26" t="s">
        <v>351</v>
      </c>
      <c r="BN26" t="s">
        <v>44</v>
      </c>
      <c r="BO26" t="s">
        <v>44</v>
      </c>
      <c r="BP26" t="s">
        <v>44</v>
      </c>
      <c r="BQ26">
        <v>4.88</v>
      </c>
      <c r="BR26">
        <v>2.71</v>
      </c>
      <c r="BS26">
        <v>6.58</v>
      </c>
      <c r="BT26" t="s">
        <v>619</v>
      </c>
      <c r="BU26" t="s">
        <v>50</v>
      </c>
      <c r="BV26" t="s">
        <v>44</v>
      </c>
      <c r="BW26" t="s">
        <v>44</v>
      </c>
      <c r="BX26" t="s">
        <v>44</v>
      </c>
      <c r="BY26">
        <v>26.16</v>
      </c>
      <c r="BZ26">
        <v>18.399999999999999</v>
      </c>
      <c r="CA26">
        <v>26.96</v>
      </c>
      <c r="CB26">
        <v>0.17</v>
      </c>
      <c r="CC26">
        <v>-14.96</v>
      </c>
      <c r="CD26" t="s">
        <v>1297</v>
      </c>
      <c r="CE26" t="s">
        <v>1298</v>
      </c>
      <c r="CF26" s="10">
        <v>-0.6529790660225443</v>
      </c>
      <c r="CG26" s="11">
        <v>-0.79694587020109686</v>
      </c>
      <c r="CH26" s="10">
        <v>1.7603405714035034</v>
      </c>
      <c r="CI26" s="10">
        <v>-0.34865292906761169</v>
      </c>
      <c r="CJ26" s="10">
        <v>0.23121951520442963</v>
      </c>
      <c r="CK26" s="10">
        <v>0.13072259724140167</v>
      </c>
      <c r="CL26" s="10">
        <v>0.24093088507652283</v>
      </c>
      <c r="CM26" s="11">
        <v>6.2607259750366211</v>
      </c>
      <c r="CN26" s="11">
        <v>-0.55441176891326904</v>
      </c>
      <c r="CO26" s="11">
        <v>0.27819550037384033</v>
      </c>
      <c r="CP26" s="11">
        <v>-0.12643678486347198</v>
      </c>
      <c r="CQ26" s="11">
        <v>7.2708158493041992</v>
      </c>
      <c r="CR26">
        <v>25.413174598222444</v>
      </c>
      <c r="CS26">
        <v>0.63073739492921488</v>
      </c>
      <c r="CT26">
        <v>1.7421602787456445</v>
      </c>
      <c r="CU26" s="10">
        <v>0.40291212797164916</v>
      </c>
      <c r="CV26" s="11">
        <v>2.6257777541875837</v>
      </c>
      <c r="CW26">
        <v>0.06</v>
      </c>
      <c r="CX26">
        <v>14.440098988444548</v>
      </c>
      <c r="CY26">
        <v>2911704416.5449324</v>
      </c>
      <c r="CZ26">
        <v>0.40291212797164916</v>
      </c>
      <c r="DA26">
        <v>3.6569434606784297</v>
      </c>
      <c r="DB26">
        <v>11497388584.782722</v>
      </c>
      <c r="DC26">
        <v>0.38276652157306668</v>
      </c>
      <c r="DD26">
        <v>1.2388483604905505</v>
      </c>
      <c r="DE26">
        <v>33939020578.233803</v>
      </c>
      <c r="DF26">
        <v>0.35456267261505126</v>
      </c>
      <c r="DG26">
        <v>0.4665090429321111</v>
      </c>
      <c r="DH26">
        <v>90127513361.233292</v>
      </c>
      <c r="DI26">
        <v>0.32232970237731934</v>
      </c>
      <c r="DJ26">
        <v>7.5458405943762186E-2</v>
      </c>
      <c r="DK26">
        <v>557198359468.86572</v>
      </c>
      <c r="DL26">
        <v>0.28203848958015437</v>
      </c>
      <c r="DM26">
        <v>2200000000</v>
      </c>
      <c r="DN26">
        <v>0.40291212797164916</v>
      </c>
      <c r="DO26">
        <v>42045300000</v>
      </c>
      <c r="DP26">
        <v>0</v>
      </c>
      <c r="DQ26">
        <v>3563</v>
      </c>
      <c r="DR26">
        <v>-1.0558911939941935</v>
      </c>
      <c r="DS26">
        <v>-3.4227236243886807</v>
      </c>
      <c r="DT26" s="12">
        <v>-2.3333333333333355E-2</v>
      </c>
      <c r="DU26">
        <v>0.34166666666666673</v>
      </c>
      <c r="DV26">
        <v>0.31833333333333336</v>
      </c>
      <c r="DW26">
        <v>-2.1496</v>
      </c>
      <c r="DX26">
        <v>0.35179519650655094</v>
      </c>
      <c r="DY26">
        <v>-2.0257005613973798</v>
      </c>
      <c r="DZ26">
        <v>801</v>
      </c>
      <c r="EA26">
        <v>-2.0216719606773599</v>
      </c>
      <c r="EB26">
        <v>2</v>
      </c>
      <c r="EC26">
        <v>2.4247211093990754E-2</v>
      </c>
      <c r="ED26">
        <v>0.14114021571648691</v>
      </c>
      <c r="EE26" s="13">
        <v>1.103</v>
      </c>
      <c r="EF26">
        <v>1.0936999999999999</v>
      </c>
      <c r="EG26">
        <v>18.171795196506551</v>
      </c>
      <c r="EH26" t="s">
        <v>645</v>
      </c>
      <c r="EI26">
        <v>0</v>
      </c>
      <c r="EJ26">
        <v>1</v>
      </c>
      <c r="EK26" s="9">
        <v>45470</v>
      </c>
      <c r="EL26" s="14">
        <v>0</v>
      </c>
      <c r="EM26" s="14">
        <v>0.46</v>
      </c>
      <c r="EN26" s="14">
        <v>-0.92</v>
      </c>
      <c r="EO26" s="14">
        <v>0.7</v>
      </c>
      <c r="EP26" s="14">
        <v>-0.93</v>
      </c>
    </row>
    <row r="27" spans="1:146" ht="96" x14ac:dyDescent="0.25">
      <c r="A27" s="6"/>
      <c r="B27" s="6"/>
      <c r="C27" s="6" t="str">
        <f>""&amp;CHAR(10)&amp;Basic_Fundamental_Information_Constructure(F27)&amp;CHAR(10)&amp;Basic_Fundamental_Information_Concatenate("")</f>
        <v xml:space="preserve">
市值193.54385亿, 利润9.73亿; PE16.27; 平均PE17.84; 平均PEG.05, PB.921; ROIC0%; ROE6.3533%; 股利率2.4272%; 毛利0%; 净利37.2133%; 上一年度营收增1684.24%, 利润增-17.68%; 当季营收增-94.84%, 利润增-6.87%; 过往5年营收增353.22%, 利润增18.41%
Income profile:
</v>
      </c>
      <c r="D27" t="s">
        <v>77</v>
      </c>
      <c r="E27" t="s">
        <v>23</v>
      </c>
      <c r="F27">
        <v>4.12</v>
      </c>
      <c r="G27">
        <v>0.49</v>
      </c>
      <c r="H27" t="s">
        <v>1299</v>
      </c>
      <c r="I27">
        <v>19354385000</v>
      </c>
      <c r="J27">
        <v>16.27</v>
      </c>
      <c r="K27">
        <v>0.92100000000000004</v>
      </c>
      <c r="L27" t="s">
        <v>50</v>
      </c>
      <c r="M27" t="s">
        <v>1300</v>
      </c>
      <c r="N27" t="s">
        <v>1301</v>
      </c>
      <c r="O27" t="s">
        <v>1302</v>
      </c>
      <c r="P27">
        <v>-19.57</v>
      </c>
      <c r="Q27" t="s">
        <v>1303</v>
      </c>
      <c r="R27">
        <v>279381440</v>
      </c>
      <c r="S27" s="5">
        <v>-0.2329</v>
      </c>
      <c r="T27" t="s">
        <v>1304</v>
      </c>
      <c r="U27">
        <v>4697666300</v>
      </c>
      <c r="V27">
        <v>4697666300</v>
      </c>
      <c r="W27">
        <v>3.89</v>
      </c>
      <c r="X27">
        <v>0.01</v>
      </c>
      <c r="Y27">
        <v>33.35</v>
      </c>
      <c r="Z27" t="s">
        <v>44</v>
      </c>
      <c r="AA27" t="s">
        <v>44</v>
      </c>
      <c r="AB27" t="s">
        <v>44</v>
      </c>
      <c r="AC27" t="s">
        <v>44</v>
      </c>
      <c r="AD27" t="s">
        <v>44</v>
      </c>
      <c r="AE27">
        <v>0</v>
      </c>
      <c r="AF27" t="s">
        <v>1305</v>
      </c>
      <c r="AG27" t="s">
        <v>761</v>
      </c>
      <c r="AH27" t="s">
        <v>1306</v>
      </c>
      <c r="AI27" t="s">
        <v>1307</v>
      </c>
      <c r="AJ27" t="s">
        <v>108</v>
      </c>
      <c r="AK27" t="s">
        <v>44</v>
      </c>
      <c r="AL27" t="s">
        <v>108</v>
      </c>
      <c r="AM27" t="s">
        <v>1308</v>
      </c>
      <c r="AN27" t="s">
        <v>1309</v>
      </c>
      <c r="AO27" t="s">
        <v>44</v>
      </c>
      <c r="AP27" t="s">
        <v>44</v>
      </c>
      <c r="AQ27" t="s">
        <v>44</v>
      </c>
      <c r="AR27" t="s">
        <v>44</v>
      </c>
      <c r="AS27" t="s">
        <v>44</v>
      </c>
      <c r="AT27" t="s">
        <v>44</v>
      </c>
      <c r="AU27" t="s">
        <v>1310</v>
      </c>
      <c r="AV27" t="s">
        <v>1311</v>
      </c>
      <c r="AW27" t="s">
        <v>1312</v>
      </c>
      <c r="AX27" t="s">
        <v>735</v>
      </c>
      <c r="AY27" t="s">
        <v>477</v>
      </c>
      <c r="AZ27" t="s">
        <v>318</v>
      </c>
      <c r="BA27" t="s">
        <v>148</v>
      </c>
      <c r="BB27" t="s">
        <v>319</v>
      </c>
      <c r="BC27" t="s">
        <v>1313</v>
      </c>
      <c r="BD27" t="s">
        <v>262</v>
      </c>
      <c r="BE27" t="s">
        <v>224</v>
      </c>
      <c r="BF27" t="s">
        <v>149</v>
      </c>
      <c r="BG27" t="s">
        <v>321</v>
      </c>
      <c r="BH27" t="s">
        <v>783</v>
      </c>
      <c r="BI27" t="s">
        <v>1314</v>
      </c>
      <c r="BJ27" t="s">
        <v>735</v>
      </c>
      <c r="BK27" t="s">
        <v>1315</v>
      </c>
      <c r="BL27" t="s">
        <v>1316</v>
      </c>
      <c r="BM27" t="s">
        <v>1313</v>
      </c>
      <c r="BN27" t="s">
        <v>44</v>
      </c>
      <c r="BO27" t="s">
        <v>44</v>
      </c>
      <c r="BP27" t="s">
        <v>44</v>
      </c>
      <c r="BQ27">
        <v>4.6900000000000004</v>
      </c>
      <c r="BR27">
        <v>5.98</v>
      </c>
      <c r="BS27">
        <v>8.39</v>
      </c>
      <c r="BT27" t="s">
        <v>619</v>
      </c>
      <c r="BU27" t="s">
        <v>50</v>
      </c>
      <c r="BV27" t="s">
        <v>44</v>
      </c>
      <c r="BW27" t="s">
        <v>44</v>
      </c>
      <c r="BX27" t="s">
        <v>44</v>
      </c>
      <c r="BY27">
        <v>35.369999999999997</v>
      </c>
      <c r="BZ27">
        <v>36.43</v>
      </c>
      <c r="CA27">
        <v>39.840000000000003</v>
      </c>
      <c r="CB27">
        <v>-2.14</v>
      </c>
      <c r="CC27">
        <v>-9.65</v>
      </c>
      <c r="CD27" t="s">
        <v>1317</v>
      </c>
      <c r="CE27" t="s">
        <v>697</v>
      </c>
      <c r="CF27" s="10">
        <v>-0.94844785922300023</v>
      </c>
      <c r="CG27" s="11">
        <v>-6.8728533333333328E-2</v>
      </c>
      <c r="CH27" s="10">
        <v>16.842355728149414</v>
      </c>
      <c r="CI27" s="10">
        <v>-9.3023255467414856E-2</v>
      </c>
      <c r="CJ27" s="10">
        <v>3.7533551454544067E-2</v>
      </c>
      <c r="CK27" s="10">
        <v>3.8675721734762192E-2</v>
      </c>
      <c r="CL27" s="10">
        <v>0.83532088994979858</v>
      </c>
      <c r="CM27" s="11">
        <v>-0.17681895196437836</v>
      </c>
      <c r="CN27" s="11">
        <v>-0.16994382441043854</v>
      </c>
      <c r="CO27" s="11">
        <v>0.12302839010953903</v>
      </c>
      <c r="CP27" s="11">
        <v>0.144404336810112</v>
      </c>
      <c r="CQ27" s="11">
        <v>1</v>
      </c>
      <c r="CR27">
        <v>17.84088339222615</v>
      </c>
      <c r="CS27">
        <v>5.0509660145478724E-2</v>
      </c>
      <c r="CT27">
        <v>2.4271844660194173</v>
      </c>
      <c r="CU27" s="10">
        <v>3.5321725271642208</v>
      </c>
      <c r="CV27" s="11">
        <v>0.18413399010896683</v>
      </c>
      <c r="CW27">
        <v>0.06</v>
      </c>
      <c r="CX27">
        <v>13.524467271706699</v>
      </c>
      <c r="CY27">
        <v>4160192329.179987</v>
      </c>
      <c r="CZ27">
        <v>3.5321725271642208</v>
      </c>
      <c r="DA27">
        <v>0.63987623795883719</v>
      </c>
      <c r="DB27">
        <v>87930105327.054596</v>
      </c>
      <c r="DC27">
        <v>3.3555639008060094</v>
      </c>
      <c r="DD27">
        <v>1.2661922979021627E-2</v>
      </c>
      <c r="DE27">
        <v>4443589263117.4014</v>
      </c>
      <c r="DF27">
        <v>3.1083118239045144</v>
      </c>
      <c r="DG27">
        <v>1.1146129585196394E-4</v>
      </c>
      <c r="DH27">
        <v>504788541797745.75</v>
      </c>
      <c r="DI27">
        <v>2.825738021731377</v>
      </c>
      <c r="DJ27">
        <v>1.9822900989134633E-9</v>
      </c>
      <c r="DK27">
        <v>2.8383527229863956E+19</v>
      </c>
      <c r="DL27">
        <v>2.4725207690149542</v>
      </c>
      <c r="DM27">
        <v>973000000</v>
      </c>
      <c r="DN27">
        <v>3.5321725271642208</v>
      </c>
      <c r="DO27">
        <v>56264385000</v>
      </c>
      <c r="DP27">
        <v>0</v>
      </c>
      <c r="DQ27">
        <v>3565</v>
      </c>
      <c r="DR27">
        <v>-4.4806203863872209</v>
      </c>
      <c r="DS27">
        <v>-0.25286252344230015</v>
      </c>
      <c r="DT27" s="12">
        <v>5.9999999999999977E-2</v>
      </c>
      <c r="DU27">
        <v>-0.11666666666666668</v>
      </c>
      <c r="DV27">
        <v>-5.6666666666666705E-2</v>
      </c>
      <c r="DW27">
        <v>-2.0964999999999998</v>
      </c>
      <c r="DX27">
        <v>0.39565031309904142</v>
      </c>
      <c r="DY27">
        <v>-2.0150202552140577</v>
      </c>
      <c r="DZ27">
        <v>2081</v>
      </c>
      <c r="EA27">
        <v>-2.0089033958989004</v>
      </c>
      <c r="EB27">
        <v>2</v>
      </c>
      <c r="EC27">
        <v>2.074159673708624E-2</v>
      </c>
      <c r="ED27">
        <v>0.13325765604083031</v>
      </c>
      <c r="EE27" s="13">
        <v>-1.0317000000000001</v>
      </c>
      <c r="EF27">
        <v>-1.0317000000000001</v>
      </c>
      <c r="EG27">
        <v>24.155650313099041</v>
      </c>
      <c r="EH27" t="s">
        <v>670</v>
      </c>
      <c r="EI27">
        <v>0</v>
      </c>
      <c r="EJ27">
        <v>0</v>
      </c>
      <c r="EK27" s="9">
        <v>45470</v>
      </c>
      <c r="EL27" s="14">
        <v>-0.38</v>
      </c>
      <c r="EM27" s="14">
        <v>-1.9</v>
      </c>
      <c r="EN27" s="14">
        <v>0.78</v>
      </c>
      <c r="EO27" s="14">
        <v>0.77</v>
      </c>
      <c r="EP27" s="14">
        <v>0</v>
      </c>
    </row>
    <row r="28" spans="1:146" ht="96" x14ac:dyDescent="0.25">
      <c r="A28" s="6"/>
      <c r="B28" s="6"/>
      <c r="C28" s="6" t="str">
        <f>""&amp;CHAR(10)&amp;Basic_Fundamental_Information_Constructure(F28)&amp;CHAR(10)&amp;Basic_Fundamental_Information_Concatenate("")</f>
        <v xml:space="preserve">
市值383.27442亿, 利润287.50亿; PE39.17; 平均PE6; 平均PEG.04, PB1.03; ROIC0%; ROE5.2967%; 股利率.5455%; 毛利0%; 净利16.26%; 上一年度营收增696.71%, 利润增4772.88%; 当季营收增-86.49%, 利润增-95.97%; 过往5年营收增147.9%, 利润增970.64%
Income profile:
</v>
      </c>
      <c r="D28" t="s">
        <v>151</v>
      </c>
      <c r="E28" t="s">
        <v>152</v>
      </c>
      <c r="F28">
        <v>5.5</v>
      </c>
      <c r="G28">
        <v>0</v>
      </c>
      <c r="H28" t="s">
        <v>1318</v>
      </c>
      <c r="I28">
        <v>38327442000</v>
      </c>
      <c r="J28">
        <v>39.17</v>
      </c>
      <c r="K28">
        <v>1.03</v>
      </c>
      <c r="L28" t="s">
        <v>50</v>
      </c>
      <c r="M28" t="s">
        <v>1319</v>
      </c>
      <c r="N28" t="s">
        <v>1320</v>
      </c>
      <c r="O28" t="s">
        <v>1321</v>
      </c>
      <c r="P28">
        <v>-28.88</v>
      </c>
      <c r="Q28" t="s">
        <v>1322</v>
      </c>
      <c r="R28">
        <v>331384470</v>
      </c>
      <c r="S28" s="5">
        <v>-0.71250000000000002</v>
      </c>
      <c r="T28" t="s">
        <v>1323</v>
      </c>
      <c r="U28">
        <v>3972809800</v>
      </c>
      <c r="V28">
        <v>6968625800</v>
      </c>
      <c r="W28">
        <v>4.7699999999999996</v>
      </c>
      <c r="X28">
        <v>0.01</v>
      </c>
      <c r="Y28">
        <v>13.73</v>
      </c>
      <c r="Z28" t="s">
        <v>44</v>
      </c>
      <c r="AA28" t="s">
        <v>44</v>
      </c>
      <c r="AB28" t="s">
        <v>44</v>
      </c>
      <c r="AC28" t="s">
        <v>44</v>
      </c>
      <c r="AD28" t="s">
        <v>44</v>
      </c>
      <c r="AE28">
        <v>0</v>
      </c>
      <c r="AF28" t="s">
        <v>1324</v>
      </c>
      <c r="AG28" t="s">
        <v>1325</v>
      </c>
      <c r="AH28" t="s">
        <v>1326</v>
      </c>
      <c r="AI28" t="s">
        <v>1327</v>
      </c>
      <c r="AJ28" t="s">
        <v>108</v>
      </c>
      <c r="AK28" t="s">
        <v>44</v>
      </c>
      <c r="AL28" t="s">
        <v>108</v>
      </c>
      <c r="AM28" t="s">
        <v>166</v>
      </c>
      <c r="AN28" t="s">
        <v>1328</v>
      </c>
      <c r="AO28" t="s">
        <v>1329</v>
      </c>
      <c r="AP28" t="s">
        <v>44</v>
      </c>
      <c r="AQ28" t="s">
        <v>44</v>
      </c>
      <c r="AR28" t="s">
        <v>44</v>
      </c>
      <c r="AS28" t="s">
        <v>44</v>
      </c>
      <c r="AT28" t="s">
        <v>1330</v>
      </c>
      <c r="AU28" t="s">
        <v>785</v>
      </c>
      <c r="AV28" t="s">
        <v>1331</v>
      </c>
      <c r="AW28" t="s">
        <v>1332</v>
      </c>
      <c r="AX28" t="s">
        <v>737</v>
      </c>
      <c r="AY28" t="s">
        <v>478</v>
      </c>
      <c r="AZ28" t="s">
        <v>323</v>
      </c>
      <c r="BA28" t="s">
        <v>324</v>
      </c>
      <c r="BB28" t="s">
        <v>325</v>
      </c>
      <c r="BC28" t="s">
        <v>719</v>
      </c>
      <c r="BD28" t="s">
        <v>479</v>
      </c>
      <c r="BE28" t="s">
        <v>150</v>
      </c>
      <c r="BF28" t="s">
        <v>326</v>
      </c>
      <c r="BG28" t="s">
        <v>327</v>
      </c>
      <c r="BH28" t="s">
        <v>1333</v>
      </c>
      <c r="BI28" t="s">
        <v>1334</v>
      </c>
      <c r="BJ28" t="s">
        <v>737</v>
      </c>
      <c r="BK28" t="s">
        <v>1335</v>
      </c>
      <c r="BL28" t="s">
        <v>1336</v>
      </c>
      <c r="BM28" t="s">
        <v>719</v>
      </c>
      <c r="BN28" t="s">
        <v>44</v>
      </c>
      <c r="BO28" t="s">
        <v>44</v>
      </c>
      <c r="BP28" t="s">
        <v>44</v>
      </c>
      <c r="BQ28">
        <v>5.03</v>
      </c>
      <c r="BR28">
        <v>1.61</v>
      </c>
      <c r="BS28">
        <v>9.25</v>
      </c>
      <c r="BT28" t="s">
        <v>656</v>
      </c>
      <c r="BU28" t="s">
        <v>50</v>
      </c>
      <c r="BV28" t="s">
        <v>44</v>
      </c>
      <c r="BW28" t="s">
        <v>44</v>
      </c>
      <c r="BX28" t="s">
        <v>44</v>
      </c>
      <c r="BY28">
        <v>16.149999999999999</v>
      </c>
      <c r="BZ28">
        <v>7.54</v>
      </c>
      <c r="CA28">
        <v>25.09</v>
      </c>
      <c r="CB28">
        <v>-3</v>
      </c>
      <c r="CC28">
        <v>-12</v>
      </c>
      <c r="CD28" t="s">
        <v>1337</v>
      </c>
      <c r="CE28" t="s">
        <v>718</v>
      </c>
      <c r="CF28" s="10">
        <v>-0.86491088055333865</v>
      </c>
      <c r="CG28" s="11">
        <v>-0.95968068256478889</v>
      </c>
      <c r="CH28" s="10">
        <v>6.9670782089233398</v>
      </c>
      <c r="CI28" s="10">
        <v>-0.29087457060813904</v>
      </c>
      <c r="CJ28" s="10">
        <v>0.27028593420982361</v>
      </c>
      <c r="CK28" s="10">
        <v>6.6227249801158905E-2</v>
      </c>
      <c r="CL28" s="10">
        <v>0.38206401467323303</v>
      </c>
      <c r="CM28" s="11">
        <v>47.728813171386719</v>
      </c>
      <c r="CN28" s="11">
        <v>-0.81562495231628418</v>
      </c>
      <c r="CO28" s="11">
        <v>0.26732677221298218</v>
      </c>
      <c r="CP28" s="11">
        <v>0.12272121012210846</v>
      </c>
      <c r="CQ28" s="11">
        <v>1.2289395332336426</v>
      </c>
      <c r="CR28">
        <v>6.0006954570362439</v>
      </c>
      <c r="CS28">
        <v>4.0573856002682755E-2</v>
      </c>
      <c r="CT28">
        <v>0.54545454545454541</v>
      </c>
      <c r="CU28" s="10">
        <v>1.4789561673998832</v>
      </c>
      <c r="CV28" s="11">
        <v>9.7064351469278343</v>
      </c>
      <c r="CW28">
        <v>0.06</v>
      </c>
      <c r="CX28">
        <v>2.2158783652829288</v>
      </c>
      <c r="CY28">
        <v>67235839445.987396</v>
      </c>
      <c r="CZ28">
        <v>1.4789561673998832</v>
      </c>
      <c r="DA28">
        <v>0.27136742095495109</v>
      </c>
      <c r="DB28">
        <v>549021107529.0899</v>
      </c>
      <c r="DC28">
        <v>1.405008359029889</v>
      </c>
      <c r="DD28">
        <v>2.6939987292469773E-2</v>
      </c>
      <c r="DE28">
        <v>5530308547756.6084</v>
      </c>
      <c r="DF28">
        <v>1.3014814273118973</v>
      </c>
      <c r="DG28">
        <v>1.9425642735638657E-3</v>
      </c>
      <c r="DH28">
        <v>76695759325721.875</v>
      </c>
      <c r="DI28">
        <v>1.1831649339199066</v>
      </c>
      <c r="DJ28">
        <v>5.3541694140104402E-6</v>
      </c>
      <c r="DK28">
        <v>2.7826247262580452E+16</v>
      </c>
      <c r="DL28">
        <v>1.0352693171799181</v>
      </c>
      <c r="DM28">
        <v>28750000000</v>
      </c>
      <c r="DN28">
        <v>1.4789561673998832</v>
      </c>
      <c r="DO28">
        <v>148986442000</v>
      </c>
      <c r="DP28">
        <v>0</v>
      </c>
      <c r="DQ28">
        <v>3568</v>
      </c>
      <c r="DR28">
        <v>-2.3438670479532218</v>
      </c>
      <c r="DS28">
        <v>-10.666115829492623</v>
      </c>
      <c r="DT28" s="12">
        <v>-5.6666666666666719E-2</v>
      </c>
      <c r="DU28">
        <v>-0.10666666666666669</v>
      </c>
      <c r="DV28">
        <v>-0.16333333333333341</v>
      </c>
      <c r="DW28">
        <v>-8.25</v>
      </c>
      <c r="DX28">
        <v>0.37167290748898507</v>
      </c>
      <c r="DY28">
        <v>-8.0354182268722472</v>
      </c>
      <c r="DZ28">
        <v>2530</v>
      </c>
      <c r="EA28">
        <v>-8.0178823924325631</v>
      </c>
      <c r="EB28">
        <v>8</v>
      </c>
      <c r="EC28">
        <v>9.2298685344820788E-3</v>
      </c>
      <c r="ED28">
        <v>6.5149143178271959E-2</v>
      </c>
      <c r="EE28" s="13">
        <v>1.5100000000000001E-2</v>
      </c>
      <c r="EF28">
        <v>7.7000000000000002E-3</v>
      </c>
      <c r="EG28">
        <v>23.141672907488985</v>
      </c>
      <c r="EH28" t="s">
        <v>608</v>
      </c>
      <c r="EI28">
        <v>0</v>
      </c>
      <c r="EJ28">
        <v>0</v>
      </c>
      <c r="EK28" s="9">
        <v>45470</v>
      </c>
      <c r="EL28" s="14">
        <v>0.37</v>
      </c>
      <c r="EM28" s="14">
        <v>-2.75</v>
      </c>
      <c r="EN28" s="14">
        <v>0.94</v>
      </c>
      <c r="EO28" s="14">
        <v>1.31</v>
      </c>
      <c r="EP28" s="14">
        <v>-0.74</v>
      </c>
    </row>
    <row r="29" spans="1:146" ht="96" x14ac:dyDescent="0.25">
      <c r="A29" s="6"/>
      <c r="B29" s="6"/>
      <c r="C29" s="6" t="str">
        <f>""&amp;CHAR(10)&amp;Basic_Fundamental_Information_Constructure(F29)&amp;CHAR(10)&amp;Basic_Fundamental_Information_Concatenate("")</f>
        <v xml:space="preserve">
市值637.2484亿, 利润3.40亿; PE28.81; 平均PE25.3; 平均PEG4.35, PB.848; ROIC0%; ROE5.6167%; 股利率2%; 毛利0%; 净利18.0833%; 上一年度营收增-59.44%, 利润增-88.71%; 当季营收增101.28%, 利润增844.14%; 过往5年营收增5.82%, 利润增14.85%
Income profile:
</v>
      </c>
      <c r="D29" t="s">
        <v>71</v>
      </c>
      <c r="E29" t="s">
        <v>613</v>
      </c>
      <c r="F29">
        <v>7.5</v>
      </c>
      <c r="G29">
        <v>0.27</v>
      </c>
      <c r="H29" t="s">
        <v>1338</v>
      </c>
      <c r="I29">
        <v>63724840000</v>
      </c>
      <c r="J29">
        <v>28.81</v>
      </c>
      <c r="K29">
        <v>0.84799999999999998</v>
      </c>
      <c r="L29" t="s">
        <v>50</v>
      </c>
      <c r="M29" t="s">
        <v>1339</v>
      </c>
      <c r="N29" t="s">
        <v>1340</v>
      </c>
      <c r="O29" t="s">
        <v>1341</v>
      </c>
      <c r="P29">
        <v>-18.63</v>
      </c>
      <c r="Q29" t="s">
        <v>1342</v>
      </c>
      <c r="R29">
        <v>886228870</v>
      </c>
      <c r="S29" s="5">
        <v>-0.37940000000000002</v>
      </c>
      <c r="T29" t="s">
        <v>1343</v>
      </c>
      <c r="U29">
        <v>7469482900</v>
      </c>
      <c r="V29">
        <v>8496645300</v>
      </c>
      <c r="W29">
        <v>4.41</v>
      </c>
      <c r="X29">
        <v>0.01</v>
      </c>
      <c r="Y29">
        <v>24.56</v>
      </c>
      <c r="Z29" t="s">
        <v>44</v>
      </c>
      <c r="AA29" t="s">
        <v>44</v>
      </c>
      <c r="AB29" t="s">
        <v>44</v>
      </c>
      <c r="AC29" t="s">
        <v>44</v>
      </c>
      <c r="AD29" t="s">
        <v>44</v>
      </c>
      <c r="AE29">
        <v>0</v>
      </c>
      <c r="AF29" t="s">
        <v>1344</v>
      </c>
      <c r="AG29" t="s">
        <v>616</v>
      </c>
      <c r="AH29" t="s">
        <v>1345</v>
      </c>
      <c r="AI29" t="s">
        <v>1346</v>
      </c>
      <c r="AJ29" t="s">
        <v>108</v>
      </c>
      <c r="AK29" t="s">
        <v>44</v>
      </c>
      <c r="AL29" t="s">
        <v>108</v>
      </c>
      <c r="AM29" t="s">
        <v>1347</v>
      </c>
      <c r="AN29" t="s">
        <v>741</v>
      </c>
      <c r="AO29" t="s">
        <v>1348</v>
      </c>
      <c r="AP29" t="s">
        <v>44</v>
      </c>
      <c r="AQ29" t="s">
        <v>44</v>
      </c>
      <c r="AR29" t="s">
        <v>44</v>
      </c>
      <c r="AS29" t="s">
        <v>44</v>
      </c>
      <c r="AT29" t="s">
        <v>44</v>
      </c>
      <c r="AU29" t="s">
        <v>1349</v>
      </c>
      <c r="AV29" t="s">
        <v>1350</v>
      </c>
      <c r="AW29" t="s">
        <v>1351</v>
      </c>
      <c r="AX29" t="s">
        <v>617</v>
      </c>
      <c r="AY29" t="s">
        <v>480</v>
      </c>
      <c r="AZ29" t="s">
        <v>328</v>
      </c>
      <c r="BA29" t="s">
        <v>153</v>
      </c>
      <c r="BB29" t="s">
        <v>330</v>
      </c>
      <c r="BC29" t="s">
        <v>739</v>
      </c>
      <c r="BD29" t="s">
        <v>481</v>
      </c>
      <c r="BE29" t="s">
        <v>329</v>
      </c>
      <c r="BF29" t="s">
        <v>154</v>
      </c>
      <c r="BG29" t="s">
        <v>331</v>
      </c>
      <c r="BH29" t="s">
        <v>1352</v>
      </c>
      <c r="BI29" t="s">
        <v>1353</v>
      </c>
      <c r="BJ29" t="s">
        <v>617</v>
      </c>
      <c r="BK29" t="s">
        <v>1354</v>
      </c>
      <c r="BL29" t="s">
        <v>1355</v>
      </c>
      <c r="BM29" t="s">
        <v>739</v>
      </c>
      <c r="BN29" t="s">
        <v>44</v>
      </c>
      <c r="BO29" t="s">
        <v>44</v>
      </c>
      <c r="BP29" t="s">
        <v>44</v>
      </c>
      <c r="BQ29">
        <v>3.67</v>
      </c>
      <c r="BR29">
        <v>4.16</v>
      </c>
      <c r="BS29">
        <v>9.02</v>
      </c>
      <c r="BT29" t="s">
        <v>628</v>
      </c>
      <c r="BU29" t="s">
        <v>50</v>
      </c>
      <c r="BV29" t="s">
        <v>44</v>
      </c>
      <c r="BW29" t="s">
        <v>44</v>
      </c>
      <c r="BX29" t="s">
        <v>44</v>
      </c>
      <c r="BY29">
        <v>16.13</v>
      </c>
      <c r="BZ29">
        <v>16.07</v>
      </c>
      <c r="CA29">
        <v>22.05</v>
      </c>
      <c r="CB29">
        <v>-1.32</v>
      </c>
      <c r="CC29">
        <v>-7.41</v>
      </c>
      <c r="CD29" t="s">
        <v>633</v>
      </c>
      <c r="CE29" t="s">
        <v>1356</v>
      </c>
      <c r="CF29" s="10">
        <v>1.0128205128205126</v>
      </c>
      <c r="CG29" s="11">
        <v>8.4414458727246764</v>
      </c>
      <c r="CH29" s="10">
        <v>-0.59437233209609985</v>
      </c>
      <c r="CI29" s="10">
        <v>-0.23147307336330414</v>
      </c>
      <c r="CJ29" s="10">
        <v>5.3427889943122864E-2</v>
      </c>
      <c r="CK29" s="10">
        <v>0.21425572037696838</v>
      </c>
      <c r="CL29" s="10">
        <v>0.84917014837265015</v>
      </c>
      <c r="CM29" s="11">
        <v>-0.88708072900772095</v>
      </c>
      <c r="CN29" s="11">
        <v>-0.43939673900604248</v>
      </c>
      <c r="CO29" s="11">
        <v>0.97245675325393677</v>
      </c>
      <c r="CP29" s="11">
        <v>0.11827515065670013</v>
      </c>
      <c r="CQ29" s="11">
        <v>0.97806656360626221</v>
      </c>
      <c r="CR29">
        <v>25.302696049235657</v>
      </c>
      <c r="CS29">
        <v>4.3474174827118031</v>
      </c>
      <c r="CT29">
        <v>2</v>
      </c>
      <c r="CU29" s="10">
        <v>5.820167064666748E-2</v>
      </c>
      <c r="CV29" s="11">
        <v>0.14846419990062715</v>
      </c>
      <c r="CW29">
        <v>0.06</v>
      </c>
      <c r="CX29">
        <v>850.05049516501617</v>
      </c>
      <c r="CY29">
        <v>339423177.37723297</v>
      </c>
      <c r="CZ29">
        <v>5.820167064666748E-2</v>
      </c>
      <c r="DA29">
        <v>285.39736378748648</v>
      </c>
      <c r="DB29">
        <v>1010965329.7808448</v>
      </c>
      <c r="DC29">
        <v>5.5291587114334101E-2</v>
      </c>
      <c r="DD29">
        <v>145.59911862269627</v>
      </c>
      <c r="DE29">
        <v>1981652380.3807139</v>
      </c>
      <c r="DF29">
        <v>5.1217470169067386E-2</v>
      </c>
      <c r="DG29">
        <v>90.968741809399404</v>
      </c>
      <c r="DH29">
        <v>3171714088.3901701</v>
      </c>
      <c r="DI29">
        <v>4.656133651733399E-2</v>
      </c>
      <c r="DJ29">
        <v>51.152336853785428</v>
      </c>
      <c r="DK29">
        <v>5640540740.5868721</v>
      </c>
      <c r="DL29">
        <v>4.0741169452667231E-2</v>
      </c>
      <c r="DM29">
        <v>340000000</v>
      </c>
      <c r="DN29">
        <v>5.820167064666748E-2</v>
      </c>
      <c r="DO29">
        <v>288526840000</v>
      </c>
      <c r="DP29">
        <v>0</v>
      </c>
      <c r="DQ29">
        <v>3583</v>
      </c>
      <c r="DR29">
        <v>0.95461884217384507</v>
      </c>
      <c r="DS29">
        <v>8.29298167282405</v>
      </c>
      <c r="DT29" s="12">
        <v>-0.44</v>
      </c>
      <c r="DU29">
        <v>-1.666666666666668E-2</v>
      </c>
      <c r="DV29">
        <v>-0.45666666666666667</v>
      </c>
      <c r="DW29">
        <v>-2.0741000000000001</v>
      </c>
      <c r="DX29">
        <v>0.40323962516733602</v>
      </c>
      <c r="DY29">
        <v>-2.0106140562248997</v>
      </c>
      <c r="DZ29">
        <v>1535</v>
      </c>
      <c r="EA29">
        <v>-2.0074256851279877</v>
      </c>
      <c r="EB29">
        <v>2</v>
      </c>
      <c r="EC29">
        <v>1.2593205461925073E-2</v>
      </c>
      <c r="ED29">
        <v>8.7917051215495604E-2</v>
      </c>
      <c r="EE29" s="13">
        <v>7.7609999999999998E-2</v>
      </c>
      <c r="EF29">
        <v>9.8309999999999995E-2</v>
      </c>
      <c r="EG29">
        <v>26.143239625167336</v>
      </c>
      <c r="EH29">
        <v>-1</v>
      </c>
      <c r="EI29">
        <v>0</v>
      </c>
      <c r="EJ29">
        <v>0</v>
      </c>
      <c r="EK29" s="9">
        <v>45470</v>
      </c>
      <c r="EL29" s="14">
        <v>-0.12</v>
      </c>
      <c r="EM29" s="14">
        <v>-2.44</v>
      </c>
      <c r="EN29" s="14">
        <v>-1.19</v>
      </c>
      <c r="EO29" s="14">
        <v>-0.96</v>
      </c>
      <c r="EP29" s="14">
        <v>-2.0699999999999998</v>
      </c>
    </row>
    <row r="30" spans="1:146" ht="96" x14ac:dyDescent="0.25">
      <c r="A30" s="6"/>
      <c r="B30" s="6"/>
      <c r="C30" s="6" t="str">
        <f>""&amp;CHAR(10)&amp;Basic_Fundamental_Information_Constructure(F30)&amp;CHAR(10)&amp;Basic_Fundamental_Information_Concatenate("")</f>
        <v xml:space="preserve">
市值1189.68487亿, 利润19.25亿; PE13.74; 平均PE16.66; 平均PEG6.97, PB1.09; ROIC0%; ROE8.2933%; 股利率1.8421%; 毛利0%; 净利41.9633%; 上一年度营收增-69.59%, 利润增-76.15%; 当季营收增194.86%, 利润增318.07%; 过往5年营收增2.39%, 利润增2.15%
Income profile:
</v>
      </c>
      <c r="D30" t="s">
        <v>87</v>
      </c>
      <c r="E30" t="s">
        <v>21</v>
      </c>
      <c r="F30">
        <v>13.68</v>
      </c>
      <c r="G30">
        <v>-0.65</v>
      </c>
      <c r="H30" t="s">
        <v>1357</v>
      </c>
      <c r="I30">
        <v>118968487000</v>
      </c>
      <c r="J30">
        <v>13.74</v>
      </c>
      <c r="K30">
        <v>1.0900000000000001</v>
      </c>
      <c r="L30" t="s">
        <v>50</v>
      </c>
      <c r="M30" t="s">
        <v>1358</v>
      </c>
      <c r="N30" t="s">
        <v>1359</v>
      </c>
      <c r="O30" t="s">
        <v>1360</v>
      </c>
      <c r="P30">
        <v>-9.66</v>
      </c>
      <c r="Q30" t="s">
        <v>1361</v>
      </c>
      <c r="R30">
        <v>2157223300</v>
      </c>
      <c r="S30" s="5">
        <v>-4.5400000000000003E-2</v>
      </c>
      <c r="T30" t="s">
        <v>1362</v>
      </c>
      <c r="U30">
        <v>7422005300</v>
      </c>
      <c r="V30">
        <v>8696526800</v>
      </c>
      <c r="W30">
        <v>5.17</v>
      </c>
      <c r="X30">
        <v>0.01</v>
      </c>
      <c r="Y30">
        <v>50.21</v>
      </c>
      <c r="Z30" t="s">
        <v>44</v>
      </c>
      <c r="AA30" t="s">
        <v>44</v>
      </c>
      <c r="AB30" t="s">
        <v>44</v>
      </c>
      <c r="AC30" t="s">
        <v>44</v>
      </c>
      <c r="AD30" t="s">
        <v>44</v>
      </c>
      <c r="AE30">
        <v>0</v>
      </c>
      <c r="AF30" t="s">
        <v>1363</v>
      </c>
      <c r="AG30" t="s">
        <v>1364</v>
      </c>
      <c r="AH30" t="s">
        <v>1365</v>
      </c>
      <c r="AI30" t="s">
        <v>1366</v>
      </c>
      <c r="AJ30" t="s">
        <v>108</v>
      </c>
      <c r="AK30" t="s">
        <v>44</v>
      </c>
      <c r="AL30" t="s">
        <v>108</v>
      </c>
      <c r="AM30" t="s">
        <v>1367</v>
      </c>
      <c r="AN30" t="s">
        <v>1368</v>
      </c>
      <c r="AO30" t="s">
        <v>1369</v>
      </c>
      <c r="AP30" t="s">
        <v>44</v>
      </c>
      <c r="AQ30" t="s">
        <v>44</v>
      </c>
      <c r="AR30" t="s">
        <v>44</v>
      </c>
      <c r="AS30" t="s">
        <v>44</v>
      </c>
      <c r="AT30" t="s">
        <v>1370</v>
      </c>
      <c r="AU30" t="s">
        <v>1116</v>
      </c>
      <c r="AV30" t="s">
        <v>1371</v>
      </c>
      <c r="AW30" t="s">
        <v>1372</v>
      </c>
      <c r="AX30" t="s">
        <v>744</v>
      </c>
      <c r="AY30" t="s">
        <v>482</v>
      </c>
      <c r="AZ30" t="s">
        <v>332</v>
      </c>
      <c r="BA30" t="s">
        <v>155</v>
      </c>
      <c r="BB30" t="s">
        <v>334</v>
      </c>
      <c r="BC30" t="s">
        <v>1373</v>
      </c>
      <c r="BD30" t="s">
        <v>483</v>
      </c>
      <c r="BE30" t="s">
        <v>333</v>
      </c>
      <c r="BF30" t="s">
        <v>156</v>
      </c>
      <c r="BG30" t="s">
        <v>335</v>
      </c>
      <c r="BH30" t="s">
        <v>1374</v>
      </c>
      <c r="BI30" t="s">
        <v>1375</v>
      </c>
      <c r="BJ30" t="s">
        <v>744</v>
      </c>
      <c r="BK30" t="s">
        <v>1376</v>
      </c>
      <c r="BL30" t="s">
        <v>1377</v>
      </c>
      <c r="BM30" t="s">
        <v>1373</v>
      </c>
      <c r="BN30" t="s">
        <v>44</v>
      </c>
      <c r="BO30" t="s">
        <v>44</v>
      </c>
      <c r="BP30" t="s">
        <v>44</v>
      </c>
      <c r="BQ30">
        <v>5.82</v>
      </c>
      <c r="BR30">
        <v>7.54</v>
      </c>
      <c r="BS30">
        <v>11.52</v>
      </c>
      <c r="BT30" t="s">
        <v>1378</v>
      </c>
      <c r="BU30" t="s">
        <v>50</v>
      </c>
      <c r="BV30" t="s">
        <v>44</v>
      </c>
      <c r="BW30" t="s">
        <v>44</v>
      </c>
      <c r="BX30" t="s">
        <v>44</v>
      </c>
      <c r="BY30">
        <v>44.24</v>
      </c>
      <c r="BZ30">
        <v>42.04</v>
      </c>
      <c r="CA30">
        <v>39.61</v>
      </c>
      <c r="CB30">
        <v>-1.65</v>
      </c>
      <c r="CC30">
        <v>-4.93</v>
      </c>
      <c r="CD30" t="s">
        <v>1379</v>
      </c>
      <c r="CE30" t="s">
        <v>287</v>
      </c>
      <c r="CF30" s="10">
        <v>1.9485596707818931</v>
      </c>
      <c r="CG30" s="11">
        <v>3.1806653100775195</v>
      </c>
      <c r="CH30" s="10">
        <v>-0.69587385654449463</v>
      </c>
      <c r="CI30" s="10">
        <v>-0.34693673253059387</v>
      </c>
      <c r="CJ30" s="10">
        <v>0.21216742694377899</v>
      </c>
      <c r="CK30" s="10">
        <v>0.29773351550102234</v>
      </c>
      <c r="CL30" s="10">
        <v>0.65235823392868042</v>
      </c>
      <c r="CM30" s="11">
        <v>-0.76146227121353149</v>
      </c>
      <c r="CN30" s="11">
        <v>-0.30699867010116577</v>
      </c>
      <c r="CO30" s="11">
        <v>0.22682258486747742</v>
      </c>
      <c r="CP30" s="11">
        <v>0.30348804593086243</v>
      </c>
      <c r="CQ30" s="11">
        <v>0.64564973115921021</v>
      </c>
      <c r="CR30">
        <v>16.66264203179346</v>
      </c>
      <c r="CS30">
        <v>6.9748175380964073</v>
      </c>
      <c r="CT30">
        <v>1.8421052631578947</v>
      </c>
      <c r="CU30" s="10">
        <v>2.3889717459678651E-2</v>
      </c>
      <c r="CV30" s="11">
        <v>2.1499884128570557E-2</v>
      </c>
      <c r="CW30">
        <v>0.06</v>
      </c>
      <c r="CX30">
        <v>305.68928175060393</v>
      </c>
      <c r="CY30">
        <v>1859422364.2546048</v>
      </c>
      <c r="CZ30">
        <v>2.3889717459678651E-2</v>
      </c>
      <c r="DA30">
        <v>105.69142202389729</v>
      </c>
      <c r="DB30">
        <v>5377971798.6146603</v>
      </c>
      <c r="DC30">
        <v>2.2695231586694717E-2</v>
      </c>
      <c r="DD30">
        <v>55.993033360552765</v>
      </c>
      <c r="DE30">
        <v>10151360854.838829</v>
      </c>
      <c r="DF30">
        <v>2.1022951364517213E-2</v>
      </c>
      <c r="DG30">
        <v>36.426815447957289</v>
      </c>
      <c r="DH30">
        <v>15604040046.050047</v>
      </c>
      <c r="DI30">
        <v>1.9111773967742923E-2</v>
      </c>
      <c r="DJ30">
        <v>22.223303040420397</v>
      </c>
      <c r="DK30">
        <v>25577002930.939987</v>
      </c>
      <c r="DL30">
        <v>1.6722802221775055E-2</v>
      </c>
      <c r="DM30">
        <v>1925000000</v>
      </c>
      <c r="DN30">
        <v>2.3889717459678651E-2</v>
      </c>
      <c r="DO30">
        <v>568405487000</v>
      </c>
      <c r="DP30">
        <v>0</v>
      </c>
      <c r="DQ30">
        <v>3618</v>
      </c>
      <c r="DR30">
        <v>1.9246699533222145</v>
      </c>
      <c r="DS30">
        <v>3.1591654259489488</v>
      </c>
      <c r="DT30" s="12">
        <v>-0.47333333333333333</v>
      </c>
      <c r="DU30">
        <v>-3.3333333333333291E-2</v>
      </c>
      <c r="DV30">
        <v>-0.5066666666666666</v>
      </c>
      <c r="DW30">
        <v>-1.0492999999999999</v>
      </c>
      <c r="DX30">
        <v>0.35803623595505712</v>
      </c>
      <c r="DY30">
        <v>-1.0082841864325842</v>
      </c>
      <c r="DZ30">
        <v>2293</v>
      </c>
      <c r="EA30">
        <v>-1.0045668401527572</v>
      </c>
      <c r="EB30">
        <v>1</v>
      </c>
      <c r="EC30">
        <v>6.8787116254272916E-3</v>
      </c>
      <c r="ED30">
        <v>4.0935882587057631E-2</v>
      </c>
      <c r="EE30" s="13">
        <v>2.0891000000000002</v>
      </c>
      <c r="EF30">
        <v>2.0752000000000002</v>
      </c>
      <c r="EG30">
        <v>19.168036235955057</v>
      </c>
      <c r="EH30" t="s">
        <v>774</v>
      </c>
      <c r="EI30">
        <v>0</v>
      </c>
      <c r="EJ30">
        <v>0</v>
      </c>
      <c r="EK30" s="9">
        <v>45470</v>
      </c>
      <c r="EL30" s="14">
        <v>0.2</v>
      </c>
      <c r="EM30" s="14">
        <v>-1.19</v>
      </c>
      <c r="EN30" s="14">
        <v>-0.4</v>
      </c>
      <c r="EO30" s="14">
        <v>0.8</v>
      </c>
      <c r="EP30" s="14">
        <v>-1.39</v>
      </c>
    </row>
    <row r="31" spans="1:146" ht="96" x14ac:dyDescent="0.25">
      <c r="C31" s="6" t="str">
        <f>""&amp;CHAR(10)&amp;Basic_Fundamental_Information_Constructure(F31)&amp;CHAR(10)&amp;Basic_Fundamental_Information_Concatenate("")</f>
        <v xml:space="preserve">
市值456.2901亿, 利润20.57亿; PE31.78; 平均PE49.28; 平均PEG.07, PB2.54; ROIC0%; ROE8.6167%; 股利率.3269%; 毛利0%; 净利38.1633%; 上一年度营收增3535.81%, 利润增67.64%; 当季营收增-96.99%, 利润增-65.97%; 过往5年营收增724.54%, 利润增121.18%
Income profile:
</v>
      </c>
      <c r="D31" s="5" t="s">
        <v>745</v>
      </c>
      <c r="E31" t="s">
        <v>746</v>
      </c>
      <c r="F31">
        <v>14.07</v>
      </c>
      <c r="G31">
        <v>0.64</v>
      </c>
      <c r="H31" t="s">
        <v>1380</v>
      </c>
      <c r="I31">
        <v>45629010000</v>
      </c>
      <c r="J31">
        <v>31.78</v>
      </c>
      <c r="K31">
        <v>2.54</v>
      </c>
      <c r="L31" t="s">
        <v>50</v>
      </c>
      <c r="M31" t="s">
        <v>1381</v>
      </c>
      <c r="N31" t="s">
        <v>1382</v>
      </c>
      <c r="O31" t="s">
        <v>1383</v>
      </c>
      <c r="P31" s="5">
        <v>-23.43</v>
      </c>
      <c r="Q31" t="s">
        <v>1384</v>
      </c>
      <c r="R31">
        <v>184796740</v>
      </c>
      <c r="S31">
        <v>-0.14410000000000001</v>
      </c>
      <c r="T31" t="s">
        <v>1385</v>
      </c>
      <c r="U31">
        <v>691600000</v>
      </c>
      <c r="V31">
        <v>3243000000</v>
      </c>
      <c r="W31">
        <v>4.1100000000000003</v>
      </c>
      <c r="X31">
        <v>0.01</v>
      </c>
      <c r="Y31">
        <v>23.37</v>
      </c>
      <c r="Z31" t="s">
        <v>44</v>
      </c>
      <c r="AA31" t="s">
        <v>44</v>
      </c>
      <c r="AB31" t="s">
        <v>44</v>
      </c>
      <c r="AC31" t="s">
        <v>44</v>
      </c>
      <c r="AD31" t="s">
        <v>44</v>
      </c>
      <c r="AE31">
        <v>0</v>
      </c>
      <c r="AF31" t="s">
        <v>1386</v>
      </c>
      <c r="AG31">
        <v>3832.66</v>
      </c>
      <c r="AH31" t="s">
        <v>1387</v>
      </c>
      <c r="AI31" t="s">
        <v>1388</v>
      </c>
      <c r="AJ31" t="s">
        <v>108</v>
      </c>
      <c r="AK31" t="s">
        <v>44</v>
      </c>
      <c r="AL31" t="s">
        <v>108</v>
      </c>
      <c r="AM31" t="s">
        <v>1389</v>
      </c>
      <c r="AN31" t="s">
        <v>44</v>
      </c>
      <c r="AO31" t="s">
        <v>1390</v>
      </c>
      <c r="AP31" t="s">
        <v>44</v>
      </c>
      <c r="AQ31" t="s">
        <v>44</v>
      </c>
      <c r="AR31" t="s">
        <v>44</v>
      </c>
      <c r="AS31" t="s">
        <v>44</v>
      </c>
      <c r="AT31" t="s">
        <v>44</v>
      </c>
      <c r="AU31" t="s">
        <v>1391</v>
      </c>
      <c r="AV31" t="s">
        <v>1392</v>
      </c>
      <c r="AW31" t="s">
        <v>1393</v>
      </c>
      <c r="AX31" t="s">
        <v>747</v>
      </c>
      <c r="AY31" t="s">
        <v>750</v>
      </c>
      <c r="AZ31" t="s">
        <v>751</v>
      </c>
      <c r="BA31" t="s">
        <v>752</v>
      </c>
      <c r="BB31" t="s">
        <v>753</v>
      </c>
      <c r="BC31" t="s">
        <v>748</v>
      </c>
      <c r="BD31" t="s">
        <v>341</v>
      </c>
      <c r="BE31" t="s">
        <v>754</v>
      </c>
      <c r="BF31" t="s">
        <v>714</v>
      </c>
      <c r="BG31" t="s">
        <v>755</v>
      </c>
      <c r="BH31" t="s">
        <v>477</v>
      </c>
      <c r="BI31" t="s">
        <v>1394</v>
      </c>
      <c r="BJ31" t="s">
        <v>747</v>
      </c>
      <c r="BK31" t="s">
        <v>1395</v>
      </c>
      <c r="BL31" t="s">
        <v>630</v>
      </c>
      <c r="BM31" t="s">
        <v>748</v>
      </c>
      <c r="BN31" t="s">
        <v>44</v>
      </c>
      <c r="BO31" t="s">
        <v>44</v>
      </c>
      <c r="BP31" t="s">
        <v>44</v>
      </c>
      <c r="BQ31">
        <v>6.57</v>
      </c>
      <c r="BR31">
        <v>9.39</v>
      </c>
      <c r="BS31">
        <v>9.89</v>
      </c>
      <c r="BT31" t="s">
        <v>1396</v>
      </c>
      <c r="BU31" t="s">
        <v>50</v>
      </c>
      <c r="BV31" t="s">
        <v>44</v>
      </c>
      <c r="BW31" t="s">
        <v>44</v>
      </c>
      <c r="BX31" t="s">
        <v>44</v>
      </c>
      <c r="BY31">
        <v>44.28</v>
      </c>
      <c r="BZ31">
        <v>38.35</v>
      </c>
      <c r="CA31">
        <v>31.86</v>
      </c>
      <c r="CB31">
        <v>-0.99</v>
      </c>
      <c r="CC31" s="10">
        <v>-5.25</v>
      </c>
      <c r="CD31" s="11" t="s">
        <v>1397</v>
      </c>
      <c r="CE31" s="10" t="s">
        <v>730</v>
      </c>
      <c r="CF31" s="10">
        <v>-0.96989146504164714</v>
      </c>
      <c r="CG31" s="10">
        <v>-0.65967451197053406</v>
      </c>
      <c r="CH31" s="10">
        <v>35.358055114746094</v>
      </c>
      <c r="CI31" s="10">
        <v>-9.5976844429969788E-2</v>
      </c>
      <c r="CJ31" s="11">
        <v>0.20271986722946167</v>
      </c>
      <c r="CK31" s="11">
        <v>0.42240205407142639</v>
      </c>
      <c r="CL31" s="11">
        <v>0.33996382355690002</v>
      </c>
      <c r="CM31" s="11">
        <v>0.67644649744033813</v>
      </c>
      <c r="CN31" s="11">
        <v>4.6928383409976959E-2</v>
      </c>
      <c r="CO31">
        <v>0.42926830053329468</v>
      </c>
      <c r="CP31">
        <v>2.904761791229248</v>
      </c>
      <c r="CQ31">
        <v>2.0018267631530762</v>
      </c>
      <c r="CR31" s="10">
        <v>49.275766585251354</v>
      </c>
      <c r="CS31" s="11">
        <v>6.8009417690841012E-2</v>
      </c>
      <c r="CT31">
        <v>0.3269367448471926</v>
      </c>
      <c r="CU31">
        <v>7.2454328030347828</v>
      </c>
      <c r="CV31">
        <v>1.2118463471531868</v>
      </c>
      <c r="CW31">
        <v>0.06</v>
      </c>
      <c r="CX31">
        <v>5.4180398986651364</v>
      </c>
      <c r="CY31">
        <v>16000806864.002403</v>
      </c>
      <c r="CZ31">
        <v>7.2454328030347828</v>
      </c>
      <c r="DA31">
        <v>8.8901384808781667E-2</v>
      </c>
      <c r="DB31">
        <v>975159275487.87158</v>
      </c>
      <c r="DC31">
        <v>6.8831611628830434</v>
      </c>
      <c r="DD31">
        <v>3.1790045012410756E-4</v>
      </c>
      <c r="DE31">
        <v>272704898549704.03</v>
      </c>
      <c r="DF31">
        <v>6.3759808666706093</v>
      </c>
      <c r="DG31">
        <v>3.0297957164209101E-7</v>
      </c>
      <c r="DH31">
        <v>2.8613483585754829E+17</v>
      </c>
      <c r="DI31">
        <v>5.7963462424278269</v>
      </c>
      <c r="DJ31">
        <v>2.4054150308337464E-14</v>
      </c>
      <c r="DK31">
        <v>3.6040770049545728E+24</v>
      </c>
      <c r="DL31">
        <v>5.0718029621243472</v>
      </c>
      <c r="DM31">
        <v>2057000000</v>
      </c>
      <c r="DN31">
        <v>7.2454328030347828</v>
      </c>
      <c r="DO31">
        <v>86693010000</v>
      </c>
      <c r="DP31">
        <v>0</v>
      </c>
      <c r="DQ31" s="12">
        <v>3642</v>
      </c>
      <c r="DR31">
        <v>-8.2153242680764293</v>
      </c>
      <c r="DS31">
        <v>-1.8715208591237209</v>
      </c>
      <c r="DT31">
        <v>0.20999999999999988</v>
      </c>
      <c r="DU31">
        <v>1.0746666666666669</v>
      </c>
      <c r="DV31">
        <v>1.2846666666666668</v>
      </c>
      <c r="DW31">
        <v>-1.0525</v>
      </c>
      <c r="DX31">
        <v>0.33837049469964597</v>
      </c>
      <c r="DY31">
        <v>-1.0046394509717314</v>
      </c>
      <c r="DZ31">
        <v>283</v>
      </c>
      <c r="EA31">
        <v>-1.0043825107320052</v>
      </c>
      <c r="EB31" s="13">
        <v>1</v>
      </c>
      <c r="EC31" s="13">
        <v>1.5423280912735125E-2</v>
      </c>
      <c r="ED31">
        <v>0.17452975639839655</v>
      </c>
      <c r="EE31">
        <v>-1.0328999999999999</v>
      </c>
      <c r="EF31">
        <v>-1.0058</v>
      </c>
      <c r="EG31">
        <v>25.088370494699646</v>
      </c>
      <c r="EH31" s="9" t="s">
        <v>670</v>
      </c>
      <c r="EI31">
        <v>0</v>
      </c>
      <c r="EJ31">
        <v>1</v>
      </c>
      <c r="EK31">
        <v>45470</v>
      </c>
      <c r="EL31">
        <v>7.0000000000000007E-2</v>
      </c>
      <c r="EM31">
        <v>-0.78</v>
      </c>
      <c r="EN31" s="14">
        <v>-0.43</v>
      </c>
      <c r="EO31" s="14">
        <v>0.65</v>
      </c>
      <c r="EP31" s="14">
        <v>-2.71</v>
      </c>
    </row>
    <row r="32" spans="1:146" ht="192" x14ac:dyDescent="0.25">
      <c r="A32" s="6"/>
      <c r="B32" s="6"/>
      <c r="C32" s="6" t="str">
        <f>"公司的主营业务是提供投资银行、财富管理、交易及机构客户服务及投资管理。公司的主要产品是股权融资、债务融资、财务顾问服务、财富管理、融资融券、回购业务、股票销售及交易业务、固定收益销售及交易业务、投资研究业务、主经纪商业务、QFII业务、代销业务、公司的自营交易业务、资产管理业务、基金管理业务、私募股权投资管理业务。"&amp;CHAR(10)&amp;Basic_Fundamental_Information_Constructure(F32)&amp;CHAR(10)&amp;Basic_Fundamental_Information_Concatenate("交易及机构客户服务 67.24亿 24.39% 28.67% 40.51%
财富管理业务 61.40亿 22.27% 27.02% 41.82%
投资银行业务 58.38亿 21.18% 30.75% 50.05%
资产管理业务 16.80亿 6.10% 9.58% 54.18%")</f>
        <v>公司的主营业务是提供投资银行、财富管理、交易及机构客户服务及投资管理。公司的主要产品是股权融资、债务融资、财务顾问服务、财富管理、融资融券、回购业务、股票销售及交易业务、固定收益销售及交易业务、投资研究业务、主经纪商业务、QFII业务、代销业务、公司的自营交易业务、资产管理业务、基金管理业务、私募股权投资管理业务。
市值1441.9696亿, 利润-26.58亿; PE24.71; 平均PE26.06; 平均PEG1.34, PB1.96; ROIC0%; ROE10.9467%; 股利率1.3448%; 毛利0%; 净利30.6167%; 上一年度营收增-18.97%, 利润增-135.35%; 当季营收增-.28%, 利润增40570.63%; 过往5年营收增19.46%, 利润增-.64%
Income profile:
交易及机构客户服务 67.24亿 24.39% 28.67% 40.51%
财富管理业务 61.40亿 22.27% 27.02% 41.82%
投资银行业务 58.38亿 21.18% 30.75% 50.05%
资产管理业务 16.80亿 6.10% 9.58% 54.18%</v>
      </c>
      <c r="D32" t="s">
        <v>62</v>
      </c>
      <c r="E32" t="s">
        <v>11</v>
      </c>
      <c r="F32">
        <v>18.59</v>
      </c>
      <c r="G32">
        <v>0.05</v>
      </c>
      <c r="H32" t="s">
        <v>1398</v>
      </c>
      <c r="I32">
        <v>144196960000</v>
      </c>
      <c r="J32">
        <v>24.71</v>
      </c>
      <c r="K32">
        <v>1.96</v>
      </c>
      <c r="L32" t="s">
        <v>50</v>
      </c>
      <c r="M32" t="s">
        <v>1399</v>
      </c>
      <c r="N32" t="s">
        <v>1400</v>
      </c>
      <c r="O32" t="s">
        <v>1401</v>
      </c>
      <c r="P32">
        <v>-35.909999999999997</v>
      </c>
      <c r="Q32" t="s">
        <v>1402</v>
      </c>
      <c r="R32">
        <v>1227846470</v>
      </c>
      <c r="S32" s="5">
        <v>-0.49390000000000001</v>
      </c>
      <c r="T32" t="s">
        <v>1403</v>
      </c>
      <c r="U32">
        <v>3811362000</v>
      </c>
      <c r="V32">
        <v>7756694800</v>
      </c>
      <c r="W32">
        <v>5.16</v>
      </c>
      <c r="X32">
        <v>0.01</v>
      </c>
      <c r="Y32">
        <v>28.66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>
        <v>0</v>
      </c>
      <c r="AF32" t="s">
        <v>1404</v>
      </c>
      <c r="AG32" t="s">
        <v>1405</v>
      </c>
      <c r="AH32" t="s">
        <v>1406</v>
      </c>
      <c r="AI32" t="s">
        <v>1407</v>
      </c>
      <c r="AJ32" t="s">
        <v>108</v>
      </c>
      <c r="AK32" t="s">
        <v>44</v>
      </c>
      <c r="AL32" t="s">
        <v>108</v>
      </c>
      <c r="AM32" t="s">
        <v>1408</v>
      </c>
      <c r="AN32" t="s">
        <v>44</v>
      </c>
      <c r="AO32" t="s">
        <v>1298</v>
      </c>
      <c r="AP32" t="s">
        <v>44</v>
      </c>
      <c r="AQ32" t="s">
        <v>44</v>
      </c>
      <c r="AR32" t="s">
        <v>44</v>
      </c>
      <c r="AS32" t="s">
        <v>44</v>
      </c>
      <c r="AT32" t="s">
        <v>44</v>
      </c>
      <c r="AU32" t="s">
        <v>946</v>
      </c>
      <c r="AV32" t="s">
        <v>1409</v>
      </c>
      <c r="AW32" t="s">
        <v>1410</v>
      </c>
      <c r="AX32" t="s">
        <v>756</v>
      </c>
      <c r="AY32" t="s">
        <v>484</v>
      </c>
      <c r="AZ32" t="s">
        <v>336</v>
      </c>
      <c r="BA32" t="s">
        <v>157</v>
      </c>
      <c r="BB32" t="s">
        <v>339</v>
      </c>
      <c r="BC32" t="s">
        <v>1411</v>
      </c>
      <c r="BD32" t="s">
        <v>485</v>
      </c>
      <c r="BE32" t="s">
        <v>337</v>
      </c>
      <c r="BF32" t="s">
        <v>158</v>
      </c>
      <c r="BG32" t="s">
        <v>340</v>
      </c>
      <c r="BH32" t="s">
        <v>1412</v>
      </c>
      <c r="BI32" t="s">
        <v>1413</v>
      </c>
      <c r="BJ32" t="s">
        <v>756</v>
      </c>
      <c r="BK32" t="s">
        <v>1414</v>
      </c>
      <c r="BL32" t="s">
        <v>1415</v>
      </c>
      <c r="BM32" t="s">
        <v>1411</v>
      </c>
      <c r="BN32" t="s">
        <v>44</v>
      </c>
      <c r="BO32" t="s">
        <v>44</v>
      </c>
      <c r="BP32" t="s">
        <v>44</v>
      </c>
      <c r="BQ32">
        <v>7.05</v>
      </c>
      <c r="BR32">
        <v>9.99</v>
      </c>
      <c r="BS32">
        <v>15.8</v>
      </c>
      <c r="BT32" t="s">
        <v>1416</v>
      </c>
      <c r="BU32" t="s">
        <v>50</v>
      </c>
      <c r="BV32" t="s">
        <v>44</v>
      </c>
      <c r="BW32" t="s">
        <v>44</v>
      </c>
      <c r="BX32" t="s">
        <v>44</v>
      </c>
      <c r="BY32">
        <v>30.32</v>
      </c>
      <c r="BZ32">
        <v>27.27</v>
      </c>
      <c r="CA32">
        <v>34.26</v>
      </c>
      <c r="CB32">
        <v>-3.38</v>
      </c>
      <c r="CC32">
        <v>-14.8</v>
      </c>
      <c r="CD32" t="s">
        <v>1417</v>
      </c>
      <c r="CE32" t="s">
        <v>1418</v>
      </c>
      <c r="CF32" s="10">
        <v>-2.7868091035764052E-3</v>
      </c>
      <c r="CG32" s="11">
        <v>405.7063497846969</v>
      </c>
      <c r="CH32" s="10">
        <v>-0.18966084718704224</v>
      </c>
      <c r="CI32" s="10">
        <v>-7.7229522168636322E-2</v>
      </c>
      <c r="CJ32" s="10">
        <v>0.27926009893417358</v>
      </c>
      <c r="CK32" s="10">
        <v>0.70532387495040894</v>
      </c>
      <c r="CL32" s="10">
        <v>0.25543227791786194</v>
      </c>
      <c r="CM32" s="11">
        <v>-1.3535044193267822</v>
      </c>
      <c r="CN32" s="11">
        <v>-0.26565089821815491</v>
      </c>
      <c r="CO32" s="11">
        <v>7.6769307255744934E-2</v>
      </c>
      <c r="CP32" s="11">
        <v>0.72828060388565063</v>
      </c>
      <c r="CQ32" s="11">
        <v>0.78231292963027954</v>
      </c>
      <c r="CR32">
        <v>26.06126152177842</v>
      </c>
      <c r="CS32">
        <v>1.3390488318043519</v>
      </c>
      <c r="CT32">
        <v>1.3448090371167294</v>
      </c>
      <c r="CU32" s="10">
        <v>0.19462517648935318</v>
      </c>
      <c r="CV32" s="11">
        <v>-6.3584953546524051E-3</v>
      </c>
      <c r="CW32">
        <v>0.06</v>
      </c>
      <c r="CX32" t="e">
        <v>#VALUE!</v>
      </c>
      <c r="CY32" t="s">
        <v>606</v>
      </c>
      <c r="CZ32">
        <v>0.19462517648935318</v>
      </c>
      <c r="DA32" t="e">
        <v>#VALUE!</v>
      </c>
      <c r="DB32" t="s">
        <v>606</v>
      </c>
      <c r="DC32">
        <v>0.1848939176648855</v>
      </c>
      <c r="DD32" t="e">
        <v>#VALUE!</v>
      </c>
      <c r="DE32" t="s">
        <v>606</v>
      </c>
      <c r="DF32">
        <v>0.17127015531063081</v>
      </c>
      <c r="DG32" t="e">
        <v>#VALUE!</v>
      </c>
      <c r="DH32" t="s">
        <v>606</v>
      </c>
      <c r="DI32">
        <v>0.15570014119148257</v>
      </c>
      <c r="DJ32" t="e">
        <v>#VALUE!</v>
      </c>
      <c r="DK32" t="s">
        <v>606</v>
      </c>
      <c r="DL32">
        <v>0.1362376235425472</v>
      </c>
      <c r="DM32">
        <v>-2658000000</v>
      </c>
      <c r="DN32">
        <v>0.19462517648935318</v>
      </c>
      <c r="DO32">
        <v>466293960000</v>
      </c>
      <c r="DP32">
        <v>0</v>
      </c>
      <c r="DQ32">
        <v>3645</v>
      </c>
      <c r="DR32">
        <v>-0.19741198559292958</v>
      </c>
      <c r="DS32">
        <v>405.71270828005157</v>
      </c>
      <c r="DT32" s="12">
        <v>-0.14000000000000004</v>
      </c>
      <c r="DU32">
        <v>-0.46666666666666673</v>
      </c>
      <c r="DV32">
        <v>-0.6066666666666668</v>
      </c>
      <c r="DW32">
        <v>-8.2283783783783786</v>
      </c>
      <c r="DX32">
        <v>0.41127610294117534</v>
      </c>
      <c r="DY32">
        <v>-8.0299806235095392</v>
      </c>
      <c r="DZ32">
        <v>233</v>
      </c>
      <c r="EA32">
        <v>-8.0286136009502975</v>
      </c>
      <c r="EB32">
        <v>8</v>
      </c>
      <c r="EC32">
        <v>4.6033911247868103E-3</v>
      </c>
      <c r="ED32">
        <v>3.506648218259148E-2</v>
      </c>
      <c r="EE32" s="13">
        <v>3.0190100000000002</v>
      </c>
      <c r="EF32">
        <v>3.0405099999999998</v>
      </c>
      <c r="EG32">
        <v>28.131276102941175</v>
      </c>
      <c r="EH32" t="s">
        <v>1419</v>
      </c>
      <c r="EI32">
        <v>0</v>
      </c>
      <c r="EJ32">
        <v>1</v>
      </c>
      <c r="EK32" s="9">
        <v>45470</v>
      </c>
      <c r="EL32" s="14">
        <v>0</v>
      </c>
      <c r="EM32" s="14">
        <v>-2.83</v>
      </c>
      <c r="EN32" s="14">
        <v>1.1599999999999999</v>
      </c>
      <c r="EO32" s="14">
        <v>1.61</v>
      </c>
      <c r="EP32" s="14">
        <v>-2.15</v>
      </c>
    </row>
    <row r="33" spans="1:146" ht="96" x14ac:dyDescent="0.25">
      <c r="A33" s="6"/>
      <c r="B33" s="6"/>
      <c r="C33" s="6" t="str">
        <f>""&amp;CHAR(10)&amp;Basic_Fundamental_Information_Constructure(F33)&amp;CHAR(10)&amp;Basic_Fundamental_Information_Concatenate("")</f>
        <v xml:space="preserve">
市值208.57928亿, 利润24.99亿; PE152.9; 平均PE231.33; 平均PEG1.16, PB2.19; ROIC0%; ROE-.3033%; 股利率0%; 毛利0%; 净利-4.3333%; 上一年度营收增666.64%, 利润增644.44%; 当季营收增-88.55%, 利润增-94.44%; 过往5年营收增199.15%, 利润增30.33%
Income profile:
</v>
      </c>
      <c r="D33" t="s">
        <v>94</v>
      </c>
      <c r="E33" t="s">
        <v>16</v>
      </c>
      <c r="F33">
        <v>3.06</v>
      </c>
      <c r="G33">
        <v>1.32</v>
      </c>
      <c r="H33" t="s">
        <v>1420</v>
      </c>
      <c r="I33">
        <v>20857928000</v>
      </c>
      <c r="J33">
        <v>152.9</v>
      </c>
      <c r="K33">
        <v>2.19</v>
      </c>
      <c r="L33" t="s">
        <v>50</v>
      </c>
      <c r="M33" t="s">
        <v>1421</v>
      </c>
      <c r="N33" t="s">
        <v>1422</v>
      </c>
      <c r="O33" t="s">
        <v>1423</v>
      </c>
      <c r="P33">
        <v>-40.47</v>
      </c>
      <c r="Q33" t="s">
        <v>1424</v>
      </c>
      <c r="R33">
        <v>34831672</v>
      </c>
      <c r="S33" s="5">
        <v>-0.7661</v>
      </c>
      <c r="T33" t="s">
        <v>1425</v>
      </c>
      <c r="U33">
        <v>6816316400</v>
      </c>
      <c r="V33">
        <v>6816316400</v>
      </c>
      <c r="W33">
        <v>1.71</v>
      </c>
      <c r="X33">
        <v>0.02</v>
      </c>
      <c r="Y33">
        <v>12.55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>
        <v>0</v>
      </c>
      <c r="AF33" t="s">
        <v>1426</v>
      </c>
      <c r="AG33" t="s">
        <v>1427</v>
      </c>
      <c r="AH33" t="s">
        <v>1428</v>
      </c>
      <c r="AI33" t="s">
        <v>1429</v>
      </c>
      <c r="AJ33" t="s">
        <v>108</v>
      </c>
      <c r="AK33" t="s">
        <v>44</v>
      </c>
      <c r="AL33" t="s">
        <v>108</v>
      </c>
      <c r="AM33" t="s">
        <v>473</v>
      </c>
      <c r="AN33" t="s">
        <v>44</v>
      </c>
      <c r="AO33" t="s">
        <v>44</v>
      </c>
      <c r="AP33" t="s">
        <v>44</v>
      </c>
      <c r="AQ33" t="s">
        <v>44</v>
      </c>
      <c r="AR33" t="s">
        <v>44</v>
      </c>
      <c r="AS33" t="s">
        <v>44</v>
      </c>
      <c r="AT33" t="s">
        <v>44</v>
      </c>
      <c r="AU33" t="s">
        <v>1430</v>
      </c>
      <c r="AV33" t="s">
        <v>1431</v>
      </c>
      <c r="AW33" t="s">
        <v>1432</v>
      </c>
      <c r="AX33" t="s">
        <v>341</v>
      </c>
      <c r="AY33" t="s">
        <v>461</v>
      </c>
      <c r="AZ33" t="s">
        <v>341</v>
      </c>
      <c r="BA33" t="s">
        <v>160</v>
      </c>
      <c r="BB33" t="s">
        <v>344</v>
      </c>
      <c r="BC33" t="s">
        <v>758</v>
      </c>
      <c r="BD33" t="s">
        <v>428</v>
      </c>
      <c r="BE33" t="s">
        <v>342</v>
      </c>
      <c r="BF33" t="s">
        <v>161</v>
      </c>
      <c r="BG33" t="s">
        <v>345</v>
      </c>
      <c r="BH33" t="s">
        <v>1433</v>
      </c>
      <c r="BI33" t="s">
        <v>1434</v>
      </c>
      <c r="BJ33" t="s">
        <v>341</v>
      </c>
      <c r="BK33" t="s">
        <v>777</v>
      </c>
      <c r="BL33" t="s">
        <v>697</v>
      </c>
      <c r="BM33" t="s">
        <v>758</v>
      </c>
      <c r="BN33" t="s">
        <v>44</v>
      </c>
      <c r="BO33" t="s">
        <v>44</v>
      </c>
      <c r="BP33" t="s">
        <v>44</v>
      </c>
      <c r="BQ33">
        <v>2.68</v>
      </c>
      <c r="BR33">
        <v>-4.8499999999999996</v>
      </c>
      <c r="BS33">
        <v>1.26</v>
      </c>
      <c r="BT33" t="s">
        <v>625</v>
      </c>
      <c r="BU33" t="s">
        <v>50</v>
      </c>
      <c r="BV33" t="s">
        <v>44</v>
      </c>
      <c r="BW33" t="s">
        <v>44</v>
      </c>
      <c r="BX33" t="s">
        <v>44</v>
      </c>
      <c r="BY33">
        <v>18.32</v>
      </c>
      <c r="BZ33">
        <v>-39.53</v>
      </c>
      <c r="CA33">
        <v>8.2100000000000009</v>
      </c>
      <c r="CB33">
        <v>0.33</v>
      </c>
      <c r="CC33">
        <v>-9.4700000000000006</v>
      </c>
      <c r="CD33" t="s">
        <v>1435</v>
      </c>
      <c r="CE33" t="s">
        <v>1436</v>
      </c>
      <c r="CF33" s="10">
        <v>-0.88545529460238981</v>
      </c>
      <c r="CG33" s="11">
        <v>-0.94435835143769964</v>
      </c>
      <c r="CH33" s="10">
        <v>6.6663823127746582</v>
      </c>
      <c r="CI33" s="10">
        <v>-0.28098160028457642</v>
      </c>
      <c r="CJ33" s="10">
        <v>0.39078497886657715</v>
      </c>
      <c r="CK33" s="10">
        <v>-0.34046143293380737</v>
      </c>
      <c r="CL33" s="10">
        <v>3.5216283798217773</v>
      </c>
      <c r="CM33" s="11">
        <v>6.4444446563720703</v>
      </c>
      <c r="CN33" s="11">
        <v>-4.7933883666992187</v>
      </c>
      <c r="CO33" s="11">
        <v>1.159001350402832</v>
      </c>
      <c r="CP33" s="11">
        <v>-2.6436285972595215</v>
      </c>
      <c r="CQ33" s="11">
        <v>1.350226879119873</v>
      </c>
      <c r="CR33">
        <v>231.32637338262475</v>
      </c>
      <c r="CS33">
        <v>1.1615857235694178</v>
      </c>
      <c r="CT33">
        <v>0</v>
      </c>
      <c r="CU33" s="10">
        <v>1.9914705276489257</v>
      </c>
      <c r="CV33" s="11">
        <v>0.30333118438720702</v>
      </c>
      <c r="CW33">
        <v>0.06</v>
      </c>
      <c r="CX33">
        <v>2.5207862639558098</v>
      </c>
      <c r="CY33">
        <v>7052532876.0327034</v>
      </c>
      <c r="CZ33">
        <v>1.9914705276489257</v>
      </c>
      <c r="DA33">
        <v>0.23341781253524885</v>
      </c>
      <c r="DB33">
        <v>76163544705.121094</v>
      </c>
      <c r="DC33">
        <v>1.8918970012664793</v>
      </c>
      <c r="DD33">
        <v>1.4315662660070958E-2</v>
      </c>
      <c r="DE33">
        <v>1241851559522.0012</v>
      </c>
      <c r="DF33">
        <v>1.7524940643310547</v>
      </c>
      <c r="DG33">
        <v>5.4785992067719229E-4</v>
      </c>
      <c r="DH33">
        <v>32449769236678.723</v>
      </c>
      <c r="DI33">
        <v>1.5931764221191407</v>
      </c>
      <c r="DJ33">
        <v>3.3241351079943745E-7</v>
      </c>
      <c r="DK33">
        <v>5.3481364091504568E+16</v>
      </c>
      <c r="DL33">
        <v>1.394029369354248</v>
      </c>
      <c r="DM33">
        <v>2499000000</v>
      </c>
      <c r="DN33">
        <v>1.9914705276489257</v>
      </c>
      <c r="DO33">
        <v>17777928000</v>
      </c>
      <c r="DP33">
        <v>0</v>
      </c>
      <c r="DQ33">
        <v>3655</v>
      </c>
      <c r="DR33">
        <v>-2.8769258222513154</v>
      </c>
      <c r="DS33">
        <v>-1.2476895358249067</v>
      </c>
      <c r="DT33" s="12">
        <v>0.21333333333333329</v>
      </c>
      <c r="DU33">
        <v>-1.04</v>
      </c>
      <c r="DV33">
        <v>-0.82666666666666677</v>
      </c>
      <c r="DW33">
        <v>-2.0947</v>
      </c>
      <c r="DX33">
        <v>0.39908464277621536</v>
      </c>
      <c r="DY33">
        <v>-2.0112773156709078</v>
      </c>
      <c r="DZ33">
        <v>2871</v>
      </c>
      <c r="EA33">
        <v>-2.0049412739309518</v>
      </c>
      <c r="EB33">
        <v>2</v>
      </c>
      <c r="EC33">
        <v>7.8634847408198372E-2</v>
      </c>
      <c r="ED33">
        <v>0.6603273287020538</v>
      </c>
      <c r="EE33" s="13">
        <v>-2.0498099999999999</v>
      </c>
      <c r="EF33">
        <v>-2.0632099999999998</v>
      </c>
      <c r="EG33">
        <v>28.119084642776215</v>
      </c>
      <c r="EH33" t="s">
        <v>1181</v>
      </c>
      <c r="EI33">
        <v>0</v>
      </c>
      <c r="EJ33">
        <v>0</v>
      </c>
      <c r="EK33" s="9">
        <v>45470</v>
      </c>
      <c r="EL33" s="14">
        <v>-0.38</v>
      </c>
      <c r="EM33" s="14">
        <v>-2.74</v>
      </c>
      <c r="EN33" s="14">
        <v>-1.41</v>
      </c>
      <c r="EO33" s="14">
        <v>0.64</v>
      </c>
      <c r="EP33" s="14">
        <v>-1.34</v>
      </c>
    </row>
    <row r="34" spans="1:146" ht="96" x14ac:dyDescent="0.25">
      <c r="A34" s="6"/>
      <c r="B34" s="6"/>
      <c r="C34" s="6" t="str">
        <f>""&amp;CHAR(10)&amp;Basic_Fundamental_Information_Constructure(F34)&amp;CHAR(10)&amp;Basic_Fundamental_Information_Concatenate("")</f>
        <v xml:space="preserve">
市值302.77182亿, 利润-10.46亿; PE13.68; 平均PE22.65; 平均PEG.04, PB.874; ROIC0%; ROE6.7067%; 股利率1.5337%; 毛利0%; 净利35.32%; 上一年度营收增2823.14%, 利润增-168.95%; 当季营收增-94.38%, 利润增115.59%; 过往5年营收增576.95%, 利润增-9.36%
Income profile:
</v>
      </c>
      <c r="D34" t="s">
        <v>72</v>
      </c>
      <c r="E34" t="s">
        <v>19</v>
      </c>
      <c r="F34">
        <v>6.52</v>
      </c>
      <c r="G34">
        <v>0.31</v>
      </c>
      <c r="H34" t="s">
        <v>1437</v>
      </c>
      <c r="I34">
        <v>30277182000</v>
      </c>
      <c r="J34">
        <v>13.68</v>
      </c>
      <c r="K34">
        <v>0.874</v>
      </c>
      <c r="L34" t="s">
        <v>50</v>
      </c>
      <c r="M34" t="s">
        <v>1438</v>
      </c>
      <c r="N34" t="s">
        <v>1439</v>
      </c>
      <c r="O34" t="s">
        <v>454</v>
      </c>
      <c r="P34">
        <v>-21.03</v>
      </c>
      <c r="Q34" t="s">
        <v>1440</v>
      </c>
      <c r="R34">
        <v>456283440</v>
      </c>
      <c r="S34" s="5">
        <v>-7.6799999999999993E-2</v>
      </c>
      <c r="T34" t="s">
        <v>1441</v>
      </c>
      <c r="U34">
        <v>4643739600</v>
      </c>
      <c r="V34">
        <v>4643739600</v>
      </c>
      <c r="W34">
        <v>4</v>
      </c>
      <c r="X34">
        <v>0.01</v>
      </c>
      <c r="Y34">
        <v>32.340000000000003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>
        <v>0</v>
      </c>
      <c r="AF34" t="s">
        <v>1442</v>
      </c>
      <c r="AG34" t="s">
        <v>1443</v>
      </c>
      <c r="AH34" t="s">
        <v>1444</v>
      </c>
      <c r="AI34" t="s">
        <v>1445</v>
      </c>
      <c r="AJ34" t="s">
        <v>108</v>
      </c>
      <c r="AK34" t="s">
        <v>44</v>
      </c>
      <c r="AL34" t="s">
        <v>108</v>
      </c>
      <c r="AM34" t="s">
        <v>1446</v>
      </c>
      <c r="AN34" t="s">
        <v>44</v>
      </c>
      <c r="AO34" t="s">
        <v>1447</v>
      </c>
      <c r="AP34" t="s">
        <v>44</v>
      </c>
      <c r="AQ34" t="s">
        <v>44</v>
      </c>
      <c r="AR34" t="s">
        <v>44</v>
      </c>
      <c r="AS34" t="s">
        <v>44</v>
      </c>
      <c r="AT34" t="s">
        <v>44</v>
      </c>
      <c r="AU34" t="s">
        <v>1448</v>
      </c>
      <c r="AV34" t="s">
        <v>1449</v>
      </c>
      <c r="AW34" t="s">
        <v>1450</v>
      </c>
      <c r="AX34" t="s">
        <v>759</v>
      </c>
      <c r="AY34" t="s">
        <v>486</v>
      </c>
      <c r="AZ34" t="s">
        <v>346</v>
      </c>
      <c r="BA34" t="s">
        <v>162</v>
      </c>
      <c r="BB34" t="s">
        <v>347</v>
      </c>
      <c r="BC34" t="s">
        <v>760</v>
      </c>
      <c r="BD34" t="s">
        <v>487</v>
      </c>
      <c r="BE34" t="s">
        <v>225</v>
      </c>
      <c r="BF34" t="s">
        <v>163</v>
      </c>
      <c r="BG34" t="s">
        <v>348</v>
      </c>
      <c r="BH34" t="s">
        <v>1451</v>
      </c>
      <c r="BI34" t="s">
        <v>1452</v>
      </c>
      <c r="BJ34" t="s">
        <v>759</v>
      </c>
      <c r="BK34" t="s">
        <v>1453</v>
      </c>
      <c r="BL34" t="s">
        <v>1454</v>
      </c>
      <c r="BM34" t="s">
        <v>760</v>
      </c>
      <c r="BN34" t="s">
        <v>44</v>
      </c>
      <c r="BO34" t="s">
        <v>44</v>
      </c>
      <c r="BP34" t="s">
        <v>44</v>
      </c>
      <c r="BQ34">
        <v>4.4800000000000004</v>
      </c>
      <c r="BR34">
        <v>4.96</v>
      </c>
      <c r="BS34">
        <v>10.68</v>
      </c>
      <c r="BT34" t="s">
        <v>619</v>
      </c>
      <c r="BU34" t="s">
        <v>50</v>
      </c>
      <c r="BV34" t="s">
        <v>44</v>
      </c>
      <c r="BW34" t="s">
        <v>44</v>
      </c>
      <c r="BX34" t="s">
        <v>44</v>
      </c>
      <c r="BY34">
        <v>34.54</v>
      </c>
      <c r="BZ34">
        <v>31.42</v>
      </c>
      <c r="CA34">
        <v>40</v>
      </c>
      <c r="CB34">
        <v>-1.36</v>
      </c>
      <c r="CC34">
        <v>-10.32</v>
      </c>
      <c r="CD34" t="s">
        <v>1455</v>
      </c>
      <c r="CE34" t="s">
        <v>791</v>
      </c>
      <c r="CF34" s="10">
        <v>-0.94375299186213502</v>
      </c>
      <c r="CG34" s="11">
        <v>1.1559410252904989</v>
      </c>
      <c r="CH34" s="10">
        <v>28.231409072875977</v>
      </c>
      <c r="CI34" s="10">
        <v>-0.24672287702560425</v>
      </c>
      <c r="CJ34" s="10">
        <v>-1.8382353708148003E-2</v>
      </c>
      <c r="CK34" s="10">
        <v>0.31825524568557739</v>
      </c>
      <c r="CL34" s="10">
        <v>0.56313133239746094</v>
      </c>
      <c r="CM34" s="11">
        <v>-1.6895186901092529</v>
      </c>
      <c r="CN34" s="11">
        <v>-0.40880754590034485</v>
      </c>
      <c r="CO34" s="11">
        <v>0.11954630166292191</v>
      </c>
      <c r="CP34" s="11">
        <v>0.22370532155036926</v>
      </c>
      <c r="CQ34" s="11">
        <v>1.2869352102279663</v>
      </c>
      <c r="CR34">
        <v>22.648434359805513</v>
      </c>
      <c r="CS34">
        <v>3.9255195181806618E-2</v>
      </c>
      <c r="CT34">
        <v>1.5337423312883436</v>
      </c>
      <c r="CU34" s="10">
        <v>5.7695380840450525</v>
      </c>
      <c r="CV34" s="11">
        <v>-9.3627880513668063E-2</v>
      </c>
      <c r="CW34">
        <v>0.06</v>
      </c>
      <c r="CX34" t="e">
        <v>#VALUE!</v>
      </c>
      <c r="CY34" t="s">
        <v>606</v>
      </c>
      <c r="CZ34">
        <v>5.7695380840450525</v>
      </c>
      <c r="DA34" t="e">
        <v>#VALUE!</v>
      </c>
      <c r="DB34" t="s">
        <v>606</v>
      </c>
      <c r="DC34">
        <v>5.4810611798427997</v>
      </c>
      <c r="DD34" t="e">
        <v>#VALUE!</v>
      </c>
      <c r="DE34" t="s">
        <v>606</v>
      </c>
      <c r="DF34">
        <v>5.0771935139596467</v>
      </c>
      <c r="DG34" t="e">
        <v>#VALUE!</v>
      </c>
      <c r="DH34" t="s">
        <v>606</v>
      </c>
      <c r="DI34">
        <v>4.6156304672360422</v>
      </c>
      <c r="DJ34" t="e">
        <v>#VALUE!</v>
      </c>
      <c r="DK34" t="s">
        <v>606</v>
      </c>
      <c r="DL34">
        <v>4.0386766588315366</v>
      </c>
      <c r="DM34">
        <v>-1046000000.0000001</v>
      </c>
      <c r="DN34">
        <v>5.7695380840450525</v>
      </c>
      <c r="DO34">
        <v>94249182000</v>
      </c>
      <c r="DP34">
        <v>0</v>
      </c>
      <c r="DQ34">
        <v>3660</v>
      </c>
      <c r="DR34">
        <v>-6.713291075907188</v>
      </c>
      <c r="DS34">
        <v>1.249568905804167</v>
      </c>
      <c r="DT34" s="12">
        <v>-7.3333333333333403E-2</v>
      </c>
      <c r="DU34">
        <v>-0.58333333333333337</v>
      </c>
      <c r="DV34">
        <v>-0.65666666666666673</v>
      </c>
      <c r="DW34">
        <v>-2.1032000000000002</v>
      </c>
      <c r="DX34">
        <v>0.39766081871345094</v>
      </c>
      <c r="DY34">
        <v>-2.0152385964912281</v>
      </c>
      <c r="DZ34">
        <v>1135</v>
      </c>
      <c r="EA34">
        <v>-2.0118538984447421</v>
      </c>
      <c r="EB34">
        <v>2</v>
      </c>
      <c r="EC34">
        <v>2.1749712236233058E-2</v>
      </c>
      <c r="ED34">
        <v>0.14729508088696447</v>
      </c>
      <c r="EE34" s="13">
        <v>1.0316000000000001</v>
      </c>
      <c r="EF34">
        <v>1.024</v>
      </c>
      <c r="EG34">
        <v>25.147660818713451</v>
      </c>
      <c r="EH34" t="s">
        <v>645</v>
      </c>
      <c r="EI34">
        <v>0</v>
      </c>
      <c r="EJ34">
        <v>1</v>
      </c>
      <c r="EK34" s="9">
        <v>45470</v>
      </c>
      <c r="EL34" s="14">
        <v>-0.19</v>
      </c>
      <c r="EM34" s="14">
        <v>-1.7</v>
      </c>
      <c r="EN34" s="14">
        <v>0</v>
      </c>
      <c r="EO34" s="14">
        <v>0.57999999999999996</v>
      </c>
      <c r="EP34" s="14">
        <v>-0.76</v>
      </c>
    </row>
    <row r="35" spans="1:146" ht="96" x14ac:dyDescent="0.25">
      <c r="C35" s="6" t="str">
        <f>""&amp;CHAR(10)&amp;Basic_Fundamental_Information_Constructure(F35)&amp;CHAR(10)&amp;Basic_Fundamental_Information_Concatenate("")</f>
        <v xml:space="preserve">
市值551.31343亿, 利润11.24亿; PE73.96; 平均PE88.02; 平均PEG.4, PB4.36; ROIC0%; ROE6.1733%; 股利率.4958%; 毛利0%; 净利37.2933%; 上一年度营收增1018.14%, 利润增102.52%; 当季营收增-83.33%, 利润增15.93%; 过往5年营收增221.78%, 利润增59.3%
Income profile:
</v>
      </c>
      <c r="D35" t="s">
        <v>635</v>
      </c>
      <c r="E35" t="s">
        <v>636</v>
      </c>
      <c r="F35">
        <v>20.170000000000002</v>
      </c>
      <c r="G35">
        <v>1.31</v>
      </c>
      <c r="H35" t="s">
        <v>1456</v>
      </c>
      <c r="I35">
        <v>55131343000</v>
      </c>
      <c r="J35">
        <v>73.959999999999994</v>
      </c>
      <c r="K35">
        <v>4.3600000000000003</v>
      </c>
      <c r="L35" t="s">
        <v>50</v>
      </c>
      <c r="M35" t="s">
        <v>1457</v>
      </c>
      <c r="N35" t="s">
        <v>1458</v>
      </c>
      <c r="O35" t="s">
        <v>1459</v>
      </c>
      <c r="P35">
        <v>29.85</v>
      </c>
      <c r="Q35" t="s">
        <v>1460</v>
      </c>
      <c r="R35">
        <v>220262670</v>
      </c>
      <c r="S35">
        <v>0.25219999999999998</v>
      </c>
      <c r="T35" t="s">
        <v>1461</v>
      </c>
      <c r="U35">
        <v>481483800</v>
      </c>
      <c r="V35">
        <v>2733333800</v>
      </c>
      <c r="W35">
        <v>3.51</v>
      </c>
      <c r="X35">
        <v>0.01</v>
      </c>
      <c r="Y35">
        <v>39.06</v>
      </c>
      <c r="Z35" t="s">
        <v>44</v>
      </c>
      <c r="AA35" t="s">
        <v>44</v>
      </c>
      <c r="AB35" t="s">
        <v>44</v>
      </c>
      <c r="AC35" t="s">
        <v>44</v>
      </c>
      <c r="AD35" t="s">
        <v>44</v>
      </c>
      <c r="AE35">
        <v>0</v>
      </c>
      <c r="AF35" t="s">
        <v>1462</v>
      </c>
      <c r="AG35" t="s">
        <v>1463</v>
      </c>
      <c r="AH35" t="s">
        <v>1464</v>
      </c>
      <c r="AI35" t="s">
        <v>1465</v>
      </c>
      <c r="AJ35" t="s">
        <v>108</v>
      </c>
      <c r="AK35" t="s">
        <v>44</v>
      </c>
      <c r="AL35" t="s">
        <v>108</v>
      </c>
      <c r="AM35" t="s">
        <v>1466</v>
      </c>
      <c r="AN35" t="s">
        <v>44</v>
      </c>
      <c r="AO35" t="s">
        <v>44</v>
      </c>
      <c r="AP35" t="s">
        <v>44</v>
      </c>
      <c r="AQ35" t="s">
        <v>44</v>
      </c>
      <c r="AR35" t="s">
        <v>44</v>
      </c>
      <c r="AS35" t="s">
        <v>44</v>
      </c>
      <c r="AT35" t="s">
        <v>44</v>
      </c>
      <c r="AU35" t="s">
        <v>1467</v>
      </c>
      <c r="AV35" t="s">
        <v>1468</v>
      </c>
      <c r="AW35" t="s">
        <v>293</v>
      </c>
      <c r="AX35" t="s">
        <v>643</v>
      </c>
      <c r="AY35" t="s">
        <v>637</v>
      </c>
      <c r="AZ35" t="s">
        <v>427</v>
      </c>
      <c r="BA35" t="s">
        <v>638</v>
      </c>
      <c r="BB35" t="s">
        <v>639</v>
      </c>
      <c r="BC35" t="s">
        <v>1469</v>
      </c>
      <c r="BD35" t="s">
        <v>622</v>
      </c>
      <c r="BE35" t="s">
        <v>640</v>
      </c>
      <c r="BF35" t="s">
        <v>627</v>
      </c>
      <c r="BG35" t="s">
        <v>615</v>
      </c>
      <c r="BH35" t="s">
        <v>1470</v>
      </c>
      <c r="BI35" t="s">
        <v>1471</v>
      </c>
      <c r="BJ35" t="s">
        <v>643</v>
      </c>
      <c r="BK35" t="s">
        <v>1472</v>
      </c>
      <c r="BL35" t="s">
        <v>773</v>
      </c>
      <c r="BM35" t="s">
        <v>1469</v>
      </c>
      <c r="BN35" t="s">
        <v>44</v>
      </c>
      <c r="BO35" t="s">
        <v>44</v>
      </c>
      <c r="BP35" t="s">
        <v>44</v>
      </c>
      <c r="BQ35">
        <v>3.76</v>
      </c>
      <c r="BR35">
        <v>5.55</v>
      </c>
      <c r="BS35">
        <v>9.2100000000000009</v>
      </c>
      <c r="BT35" t="s">
        <v>619</v>
      </c>
      <c r="BU35" t="s">
        <v>50</v>
      </c>
      <c r="BV35" t="s">
        <v>44</v>
      </c>
      <c r="BW35" t="s">
        <v>44</v>
      </c>
      <c r="BX35" t="s">
        <v>44</v>
      </c>
      <c r="BY35">
        <v>36.39</v>
      </c>
      <c r="BZ35">
        <v>34.86</v>
      </c>
      <c r="CA35">
        <v>40.630000000000003</v>
      </c>
      <c r="CB35">
        <v>-1.42</v>
      </c>
      <c r="CC35" s="10">
        <v>-1.99</v>
      </c>
      <c r="CD35" s="11" t="s">
        <v>1473</v>
      </c>
      <c r="CE35" s="10" t="s">
        <v>1474</v>
      </c>
      <c r="CF35" s="10">
        <v>-0.83333333333333337</v>
      </c>
      <c r="CG35" s="10">
        <v>0.1592772105263158</v>
      </c>
      <c r="CH35" s="10">
        <v>10.181360244750977</v>
      </c>
      <c r="CI35" s="10">
        <v>-0.24846187233924866</v>
      </c>
      <c r="CJ35" s="11">
        <v>0.27442699670791626</v>
      </c>
      <c r="CK35" s="11">
        <v>0.23731343448162079</v>
      </c>
      <c r="CL35" s="11">
        <v>0.64417177438735962</v>
      </c>
      <c r="CM35" s="11">
        <v>1.0252252817153931</v>
      </c>
      <c r="CN35" s="11">
        <v>-0.35389989614486694</v>
      </c>
      <c r="CO35">
        <v>0.40589198470115662</v>
      </c>
      <c r="CP35">
        <v>0.40783411264419556</v>
      </c>
      <c r="CQ35">
        <v>1.4800000190734863</v>
      </c>
      <c r="CR35" s="10">
        <v>88.022367748802552</v>
      </c>
      <c r="CS35" s="11">
        <v>0.39689724668724907</v>
      </c>
      <c r="CT35">
        <v>0.49578582052553294</v>
      </c>
      <c r="CU35">
        <v>2.2177621155977247</v>
      </c>
      <c r="CV35">
        <v>0.59301030039787295</v>
      </c>
      <c r="CW35">
        <v>0.06</v>
      </c>
      <c r="CX35">
        <v>21.487525949211367</v>
      </c>
      <c r="CY35">
        <v>3412042092.3885307</v>
      </c>
      <c r="CZ35">
        <v>2.2177621155977247</v>
      </c>
      <c r="DA35">
        <v>1.7772484760636196</v>
      </c>
      <c r="DB35">
        <v>41252725202.716965</v>
      </c>
      <c r="DC35">
        <v>2.1068740098178385</v>
      </c>
      <c r="DD35">
        <v>8.986789445934798E-2</v>
      </c>
      <c r="DE35">
        <v>815823531207.40881</v>
      </c>
      <c r="DF35">
        <v>1.9516306617259978</v>
      </c>
      <c r="DG35">
        <v>2.6733372810436654E-3</v>
      </c>
      <c r="DH35">
        <v>27425025461574.926</v>
      </c>
      <c r="DI35">
        <v>1.7742096924781798</v>
      </c>
      <c r="DJ35">
        <v>8.8798104292934915E-7</v>
      </c>
      <c r="DK35">
        <v>8.256521193080616E+16</v>
      </c>
      <c r="DL35">
        <v>1.5524334809184073</v>
      </c>
      <c r="DM35">
        <v>1124000000</v>
      </c>
      <c r="DN35">
        <v>2.2177621155977247</v>
      </c>
      <c r="DO35">
        <v>73316343000</v>
      </c>
      <c r="DP35">
        <v>0</v>
      </c>
      <c r="DQ35" s="12">
        <v>3671</v>
      </c>
      <c r="DR35">
        <v>-3.0510954489310582</v>
      </c>
      <c r="DS35">
        <v>-0.43373308987155712</v>
      </c>
      <c r="DT35">
        <v>0.16</v>
      </c>
      <c r="DU35">
        <v>0.85333333333333339</v>
      </c>
      <c r="DV35">
        <v>1.0133333333333334</v>
      </c>
      <c r="DW35">
        <v>-1.9900000000000001E-2</v>
      </c>
      <c r="DX35">
        <v>0.46706766917293069</v>
      </c>
      <c r="DY35">
        <v>-2.5286466165413534E-3</v>
      </c>
      <c r="DZ35">
        <v>1100</v>
      </c>
      <c r="EA35">
        <v>-1.9843195562291248E-3</v>
      </c>
      <c r="EB35" s="13">
        <v>0</v>
      </c>
      <c r="EC35">
        <v>6.1829257736468191E-2</v>
      </c>
      <c r="ED35">
        <v>0.48658528277812246</v>
      </c>
      <c r="EE35">
        <v>-2.0185</v>
      </c>
      <c r="EF35">
        <v>-2.0154100000000001</v>
      </c>
      <c r="EG35">
        <v>34.127067669172931</v>
      </c>
      <c r="EH35" s="9" t="s">
        <v>1181</v>
      </c>
      <c r="EI35" s="14">
        <v>0</v>
      </c>
      <c r="EJ35" s="14">
        <v>1</v>
      </c>
      <c r="EK35" s="14">
        <v>45470</v>
      </c>
      <c r="EL35" s="14">
        <v>0.78</v>
      </c>
      <c r="EM35" s="14">
        <v>-5.95</v>
      </c>
      <c r="EN35" s="14">
        <v>-4.04</v>
      </c>
      <c r="EO35" s="14">
        <v>4.3</v>
      </c>
      <c r="EP35" s="14">
        <v>-3.39</v>
      </c>
    </row>
    <row r="36" spans="1:146" ht="96" x14ac:dyDescent="0.25">
      <c r="A36" s="6"/>
      <c r="B36" s="6"/>
      <c r="C36" s="6" t="str">
        <f>""&amp;CHAR(10)&amp;Basic_Fundamental_Information_Constructure(F36)&amp;CHAR(10)&amp;Basic_Fundamental_Information_Concatenate("")</f>
        <v xml:space="preserve">
市值191.51324亿, 利润13.96亿; PE; 平均PE74.37; 平均PEG.78, PB.823; ROIC0%; ROE-.63%; 股利率0%; 毛利0%; 净利-19.6%; 上一年度营收增505.58%, 利润增192.88%; 当季营收增-92.47%, 利润增-262.12%; 过往5年营收增95.28%, 利润增-17.09%
Income profile:
</v>
      </c>
      <c r="D36" t="s">
        <v>52</v>
      </c>
      <c r="E36" t="s">
        <v>7</v>
      </c>
      <c r="F36">
        <v>2.21</v>
      </c>
      <c r="G36">
        <v>1.84</v>
      </c>
      <c r="H36" t="s">
        <v>426</v>
      </c>
      <c r="I36">
        <v>19151324000</v>
      </c>
      <c r="K36">
        <v>0.82299999999999995</v>
      </c>
      <c r="L36" t="s">
        <v>50</v>
      </c>
      <c r="M36" t="s">
        <v>1475</v>
      </c>
      <c r="N36" t="s">
        <v>1476</v>
      </c>
      <c r="O36" t="s">
        <v>1477</v>
      </c>
      <c r="P36">
        <v>-86.8</v>
      </c>
      <c r="Q36" t="s">
        <v>1478</v>
      </c>
      <c r="R36">
        <v>-376122220</v>
      </c>
      <c r="S36" s="5">
        <v>-1.6870000000000001</v>
      </c>
      <c r="T36" t="s">
        <v>1308</v>
      </c>
      <c r="U36">
        <v>8665757500</v>
      </c>
      <c r="V36">
        <v>8665757500</v>
      </c>
      <c r="W36">
        <v>4.0599999999999996</v>
      </c>
      <c r="X36">
        <v>0</v>
      </c>
      <c r="Y36">
        <v>-226.53</v>
      </c>
      <c r="Z36" t="s">
        <v>44</v>
      </c>
      <c r="AA36" t="s">
        <v>44</v>
      </c>
      <c r="AB36" t="s">
        <v>44</v>
      </c>
      <c r="AC36" t="s">
        <v>44</v>
      </c>
      <c r="AD36" t="s">
        <v>44</v>
      </c>
      <c r="AE36">
        <v>0</v>
      </c>
      <c r="AF36" t="s">
        <v>1479</v>
      </c>
      <c r="AG36" t="s">
        <v>1480</v>
      </c>
      <c r="AH36" t="s">
        <v>1481</v>
      </c>
      <c r="AI36" t="s">
        <v>1482</v>
      </c>
      <c r="AJ36" t="s">
        <v>108</v>
      </c>
      <c r="AK36" t="s">
        <v>44</v>
      </c>
      <c r="AL36" t="s">
        <v>108</v>
      </c>
      <c r="AM36" t="s">
        <v>642</v>
      </c>
      <c r="AN36" t="s">
        <v>44</v>
      </c>
      <c r="AO36" t="s">
        <v>643</v>
      </c>
      <c r="AP36" t="s">
        <v>44</v>
      </c>
      <c r="AQ36" t="s">
        <v>44</v>
      </c>
      <c r="AR36" t="s">
        <v>44</v>
      </c>
      <c r="AS36" t="s">
        <v>44</v>
      </c>
      <c r="AT36" t="s">
        <v>44</v>
      </c>
      <c r="AU36" t="s">
        <v>1483</v>
      </c>
      <c r="AV36" t="s">
        <v>1343</v>
      </c>
      <c r="AW36" t="s">
        <v>1484</v>
      </c>
      <c r="AX36" t="s">
        <v>764</v>
      </c>
      <c r="AY36" t="s">
        <v>488</v>
      </c>
      <c r="AZ36" t="s">
        <v>349</v>
      </c>
      <c r="BA36" t="s">
        <v>164</v>
      </c>
      <c r="BB36" t="s">
        <v>350</v>
      </c>
      <c r="BC36" t="s">
        <v>1485</v>
      </c>
      <c r="BD36" t="s">
        <v>274</v>
      </c>
      <c r="BE36" t="s">
        <v>308</v>
      </c>
      <c r="BF36" t="s">
        <v>165</v>
      </c>
      <c r="BG36" t="s">
        <v>351</v>
      </c>
      <c r="BH36" t="s">
        <v>1486</v>
      </c>
      <c r="BI36" t="s">
        <v>1487</v>
      </c>
      <c r="BJ36" t="s">
        <v>764</v>
      </c>
      <c r="BK36" t="s">
        <v>1488</v>
      </c>
      <c r="BL36" t="s">
        <v>343</v>
      </c>
      <c r="BM36" t="s">
        <v>1485</v>
      </c>
      <c r="BN36" t="s">
        <v>44</v>
      </c>
      <c r="BO36" t="s">
        <v>44</v>
      </c>
      <c r="BP36" t="s">
        <v>44</v>
      </c>
      <c r="BQ36">
        <v>1.81</v>
      </c>
      <c r="BR36">
        <v>-6.26</v>
      </c>
      <c r="BS36">
        <v>2.56</v>
      </c>
      <c r="BT36" t="s">
        <v>625</v>
      </c>
      <c r="BU36" t="s">
        <v>50</v>
      </c>
      <c r="BV36" t="s">
        <v>44</v>
      </c>
      <c r="BW36" t="s">
        <v>44</v>
      </c>
      <c r="BX36" t="s">
        <v>44</v>
      </c>
      <c r="BY36">
        <v>12.22</v>
      </c>
      <c r="BZ36">
        <v>-84.58</v>
      </c>
      <c r="CA36">
        <v>13.56</v>
      </c>
      <c r="CB36">
        <v>1.38</v>
      </c>
      <c r="CC36">
        <v>-22.73</v>
      </c>
      <c r="CD36" t="s">
        <v>1141</v>
      </c>
      <c r="CE36" t="s">
        <v>1489</v>
      </c>
      <c r="CF36" s="10">
        <v>-0.92473555736371038</v>
      </c>
      <c r="CG36" s="11">
        <v>-2.6212164655172416</v>
      </c>
      <c r="CH36" s="10">
        <v>5.055781364440918</v>
      </c>
      <c r="CI36" s="10">
        <v>-0.60939627885818481</v>
      </c>
      <c r="CJ36" s="10">
        <v>1.0550487786531448E-2</v>
      </c>
      <c r="CK36" s="10">
        <v>0.13364531099796295</v>
      </c>
      <c r="CL36" s="10">
        <v>0.17363448441028595</v>
      </c>
      <c r="CM36" s="11">
        <v>1.9288090467453003</v>
      </c>
      <c r="CN36" s="11">
        <v>-3.5648465156555176</v>
      </c>
      <c r="CO36" s="11">
        <v>0.28791210055351257</v>
      </c>
      <c r="CP36" s="11">
        <v>0.47727271914482117</v>
      </c>
      <c r="CQ36" s="11">
        <v>1.6501650214195251E-2</v>
      </c>
      <c r="CR36">
        <v>74.374073786407763</v>
      </c>
      <c r="CS36">
        <v>0.7805490309466423</v>
      </c>
      <c r="CT36">
        <v>0</v>
      </c>
      <c r="CU36" s="10">
        <v>0.9528430737555027</v>
      </c>
      <c r="CV36" s="11">
        <v>-0.17087019979953766</v>
      </c>
      <c r="CW36">
        <v>0.06</v>
      </c>
      <c r="CX36">
        <v>27.193701240598148</v>
      </c>
      <c r="CY36">
        <v>2571857482.0402656</v>
      </c>
      <c r="CZ36">
        <v>0.9528430737555027</v>
      </c>
      <c r="DA36">
        <v>4.6241480084964897</v>
      </c>
      <c r="DB36">
        <v>15124585949.994272</v>
      </c>
      <c r="DC36">
        <v>0.90520092006772757</v>
      </c>
      <c r="DD36">
        <v>0.80896397909428841</v>
      </c>
      <c r="DE36">
        <v>86454188081.776596</v>
      </c>
      <c r="DF36">
        <v>0.83850190490484233</v>
      </c>
      <c r="DG36">
        <v>0.12453370031957288</v>
      </c>
      <c r="DH36">
        <v>561601589132.31812</v>
      </c>
      <c r="DI36">
        <v>0.76227445900440216</v>
      </c>
      <c r="DJ36">
        <v>2.1310113703092463E-3</v>
      </c>
      <c r="DK36">
        <v>32819310574514.086</v>
      </c>
      <c r="DL36">
        <v>0.66699015162885189</v>
      </c>
      <c r="DM36">
        <v>1396000000</v>
      </c>
      <c r="DN36">
        <v>0.9528430737555027</v>
      </c>
      <c r="DO36">
        <v>69938324000</v>
      </c>
      <c r="DP36">
        <v>0</v>
      </c>
      <c r="DQ36">
        <v>3678</v>
      </c>
      <c r="DR36">
        <v>-1.8775786311192131</v>
      </c>
      <c r="DS36">
        <v>-2.450346265717704</v>
      </c>
      <c r="DT36" s="12">
        <v>-0.34000000000000008</v>
      </c>
      <c r="DU36">
        <v>-1.0649999999999999</v>
      </c>
      <c r="DV36">
        <v>-1.405</v>
      </c>
      <c r="DW36">
        <v>-3.0761130952380951</v>
      </c>
      <c r="DX36">
        <v>0.41005391583418915</v>
      </c>
      <c r="DY36">
        <v>-3.0098988060819747</v>
      </c>
      <c r="DZ36">
        <v>3032</v>
      </c>
      <c r="EA36">
        <v>-3.0040253853304</v>
      </c>
      <c r="EB36">
        <v>3</v>
      </c>
      <c r="EC36">
        <v>6.68147014268516E-2</v>
      </c>
      <c r="ED36">
        <v>0.51374620164480711</v>
      </c>
      <c r="EE36" s="13">
        <v>1.0858099999999999</v>
      </c>
      <c r="EF36">
        <v>1.0879099999999999</v>
      </c>
      <c r="EG36">
        <v>28.130053915834189</v>
      </c>
      <c r="EH36" t="s">
        <v>647</v>
      </c>
      <c r="EI36">
        <v>0</v>
      </c>
      <c r="EJ36">
        <v>0</v>
      </c>
      <c r="EK36" s="9">
        <v>45470</v>
      </c>
      <c r="EL36" s="14">
        <v>0.21</v>
      </c>
      <c r="EM36" s="14">
        <v>-1.45</v>
      </c>
      <c r="EN36" s="14">
        <v>-0.21</v>
      </c>
      <c r="EO36" s="14">
        <v>0.63</v>
      </c>
      <c r="EP36" s="14">
        <v>-0.21</v>
      </c>
    </row>
    <row r="37" spans="1:146" ht="96" x14ac:dyDescent="0.25">
      <c r="A37" s="6"/>
      <c r="B37" s="6"/>
      <c r="C37" s="6" t="str">
        <f>""&amp;CHAR(10)&amp;Basic_Fundamental_Information_Constructure(F37)&amp;CHAR(10)&amp;Basic_Fundamental_Information_Concatenate("")</f>
        <v xml:space="preserve">
市值251.48426亿, 利润3.23亿; PE26.17; 平均PE24.1; 平均PEG3.03, PB.911; ROIC0%; ROE3.7033%; 股利率1.3111%; 毛利0%; 净利21.0567%; 上一年度营收增-60.22%, 利润增-37.52%; 当季营收增573.47%, 利润增389.96%; 过往5年营收增-7.96%, 利润增-10.34%
Income profile:
</v>
      </c>
      <c r="D37" t="s">
        <v>76</v>
      </c>
      <c r="E37" t="s">
        <v>20</v>
      </c>
      <c r="F37">
        <v>7.78</v>
      </c>
      <c r="G37">
        <v>0.39</v>
      </c>
      <c r="H37" t="s">
        <v>1490</v>
      </c>
      <c r="I37">
        <v>25148426000</v>
      </c>
      <c r="J37">
        <v>26.17</v>
      </c>
      <c r="K37">
        <v>0.91100000000000003</v>
      </c>
      <c r="L37" t="s">
        <v>50</v>
      </c>
      <c r="M37" t="s">
        <v>1491</v>
      </c>
      <c r="N37" t="s">
        <v>1492</v>
      </c>
      <c r="O37" t="s">
        <v>1493</v>
      </c>
      <c r="P37">
        <v>112.56</v>
      </c>
      <c r="Q37" t="s">
        <v>1348</v>
      </c>
      <c r="R37">
        <v>360482490</v>
      </c>
      <c r="S37" s="5">
        <v>0.64280000000000004</v>
      </c>
      <c r="T37" t="s">
        <v>646</v>
      </c>
      <c r="U37">
        <v>3232445500</v>
      </c>
      <c r="V37">
        <v>3232445500</v>
      </c>
      <c r="W37">
        <v>3.63</v>
      </c>
      <c r="X37">
        <v>0.02</v>
      </c>
      <c r="Y37">
        <v>18.3</v>
      </c>
      <c r="Z37" t="s">
        <v>44</v>
      </c>
      <c r="AA37" t="s">
        <v>44</v>
      </c>
      <c r="AB37" t="s">
        <v>44</v>
      </c>
      <c r="AC37" t="s">
        <v>44</v>
      </c>
      <c r="AD37" t="s">
        <v>44</v>
      </c>
      <c r="AE37">
        <v>0</v>
      </c>
      <c r="AF37" t="s">
        <v>1494</v>
      </c>
      <c r="AG37" t="s">
        <v>1495</v>
      </c>
      <c r="AH37" t="s">
        <v>1496</v>
      </c>
      <c r="AI37" t="s">
        <v>1497</v>
      </c>
      <c r="AJ37" t="s">
        <v>108</v>
      </c>
      <c r="AK37" t="s">
        <v>44</v>
      </c>
      <c r="AL37" t="s">
        <v>108</v>
      </c>
      <c r="AM37" t="s">
        <v>118</v>
      </c>
      <c r="AN37" t="s">
        <v>44</v>
      </c>
      <c r="AO37" t="s">
        <v>44</v>
      </c>
      <c r="AP37" t="s">
        <v>44</v>
      </c>
      <c r="AQ37" t="s">
        <v>44</v>
      </c>
      <c r="AR37" t="s">
        <v>44</v>
      </c>
      <c r="AS37" t="s">
        <v>44</v>
      </c>
      <c r="AT37" t="s">
        <v>44</v>
      </c>
      <c r="AU37" t="s">
        <v>1498</v>
      </c>
      <c r="AV37" t="s">
        <v>1499</v>
      </c>
      <c r="AW37" t="s">
        <v>1500</v>
      </c>
      <c r="AX37" t="s">
        <v>766</v>
      </c>
      <c r="AY37" t="s">
        <v>489</v>
      </c>
      <c r="AZ37" t="s">
        <v>352</v>
      </c>
      <c r="BA37" t="s">
        <v>354</v>
      </c>
      <c r="BB37" t="s">
        <v>355</v>
      </c>
      <c r="BC37" t="s">
        <v>767</v>
      </c>
      <c r="BD37" t="s">
        <v>490</v>
      </c>
      <c r="BE37" t="s">
        <v>353</v>
      </c>
      <c r="BF37" t="s">
        <v>166</v>
      </c>
      <c r="BG37" t="s">
        <v>192</v>
      </c>
      <c r="BH37" t="s">
        <v>1501</v>
      </c>
      <c r="BI37" t="s">
        <v>651</v>
      </c>
      <c r="BJ37" t="s">
        <v>766</v>
      </c>
      <c r="BK37" t="s">
        <v>754</v>
      </c>
      <c r="BL37" t="s">
        <v>1502</v>
      </c>
      <c r="BM37" t="s">
        <v>767</v>
      </c>
      <c r="BN37" t="s">
        <v>44</v>
      </c>
      <c r="BO37" t="s">
        <v>44</v>
      </c>
      <c r="BP37" t="s">
        <v>44</v>
      </c>
      <c r="BQ37">
        <v>1.78</v>
      </c>
      <c r="BR37">
        <v>1.96</v>
      </c>
      <c r="BS37">
        <v>7.37</v>
      </c>
      <c r="BT37" t="s">
        <v>1503</v>
      </c>
      <c r="BU37" t="s">
        <v>50</v>
      </c>
      <c r="BV37" t="s">
        <v>44</v>
      </c>
      <c r="BW37" t="s">
        <v>44</v>
      </c>
      <c r="BX37" t="s">
        <v>44</v>
      </c>
      <c r="BY37">
        <v>17.350000000000001</v>
      </c>
      <c r="BZ37">
        <v>15.08</v>
      </c>
      <c r="CA37">
        <v>30.74</v>
      </c>
      <c r="CB37">
        <v>-2.2599999999999998</v>
      </c>
      <c r="CC37">
        <v>-8.69</v>
      </c>
      <c r="CD37" t="s">
        <v>1504</v>
      </c>
      <c r="CE37" t="s">
        <v>1505</v>
      </c>
      <c r="CF37" s="10">
        <v>5.7346938775510203</v>
      </c>
      <c r="CG37" s="11">
        <v>3.8996107304648264</v>
      </c>
      <c r="CH37" s="10">
        <v>-0.60221636295318604</v>
      </c>
      <c r="CI37" s="10">
        <v>-0.3621651828289032</v>
      </c>
      <c r="CJ37" s="10">
        <v>-5.4686136543750763E-2</v>
      </c>
      <c r="CK37" s="10">
        <v>0.27083805203437805</v>
      </c>
      <c r="CL37" s="10">
        <v>0.35033193230628967</v>
      </c>
      <c r="CM37" s="11">
        <v>-0.37524178624153137</v>
      </c>
      <c r="CN37" s="11">
        <v>-0.68704605102539063</v>
      </c>
      <c r="CO37" s="11">
        <v>7.2727270424365997E-2</v>
      </c>
      <c r="CP37" s="11">
        <v>0.26126131415367126</v>
      </c>
      <c r="CQ37" s="11">
        <v>0.21130946278572083</v>
      </c>
      <c r="CR37">
        <v>24.100072831816004</v>
      </c>
      <c r="CS37">
        <v>3.028425767961354</v>
      </c>
      <c r="CT37">
        <v>1.3110539845758356</v>
      </c>
      <c r="CU37" s="10">
        <v>-7.9579539597034454E-2</v>
      </c>
      <c r="CV37" s="11">
        <v>-0.10339795798063278</v>
      </c>
      <c r="CW37">
        <v>0.06</v>
      </c>
      <c r="CX37">
        <v>215.7010092879257</v>
      </c>
      <c r="CY37" t="s">
        <v>1506</v>
      </c>
      <c r="CZ37">
        <v>-7.9579539597034454E-2</v>
      </c>
      <c r="DA37">
        <v>71.900336429308567</v>
      </c>
      <c r="DB37" t="s">
        <v>1507</v>
      </c>
      <c r="DC37">
        <v>-7.5600562617182732E-2</v>
      </c>
      <c r="DD37">
        <v>35.950168214654283</v>
      </c>
      <c r="DE37" t="s">
        <v>1508</v>
      </c>
      <c r="DF37">
        <v>-7.0029994845390325E-2</v>
      </c>
      <c r="DG37">
        <v>21.57010092879257</v>
      </c>
      <c r="DH37" t="s">
        <v>1509</v>
      </c>
      <c r="DI37">
        <v>-6.3663631677627563E-2</v>
      </c>
      <c r="DJ37">
        <v>10.785050464396285</v>
      </c>
      <c r="DK37" t="s">
        <v>1510</v>
      </c>
      <c r="DL37">
        <v>-5.5705677717924111E-2</v>
      </c>
      <c r="DM37">
        <v>323000000</v>
      </c>
      <c r="DN37">
        <v>-7.9579539597034454E-2</v>
      </c>
      <c r="DO37">
        <v>69671426000</v>
      </c>
      <c r="DP37">
        <v>0</v>
      </c>
      <c r="DQ37">
        <v>3688</v>
      </c>
      <c r="DR37">
        <v>5.8142734171480548</v>
      </c>
      <c r="DS37">
        <v>4.0030086884454592</v>
      </c>
      <c r="DT37" s="12">
        <v>-0.70666666666666667</v>
      </c>
      <c r="DU37">
        <v>0.18999999999999997</v>
      </c>
      <c r="DV37">
        <v>-0.51666666666666672</v>
      </c>
      <c r="DW37">
        <v>-2.0869</v>
      </c>
      <c r="DX37">
        <v>0.35246789297659031</v>
      </c>
      <c r="DY37">
        <v>-2.0123804598996657</v>
      </c>
      <c r="DZ37">
        <v>3258</v>
      </c>
      <c r="EA37">
        <v>-2.0044870081671586</v>
      </c>
      <c r="EB37">
        <v>2</v>
      </c>
      <c r="EC37">
        <v>2.6356453650958695E-2</v>
      </c>
      <c r="ED37">
        <v>0.18499925211422744</v>
      </c>
      <c r="EE37" s="13">
        <v>-2.1036999999999999</v>
      </c>
      <c r="EF37">
        <v>-2.0836000000000001</v>
      </c>
      <c r="EG37">
        <v>21.14246789297659</v>
      </c>
      <c r="EH37" t="s">
        <v>1511</v>
      </c>
      <c r="EI37">
        <v>0</v>
      </c>
      <c r="EJ37">
        <v>0</v>
      </c>
      <c r="EK37" s="9">
        <v>45470</v>
      </c>
      <c r="EL37" s="14">
        <v>0.98</v>
      </c>
      <c r="EM37" s="14">
        <v>-3.55</v>
      </c>
      <c r="EN37" s="14">
        <v>0.34</v>
      </c>
      <c r="EO37" s="14">
        <v>1.36</v>
      </c>
      <c r="EP37" s="14">
        <v>-2.0099999999999998</v>
      </c>
    </row>
    <row r="38" spans="1:146" ht="96" x14ac:dyDescent="0.25">
      <c r="A38" s="6"/>
      <c r="B38" s="6"/>
      <c r="C38" s="6" t="str">
        <f>""&amp;CHAR(10)&amp;Basic_Fundamental_Information_Constructure(F38)&amp;CHAR(10)&amp;Basic_Fundamental_Information_Concatenate("")</f>
        <v xml:space="preserve">
市值1197.55177亿, 利润8306.44万; PE13.57; 平均PE13.54; 平均PEG.34, PB.801; ROIC0%; ROE8.1833%; 股利率2.974%; 毛利0%; 净利31.95%; 上一年度营收增145.19%, 利润增-99.28%; 当季营收增-62%, 利润增3745.4%; 过往5年营收增39.81%, 利润增-6.02%
Income profile:
</v>
      </c>
      <c r="D38" t="s">
        <v>86</v>
      </c>
      <c r="E38" t="s">
        <v>37</v>
      </c>
      <c r="F38">
        <v>13.45</v>
      </c>
      <c r="G38">
        <v>-0.44</v>
      </c>
      <c r="H38" t="s">
        <v>1512</v>
      </c>
      <c r="I38">
        <v>119755177000</v>
      </c>
      <c r="J38">
        <v>13.57</v>
      </c>
      <c r="K38">
        <v>0.80100000000000005</v>
      </c>
      <c r="L38" t="s">
        <v>50</v>
      </c>
      <c r="M38" t="s">
        <v>1513</v>
      </c>
      <c r="N38" t="s">
        <v>1514</v>
      </c>
      <c r="O38" t="s">
        <v>1515</v>
      </c>
      <c r="P38">
        <v>-14.05</v>
      </c>
      <c r="Q38" t="s">
        <v>1516</v>
      </c>
      <c r="R38">
        <v>2489358700</v>
      </c>
      <c r="S38" s="5">
        <v>-0.18129999999999999</v>
      </c>
      <c r="T38" t="s">
        <v>1517</v>
      </c>
      <c r="U38">
        <v>7480322900</v>
      </c>
      <c r="V38">
        <v>8903730600</v>
      </c>
      <c r="W38">
        <v>5.17</v>
      </c>
      <c r="X38">
        <v>0.01</v>
      </c>
      <c r="Y38">
        <v>32.81</v>
      </c>
      <c r="Z38" t="s">
        <v>44</v>
      </c>
      <c r="AA38" t="s">
        <v>44</v>
      </c>
      <c r="AB38" t="s">
        <v>44</v>
      </c>
      <c r="AC38" t="s">
        <v>44</v>
      </c>
      <c r="AD38" t="s">
        <v>44</v>
      </c>
      <c r="AE38">
        <v>0</v>
      </c>
      <c r="AF38" t="s">
        <v>1518</v>
      </c>
      <c r="AG38" t="s">
        <v>1519</v>
      </c>
      <c r="AH38" t="s">
        <v>1520</v>
      </c>
      <c r="AI38" t="s">
        <v>1521</v>
      </c>
      <c r="AJ38" t="s">
        <v>108</v>
      </c>
      <c r="AK38" t="s">
        <v>44</v>
      </c>
      <c r="AL38" t="s">
        <v>108</v>
      </c>
      <c r="AM38" t="s">
        <v>1522</v>
      </c>
      <c r="AN38" t="s">
        <v>294</v>
      </c>
      <c r="AO38" t="s">
        <v>1523</v>
      </c>
      <c r="AP38" t="s">
        <v>44</v>
      </c>
      <c r="AQ38" t="s">
        <v>44</v>
      </c>
      <c r="AR38" t="s">
        <v>44</v>
      </c>
      <c r="AS38" t="s">
        <v>44</v>
      </c>
      <c r="AT38" t="s">
        <v>1524</v>
      </c>
      <c r="AU38" t="s">
        <v>1525</v>
      </c>
      <c r="AV38" t="s">
        <v>1526</v>
      </c>
      <c r="AW38" t="s">
        <v>1527</v>
      </c>
      <c r="AX38" t="s">
        <v>768</v>
      </c>
      <c r="AY38" t="s">
        <v>491</v>
      </c>
      <c r="AZ38" t="s">
        <v>356</v>
      </c>
      <c r="BA38" t="s">
        <v>167</v>
      </c>
      <c r="BB38" t="s">
        <v>358</v>
      </c>
      <c r="BC38" t="s">
        <v>1528</v>
      </c>
      <c r="BD38" t="s">
        <v>492</v>
      </c>
      <c r="BE38" t="s">
        <v>357</v>
      </c>
      <c r="BF38" t="s">
        <v>168</v>
      </c>
      <c r="BG38" t="s">
        <v>359</v>
      </c>
      <c r="BH38" t="s">
        <v>1529</v>
      </c>
      <c r="BI38" t="s">
        <v>1530</v>
      </c>
      <c r="BJ38" t="s">
        <v>768</v>
      </c>
      <c r="BK38" t="s">
        <v>1531</v>
      </c>
      <c r="BL38" t="s">
        <v>1532</v>
      </c>
      <c r="BM38" t="s">
        <v>1528</v>
      </c>
      <c r="BN38" t="s">
        <v>44</v>
      </c>
      <c r="BO38" t="s">
        <v>44</v>
      </c>
      <c r="BP38" t="s">
        <v>44</v>
      </c>
      <c r="BQ38">
        <v>5.62</v>
      </c>
      <c r="BR38">
        <v>7.88</v>
      </c>
      <c r="BS38">
        <v>11.05</v>
      </c>
      <c r="BT38" t="s">
        <v>1533</v>
      </c>
      <c r="BU38" t="s">
        <v>50</v>
      </c>
      <c r="BV38" t="s">
        <v>44</v>
      </c>
      <c r="BW38" t="s">
        <v>44</v>
      </c>
      <c r="BX38" t="s">
        <v>44</v>
      </c>
      <c r="BY38">
        <v>27.35</v>
      </c>
      <c r="BZ38">
        <v>32.76</v>
      </c>
      <c r="CA38">
        <v>35.74</v>
      </c>
      <c r="CB38">
        <v>-0.74</v>
      </c>
      <c r="CC38">
        <v>0.98</v>
      </c>
      <c r="CD38" t="s">
        <v>1455</v>
      </c>
      <c r="CE38" t="s">
        <v>1534</v>
      </c>
      <c r="CF38" s="10">
        <v>-0.61998381491883658</v>
      </c>
      <c r="CG38" s="11">
        <v>37.454037043328512</v>
      </c>
      <c r="CH38" s="10">
        <v>1.451890230178833</v>
      </c>
      <c r="CI38" s="10">
        <v>-0.17156736552715302</v>
      </c>
      <c r="CJ38" s="10">
        <v>0.21639202535152435</v>
      </c>
      <c r="CK38" s="10">
        <v>0.17533141374588013</v>
      </c>
      <c r="CL38" s="10">
        <v>0.31823578476905823</v>
      </c>
      <c r="CM38" s="11">
        <v>-0.9927825927734375</v>
      </c>
      <c r="CN38" s="11">
        <v>-0.2333977222442627</v>
      </c>
      <c r="CO38" s="11">
        <v>0.34984716773033142</v>
      </c>
      <c r="CP38" s="11">
        <v>0.28771567344665527</v>
      </c>
      <c r="CQ38" s="11">
        <v>0.28756707906723022</v>
      </c>
      <c r="CR38">
        <v>13.538781091771513</v>
      </c>
      <c r="CS38">
        <v>0.34012216584463573</v>
      </c>
      <c r="CT38">
        <v>2.9739776951672865</v>
      </c>
      <c r="CU38" s="10">
        <v>0.39805641770362854</v>
      </c>
      <c r="CV38" s="11">
        <v>-6.0210078954696655E-2</v>
      </c>
      <c r="CW38">
        <v>0.06</v>
      </c>
      <c r="CX38">
        <v>6351.1631186561908</v>
      </c>
      <c r="CY38">
        <v>109555393.87047291</v>
      </c>
      <c r="CZ38">
        <v>0.39805641770362854</v>
      </c>
      <c r="DA38">
        <v>1614.5469106141477</v>
      </c>
      <c r="DB38">
        <v>430959405.65475875</v>
      </c>
      <c r="DC38">
        <v>0.37815359681844707</v>
      </c>
      <c r="DD38">
        <v>550.22349718355565</v>
      </c>
      <c r="DE38">
        <v>1264584628.9037676</v>
      </c>
      <c r="DF38">
        <v>0.35028964757919312</v>
      </c>
      <c r="DG38">
        <v>208.83885100861798</v>
      </c>
      <c r="DH38">
        <v>3331775546.7409983</v>
      </c>
      <c r="DI38">
        <v>0.31844513416290288</v>
      </c>
      <c r="DJ38">
        <v>34.477635207625049</v>
      </c>
      <c r="DK38">
        <v>20181319652.866344</v>
      </c>
      <c r="DL38">
        <v>0.27863949239253993</v>
      </c>
      <c r="DM38">
        <v>83064400</v>
      </c>
      <c r="DN38">
        <v>0.39805641770362854</v>
      </c>
      <c r="DO38">
        <v>695804177000</v>
      </c>
      <c r="DP38">
        <v>0</v>
      </c>
      <c r="DQ38">
        <v>3692</v>
      </c>
      <c r="DR38">
        <v>-1.0180402326224651</v>
      </c>
      <c r="DS38">
        <v>37.514247122283209</v>
      </c>
      <c r="DT38" s="12">
        <v>9.3333333333333268E-2</v>
      </c>
      <c r="DU38">
        <v>-0.13333333333333339</v>
      </c>
      <c r="DV38">
        <v>-4.0000000000000119E-2</v>
      </c>
      <c r="DW38">
        <v>9.7999999999999997E-3</v>
      </c>
      <c r="DX38">
        <v>0.33619047619047548</v>
      </c>
      <c r="DY38">
        <v>9.4266666666666663E-4</v>
      </c>
      <c r="DZ38">
        <v>1073</v>
      </c>
      <c r="EA38">
        <v>7.4472511415525102E-4</v>
      </c>
      <c r="EB38">
        <v>0</v>
      </c>
      <c r="EC38">
        <v>1.1343559743373187E-2</v>
      </c>
      <c r="ED38">
        <v>0.11792809634199848</v>
      </c>
      <c r="EE38" s="13">
        <v>5.1200000000000002E-2</v>
      </c>
      <c r="EF38">
        <v>1.6899999999999998E-2</v>
      </c>
      <c r="EG38">
        <v>24.096190476190475</v>
      </c>
      <c r="EH38" t="s">
        <v>608</v>
      </c>
      <c r="EI38">
        <v>0</v>
      </c>
      <c r="EJ38">
        <v>1</v>
      </c>
      <c r="EK38" s="9">
        <v>45470</v>
      </c>
      <c r="EL38" s="14">
        <v>-2.2400000000000002</v>
      </c>
      <c r="EM38" s="14">
        <v>-2.56</v>
      </c>
      <c r="EN38" s="14">
        <v>2.4900000000000002</v>
      </c>
      <c r="EO38" s="14">
        <v>2.16</v>
      </c>
      <c r="EP38" s="14">
        <v>-3.43</v>
      </c>
    </row>
    <row r="39" spans="1:146" ht="96" x14ac:dyDescent="0.25">
      <c r="A39" s="6"/>
      <c r="B39" s="6"/>
      <c r="C39" s="6" t="str">
        <f>""&amp;CHAR(10)&amp;Basic_Fundamental_Information_Constructure(F39)&amp;CHAR(10)&amp;Basic_Fundamental_Information_Concatenate("")</f>
        <v xml:space="preserve">
市值297.62931亿, 利润44.29亿; PE144.2; 平均PE20.57; 平均PEG.01, PB1.27; ROIC0%; ROE3.3667%; 股利率.9509%; 毛利0%; 净利16.6667%; 上一年度营收增15301.55%, 利润增11396.4%; 当季营收增-98.53%, 利润增-92.23%; 过往5年营收增3095.38%, 利润增2299.22%
Income profile:
</v>
      </c>
      <c r="D39" t="s">
        <v>54</v>
      </c>
      <c r="E39" t="s">
        <v>55</v>
      </c>
      <c r="F39">
        <v>6.31</v>
      </c>
      <c r="G39">
        <v>1.28</v>
      </c>
      <c r="H39" t="s">
        <v>1535</v>
      </c>
      <c r="I39">
        <v>29762931000</v>
      </c>
      <c r="J39">
        <v>144.19999999999999</v>
      </c>
      <c r="K39">
        <v>1.27</v>
      </c>
      <c r="L39" t="s">
        <v>50</v>
      </c>
      <c r="M39" t="s">
        <v>1536</v>
      </c>
      <c r="N39" t="s">
        <v>1537</v>
      </c>
      <c r="O39" t="s">
        <v>749</v>
      </c>
      <c r="P39">
        <v>-20.89</v>
      </c>
      <c r="Q39" t="s">
        <v>1538</v>
      </c>
      <c r="R39">
        <v>119567040</v>
      </c>
      <c r="S39" s="5">
        <v>-0.46949999999999997</v>
      </c>
      <c r="T39" t="s">
        <v>1539</v>
      </c>
      <c r="U39">
        <v>4716787700</v>
      </c>
      <c r="V39">
        <v>4716787700</v>
      </c>
      <c r="W39">
        <v>2.12</v>
      </c>
      <c r="X39">
        <v>0.01</v>
      </c>
      <c r="Y39">
        <v>31</v>
      </c>
      <c r="Z39" t="s">
        <v>44</v>
      </c>
      <c r="AA39" t="s">
        <v>44</v>
      </c>
      <c r="AB39" t="s">
        <v>44</v>
      </c>
      <c r="AC39" t="s">
        <v>44</v>
      </c>
      <c r="AD39" t="s">
        <v>44</v>
      </c>
      <c r="AE39">
        <v>0</v>
      </c>
      <c r="AF39" t="s">
        <v>1540</v>
      </c>
      <c r="AG39" t="s">
        <v>1541</v>
      </c>
      <c r="AH39" t="s">
        <v>1542</v>
      </c>
      <c r="AI39" t="s">
        <v>1543</v>
      </c>
      <c r="AJ39" t="s">
        <v>108</v>
      </c>
      <c r="AK39" t="s">
        <v>44</v>
      </c>
      <c r="AL39" t="s">
        <v>108</v>
      </c>
      <c r="AM39" t="s">
        <v>1544</v>
      </c>
      <c r="AN39" t="s">
        <v>1545</v>
      </c>
      <c r="AO39" t="s">
        <v>44</v>
      </c>
      <c r="AP39" t="s">
        <v>44</v>
      </c>
      <c r="AQ39" t="s">
        <v>44</v>
      </c>
      <c r="AR39" t="s">
        <v>44</v>
      </c>
      <c r="AS39" t="s">
        <v>44</v>
      </c>
      <c r="AT39" t="s">
        <v>44</v>
      </c>
      <c r="AU39" t="s">
        <v>986</v>
      </c>
      <c r="AV39" t="s">
        <v>1546</v>
      </c>
      <c r="AW39" t="s">
        <v>1547</v>
      </c>
      <c r="AX39" t="s">
        <v>769</v>
      </c>
      <c r="AY39" t="s">
        <v>493</v>
      </c>
      <c r="AZ39" t="s">
        <v>360</v>
      </c>
      <c r="BA39" t="s">
        <v>169</v>
      </c>
      <c r="BB39" t="s">
        <v>292</v>
      </c>
      <c r="BC39" t="s">
        <v>770</v>
      </c>
      <c r="BD39" t="s">
        <v>494</v>
      </c>
      <c r="BE39" t="s">
        <v>361</v>
      </c>
      <c r="BF39" t="s">
        <v>170</v>
      </c>
      <c r="BG39" t="s">
        <v>125</v>
      </c>
      <c r="BH39" t="s">
        <v>292</v>
      </c>
      <c r="BI39" t="s">
        <v>1548</v>
      </c>
      <c r="BJ39" t="s">
        <v>769</v>
      </c>
      <c r="BK39" t="s">
        <v>1549</v>
      </c>
      <c r="BL39" t="s">
        <v>1550</v>
      </c>
      <c r="BM39" t="s">
        <v>770</v>
      </c>
      <c r="BN39" t="s">
        <v>44</v>
      </c>
      <c r="BO39" t="s">
        <v>44</v>
      </c>
      <c r="BP39" t="s">
        <v>44</v>
      </c>
      <c r="BQ39">
        <v>0.9</v>
      </c>
      <c r="BR39">
        <v>0.17</v>
      </c>
      <c r="BS39">
        <v>9.0299999999999994</v>
      </c>
      <c r="BT39" t="s">
        <v>1551</v>
      </c>
      <c r="BU39" t="s">
        <v>50</v>
      </c>
      <c r="BV39" t="s">
        <v>44</v>
      </c>
      <c r="BW39" t="s">
        <v>44</v>
      </c>
      <c r="BX39" t="s">
        <v>44</v>
      </c>
      <c r="BY39">
        <v>23.79</v>
      </c>
      <c r="BZ39">
        <v>2.46</v>
      </c>
      <c r="CA39">
        <v>23.75</v>
      </c>
      <c r="CB39">
        <v>-1.71</v>
      </c>
      <c r="CC39">
        <v>-9.34</v>
      </c>
      <c r="CD39" t="s">
        <v>1552</v>
      </c>
      <c r="CE39" t="s">
        <v>681</v>
      </c>
      <c r="CF39" s="10">
        <v>-0.98529913234569777</v>
      </c>
      <c r="CG39" s="11">
        <v>-0.92225810143042908</v>
      </c>
      <c r="CH39" s="10">
        <v>153.01554870605469</v>
      </c>
      <c r="CI39" s="10">
        <v>-0.87585389614105225</v>
      </c>
      <c r="CJ39" s="10">
        <v>0.20572966337203979</v>
      </c>
      <c r="CK39" s="10">
        <v>1.7032914161682129</v>
      </c>
      <c r="CL39" s="10">
        <v>0.72023320198059082</v>
      </c>
      <c r="CM39" s="11">
        <v>113.96401977539062</v>
      </c>
      <c r="CN39" s="11">
        <v>-0.9755551815032959</v>
      </c>
      <c r="CO39" s="11">
        <v>0.11535744369029999</v>
      </c>
      <c r="CP39" s="11">
        <v>0.6861574649810791</v>
      </c>
      <c r="CQ39" s="11">
        <v>1.1709845066070557</v>
      </c>
      <c r="CR39">
        <v>20.572210084387638</v>
      </c>
      <c r="CS39">
        <v>6.6461038228779268E-3</v>
      </c>
      <c r="CT39">
        <v>0.95087163232963556</v>
      </c>
      <c r="CU39" s="10">
        <v>30.953789818286896</v>
      </c>
      <c r="CV39" s="11">
        <v>22.992192801833152</v>
      </c>
      <c r="CW39">
        <v>0.06</v>
      </c>
      <c r="CX39">
        <v>0.22316197421806799</v>
      </c>
      <c r="CY39">
        <v>133512580287.9176</v>
      </c>
      <c r="CZ39">
        <v>30.953789818286896</v>
      </c>
      <c r="DA39">
        <v>2.7509341920868509E-4</v>
      </c>
      <c r="DB39">
        <v>108308410596320.55</v>
      </c>
      <c r="DC39">
        <v>29.406100327372549</v>
      </c>
      <c r="DD39">
        <v>1.8110459169289029E-8</v>
      </c>
      <c r="DE39">
        <v>1.6451781106977684E+18</v>
      </c>
      <c r="DF39">
        <v>27.23933504009247</v>
      </c>
      <c r="DG39">
        <v>8.9676559782687441E-14</v>
      </c>
      <c r="DH39">
        <v>3.3224881811034948E+23</v>
      </c>
      <c r="DI39">
        <v>24.763031854629517</v>
      </c>
      <c r="DJ39">
        <v>1.6033339300047144E-26</v>
      </c>
      <c r="DK39">
        <v>1.8583110132218303E+36</v>
      </c>
      <c r="DL39">
        <v>21.667652872800826</v>
      </c>
      <c r="DM39">
        <v>4429000000</v>
      </c>
      <c r="DN39">
        <v>30.953789818286896</v>
      </c>
      <c r="DO39">
        <v>29794931000</v>
      </c>
      <c r="DP39">
        <v>0</v>
      </c>
      <c r="DQ39">
        <v>3703</v>
      </c>
      <c r="DR39">
        <v>-31.939088950632595</v>
      </c>
      <c r="DS39">
        <v>-23.914450903263582</v>
      </c>
      <c r="DT39" s="12">
        <v>0.12666666666666657</v>
      </c>
      <c r="DU39">
        <v>-6.6666666666667452E-3</v>
      </c>
      <c r="DV39">
        <v>0.11999999999999982</v>
      </c>
      <c r="DW39">
        <v>-2.0933999999999999</v>
      </c>
      <c r="DX39">
        <v>0.34339262536873122</v>
      </c>
      <c r="DY39">
        <v>-2.0143268712094393</v>
      </c>
      <c r="DZ39">
        <v>254</v>
      </c>
      <c r="EA39">
        <v>-2.0136147331884615</v>
      </c>
      <c r="EB39">
        <v>2</v>
      </c>
      <c r="EC39">
        <v>1.1024473287190771E-2</v>
      </c>
      <c r="ED39">
        <v>7.1870947255056661E-2</v>
      </c>
      <c r="EE39" s="13">
        <v>5.2400000000000002E-2</v>
      </c>
      <c r="EF39">
        <v>4.4900000000000002E-2</v>
      </c>
      <c r="EG39">
        <v>19.153392625368731</v>
      </c>
      <c r="EH39" t="s">
        <v>608</v>
      </c>
      <c r="EI39">
        <v>0</v>
      </c>
      <c r="EJ39">
        <v>1</v>
      </c>
      <c r="EK39" s="9">
        <v>45470</v>
      </c>
      <c r="EL39" s="14">
        <v>0.97</v>
      </c>
      <c r="EM39" s="14">
        <v>0</v>
      </c>
      <c r="EN39" s="14">
        <v>2.82</v>
      </c>
      <c r="EO39" s="14">
        <v>-0.19</v>
      </c>
      <c r="EP39" s="14">
        <v>-0.75</v>
      </c>
    </row>
    <row r="40" spans="1:146" ht="96" x14ac:dyDescent="0.25">
      <c r="A40" s="6"/>
      <c r="B40" s="6"/>
      <c r="C40" s="6" t="str">
        <f>""&amp;CHAR(10)&amp;Basic_Fundamental_Information_Constructure(F40)&amp;CHAR(10)&amp;Basic_Fundamental_Information_Concatenate("")</f>
        <v xml:space="preserve">
市值157.85808亿, 利润19.64亿; PE58.06; 平均PE33.68; 平均PEG.32, PB1.12; ROIC0%; ROE2.02%; 股利率.4118%; 毛利0%; 净利9.4867%; 上一年度营收增464.97%, 利润增1735.51%; 当季营收增-84.55%, 利润增-84.2%; 过往5年营收增104.91%, 利润增423.35%
Income profile:
</v>
      </c>
      <c r="D40" t="s">
        <v>56</v>
      </c>
      <c r="E40" t="s">
        <v>14</v>
      </c>
      <c r="F40">
        <v>3.4</v>
      </c>
      <c r="G40">
        <v>0.89</v>
      </c>
      <c r="H40" t="s">
        <v>1553</v>
      </c>
      <c r="I40">
        <v>15785808000</v>
      </c>
      <c r="J40">
        <v>58.06</v>
      </c>
      <c r="K40">
        <v>1.1200000000000001</v>
      </c>
      <c r="L40" t="s">
        <v>50</v>
      </c>
      <c r="M40" t="s">
        <v>1554</v>
      </c>
      <c r="N40" t="s">
        <v>1555</v>
      </c>
      <c r="O40" t="s">
        <v>967</v>
      </c>
      <c r="P40">
        <v>38.93</v>
      </c>
      <c r="Q40" t="s">
        <v>1556</v>
      </c>
      <c r="R40">
        <v>130790222</v>
      </c>
      <c r="S40" s="5">
        <v>0.85529999999999995</v>
      </c>
      <c r="T40" t="s">
        <v>1557</v>
      </c>
      <c r="U40">
        <v>3447519700</v>
      </c>
      <c r="V40">
        <v>4642884700</v>
      </c>
      <c r="W40">
        <v>3.43</v>
      </c>
      <c r="X40">
        <v>0.01</v>
      </c>
      <c r="Y40">
        <v>19.29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>
        <v>0</v>
      </c>
      <c r="AF40" t="s">
        <v>1558</v>
      </c>
      <c r="AG40" t="s">
        <v>1559</v>
      </c>
      <c r="AH40" t="s">
        <v>1560</v>
      </c>
      <c r="AI40" t="s">
        <v>1561</v>
      </c>
      <c r="AJ40" t="s">
        <v>108</v>
      </c>
      <c r="AK40" t="s">
        <v>44</v>
      </c>
      <c r="AL40" t="s">
        <v>108</v>
      </c>
      <c r="AM40" t="s">
        <v>664</v>
      </c>
      <c r="AN40" t="s">
        <v>631</v>
      </c>
      <c r="AO40" t="s">
        <v>1562</v>
      </c>
      <c r="AP40" t="s">
        <v>44</v>
      </c>
      <c r="AQ40" t="s">
        <v>44</v>
      </c>
      <c r="AR40" t="s">
        <v>44</v>
      </c>
      <c r="AS40" t="s">
        <v>44</v>
      </c>
      <c r="AT40" t="s">
        <v>44</v>
      </c>
      <c r="AU40" t="s">
        <v>257</v>
      </c>
      <c r="AV40" t="s">
        <v>1563</v>
      </c>
      <c r="AW40" t="s">
        <v>1564</v>
      </c>
      <c r="AX40" t="s">
        <v>775</v>
      </c>
      <c r="AY40" t="s">
        <v>495</v>
      </c>
      <c r="AZ40" t="s">
        <v>363</v>
      </c>
      <c r="BA40" t="s">
        <v>171</v>
      </c>
      <c r="BB40" t="s">
        <v>365</v>
      </c>
      <c r="BC40" t="s">
        <v>633</v>
      </c>
      <c r="BD40" t="s">
        <v>131</v>
      </c>
      <c r="BE40" t="s">
        <v>364</v>
      </c>
      <c r="BF40" t="s">
        <v>172</v>
      </c>
      <c r="BG40" t="s">
        <v>367</v>
      </c>
      <c r="BH40" t="s">
        <v>1565</v>
      </c>
      <c r="BI40" t="s">
        <v>1566</v>
      </c>
      <c r="BJ40" t="s">
        <v>775</v>
      </c>
      <c r="BK40" t="s">
        <v>726</v>
      </c>
      <c r="BL40" t="s">
        <v>1567</v>
      </c>
      <c r="BM40" t="s">
        <v>633</v>
      </c>
      <c r="BN40" t="s">
        <v>44</v>
      </c>
      <c r="BO40" t="s">
        <v>44</v>
      </c>
      <c r="BP40" t="s">
        <v>44</v>
      </c>
      <c r="BQ40">
        <v>1.5</v>
      </c>
      <c r="BR40">
        <v>0.78</v>
      </c>
      <c r="BS40">
        <v>3.78</v>
      </c>
      <c r="BT40" t="s">
        <v>1568</v>
      </c>
      <c r="BU40" t="s">
        <v>50</v>
      </c>
      <c r="BV40" t="s">
        <v>44</v>
      </c>
      <c r="BW40" t="s">
        <v>44</v>
      </c>
      <c r="BX40" t="s">
        <v>44</v>
      </c>
      <c r="BY40">
        <v>10.28</v>
      </c>
      <c r="BZ40">
        <v>5.72</v>
      </c>
      <c r="CA40">
        <v>12.46</v>
      </c>
      <c r="CB40">
        <v>-0.28999999999999998</v>
      </c>
      <c r="CC40">
        <v>-6.59</v>
      </c>
      <c r="CD40" t="s">
        <v>694</v>
      </c>
      <c r="CE40" t="s">
        <v>1027</v>
      </c>
      <c r="CF40" s="10">
        <v>-0.84552650515711203</v>
      </c>
      <c r="CG40" s="11">
        <v>-0.84204079468599036</v>
      </c>
      <c r="CH40" s="10">
        <v>4.6496548652648926</v>
      </c>
      <c r="CI40" s="10">
        <v>-0.57453066110610962</v>
      </c>
      <c r="CJ40" s="10">
        <v>0.42475026845932007</v>
      </c>
      <c r="CK40" s="10">
        <v>0.30762752890586853</v>
      </c>
      <c r="CL40" s="10">
        <v>0.43818178772926331</v>
      </c>
      <c r="CM40" s="11">
        <v>17.355138778686523</v>
      </c>
      <c r="CN40" s="11">
        <v>-0.79142302274703979</v>
      </c>
      <c r="CO40" s="11">
        <v>3.932692289352417</v>
      </c>
      <c r="CP40" s="11">
        <v>0.78624486923217773</v>
      </c>
      <c r="CQ40" s="11">
        <v>-0.1149897575378418</v>
      </c>
      <c r="CR40">
        <v>33.682255004542483</v>
      </c>
      <c r="CS40">
        <v>0.32104732536058395</v>
      </c>
      <c r="CT40">
        <v>0.41176470588235298</v>
      </c>
      <c r="CU40" s="10">
        <v>1.049136757850647</v>
      </c>
      <c r="CV40" s="11">
        <v>4.2335326313972477</v>
      </c>
      <c r="CW40">
        <v>0.06</v>
      </c>
      <c r="CX40">
        <v>10.2878243841479</v>
      </c>
      <c r="CY40">
        <v>3796702445.6779909</v>
      </c>
      <c r="CZ40">
        <v>1.049136757850647</v>
      </c>
      <c r="DA40">
        <v>1.6415383908636627</v>
      </c>
      <c r="DB40">
        <v>23794635701.117817</v>
      </c>
      <c r="DC40">
        <v>0.99667991995811456</v>
      </c>
      <c r="DD40">
        <v>0.25743527899227081</v>
      </c>
      <c r="DE40">
        <v>151726710312.97433</v>
      </c>
      <c r="DF40">
        <v>0.92324034690856938</v>
      </c>
      <c r="DG40">
        <v>3.4191102864840062E-2</v>
      </c>
      <c r="DH40">
        <v>1142396843834.0901</v>
      </c>
      <c r="DI40">
        <v>0.83930940628051764</v>
      </c>
      <c r="DJ40">
        <v>4.0881948404165262E-4</v>
      </c>
      <c r="DK40">
        <v>95542921814412.312</v>
      </c>
      <c r="DL40">
        <v>0.73439573049545281</v>
      </c>
      <c r="DM40">
        <v>1964000000</v>
      </c>
      <c r="DN40">
        <v>1.049136757850647</v>
      </c>
      <c r="DO40">
        <v>39059808000</v>
      </c>
      <c r="DP40">
        <v>0</v>
      </c>
      <c r="DQ40">
        <v>3721</v>
      </c>
      <c r="DR40">
        <v>-1.8946632630077591</v>
      </c>
      <c r="DS40">
        <v>-5.0755734260832384</v>
      </c>
      <c r="DT40" s="12">
        <v>5.9999999999999908E-2</v>
      </c>
      <c r="DU40">
        <v>0.16333333333333325</v>
      </c>
      <c r="DV40">
        <v>0.22333333333333316</v>
      </c>
      <c r="DW40">
        <v>-2.0659000000000001</v>
      </c>
      <c r="DX40">
        <v>0.37173410404624119</v>
      </c>
      <c r="DY40">
        <v>-2.0099992774566475</v>
      </c>
      <c r="DZ40">
        <v>1424</v>
      </c>
      <c r="EA40">
        <v>-2.0072127860479849</v>
      </c>
      <c r="EB40">
        <v>2</v>
      </c>
      <c r="EC40">
        <v>2.2615250385175405E-2</v>
      </c>
      <c r="ED40">
        <v>0.14904526920515601</v>
      </c>
      <c r="EE40" s="13">
        <v>2.07701</v>
      </c>
      <c r="EF40">
        <v>2.0958100000000002</v>
      </c>
      <c r="EG40">
        <v>22.151734104046241</v>
      </c>
      <c r="EH40" t="s">
        <v>707</v>
      </c>
      <c r="EI40">
        <v>0</v>
      </c>
      <c r="EJ40">
        <v>1</v>
      </c>
      <c r="EK40" s="9">
        <v>45470</v>
      </c>
      <c r="EL40" s="14">
        <v>0.63</v>
      </c>
      <c r="EM40" s="14">
        <v>-2.52</v>
      </c>
      <c r="EN40" s="14">
        <v>1.42</v>
      </c>
      <c r="EO40" s="14">
        <v>1.27</v>
      </c>
      <c r="EP40" s="14">
        <v>-1.88</v>
      </c>
    </row>
    <row r="41" spans="1:146" ht="96" x14ac:dyDescent="0.25">
      <c r="A41" s="6"/>
      <c r="B41" s="6"/>
      <c r="C41" s="6" t="str">
        <f>""&amp;CHAR(10)&amp;Basic_Fundamental_Information_Constructure(F41)&amp;CHAR(10)&amp;Basic_Fundamental_Information_Concatenate("")</f>
        <v xml:space="preserve">
市值432.66296亿, 利润1.33亿; PE29.55; 平均PE19.35; 平均PEG1.37, PB.804; ROIC0%; ROE6.9233%; 股利率1.996%; 毛利0%; 净利29.1067%; 上一年度营收增-36.24%, 利润增-94.96%; 当季营收增35.67%, 利润增343.61%; 过往5年营收增14.1%, 利润增242.42%
Income profile:
</v>
      </c>
      <c r="D41" t="s">
        <v>69</v>
      </c>
      <c r="E41" t="s">
        <v>36</v>
      </c>
      <c r="F41">
        <v>5.01</v>
      </c>
      <c r="G41">
        <v>0.4</v>
      </c>
      <c r="H41" t="s">
        <v>1569</v>
      </c>
      <c r="I41">
        <v>43266296000</v>
      </c>
      <c r="J41">
        <v>29.55</v>
      </c>
      <c r="K41">
        <v>0.80400000000000005</v>
      </c>
      <c r="L41" t="s">
        <v>50</v>
      </c>
      <c r="M41" t="s">
        <v>1570</v>
      </c>
      <c r="N41" t="s">
        <v>1571</v>
      </c>
      <c r="O41" t="s">
        <v>1572</v>
      </c>
      <c r="P41">
        <v>-42.99</v>
      </c>
      <c r="Q41" t="s">
        <v>1573</v>
      </c>
      <c r="R41">
        <v>328204970</v>
      </c>
      <c r="S41" s="5">
        <v>-0.6038</v>
      </c>
      <c r="T41" t="s">
        <v>1056</v>
      </c>
      <c r="U41">
        <v>8635987300</v>
      </c>
      <c r="V41">
        <v>8635987300</v>
      </c>
      <c r="W41">
        <v>4.09</v>
      </c>
      <c r="X41">
        <v>0.01</v>
      </c>
      <c r="Y41">
        <v>20.52</v>
      </c>
      <c r="Z41" t="s">
        <v>44</v>
      </c>
      <c r="AA41" t="s">
        <v>44</v>
      </c>
      <c r="AB41" t="s">
        <v>44</v>
      </c>
      <c r="AC41" t="s">
        <v>44</v>
      </c>
      <c r="AD41" t="s">
        <v>44</v>
      </c>
      <c r="AE41">
        <v>0</v>
      </c>
      <c r="AF41" t="s">
        <v>1574</v>
      </c>
      <c r="AG41" t="s">
        <v>1575</v>
      </c>
      <c r="AH41" t="s">
        <v>1576</v>
      </c>
      <c r="AI41" t="s">
        <v>1577</v>
      </c>
      <c r="AJ41" t="s">
        <v>108</v>
      </c>
      <c r="AK41" t="s">
        <v>44</v>
      </c>
      <c r="AL41" t="s">
        <v>108</v>
      </c>
      <c r="AM41" t="s">
        <v>383</v>
      </c>
      <c r="AN41" t="s">
        <v>648</v>
      </c>
      <c r="AO41" t="s">
        <v>1578</v>
      </c>
      <c r="AP41" t="s">
        <v>44</v>
      </c>
      <c r="AQ41" t="s">
        <v>44</v>
      </c>
      <c r="AR41" t="s">
        <v>44</v>
      </c>
      <c r="AS41" t="s">
        <v>44</v>
      </c>
      <c r="AT41" t="s">
        <v>44</v>
      </c>
      <c r="AU41" t="s">
        <v>1579</v>
      </c>
      <c r="AV41" t="s">
        <v>1580</v>
      </c>
      <c r="AW41" t="s">
        <v>1581</v>
      </c>
      <c r="AX41" t="s">
        <v>778</v>
      </c>
      <c r="AY41" t="s">
        <v>496</v>
      </c>
      <c r="AZ41" t="s">
        <v>368</v>
      </c>
      <c r="BA41" t="s">
        <v>173</v>
      </c>
      <c r="BB41" t="s">
        <v>369</v>
      </c>
      <c r="BC41" t="s">
        <v>611</v>
      </c>
      <c r="BD41" t="s">
        <v>497</v>
      </c>
      <c r="BE41" t="s">
        <v>159</v>
      </c>
      <c r="BF41" t="s">
        <v>174</v>
      </c>
      <c r="BG41" t="s">
        <v>243</v>
      </c>
      <c r="BH41" t="s">
        <v>1556</v>
      </c>
      <c r="BI41" t="s">
        <v>1582</v>
      </c>
      <c r="BJ41" t="s">
        <v>778</v>
      </c>
      <c r="BK41" t="s">
        <v>1557</v>
      </c>
      <c r="BL41" t="s">
        <v>1583</v>
      </c>
      <c r="BM41" t="s">
        <v>611</v>
      </c>
      <c r="BN41" t="s">
        <v>44</v>
      </c>
      <c r="BO41" t="s">
        <v>44</v>
      </c>
      <c r="BP41" t="s">
        <v>44</v>
      </c>
      <c r="BQ41">
        <v>2.99</v>
      </c>
      <c r="BR41">
        <v>5.74</v>
      </c>
      <c r="BS41">
        <v>12.04</v>
      </c>
      <c r="BT41" t="s">
        <v>619</v>
      </c>
      <c r="BU41" t="s">
        <v>50</v>
      </c>
      <c r="BV41" t="s">
        <v>44</v>
      </c>
      <c r="BW41" t="s">
        <v>44</v>
      </c>
      <c r="BX41" t="s">
        <v>44</v>
      </c>
      <c r="BY41">
        <v>25.1</v>
      </c>
      <c r="BZ41">
        <v>31.36</v>
      </c>
      <c r="CA41">
        <v>30.86</v>
      </c>
      <c r="CB41">
        <v>-0.99</v>
      </c>
      <c r="CC41">
        <v>-8.41</v>
      </c>
      <c r="CD41" t="s">
        <v>426</v>
      </c>
      <c r="CE41" t="s">
        <v>1266</v>
      </c>
      <c r="CF41" s="10">
        <v>0.3567351598173516</v>
      </c>
      <c r="CG41" s="11">
        <v>3.4360655316710278</v>
      </c>
      <c r="CH41" s="10">
        <v>-0.36238270998001099</v>
      </c>
      <c r="CI41" s="10">
        <v>-0.43811935186386108</v>
      </c>
      <c r="CJ41" s="10">
        <v>7.9180948436260223E-2</v>
      </c>
      <c r="CK41" s="10">
        <v>0.23368412256240845</v>
      </c>
      <c r="CL41" s="10">
        <v>1.1926451921463013</v>
      </c>
      <c r="CM41" s="11">
        <v>-0.94956392049789429</v>
      </c>
      <c r="CN41" s="11">
        <v>-0.44402280449867249</v>
      </c>
      <c r="CO41" s="11">
        <v>0.18486134707927704</v>
      </c>
      <c r="CP41" s="11">
        <v>1.2705614566802979</v>
      </c>
      <c r="CQ41" s="11">
        <v>12.059259414672852</v>
      </c>
      <c r="CR41">
        <v>19.352749068137769</v>
      </c>
      <c r="CS41">
        <v>1.3725194283146016</v>
      </c>
      <c r="CT41">
        <v>1.9960079840319362</v>
      </c>
      <c r="CU41" s="10">
        <v>0.14100164026021958</v>
      </c>
      <c r="CV41" s="11">
        <v>2.4242190986871721</v>
      </c>
      <c r="CW41">
        <v>0.06</v>
      </c>
      <c r="CX41">
        <v>1357.3251115514734</v>
      </c>
      <c r="CY41">
        <v>143163413.35340491</v>
      </c>
      <c r="CZ41">
        <v>0.14100164026021958</v>
      </c>
      <c r="DA41">
        <v>424.9204217688075</v>
      </c>
      <c r="DB41">
        <v>457307500.52235913</v>
      </c>
      <c r="DC41">
        <v>0.13395155824720859</v>
      </c>
      <c r="DD41">
        <v>197.29293831202079</v>
      </c>
      <c r="DE41">
        <v>984927781.3110677</v>
      </c>
      <c r="DF41">
        <v>0.12408144342899323</v>
      </c>
      <c r="DG41">
        <v>110.74511562786708</v>
      </c>
      <c r="DH41">
        <v>1754653421.0408368</v>
      </c>
      <c r="DI41">
        <v>0.11280131220817567</v>
      </c>
      <c r="DJ41">
        <v>49.075565303208599</v>
      </c>
      <c r="DK41">
        <v>3959593634.8245234</v>
      </c>
      <c r="DL41">
        <v>9.8701148182153697E-2</v>
      </c>
      <c r="DM41">
        <v>133000000</v>
      </c>
      <c r="DN41">
        <v>0.14100164026021958</v>
      </c>
      <c r="DO41">
        <v>194319296000</v>
      </c>
      <c r="DP41">
        <v>0</v>
      </c>
      <c r="DQ41">
        <v>3722</v>
      </c>
      <c r="DR41">
        <v>0.21573351955713202</v>
      </c>
      <c r="DS41">
        <v>1.0118464329838557</v>
      </c>
      <c r="DT41" s="12">
        <v>-0.44</v>
      </c>
      <c r="DU41">
        <v>0.97166666666666657</v>
      </c>
      <c r="DV41">
        <v>0.53166666666666651</v>
      </c>
      <c r="DW41">
        <v>-2.0840999999999998</v>
      </c>
      <c r="DX41">
        <v>0.38111111111111184</v>
      </c>
      <c r="DY41">
        <v>-2.0118674444444444</v>
      </c>
      <c r="DZ41">
        <v>293</v>
      </c>
      <c r="EA41">
        <v>-2.0111869823657318</v>
      </c>
      <c r="EB41">
        <v>2</v>
      </c>
      <c r="EC41">
        <v>1.4705903979270558E-2</v>
      </c>
      <c r="ED41">
        <v>0.10421506756963388</v>
      </c>
      <c r="EE41" s="13">
        <v>3.5199999999999995E-2</v>
      </c>
      <c r="EF41">
        <v>2.0800000000000003E-2</v>
      </c>
      <c r="EG41">
        <v>24.141111111111112</v>
      </c>
      <c r="EH41" t="s">
        <v>608</v>
      </c>
      <c r="EI41">
        <v>0</v>
      </c>
      <c r="EJ41">
        <v>1</v>
      </c>
      <c r="EK41" s="9">
        <v>45470</v>
      </c>
      <c r="EL41" s="14">
        <v>0.28000000000000003</v>
      </c>
      <c r="EM41" s="14">
        <v>-1.99</v>
      </c>
      <c r="EN41" s="14">
        <v>-0.28999999999999998</v>
      </c>
      <c r="EO41" s="14">
        <v>1.1599999999999999</v>
      </c>
      <c r="EP41" s="14">
        <v>-1.44</v>
      </c>
    </row>
    <row r="42" spans="1:146" ht="96" x14ac:dyDescent="0.25">
      <c r="A42" s="6"/>
      <c r="B42" s="6"/>
      <c r="C42" s="6" t="str">
        <f>""&amp;CHAR(10)&amp;Basic_Fundamental_Information_Constructure(F42)&amp;CHAR(10)&amp;Basic_Fundamental_Information_Concatenate("")</f>
        <v xml:space="preserve">
市值277.23059亿, 利润2.16亿; PE113.1; 平均PE54.87; 平均PEG1.25, PB1.55; ROIC0%; ROE5.3633%; 股利率1.4505%; 毛利0%; 净利27.34%; 上一年度营收增93.06%, 利润增-71.84%; 当季营收增-83.51%, 利润增-2062.17%; 过往5年营收增43.81%, 利润增181.68%
Income profile:
</v>
      </c>
      <c r="D42" t="s">
        <v>175</v>
      </c>
      <c r="E42" t="s">
        <v>176</v>
      </c>
      <c r="F42">
        <v>9.7899999999999991</v>
      </c>
      <c r="G42">
        <v>3.05</v>
      </c>
      <c r="H42" t="s">
        <v>1584</v>
      </c>
      <c r="I42">
        <v>27723059000</v>
      </c>
      <c r="J42">
        <v>113.1</v>
      </c>
      <c r="K42">
        <v>1.55</v>
      </c>
      <c r="L42" t="s">
        <v>50</v>
      </c>
      <c r="M42" t="s">
        <v>1585</v>
      </c>
      <c r="N42" t="s">
        <v>1586</v>
      </c>
      <c r="O42" t="s">
        <v>1587</v>
      </c>
      <c r="P42">
        <v>-74.44</v>
      </c>
      <c r="Q42" t="s">
        <v>1588</v>
      </c>
      <c r="R42">
        <v>-218754280</v>
      </c>
      <c r="S42" s="5">
        <v>-2.0550000000000002</v>
      </c>
      <c r="T42" t="s">
        <v>1589</v>
      </c>
      <c r="U42">
        <v>2389133200</v>
      </c>
      <c r="V42">
        <v>2831773200</v>
      </c>
      <c r="W42">
        <v>5.0999999999999996</v>
      </c>
      <c r="X42">
        <v>0</v>
      </c>
      <c r="Y42">
        <v>-124.93</v>
      </c>
      <c r="Z42" t="s">
        <v>44</v>
      </c>
      <c r="AA42" t="s">
        <v>44</v>
      </c>
      <c r="AB42" t="s">
        <v>44</v>
      </c>
      <c r="AC42" t="s">
        <v>44</v>
      </c>
      <c r="AD42" t="s">
        <v>44</v>
      </c>
      <c r="AE42">
        <v>0</v>
      </c>
      <c r="AF42" t="s">
        <v>1590</v>
      </c>
      <c r="AG42" t="s">
        <v>1591</v>
      </c>
      <c r="AH42" t="s">
        <v>1592</v>
      </c>
      <c r="AI42" t="s">
        <v>1593</v>
      </c>
      <c r="AJ42" t="s">
        <v>108</v>
      </c>
      <c r="AK42" t="s">
        <v>44</v>
      </c>
      <c r="AL42" t="s">
        <v>108</v>
      </c>
      <c r="AM42" t="s">
        <v>1594</v>
      </c>
      <c r="AN42" t="s">
        <v>1595</v>
      </c>
      <c r="AO42" t="s">
        <v>44</v>
      </c>
      <c r="AP42" t="s">
        <v>44</v>
      </c>
      <c r="AQ42" t="s">
        <v>44</v>
      </c>
      <c r="AR42" t="s">
        <v>44</v>
      </c>
      <c r="AS42" t="s">
        <v>44</v>
      </c>
      <c r="AT42" t="s">
        <v>44</v>
      </c>
      <c r="AU42" t="s">
        <v>1596</v>
      </c>
      <c r="AV42" t="s">
        <v>1597</v>
      </c>
      <c r="AW42" t="s">
        <v>825</v>
      </c>
      <c r="AX42" t="s">
        <v>779</v>
      </c>
      <c r="AY42" t="s">
        <v>447</v>
      </c>
      <c r="AZ42" t="s">
        <v>370</v>
      </c>
      <c r="BA42" t="s">
        <v>177</v>
      </c>
      <c r="BB42" t="s">
        <v>372</v>
      </c>
      <c r="BC42" t="s">
        <v>686</v>
      </c>
      <c r="BD42" t="s">
        <v>429</v>
      </c>
      <c r="BE42" t="s">
        <v>371</v>
      </c>
      <c r="BF42" t="s">
        <v>178</v>
      </c>
      <c r="BG42" t="s">
        <v>373</v>
      </c>
      <c r="BH42" t="s">
        <v>1598</v>
      </c>
      <c r="BI42" t="s">
        <v>1599</v>
      </c>
      <c r="BJ42" t="s">
        <v>779</v>
      </c>
      <c r="BK42" t="s">
        <v>1600</v>
      </c>
      <c r="BL42" t="s">
        <v>1601</v>
      </c>
      <c r="BM42" t="s">
        <v>686</v>
      </c>
      <c r="BN42" t="s">
        <v>44</v>
      </c>
      <c r="BO42" t="s">
        <v>44</v>
      </c>
      <c r="BP42" t="s">
        <v>44</v>
      </c>
      <c r="BQ42">
        <v>4.2</v>
      </c>
      <c r="BR42">
        <v>4.62</v>
      </c>
      <c r="BS42">
        <v>7.27</v>
      </c>
      <c r="BT42" t="s">
        <v>1602</v>
      </c>
      <c r="BU42" t="s">
        <v>50</v>
      </c>
      <c r="BV42" t="s">
        <v>44</v>
      </c>
      <c r="BW42" t="s">
        <v>44</v>
      </c>
      <c r="BX42" t="s">
        <v>44</v>
      </c>
      <c r="BY42">
        <v>22.82</v>
      </c>
      <c r="BZ42">
        <v>29.25</v>
      </c>
      <c r="CA42">
        <v>29.95</v>
      </c>
      <c r="CB42">
        <v>1.56</v>
      </c>
      <c r="CC42">
        <v>-15.68</v>
      </c>
      <c r="CD42" t="s">
        <v>700</v>
      </c>
      <c r="CE42" t="s">
        <v>1603</v>
      </c>
      <c r="CF42" s="10">
        <v>-0.83508102955195429</v>
      </c>
      <c r="CG42" s="11">
        <v>-20.621681646125975</v>
      </c>
      <c r="CH42" s="10">
        <v>0.93061375617980957</v>
      </c>
      <c r="CI42" s="10">
        <v>-0.11594202369451523</v>
      </c>
      <c r="CJ42" s="10">
        <v>0.58155655860900879</v>
      </c>
      <c r="CK42" s="10">
        <v>0.15873992443084717</v>
      </c>
      <c r="CL42" s="10">
        <v>0.63535362482070923</v>
      </c>
      <c r="CM42" s="11">
        <v>-0.7183833122253418</v>
      </c>
      <c r="CN42" s="11">
        <v>-0.13723284006118774</v>
      </c>
      <c r="CO42" s="11">
        <v>0.51190477609634399</v>
      </c>
      <c r="CP42" s="11">
        <v>0.12859885394573212</v>
      </c>
      <c r="CQ42" s="11">
        <v>9.2988853454589844</v>
      </c>
      <c r="CR42">
        <v>54.868390427723028</v>
      </c>
      <c r="CS42">
        <v>1.2525189087978759</v>
      </c>
      <c r="CT42">
        <v>1.4504596527068438</v>
      </c>
      <c r="CU42" s="10">
        <v>0.43806436806917193</v>
      </c>
      <c r="CV42" s="11">
        <v>1.8167545646429062</v>
      </c>
      <c r="CW42">
        <v>0.06</v>
      </c>
      <c r="CX42">
        <v>267.74564704582252</v>
      </c>
      <c r="CY42">
        <v>293039531.60654819</v>
      </c>
      <c r="CZ42">
        <v>0.43806436806917193</v>
      </c>
      <c r="DA42">
        <v>65.977521140483503</v>
      </c>
      <c r="DB42">
        <v>1189193798.7930448</v>
      </c>
      <c r="DC42">
        <v>0.41616114966571333</v>
      </c>
      <c r="DD42">
        <v>21.406310909534064</v>
      </c>
      <c r="DE42">
        <v>3665276998.5254683</v>
      </c>
      <c r="DF42">
        <v>0.38549664390087129</v>
      </c>
      <c r="DG42">
        <v>7.6108032846970968</v>
      </c>
      <c r="DH42">
        <v>10309037832.807768</v>
      </c>
      <c r="DI42">
        <v>0.35045149445533758</v>
      </c>
      <c r="DJ42">
        <v>1.0610690739730719</v>
      </c>
      <c r="DK42">
        <v>73944346249.027679</v>
      </c>
      <c r="DL42">
        <v>0.30664505764842032</v>
      </c>
      <c r="DM42">
        <v>216000000</v>
      </c>
      <c r="DN42">
        <v>0.43806436806917193</v>
      </c>
      <c r="DO42">
        <v>78460059000</v>
      </c>
      <c r="DP42">
        <v>0</v>
      </c>
      <c r="DQ42">
        <v>3727</v>
      </c>
      <c r="DR42">
        <v>-1.2731453976211262</v>
      </c>
      <c r="DS42">
        <v>-22.438436210768881</v>
      </c>
      <c r="DT42" s="12">
        <v>0.34333333333333332</v>
      </c>
      <c r="DU42">
        <v>-0.61833333333333329</v>
      </c>
      <c r="DV42">
        <v>-0.27499999999999997</v>
      </c>
      <c r="DW42">
        <v>-2.1568000000000001</v>
      </c>
      <c r="DX42">
        <v>0.62221304060971505</v>
      </c>
      <c r="DY42">
        <v>-2.0191630047676035</v>
      </c>
      <c r="DZ42">
        <v>2346</v>
      </c>
      <c r="EA42">
        <v>-2.0103652730288957</v>
      </c>
      <c r="EB42">
        <v>2</v>
      </c>
      <c r="EC42">
        <v>5.2264072560613259E-2</v>
      </c>
      <c r="ED42">
        <v>0.42764724237096391</v>
      </c>
      <c r="EE42" s="13">
        <v>1.05941</v>
      </c>
      <c r="EF42">
        <v>1.0823100000000001</v>
      </c>
      <c r="EG42">
        <v>50.122213040609715</v>
      </c>
      <c r="EH42" t="s">
        <v>647</v>
      </c>
      <c r="EI42">
        <v>0</v>
      </c>
      <c r="EJ42">
        <v>0</v>
      </c>
      <c r="EK42" s="9">
        <v>45470</v>
      </c>
      <c r="EL42" s="14">
        <v>1.56</v>
      </c>
      <c r="EM42" s="14">
        <v>-1.92</v>
      </c>
      <c r="EN42" s="14">
        <v>1.18</v>
      </c>
      <c r="EO42" s="14">
        <v>1.55</v>
      </c>
      <c r="EP42" s="14">
        <v>-2.29</v>
      </c>
    </row>
    <row r="43" spans="1:146" ht="96" x14ac:dyDescent="0.25">
      <c r="A43" s="6"/>
      <c r="B43" s="6"/>
      <c r="C43" s="6" t="str">
        <f>""&amp;CHAR(10)&amp;Basic_Fundamental_Information_Constructure(F43)&amp;CHAR(10)&amp;Basic_Fundamental_Information_Concatenate("")</f>
        <v xml:space="preserve">
市值287.19102亿, 利润1.91亿; PE15.32; 平均PE23.22; 平均PEG3.33, PB.712; ROIC0%; ROE5.8467%; 股利率3.2526%; 毛利0%; 净利20.1733%; 上一年度营收增-70.87%, 利润增-88.99%; 当季营收增188.21%, 利润增368.99%; 过往5年营收增6.98%, 利润增35.59%
Income profile:
</v>
      </c>
      <c r="D43" t="s">
        <v>78</v>
      </c>
      <c r="E43" t="s">
        <v>38</v>
      </c>
      <c r="F43">
        <v>5.78</v>
      </c>
      <c r="G43">
        <v>-0.34</v>
      </c>
      <c r="H43" t="s">
        <v>1604</v>
      </c>
      <c r="I43">
        <v>28719102000</v>
      </c>
      <c r="J43">
        <v>15.32</v>
      </c>
      <c r="K43">
        <v>0.71199999999999997</v>
      </c>
      <c r="L43" t="s">
        <v>50</v>
      </c>
      <c r="M43" t="s">
        <v>1605</v>
      </c>
      <c r="N43" t="s">
        <v>1606</v>
      </c>
      <c r="O43" t="s">
        <v>1607</v>
      </c>
      <c r="P43">
        <v>-1.31</v>
      </c>
      <c r="Q43" t="s">
        <v>1608</v>
      </c>
      <c r="R43">
        <v>455938570</v>
      </c>
      <c r="S43" s="5">
        <v>-0.21809999999999999</v>
      </c>
      <c r="T43" t="s">
        <v>1609</v>
      </c>
      <c r="U43">
        <v>4968702800</v>
      </c>
      <c r="V43">
        <v>4968702800</v>
      </c>
      <c r="W43">
        <v>4.29</v>
      </c>
      <c r="X43">
        <v>0.01</v>
      </c>
      <c r="Y43">
        <v>20.52</v>
      </c>
      <c r="Z43" t="s">
        <v>44</v>
      </c>
      <c r="AA43" t="s">
        <v>44</v>
      </c>
      <c r="AB43" t="s">
        <v>44</v>
      </c>
      <c r="AC43" t="s">
        <v>44</v>
      </c>
      <c r="AD43" t="s">
        <v>44</v>
      </c>
      <c r="AE43">
        <v>0</v>
      </c>
      <c r="AF43" t="s">
        <v>1610</v>
      </c>
      <c r="AG43" t="s">
        <v>1611</v>
      </c>
      <c r="AH43" t="s">
        <v>1612</v>
      </c>
      <c r="AI43" t="s">
        <v>1613</v>
      </c>
      <c r="AJ43" t="s">
        <v>108</v>
      </c>
      <c r="AK43" t="s">
        <v>44</v>
      </c>
      <c r="AL43" t="s">
        <v>108</v>
      </c>
      <c r="AM43" t="s">
        <v>1614</v>
      </c>
      <c r="AN43" t="s">
        <v>44</v>
      </c>
      <c r="AO43" t="s">
        <v>1615</v>
      </c>
      <c r="AP43" t="s">
        <v>44</v>
      </c>
      <c r="AQ43" t="s">
        <v>44</v>
      </c>
      <c r="AR43" t="s">
        <v>44</v>
      </c>
      <c r="AS43" t="s">
        <v>44</v>
      </c>
      <c r="AT43" t="s">
        <v>44</v>
      </c>
      <c r="AU43" t="s">
        <v>688</v>
      </c>
      <c r="AV43" t="s">
        <v>1616</v>
      </c>
      <c r="AW43" t="s">
        <v>1617</v>
      </c>
      <c r="AX43" t="s">
        <v>781</v>
      </c>
      <c r="AY43" t="s">
        <v>498</v>
      </c>
      <c r="AZ43" t="s">
        <v>375</v>
      </c>
      <c r="BA43" t="s">
        <v>179</v>
      </c>
      <c r="BB43" t="s">
        <v>377</v>
      </c>
      <c r="BC43" t="s">
        <v>782</v>
      </c>
      <c r="BD43" t="s">
        <v>499</v>
      </c>
      <c r="BE43" t="s">
        <v>376</v>
      </c>
      <c r="BF43" t="s">
        <v>180</v>
      </c>
      <c r="BG43" t="s">
        <v>310</v>
      </c>
      <c r="BH43" t="s">
        <v>1618</v>
      </c>
      <c r="BI43" t="s">
        <v>1619</v>
      </c>
      <c r="BJ43" t="s">
        <v>781</v>
      </c>
      <c r="BK43" t="s">
        <v>1620</v>
      </c>
      <c r="BL43" t="s">
        <v>1621</v>
      </c>
      <c r="BM43" t="s">
        <v>782</v>
      </c>
      <c r="BN43" t="s">
        <v>44</v>
      </c>
      <c r="BO43" t="s">
        <v>44</v>
      </c>
      <c r="BP43" t="s">
        <v>44</v>
      </c>
      <c r="BQ43">
        <v>4.5</v>
      </c>
      <c r="BR43">
        <v>4.62</v>
      </c>
      <c r="BS43">
        <v>8.42</v>
      </c>
      <c r="BT43" t="s">
        <v>1622</v>
      </c>
      <c r="BU43" t="s">
        <v>50</v>
      </c>
      <c r="BV43" t="s">
        <v>44</v>
      </c>
      <c r="BW43" t="s">
        <v>44</v>
      </c>
      <c r="BX43" t="s">
        <v>44</v>
      </c>
      <c r="BY43">
        <v>17.84</v>
      </c>
      <c r="BZ43">
        <v>16.59</v>
      </c>
      <c r="CA43">
        <v>26.09</v>
      </c>
      <c r="CB43">
        <v>-2.0299999999999998</v>
      </c>
      <c r="CC43">
        <v>-8.7200000000000006</v>
      </c>
      <c r="CD43" t="s">
        <v>696</v>
      </c>
      <c r="CE43" t="s">
        <v>269</v>
      </c>
      <c r="CF43" s="10">
        <v>1.8821243523316062</v>
      </c>
      <c r="CG43" s="11">
        <v>3.6898816571090598</v>
      </c>
      <c r="CH43" s="10">
        <v>-0.70865917205810547</v>
      </c>
      <c r="CI43" s="10">
        <v>0.1342347264289856</v>
      </c>
      <c r="CJ43" s="10">
        <v>0.25679707527160645</v>
      </c>
      <c r="CK43" s="10">
        <v>0.43391820788383484</v>
      </c>
      <c r="CL43" s="10">
        <v>0.23258049786090851</v>
      </c>
      <c r="CM43" s="11">
        <v>-0.88991349935531616</v>
      </c>
      <c r="CN43" s="11">
        <v>-0.27466553449630737</v>
      </c>
      <c r="CO43" s="11">
        <v>0.40128874778747559</v>
      </c>
      <c r="CP43" s="11">
        <v>0.64609456062316895</v>
      </c>
      <c r="CQ43" s="11">
        <v>1.8966480493545532</v>
      </c>
      <c r="CR43">
        <v>23.222993530997304</v>
      </c>
      <c r="CS43">
        <v>3.3283034711379957</v>
      </c>
      <c r="CT43">
        <v>3.2525951557093422</v>
      </c>
      <c r="CU43" s="10">
        <v>6.9774267077445981E-2</v>
      </c>
      <c r="CV43" s="11">
        <v>0.35589046478271485</v>
      </c>
      <c r="CW43">
        <v>0.06</v>
      </c>
      <c r="CX43">
        <v>544.66923485657389</v>
      </c>
      <c r="CY43">
        <v>192761212.27527562</v>
      </c>
      <c r="CZ43">
        <v>6.9774267077445981E-2</v>
      </c>
      <c r="DA43">
        <v>181.07458221881825</v>
      </c>
      <c r="DB43">
        <v>579822417.44522858</v>
      </c>
      <c r="DC43">
        <v>6.6285553723573684E-2</v>
      </c>
      <c r="DD43">
        <v>91.192383578435482</v>
      </c>
      <c r="DE43">
        <v>1151314373.8555326</v>
      </c>
      <c r="DF43">
        <v>6.1401355028152464E-2</v>
      </c>
      <c r="DG43">
        <v>56.173356178234229</v>
      </c>
      <c r="DH43">
        <v>1869055173.8954389</v>
      </c>
      <c r="DI43">
        <v>5.5819413661956786E-2</v>
      </c>
      <c r="DJ43">
        <v>30.657504737885695</v>
      </c>
      <c r="DK43">
        <v>3424646033.578033</v>
      </c>
      <c r="DL43">
        <v>4.8841986954212185E-2</v>
      </c>
      <c r="DM43">
        <v>191000000</v>
      </c>
      <c r="DN43">
        <v>6.9774267077445981E-2</v>
      </c>
      <c r="DO43">
        <v>104991102000</v>
      </c>
      <c r="DP43">
        <v>0</v>
      </c>
      <c r="DQ43">
        <v>3734</v>
      </c>
      <c r="DR43">
        <v>1.8123500852541603</v>
      </c>
      <c r="DS43">
        <v>3.3339911923263448</v>
      </c>
      <c r="DT43" s="12">
        <v>-0.42333333333333339</v>
      </c>
      <c r="DU43">
        <v>0.59166666666666656</v>
      </c>
      <c r="DV43">
        <v>0.16833333333333317</v>
      </c>
      <c r="DW43">
        <v>-2.0872000000000002</v>
      </c>
      <c r="DX43">
        <v>0.42094674556212852</v>
      </c>
      <c r="DY43">
        <v>-2.014034556213018</v>
      </c>
      <c r="DZ43">
        <v>2082</v>
      </c>
      <c r="EA43">
        <v>-2.0083163671649742</v>
      </c>
      <c r="EB43">
        <v>2</v>
      </c>
      <c r="EC43">
        <v>2.7371329192802597E-2</v>
      </c>
      <c r="ED43">
        <v>0.17006450858763375</v>
      </c>
      <c r="EE43" s="13">
        <v>-1.024</v>
      </c>
      <c r="EF43">
        <v>-1.0197000000000001</v>
      </c>
      <c r="EG43">
        <v>26.160946745562129</v>
      </c>
      <c r="EH43" t="s">
        <v>670</v>
      </c>
      <c r="EI43">
        <v>0</v>
      </c>
      <c r="EJ43">
        <v>0</v>
      </c>
      <c r="EK43" s="9">
        <v>45470</v>
      </c>
      <c r="EL43" s="14">
        <v>0</v>
      </c>
      <c r="EM43" s="14">
        <v>-2.54</v>
      </c>
      <c r="EN43" s="14">
        <v>-0.22</v>
      </c>
      <c r="EO43" s="14">
        <v>1.74</v>
      </c>
      <c r="EP43" s="14">
        <v>-0.43</v>
      </c>
    </row>
    <row r="44" spans="1:146" ht="96" x14ac:dyDescent="0.25">
      <c r="A44" s="6"/>
      <c r="B44" s="6"/>
      <c r="C44" s="6" t="str">
        <f>""&amp;CHAR(10)&amp;Basic_Fundamental_Information_Constructure(F44)&amp;CHAR(10)&amp;Basic_Fundamental_Information_Concatenate("")</f>
        <v xml:space="preserve">
市值1105.1967亿, 利润21.51亿; PE9.37; 平均PE12.9; 平均PEG1.36, PB.709; ROIC0%; ROE7.8267%; 股利率3.5131%; 毛利0%; 净利35.6667%; 上一年度营收增-38.5%, 利润增-80.54%; 当季营收增36.61%, 利润增409.15%; 过往5年营收增9.48%, 利润增4.94%
Income profile:
</v>
      </c>
      <c r="D44" t="s">
        <v>75</v>
      </c>
      <c r="E44" t="s">
        <v>27</v>
      </c>
      <c r="F44">
        <v>12.24</v>
      </c>
      <c r="G44">
        <v>0.16</v>
      </c>
      <c r="H44" t="s">
        <v>1623</v>
      </c>
      <c r="I44">
        <v>110519670000</v>
      </c>
      <c r="J44">
        <v>9.3699999999999992</v>
      </c>
      <c r="K44">
        <v>0.70899999999999996</v>
      </c>
      <c r="L44" t="s">
        <v>50</v>
      </c>
      <c r="M44" t="s">
        <v>1624</v>
      </c>
      <c r="N44" t="s">
        <v>1625</v>
      </c>
      <c r="O44" t="s">
        <v>1626</v>
      </c>
      <c r="P44">
        <v>-32.11</v>
      </c>
      <c r="Q44" t="s">
        <v>1627</v>
      </c>
      <c r="R44">
        <v>2291192800</v>
      </c>
      <c r="S44" s="5">
        <v>-0.29389999999999999</v>
      </c>
      <c r="T44" t="s">
        <v>926</v>
      </c>
      <c r="U44">
        <v>7294330700</v>
      </c>
      <c r="V44">
        <v>9029384800</v>
      </c>
      <c r="W44">
        <v>4.67</v>
      </c>
      <c r="X44">
        <v>0.01</v>
      </c>
      <c r="Y44">
        <v>38.92</v>
      </c>
      <c r="Z44" t="s">
        <v>44</v>
      </c>
      <c r="AA44" t="s">
        <v>44</v>
      </c>
      <c r="AB44" t="s">
        <v>44</v>
      </c>
      <c r="AC44" t="s">
        <v>44</v>
      </c>
      <c r="AD44" t="s">
        <v>44</v>
      </c>
      <c r="AE44">
        <v>0</v>
      </c>
      <c r="AF44" t="s">
        <v>1628</v>
      </c>
      <c r="AG44" t="s">
        <v>1629</v>
      </c>
      <c r="AH44" t="s">
        <v>1630</v>
      </c>
      <c r="AI44" t="s">
        <v>1631</v>
      </c>
      <c r="AJ44" t="s">
        <v>108</v>
      </c>
      <c r="AK44" t="s">
        <v>44</v>
      </c>
      <c r="AL44" t="s">
        <v>108</v>
      </c>
      <c r="AM44" t="s">
        <v>1632</v>
      </c>
      <c r="AN44" t="s">
        <v>299</v>
      </c>
      <c r="AO44" t="s">
        <v>1633</v>
      </c>
      <c r="AP44" t="s">
        <v>44</v>
      </c>
      <c r="AQ44" t="s">
        <v>44</v>
      </c>
      <c r="AR44" t="s">
        <v>44</v>
      </c>
      <c r="AS44" t="s">
        <v>44</v>
      </c>
      <c r="AT44" t="s">
        <v>144</v>
      </c>
      <c r="AU44" t="s">
        <v>1634</v>
      </c>
      <c r="AV44" t="s">
        <v>1635</v>
      </c>
      <c r="AW44" t="s">
        <v>1636</v>
      </c>
      <c r="AX44" t="s">
        <v>784</v>
      </c>
      <c r="AY44" t="s">
        <v>500</v>
      </c>
      <c r="AZ44" t="s">
        <v>378</v>
      </c>
      <c r="BA44" t="s">
        <v>181</v>
      </c>
      <c r="BB44" t="s">
        <v>380</v>
      </c>
      <c r="BC44" t="s">
        <v>1637</v>
      </c>
      <c r="BD44" t="s">
        <v>501</v>
      </c>
      <c r="BE44" t="s">
        <v>379</v>
      </c>
      <c r="BF44" t="s">
        <v>182</v>
      </c>
      <c r="BG44" t="s">
        <v>381</v>
      </c>
      <c r="BH44" t="s">
        <v>1638</v>
      </c>
      <c r="BI44" t="s">
        <v>1639</v>
      </c>
      <c r="BJ44" t="s">
        <v>784</v>
      </c>
      <c r="BK44" t="s">
        <v>1640</v>
      </c>
      <c r="BL44" t="s">
        <v>676</v>
      </c>
      <c r="BM44" t="s">
        <v>1637</v>
      </c>
      <c r="BN44" t="s">
        <v>44</v>
      </c>
      <c r="BO44" t="s">
        <v>44</v>
      </c>
      <c r="BP44" t="s">
        <v>44</v>
      </c>
      <c r="BQ44">
        <v>6.15</v>
      </c>
      <c r="BR44">
        <v>7.49</v>
      </c>
      <c r="BS44">
        <v>9.84</v>
      </c>
      <c r="BT44" t="s">
        <v>1641</v>
      </c>
      <c r="BU44" t="s">
        <v>50</v>
      </c>
      <c r="BV44" t="s">
        <v>44</v>
      </c>
      <c r="BW44" t="s">
        <v>44</v>
      </c>
      <c r="BX44" t="s">
        <v>44</v>
      </c>
      <c r="BY44">
        <v>35.64</v>
      </c>
      <c r="BZ44">
        <v>35.479999999999997</v>
      </c>
      <c r="CA44">
        <v>35.880000000000003</v>
      </c>
      <c r="CB44">
        <v>-1.21</v>
      </c>
      <c r="CC44">
        <v>-11.69</v>
      </c>
      <c r="CD44" t="s">
        <v>256</v>
      </c>
      <c r="CE44" t="s">
        <v>871</v>
      </c>
      <c r="CF44" s="10">
        <v>0.36607742224211232</v>
      </c>
      <c r="CG44" s="11">
        <v>4.0915395555555554</v>
      </c>
      <c r="CH44" s="10">
        <v>-0.38495877385139465</v>
      </c>
      <c r="CI44" s="10">
        <v>-0.15493994951248169</v>
      </c>
      <c r="CJ44" s="10">
        <v>0.20543800294399261</v>
      </c>
      <c r="CK44" s="10">
        <v>0.26473069190979004</v>
      </c>
      <c r="CL44" s="10">
        <v>0.5435187816619873</v>
      </c>
      <c r="CM44" s="11">
        <v>-0.80540978908538818</v>
      </c>
      <c r="CN44" s="11">
        <v>-0.17173683643341064</v>
      </c>
      <c r="CO44" s="11">
        <v>0.23322863876819611</v>
      </c>
      <c r="CP44" s="11">
        <v>0.20217719674110413</v>
      </c>
      <c r="CQ44" s="11">
        <v>0.78859537839889526</v>
      </c>
      <c r="CR44">
        <v>12.899121148459384</v>
      </c>
      <c r="CS44">
        <v>1.3612734644551607</v>
      </c>
      <c r="CT44">
        <v>3.5130718954248366</v>
      </c>
      <c r="CU44" s="10">
        <v>9.4757750630378723E-2</v>
      </c>
      <c r="CV44" s="11">
        <v>4.9370917677879336E-2</v>
      </c>
      <c r="CW44">
        <v>0.06</v>
      </c>
      <c r="CX44">
        <v>292.1806526115015</v>
      </c>
      <c r="CY44">
        <v>2221532001.5150418</v>
      </c>
      <c r="CZ44">
        <v>9.4757750630378723E-2</v>
      </c>
      <c r="DA44">
        <v>95.098216581369371</v>
      </c>
      <c r="DB44">
        <v>6825455758.6221075</v>
      </c>
      <c r="DC44">
        <v>9.0019863098859787E-2</v>
      </c>
      <c r="DD44">
        <v>46.562778808428206</v>
      </c>
      <c r="DE44">
        <v>13940075884.872021</v>
      </c>
      <c r="DF44">
        <v>8.3386820554733274E-2</v>
      </c>
      <c r="DG44">
        <v>27.791771765486775</v>
      </c>
      <c r="DH44">
        <v>23355426040.381889</v>
      </c>
      <c r="DI44">
        <v>7.5806200504302979E-2</v>
      </c>
      <c r="DJ44">
        <v>14.165285858577315</v>
      </c>
      <c r="DK44">
        <v>45822490028.110947</v>
      </c>
      <c r="DL44">
        <v>6.6330425441265106E-2</v>
      </c>
      <c r="DM44">
        <v>2151000000</v>
      </c>
      <c r="DN44">
        <v>9.4757750630378723E-2</v>
      </c>
      <c r="DO44">
        <v>649088670000</v>
      </c>
      <c r="DP44">
        <v>0</v>
      </c>
      <c r="DQ44">
        <v>3766</v>
      </c>
      <c r="DR44">
        <v>0.27131967161173359</v>
      </c>
      <c r="DS44">
        <v>4.0421686378776762</v>
      </c>
      <c r="DT44" s="12">
        <v>-0.40666666666666673</v>
      </c>
      <c r="DU44">
        <v>-3.3333333333333291E-2</v>
      </c>
      <c r="DV44">
        <v>-0.44</v>
      </c>
      <c r="DW44">
        <v>-2.1168999999999998</v>
      </c>
      <c r="DX44">
        <v>0.36903225806451601</v>
      </c>
      <c r="DY44">
        <v>-2.0150838709677421</v>
      </c>
      <c r="DZ44">
        <v>2391</v>
      </c>
      <c r="EA44">
        <v>-2.0080260362350861</v>
      </c>
      <c r="EB44">
        <v>2</v>
      </c>
      <c r="EC44">
        <v>2.2149903280232336E-2</v>
      </c>
      <c r="ED44">
        <v>0.1716617504218006</v>
      </c>
      <c r="EE44" s="13">
        <v>-2.1153</v>
      </c>
      <c r="EF44">
        <v>-2.1114000000000002</v>
      </c>
      <c r="EG44">
        <v>24.129032258064516</v>
      </c>
      <c r="EH44" t="s">
        <v>1511</v>
      </c>
      <c r="EI44">
        <v>0</v>
      </c>
      <c r="EJ44">
        <v>0</v>
      </c>
      <c r="EK44" s="9">
        <v>45470</v>
      </c>
      <c r="EL44" s="14">
        <v>0.4</v>
      </c>
      <c r="EM44" s="14">
        <v>-1.97</v>
      </c>
      <c r="EN44" s="14">
        <v>1.61</v>
      </c>
      <c r="EO44" s="14">
        <v>0.59</v>
      </c>
      <c r="EP44" s="14">
        <v>-0.39</v>
      </c>
    </row>
    <row r="45" spans="1:146" ht="96" x14ac:dyDescent="0.25">
      <c r="A45" s="6"/>
      <c r="B45" s="6"/>
      <c r="C45" s="6" t="str">
        <f>""&amp;CHAR(10)&amp;Basic_Fundamental_Information_Constructure(F45)&amp;CHAR(10)&amp;Basic_Fundamental_Information_Concatenate("")</f>
        <v xml:space="preserve">
市值243.6306亿, 利润3.49亿; PE28.65; 平均PE32.45; 平均PEG54.86, PB1.4; ROIC0%; ROE5.37%; 股利率.3877%; 毛利0%; 净利28.9833%; 上一年度营收增-11.59%, 利润增-56.81%; 当季营收增3.02%, 利润增43.48%; 过往5年营收增-.59%, 利润增-8.01%
Income profile:
</v>
      </c>
      <c r="D45" t="s">
        <v>91</v>
      </c>
      <c r="E45" t="s">
        <v>92</v>
      </c>
      <c r="F45">
        <v>8.77</v>
      </c>
      <c r="G45">
        <v>0</v>
      </c>
      <c r="H45" t="s">
        <v>1642</v>
      </c>
      <c r="I45">
        <v>24363060000</v>
      </c>
      <c r="J45">
        <v>28.65</v>
      </c>
      <c r="K45">
        <v>1.4</v>
      </c>
      <c r="L45" t="s">
        <v>50</v>
      </c>
      <c r="M45" t="s">
        <v>1643</v>
      </c>
      <c r="N45" t="s">
        <v>1644</v>
      </c>
      <c r="O45" t="s">
        <v>1645</v>
      </c>
      <c r="P45">
        <v>-10.07</v>
      </c>
      <c r="Q45" t="s">
        <v>1646</v>
      </c>
      <c r="R45">
        <v>202311000</v>
      </c>
      <c r="S45" s="5">
        <v>-0.19919999999999999</v>
      </c>
      <c r="T45" t="s">
        <v>662</v>
      </c>
      <c r="U45">
        <v>2778000000</v>
      </c>
      <c r="V45">
        <v>2778000000</v>
      </c>
      <c r="W45">
        <v>3.61</v>
      </c>
      <c r="X45">
        <v>0.01</v>
      </c>
      <c r="Y45">
        <v>32.9</v>
      </c>
      <c r="Z45" t="s">
        <v>44</v>
      </c>
      <c r="AA45" t="s">
        <v>44</v>
      </c>
      <c r="AB45" t="s">
        <v>44</v>
      </c>
      <c r="AC45" t="s">
        <v>44</v>
      </c>
      <c r="AD45" t="s">
        <v>44</v>
      </c>
      <c r="AE45">
        <v>0</v>
      </c>
      <c r="AF45" t="s">
        <v>1647</v>
      </c>
      <c r="AG45" t="s">
        <v>1648</v>
      </c>
      <c r="AH45" t="s">
        <v>1649</v>
      </c>
      <c r="AI45" t="s">
        <v>1650</v>
      </c>
      <c r="AJ45" t="s">
        <v>108</v>
      </c>
      <c r="AK45" t="s">
        <v>44</v>
      </c>
      <c r="AL45" t="s">
        <v>108</v>
      </c>
      <c r="AM45" t="s">
        <v>1651</v>
      </c>
      <c r="AN45" t="s">
        <v>44</v>
      </c>
      <c r="AO45" t="s">
        <v>44</v>
      </c>
      <c r="AP45" t="s">
        <v>44</v>
      </c>
      <c r="AQ45" t="s">
        <v>44</v>
      </c>
      <c r="AR45" t="s">
        <v>44</v>
      </c>
      <c r="AS45" t="s">
        <v>44</v>
      </c>
      <c r="AT45" t="s">
        <v>44</v>
      </c>
      <c r="AU45" t="s">
        <v>1652</v>
      </c>
      <c r="AV45" t="s">
        <v>1653</v>
      </c>
      <c r="AW45" t="s">
        <v>1654</v>
      </c>
      <c r="AX45" t="s">
        <v>786</v>
      </c>
      <c r="AY45" t="s">
        <v>502</v>
      </c>
      <c r="AZ45" t="s">
        <v>382</v>
      </c>
      <c r="BA45" t="s">
        <v>183</v>
      </c>
      <c r="BB45" t="s">
        <v>338</v>
      </c>
      <c r="BC45" t="s">
        <v>787</v>
      </c>
      <c r="BD45" t="s">
        <v>503</v>
      </c>
      <c r="BE45" t="s">
        <v>383</v>
      </c>
      <c r="BF45" t="s">
        <v>184</v>
      </c>
      <c r="BG45" t="s">
        <v>285</v>
      </c>
      <c r="BH45" t="s">
        <v>1655</v>
      </c>
      <c r="BI45" t="s">
        <v>634</v>
      </c>
      <c r="BJ45" t="s">
        <v>786</v>
      </c>
      <c r="BK45" t="s">
        <v>1656</v>
      </c>
      <c r="BL45" t="s">
        <v>1028</v>
      </c>
      <c r="BM45" t="s">
        <v>787</v>
      </c>
      <c r="BN45" t="s">
        <v>44</v>
      </c>
      <c r="BO45" t="s">
        <v>44</v>
      </c>
      <c r="BP45" t="s">
        <v>44</v>
      </c>
      <c r="BQ45">
        <v>4.82</v>
      </c>
      <c r="BR45">
        <v>5.03</v>
      </c>
      <c r="BS45">
        <v>6.26</v>
      </c>
      <c r="BT45" t="s">
        <v>1657</v>
      </c>
      <c r="BU45" t="s">
        <v>50</v>
      </c>
      <c r="BV45" t="s">
        <v>44</v>
      </c>
      <c r="BW45" t="s">
        <v>44</v>
      </c>
      <c r="BX45" t="s">
        <v>44</v>
      </c>
      <c r="BY45">
        <v>30.66</v>
      </c>
      <c r="BZ45">
        <v>27.4</v>
      </c>
      <c r="CA45">
        <v>28.89</v>
      </c>
      <c r="CB45">
        <v>-3.41</v>
      </c>
      <c r="CC45">
        <v>-11.86</v>
      </c>
      <c r="CD45" t="s">
        <v>1658</v>
      </c>
      <c r="CE45" t="s">
        <v>1659</v>
      </c>
      <c r="CF45" s="10">
        <v>3.015075376884422E-2</v>
      </c>
      <c r="CG45" s="11">
        <v>0.43482978723404253</v>
      </c>
      <c r="CH45" s="10">
        <v>-0.11591755598783493</v>
      </c>
      <c r="CI45" s="10">
        <v>-0.11247751861810684</v>
      </c>
      <c r="CJ45" s="10">
        <v>2.7743566781282425E-2</v>
      </c>
      <c r="CK45" s="10">
        <v>0.11554332822561264</v>
      </c>
      <c r="CL45" s="10">
        <v>5.5535364896059036E-2</v>
      </c>
      <c r="CM45" s="11">
        <v>-0.56806927919387817</v>
      </c>
      <c r="CN45" s="11">
        <v>-0.16008315980434418</v>
      </c>
      <c r="CO45" s="11">
        <v>8.9467726647853851E-2</v>
      </c>
      <c r="CP45" s="11">
        <v>0.10651629418134689</v>
      </c>
      <c r="CQ45" s="11">
        <v>0.1319148987531662</v>
      </c>
      <c r="CR45">
        <v>32.448026637069923</v>
      </c>
      <c r="CS45">
        <v>54.861241587855645</v>
      </c>
      <c r="CT45">
        <v>0.38768529076396813</v>
      </c>
      <c r="CU45" s="10">
        <v>-5.9145629405975338E-3</v>
      </c>
      <c r="CV45" s="11">
        <v>-8.0050703883171079E-2</v>
      </c>
      <c r="CW45">
        <v>0.06</v>
      </c>
      <c r="CX45">
        <v>169.48441260744985</v>
      </c>
      <c r="CY45" t="s">
        <v>1660</v>
      </c>
      <c r="CZ45">
        <v>-5.9145629405975338E-3</v>
      </c>
      <c r="DA45">
        <v>56.494804202483287</v>
      </c>
      <c r="DB45" t="s">
        <v>1661</v>
      </c>
      <c r="DC45">
        <v>-5.6188347935676565E-3</v>
      </c>
      <c r="DD45">
        <v>28.247402101241644</v>
      </c>
      <c r="DE45" t="s">
        <v>1662</v>
      </c>
      <c r="DF45">
        <v>-5.2048153877258295E-3</v>
      </c>
      <c r="DG45">
        <v>16.948441260744985</v>
      </c>
      <c r="DH45" t="s">
        <v>1663</v>
      </c>
      <c r="DI45">
        <v>-4.7316503524780272E-3</v>
      </c>
      <c r="DJ45">
        <v>8.4742206303724927</v>
      </c>
      <c r="DK45" t="s">
        <v>1664</v>
      </c>
      <c r="DL45">
        <v>-4.1401940584182735E-3</v>
      </c>
      <c r="DM45">
        <v>349000000</v>
      </c>
      <c r="DN45">
        <v>-5.9145629405975338E-3</v>
      </c>
      <c r="DO45">
        <v>59150060000</v>
      </c>
      <c r="DP45">
        <v>0</v>
      </c>
      <c r="DQ45">
        <v>3768</v>
      </c>
      <c r="DR45">
        <v>3.6065316709441755E-2</v>
      </c>
      <c r="DS45">
        <v>0.51488049111721357</v>
      </c>
      <c r="DT45" s="12">
        <v>-0.44</v>
      </c>
      <c r="DU45">
        <v>-0.31666666666666665</v>
      </c>
      <c r="DV45">
        <v>-0.7566666666666666</v>
      </c>
      <c r="DW45">
        <v>-8.2875210792580098</v>
      </c>
      <c r="DX45">
        <v>0.44005209424083747</v>
      </c>
      <c r="DY45">
        <v>-8.0488935616662101</v>
      </c>
      <c r="DZ45">
        <v>111</v>
      </c>
      <c r="EA45">
        <v>-8.0478314901701342</v>
      </c>
      <c r="EB45">
        <v>8</v>
      </c>
      <c r="EC45">
        <v>2.3383693304535637E-2</v>
      </c>
      <c r="ED45">
        <v>0.13750899928005761</v>
      </c>
      <c r="EE45" s="13">
        <v>-4.04291</v>
      </c>
      <c r="EF45">
        <v>-4.0836100000000002</v>
      </c>
      <c r="EG45">
        <v>27.170052094240837</v>
      </c>
      <c r="EH45" t="s">
        <v>1665</v>
      </c>
      <c r="EI45">
        <v>0</v>
      </c>
      <c r="EJ45">
        <v>1</v>
      </c>
      <c r="EK45" s="9">
        <v>45470</v>
      </c>
      <c r="EL45" s="14">
        <v>1.22</v>
      </c>
      <c r="EM45" s="14">
        <v>-1.92</v>
      </c>
      <c r="EN45" s="14">
        <v>-0.49</v>
      </c>
      <c r="EO45" s="14">
        <v>-2.4700000000000002</v>
      </c>
      <c r="EP45" s="14">
        <v>-4.07</v>
      </c>
    </row>
    <row r="46" spans="1:146" ht="96" x14ac:dyDescent="0.25">
      <c r="A46" s="6"/>
      <c r="B46" s="6"/>
      <c r="C46" s="6" t="str">
        <f>""&amp;CHAR(10)&amp;Basic_Fundamental_Information_Constructure(F46)&amp;CHAR(10)&amp;Basic_Fundamental_Information_Concatenate("")</f>
        <v xml:space="preserve">
市值656.11508亿, 利润3.29亿; PE16.42; 平均PE39.34; 平均PEG1.17, PB1.12; ROIC0%; ROE6.3033%; 股利率1.9698%; 毛利0%; 净利31.42%; 上一年度营收增110.32%, 利润增-89.68%; 当季营收增-61.31%, 利润增601.76%; 过往5年营收增33.66%, 利润增142.7%
Income profile:
</v>
      </c>
      <c r="D46" t="s">
        <v>66</v>
      </c>
      <c r="E46" t="s">
        <v>42</v>
      </c>
      <c r="F46">
        <v>14.23</v>
      </c>
      <c r="G46">
        <v>-0.21</v>
      </c>
      <c r="H46" t="s">
        <v>1666</v>
      </c>
      <c r="I46">
        <v>65611508000</v>
      </c>
      <c r="J46">
        <v>16.420000000000002</v>
      </c>
      <c r="K46">
        <v>1.1200000000000001</v>
      </c>
      <c r="L46" t="s">
        <v>50</v>
      </c>
      <c r="M46" t="s">
        <v>1667</v>
      </c>
      <c r="N46" t="s">
        <v>1668</v>
      </c>
      <c r="O46" t="s">
        <v>1669</v>
      </c>
      <c r="P46">
        <v>-19.850000000000001</v>
      </c>
      <c r="Q46" t="s">
        <v>1670</v>
      </c>
      <c r="R46">
        <v>682436810</v>
      </c>
      <c r="S46" s="5">
        <v>-0.28749999999999998</v>
      </c>
      <c r="T46" t="s">
        <v>609</v>
      </c>
      <c r="U46">
        <v>3906698800</v>
      </c>
      <c r="V46">
        <v>4610787600</v>
      </c>
      <c r="W46">
        <v>3.58</v>
      </c>
      <c r="X46">
        <v>0.01</v>
      </c>
      <c r="Y46">
        <v>31.24</v>
      </c>
      <c r="Z46" t="s">
        <v>44</v>
      </c>
      <c r="AA46" t="s">
        <v>44</v>
      </c>
      <c r="AB46" t="s">
        <v>44</v>
      </c>
      <c r="AC46" t="s">
        <v>44</v>
      </c>
      <c r="AD46" t="s">
        <v>44</v>
      </c>
      <c r="AE46">
        <v>0</v>
      </c>
      <c r="AF46" t="s">
        <v>1671</v>
      </c>
      <c r="AG46" t="s">
        <v>1672</v>
      </c>
      <c r="AH46" t="s">
        <v>1673</v>
      </c>
      <c r="AI46" t="s">
        <v>1674</v>
      </c>
      <c r="AJ46" t="s">
        <v>108</v>
      </c>
      <c r="AK46" t="s">
        <v>44</v>
      </c>
      <c r="AL46" t="s">
        <v>108</v>
      </c>
      <c r="AM46" t="s">
        <v>1675</v>
      </c>
      <c r="AN46" t="s">
        <v>44</v>
      </c>
      <c r="AO46" t="s">
        <v>734</v>
      </c>
      <c r="AP46" t="s">
        <v>44</v>
      </c>
      <c r="AQ46" t="s">
        <v>44</v>
      </c>
      <c r="AR46" t="s">
        <v>44</v>
      </c>
      <c r="AS46" t="s">
        <v>44</v>
      </c>
      <c r="AT46" t="s">
        <v>1676</v>
      </c>
      <c r="AU46" t="s">
        <v>1677</v>
      </c>
      <c r="AV46" t="s">
        <v>1678</v>
      </c>
      <c r="AW46" t="s">
        <v>1679</v>
      </c>
      <c r="AX46" t="s">
        <v>789</v>
      </c>
      <c r="AY46" t="s">
        <v>504</v>
      </c>
      <c r="AZ46" t="s">
        <v>384</v>
      </c>
      <c r="BA46" t="s">
        <v>185</v>
      </c>
      <c r="BB46" t="s">
        <v>386</v>
      </c>
      <c r="BC46" t="s">
        <v>790</v>
      </c>
      <c r="BD46" t="s">
        <v>273</v>
      </c>
      <c r="BE46" t="s">
        <v>385</v>
      </c>
      <c r="BF46" t="s">
        <v>186</v>
      </c>
      <c r="BG46" t="s">
        <v>387</v>
      </c>
      <c r="BH46" t="s">
        <v>260</v>
      </c>
      <c r="BI46" t="s">
        <v>1680</v>
      </c>
      <c r="BJ46" t="s">
        <v>789</v>
      </c>
      <c r="BK46" t="s">
        <v>1681</v>
      </c>
      <c r="BL46" t="s">
        <v>1682</v>
      </c>
      <c r="BM46" t="s">
        <v>790</v>
      </c>
      <c r="BN46" t="s">
        <v>44</v>
      </c>
      <c r="BO46" t="s">
        <v>44</v>
      </c>
      <c r="BP46" t="s">
        <v>44</v>
      </c>
      <c r="BQ46">
        <v>7.21</v>
      </c>
      <c r="BR46">
        <v>5.27</v>
      </c>
      <c r="BS46">
        <v>6.43</v>
      </c>
      <c r="BT46" t="s">
        <v>1683</v>
      </c>
      <c r="BU46" t="s">
        <v>50</v>
      </c>
      <c r="BV46" t="s">
        <v>44</v>
      </c>
      <c r="BW46" t="s">
        <v>44</v>
      </c>
      <c r="BX46" t="s">
        <v>44</v>
      </c>
      <c r="BY46">
        <v>42.87</v>
      </c>
      <c r="BZ46">
        <v>30.06</v>
      </c>
      <c r="CA46">
        <v>21.33</v>
      </c>
      <c r="CB46">
        <v>-2.67</v>
      </c>
      <c r="CC46">
        <v>-13.34</v>
      </c>
      <c r="CD46" t="s">
        <v>1455</v>
      </c>
      <c r="CE46" t="s">
        <v>934</v>
      </c>
      <c r="CF46" s="10">
        <v>-0.613061797752809</v>
      </c>
      <c r="CG46" s="11">
        <v>6.0176048676352032</v>
      </c>
      <c r="CH46" s="10">
        <v>1.1032466888427734</v>
      </c>
      <c r="CI46" s="10">
        <v>-0.35476148128509521</v>
      </c>
      <c r="CJ46" s="10">
        <v>5.3006421774625778E-2</v>
      </c>
      <c r="CK46" s="10">
        <v>0.57760769128799438</v>
      </c>
      <c r="CL46" s="10">
        <v>0.3040715754032135</v>
      </c>
      <c r="CM46" s="11">
        <v>-0.89683288335800171</v>
      </c>
      <c r="CN46" s="11">
        <v>-8.4672808647155762E-2</v>
      </c>
      <c r="CO46" s="11">
        <v>0.49271628260612488</v>
      </c>
      <c r="CP46" s="11">
        <v>3.1091551780700684</v>
      </c>
      <c r="CQ46" s="11">
        <v>4.5145630836486816</v>
      </c>
      <c r="CR46">
        <v>39.339367242929953</v>
      </c>
      <c r="CS46">
        <v>1.1686088244476285</v>
      </c>
      <c r="CT46">
        <v>1.9697821503865072</v>
      </c>
      <c r="CU46" s="10">
        <v>0.3366341792047024</v>
      </c>
      <c r="CV46" s="11">
        <v>1.4269857704639435</v>
      </c>
      <c r="CW46">
        <v>0.06</v>
      </c>
      <c r="CX46">
        <v>454.75355469196063</v>
      </c>
      <c r="CY46">
        <v>414860985.80976135</v>
      </c>
      <c r="CZ46">
        <v>0.3366341792047024</v>
      </c>
      <c r="DA46">
        <v>121.34628319516601</v>
      </c>
      <c r="DB46">
        <v>1554720120.2411077</v>
      </c>
      <c r="DC46">
        <v>0.31980247024446729</v>
      </c>
      <c r="DD46">
        <v>44.58410583392682</v>
      </c>
      <c r="DE46">
        <v>4231541812.293951</v>
      </c>
      <c r="DF46">
        <v>0.2962380777001381</v>
      </c>
      <c r="DG46">
        <v>18.68040577672301</v>
      </c>
      <c r="DH46">
        <v>10099326013.307587</v>
      </c>
      <c r="DI46">
        <v>0.26930734336376194</v>
      </c>
      <c r="DJ46">
        <v>3.9828263139752207</v>
      </c>
      <c r="DK46">
        <v>47368248858.359268</v>
      </c>
      <c r="DL46">
        <v>0.23564392544329166</v>
      </c>
      <c r="DM46">
        <v>329000000</v>
      </c>
      <c r="DN46">
        <v>0.3366341792047024</v>
      </c>
      <c r="DO46">
        <v>188659508000</v>
      </c>
      <c r="DP46">
        <v>0</v>
      </c>
      <c r="DQ46">
        <v>3780</v>
      </c>
      <c r="DR46">
        <v>-0.9496959769575114</v>
      </c>
      <c r="DS46">
        <v>4.5906190971712597</v>
      </c>
      <c r="DT46" s="12">
        <v>-4.0000000000000036E-2</v>
      </c>
      <c r="DU46">
        <v>1.1479999999999999</v>
      </c>
      <c r="DV46">
        <v>1.1079999999999999</v>
      </c>
      <c r="DW46">
        <v>-8.200149925037481</v>
      </c>
      <c r="DX46">
        <v>0.46290322580645266</v>
      </c>
      <c r="DY46">
        <v>-8.0326050684335257</v>
      </c>
      <c r="DZ46">
        <v>4187</v>
      </c>
      <c r="EA46">
        <v>-8.0058893303648038</v>
      </c>
      <c r="EB46">
        <v>8</v>
      </c>
      <c r="EC46">
        <v>2.1905151302133285E-2</v>
      </c>
      <c r="ED46">
        <v>0.134467265419036</v>
      </c>
      <c r="EE46" s="13">
        <v>1.0902099999999999</v>
      </c>
      <c r="EF46">
        <v>1.1322099999999999</v>
      </c>
      <c r="EG46">
        <v>30.162903225806453</v>
      </c>
      <c r="EH46" t="s">
        <v>647</v>
      </c>
      <c r="EI46">
        <v>0</v>
      </c>
      <c r="EJ46">
        <v>0</v>
      </c>
      <c r="EK46" s="9">
        <v>45470</v>
      </c>
      <c r="EL46" s="14">
        <v>-3.64</v>
      </c>
      <c r="EM46" s="14">
        <v>-3.36</v>
      </c>
      <c r="EN46" s="14">
        <v>-1.74</v>
      </c>
      <c r="EO46" s="14">
        <v>5.31</v>
      </c>
      <c r="EP46" s="14">
        <v>-4.2</v>
      </c>
    </row>
    <row r="47" spans="1:146" ht="96" x14ac:dyDescent="0.25">
      <c r="A47" s="6"/>
      <c r="B47" s="6"/>
      <c r="C47" s="6" t="str">
        <f>""&amp;CHAR(10)&amp;Basic_Fundamental_Information_Constructure(F47)&amp;CHAR(10)&amp;Basic_Fundamental_Information_Concatenate("")</f>
        <v xml:space="preserve">
市值413.4537亿, 利润13.43亿; PE24.14; 平均PE29.1; 平均PEG.85, PB1.54; ROIC0%; ROE7.1633%; 股利率1.3146%; 毛利0%; 净利11.2767%; 上一年度营收增-27.32%, 利润增-18.8%; 当季营收增34.98%, 利润增14.72%; 过往5年营收增34.11%, 利润增18.18%
Income profile:
</v>
      </c>
      <c r="D47" t="s">
        <v>68</v>
      </c>
      <c r="E47" t="s">
        <v>12</v>
      </c>
      <c r="F47">
        <v>10.65</v>
      </c>
      <c r="G47">
        <v>1.82</v>
      </c>
      <c r="H47" t="s">
        <v>1684</v>
      </c>
      <c r="I47">
        <v>41345370000</v>
      </c>
      <c r="J47">
        <v>24.14</v>
      </c>
      <c r="K47">
        <v>1.54</v>
      </c>
      <c r="L47" t="s">
        <v>50</v>
      </c>
      <c r="M47" t="s">
        <v>1685</v>
      </c>
      <c r="N47" t="s">
        <v>1686</v>
      </c>
      <c r="O47" t="s">
        <v>1687</v>
      </c>
      <c r="P47">
        <v>-21.26</v>
      </c>
      <c r="Q47" t="s">
        <v>1688</v>
      </c>
      <c r="R47">
        <v>447423000</v>
      </c>
      <c r="S47" s="5">
        <v>-8.3099999999999993E-2</v>
      </c>
      <c r="T47" t="s">
        <v>1689</v>
      </c>
      <c r="U47">
        <v>3882194400</v>
      </c>
      <c r="V47">
        <v>3882194400</v>
      </c>
      <c r="W47">
        <v>4.97</v>
      </c>
      <c r="X47">
        <v>0.03</v>
      </c>
      <c r="Y47">
        <v>11.79</v>
      </c>
      <c r="Z47" t="s">
        <v>44</v>
      </c>
      <c r="AA47" t="s">
        <v>44</v>
      </c>
      <c r="AB47" t="s">
        <v>44</v>
      </c>
      <c r="AC47" t="s">
        <v>44</v>
      </c>
      <c r="AD47" t="s">
        <v>44</v>
      </c>
      <c r="AE47">
        <v>0</v>
      </c>
      <c r="AF47" t="s">
        <v>1690</v>
      </c>
      <c r="AG47" t="s">
        <v>1691</v>
      </c>
      <c r="AH47" t="s">
        <v>1692</v>
      </c>
      <c r="AI47" t="s">
        <v>1693</v>
      </c>
      <c r="AJ47" t="s">
        <v>108</v>
      </c>
      <c r="AK47" t="s">
        <v>44</v>
      </c>
      <c r="AL47" t="s">
        <v>108</v>
      </c>
      <c r="AM47" t="s">
        <v>1694</v>
      </c>
      <c r="AN47" t="s">
        <v>44</v>
      </c>
      <c r="AO47" t="s">
        <v>1695</v>
      </c>
      <c r="AP47" t="s">
        <v>44</v>
      </c>
      <c r="AQ47" t="s">
        <v>44</v>
      </c>
      <c r="AR47" t="s">
        <v>44</v>
      </c>
      <c r="AS47" t="s">
        <v>44</v>
      </c>
      <c r="AT47" t="s">
        <v>44</v>
      </c>
      <c r="AU47" t="s">
        <v>1696</v>
      </c>
      <c r="AV47" t="s">
        <v>1697</v>
      </c>
      <c r="AW47" t="s">
        <v>1698</v>
      </c>
      <c r="AX47" t="s">
        <v>793</v>
      </c>
      <c r="AY47" t="s">
        <v>505</v>
      </c>
      <c r="AZ47" t="s">
        <v>388</v>
      </c>
      <c r="BA47" t="s">
        <v>187</v>
      </c>
      <c r="BB47" t="s">
        <v>390</v>
      </c>
      <c r="BC47" t="s">
        <v>794</v>
      </c>
      <c r="BD47" t="s">
        <v>506</v>
      </c>
      <c r="BE47" t="s">
        <v>389</v>
      </c>
      <c r="BF47" t="s">
        <v>188</v>
      </c>
      <c r="BG47" t="s">
        <v>391</v>
      </c>
      <c r="BH47" t="s">
        <v>1699</v>
      </c>
      <c r="BI47" t="s">
        <v>1700</v>
      </c>
      <c r="BJ47" t="s">
        <v>793</v>
      </c>
      <c r="BK47" t="s">
        <v>1701</v>
      </c>
      <c r="BL47" t="s">
        <v>1702</v>
      </c>
      <c r="BM47" t="s">
        <v>794</v>
      </c>
      <c r="BN47" t="s">
        <v>44</v>
      </c>
      <c r="BO47" t="s">
        <v>44</v>
      </c>
      <c r="BP47" t="s">
        <v>44</v>
      </c>
      <c r="BQ47">
        <v>5.01</v>
      </c>
      <c r="BR47">
        <v>6.58</v>
      </c>
      <c r="BS47">
        <v>9.9</v>
      </c>
      <c r="BT47" t="s">
        <v>1162</v>
      </c>
      <c r="BU47" t="s">
        <v>50</v>
      </c>
      <c r="BV47" t="s">
        <v>44</v>
      </c>
      <c r="BW47" t="s">
        <v>44</v>
      </c>
      <c r="BX47" t="s">
        <v>44</v>
      </c>
      <c r="BY47">
        <v>10.34</v>
      </c>
      <c r="BZ47">
        <v>10.119999999999999</v>
      </c>
      <c r="CA47">
        <v>13.37</v>
      </c>
      <c r="CB47">
        <v>-0.65</v>
      </c>
      <c r="CC47">
        <v>-6.74</v>
      </c>
      <c r="CD47" t="s">
        <v>776</v>
      </c>
      <c r="CE47" t="s">
        <v>1582</v>
      </c>
      <c r="CF47" s="10">
        <v>0.34979137691237833</v>
      </c>
      <c r="CG47" s="11">
        <v>0.14723846153846154</v>
      </c>
      <c r="CH47" s="10">
        <v>-0.27322468161582947</v>
      </c>
      <c r="CI47" s="10">
        <v>2.411988377571106E-2</v>
      </c>
      <c r="CJ47" s="10">
        <v>0.54348033666610718</v>
      </c>
      <c r="CK47" s="10">
        <v>0.87966072559356689</v>
      </c>
      <c r="CL47" s="10">
        <v>0.5315290093421936</v>
      </c>
      <c r="CM47" s="11">
        <v>-0.1880289763212204</v>
      </c>
      <c r="CN47" s="11">
        <v>-0.24681238830089569</v>
      </c>
      <c r="CO47" s="11">
        <v>0.34972336888313293</v>
      </c>
      <c r="CP47" s="11">
        <v>0.68078517913818359</v>
      </c>
      <c r="CQ47" s="11">
        <v>0.31343284249305725</v>
      </c>
      <c r="CR47">
        <v>29.099380645161293</v>
      </c>
      <c r="CS47">
        <v>0.85307144478207142</v>
      </c>
      <c r="CT47">
        <v>1.3145539906103285</v>
      </c>
      <c r="CU47" s="10">
        <v>0.34111305475234988</v>
      </c>
      <c r="CV47" s="11">
        <v>0.18182000517845154</v>
      </c>
      <c r="CW47">
        <v>0.06</v>
      </c>
      <c r="CX47">
        <v>76.405984623706104</v>
      </c>
      <c r="CY47">
        <v>1699164936.3513262</v>
      </c>
      <c r="CZ47">
        <v>0.34111305475234988</v>
      </c>
      <c r="DA47">
        <v>20.31564867601498</v>
      </c>
      <c r="DB47">
        <v>6390461464.9728289</v>
      </c>
      <c r="DC47">
        <v>0.32405740201473238</v>
      </c>
      <c r="DD47">
        <v>7.4235012507249012</v>
      </c>
      <c r="DE47">
        <v>17488563093.772297</v>
      </c>
      <c r="DF47">
        <v>0.30017948818206791</v>
      </c>
      <c r="DG47">
        <v>3.0882845796647289</v>
      </c>
      <c r="DH47">
        <v>42038344152.239441</v>
      </c>
      <c r="DI47">
        <v>0.27289044380187993</v>
      </c>
      <c r="DJ47">
        <v>0.64642822865732341</v>
      </c>
      <c r="DK47">
        <v>200836479974.98257</v>
      </c>
      <c r="DL47">
        <v>0.23877913832664491</v>
      </c>
      <c r="DM47">
        <v>1343000000</v>
      </c>
      <c r="DN47">
        <v>0.34111305475234988</v>
      </c>
      <c r="DO47">
        <v>129826370000</v>
      </c>
      <c r="DP47">
        <v>0</v>
      </c>
      <c r="DQ47">
        <v>3803</v>
      </c>
      <c r="DR47">
        <v>8.678322160028451E-3</v>
      </c>
      <c r="DS47">
        <v>-3.4581543639989998E-2</v>
      </c>
      <c r="DT47" s="12">
        <v>-0.14000000000000004</v>
      </c>
      <c r="DU47">
        <v>0.15</v>
      </c>
      <c r="DV47">
        <v>9.9999999999999534E-3</v>
      </c>
      <c r="DW47">
        <v>-2.0674000000000001</v>
      </c>
      <c r="DX47">
        <v>0.39015981735159744</v>
      </c>
      <c r="DY47">
        <v>-2.0074247716894975</v>
      </c>
      <c r="DZ47">
        <v>1130</v>
      </c>
      <c r="EA47">
        <v>-2.0057828945839922</v>
      </c>
      <c r="EB47">
        <v>2</v>
      </c>
      <c r="EC47">
        <v>4.9714151357283909E-2</v>
      </c>
      <c r="ED47">
        <v>0.45129115636249434</v>
      </c>
      <c r="EE47" s="13">
        <v>2.0150999999999999</v>
      </c>
      <c r="EF47">
        <v>2.0052099999999999</v>
      </c>
      <c r="EG47">
        <v>28.110159817351597</v>
      </c>
      <c r="EH47" t="s">
        <v>707</v>
      </c>
      <c r="EI47">
        <v>0</v>
      </c>
      <c r="EJ47">
        <v>1</v>
      </c>
      <c r="EK47" s="9">
        <v>45470</v>
      </c>
      <c r="EL47" s="14">
        <v>0.61</v>
      </c>
      <c r="EM47" s="14">
        <v>-1.26</v>
      </c>
      <c r="EN47" s="14">
        <v>-0.82</v>
      </c>
      <c r="EO47" s="14">
        <v>1.54</v>
      </c>
      <c r="EP47" s="14">
        <v>-2.0299999999999998</v>
      </c>
    </row>
    <row r="48" spans="1:146" ht="180" x14ac:dyDescent="0.25">
      <c r="A48" s="6"/>
      <c r="B48" s="6"/>
      <c r="C48" s="6" t="str">
        <f>"公司的主营业务为提供经纪、销售和交易、投资银行和投资管理等综合性证券服务；公司的主要产品为证券经纪业务、期货经纪、投资银行业务、资产管理业务、海外业务、自营及其他证券交易业务。"&amp;CHAR(10)&amp;Basic_Fundamental_Information_Constructure(F48)&amp;CHAR(10)&amp;Basic_Fundamental_Information_Concatenate("期货业务 170.60亿 50.71% 12.25% 5.71%
证券经纪业务 101.19亿 30.08% 66.51% 52.24%
自营及其他证券交易业务 25.37亿 7.54% 27.25% 85.36%
投资银行业务 6.20亿 1.84% 3.28% 42.09%
私募股权投资及另类投资 5.42亿 1.61% 4.84% 70.95%")</f>
        <v>公司的主营业务为提供经纪、销售和交易、投资银行和投资管理等综合性证券服务；公司的主要产品为证券经纪业务、期货经纪、投资银行业务、资产管理业务、海外业务、自营及其他证券交易业务。
市值1159.04664亿, 利润6.09亿; PE15.96; 平均PE20.35; 平均PEG1.54, PB1.12; ROIC0%; ROE9.0667%; 股利率2.0755%; 毛利0%; 净利25.2433%; 上一年度营收增-90.12%, 利润增-92.16%; 当季营收增821.33%, 利润增1108.49%; 过往5年营收增13.19%, 利润增9.19%
Income profile:
期货业务 170.60亿 50.71% 12.25% 5.71%
证券经纪业务 101.19亿 30.08% 66.51% 52.24%
自营及其他证券交易业务 25.37亿 7.54% 27.25% 85.36%
投资银行业务 6.20亿 1.84% 3.28% 42.09%
私募股权投资及另类投资 5.42亿 1.61% 4.84% 70.95%</v>
      </c>
      <c r="D48" t="s">
        <v>82</v>
      </c>
      <c r="E48" t="s">
        <v>30</v>
      </c>
      <c r="F48">
        <v>10.6</v>
      </c>
      <c r="G48">
        <v>-0.19</v>
      </c>
      <c r="H48" t="s">
        <v>1703</v>
      </c>
      <c r="I48">
        <v>115904664000</v>
      </c>
      <c r="J48">
        <v>15.96</v>
      </c>
      <c r="K48">
        <v>1.1200000000000001</v>
      </c>
      <c r="L48" t="s">
        <v>50</v>
      </c>
      <c r="M48" t="s">
        <v>1704</v>
      </c>
      <c r="N48" t="s">
        <v>1705</v>
      </c>
      <c r="O48" t="s">
        <v>1706</v>
      </c>
      <c r="P48">
        <v>-17.059999999999999</v>
      </c>
      <c r="Q48" t="s">
        <v>1707</v>
      </c>
      <c r="R48">
        <v>1631459100</v>
      </c>
      <c r="S48" s="5">
        <v>-0.27460000000000001</v>
      </c>
      <c r="T48" t="s">
        <v>476</v>
      </c>
      <c r="U48">
        <v>7243417600</v>
      </c>
      <c r="V48">
        <v>10934402300</v>
      </c>
      <c r="W48">
        <v>5.78</v>
      </c>
      <c r="X48">
        <v>0.01</v>
      </c>
      <c r="Y48">
        <v>22.62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>
        <v>0</v>
      </c>
      <c r="AF48" t="s">
        <v>1708</v>
      </c>
      <c r="AG48" t="s">
        <v>1709</v>
      </c>
      <c r="AH48" t="s">
        <v>1710</v>
      </c>
      <c r="AI48" t="s">
        <v>1711</v>
      </c>
      <c r="AJ48" t="s">
        <v>108</v>
      </c>
      <c r="AK48" t="s">
        <v>44</v>
      </c>
      <c r="AL48" t="s">
        <v>108</v>
      </c>
      <c r="AM48" t="s">
        <v>799</v>
      </c>
      <c r="AN48" t="s">
        <v>44</v>
      </c>
      <c r="AO48" t="s">
        <v>1712</v>
      </c>
      <c r="AP48" t="s">
        <v>44</v>
      </c>
      <c r="AQ48" t="s">
        <v>44</v>
      </c>
      <c r="AR48" t="s">
        <v>44</v>
      </c>
      <c r="AS48" t="s">
        <v>44</v>
      </c>
      <c r="AT48" t="s">
        <v>44</v>
      </c>
      <c r="AU48" t="s">
        <v>1713</v>
      </c>
      <c r="AV48" t="s">
        <v>1714</v>
      </c>
      <c r="AW48" t="s">
        <v>1715</v>
      </c>
      <c r="AX48" t="s">
        <v>795</v>
      </c>
      <c r="AY48" t="s">
        <v>507</v>
      </c>
      <c r="AZ48" t="s">
        <v>392</v>
      </c>
      <c r="BA48" t="s">
        <v>189</v>
      </c>
      <c r="BB48" t="s">
        <v>394</v>
      </c>
      <c r="BC48" t="s">
        <v>1097</v>
      </c>
      <c r="BD48" t="s">
        <v>508</v>
      </c>
      <c r="BE48" t="s">
        <v>393</v>
      </c>
      <c r="BF48" t="s">
        <v>190</v>
      </c>
      <c r="BG48" t="s">
        <v>395</v>
      </c>
      <c r="BH48" t="s">
        <v>1716</v>
      </c>
      <c r="BI48" t="s">
        <v>1717</v>
      </c>
      <c r="BJ48" t="s">
        <v>795</v>
      </c>
      <c r="BK48" t="s">
        <v>1718</v>
      </c>
      <c r="BL48" t="s">
        <v>243</v>
      </c>
      <c r="BM48" t="s">
        <v>1097</v>
      </c>
      <c r="BN48" t="s">
        <v>44</v>
      </c>
      <c r="BO48" t="s">
        <v>44</v>
      </c>
      <c r="BP48" t="s">
        <v>44</v>
      </c>
      <c r="BQ48">
        <v>6.7</v>
      </c>
      <c r="BR48">
        <v>8.2100000000000009</v>
      </c>
      <c r="BS48">
        <v>12.29</v>
      </c>
      <c r="BT48" t="s">
        <v>1719</v>
      </c>
      <c r="BU48" t="s">
        <v>50</v>
      </c>
      <c r="BV48" t="s">
        <v>44</v>
      </c>
      <c r="BW48" t="s">
        <v>44</v>
      </c>
      <c r="BX48" t="s">
        <v>44</v>
      </c>
      <c r="BY48">
        <v>23.43</v>
      </c>
      <c r="BZ48">
        <v>23.07</v>
      </c>
      <c r="CA48">
        <v>29.23</v>
      </c>
      <c r="CB48">
        <v>-2.39</v>
      </c>
      <c r="CC48">
        <v>-11</v>
      </c>
      <c r="CD48" t="s">
        <v>1720</v>
      </c>
      <c r="CE48" t="s">
        <v>1721</v>
      </c>
      <c r="CF48" s="10">
        <v>8.2132822477650063</v>
      </c>
      <c r="CG48" s="11">
        <v>11.084882222222221</v>
      </c>
      <c r="CH48" s="10">
        <v>-0.90122461318969727</v>
      </c>
      <c r="CI48" s="10">
        <v>-6.5084442496299744E-2</v>
      </c>
      <c r="CJ48" s="10">
        <v>0.51517957448959351</v>
      </c>
      <c r="CK48" s="10">
        <v>0.39363878965377808</v>
      </c>
      <c r="CL48" s="10">
        <v>0.71697735786437988</v>
      </c>
      <c r="CM48" s="11">
        <v>-0.92160147428512573</v>
      </c>
      <c r="CN48" s="11">
        <v>-0.25522533059120178</v>
      </c>
      <c r="CO48" s="11">
        <v>0.43981221318244934</v>
      </c>
      <c r="CP48" s="11">
        <v>0.38561588525772095</v>
      </c>
      <c r="CQ48" s="11">
        <v>0.81087636947631836</v>
      </c>
      <c r="CR48">
        <v>20.354386934379207</v>
      </c>
      <c r="CS48">
        <v>1.5431992770911145</v>
      </c>
      <c r="CT48">
        <v>2.075471698113208</v>
      </c>
      <c r="CU48" s="10">
        <v>0.13189733326435088</v>
      </c>
      <c r="CV48" s="11">
        <v>9.1895532608032224E-2</v>
      </c>
      <c r="CW48">
        <v>0.06</v>
      </c>
      <c r="CX48">
        <v>792.8280368290159</v>
      </c>
      <c r="CY48">
        <v>650307052.79055631</v>
      </c>
      <c r="CZ48">
        <v>0.13189733326435088</v>
      </c>
      <c r="DA48">
        <v>250.10067837610708</v>
      </c>
      <c r="DB48">
        <v>2061496463.5348034</v>
      </c>
      <c r="DC48">
        <v>0.12530246660113334</v>
      </c>
      <c r="DD48">
        <v>117.3541871051536</v>
      </c>
      <c r="DE48">
        <v>4393381069.0369329</v>
      </c>
      <c r="DF48">
        <v>0.11606965327262878</v>
      </c>
      <c r="DG48">
        <v>66.694266731654679</v>
      </c>
      <c r="DH48">
        <v>7730524515.3147879</v>
      </c>
      <c r="DI48">
        <v>0.10551786661148072</v>
      </c>
      <c r="DJ48">
        <v>30.419847575996531</v>
      </c>
      <c r="DK48">
        <v>16948857574.382832</v>
      </c>
      <c r="DL48">
        <v>9.2328133285045605E-2</v>
      </c>
      <c r="DM48">
        <v>609000000</v>
      </c>
      <c r="DN48">
        <v>0.13189733326435088</v>
      </c>
      <c r="DO48">
        <v>515581664000</v>
      </c>
      <c r="DP48">
        <v>0</v>
      </c>
      <c r="DQ48">
        <v>3805</v>
      </c>
      <c r="DR48">
        <v>8.0813849145006547</v>
      </c>
      <c r="DS48">
        <v>10.99298668961419</v>
      </c>
      <c r="DT48" s="12">
        <v>-0.32333333333333331</v>
      </c>
      <c r="DU48">
        <v>-3.3333333333333291E-2</v>
      </c>
      <c r="DV48">
        <v>-0.35666666666666658</v>
      </c>
      <c r="DW48">
        <v>-2.11</v>
      </c>
      <c r="DX48">
        <v>0.39680334708839426</v>
      </c>
      <c r="DY48">
        <v>-2.0139483681797232</v>
      </c>
      <c r="DZ48">
        <v>1301</v>
      </c>
      <c r="EA48">
        <v>-2.0103971300188972</v>
      </c>
      <c r="EB48">
        <v>2</v>
      </c>
      <c r="EC48">
        <v>1.5272896992275471E-2</v>
      </c>
      <c r="ED48">
        <v>0.12044554095105867</v>
      </c>
      <c r="EE48" s="13">
        <v>-2.0418099999999999</v>
      </c>
      <c r="EF48">
        <v>-2.0578099999999999</v>
      </c>
      <c r="EG48">
        <v>27.126803347088394</v>
      </c>
      <c r="EH48" t="s">
        <v>1181</v>
      </c>
      <c r="EI48">
        <v>0</v>
      </c>
      <c r="EJ48">
        <v>1</v>
      </c>
      <c r="EK48" s="9">
        <v>45470</v>
      </c>
      <c r="EL48" s="14">
        <v>-0.77</v>
      </c>
      <c r="EM48" s="14">
        <v>-4.6500000000000004</v>
      </c>
      <c r="EN48" s="14">
        <v>0.81</v>
      </c>
      <c r="EO48" s="14">
        <v>0.81</v>
      </c>
      <c r="EP48" s="14">
        <v>-1.6</v>
      </c>
    </row>
    <row r="49" spans="1:146" ht="96" x14ac:dyDescent="0.25">
      <c r="A49" s="6"/>
      <c r="B49" s="6"/>
      <c r="C49" s="6" t="str">
        <f>""&amp;CHAR(10)&amp;Basic_Fundamental_Information_Constructure(F49)&amp;CHAR(10)&amp;Basic_Fundamental_Information_Concatenate("")</f>
        <v xml:space="preserve">
市值629.75576亿, 利润2.36亿; PE26.45; 平均PE54.2; 平均PEG3.92, PB1.36; ROIC0%; ROE4.6633%; 股利率.3007%; 毛利0%; 净利27.2067%; 上一年度营收增35.04%, 利润增-89.01%; 当季营收增-27.1%, 利润增158.85%; 过往5年营收增13.83%, 利润增11.27%
Income profile:
</v>
      </c>
      <c r="D49" t="s">
        <v>63</v>
      </c>
      <c r="E49" t="s">
        <v>29</v>
      </c>
      <c r="F49">
        <v>7.65</v>
      </c>
      <c r="G49">
        <v>1.06</v>
      </c>
      <c r="H49" t="s">
        <v>1722</v>
      </c>
      <c r="I49">
        <v>62975576000</v>
      </c>
      <c r="J49">
        <v>26.45</v>
      </c>
      <c r="K49">
        <v>1.36</v>
      </c>
      <c r="L49" t="s">
        <v>50</v>
      </c>
      <c r="M49" t="s">
        <v>1723</v>
      </c>
      <c r="N49" t="s">
        <v>1724</v>
      </c>
      <c r="O49" t="s">
        <v>1725</v>
      </c>
      <c r="P49">
        <v>11.97</v>
      </c>
      <c r="Q49" t="s">
        <v>1726</v>
      </c>
      <c r="R49">
        <v>784306320</v>
      </c>
      <c r="S49" s="5">
        <v>0.41060000000000002</v>
      </c>
      <c r="T49" t="s">
        <v>652</v>
      </c>
      <c r="U49">
        <v>8232101400</v>
      </c>
      <c r="V49">
        <v>8232101400</v>
      </c>
      <c r="W49">
        <v>4.91</v>
      </c>
      <c r="X49">
        <v>0.01</v>
      </c>
      <c r="Y49">
        <v>39.090000000000003</v>
      </c>
      <c r="Z49" t="s">
        <v>44</v>
      </c>
      <c r="AA49" t="s">
        <v>44</v>
      </c>
      <c r="AB49" t="s">
        <v>44</v>
      </c>
      <c r="AC49" t="s">
        <v>44</v>
      </c>
      <c r="AD49" t="s">
        <v>44</v>
      </c>
      <c r="AE49">
        <v>0</v>
      </c>
      <c r="AF49" t="s">
        <v>1727</v>
      </c>
      <c r="AG49" t="s">
        <v>1728</v>
      </c>
      <c r="AH49" t="s">
        <v>1729</v>
      </c>
      <c r="AI49" t="s">
        <v>1730</v>
      </c>
      <c r="AJ49" t="s">
        <v>108</v>
      </c>
      <c r="AK49" t="s">
        <v>44</v>
      </c>
      <c r="AL49" t="s">
        <v>108</v>
      </c>
      <c r="AM49" t="s">
        <v>856</v>
      </c>
      <c r="AN49" t="s">
        <v>1731</v>
      </c>
      <c r="AO49" t="s">
        <v>44</v>
      </c>
      <c r="AP49" t="s">
        <v>44</v>
      </c>
      <c r="AQ49" t="s">
        <v>44</v>
      </c>
      <c r="AR49" t="s">
        <v>44</v>
      </c>
      <c r="AS49" t="s">
        <v>44</v>
      </c>
      <c r="AT49" t="s">
        <v>44</v>
      </c>
      <c r="AU49" t="s">
        <v>1732</v>
      </c>
      <c r="AV49" t="s">
        <v>1733</v>
      </c>
      <c r="AW49" t="s">
        <v>1734</v>
      </c>
      <c r="AX49" t="s">
        <v>796</v>
      </c>
      <c r="AY49" t="s">
        <v>509</v>
      </c>
      <c r="AZ49" t="s">
        <v>396</v>
      </c>
      <c r="BA49" t="s">
        <v>191</v>
      </c>
      <c r="BB49" t="s">
        <v>398</v>
      </c>
      <c r="BC49" t="s">
        <v>366</v>
      </c>
      <c r="BD49" t="s">
        <v>510</v>
      </c>
      <c r="BE49" t="s">
        <v>397</v>
      </c>
      <c r="BF49" t="s">
        <v>192</v>
      </c>
      <c r="BG49" t="s">
        <v>399</v>
      </c>
      <c r="BH49" t="s">
        <v>1735</v>
      </c>
      <c r="BI49" t="s">
        <v>329</v>
      </c>
      <c r="BJ49" t="s">
        <v>796</v>
      </c>
      <c r="BK49" t="s">
        <v>1736</v>
      </c>
      <c r="BL49" t="s">
        <v>351</v>
      </c>
      <c r="BM49" t="s">
        <v>366</v>
      </c>
      <c r="BN49" t="s">
        <v>44</v>
      </c>
      <c r="BO49" t="s">
        <v>44</v>
      </c>
      <c r="BP49" t="s">
        <v>44</v>
      </c>
      <c r="BQ49">
        <v>4.4000000000000004</v>
      </c>
      <c r="BR49">
        <v>5.09</v>
      </c>
      <c r="BS49">
        <v>4.5</v>
      </c>
      <c r="BT49" t="s">
        <v>1737</v>
      </c>
      <c r="BU49" t="s">
        <v>50</v>
      </c>
      <c r="BV49" t="s">
        <v>44</v>
      </c>
      <c r="BW49" t="s">
        <v>44</v>
      </c>
      <c r="BX49" t="s">
        <v>44</v>
      </c>
      <c r="BY49">
        <v>31.58</v>
      </c>
      <c r="BZ49">
        <v>28.32</v>
      </c>
      <c r="CA49">
        <v>21.72</v>
      </c>
      <c r="CB49">
        <v>-1.03</v>
      </c>
      <c r="CC49">
        <v>-9.25</v>
      </c>
      <c r="CD49" t="s">
        <v>147</v>
      </c>
      <c r="CE49" t="s">
        <v>907</v>
      </c>
      <c r="CF49" s="10">
        <v>-0.27102460521483651</v>
      </c>
      <c r="CG49" s="11">
        <v>1.588469702970297</v>
      </c>
      <c r="CH49" s="10">
        <v>0.35039213299751282</v>
      </c>
      <c r="CI49" s="10">
        <v>-9.7900450229644775E-2</v>
      </c>
      <c r="CJ49" s="10">
        <v>0.1430654376745224</v>
      </c>
      <c r="CK49" s="10">
        <v>0.1435936838388443</v>
      </c>
      <c r="CL49" s="10">
        <v>0.15236765146255493</v>
      </c>
      <c r="CM49" s="11">
        <v>-0.89013034105300903</v>
      </c>
      <c r="CN49" s="11">
        <v>0.17892426252365112</v>
      </c>
      <c r="CO49" s="11">
        <v>0.66240876913070679</v>
      </c>
      <c r="CP49" s="11">
        <v>8.7301589548587799E-2</v>
      </c>
      <c r="CQ49" s="11">
        <v>0.52496218681335449</v>
      </c>
      <c r="CR49">
        <v>54.203623009611249</v>
      </c>
      <c r="CS49">
        <v>3.9191739974105553</v>
      </c>
      <c r="CT49">
        <v>0.30065359477124182</v>
      </c>
      <c r="CU49" s="10">
        <v>0.13830369114875793</v>
      </c>
      <c r="CV49" s="11">
        <v>0.11269329339265824</v>
      </c>
      <c r="CW49">
        <v>0.06</v>
      </c>
      <c r="CX49">
        <v>758.72945241844036</v>
      </c>
      <c r="CY49">
        <v>253433651.99161023</v>
      </c>
      <c r="CZ49">
        <v>0.13830369114875793</v>
      </c>
      <c r="DA49">
        <v>238.06274006630701</v>
      </c>
      <c r="DB49">
        <v>807718066.02932751</v>
      </c>
      <c r="DC49">
        <v>0.13138850659132004</v>
      </c>
      <c r="DD49">
        <v>110.88030615602112</v>
      </c>
      <c r="DE49">
        <v>1734190521.8897002</v>
      </c>
      <c r="DF49">
        <v>0.12170724821090698</v>
      </c>
      <c r="DG49">
        <v>62.469359202850839</v>
      </c>
      <c r="DH49">
        <v>3078110268.0372109</v>
      </c>
      <c r="DI49">
        <v>0.11064295291900635</v>
      </c>
      <c r="DJ49">
        <v>27.922082819515349</v>
      </c>
      <c r="DK49">
        <v>6886577095.3736315</v>
      </c>
      <c r="DL49">
        <v>9.6812583804130548E-2</v>
      </c>
      <c r="DM49">
        <v>236000000</v>
      </c>
      <c r="DN49">
        <v>0.13830369114875793</v>
      </c>
      <c r="DO49">
        <v>192287576000</v>
      </c>
      <c r="DP49">
        <v>0</v>
      </c>
      <c r="DQ49">
        <v>3813</v>
      </c>
      <c r="DR49">
        <v>-0.40932829636359447</v>
      </c>
      <c r="DS49">
        <v>1.4757764095776387</v>
      </c>
      <c r="DT49" s="12">
        <v>-0.17333333333333334</v>
      </c>
      <c r="DU49">
        <v>0.40333333333333332</v>
      </c>
      <c r="DV49">
        <v>0.22999999999999998</v>
      </c>
      <c r="DW49">
        <v>-2.0924999999999998</v>
      </c>
      <c r="DX49">
        <v>0.39404729128373961</v>
      </c>
      <c r="DY49">
        <v>-2.0105493744437459</v>
      </c>
      <c r="DZ49">
        <v>2015</v>
      </c>
      <c r="EA49">
        <v>-2.0063894939145586</v>
      </c>
      <c r="EB49">
        <v>2</v>
      </c>
      <c r="EC49">
        <v>2.9883013831680936E-2</v>
      </c>
      <c r="ED49">
        <v>0.26202301152412921</v>
      </c>
      <c r="EE49" s="13">
        <v>3.0467</v>
      </c>
      <c r="EF49">
        <v>3.0347</v>
      </c>
      <c r="EG49">
        <v>28.11404729128374</v>
      </c>
      <c r="EH49" t="s">
        <v>659</v>
      </c>
      <c r="EI49">
        <v>0</v>
      </c>
      <c r="EJ49">
        <v>0</v>
      </c>
      <c r="EK49" s="9">
        <v>45470</v>
      </c>
      <c r="EL49" s="14">
        <v>-0.72</v>
      </c>
      <c r="EM49" s="14">
        <v>-5.04</v>
      </c>
      <c r="EN49" s="14">
        <v>-0.84</v>
      </c>
      <c r="EO49" s="14">
        <v>6.29</v>
      </c>
      <c r="EP49" s="14">
        <v>-1.2</v>
      </c>
    </row>
    <row r="50" spans="1:146" ht="96" x14ac:dyDescent="0.25">
      <c r="A50" s="6"/>
      <c r="B50" s="6"/>
      <c r="C50" s="6" t="str">
        <f>""&amp;CHAR(10)&amp;Basic_Fundamental_Information_Constructure(F50)&amp;CHAR(10)&amp;Basic_Fundamental_Information_Concatenate("")</f>
        <v xml:space="preserve">
市值276.47708亿, 利润13.65亿; PE38.24; 平均PE35; 平均PEG.03, PB1.59; ROIC0%; ROE4.4567%; 股利率1.0667%; 毛利0%; 净利31.9733%; 上一年度营收增5995.82%, 利润增111.3%; 当季营收增-96.86%, 利润增91.66%; 过往5年营收增1214.17%, 利润增63.63%
Income profile:
</v>
      </c>
      <c r="D50" t="s">
        <v>60</v>
      </c>
      <c r="E50" t="s">
        <v>9</v>
      </c>
      <c r="F50">
        <v>7.5</v>
      </c>
      <c r="G50">
        <v>0.13</v>
      </c>
      <c r="H50" t="s">
        <v>1738</v>
      </c>
      <c r="I50">
        <v>27647708000</v>
      </c>
      <c r="J50">
        <v>38.24</v>
      </c>
      <c r="K50">
        <v>1.59</v>
      </c>
      <c r="L50" t="s">
        <v>50</v>
      </c>
      <c r="M50" t="s">
        <v>1739</v>
      </c>
      <c r="N50" t="s">
        <v>1740</v>
      </c>
      <c r="O50" t="s">
        <v>1741</v>
      </c>
      <c r="P50">
        <v>37.21</v>
      </c>
      <c r="Q50" t="s">
        <v>1742</v>
      </c>
      <c r="R50">
        <v>262572250</v>
      </c>
      <c r="S50" s="5">
        <v>0.21210000000000001</v>
      </c>
      <c r="T50" t="s">
        <v>691</v>
      </c>
      <c r="U50">
        <v>3659788800</v>
      </c>
      <c r="V50">
        <v>3686361000</v>
      </c>
      <c r="W50">
        <v>2.84</v>
      </c>
      <c r="X50">
        <v>0.02</v>
      </c>
      <c r="Y50">
        <v>29.82</v>
      </c>
      <c r="Z50" t="s">
        <v>44</v>
      </c>
      <c r="AA50" t="s">
        <v>44</v>
      </c>
      <c r="AB50" t="s">
        <v>44</v>
      </c>
      <c r="AC50" t="s">
        <v>44</v>
      </c>
      <c r="AD50" t="s">
        <v>44</v>
      </c>
      <c r="AE50">
        <v>0</v>
      </c>
      <c r="AF50" t="s">
        <v>1743</v>
      </c>
      <c r="AG50" t="s">
        <v>1744</v>
      </c>
      <c r="AH50" t="s">
        <v>1745</v>
      </c>
      <c r="AI50" t="s">
        <v>1746</v>
      </c>
      <c r="AJ50" t="s">
        <v>108</v>
      </c>
      <c r="AK50" t="s">
        <v>44</v>
      </c>
      <c r="AL50" t="s">
        <v>108</v>
      </c>
      <c r="AM50" t="s">
        <v>1747</v>
      </c>
      <c r="AN50" t="s">
        <v>1748</v>
      </c>
      <c r="AO50" t="s">
        <v>44</v>
      </c>
      <c r="AP50" t="s">
        <v>44</v>
      </c>
      <c r="AQ50" t="s">
        <v>44</v>
      </c>
      <c r="AR50" t="s">
        <v>44</v>
      </c>
      <c r="AS50" t="s">
        <v>44</v>
      </c>
      <c r="AT50" t="s">
        <v>44</v>
      </c>
      <c r="AU50" t="s">
        <v>1749</v>
      </c>
      <c r="AV50" t="s">
        <v>1750</v>
      </c>
      <c r="AW50" t="s">
        <v>757</v>
      </c>
      <c r="AX50" t="s">
        <v>800</v>
      </c>
      <c r="AY50" t="s">
        <v>511</v>
      </c>
      <c r="AZ50" t="s">
        <v>400</v>
      </c>
      <c r="BA50" t="s">
        <v>193</v>
      </c>
      <c r="BB50" t="s">
        <v>402</v>
      </c>
      <c r="BC50" t="s">
        <v>738</v>
      </c>
      <c r="BD50" t="s">
        <v>512</v>
      </c>
      <c r="BE50" t="s">
        <v>401</v>
      </c>
      <c r="BF50" t="s">
        <v>194</v>
      </c>
      <c r="BG50" t="s">
        <v>343</v>
      </c>
      <c r="BH50" t="s">
        <v>703</v>
      </c>
      <c r="BI50" t="s">
        <v>1751</v>
      </c>
      <c r="BJ50" t="s">
        <v>800</v>
      </c>
      <c r="BK50" t="s">
        <v>1752</v>
      </c>
      <c r="BL50" t="s">
        <v>648</v>
      </c>
      <c r="BM50" t="s">
        <v>738</v>
      </c>
      <c r="BN50" t="s">
        <v>44</v>
      </c>
      <c r="BO50" t="s">
        <v>44</v>
      </c>
      <c r="BP50" t="s">
        <v>44</v>
      </c>
      <c r="BQ50">
        <v>3.39</v>
      </c>
      <c r="BR50">
        <v>3.92</v>
      </c>
      <c r="BS50">
        <v>6.06</v>
      </c>
      <c r="BT50" t="s">
        <v>632</v>
      </c>
      <c r="BU50" t="s">
        <v>50</v>
      </c>
      <c r="BV50" t="s">
        <v>44</v>
      </c>
      <c r="BW50" t="s">
        <v>44</v>
      </c>
      <c r="BX50" t="s">
        <v>44</v>
      </c>
      <c r="BY50">
        <v>27.59</v>
      </c>
      <c r="BZ50">
        <v>32.369999999999997</v>
      </c>
      <c r="CA50">
        <v>35.96</v>
      </c>
      <c r="CB50">
        <v>-2.34</v>
      </c>
      <c r="CC50">
        <v>-6.13</v>
      </c>
      <c r="CD50" t="s">
        <v>1753</v>
      </c>
      <c r="CE50" t="s">
        <v>610</v>
      </c>
      <c r="CF50" s="10">
        <v>-0.96855614973262028</v>
      </c>
      <c r="CG50" s="11">
        <v>0.91658576642335765</v>
      </c>
      <c r="CH50" s="10">
        <v>59.958171844482422</v>
      </c>
      <c r="CI50" s="10">
        <v>-0.26768785715103149</v>
      </c>
      <c r="CJ50" s="10">
        <v>0.15940812230110168</v>
      </c>
      <c r="CK50" s="10">
        <v>7.4023649096488953E-2</v>
      </c>
      <c r="CL50" s="10">
        <v>0.78444075584411621</v>
      </c>
      <c r="CM50" s="11">
        <v>1.1130030155181885</v>
      </c>
      <c r="CN50" s="11">
        <v>-0.33879223465919495</v>
      </c>
      <c r="CO50" s="11">
        <v>0.20617283880710602</v>
      </c>
      <c r="CP50" s="11">
        <v>0.14084507524967194</v>
      </c>
      <c r="CQ50" s="11">
        <v>2.060344934463501</v>
      </c>
      <c r="CR50">
        <v>34.997098734177214</v>
      </c>
      <c r="CS50">
        <v>2.8823955006734639E-2</v>
      </c>
      <c r="CT50">
        <v>1.0666666666666667</v>
      </c>
      <c r="CU50" s="10">
        <v>12.14167130291462</v>
      </c>
      <c r="CV50" s="11">
        <v>0.63631472587585447</v>
      </c>
      <c r="CW50">
        <v>0.06</v>
      </c>
      <c r="CX50">
        <v>3.0067189169612134</v>
      </c>
      <c r="CY50">
        <v>16923001253.281563</v>
      </c>
      <c r="CZ50">
        <v>12.14167130291462</v>
      </c>
      <c r="DA50">
        <v>2.0649748171097954E-2</v>
      </c>
      <c r="DB50">
        <v>2464083705931.9233</v>
      </c>
      <c r="DC50">
        <v>11.534587737768888</v>
      </c>
      <c r="DD50">
        <v>1.8891790659064027E-5</v>
      </c>
      <c r="DE50">
        <v>2693376658585149</v>
      </c>
      <c r="DF50">
        <v>10.684670746564866</v>
      </c>
      <c r="DG50">
        <v>3.0199603353101629E-9</v>
      </c>
      <c r="DH50">
        <v>1.6848800100142418E+19</v>
      </c>
      <c r="DI50">
        <v>9.7133370423316965</v>
      </c>
      <c r="DJ50">
        <v>2.967944843637041E-18</v>
      </c>
      <c r="DK50">
        <v>1.7144088142031053E+28</v>
      </c>
      <c r="DL50">
        <v>8.4991699120402338</v>
      </c>
      <c r="DM50">
        <v>1365000000</v>
      </c>
      <c r="DN50">
        <v>12.14167130291462</v>
      </c>
      <c r="DO50">
        <v>50882708000</v>
      </c>
      <c r="DP50">
        <v>0</v>
      </c>
      <c r="DQ50">
        <v>3836</v>
      </c>
      <c r="DR50">
        <v>-13.110227452647241</v>
      </c>
      <c r="DS50">
        <v>0.28027104054750318</v>
      </c>
      <c r="DT50" s="12">
        <v>4.33333333333333E-2</v>
      </c>
      <c r="DU50">
        <v>1.2883333333333333</v>
      </c>
      <c r="DV50">
        <v>1.3316666666666666</v>
      </c>
      <c r="DW50">
        <v>-2.0613000000000001</v>
      </c>
      <c r="DX50">
        <v>0.36872160194174652</v>
      </c>
      <c r="DY50">
        <v>-2.008503634199029</v>
      </c>
      <c r="DZ50">
        <v>3839</v>
      </c>
      <c r="EA50">
        <v>-2.002115091793927</v>
      </c>
      <c r="EB50">
        <v>2</v>
      </c>
      <c r="EC50">
        <v>1.5503988893111663E-2</v>
      </c>
      <c r="ED50">
        <v>0.11176333516983279</v>
      </c>
      <c r="EE50" s="13">
        <v>1.7109999999999997E-2</v>
      </c>
      <c r="EF50">
        <v>1.711E-2</v>
      </c>
      <c r="EG50">
        <v>23.138721601941747</v>
      </c>
      <c r="EH50">
        <v>-1</v>
      </c>
      <c r="EI50">
        <v>0</v>
      </c>
      <c r="EJ50">
        <v>0</v>
      </c>
      <c r="EK50" s="9">
        <v>45470</v>
      </c>
      <c r="EL50" s="14">
        <v>1.05</v>
      </c>
      <c r="EM50" s="14">
        <v>-2.9</v>
      </c>
      <c r="EN50">
        <v>-0.21</v>
      </c>
      <c r="EO50">
        <v>0.43</v>
      </c>
      <c r="EP50">
        <v>0</v>
      </c>
    </row>
    <row r="51" spans="1:146" ht="204" x14ac:dyDescent="0.25">
      <c r="A51" s="6"/>
      <c r="B51" s="6"/>
      <c r="C51" s="6" t="str">
        <f>"公司是中国第一家中外合资投资银行，为境内外企业、机构及个人客户提供综合化、一站式的全方位投资银行服务。公司拥有包括投资银行业务、股票业务、固定收益业务、投资管理业务、财富管理业务和研究业务在内的全面均衡发展的业务结构。"&amp;CHAR(10)&amp;Basic_Fundamental_Information_Constructure(F51)&amp;CHAR(10)&amp;Basic_Fundamental_Information_Concatenate("投资银行 6,294,569,769 利润率38.98 增速11.87
股票业务 8,489,312,491 利润率82.65 增速53.54
固定收益 3,216,471,660 利润率69.60 增速3.10
资产管理 1,414,837,060 利润率36.86 增速20.26
私募股权 2,444,019,319 利润率59.51 增速28.56
财富管理 7,537,583,145 利润率37.03 增速34.17")</f>
        <v>公司是中国第一家中外合资投资银行，为境内外企业、机构及个人客户提供综合化、一站式的全方位投资银行服务。公司拥有包括投资银行业务、股票业务、固定收益业务、投资管理业务、财富管理业务和研究业务在内的全面均衡发展的业务结构。
市值1350.1837亿, 利润5228.29万; PE26.28; 平均PE24.28; 平均PEG24.64, PB1.51; ROIC0%; ROE9.4533%; 股利率.6435%; 毛利0%; 净利30.6%; 上一年度营收增-91.03%, 利润增-99.31%; 当季营收增811.53%, 利润增12322.39%; 过往5年营收增-.99%, 利润增2.43%
Income profile:
投资银行 6,294,569,769 利润率38.98 增速11.87
股票业务 8,489,312,491 利润率82.65 增速53.54
固定收益 3,216,471,660 利润率69.60 增速3.10
资产管理 1,414,837,060 利润率36.86 增速20.26
私募股权 2,444,019,319 利润率59.51 增速28.56
财富管理 7,537,583,145 利润率37.03 增速34.17</v>
      </c>
      <c r="D51" t="s">
        <v>403</v>
      </c>
      <c r="E51" t="s">
        <v>404</v>
      </c>
      <c r="F51">
        <v>27.97</v>
      </c>
      <c r="G51">
        <v>-0.75</v>
      </c>
      <c r="H51" t="s">
        <v>1754</v>
      </c>
      <c r="I51">
        <v>135018370000</v>
      </c>
      <c r="J51">
        <v>26.28</v>
      </c>
      <c r="K51">
        <v>1.51</v>
      </c>
      <c r="L51" t="s">
        <v>50</v>
      </c>
      <c r="M51" t="s">
        <v>1755</v>
      </c>
      <c r="N51" t="s">
        <v>1756</v>
      </c>
      <c r="O51" t="s">
        <v>1757</v>
      </c>
      <c r="P51">
        <v>-37.61</v>
      </c>
      <c r="Q51" t="s">
        <v>1758</v>
      </c>
      <c r="R51">
        <v>1238666240</v>
      </c>
      <c r="S51" s="5">
        <v>-0.45129999999999998</v>
      </c>
      <c r="T51" t="s">
        <v>1759</v>
      </c>
      <c r="U51">
        <v>2923542400</v>
      </c>
      <c r="V51">
        <v>4827256900</v>
      </c>
      <c r="W51">
        <v>5.78</v>
      </c>
      <c r="X51">
        <v>0.01</v>
      </c>
      <c r="Y51">
        <v>31.99</v>
      </c>
      <c r="Z51" t="s">
        <v>44</v>
      </c>
      <c r="AA51" t="s">
        <v>44</v>
      </c>
      <c r="AB51" t="s">
        <v>44</v>
      </c>
      <c r="AC51" t="s">
        <v>44</v>
      </c>
      <c r="AD51" t="s">
        <v>44</v>
      </c>
      <c r="AE51">
        <v>0</v>
      </c>
      <c r="AF51" t="s">
        <v>1760</v>
      </c>
      <c r="AG51" t="s">
        <v>1761</v>
      </c>
      <c r="AH51" t="s">
        <v>1762</v>
      </c>
      <c r="AI51" t="s">
        <v>1763</v>
      </c>
      <c r="AJ51" t="s">
        <v>108</v>
      </c>
      <c r="AK51" t="s">
        <v>44</v>
      </c>
      <c r="AL51" t="s">
        <v>108</v>
      </c>
      <c r="AM51" t="s">
        <v>1764</v>
      </c>
      <c r="AN51" t="s">
        <v>1765</v>
      </c>
      <c r="AO51" t="s">
        <v>44</v>
      </c>
      <c r="AP51" t="s">
        <v>44</v>
      </c>
      <c r="AQ51" t="s">
        <v>44</v>
      </c>
      <c r="AR51" t="s">
        <v>44</v>
      </c>
      <c r="AS51" t="s">
        <v>44</v>
      </c>
      <c r="AT51" t="s">
        <v>44</v>
      </c>
      <c r="AU51" t="s">
        <v>1766</v>
      </c>
      <c r="AV51" t="s">
        <v>1767</v>
      </c>
      <c r="AW51" t="s">
        <v>1768</v>
      </c>
      <c r="AX51" t="s">
        <v>801</v>
      </c>
      <c r="AY51" t="s">
        <v>513</v>
      </c>
      <c r="AZ51" t="s">
        <v>405</v>
      </c>
      <c r="BA51" t="s">
        <v>407</v>
      </c>
      <c r="BB51" t="s">
        <v>408</v>
      </c>
      <c r="BC51" t="s">
        <v>802</v>
      </c>
      <c r="BD51" t="s">
        <v>514</v>
      </c>
      <c r="BE51" t="s">
        <v>406</v>
      </c>
      <c r="BF51" t="s">
        <v>409</v>
      </c>
      <c r="BG51" t="s">
        <v>410</v>
      </c>
      <c r="BH51" t="s">
        <v>1769</v>
      </c>
      <c r="BI51" t="s">
        <v>702</v>
      </c>
      <c r="BJ51" t="s">
        <v>801</v>
      </c>
      <c r="BK51" t="s">
        <v>1770</v>
      </c>
      <c r="BL51" t="s">
        <v>1771</v>
      </c>
      <c r="BM51" t="s">
        <v>802</v>
      </c>
      <c r="BN51" t="s">
        <v>44</v>
      </c>
      <c r="BO51" t="s">
        <v>44</v>
      </c>
      <c r="BP51" t="s">
        <v>44</v>
      </c>
      <c r="BQ51">
        <v>4.84</v>
      </c>
      <c r="BR51">
        <v>8.8800000000000008</v>
      </c>
      <c r="BS51">
        <v>14.64</v>
      </c>
      <c r="BT51" t="s">
        <v>620</v>
      </c>
      <c r="BU51" t="s">
        <v>50</v>
      </c>
      <c r="BV51" t="s">
        <v>44</v>
      </c>
      <c r="BW51" t="s">
        <v>44</v>
      </c>
      <c r="BX51" t="s">
        <v>44</v>
      </c>
      <c r="BY51">
        <v>26.81</v>
      </c>
      <c r="BZ51">
        <v>29.11</v>
      </c>
      <c r="CA51">
        <v>35.880000000000003</v>
      </c>
      <c r="CB51">
        <v>-5.54</v>
      </c>
      <c r="CC51">
        <v>-13.46</v>
      </c>
      <c r="CD51" t="s">
        <v>1772</v>
      </c>
      <c r="CE51" t="s">
        <v>1423</v>
      </c>
      <c r="CF51" s="10">
        <v>8.1152941176470588</v>
      </c>
      <c r="CG51" s="11">
        <v>123.22393432270287</v>
      </c>
      <c r="CH51" s="10">
        <v>-0.91030013561248779</v>
      </c>
      <c r="CI51" s="10">
        <v>-0.13421390950679779</v>
      </c>
      <c r="CJ51" s="10">
        <v>0.27349957823753357</v>
      </c>
      <c r="CK51" s="10">
        <v>0.50174546241760254</v>
      </c>
      <c r="CL51" s="10">
        <v>0.21999379992485046</v>
      </c>
      <c r="CM51" s="11">
        <v>-0.99311888217926025</v>
      </c>
      <c r="CN51" s="11">
        <v>-0.29504546523094177</v>
      </c>
      <c r="CO51" s="11">
        <v>0.49549052119255066</v>
      </c>
      <c r="CP51" s="11">
        <v>0.70016509294509888</v>
      </c>
      <c r="CQ51" s="11">
        <v>0.21391753852367401</v>
      </c>
      <c r="CR51">
        <v>24.279306820838588</v>
      </c>
      <c r="CS51">
        <v>24.636434336335263</v>
      </c>
      <c r="CT51">
        <v>0.64354665713264214</v>
      </c>
      <c r="CU51" s="10">
        <v>-9.8550409078598019E-3</v>
      </c>
      <c r="CV51" s="11">
        <v>2.4281761050224303E-2</v>
      </c>
      <c r="CW51">
        <v>0.06</v>
      </c>
      <c r="CX51">
        <v>10485.213521055641</v>
      </c>
      <c r="CY51" t="s">
        <v>1773</v>
      </c>
      <c r="CZ51">
        <v>-9.8550409078598019E-3</v>
      </c>
      <c r="DA51">
        <v>3495.071173685214</v>
      </c>
      <c r="DB51" t="s">
        <v>1774</v>
      </c>
      <c r="DC51">
        <v>-9.3622888624668114E-3</v>
      </c>
      <c r="DD51">
        <v>1747.535586842607</v>
      </c>
      <c r="DE51" t="s">
        <v>1775</v>
      </c>
      <c r="DF51">
        <v>-8.6724359989166257E-3</v>
      </c>
      <c r="DG51">
        <v>1048.5213521055641</v>
      </c>
      <c r="DH51" t="s">
        <v>1776</v>
      </c>
      <c r="DI51">
        <v>-7.8840327262878415E-3</v>
      </c>
      <c r="DJ51">
        <v>524.26067605278206</v>
      </c>
      <c r="DK51" t="s">
        <v>1777</v>
      </c>
      <c r="DL51">
        <v>-6.8985286355018605E-3</v>
      </c>
      <c r="DM51">
        <v>52282900</v>
      </c>
      <c r="DN51">
        <v>-9.8550409078598019E-3</v>
      </c>
      <c r="DO51">
        <v>548197370000</v>
      </c>
      <c r="DP51">
        <v>0</v>
      </c>
      <c r="DQ51">
        <v>3839</v>
      </c>
      <c r="DR51">
        <v>8.1251491585549189</v>
      </c>
      <c r="DS51">
        <v>123.19965256165266</v>
      </c>
      <c r="DT51" s="12">
        <v>-0.42333333333333339</v>
      </c>
      <c r="DU51">
        <v>-1.666666666666668E-2</v>
      </c>
      <c r="DV51">
        <v>-0.44000000000000006</v>
      </c>
      <c r="DW51">
        <v>-8.4115898959881132</v>
      </c>
      <c r="DX51">
        <v>0.4323550359712236</v>
      </c>
      <c r="DY51">
        <v>-8.0750554902883049</v>
      </c>
      <c r="DZ51">
        <v>4368</v>
      </c>
      <c r="EA51">
        <v>-8.0108984684528224</v>
      </c>
      <c r="EB51">
        <v>8</v>
      </c>
      <c r="EC51">
        <v>1.0501761362648836E-2</v>
      </c>
      <c r="ED51">
        <v>5.7589642680918846E-2</v>
      </c>
      <c r="EE51" s="13">
        <v>1.0338099999999999</v>
      </c>
      <c r="EF51">
        <v>1.0480100000000001</v>
      </c>
      <c r="EG51">
        <v>25.182355035971224</v>
      </c>
      <c r="EH51" t="s">
        <v>647</v>
      </c>
      <c r="EI51">
        <v>0</v>
      </c>
      <c r="EJ51">
        <v>0</v>
      </c>
      <c r="EK51" s="9">
        <v>45470</v>
      </c>
      <c r="EL51" s="14">
        <v>-1.43</v>
      </c>
      <c r="EM51" s="14">
        <v>-2.9</v>
      </c>
      <c r="EN51">
        <v>3.73</v>
      </c>
      <c r="EO51">
        <v>1.44</v>
      </c>
      <c r="EP51">
        <v>-1.42</v>
      </c>
    </row>
    <row r="52" spans="1:146" x14ac:dyDescent="0.25">
      <c r="Q52" s="5"/>
    </row>
  </sheetData>
  <sortState ref="A2:D71">
    <sortCondition ref="C2:C7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证券&quot;,&quot;&quot;'" altText="更新基本面按钮_x000a_">
                <anchor moveWithCells="1" sizeWithCells="1">
                  <from>
                    <xdr:col>147</xdr:col>
                    <xdr:colOff>273050</xdr:colOff>
                    <xdr:row>0</xdr:row>
                    <xdr:rowOff>165100</xdr:rowOff>
                  </from>
                  <to>
                    <xdr:col>147</xdr:col>
                    <xdr:colOff>1555750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证券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2024-07-09T13:55:52Z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