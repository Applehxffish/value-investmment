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电子\"/>
    </mc:Choice>
  </mc:AlternateContent>
  <bookViews>
    <workbookView xWindow="0" yWindow="0" windowWidth="3800" windowHeight="2950"/>
  </bookViews>
  <sheets>
    <sheet name="其他电子" sheetId="7" r:id="rId1"/>
    <sheet name="估值-增速与年化收益" sheetId="14" r:id="rId2"/>
  </sheets>
  <functionGroups builtInGroupCount="18"/>
  <definedNames>
    <definedName name="_xlnm._FilterDatabase" localSheetId="0" hidden="1">其他电子!$BU$1:$BU$113</definedName>
  </definedNames>
  <calcPr calcId="152511"/>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 i="7"/>
</calcChain>
</file>

<file path=xl/sharedStrings.xml><?xml version="1.0" encoding="utf-8"?>
<sst xmlns="http://schemas.openxmlformats.org/spreadsheetml/2006/main" count="2113" uniqueCount="1610">
  <si>
    <t>&lt;-增速</t>
    <phoneticPr fontId="1" type="noConversion"/>
  </si>
  <si>
    <t>&lt;-估值</t>
    <phoneticPr fontId="1" type="noConversion"/>
  </si>
  <si>
    <t>&lt;-折合年化收益</t>
    <phoneticPr fontId="1" type="noConversion"/>
  </si>
  <si>
    <t>已知和基本信息</t>
    <phoneticPr fontId="1" type="noConversion"/>
  </si>
  <si>
    <t>预期多</t>
    <phoneticPr fontId="1" type="noConversion"/>
  </si>
  <si>
    <t>预期空</t>
    <phoneticPr fontId="1" type="noConversion"/>
  </si>
  <si>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</si>
  <si>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</si>
  <si>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</si>
  <si>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</si>
  <si>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</si>
  <si>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</si>
  <si>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</si>
  <si>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</si>
  <si>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</si>
  <si>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</si>
  <si>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</si>
  <si>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</si>
  <si>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</si>
  <si>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现价</t>
  </si>
  <si>
    <t>总市值</t>
  </si>
  <si>
    <t>TTM市盈率</t>
  </si>
  <si>
    <t>市净率</t>
  </si>
  <si>
    <t>所属行业</t>
  </si>
  <si>
    <t>负债合计</t>
  </si>
  <si>
    <t>所有者权益合计</t>
  </si>
  <si>
    <t>主营业务收入</t>
  </si>
  <si>
    <t>净利润增长率</t>
  </si>
  <si>
    <t>总股本</t>
  </si>
  <si>
    <t>财务费用</t>
  </si>
  <si>
    <t>投资收益</t>
  </si>
  <si>
    <t>应收账款</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</si>
  <si>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</si>
  <si>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</si>
  <si>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</si>
  <si>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</si>
  <si>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</si>
  <si>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</si>
  <si>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</si>
  <si>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</si>
  <si>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</si>
  <si>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</si>
  <si>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</si>
  <si>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销售毛利率%[20201231]</t>
  </si>
  <si>
    <t>销售毛利率%[20191231]</t>
  </si>
  <si>
    <t>销售净利率%[20201231]</t>
  </si>
  <si>
    <t>销售净利率%[20191231]</t>
  </si>
  <si>
    <t>SZ000062</t>
  </si>
  <si>
    <t>深圳华强</t>
  </si>
  <si>
    <t>其他电子</t>
  </si>
  <si>
    <t>163.31亿</t>
  </si>
  <si>
    <t>6.25亿</t>
  </si>
  <si>
    <t>--</t>
  </si>
  <si>
    <t>1.07亿</t>
  </si>
  <si>
    <t>143.55亿</t>
  </si>
  <si>
    <t>118.00亿</t>
  </si>
  <si>
    <t>6.30亿</t>
  </si>
  <si>
    <t>6.86亿</t>
  </si>
  <si>
    <t>2.26亿</t>
  </si>
  <si>
    <t>1.03亿</t>
  </si>
  <si>
    <t>2.41亿</t>
  </si>
  <si>
    <t>1.90亿</t>
  </si>
  <si>
    <t>1.26亿</t>
  </si>
  <si>
    <t>SZ002130</t>
  </si>
  <si>
    <t>沃尔核材</t>
  </si>
  <si>
    <t>40.95亿</t>
  </si>
  <si>
    <t>3.96亿</t>
  </si>
  <si>
    <t>1.54亿</t>
  </si>
  <si>
    <t>1.43亿</t>
  </si>
  <si>
    <t>7.43亿</t>
  </si>
  <si>
    <t>39.78亿</t>
  </si>
  <si>
    <t>35.25亿</t>
  </si>
  <si>
    <t>2.10亿</t>
  </si>
  <si>
    <t>2051.42万</t>
  </si>
  <si>
    <t>1.68亿</t>
  </si>
  <si>
    <t>6.29亿</t>
  </si>
  <si>
    <t>1.69亿</t>
  </si>
  <si>
    <t>SZ002161</t>
  </si>
  <si>
    <t>远 望 谷</t>
  </si>
  <si>
    <t>4.74亿</t>
  </si>
  <si>
    <t>-4.38亿</t>
  </si>
  <si>
    <t>1.22亿</t>
  </si>
  <si>
    <t>4.38亿</t>
  </si>
  <si>
    <t>5.31亿</t>
  </si>
  <si>
    <t>-1.79亿</t>
  </si>
  <si>
    <t>0亿</t>
  </si>
  <si>
    <t>1.18亿</t>
  </si>
  <si>
    <t>SZ002388</t>
  </si>
  <si>
    <t>新亚制程</t>
  </si>
  <si>
    <t>7009.96万</t>
  </si>
  <si>
    <t>2.24亿</t>
  </si>
  <si>
    <t>8.38亿</t>
  </si>
  <si>
    <t>5177.50万</t>
  </si>
  <si>
    <t>3216.41万</t>
  </si>
  <si>
    <t>SZ002724</t>
  </si>
  <si>
    <t>海洋王</t>
  </si>
  <si>
    <t>17.04亿</t>
  </si>
  <si>
    <t>3.01亿</t>
  </si>
  <si>
    <t>3.57亿</t>
  </si>
  <si>
    <t>14.95亿</t>
  </si>
  <si>
    <t>12.53亿</t>
  </si>
  <si>
    <t>2.57亿</t>
  </si>
  <si>
    <t>1.11亿</t>
  </si>
  <si>
    <t>SZ002729</t>
  </si>
  <si>
    <t>好利科技</t>
  </si>
  <si>
    <t>1078.46万</t>
  </si>
  <si>
    <t>1.78亿</t>
  </si>
  <si>
    <t>1.77亿</t>
  </si>
  <si>
    <t>2160.89万</t>
  </si>
  <si>
    <t>2062.65万</t>
  </si>
  <si>
    <t>SZ002859</t>
  </si>
  <si>
    <t>洁美科技</t>
  </si>
  <si>
    <t>14.26亿</t>
  </si>
  <si>
    <t>2.89亿</t>
  </si>
  <si>
    <t>7.29亿</t>
  </si>
  <si>
    <t>5.73亿</t>
  </si>
  <si>
    <t>9.49亿</t>
  </si>
  <si>
    <t>13.11亿</t>
  </si>
  <si>
    <t>2.75亿</t>
  </si>
  <si>
    <t>1.96亿</t>
  </si>
  <si>
    <t>1.38亿</t>
  </si>
  <si>
    <t>SZ002869</t>
  </si>
  <si>
    <t>金溢科技</t>
  </si>
  <si>
    <t>15.64亿</t>
  </si>
  <si>
    <t>6.31亿</t>
  </si>
  <si>
    <t>28.60亿</t>
  </si>
  <si>
    <t>6.04亿</t>
  </si>
  <si>
    <t>8.75亿</t>
  </si>
  <si>
    <t>2164.91万</t>
  </si>
  <si>
    <t>SZ002922</t>
  </si>
  <si>
    <t>伊戈尔</t>
  </si>
  <si>
    <t>14.06亿</t>
  </si>
  <si>
    <t>5143.42万</t>
  </si>
  <si>
    <t>8.83亿</t>
  </si>
  <si>
    <t>5.41亿</t>
  </si>
  <si>
    <t>3.53亿</t>
  </si>
  <si>
    <t>12.97亿</t>
  </si>
  <si>
    <t>10.88亿</t>
  </si>
  <si>
    <t>5737.70万</t>
  </si>
  <si>
    <t>4158.61万</t>
  </si>
  <si>
    <t>3.60亿</t>
  </si>
  <si>
    <t>SZ300184</t>
  </si>
  <si>
    <t>力源信息</t>
  </si>
  <si>
    <t>103.60亿</t>
  </si>
  <si>
    <t>-17.35亿</t>
  </si>
  <si>
    <t>131.32亿</t>
  </si>
  <si>
    <t>107.97亿</t>
  </si>
  <si>
    <t>1.92亿</t>
  </si>
  <si>
    <t>1.46亿</t>
  </si>
  <si>
    <t>SZ300475</t>
  </si>
  <si>
    <t>2.65亿</t>
  </si>
  <si>
    <t>6437.54万</t>
  </si>
  <si>
    <t>1.35亿</t>
  </si>
  <si>
    <t>1.29亿</t>
  </si>
  <si>
    <t>3.07亿</t>
  </si>
  <si>
    <t>4.81亿</t>
  </si>
  <si>
    <t>3.85亿</t>
  </si>
  <si>
    <t>6460.53万</t>
  </si>
  <si>
    <t>3341.46万</t>
  </si>
  <si>
    <t>SZ300493</t>
  </si>
  <si>
    <t>润欣科技</t>
  </si>
  <si>
    <t>13.87亿</t>
  </si>
  <si>
    <t>4502.49万</t>
  </si>
  <si>
    <t>2.21亿</t>
  </si>
  <si>
    <t>14.50亿</t>
  </si>
  <si>
    <t>16.93亿</t>
  </si>
  <si>
    <t>2934.52万</t>
  </si>
  <si>
    <t>1577.61万</t>
  </si>
  <si>
    <t>SZ300516</t>
  </si>
  <si>
    <t>久之洋</t>
  </si>
  <si>
    <t>7.23亿</t>
  </si>
  <si>
    <t>6813.88万</t>
  </si>
  <si>
    <t>2.73亿</t>
  </si>
  <si>
    <t>5.05亿</t>
  </si>
  <si>
    <t>6228.07万</t>
  </si>
  <si>
    <t>6268.49万</t>
  </si>
  <si>
    <t>1.41亿</t>
  </si>
  <si>
    <t>1.84亿</t>
  </si>
  <si>
    <t>SZ300656</t>
  </si>
  <si>
    <t>民德电子</t>
  </si>
  <si>
    <t>3.02亿</t>
  </si>
  <si>
    <t>4.03亿</t>
  </si>
  <si>
    <t>5160.31万</t>
  </si>
  <si>
    <t>3.05亿</t>
  </si>
  <si>
    <t>1.23亿</t>
  </si>
  <si>
    <t>3616.59万</t>
  </si>
  <si>
    <t>5343.92万</t>
  </si>
  <si>
    <t>SZ300736</t>
  </si>
  <si>
    <t>百邦科技</t>
  </si>
  <si>
    <t>4.89亿</t>
  </si>
  <si>
    <t>-8749.71万</t>
  </si>
  <si>
    <t>6.48亿</t>
  </si>
  <si>
    <t>-9295.00万</t>
  </si>
  <si>
    <t>2702.89万</t>
  </si>
  <si>
    <t>SZ300868</t>
  </si>
  <si>
    <t>杰美特</t>
  </si>
  <si>
    <t>3.12亿</t>
  </si>
  <si>
    <t>8.55亿</t>
  </si>
  <si>
    <t>1.06亿</t>
  </si>
  <si>
    <t>8.29亿</t>
  </si>
  <si>
    <t>6.47亿</t>
  </si>
  <si>
    <t>1.31亿</t>
  </si>
  <si>
    <t>6129.54万</t>
  </si>
  <si>
    <t>SZ300975</t>
  </si>
  <si>
    <t>商络电子</t>
  </si>
  <si>
    <t>31.19亿</t>
  </si>
  <si>
    <t>1.50亿</t>
  </si>
  <si>
    <t>20.68亿</t>
  </si>
  <si>
    <t>29.93亿</t>
  </si>
  <si>
    <t>9902.88万</t>
  </si>
  <si>
    <t>3.34亿</t>
  </si>
  <si>
    <t>SZ300991</t>
  </si>
  <si>
    <t>创益通</t>
  </si>
  <si>
    <t>4.62亿</t>
  </si>
  <si>
    <t>7481.52万</t>
  </si>
  <si>
    <t>2.56亿</t>
  </si>
  <si>
    <t>4.41亿</t>
  </si>
  <si>
    <t>3.68亿</t>
  </si>
  <si>
    <t>6512.10万</t>
  </si>
  <si>
    <t>4142.05万</t>
  </si>
  <si>
    <t>SZ301031</t>
  </si>
  <si>
    <t>中熔电气</t>
  </si>
  <si>
    <t>5538.53万</t>
  </si>
  <si>
    <t>1.14亿</t>
  </si>
  <si>
    <t>1.91亿</t>
  </si>
  <si>
    <t>1.58亿</t>
  </si>
  <si>
    <t>3769.08万</t>
  </si>
  <si>
    <t>3167.87万</t>
  </si>
  <si>
    <t>SH600288</t>
  </si>
  <si>
    <t>大恒科技</t>
  </si>
  <si>
    <t>23.15亿</t>
  </si>
  <si>
    <t>5722.82万</t>
  </si>
  <si>
    <t>1.15亿</t>
  </si>
  <si>
    <t>33.06亿</t>
  </si>
  <si>
    <t>33.42亿</t>
  </si>
  <si>
    <t>7308.76万</t>
  </si>
  <si>
    <t>5064.47万</t>
  </si>
  <si>
    <t>SH600353</t>
  </si>
  <si>
    <t>旭光电子</t>
  </si>
  <si>
    <t>9.02亿</t>
  </si>
  <si>
    <t>5353.95万</t>
  </si>
  <si>
    <t>2.34亿</t>
  </si>
  <si>
    <t>12.01亿</t>
  </si>
  <si>
    <t>10.59亿</t>
  </si>
  <si>
    <t>5587.40万</t>
  </si>
  <si>
    <t>5638.83万</t>
  </si>
  <si>
    <t>SH603933</t>
  </si>
  <si>
    <t>睿能科技</t>
  </si>
  <si>
    <t>14.97亿</t>
  </si>
  <si>
    <t>2516.91万</t>
  </si>
  <si>
    <t>14.78亿</t>
  </si>
  <si>
    <t>18.53亿</t>
  </si>
  <si>
    <t>3012.30万</t>
  </si>
  <si>
    <t>SH688093</t>
  </si>
  <si>
    <t>世华科技</t>
  </si>
  <si>
    <t>3.29亿</t>
  </si>
  <si>
    <t>8158.42万</t>
  </si>
  <si>
    <t>5477.78万</t>
  </si>
  <si>
    <t>SH688103</t>
  </si>
  <si>
    <t>国力股份</t>
  </si>
  <si>
    <t>4.05亿</t>
  </si>
  <si>
    <t>3.32亿</t>
  </si>
  <si>
    <t>3.73亿</t>
  </si>
  <si>
    <t>3935.04万</t>
  </si>
  <si>
    <t>-1286.49万</t>
  </si>
  <si>
    <t>SH688662</t>
  </si>
  <si>
    <t>富信科技</t>
  </si>
  <si>
    <t>6.24亿</t>
  </si>
  <si>
    <t>7430.56万</t>
  </si>
  <si>
    <t>6.26亿</t>
  </si>
  <si>
    <t>6.03亿</t>
  </si>
  <si>
    <t>5.12亿</t>
  </si>
  <si>
    <t>7208.33万</t>
  </si>
  <si>
    <t>5196.61万</t>
  </si>
  <si>
    <t>SH688800</t>
  </si>
  <si>
    <t>瑞可达</t>
  </si>
  <si>
    <t>6.10亿</t>
  </si>
  <si>
    <t>7362.66万</t>
  </si>
  <si>
    <t>5.08亿</t>
  </si>
  <si>
    <t>4.50亿</t>
  </si>
  <si>
    <t>4203.25万</t>
  </si>
  <si>
    <t>3803.06万</t>
  </si>
  <si>
    <t>1.股权转让受让方的实际控制人为珠海市国资委，新亚制程亦表示，引入优质国有资本作为战略投资人将对公司未来发展产生积极影响。近两年，珠海市国资委入股近20家上市公司，这些公司涵盖电子、通信、建材、半导体等多个行业</t>
    <phoneticPr fontId="1" type="noConversion"/>
  </si>
  <si>
    <t>1.毛利不高10%，净利率也不高2%左右，按道理测量仪器仪表应该是高毛利才对？？？</t>
    <phoneticPr fontId="1" type="noConversion"/>
  </si>
  <si>
    <t>由于博思达是销售类型业务，毛利率降低较多</t>
    <phoneticPr fontId="1" type="noConversion"/>
  </si>
  <si>
    <t>SZ300650</t>
  </si>
  <si>
    <t>11.33亿</t>
  </si>
  <si>
    <t>2660.13万</t>
  </si>
  <si>
    <t>5.60亿</t>
  </si>
  <si>
    <t>4.87亿</t>
  </si>
  <si>
    <t>5172.12万</t>
  </si>
  <si>
    <t>5735.04万</t>
  </si>
  <si>
    <t>代码</t>
  </si>
  <si>
    <t>涨幅%</t>
  </si>
  <si>
    <t>流通股本</t>
  </si>
  <si>
    <t>净利润[20201231]</t>
  </si>
  <si>
    <t>投入资本回报率roic%[20201231]</t>
  </si>
  <si>
    <t>净资产收益率%[20201231]</t>
  </si>
  <si>
    <t>228.41亿</t>
  </si>
  <si>
    <t>54.07亿</t>
  </si>
  <si>
    <t>5.53亿</t>
  </si>
  <si>
    <t>2.36亿</t>
  </si>
  <si>
    <t>3.89亿</t>
  </si>
  <si>
    <t>4.92亿</t>
  </si>
  <si>
    <t>-6612.51万</t>
  </si>
  <si>
    <t>6041.45万</t>
  </si>
  <si>
    <t>21.13亿</t>
  </si>
  <si>
    <t>3.92亿</t>
  </si>
  <si>
    <t>2.23亿</t>
  </si>
  <si>
    <t>2414.17万</t>
  </si>
  <si>
    <t>18.61亿</t>
  </si>
  <si>
    <t>-1.93亿</t>
  </si>
  <si>
    <t>22.30亿</t>
  </si>
  <si>
    <t>1.95亿</t>
  </si>
  <si>
    <t>2.18亿</t>
  </si>
  <si>
    <t>104.42亿</t>
  </si>
  <si>
    <t>3.06亿</t>
  </si>
  <si>
    <t>香农芯创</t>
  </si>
  <si>
    <t>92.06亿</t>
  </si>
  <si>
    <t>18.58亿</t>
  </si>
  <si>
    <t>5824.73万</t>
  </si>
  <si>
    <t>7809.45万</t>
  </si>
  <si>
    <t>太龙股份</t>
  </si>
  <si>
    <t>49.48亿</t>
  </si>
  <si>
    <t>2.29亿</t>
  </si>
  <si>
    <t>5.46亿</t>
  </si>
  <si>
    <t>7613.36万</t>
  </si>
  <si>
    <t>650.84万</t>
  </si>
  <si>
    <t>7.15亿</t>
  </si>
  <si>
    <t>53.63亿</t>
  </si>
  <si>
    <t>4.99亿</t>
  </si>
  <si>
    <t>7202.60万</t>
  </si>
  <si>
    <t>8047.67万</t>
  </si>
  <si>
    <t>SZ301099</t>
  </si>
  <si>
    <t>雅创电子</t>
  </si>
  <si>
    <t>14.18亿</t>
  </si>
  <si>
    <t>9240.66万</t>
  </si>
  <si>
    <t>10.98亿</t>
  </si>
  <si>
    <t>11.17亿</t>
  </si>
  <si>
    <t>11.12亿</t>
  </si>
  <si>
    <t>5955.54万</t>
  </si>
  <si>
    <t>3854.40万</t>
  </si>
  <si>
    <t>4425.25万</t>
  </si>
  <si>
    <t>25.37亿</t>
  </si>
  <si>
    <t>9193.65万</t>
  </si>
  <si>
    <t>10.07亿</t>
  </si>
  <si>
    <t>5795.10万</t>
  </si>
  <si>
    <t>20.85亿</t>
  </si>
  <si>
    <t>8568.43万</t>
  </si>
  <si>
    <t>4.25亿</t>
  </si>
  <si>
    <t>5.09亿</t>
  </si>
  <si>
    <t>7300.38万</t>
  </si>
  <si>
    <t>4.14亿</t>
  </si>
  <si>
    <t>6.97亿</t>
  </si>
  <si>
    <t>8837.10万</t>
  </si>
  <si>
    <t xml:space="preserve">    名称</t>
  </si>
  <si>
    <t>净利润?</t>
  </si>
  <si>
    <t>扣非净利润</t>
  </si>
  <si>
    <t>营业总收入[20201231]</t>
  </si>
  <si>
    <t>投入资本回报率roic%[20211231]</t>
  </si>
  <si>
    <t>净资产收益率%[20211231]</t>
  </si>
  <si>
    <t>单季营收增速</t>
  </si>
  <si>
    <t>单季利润增速</t>
  </si>
  <si>
    <t>1.86亿</t>
  </si>
  <si>
    <t/>
  </si>
  <si>
    <t>亏损</t>
  </si>
  <si>
    <t>扭亏</t>
  </si>
  <si>
    <t>1-0</t>
  </si>
  <si>
    <t>1-1</t>
  </si>
  <si>
    <t>2.97亿</t>
  </si>
  <si>
    <t>4.60亿</t>
  </si>
  <si>
    <t>2.06亿</t>
  </si>
  <si>
    <t>2.69亿</t>
  </si>
  <si>
    <r>
      <t>1.最大股东占比65%；10大股东占比80%；再加上只有一半的自由流通股，意味着100亿市值只有10亿自由流通筹码；2.2022年股票期权激励计划与2022年-2024年长效激励员工持股计划，设定了未来三年业绩增长目标：以2021年为基数，营收增速分别不低于</t>
    </r>
    <r>
      <rPr>
        <sz val="9"/>
        <color rgb="FFFF0000"/>
        <rFont val="宋体"/>
        <family val="3"/>
        <charset val="134"/>
        <scheme val="minor"/>
      </rPr>
      <t>25%、56%、95%</t>
    </r>
    <r>
      <rPr>
        <sz val="9"/>
        <color theme="1"/>
        <rFont val="宋体"/>
        <family val="3"/>
        <charset val="134"/>
        <scheme val="minor"/>
      </rPr>
      <t>；或者，归母净利润增速分别不低于</t>
    </r>
    <r>
      <rPr>
        <b/>
        <sz val="9"/>
        <color rgb="FFFF0000"/>
        <rFont val="宋体"/>
        <family val="3"/>
        <charset val="134"/>
        <scheme val="minor"/>
      </rPr>
      <t>30%、72%、130%；</t>
    </r>
    <r>
      <rPr>
        <sz val="9"/>
        <rFont val="宋体"/>
        <family val="3"/>
        <charset val="134"/>
        <scheme val="minor"/>
      </rPr>
      <t xml:space="preserve">3.2022年公司继续将公安消防、冶金、石化三个事业部升级为行业子公司，进一步释放组织活力，强化组织能力。4.公司将照明产品与定位、跟踪、监控、识别、管理技术相结合，研发具有实时数据传输、在线诊断、影像留存、图像识别、安全监测等多种功能的“照明+”产品，分为防爆与非防爆两种系列，可以满足不同行业、不同应用场景的特殊需求，并为客户实现智能化管理。
</t>
    </r>
    <phoneticPr fontId="1" type="noConversion"/>
  </si>
  <si>
    <t>1.公司的产品广泛应用于电力、冶金、铁路、油田、石化、公安、消防、煤炭、部队、港口、场馆、民航、船舶和机械制造等关系到国计民生的重要基础行业，国家宏观经济的波动和相关经济政策的调整直接或间接地影响着上述相关领域的发展。</t>
    <phoneticPr fontId="1" type="noConversion"/>
  </si>
  <si>
    <t>LY营业总收入[20211231]</t>
  </si>
  <si>
    <t>权益乘数[20220630]</t>
  </si>
  <si>
    <t>总资产周转率[20220630]</t>
  </si>
  <si>
    <t>净利润／营业总收入%[20220630]</t>
  </si>
  <si>
    <t>营业总成本[20220630]</t>
  </si>
  <si>
    <t>营业成本[20220630]</t>
  </si>
  <si>
    <t>管理费用[20220630]</t>
  </si>
  <si>
    <t>研发费用总额[20220630]</t>
  </si>
  <si>
    <t>细分行业</t>
  </si>
  <si>
    <t>1.04亿</t>
  </si>
  <si>
    <t>SZ000670</t>
  </si>
  <si>
    <t>盈方微</t>
  </si>
  <si>
    <t>28.90亿</t>
  </si>
  <si>
    <t>323.77万</t>
  </si>
  <si>
    <t>7.00亿</t>
  </si>
  <si>
    <t>412.96万</t>
  </si>
  <si>
    <t>1011.93万</t>
  </si>
  <si>
    <t>-2.06亿</t>
  </si>
  <si>
    <t>-1.70亿</t>
  </si>
  <si>
    <t>7.34亿</t>
  </si>
  <si>
    <t>2.93亿</t>
  </si>
  <si>
    <t>SZ002782</t>
  </si>
  <si>
    <t>可立克</t>
  </si>
  <si>
    <t>16.49亿</t>
  </si>
  <si>
    <t>2626.96万</t>
  </si>
  <si>
    <t>2.25亿</t>
  </si>
  <si>
    <t>12.80亿</t>
  </si>
  <si>
    <t>11.09亿</t>
  </si>
  <si>
    <t>10.94亿</t>
  </si>
  <si>
    <t>2228.94万</t>
  </si>
  <si>
    <t>8499.92万</t>
  </si>
  <si>
    <t>SZ002885</t>
  </si>
  <si>
    <t>京泉华</t>
  </si>
  <si>
    <t>19.10亿</t>
  </si>
  <si>
    <t>1992.83万</t>
  </si>
  <si>
    <t>13.14亿</t>
  </si>
  <si>
    <t>13.33亿</t>
  </si>
  <si>
    <t>11.66亿</t>
  </si>
  <si>
    <t>3279.78万</t>
  </si>
  <si>
    <t>5206.41万</t>
  </si>
  <si>
    <t>7973.55万</t>
  </si>
  <si>
    <t>SZ300131</t>
  </si>
  <si>
    <t>英唐智控</t>
  </si>
  <si>
    <t>63.38亿</t>
  </si>
  <si>
    <t>2882.23万</t>
  </si>
  <si>
    <t>104.18亿</t>
  </si>
  <si>
    <t>119.50亿</t>
  </si>
  <si>
    <t>121.14亿</t>
  </si>
  <si>
    <t>2856.54万</t>
  </si>
  <si>
    <t>2.32亿</t>
  </si>
  <si>
    <t>3.19亿</t>
  </si>
  <si>
    <t>4.61亿</t>
  </si>
  <si>
    <t>6增速</t>
    <phoneticPr fontId="1" type="noConversion"/>
  </si>
  <si>
    <t>SZ001298</t>
  </si>
  <si>
    <t>好上好</t>
  </si>
  <si>
    <t>68.41亿</t>
  </si>
  <si>
    <t>52.61亿</t>
  </si>
  <si>
    <t>41.19亿</t>
  </si>
  <si>
    <t>43.08亿</t>
  </si>
  <si>
    <t>5290.14万</t>
  </si>
  <si>
    <t>3471.33万</t>
  </si>
  <si>
    <t>SZ301328</t>
  </si>
  <si>
    <t>4.09亿</t>
  </si>
  <si>
    <t>1.00亿</t>
  </si>
  <si>
    <t>1.66亿</t>
  </si>
  <si>
    <t>1000.00万</t>
  </si>
  <si>
    <t>6105.68万</t>
  </si>
  <si>
    <t>4342.97万</t>
  </si>
  <si>
    <t>2656.70万</t>
  </si>
  <si>
    <t>2021Q1的营收暴增，是因为并购并表了子公司博思达，对博思达资产组的收购完成之后，新增半导体分销业务板块</t>
    <phoneticPr fontId="1" type="noConversion"/>
  </si>
  <si>
    <t>维峰电子</t>
  </si>
  <si>
    <t>成交量[20221209]</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</si>
  <si>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</si>
  <si>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</si>
  <si>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</si>
  <si>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</si>
  <si>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</si>
  <si>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</si>
  <si>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</si>
  <si>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</si>
  <si>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</si>
  <si>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</si>
  <si>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</si>
  <si>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</si>
  <si>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</si>
  <si>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</si>
  <si>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</si>
  <si>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</si>
  <si>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</si>
  <si>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</si>
  <si>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</si>
  <si>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</si>
  <si>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</si>
  <si>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</si>
  <si>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</si>
  <si>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</si>
  <si>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</si>
  <si>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</si>
  <si>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区间涨跌幅:前复权%[20221205-20221209]</t>
  </si>
  <si>
    <t>区间涨跌幅:前复权%[20221031-20221209]</t>
  </si>
  <si>
    <t>区间成交量[20221205-20221209]</t>
  </si>
  <si>
    <t>指数@区间成交量[20221031-20221209]</t>
  </si>
  <si>
    <t>市销率</t>
    <phoneticPr fontId="1" type="noConversion"/>
  </si>
  <si>
    <t>扣非对比净利润</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</si>
  <si>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</si>
  <si>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</si>
  <si>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</si>
  <si>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</si>
  <si>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</si>
  <si>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</si>
  <si>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</si>
  <si>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</si>
  <si>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</si>
  <si>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</si>
  <si>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</si>
  <si>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</si>
  <si>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</si>
  <si>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</si>
  <si>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</si>
  <si>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</si>
  <si>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</si>
  <si>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</si>
  <si>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</si>
  <si>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</si>
  <si>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</si>
  <si>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</si>
  <si>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</si>
  <si>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</si>
  <si>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</si>
  <si>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</si>
  <si>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</si>
  <si>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</si>
  <si>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</si>
  <si>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</si>
  <si>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</si>
  <si>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</si>
  <si>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</si>
  <si>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</si>
  <si>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</si>
  <si>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</si>
  <si>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</si>
  <si>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</si>
  <si>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</si>
  <si>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10派3元(含税)</t>
  </si>
  <si>
    <t>不分配不转增</t>
  </si>
  <si>
    <t>2.44亿</t>
  </si>
  <si>
    <t>10派0.35元(含税)</t>
  </si>
  <si>
    <t>2.09亿</t>
  </si>
  <si>
    <t>2.33亿</t>
  </si>
  <si>
    <t>3.37亿</t>
  </si>
  <si>
    <t>1.28亿</t>
  </si>
  <si>
    <t>1.83亿</t>
  </si>
  <si>
    <t>1.36亿</t>
  </si>
  <si>
    <t>10派6元(含税)</t>
  </si>
  <si>
    <t>1.39亿</t>
  </si>
  <si>
    <t>14.01亿</t>
  </si>
  <si>
    <t>10.78亿</t>
  </si>
  <si>
    <t>2.05亿</t>
  </si>
  <si>
    <t>2.22亿</t>
  </si>
  <si>
    <t>5.18亿</t>
  </si>
  <si>
    <t>2.13亿</t>
  </si>
  <si>
    <t>2-1</t>
  </si>
  <si>
    <t>1.37亿</t>
  </si>
  <si>
    <t>86.69亿</t>
  </si>
  <si>
    <t>239.41亿</t>
  </si>
  <si>
    <t>9.52亿</t>
  </si>
  <si>
    <t>1.55亿</t>
  </si>
  <si>
    <t>3.48亿</t>
  </si>
  <si>
    <t>14.28亿</t>
  </si>
  <si>
    <t>31.24亿</t>
  </si>
  <si>
    <t>1490.47万</t>
  </si>
  <si>
    <t>SZ001287</t>
  </si>
  <si>
    <t>中电港</t>
  </si>
  <si>
    <t>156.98亿</t>
  </si>
  <si>
    <t>433.03亿</t>
  </si>
  <si>
    <t>4.01亿</t>
  </si>
  <si>
    <t>383.91亿</t>
  </si>
  <si>
    <t>260.26亿</t>
  </si>
  <si>
    <t>171.83亿</t>
  </si>
  <si>
    <t>143.17亿</t>
  </si>
  <si>
    <t>8590.48万</t>
  </si>
  <si>
    <t>4727.53万</t>
  </si>
  <si>
    <t>1.85亿</t>
  </si>
  <si>
    <t>27.84亿</t>
  </si>
  <si>
    <t>63.95亿</t>
  </si>
  <si>
    <t>9922.41万</t>
  </si>
  <si>
    <t>25.34亿</t>
  </si>
  <si>
    <t>53.41亿</t>
  </si>
  <si>
    <t>3.49亿</t>
  </si>
  <si>
    <t>10派0.4元(含税)</t>
  </si>
  <si>
    <t>2.35亿</t>
  </si>
  <si>
    <t>-3002.29万</t>
  </si>
  <si>
    <t>10.13亿</t>
  </si>
  <si>
    <t>18.07亿</t>
  </si>
  <si>
    <t>1.93亿</t>
  </si>
  <si>
    <t>8.39亿</t>
  </si>
  <si>
    <t>17.34亿</t>
  </si>
  <si>
    <t>4.80亿</t>
  </si>
  <si>
    <t>2.53亿</t>
  </si>
  <si>
    <t>3040.22万</t>
  </si>
  <si>
    <t>23.30亿</t>
  </si>
  <si>
    <t>32.68亿</t>
  </si>
  <si>
    <t>10派0.8元(含税)</t>
  </si>
  <si>
    <t>7.13亿</t>
  </si>
  <si>
    <t>13.01亿</t>
  </si>
  <si>
    <t>10派1元(含税)</t>
  </si>
  <si>
    <t>4.91亿</t>
  </si>
  <si>
    <t>25.84亿</t>
  </si>
  <si>
    <t>15.74亿</t>
  </si>
  <si>
    <t>28.21亿</t>
  </si>
  <si>
    <t>22.70亿</t>
  </si>
  <si>
    <t>51.69亿</t>
  </si>
  <si>
    <t>1.09亿</t>
  </si>
  <si>
    <t>-2-0</t>
  </si>
  <si>
    <t>25.95亿</t>
  </si>
  <si>
    <t>80.39亿</t>
  </si>
  <si>
    <t>2.43亿</t>
  </si>
  <si>
    <t>43.33亿</t>
  </si>
  <si>
    <t>137.72亿</t>
  </si>
  <si>
    <t>3.14亿</t>
  </si>
  <si>
    <t>4.49亿</t>
  </si>
  <si>
    <t>5.49亿</t>
  </si>
  <si>
    <t>9.44亿</t>
  </si>
  <si>
    <t>21.02亿</t>
  </si>
  <si>
    <t>5411.18万</t>
  </si>
  <si>
    <t>2.12亿</t>
  </si>
  <si>
    <t>7.44亿</t>
  </si>
  <si>
    <t>8210.05万</t>
  </si>
  <si>
    <t>11.14亿</t>
  </si>
  <si>
    <t>32.35亿</t>
  </si>
  <si>
    <t>5456.29万</t>
  </si>
  <si>
    <t>1.12亿</t>
  </si>
  <si>
    <t>-3254.97万</t>
  </si>
  <si>
    <t>7.19亿</t>
  </si>
  <si>
    <t>-1.16亿</t>
  </si>
  <si>
    <t>1.32亿</t>
  </si>
  <si>
    <t>2821.63万</t>
  </si>
  <si>
    <t>26.48亿</t>
  </si>
  <si>
    <t>56.41亿</t>
  </si>
  <si>
    <t>5.87亿</t>
  </si>
  <si>
    <t>4.31亿</t>
  </si>
  <si>
    <t>4.95亿</t>
  </si>
  <si>
    <t>7.55亿</t>
  </si>
  <si>
    <t>3.54亿</t>
  </si>
  <si>
    <t>-2-1</t>
  </si>
  <si>
    <t>9.55亿</t>
  </si>
  <si>
    <t>22.03亿</t>
  </si>
  <si>
    <t>12.76亿</t>
  </si>
  <si>
    <t>10.53亿</t>
  </si>
  <si>
    <t>23.22亿</t>
  </si>
  <si>
    <t>6953.87万</t>
  </si>
  <si>
    <t>1.08亿</t>
  </si>
  <si>
    <t>6.01亿</t>
  </si>
  <si>
    <t>11.41亿</t>
  </si>
  <si>
    <t>1.51亿</t>
  </si>
  <si>
    <t>8542.09万</t>
  </si>
  <si>
    <t>5.01亿</t>
  </si>
  <si>
    <t>5510.83万</t>
  </si>
  <si>
    <t>16.25亿</t>
  </si>
  <si>
    <t>2.38亿</t>
  </si>
  <si>
    <t>-1-1</t>
  </si>
  <si>
    <t>9.56亿</t>
  </si>
  <si>
    <t>21.36亿</t>
  </si>
  <si>
    <t>5366.67万</t>
  </si>
  <si>
    <t>0.三大业务，通信，新能源车，工业：1.通信连接器：预计 2025 年全球通信连接器市场规模将达到 215 亿美元，2019~2025年 CAGR=7.1%。2.新能源连接器：高压连接器，预测 2025 年国内高压连接器市场规模将达到 305 亿元，2022~2025 年 CAGR=28.1%;换电连接器：主要应用在商用车重卡领域。我们预测 2025 年汽车换电连接器市场规模有望达到 19.97 亿元，2021~2025 年 CAGR=87.86%;高频高速连接器：公司已完成全系列开发，包括 Fakra、Mini Fakra、HSD、以太网等产品高频高速连接器已经导入客户。我们预测 2025 年中国高频高速连接器市场规模有望达到 129 亿元，2022~2025 年 CAGR=18.6%。3.光储连接器：2021~2025 年 CAGR=18.0%；</t>
    <phoneticPr fontId="1" type="noConversion"/>
  </si>
  <si>
    <t>2.67亿</t>
  </si>
  <si>
    <t>6.98亿</t>
  </si>
  <si>
    <t>1.47亿</t>
  </si>
  <si>
    <t>15.54亿</t>
  </si>
  <si>
    <t>3.09亿</t>
  </si>
  <si>
    <t>-2855.51万</t>
  </si>
  <si>
    <t>6.79万</t>
  </si>
  <si>
    <t>7964.56万</t>
  </si>
  <si>
    <t>3.70亿</t>
  </si>
  <si>
    <t>11.59亿</t>
  </si>
  <si>
    <t>1779.96万</t>
  </si>
  <si>
    <t>6.49亿</t>
  </si>
  <si>
    <t>5.90亿</t>
  </si>
  <si>
    <t>4.21亿</t>
  </si>
  <si>
    <t>5465.30万</t>
  </si>
  <si>
    <t>15.79亿</t>
  </si>
  <si>
    <t>1.87亿</t>
  </si>
  <si>
    <t>8046.51万</t>
  </si>
  <si>
    <t>1.80亿</t>
  </si>
  <si>
    <t>823.73万</t>
  </si>
  <si>
    <t>6560.79万</t>
  </si>
  <si>
    <t>9.28亿</t>
  </si>
  <si>
    <t>7.24亿</t>
  </si>
  <si>
    <t>6.92亿</t>
  </si>
  <si>
    <t>3.72亿</t>
  </si>
  <si>
    <t>6.15亿</t>
  </si>
  <si>
    <t>5.44亿</t>
  </si>
  <si>
    <t>818.34万</t>
  </si>
  <si>
    <t>6530.63万</t>
  </si>
  <si>
    <t>9023.40万</t>
  </si>
  <si>
    <t>3145.15万</t>
  </si>
  <si>
    <t>8.81亿</t>
  </si>
  <si>
    <t>5240.12万</t>
  </si>
  <si>
    <t>1.67亿</t>
  </si>
  <si>
    <t>2086.32万</t>
  </si>
  <si>
    <t>2.45亿</t>
  </si>
  <si>
    <t>1723.80万</t>
  </si>
  <si>
    <t>1321.95万</t>
  </si>
  <si>
    <t>2.62亿</t>
  </si>
  <si>
    <t>1368.06万</t>
  </si>
  <si>
    <t>-1796.80万</t>
  </si>
  <si>
    <t>4.67亿</t>
  </si>
  <si>
    <t>1.72亿</t>
  </si>
  <si>
    <t>-2734.06万</t>
  </si>
  <si>
    <t>4.84亿</t>
  </si>
  <si>
    <t>2417.79万</t>
  </si>
  <si>
    <t>3.71亿</t>
  </si>
  <si>
    <t>-1233.54万</t>
  </si>
  <si>
    <t>6.54亿</t>
  </si>
  <si>
    <t>1.49亿</t>
  </si>
  <si>
    <t>2.37亿</t>
  </si>
  <si>
    <t>5686.83万</t>
  </si>
  <si>
    <t>11.70亿</t>
  </si>
  <si>
    <t>15.66亿</t>
  </si>
  <si>
    <t>1.17亿</t>
  </si>
  <si>
    <t>7461.98万</t>
  </si>
  <si>
    <t>317.30万</t>
  </si>
  <si>
    <t>1.71亿</t>
  </si>
  <si>
    <t>5062.19万</t>
  </si>
  <si>
    <t>4441.40万</t>
  </si>
  <si>
    <t>1.56亿</t>
  </si>
  <si>
    <t>7925.63万</t>
  </si>
  <si>
    <t>4.30亿</t>
  </si>
  <si>
    <t>2815.27万</t>
  </si>
  <si>
    <t>2.96亿</t>
  </si>
  <si>
    <t>-1576.36万</t>
  </si>
  <si>
    <t>19.76亿</t>
  </si>
  <si>
    <t>7.70亿</t>
  </si>
  <si>
    <t>3.40亿</t>
  </si>
  <si>
    <t>11.77亿</t>
  </si>
  <si>
    <t>6666.64万</t>
  </si>
  <si>
    <t>1.在公司传统主营业务市场竞争加剧难以实现重大突破的情况下，公司于 2021 年完成对联合创泰的收购，并以此为契机切入电子元器件分销行业;</t>
    <phoneticPr fontId="1" type="noConversion"/>
  </si>
  <si>
    <t xml:space="preserve">1.国资委控股；2.公司报告期内一直稳居境内电子元器件分销商前二，2020 年和 2021 年位居境内分销商之首，已具备显著规模优势。3.公司以电子元器件授权分销为核心，辅以非授权分销业务来满足客户多样化需求，
并积极探索电商模式；
</t>
    <phoneticPr fontId="1" type="noConversion"/>
  </si>
  <si>
    <t>1.59亿</t>
  </si>
  <si>
    <t>-1-0</t>
  </si>
  <si>
    <t>-3-1</t>
  </si>
  <si>
    <t>3.22亿</t>
  </si>
  <si>
    <t>3.42亿</t>
  </si>
  <si>
    <t>1.33亿</t>
  </si>
  <si>
    <r>
      <t>1.国际分销商以艾睿电子(Arrow)、安富丽(Avnet)、大联大(WPG),文晔科技（WT Microelectronics，中国台湾地区）,第五名的MacnicaFuji（日本），本土分销商以</t>
    </r>
    <r>
      <rPr>
        <sz val="9"/>
        <color rgb="FFFF0000"/>
        <rFont val="宋体"/>
        <family val="3"/>
        <charset val="134"/>
        <scheme val="minor"/>
      </rPr>
      <t>泰科源、中电港、力源信息、深圳华强</t>
    </r>
    <r>
      <rPr>
        <sz val="9"/>
        <color theme="1"/>
        <rFont val="宋体"/>
        <family val="3"/>
        <charset val="134"/>
        <scheme val="minor"/>
      </rPr>
      <t>等企业为代表。</t>
    </r>
    <phoneticPr fontId="1" type="noConversion"/>
  </si>
  <si>
    <r>
      <t>1.公司核心技术不断发展，掌握了包括高聚物聚合与改性技术、功能涂层配方设计技术、精密涂布技术在内的多项 关键技术，成功开发出具有自主知识产权的功能性材料，达到或接近3M Nitto、Tesa等 国际龙头材料厂商的产品性能。2.目前 A 股市场中与公司业务接近、具备可比 性的公司有</t>
    </r>
    <r>
      <rPr>
        <sz val="9"/>
        <color rgb="FFFF0000"/>
        <rFont val="宋体"/>
        <family val="3"/>
        <charset val="134"/>
        <scheme val="minor"/>
      </rPr>
      <t>斯迪克、方邦股份</t>
    </r>
    <r>
      <rPr>
        <sz val="9"/>
        <color theme="1"/>
        <rFont val="宋体"/>
        <family val="3"/>
        <charset val="134"/>
        <scheme val="minor"/>
      </rPr>
      <t>。其中斯迪克是国内领先的功能性涂层复合材料供应商； 方邦股份是一家高端电子材料及解决方案供应商，主要产品包括电磁屏蔽膜、导电胶膜、 极薄挠性覆铜板及超薄铜箔等。</t>
    </r>
    <phoneticPr fontId="1" type="noConversion"/>
  </si>
  <si>
    <t>371.32万</t>
  </si>
  <si>
    <t>97.25亿</t>
  </si>
  <si>
    <t>80.97亿</t>
  </si>
  <si>
    <t>44.60亿</t>
  </si>
  <si>
    <t>5740.47万</t>
  </si>
  <si>
    <t>43.56亿</t>
  </si>
  <si>
    <t>40.78亿</t>
  </si>
  <si>
    <t>8746.66万</t>
  </si>
  <si>
    <t>8061.79万</t>
  </si>
  <si>
    <t>-858920亿</t>
  </si>
  <si>
    <t>89.31万</t>
  </si>
  <si>
    <t>55151513亿</t>
  </si>
  <si>
    <t>26.97亿</t>
  </si>
  <si>
    <t>4797551300亿</t>
  </si>
  <si>
    <t>3389.63万</t>
  </si>
  <si>
    <t>11504947000亿</t>
  </si>
  <si>
    <t>201.78万</t>
  </si>
  <si>
    <t>51.68亿</t>
  </si>
  <si>
    <t>8459.12万</t>
  </si>
  <si>
    <t>71.89亿</t>
  </si>
  <si>
    <t>10.09亿</t>
  </si>
  <si>
    <t>6.88亿</t>
  </si>
  <si>
    <t>-1265.61万</t>
  </si>
  <si>
    <t>-13.00亿</t>
  </si>
  <si>
    <t>205.94亿</t>
  </si>
  <si>
    <t>10派2元(含税)</t>
  </si>
  <si>
    <t>2265.39万</t>
  </si>
  <si>
    <t>057404700</t>
  </si>
  <si>
    <t>0172214100</t>
  </si>
  <si>
    <t>0344428200</t>
  </si>
  <si>
    <t>0574047000</t>
  </si>
  <si>
    <t>01148094000</t>
  </si>
  <si>
    <t>849.48万</t>
  </si>
  <si>
    <t>16.65亿</t>
  </si>
  <si>
    <t>3.52亿</t>
  </si>
  <si>
    <t>9.70亿</t>
  </si>
  <si>
    <t>-327.63万</t>
  </si>
  <si>
    <t>9.47亿</t>
  </si>
  <si>
    <t>924.45万</t>
  </si>
  <si>
    <t>1977.53万</t>
  </si>
  <si>
    <t>-2045058亿</t>
  </si>
  <si>
    <t>-4036467亿</t>
  </si>
  <si>
    <t>4039.15万</t>
  </si>
  <si>
    <t>1003655840亿</t>
  </si>
  <si>
    <t>1556.30万</t>
  </si>
  <si>
    <t>1352600000亿</t>
  </si>
  <si>
    <t>13.93亿</t>
  </si>
  <si>
    <t>7510.66万</t>
  </si>
  <si>
    <t>9421.01万</t>
  </si>
  <si>
    <t>-120.13万</t>
  </si>
  <si>
    <t>-6943.75万</t>
  </si>
  <si>
    <t>34.67亿</t>
  </si>
  <si>
    <t>-6005.75万</t>
  </si>
  <si>
    <t>6183.11万</t>
  </si>
  <si>
    <t>5.91亿</t>
  </si>
  <si>
    <t>282.67万</t>
  </si>
  <si>
    <t>176.48亿</t>
  </si>
  <si>
    <t>51.06亿</t>
  </si>
  <si>
    <t>117.25亿</t>
  </si>
  <si>
    <t>5124.92万</t>
  </si>
  <si>
    <t>116.54亿</t>
  </si>
  <si>
    <t>113.97亿</t>
  </si>
  <si>
    <t>5182.88万</t>
  </si>
  <si>
    <t>3058.69万</t>
  </si>
  <si>
    <t>690978亿</t>
  </si>
  <si>
    <t>1.02万</t>
  </si>
  <si>
    <t>37802496亿</t>
  </si>
  <si>
    <t>28.85亿</t>
  </si>
  <si>
    <t>9015872700亿</t>
  </si>
  <si>
    <t>23501074000亿</t>
  </si>
  <si>
    <t>126.11亿</t>
  </si>
  <si>
    <t>353.67万</t>
  </si>
  <si>
    <t>37.47亿</t>
  </si>
  <si>
    <t>188.83亿</t>
  </si>
  <si>
    <t>-3.70亿</t>
  </si>
  <si>
    <t>-847.18万</t>
  </si>
  <si>
    <t>10.66亿</t>
  </si>
  <si>
    <t>345.04亿</t>
  </si>
  <si>
    <t>10派0.85元(含税)</t>
  </si>
  <si>
    <t>1757.26万</t>
  </si>
  <si>
    <t>842.62万</t>
  </si>
  <si>
    <t>11.18亿</t>
  </si>
  <si>
    <t>15.50亿</t>
  </si>
  <si>
    <t>471.15万</t>
  </si>
  <si>
    <t>15.56亿</t>
  </si>
  <si>
    <t>14.96亿</t>
  </si>
  <si>
    <t>1817.58万</t>
  </si>
  <si>
    <t>1915.38万</t>
  </si>
  <si>
    <t>2313870亿</t>
  </si>
  <si>
    <t>2518969亿</t>
  </si>
  <si>
    <t>3.58亿</t>
  </si>
  <si>
    <t>1311015960亿</t>
  </si>
  <si>
    <t>878.85万</t>
  </si>
  <si>
    <t>2700844800亿</t>
  </si>
  <si>
    <t>1229.00万</t>
  </si>
  <si>
    <t>12.33亿</t>
  </si>
  <si>
    <t>-3.51亿</t>
  </si>
  <si>
    <t>-5371.58万</t>
  </si>
  <si>
    <t>57.76亿</t>
  </si>
  <si>
    <t>5587.54万</t>
  </si>
  <si>
    <t>10转4.5股派2元(含税)</t>
  </si>
  <si>
    <t>6486.34万</t>
  </si>
  <si>
    <t>04711500</t>
  </si>
  <si>
    <t>014134500</t>
  </si>
  <si>
    <t>028269000</t>
  </si>
  <si>
    <t>047115000</t>
  </si>
  <si>
    <t>094230000</t>
  </si>
  <si>
    <t>4-1</t>
  </si>
  <si>
    <t>9947.94万</t>
  </si>
  <si>
    <t>35.39亿</t>
  </si>
  <si>
    <t>56.44亿</t>
  </si>
  <si>
    <t>13.89亿</t>
  </si>
  <si>
    <t>9.29亿</t>
  </si>
  <si>
    <t>8207.81万</t>
  </si>
  <si>
    <t>6821.51万</t>
  </si>
  <si>
    <t>590304亿</t>
  </si>
  <si>
    <t>222.79万</t>
  </si>
  <si>
    <t>172967300亿</t>
  </si>
  <si>
    <t>8.92亿</t>
  </si>
  <si>
    <t>2181090400亿</t>
  </si>
  <si>
    <t>3.41亿</t>
  </si>
  <si>
    <t>4817314600亿</t>
  </si>
  <si>
    <t>7940.35万</t>
  </si>
  <si>
    <t>6.39亿</t>
  </si>
  <si>
    <t>26.29亿</t>
  </si>
  <si>
    <t>6.37亿</t>
  </si>
  <si>
    <t>5247.06万</t>
  </si>
  <si>
    <t>-2.01亿</t>
  </si>
  <si>
    <t>2666.92万</t>
  </si>
  <si>
    <t>57.23亿</t>
  </si>
  <si>
    <t>10派1.7元(含税)</t>
  </si>
  <si>
    <t>5.76亿</t>
  </si>
  <si>
    <t>30.50亿</t>
  </si>
  <si>
    <t>0184000000</t>
  </si>
  <si>
    <t>0552000000</t>
  </si>
  <si>
    <t>01104000000</t>
  </si>
  <si>
    <t>01840000000</t>
  </si>
  <si>
    <t>03680000000</t>
  </si>
  <si>
    <t>787.87万</t>
  </si>
  <si>
    <t>12.31亿</t>
  </si>
  <si>
    <t>8658.58万</t>
  </si>
  <si>
    <t>6377.90万</t>
  </si>
  <si>
    <t>1865.20万</t>
  </si>
  <si>
    <t>1782.06万</t>
  </si>
  <si>
    <t>829109亿</t>
  </si>
  <si>
    <t>2.69万</t>
  </si>
  <si>
    <t>-9309903亿</t>
  </si>
  <si>
    <t>2.42亿</t>
  </si>
  <si>
    <t>193036110亿</t>
  </si>
  <si>
    <t>520.00万</t>
  </si>
  <si>
    <t>1088540120亿</t>
  </si>
  <si>
    <t>2034.73万</t>
  </si>
  <si>
    <t>7.64亿</t>
  </si>
  <si>
    <t>-2248.46万</t>
  </si>
  <si>
    <t>-2292.42万</t>
  </si>
  <si>
    <t>2090.27万</t>
  </si>
  <si>
    <t>2811.60万</t>
  </si>
  <si>
    <t>10派0.18元(含税)</t>
  </si>
  <si>
    <t>4643.55万</t>
  </si>
  <si>
    <t>086585800</t>
  </si>
  <si>
    <t>0259757400</t>
  </si>
  <si>
    <t>0519514800</t>
  </si>
  <si>
    <t>0865858000</t>
  </si>
  <si>
    <t>01731716000</t>
  </si>
  <si>
    <t>1114.25万</t>
  </si>
  <si>
    <t>14.63亿</t>
  </si>
  <si>
    <t>432.08万</t>
  </si>
  <si>
    <t>4.69亿</t>
  </si>
  <si>
    <t>1326.98万</t>
  </si>
  <si>
    <t>2394.37万</t>
  </si>
  <si>
    <t>-619.9亿</t>
  </si>
  <si>
    <t>119.63万</t>
  </si>
  <si>
    <t>7988731亿</t>
  </si>
  <si>
    <t>949941770亿</t>
  </si>
  <si>
    <t>2067311400亿</t>
  </si>
  <si>
    <t>891.91万</t>
  </si>
  <si>
    <t>6.91亿</t>
  </si>
  <si>
    <t>1875.23万</t>
  </si>
  <si>
    <t>15.06亿</t>
  </si>
  <si>
    <t>4900.00万</t>
  </si>
  <si>
    <t>-4194.77万</t>
  </si>
  <si>
    <t>-9418.92万</t>
  </si>
  <si>
    <t>17.42亿</t>
  </si>
  <si>
    <t>22.65亿</t>
  </si>
  <si>
    <t>20.09亿</t>
  </si>
  <si>
    <t>584.03万</t>
  </si>
  <si>
    <t>21.46亿</t>
  </si>
  <si>
    <t>-2.41亿</t>
  </si>
  <si>
    <t>978.63万</t>
  </si>
  <si>
    <t>5200.50万</t>
  </si>
  <si>
    <t>394.97万</t>
  </si>
  <si>
    <t>8.07亿</t>
  </si>
  <si>
    <t>30.37亿</t>
  </si>
  <si>
    <t>33.63万</t>
  </si>
  <si>
    <t>9343.75万</t>
  </si>
  <si>
    <t>3987.21万</t>
  </si>
  <si>
    <t>991910亿</t>
  </si>
  <si>
    <t>5.05万</t>
  </si>
  <si>
    <t>-11289752亿</t>
  </si>
  <si>
    <t>3.16亿</t>
  </si>
  <si>
    <t>733015790亿</t>
  </si>
  <si>
    <t>9370.16万</t>
  </si>
  <si>
    <t>2475080900亿</t>
  </si>
  <si>
    <t>3929.82万</t>
  </si>
  <si>
    <t>2.87亿</t>
  </si>
  <si>
    <t>6.06亿</t>
  </si>
  <si>
    <t>-5354.45万</t>
  </si>
  <si>
    <t>-8027.59万</t>
  </si>
  <si>
    <t>17.01亿</t>
  </si>
  <si>
    <t>4366.89万</t>
  </si>
  <si>
    <t>10派0.40元(含税)</t>
  </si>
  <si>
    <t>3364.85万</t>
  </si>
  <si>
    <t>0336300</t>
  </si>
  <si>
    <t>01008900</t>
  </si>
  <si>
    <t>02017800</t>
  </si>
  <si>
    <t>03363000</t>
  </si>
  <si>
    <t>06726000</t>
  </si>
  <si>
    <t>-5-0</t>
  </si>
  <si>
    <t>462.76万</t>
  </si>
  <si>
    <t>9439.64万</t>
  </si>
  <si>
    <t>4.94亿</t>
  </si>
  <si>
    <t>6515.25万</t>
  </si>
  <si>
    <t>605.80万</t>
  </si>
  <si>
    <t>6080.78万</t>
  </si>
  <si>
    <t>4525.12万</t>
  </si>
  <si>
    <t>239.81万</t>
  </si>
  <si>
    <t>809.81万</t>
  </si>
  <si>
    <t>-4112亿</t>
  </si>
  <si>
    <t>2.09万</t>
  </si>
  <si>
    <t>4994945亿</t>
  </si>
  <si>
    <t>1.24亿</t>
  </si>
  <si>
    <t>97539864亿</t>
  </si>
  <si>
    <t>267.97万</t>
  </si>
  <si>
    <t>359820340亿</t>
  </si>
  <si>
    <t>702.68万</t>
  </si>
  <si>
    <t>1285.54万</t>
  </si>
  <si>
    <t>3988.43万</t>
  </si>
  <si>
    <t>57.10万</t>
  </si>
  <si>
    <t>7045.43万</t>
  </si>
  <si>
    <t>2640.81万</t>
  </si>
  <si>
    <t>2337.31万</t>
  </si>
  <si>
    <t>1215.60万</t>
  </si>
  <si>
    <t>251.78万</t>
  </si>
  <si>
    <t>1813.70万</t>
  </si>
  <si>
    <t>10派0.28元(含税)</t>
  </si>
  <si>
    <t>1781.73万</t>
  </si>
  <si>
    <t>06058000</t>
  </si>
  <si>
    <t>018174000</t>
  </si>
  <si>
    <t>036348000</t>
  </si>
  <si>
    <t>060580000</t>
  </si>
  <si>
    <t>0121160000</t>
  </si>
  <si>
    <t>-8-1</t>
  </si>
  <si>
    <t>385.18万</t>
  </si>
  <si>
    <t>22.00亿</t>
  </si>
  <si>
    <t>19.14亿</t>
  </si>
  <si>
    <t>9.51亿</t>
  </si>
  <si>
    <t>5176.90万</t>
  </si>
  <si>
    <t>8.15亿</t>
  </si>
  <si>
    <t>1257.22万</t>
  </si>
  <si>
    <t>4257.82万</t>
  </si>
  <si>
    <t>407786亿</t>
  </si>
  <si>
    <t>10.82万</t>
  </si>
  <si>
    <t>48756357亿</t>
  </si>
  <si>
    <t>1187795550亿</t>
  </si>
  <si>
    <t>2838589300亿</t>
  </si>
  <si>
    <t>1.05亿</t>
  </si>
  <si>
    <t>10.54亿</t>
  </si>
  <si>
    <t>6720.00万</t>
  </si>
  <si>
    <t>4701.09万</t>
  </si>
  <si>
    <t>-1.62亿</t>
  </si>
  <si>
    <t>-2150.35万</t>
  </si>
  <si>
    <t>46.68亿</t>
  </si>
  <si>
    <t>2482.84万</t>
  </si>
  <si>
    <t>1.57亿</t>
  </si>
  <si>
    <t>-3-0</t>
  </si>
  <si>
    <t>334.81万</t>
  </si>
  <si>
    <t>21.73亿</t>
  </si>
  <si>
    <t>29.94亿</t>
  </si>
  <si>
    <t>3.63亿</t>
  </si>
  <si>
    <t>5331.05万</t>
  </si>
  <si>
    <t>803.36万</t>
  </si>
  <si>
    <t>3580.00万</t>
  </si>
  <si>
    <t>51.97万</t>
  </si>
  <si>
    <t>52737534亿</t>
  </si>
  <si>
    <t>7.50亿</t>
  </si>
  <si>
    <t>459987820亿</t>
  </si>
  <si>
    <t>1710218600亿</t>
  </si>
  <si>
    <t>2.16亿</t>
  </si>
  <si>
    <t>7.76亿</t>
  </si>
  <si>
    <t>8.57亿</t>
  </si>
  <si>
    <t>8345.42万</t>
  </si>
  <si>
    <t>-1.07亿</t>
  </si>
  <si>
    <t>15.72亿</t>
  </si>
  <si>
    <t>2564.16万</t>
  </si>
  <si>
    <t>053310500</t>
  </si>
  <si>
    <t>0159931500</t>
  </si>
  <si>
    <t>0319863000</t>
  </si>
  <si>
    <t>0533105000</t>
  </si>
  <si>
    <t>01066210000</t>
  </si>
  <si>
    <t>3946.79万</t>
  </si>
  <si>
    <t>5.78亿</t>
  </si>
  <si>
    <t>21.22亿</t>
  </si>
  <si>
    <t>6986.37万</t>
  </si>
  <si>
    <t>-81.73万</t>
  </si>
  <si>
    <t>8475.18万</t>
  </si>
  <si>
    <t>4660.97万</t>
  </si>
  <si>
    <t>1387.98万</t>
  </si>
  <si>
    <t>1814.68万</t>
  </si>
  <si>
    <t>2340237亿</t>
  </si>
  <si>
    <t>1.09万</t>
  </si>
  <si>
    <t>-10559462亿</t>
  </si>
  <si>
    <t>9.94亿</t>
  </si>
  <si>
    <t>356657350亿</t>
  </si>
  <si>
    <t>184.93万</t>
  </si>
  <si>
    <t>2024628400亿</t>
  </si>
  <si>
    <t>8977.57万</t>
  </si>
  <si>
    <t>3059.77万</t>
  </si>
  <si>
    <t>28.98万</t>
  </si>
  <si>
    <t>4.33亿</t>
  </si>
  <si>
    <t>-5311.22万</t>
  </si>
  <si>
    <t>1.21亿</t>
  </si>
  <si>
    <t>-4250.41万</t>
  </si>
  <si>
    <t>1925.57万</t>
  </si>
  <si>
    <t>4931.76万</t>
  </si>
  <si>
    <t>10.33亿</t>
  </si>
  <si>
    <t>243.89万</t>
  </si>
  <si>
    <t>15.09亿</t>
  </si>
  <si>
    <t>14.14亿</t>
  </si>
  <si>
    <t>5.82亿</t>
  </si>
  <si>
    <t>887.21万</t>
  </si>
  <si>
    <t>5.79亿</t>
  </si>
  <si>
    <t>789.12万</t>
  </si>
  <si>
    <t>2610.57万</t>
  </si>
  <si>
    <t>2201401亿</t>
  </si>
  <si>
    <t>12.52万</t>
  </si>
  <si>
    <t>4082544亿</t>
  </si>
  <si>
    <t>4.98亿</t>
  </si>
  <si>
    <t>721637750亿</t>
  </si>
  <si>
    <t>2141733900亿</t>
  </si>
  <si>
    <t>2.08亿</t>
  </si>
  <si>
    <t>6.21亿</t>
  </si>
  <si>
    <t>13.32亿</t>
  </si>
  <si>
    <t>3749.00万</t>
  </si>
  <si>
    <t>-5013.60万</t>
  </si>
  <si>
    <t>3918.32万</t>
  </si>
  <si>
    <t>5075.22万</t>
  </si>
  <si>
    <t>25.94亿</t>
  </si>
  <si>
    <t>3417.27万</t>
  </si>
  <si>
    <t>10派0.14元(含税)</t>
  </si>
  <si>
    <t>1273.58万</t>
  </si>
  <si>
    <t>2754.31万</t>
  </si>
  <si>
    <t>21.91亿</t>
  </si>
  <si>
    <t>30.92亿</t>
  </si>
  <si>
    <t>7.74亿</t>
  </si>
  <si>
    <t>5836.75万</t>
  </si>
  <si>
    <t>7.04亿</t>
  </si>
  <si>
    <t>2630.71万</t>
  </si>
  <si>
    <t>4875.38万</t>
  </si>
  <si>
    <t>3384236亿</t>
  </si>
  <si>
    <t>39.30万</t>
  </si>
  <si>
    <t>52495724亿</t>
  </si>
  <si>
    <t>8.86亿</t>
  </si>
  <si>
    <t>961179820亿</t>
  </si>
  <si>
    <t>3517860700亿</t>
  </si>
  <si>
    <t>4.64亿</t>
  </si>
  <si>
    <t>9.14亿</t>
  </si>
  <si>
    <t>20.61亿</t>
  </si>
  <si>
    <t>4192.68万</t>
  </si>
  <si>
    <t>-1.60亿</t>
  </si>
  <si>
    <t>3.27亿</t>
  </si>
  <si>
    <t>36.30亿</t>
  </si>
  <si>
    <t>5-1</t>
  </si>
  <si>
    <t>1892.15万</t>
  </si>
  <si>
    <t>17.15亿</t>
  </si>
  <si>
    <t>12.57亿</t>
  </si>
  <si>
    <t>1851.53万</t>
  </si>
  <si>
    <t>12.38亿</t>
  </si>
  <si>
    <t>2478.32万</t>
  </si>
  <si>
    <t>2610.56万</t>
  </si>
  <si>
    <t>-78827亿</t>
  </si>
  <si>
    <t>18456441亿</t>
  </si>
  <si>
    <t>854186510亿</t>
  </si>
  <si>
    <t>9398.13万</t>
  </si>
  <si>
    <t>2194023300亿</t>
  </si>
  <si>
    <t>352.51万</t>
  </si>
  <si>
    <t>5.16亿</t>
  </si>
  <si>
    <t>14.51亿</t>
  </si>
  <si>
    <t>4740.08万</t>
  </si>
  <si>
    <t>-1.35亿</t>
  </si>
  <si>
    <t>-5711.48万</t>
  </si>
  <si>
    <t>5748.98万</t>
  </si>
  <si>
    <t>49.58亿</t>
  </si>
  <si>
    <t>5487.62万</t>
  </si>
  <si>
    <t>9.11亿</t>
  </si>
  <si>
    <t>018515300</t>
  </si>
  <si>
    <t>055545900</t>
  </si>
  <si>
    <t>0111091800</t>
  </si>
  <si>
    <t>0185153000</t>
  </si>
  <si>
    <t>0370306000</t>
  </si>
  <si>
    <t>2109.15万</t>
  </si>
  <si>
    <t>19.40亿</t>
  </si>
  <si>
    <t>36.50亿</t>
  </si>
  <si>
    <t>15.37亿</t>
  </si>
  <si>
    <t>3524.37万</t>
  </si>
  <si>
    <t>14.98亿</t>
  </si>
  <si>
    <t>13.86亿</t>
  </si>
  <si>
    <t>5533.71万</t>
  </si>
  <si>
    <t>3110.95万</t>
  </si>
  <si>
    <t>-405850亿</t>
  </si>
  <si>
    <t>146.65万</t>
  </si>
  <si>
    <t>33147186亿</t>
  </si>
  <si>
    <t>7.35亿</t>
  </si>
  <si>
    <t>1706354800亿</t>
  </si>
  <si>
    <t>4772856400亿</t>
  </si>
  <si>
    <t>465.42万</t>
  </si>
  <si>
    <t>20.41亿</t>
  </si>
  <si>
    <t>-1999.40万</t>
  </si>
  <si>
    <t>-606.06万</t>
  </si>
  <si>
    <t>7257.30万</t>
  </si>
  <si>
    <t>59.44亿</t>
  </si>
  <si>
    <t>6635.27万</t>
  </si>
  <si>
    <t>035243700</t>
  </si>
  <si>
    <t>0105731100</t>
  </si>
  <si>
    <t>0211462200</t>
  </si>
  <si>
    <t>0352437000</t>
  </si>
  <si>
    <t>0704874000</t>
  </si>
  <si>
    <t>746.90万</t>
  </si>
  <si>
    <t>18.75亿</t>
  </si>
  <si>
    <t>26.84亿</t>
  </si>
  <si>
    <t>23.03亿</t>
  </si>
  <si>
    <t>1409.82万</t>
  </si>
  <si>
    <t>22.41亿</t>
  </si>
  <si>
    <t>21.81亿</t>
  </si>
  <si>
    <t>1091.97万</t>
  </si>
  <si>
    <t>1568.87万</t>
  </si>
  <si>
    <t>19453亿</t>
  </si>
  <si>
    <t>6.24万</t>
  </si>
  <si>
    <t>54479436亿</t>
  </si>
  <si>
    <t>3.66亿</t>
  </si>
  <si>
    <t>950689120亿</t>
  </si>
  <si>
    <t>3789995900亿</t>
  </si>
  <si>
    <t>12.42亿</t>
  </si>
  <si>
    <t>8661.48万</t>
  </si>
  <si>
    <t>20.91亿</t>
  </si>
  <si>
    <t>-5.66亿</t>
  </si>
  <si>
    <t>75.21万</t>
  </si>
  <si>
    <t>112.68亿</t>
  </si>
  <si>
    <t>3.78亿</t>
  </si>
  <si>
    <t>10派1.66元(含税)</t>
  </si>
  <si>
    <t>3924.11万</t>
  </si>
  <si>
    <t>1024.98万</t>
  </si>
  <si>
    <t>5.63亿</t>
  </si>
  <si>
    <t>1216.14万</t>
  </si>
  <si>
    <t>4.96亿</t>
  </si>
  <si>
    <t>1780.02万</t>
  </si>
  <si>
    <t>801.33万</t>
  </si>
  <si>
    <t>-727915亿</t>
  </si>
  <si>
    <t>11959331亿</t>
  </si>
  <si>
    <t>3.10亿</t>
  </si>
  <si>
    <t>660646010亿</t>
  </si>
  <si>
    <t>3742.24万</t>
  </si>
  <si>
    <t>1425747400亿</t>
  </si>
  <si>
    <t>4250.00万</t>
  </si>
  <si>
    <t>4678.49万</t>
  </si>
  <si>
    <t>-1758.69万</t>
  </si>
  <si>
    <t>1320.82万</t>
  </si>
  <si>
    <t>21.60亿</t>
  </si>
  <si>
    <t>3563.22万</t>
  </si>
  <si>
    <t>5982.91万</t>
  </si>
  <si>
    <t>012161400</t>
  </si>
  <si>
    <t>036484200</t>
  </si>
  <si>
    <t>072968400</t>
  </si>
  <si>
    <t>0121614000</t>
  </si>
  <si>
    <t>0243228000</t>
  </si>
  <si>
    <t>6-1</t>
  </si>
  <si>
    <t>131.15万</t>
  </si>
  <si>
    <t>13.22亿</t>
  </si>
  <si>
    <t>6354.27万</t>
  </si>
  <si>
    <t>427.54万</t>
  </si>
  <si>
    <t>7098.85万</t>
  </si>
  <si>
    <t>4060.11万</t>
  </si>
  <si>
    <t>291.56万</t>
  </si>
  <si>
    <t>930.80万</t>
  </si>
  <si>
    <t>4283273亿</t>
  </si>
  <si>
    <t>461925660亿</t>
  </si>
  <si>
    <t>1522336300亿</t>
  </si>
  <si>
    <t>380.35万</t>
  </si>
  <si>
    <t>2.90亿</t>
  </si>
  <si>
    <t>4.71亿</t>
  </si>
  <si>
    <t>-4091.30万</t>
  </si>
  <si>
    <t>-60.35万</t>
  </si>
  <si>
    <t>8292.46万</t>
  </si>
  <si>
    <t>10派3.52元(含税)</t>
  </si>
  <si>
    <t>791.47万</t>
  </si>
  <si>
    <t>6646.22万</t>
  </si>
  <si>
    <t>04275400</t>
  </si>
  <si>
    <t>012826200</t>
  </si>
  <si>
    <t>025652400</t>
  </si>
  <si>
    <t>042754000</t>
  </si>
  <si>
    <t>085508000</t>
  </si>
  <si>
    <t>746.38万</t>
  </si>
  <si>
    <t>8.49亿</t>
  </si>
  <si>
    <t>12.30亿</t>
  </si>
  <si>
    <t>739.14万</t>
  </si>
  <si>
    <t>6.83亿</t>
  </si>
  <si>
    <t>1069.24万</t>
  </si>
  <si>
    <t>1875.43万</t>
  </si>
  <si>
    <t>-2704870亿</t>
  </si>
  <si>
    <t>6722524亿</t>
  </si>
  <si>
    <t>264596170亿</t>
  </si>
  <si>
    <t>395.36万</t>
  </si>
  <si>
    <t>1111112610亿</t>
  </si>
  <si>
    <t>1650.75万</t>
  </si>
  <si>
    <t>600.00万</t>
  </si>
  <si>
    <t>19.92万</t>
  </si>
  <si>
    <t>5.51亿</t>
  </si>
  <si>
    <t>2.01亿</t>
  </si>
  <si>
    <t>-3778.13万</t>
  </si>
  <si>
    <t>-367.11万</t>
  </si>
  <si>
    <t>-2762.64万</t>
  </si>
  <si>
    <t>26.45亿</t>
  </si>
  <si>
    <t>4283.48万</t>
  </si>
  <si>
    <t>4658.10万</t>
  </si>
  <si>
    <t>6.46亿</t>
  </si>
  <si>
    <t>238.98万</t>
  </si>
  <si>
    <t>5.81亿</t>
  </si>
  <si>
    <t>6568.52万</t>
  </si>
  <si>
    <t>20.41万</t>
  </si>
  <si>
    <t>5981.03万</t>
  </si>
  <si>
    <t>4047.70万</t>
  </si>
  <si>
    <t>486.04万</t>
  </si>
  <si>
    <t>481.49万</t>
  </si>
  <si>
    <t>-9645183亿</t>
  </si>
  <si>
    <t>3.79万</t>
  </si>
  <si>
    <t>-2180603亿</t>
  </si>
  <si>
    <t>181558660亿</t>
  </si>
  <si>
    <t>112.19万</t>
  </si>
  <si>
    <t>551257610亿</t>
  </si>
  <si>
    <t>-2283.43万</t>
  </si>
  <si>
    <t>-220.81万</t>
  </si>
  <si>
    <t>2297.34万</t>
  </si>
  <si>
    <t>8971.02万</t>
  </si>
  <si>
    <t>4.00亿</t>
  </si>
  <si>
    <t>1255.57万</t>
  </si>
  <si>
    <t>10派0.3元(含税)</t>
  </si>
  <si>
    <t>1716.45万</t>
  </si>
  <si>
    <t>0204100</t>
  </si>
  <si>
    <t>0612300</t>
  </si>
  <si>
    <t>01224600</t>
  </si>
  <si>
    <t>02041000</t>
  </si>
  <si>
    <t>04082000</t>
  </si>
  <si>
    <t>1410.29万</t>
  </si>
  <si>
    <t>5722.41万</t>
  </si>
  <si>
    <t>9970.93万</t>
  </si>
  <si>
    <t>-727.31万</t>
  </si>
  <si>
    <t>244.52万</t>
  </si>
  <si>
    <t>1325.41万</t>
  </si>
  <si>
    <t>742.9亿</t>
  </si>
  <si>
    <t>16.14万</t>
  </si>
  <si>
    <t>-7747334亿</t>
  </si>
  <si>
    <t>2891.48万</t>
  </si>
  <si>
    <t>3571603亿</t>
  </si>
  <si>
    <t>127218709亿</t>
  </si>
  <si>
    <t>386.69万</t>
  </si>
  <si>
    <t>6513.77万</t>
  </si>
  <si>
    <t>250.85万</t>
  </si>
  <si>
    <t>-5067.85万</t>
  </si>
  <si>
    <t>37.43万</t>
  </si>
  <si>
    <t>6.82亿</t>
  </si>
  <si>
    <t>-2856.97万</t>
  </si>
  <si>
    <t>7929.22万</t>
  </si>
  <si>
    <t>581.84万</t>
  </si>
  <si>
    <t>15.36亿</t>
  </si>
  <si>
    <t>2.11亿</t>
  </si>
  <si>
    <t>901.91万</t>
  </si>
  <si>
    <t>1.64亿</t>
  </si>
  <si>
    <t>1519.76万</t>
  </si>
  <si>
    <t>1373.92万</t>
  </si>
  <si>
    <t>-10914亿</t>
  </si>
  <si>
    <t>1.99万</t>
  </si>
  <si>
    <t>-1363449亿</t>
  </si>
  <si>
    <t>230396370亿</t>
  </si>
  <si>
    <t>1653922900亿</t>
  </si>
  <si>
    <t>1759.14万</t>
  </si>
  <si>
    <t>2.59亿</t>
  </si>
  <si>
    <t>44.22万</t>
  </si>
  <si>
    <t>4877.17万</t>
  </si>
  <si>
    <t>5376.05万</t>
  </si>
  <si>
    <t>-1295.53万</t>
  </si>
  <si>
    <t>609.99万</t>
  </si>
  <si>
    <t>6.76亿</t>
  </si>
  <si>
    <t>-9162.29万</t>
  </si>
  <si>
    <t>5002.29万</t>
  </si>
  <si>
    <t>09019100</t>
  </si>
  <si>
    <t>027057300</t>
  </si>
  <si>
    <t>054114600</t>
  </si>
  <si>
    <t>090191000</t>
  </si>
  <si>
    <t>0180382000</t>
  </si>
  <si>
    <t>1464.13万</t>
  </si>
  <si>
    <t>23.72亿</t>
  </si>
  <si>
    <t>19.88亿</t>
  </si>
  <si>
    <t>13.54亿</t>
  </si>
  <si>
    <t>2213.32万</t>
  </si>
  <si>
    <t>12.84亿</t>
  </si>
  <si>
    <t>11.73亿</t>
  </si>
  <si>
    <t>7526.19万</t>
  </si>
  <si>
    <t>1899.99万</t>
  </si>
  <si>
    <t>-3167535亿</t>
  </si>
  <si>
    <t>518.05万</t>
  </si>
  <si>
    <t>18477528亿</t>
  </si>
  <si>
    <t>1777998000亿</t>
  </si>
  <si>
    <t>7408.20万</t>
  </si>
  <si>
    <t>3553747800亿</t>
  </si>
  <si>
    <t>10.20亿</t>
  </si>
  <si>
    <t>4370.19万</t>
  </si>
  <si>
    <t>542.72万</t>
  </si>
  <si>
    <t>-1.26亿</t>
  </si>
  <si>
    <t>-394.73万</t>
  </si>
  <si>
    <t>51.03亿</t>
  </si>
  <si>
    <t>3399.24万</t>
  </si>
  <si>
    <t>10派0.11元(含税)</t>
  </si>
  <si>
    <t>9925.53万</t>
  </si>
  <si>
    <t>9.10亿</t>
  </si>
  <si>
    <t>2719.41万</t>
  </si>
  <si>
    <t>7.16亿</t>
  </si>
  <si>
    <t>208.93万</t>
  </si>
  <si>
    <t>194.04万</t>
  </si>
  <si>
    <t>1525.83万</t>
  </si>
  <si>
    <t>177617亿</t>
  </si>
  <si>
    <t>57.79万</t>
  </si>
  <si>
    <t>463470亿</t>
  </si>
  <si>
    <t>150111170亿</t>
  </si>
  <si>
    <t>540.37万</t>
  </si>
  <si>
    <t>503287060亿</t>
  </si>
  <si>
    <t>604.61万</t>
  </si>
  <si>
    <t>1.75亿</t>
  </si>
  <si>
    <t>5207.02万</t>
  </si>
  <si>
    <t>5.25亿</t>
  </si>
  <si>
    <t>1.48亿</t>
  </si>
  <si>
    <t>3510.83万</t>
  </si>
  <si>
    <t>-676.12万</t>
  </si>
  <si>
    <t>3061.41万</t>
  </si>
  <si>
    <t>848.93万</t>
  </si>
  <si>
    <t>1130.82万</t>
  </si>
  <si>
    <t>02089300</t>
  </si>
  <si>
    <t>06267900</t>
  </si>
  <si>
    <t>012535800</t>
  </si>
  <si>
    <t>020893000</t>
  </si>
  <si>
    <t>041786000</t>
  </si>
  <si>
    <t>65.33万</t>
  </si>
  <si>
    <t>10.31亿</t>
  </si>
  <si>
    <t>2690.56万</t>
  </si>
  <si>
    <t>1993.60万</t>
  </si>
  <si>
    <t>2382.61万</t>
  </si>
  <si>
    <t>176.93万</t>
  </si>
  <si>
    <t>25790548亿</t>
  </si>
  <si>
    <t>405206700亿</t>
  </si>
  <si>
    <t>3.61亿</t>
  </si>
  <si>
    <t>1125323440亿</t>
  </si>
  <si>
    <t>6319.78万</t>
  </si>
  <si>
    <t>6.50亿</t>
  </si>
  <si>
    <t>-2566.45万</t>
  </si>
  <si>
    <t>-2814.78万</t>
  </si>
  <si>
    <t>683.60万</t>
  </si>
  <si>
    <t>10.60亿</t>
  </si>
  <si>
    <t>338.95万</t>
  </si>
  <si>
    <t>2648.90万</t>
  </si>
  <si>
    <t>218.74万</t>
  </si>
  <si>
    <t>14.17亿</t>
  </si>
  <si>
    <t>12.77亿</t>
  </si>
  <si>
    <t>6.13亿</t>
  </si>
  <si>
    <t>1815.93万</t>
  </si>
  <si>
    <t>5.66亿</t>
  </si>
  <si>
    <t>3069.70万</t>
  </si>
  <si>
    <t>2833.83万</t>
  </si>
  <si>
    <t>-9375744亿</t>
  </si>
  <si>
    <t>87.75万</t>
  </si>
  <si>
    <t>21475772亿</t>
  </si>
  <si>
    <t>5.20亿</t>
  </si>
  <si>
    <t>812535900亿</t>
  </si>
  <si>
    <t>7368.83万</t>
  </si>
  <si>
    <t>2107712700亿</t>
  </si>
  <si>
    <t>380.04万</t>
  </si>
  <si>
    <t>7.88亿</t>
  </si>
  <si>
    <t>7532.21万</t>
  </si>
  <si>
    <t>11.30亿</t>
  </si>
  <si>
    <t>876.48万</t>
  </si>
  <si>
    <t>-2.81亿</t>
  </si>
  <si>
    <t>24.70亿</t>
  </si>
  <si>
    <t>5326.25万</t>
  </si>
  <si>
    <t>2737.10万</t>
  </si>
  <si>
    <t>10转3股派0.7元(含税)</t>
  </si>
  <si>
    <t>1242.66万</t>
  </si>
  <si>
    <t>146.87万</t>
  </si>
  <si>
    <t>19.08亿</t>
  </si>
  <si>
    <t>1817.83万</t>
  </si>
  <si>
    <t>8074.49万</t>
  </si>
  <si>
    <t>6317.88万</t>
  </si>
  <si>
    <t>381.60万</t>
  </si>
  <si>
    <t>704.27万</t>
  </si>
  <si>
    <t>-612139亿</t>
  </si>
  <si>
    <t>17975523亿</t>
  </si>
  <si>
    <t>11.63亿</t>
  </si>
  <si>
    <t>117756918亿</t>
  </si>
  <si>
    <t>2557.76万</t>
  </si>
  <si>
    <t>1462699800亿</t>
  </si>
  <si>
    <t>150.57万</t>
  </si>
  <si>
    <t>4894.43万</t>
  </si>
  <si>
    <t>1961.54万</t>
  </si>
  <si>
    <t>-5220.22万</t>
  </si>
  <si>
    <t>-358.81万</t>
  </si>
  <si>
    <t>1.30亿</t>
  </si>
  <si>
    <t>672.72万</t>
  </si>
  <si>
    <t>7284.32万</t>
  </si>
  <si>
    <t>517.01万</t>
  </si>
  <si>
    <t>10.63亿</t>
  </si>
  <si>
    <t>21.93亿</t>
  </si>
  <si>
    <t>-2164.85万</t>
  </si>
  <si>
    <t>4058.47万</t>
  </si>
  <si>
    <t>6859.28万</t>
  </si>
  <si>
    <t>7927354亿</t>
  </si>
  <si>
    <t>195.26万</t>
  </si>
  <si>
    <t>-20961532亿</t>
  </si>
  <si>
    <t>526592670亿</t>
  </si>
  <si>
    <t>1.44亿</t>
  </si>
  <si>
    <t>2193361000亿</t>
  </si>
  <si>
    <t>7970.00万</t>
  </si>
  <si>
    <t>1547.65万</t>
  </si>
  <si>
    <t>153.76万</t>
  </si>
  <si>
    <t>9.48亿</t>
  </si>
  <si>
    <t>-7131.88万</t>
  </si>
  <si>
    <t>78.98万</t>
  </si>
  <si>
    <t>-5558.63万</t>
  </si>
  <si>
    <t>23.32亿</t>
  </si>
  <si>
    <t>4990.77万</t>
  </si>
  <si>
    <t>10派0.12元(含税)</t>
  </si>
  <si>
    <t>2479.08万</t>
  </si>
  <si>
    <t>1.62亿</t>
  </si>
  <si>
    <t>762.45万</t>
  </si>
  <si>
    <t>11.43亿</t>
  </si>
  <si>
    <t>18.80亿</t>
  </si>
  <si>
    <t>3.87亿</t>
  </si>
  <si>
    <t>2525.71万</t>
  </si>
  <si>
    <t>595.88万</t>
  </si>
  <si>
    <t>2039.98万</t>
  </si>
  <si>
    <t>-3736890亿</t>
  </si>
  <si>
    <t>20374749亿</t>
  </si>
  <si>
    <t>960039400亿</t>
  </si>
  <si>
    <t>1971154000亿</t>
  </si>
  <si>
    <t>418.00万</t>
  </si>
  <si>
    <t>4.82亿</t>
  </si>
  <si>
    <t>740.71万</t>
  </si>
  <si>
    <t>8.76亿</t>
  </si>
  <si>
    <t>-1834.59万</t>
  </si>
  <si>
    <t>-4128.70万</t>
  </si>
  <si>
    <t>1741.19万</t>
  </si>
  <si>
    <t>13.17亿</t>
  </si>
  <si>
    <t>9271.32万</t>
  </si>
  <si>
    <t>3884.91万</t>
  </si>
  <si>
    <t>5.54亿</t>
  </si>
  <si>
    <t>025257100</t>
  </si>
  <si>
    <t>075771300</t>
  </si>
  <si>
    <t>0151542600</t>
  </si>
  <si>
    <t>0252571000</t>
  </si>
  <si>
    <t>0505142000</t>
  </si>
  <si>
    <t>230.93万</t>
  </si>
  <si>
    <t>9.40亿</t>
  </si>
  <si>
    <t>13.23亿</t>
  </si>
  <si>
    <t>4.32亿</t>
  </si>
  <si>
    <t>1806.06万</t>
  </si>
  <si>
    <t>4.08亿</t>
  </si>
  <si>
    <t>3.15亿</t>
  </si>
  <si>
    <t>3584.71万</t>
  </si>
  <si>
    <t>2220.43万</t>
  </si>
  <si>
    <t>1864391亿</t>
  </si>
  <si>
    <t>95.89万</t>
  </si>
  <si>
    <t>15977449亿</t>
  </si>
  <si>
    <t>557586350亿</t>
  </si>
  <si>
    <t>40.10万</t>
  </si>
  <si>
    <t>1687753400亿</t>
  </si>
  <si>
    <t>2268.84万</t>
  </si>
  <si>
    <t>6600.00万</t>
  </si>
  <si>
    <t>5132.19万</t>
  </si>
  <si>
    <t>-951.44万</t>
  </si>
  <si>
    <t>-674.21万</t>
  </si>
  <si>
    <t>18.49亿</t>
  </si>
  <si>
    <t>5919.58万</t>
  </si>
  <si>
    <t>1188.25万</t>
  </si>
  <si>
    <t>018060600</t>
  </si>
  <si>
    <t>054181800</t>
  </si>
  <si>
    <t>0108363600</t>
  </si>
  <si>
    <t>0180606000</t>
  </si>
  <si>
    <t>0361212000</t>
  </si>
  <si>
    <t>107.25万</t>
  </si>
  <si>
    <t>1.94亿</t>
  </si>
  <si>
    <t>4126.45万</t>
  </si>
  <si>
    <t>9391.07万</t>
  </si>
  <si>
    <t>6202.80万</t>
  </si>
  <si>
    <t>943.27万</t>
  </si>
  <si>
    <t>1076.99万</t>
  </si>
  <si>
    <t>4983900亿</t>
  </si>
  <si>
    <t>34816404亿</t>
  </si>
  <si>
    <t>3.47亿</t>
  </si>
  <si>
    <t>164628350亿</t>
  </si>
  <si>
    <t>772929120亿</t>
  </si>
  <si>
    <t>3297.92万</t>
  </si>
  <si>
    <t>7858.42万</t>
  </si>
  <si>
    <t>7120.12万</t>
  </si>
  <si>
    <t>2920.34万</t>
  </si>
  <si>
    <t>-5291.05万</t>
  </si>
  <si>
    <t>5.11亿</t>
  </si>
  <si>
    <t>10派3.6元(含税)</t>
  </si>
  <si>
    <t>796.92万</t>
  </si>
  <si>
    <t>7464.79万</t>
  </si>
  <si>
    <t>041264500</t>
  </si>
  <si>
    <t>0123793500</t>
  </si>
  <si>
    <t>0247587000</t>
  </si>
  <si>
    <t>0412645000</t>
  </si>
  <si>
    <t>0825290000</t>
  </si>
  <si>
    <t>199.01万</t>
  </si>
  <si>
    <t>11.36亿</t>
  </si>
  <si>
    <t>416.06万</t>
  </si>
  <si>
    <t>478.97万</t>
  </si>
  <si>
    <t>1757.45万</t>
  </si>
  <si>
    <t>58047亿</t>
  </si>
  <si>
    <t>5.90万</t>
  </si>
  <si>
    <t>3191986亿</t>
  </si>
  <si>
    <t>4.02亿</t>
  </si>
  <si>
    <t>324007490亿</t>
  </si>
  <si>
    <t>5436.37万</t>
  </si>
  <si>
    <t>1524251300亿</t>
  </si>
  <si>
    <t>1794.81万</t>
  </si>
  <si>
    <t>4.65亿</t>
  </si>
  <si>
    <t>-3486.57万</t>
  </si>
  <si>
    <t>-3.85亿</t>
  </si>
  <si>
    <t>6419.00万</t>
  </si>
  <si>
    <t>10派2.3元(含税)</t>
  </si>
  <si>
    <t>841.12万</t>
  </si>
  <si>
    <t>5006.52万</t>
  </si>
  <si>
    <t>04160600</t>
  </si>
  <si>
    <t>012481800</t>
  </si>
  <si>
    <t>024963600</t>
  </si>
  <si>
    <t>041606000</t>
  </si>
  <si>
    <t>083212000</t>
  </si>
  <si>
    <t>-6-0</t>
  </si>
  <si>
    <t>71.76万</t>
  </si>
  <si>
    <t>859.25万</t>
  </si>
  <si>
    <t>9817.76万</t>
  </si>
  <si>
    <t>7961.97万</t>
  </si>
  <si>
    <t>347.73万</t>
  </si>
  <si>
    <t>920.36万</t>
  </si>
  <si>
    <t>201010亿</t>
  </si>
  <si>
    <t>8291950亿</t>
  </si>
  <si>
    <t>67414995亿</t>
  </si>
  <si>
    <t>582870950亿</t>
  </si>
  <si>
    <t>9721.29万</t>
  </si>
  <si>
    <t>9935.17万</t>
  </si>
  <si>
    <t>1497.21万</t>
  </si>
  <si>
    <t>4455.97万</t>
  </si>
  <si>
    <t>677.17万</t>
  </si>
  <si>
    <t>-1.38亿</t>
  </si>
  <si>
    <t>-2535.92万</t>
  </si>
  <si>
    <t>-1277.95万</t>
  </si>
  <si>
    <t>411.95万</t>
  </si>
  <si>
    <t>3655.57万</t>
  </si>
  <si>
    <t>08592500</t>
  </si>
  <si>
    <t>025777500</t>
  </si>
  <si>
    <t>051555000</t>
  </si>
  <si>
    <t>085925000</t>
  </si>
  <si>
    <t>0171850000</t>
  </si>
  <si>
    <t>177.02万</t>
  </si>
  <si>
    <t>14.40亿</t>
  </si>
  <si>
    <t>20.23亿</t>
  </si>
  <si>
    <t>4169.03万</t>
  </si>
  <si>
    <t>1030.17万</t>
  </si>
  <si>
    <t>2933.55万</t>
  </si>
  <si>
    <t>207143亿</t>
  </si>
  <si>
    <t>40777453亿</t>
  </si>
  <si>
    <t>10.04亿</t>
  </si>
  <si>
    <t>563186590亿</t>
  </si>
  <si>
    <t>2598888200亿</t>
  </si>
  <si>
    <t>6.63亿</t>
  </si>
  <si>
    <t>13.48亿</t>
  </si>
  <si>
    <t>2.15亿</t>
  </si>
  <si>
    <t>-6403.09万</t>
  </si>
  <si>
    <t>-7968.17万</t>
  </si>
  <si>
    <t>15.55亿</t>
  </si>
  <si>
    <t>830.88万</t>
  </si>
  <si>
    <t>6843.51万</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</si>
</sst>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宋体"/>
      <family val="2"/>
      <charset val="134"/>
      <scheme val="minor"/>
    </font>
    <font>
      <sz val="9"/>
      <name val="宋体"/>
      <family val="2"/>
      <charset val="134"/>
      <scheme val="minor"/>
    </font>
    <font>
      <sz val="11"/>
      <color indexed="8"/>
      <name val="Calibri"/>
      <family val="2"/>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9"/>
      <color theme="1"/>
      <name val="宋体"/>
      <family val="3"/>
      <charset val="134"/>
      <scheme val="minor"/>
    </font>
    <font>
      <sz val="9"/>
      <color theme="1"/>
      <name val="宋体"/>
      <family val="2"/>
      <charset val="134"/>
      <scheme val="minor"/>
    </font>
    <font>
      <sz val="11"/>
      <name val="宋体"/>
      <family val="2"/>
      <charset val="134"/>
      <scheme val="minor"/>
    </font>
    <font>
      <sz val="9"/>
      <color rgb="FFFF0000"/>
      <name val="宋体"/>
      <family val="3"/>
      <charset val="134"/>
      <scheme val="minor"/>
    </font>
    <font>
      <b/>
      <sz val="9"/>
      <color rgb="FFFF0000"/>
      <name val="宋体"/>
      <family val="3"/>
      <charset val="134"/>
      <scheme val="minor"/>
    </font>
    <font>
      <sz val="9"/>
      <name val="宋体"/>
      <family val="3"/>
      <charset val="134"/>
      <scheme val="minor"/>
    </font>
    <font>
      <sz val="11"/>
      <color rgb="FF000000"/>
      <name val="宋体"/>
      <family val="3"/>
      <charset val="134"/>
    </font>
  </fonts>
  <fills count="37">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5"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2" fillId="0" borderId="0" applyFill="0" applyProtection="0"/>
    <xf numFmtId="0" fontId="2" fillId="0" borderId="0" applyFill="0" applyProtection="0"/>
    <xf numFmtId="0" fontId="4" fillId="0" borderId="0" applyNumberFormat="0" applyFill="0" applyBorder="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7" fillId="0" borderId="4" applyNumberFormat="0" applyFill="0" applyAlignment="0" applyProtection="0">
      <alignment vertical="center"/>
    </xf>
    <xf numFmtId="0" fontId="7" fillId="0" borderId="0" applyNumberFormat="0" applyFill="0" applyBorder="0" applyAlignment="0" applyProtection="0">
      <alignment vertical="center"/>
    </xf>
    <xf numFmtId="0" fontId="8" fillId="4" borderId="0" applyNumberFormat="0" applyBorder="0" applyAlignment="0" applyProtection="0">
      <alignment vertical="center"/>
    </xf>
    <xf numFmtId="0" fontId="9" fillId="5" borderId="0" applyNumberFormat="0" applyBorder="0" applyAlignment="0" applyProtection="0">
      <alignment vertical="center"/>
    </xf>
    <xf numFmtId="0" fontId="10" fillId="6" borderId="0" applyNumberFormat="0" applyBorder="0" applyAlignment="0" applyProtection="0">
      <alignment vertical="center"/>
    </xf>
    <xf numFmtId="0" fontId="11" fillId="7" borderId="5" applyNumberFormat="0" applyAlignment="0" applyProtection="0">
      <alignment vertical="center"/>
    </xf>
    <xf numFmtId="0" fontId="12" fillId="8" borderId="6" applyNumberFormat="0" applyAlignment="0" applyProtection="0">
      <alignment vertical="center"/>
    </xf>
    <xf numFmtId="0" fontId="13" fillId="8" borderId="5" applyNumberFormat="0" applyAlignment="0" applyProtection="0">
      <alignment vertical="center"/>
    </xf>
    <xf numFmtId="0" fontId="14" fillId="0" borderId="7" applyNumberFormat="0" applyFill="0" applyAlignment="0" applyProtection="0">
      <alignment vertical="center"/>
    </xf>
    <xf numFmtId="0" fontId="15" fillId="9" borderId="8" applyNumberFormat="0" applyAlignment="0" applyProtection="0">
      <alignment vertical="center"/>
    </xf>
    <xf numFmtId="0" fontId="16" fillId="0" borderId="0" applyNumberFormat="0" applyFill="0" applyBorder="0" applyAlignment="0" applyProtection="0">
      <alignment vertical="center"/>
    </xf>
    <xf numFmtId="0" fontId="3" fillId="10" borderId="9" applyNumberFormat="0" applyFont="0" applyAlignment="0" applyProtection="0">
      <alignment vertical="center"/>
    </xf>
    <xf numFmtId="0" fontId="17" fillId="0" borderId="0" applyNumberFormat="0" applyFill="0" applyBorder="0" applyAlignment="0" applyProtection="0">
      <alignment vertical="center"/>
    </xf>
    <xf numFmtId="0" fontId="18" fillId="0" borderId="10" applyNumberFormat="0" applyFill="0" applyAlignment="0" applyProtection="0">
      <alignment vertical="center"/>
    </xf>
    <xf numFmtId="0" fontId="19" fillId="11" borderId="0" applyNumberFormat="0" applyBorder="0" applyAlignment="0" applyProtection="0">
      <alignment vertical="center"/>
    </xf>
    <xf numFmtId="0" fontId="3" fillId="12" borderId="0" applyNumberFormat="0" applyBorder="0" applyAlignment="0" applyProtection="0">
      <alignment vertical="center"/>
    </xf>
    <xf numFmtId="0" fontId="3" fillId="13" borderId="0" applyNumberFormat="0" applyBorder="0" applyAlignment="0" applyProtection="0">
      <alignment vertical="center"/>
    </xf>
    <xf numFmtId="0" fontId="19" fillId="14" borderId="0" applyNumberFormat="0" applyBorder="0" applyAlignment="0" applyProtection="0">
      <alignment vertical="center"/>
    </xf>
    <xf numFmtId="0" fontId="19"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3" fillId="20" borderId="0" applyNumberFormat="0" applyBorder="0" applyAlignment="0" applyProtection="0">
      <alignment vertical="center"/>
    </xf>
    <xf numFmtId="0" fontId="3" fillId="21" borderId="0" applyNumberFormat="0" applyBorder="0" applyAlignment="0" applyProtection="0">
      <alignment vertical="center"/>
    </xf>
    <xf numFmtId="0" fontId="19" fillId="22" borderId="0" applyNumberFormat="0" applyBorder="0" applyAlignment="0" applyProtection="0">
      <alignment vertical="center"/>
    </xf>
    <xf numFmtId="0" fontId="19" fillId="23" borderId="0" applyNumberFormat="0" applyBorder="0" applyAlignment="0" applyProtection="0">
      <alignment vertical="center"/>
    </xf>
    <xf numFmtId="0" fontId="3" fillId="24" borderId="0" applyNumberFormat="0" applyBorder="0" applyAlignment="0" applyProtection="0">
      <alignment vertical="center"/>
    </xf>
    <xf numFmtId="0" fontId="3"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3" fillId="28" borderId="0" applyNumberFormat="0" applyBorder="0" applyAlignment="0" applyProtection="0">
      <alignment vertical="center"/>
    </xf>
    <xf numFmtId="0" fontId="3" fillId="29" borderId="0" applyNumberFormat="0" applyBorder="0" applyAlignment="0" applyProtection="0">
      <alignment vertical="center"/>
    </xf>
    <xf numFmtId="0" fontId="19" fillId="30" borderId="0" applyNumberFormat="0" applyBorder="0" applyAlignment="0" applyProtection="0">
      <alignment vertical="center"/>
    </xf>
    <xf numFmtId="0" fontId="19" fillId="31" borderId="0" applyNumberFormat="0" applyBorder="0" applyAlignment="0" applyProtection="0">
      <alignment vertical="center"/>
    </xf>
    <xf numFmtId="0" fontId="3" fillId="32" borderId="0" applyNumberFormat="0" applyBorder="0" applyAlignment="0" applyProtection="0">
      <alignment vertical="center"/>
    </xf>
    <xf numFmtId="0" fontId="3" fillId="33" borderId="0" applyNumberFormat="0" applyBorder="0" applyAlignment="0" applyProtection="0">
      <alignment vertical="center"/>
    </xf>
    <xf numFmtId="0" fontId="19" fillId="34" borderId="0" applyNumberFormat="0" applyBorder="0" applyAlignment="0" applyProtection="0">
      <alignment vertical="center"/>
    </xf>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lignment vertical="center"/>
    </xf>
    <xf numFmtId="9" fontId="0" fillId="0" borderId="0" xfId="0" applyNumberFormat="1">
      <alignment vertical="center"/>
    </xf>
    <xf numFmtId="10" fontId="0" fillId="0" borderId="0" xfId="0" applyNumberFormat="1">
      <alignment vertical="center"/>
    </xf>
    <xf numFmtId="0" fontId="0" fillId="0" borderId="1" xfId="0" applyNumberFormat="1" applyFill="1" applyBorder="1" applyAlignment="1">
      <alignment vertical="center" wrapText="1"/>
    </xf>
    <xf numFmtId="0" fontId="20" fillId="0" borderId="0" xfId="0" applyFont="1" applyAlignment="1">
      <alignment vertical="center" wrapText="1"/>
    </xf>
    <xf numFmtId="0" fontId="0" fillId="3" borderId="1" xfId="0" applyNumberFormat="1" applyFill="1" applyBorder="1" applyAlignment="1">
      <alignment vertical="center" wrapText="1"/>
    </xf>
    <xf numFmtId="0" fontId="21" fillId="0" borderId="0" xfId="0" applyFont="1" applyAlignment="1">
      <alignment vertical="center" wrapText="1"/>
    </xf>
    <xf numFmtId="0" fontId="0" fillId="35" borderId="0" xfId="0" applyFill="1">
      <alignment vertical="center"/>
    </xf>
    <xf numFmtId="0" fontId="0" fillId="36" borderId="0" xfId="0" applyFill="1">
      <alignment vertical="center"/>
    </xf>
    <xf numFmtId="0" fontId="22" fillId="0" borderId="0" xfId="0" applyFont="1">
      <alignment vertical="center"/>
    </xf>
    <xf numFmtId="0" fontId="16" fillId="0" borderId="0" xfId="0" applyFont="1">
      <alignment vertical="center"/>
    </xf>
    <xf numFmtId="0" fontId="22"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44">
    <cellStyle name="20% - 着色 1" xfId="21" builtinId="30" customBuiltin="1"/>
    <cellStyle name="20% - 着色 2" xfId="25" builtinId="34" customBuiltin="1"/>
    <cellStyle name="20% - 着色 3" xfId="29" builtinId="38" customBuiltin="1"/>
    <cellStyle name="20% - 着色 4" xfId="33" builtinId="42" customBuiltin="1"/>
    <cellStyle name="20% - 着色 5" xfId="37" builtinId="46" customBuiltin="1"/>
    <cellStyle name="20% - 着色 6" xfId="41" builtinId="50" customBuiltin="1"/>
    <cellStyle name="40% - 着色 1" xfId="22" builtinId="31" customBuiltin="1"/>
    <cellStyle name="40% - 着色 2" xfId="26" builtinId="35" customBuiltin="1"/>
    <cellStyle name="40% - 着色 3" xfId="30" builtinId="39" customBuiltin="1"/>
    <cellStyle name="40% - 着色 4" xfId="34" builtinId="43" customBuiltin="1"/>
    <cellStyle name="40% - 着色 5" xfId="38" builtinId="47" customBuiltin="1"/>
    <cellStyle name="40% - 着色 6" xfId="42" builtinId="51" customBuiltin="1"/>
    <cellStyle name="60% - 着色 1" xfId="23" builtinId="32" customBuiltin="1"/>
    <cellStyle name="60% - 着色 2" xfId="27" builtinId="36" customBuiltin="1"/>
    <cellStyle name="60% - 着色 3" xfId="31" builtinId="40" customBuiltin="1"/>
    <cellStyle name="60% - 着色 4" xfId="35" builtinId="44" customBuiltin="1"/>
    <cellStyle name="60% - 着色 5" xfId="39" builtinId="48" customBuiltin="1"/>
    <cellStyle name="60% - 着色 6" xfId="43" builtinId="52" customBuiltin="1"/>
    <cellStyle name="Normal 2" xfId="2"/>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9" builtinId="27" customBuiltin="1"/>
    <cellStyle name="常规" xfId="0" builtinId="0"/>
    <cellStyle name="常规 2" xfId="1"/>
    <cellStyle name="好" xfId="8" builtinId="26" customBuiltin="1"/>
    <cellStyle name="汇总" xfId="19" builtinId="25" customBuiltin="1"/>
    <cellStyle name="计算" xfId="13" builtinId="22" customBuiltin="1"/>
    <cellStyle name="检查单元格" xfId="15" builtinId="23" customBuiltin="1"/>
    <cellStyle name="解释性文本" xfId="18" builtinId="53" customBuiltin="1"/>
    <cellStyle name="警告文本" xfId="16" builtinId="11" customBuiltin="1"/>
    <cellStyle name="链接单元格" xfId="14" builtinId="24" customBuiltin="1"/>
    <cellStyle name="适中" xfId="10" builtinId="28" customBuiltin="1"/>
    <cellStyle name="输出" xfId="12" builtinId="21" customBuiltin="1"/>
    <cellStyle name="输入" xfId="11" builtinId="20" customBuiltin="1"/>
    <cellStyle name="着色 1" xfId="20" builtinId="29" customBuiltin="1"/>
    <cellStyle name="着色 2" xfId="24" builtinId="33" customBuiltin="1"/>
    <cellStyle name="着色 3" xfId="28" builtinId="37" customBuiltin="1"/>
    <cellStyle name="着色 4" xfId="32" builtinId="41" customBuiltin="1"/>
    <cellStyle name="着色 5" xfId="36" builtinId="45" customBuiltin="1"/>
    <cellStyle name="着色 6" xfId="40" builtinId="49" customBuiltin="1"/>
    <cellStyle name="注释" xfId="17"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196850</xdr:colOff>
          <xdr:row>0</xdr:row>
          <xdr:rowOff>50800</xdr:rowOff>
        </xdr:from>
        <xdr:to>
          <xdr:col>147</xdr:col>
          <xdr:colOff>1327150</xdr:colOff>
          <xdr:row>0</xdr:row>
          <xdr:rowOff>412750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13"/>
  <sheetViews>
    <sheetView tabSelected="1" zoomScale="85" zoomScaleNormal="85" workbookViewId="0">
      <pane xSplit="5" ySplit="1" topLeftCell="F32" activePane="bottomRight" state="frozen"/>
      <selection pane="topRight" activeCell="F1" sqref="F1"/>
      <selection pane="bottomLeft" activeCell="A2" sqref="A2"/>
      <selection pane="bottomRight" activeCell="D36" sqref="D36:EP36"/>
    </sheetView>
  </sheetViews>
  <sheetFormatPr defaultColWidth="8.81640625" defaultRowHeight="14" x14ac:dyDescent="0.25"/>
  <cols>
    <col min="1" max="1" width="34.6328125" style="7" customWidth="1"/>
    <col min="2" max="2" width="38.7265625" style="7" customWidth="1"/>
    <col min="3" max="3" width="45.36328125" style="7" customWidth="1"/>
    <col min="4" max="4" width="8.81640625" style="3"/>
    <col min="5" max="5" width="14.54296875" style="3" customWidth="1"/>
    <col min="6" max="8" width="8.81640625" style="3"/>
    <col min="9" max="9" width="14.1796875" style="3" customWidth="1"/>
    <col min="10" max="13" width="8.81640625" style="3"/>
    <col min="14" max="14" width="10.54296875" style="3" customWidth="1"/>
    <col min="15" max="15" width="10.36328125" style="3" customWidth="1"/>
    <col min="16" max="16" width="12.453125" style="3" customWidth="1"/>
    <col min="17" max="18" width="8.81640625" style="3"/>
    <col min="19" max="19" width="16.453125" style="3" customWidth="1"/>
    <col min="20" max="21" width="8.81640625" style="3"/>
    <col min="22" max="22" width="9.54296875" style="3" customWidth="1"/>
    <col min="23" max="26" width="8.81640625" style="3"/>
    <col min="27" max="27" width="14" style="3" customWidth="1"/>
    <col min="28" max="33" width="8.81640625" style="3"/>
    <col min="34" max="34" width="13.36328125" style="3" customWidth="1"/>
    <col min="35" max="147" width="8.81640625" style="3"/>
    <col min="148" max="148" width="21.36328125" style="3" customWidth="1"/>
    <col min="149" max="16384" width="8.81640625" style="3"/>
  </cols>
  <sheetData>
    <row r="1" spans="1:146" ht="37" customHeight="1" x14ac:dyDescent="0.25">
      <c r="A1" s="6" t="s">
        <v>4</v>
      </c>
      <c r="B1" s="8" t="s">
        <v>5</v>
      </c>
      <c r="C1" s="6" t="s">
        <v>3</v>
      </c>
      <c r="D1" s="3" t="s">
        <v>292</v>
      </c>
      <c r="E1" s="3" t="s">
        <v>355</v>
      </c>
      <c r="F1" s="3" t="s">
        <v>19</v>
      </c>
      <c r="G1" s="3" t="s">
        <v>293</v>
      </c>
      <c r="H1" s="3" t="s">
        <v>446</v>
      </c>
      <c r="I1" s="3" t="s">
        <v>20</v>
      </c>
      <c r="J1" s="3" t="s">
        <v>21</v>
      </c>
      <c r="K1" s="3" t="s">
        <v>22</v>
      </c>
      <c r="L1" s="3" t="s">
        <v>23</v>
      </c>
      <c r="M1" s="3" t="s">
        <v>24</v>
      </c>
      <c r="N1" s="3" t="s">
        <v>25</v>
      </c>
      <c r="O1" s="3" t="s">
        <v>26</v>
      </c>
      <c r="P1" s="3" t="s">
        <v>447</v>
      </c>
      <c r="Q1" s="3" t="s">
        <v>375</v>
      </c>
      <c r="R1" s="3" t="s">
        <v>356</v>
      </c>
      <c r="S1" s="3" t="s">
        <v>27</v>
      </c>
      <c r="T1" s="3" t="s">
        <v>448</v>
      </c>
      <c r="U1" s="3" t="s">
        <v>294</v>
      </c>
      <c r="V1" s="3" t="s">
        <v>28</v>
      </c>
      <c r="W1" s="3" t="s">
        <v>376</v>
      </c>
      <c r="X1" s="3" t="s">
        <v>377</v>
      </c>
      <c r="Y1" s="3" t="s">
        <v>378</v>
      </c>
      <c r="Z1" s="3" t="s">
        <v>379</v>
      </c>
      <c r="AA1" s="3" t="s">
        <v>380</v>
      </c>
      <c r="AB1" s="3" t="s">
        <v>449</v>
      </c>
      <c r="AC1" s="3" t="s">
        <v>381</v>
      </c>
      <c r="AD1" s="3" t="s">
        <v>382</v>
      </c>
      <c r="AE1" s="3" t="s">
        <v>29</v>
      </c>
      <c r="AF1" s="3" t="s">
        <v>30</v>
      </c>
      <c r="AG1" s="3" t="s">
        <v>450</v>
      </c>
      <c r="AH1" s="3" t="s">
        <v>357</v>
      </c>
      <c r="AI1" s="3" t="s">
        <v>451</v>
      </c>
      <c r="AJ1" s="3" t="s">
        <v>31</v>
      </c>
      <c r="AK1" s="3" t="s">
        <v>452</v>
      </c>
      <c r="AL1" s="3" t="s">
        <v>32</v>
      </c>
      <c r="AM1" s="3" t="s">
        <v>453</v>
      </c>
      <c r="AN1" s="3" t="s">
        <v>454</v>
      </c>
      <c r="AO1" s="3" t="s">
        <v>455</v>
      </c>
      <c r="AP1" s="3" t="s">
        <v>456</v>
      </c>
      <c r="AQ1" s="3" t="s">
        <v>457</v>
      </c>
      <c r="AR1" s="3" t="s">
        <v>458</v>
      </c>
      <c r="AS1" s="3" t="s">
        <v>459</v>
      </c>
      <c r="AT1" s="3" t="s">
        <v>460</v>
      </c>
      <c r="AU1" s="3" t="s">
        <v>461</v>
      </c>
      <c r="AV1" s="3" t="s">
        <v>462</v>
      </c>
      <c r="AW1" s="3" t="s">
        <v>463</v>
      </c>
      <c r="AX1" s="3" t="s">
        <v>358</v>
      </c>
      <c r="AY1" s="3" t="s">
        <v>33</v>
      </c>
      <c r="AZ1" s="3" t="s">
        <v>34</v>
      </c>
      <c r="BA1" s="3" t="s">
        <v>35</v>
      </c>
      <c r="BB1" s="3" t="s">
        <v>36</v>
      </c>
      <c r="BC1" s="3" t="s">
        <v>295</v>
      </c>
      <c r="BD1" s="3" t="s">
        <v>37</v>
      </c>
      <c r="BE1" s="3" t="s">
        <v>38</v>
      </c>
      <c r="BF1" s="3" t="s">
        <v>39</v>
      </c>
      <c r="BG1" s="3" t="s">
        <v>40</v>
      </c>
      <c r="BH1" s="3" t="s">
        <v>464</v>
      </c>
      <c r="BI1" s="3" t="s">
        <v>465</v>
      </c>
      <c r="BJ1" s="3" t="s">
        <v>466</v>
      </c>
      <c r="BK1" s="3" t="s">
        <v>467</v>
      </c>
      <c r="BL1" s="3" t="s">
        <v>468</v>
      </c>
      <c r="BM1" s="3" t="s">
        <v>469</v>
      </c>
      <c r="BN1" s="3" t="s">
        <v>359</v>
      </c>
      <c r="BO1" s="3" t="s">
        <v>296</v>
      </c>
      <c r="BP1" s="3" t="s">
        <v>41</v>
      </c>
      <c r="BQ1" s="3" t="s">
        <v>360</v>
      </c>
      <c r="BR1" s="3" t="s">
        <v>297</v>
      </c>
      <c r="BS1" s="3" t="s">
        <v>42</v>
      </c>
      <c r="BT1" s="3" t="s">
        <v>470</v>
      </c>
      <c r="BU1" s="3" t="s">
        <v>383</v>
      </c>
      <c r="BV1" s="3" t="s">
        <v>471</v>
      </c>
      <c r="BW1" s="3" t="s">
        <v>43</v>
      </c>
      <c r="BX1" s="3" t="s">
        <v>44</v>
      </c>
      <c r="BY1" s="3" t="s">
        <v>472</v>
      </c>
      <c r="BZ1" s="3" t="s">
        <v>45</v>
      </c>
      <c r="CA1" s="3" t="s">
        <v>46</v>
      </c>
      <c r="CB1" s="3" t="s">
        <v>473</v>
      </c>
      <c r="CC1" s="3" t="s">
        <v>474</v>
      </c>
      <c r="CD1" s="3" t="s">
        <v>475</v>
      </c>
      <c r="CE1" s="3" t="s">
        <v>476</v>
      </c>
      <c r="CF1" s="1" t="s">
        <v>361</v>
      </c>
      <c r="CG1" s="1" t="s">
        <v>362</v>
      </c>
      <c r="CH1" s="1" t="s">
        <v>6</v>
      </c>
      <c r="CI1" s="1" t="s">
        <v>7</v>
      </c>
      <c r="CJ1" s="1" t="s">
        <v>8</v>
      </c>
      <c r="CK1" s="1" t="s">
        <v>9</v>
      </c>
      <c r="CL1" s="1" t="s">
        <v>10</v>
      </c>
      <c r="CM1" s="1" t="s">
        <v>11</v>
      </c>
      <c r="CN1" s="1" t="s">
        <v>12</v>
      </c>
      <c r="CO1" s="1" t="s">
        <v>13</v>
      </c>
      <c r="CP1" s="1" t="s">
        <v>14</v>
      </c>
      <c r="CQ1" s="1" t="s">
        <v>15</v>
      </c>
      <c r="CR1" s="1" t="s">
        <v>477</v>
      </c>
      <c r="CS1" s="1" t="s">
        <v>478</v>
      </c>
      <c r="CT1" s="1" t="s">
        <v>479</v>
      </c>
      <c r="CU1" s="1" t="s">
        <v>480</v>
      </c>
      <c r="CV1" s="1" t="s">
        <v>481</v>
      </c>
      <c r="CW1" s="1" t="s">
        <v>482</v>
      </c>
      <c r="CX1" s="3">
        <v>1</v>
      </c>
      <c r="CY1" s="3" t="s">
        <v>483</v>
      </c>
      <c r="CZ1" s="3" t="s">
        <v>484</v>
      </c>
      <c r="DA1" s="3">
        <v>3</v>
      </c>
      <c r="DB1" s="3" t="s">
        <v>485</v>
      </c>
      <c r="DC1" s="3" t="s">
        <v>486</v>
      </c>
      <c r="DD1" s="3">
        <v>6</v>
      </c>
      <c r="DE1" s="3" t="s">
        <v>487</v>
      </c>
      <c r="DF1" s="3" t="s">
        <v>427</v>
      </c>
      <c r="DG1" s="3">
        <v>10</v>
      </c>
      <c r="DH1" s="3" t="s">
        <v>488</v>
      </c>
      <c r="DI1" s="3" t="s">
        <v>489</v>
      </c>
      <c r="DJ1" s="3">
        <v>20</v>
      </c>
      <c r="DK1" s="3" t="s">
        <v>490</v>
      </c>
      <c r="DL1" s="3" t="s">
        <v>16</v>
      </c>
      <c r="DM1" s="3" t="s">
        <v>17</v>
      </c>
      <c r="DN1" s="2" t="s">
        <v>18</v>
      </c>
      <c r="DO1" s="3" t="s">
        <v>491</v>
      </c>
      <c r="DP1" s="3" t="s">
        <v>492</v>
      </c>
      <c r="DQ1" s="14" t="s">
        <v>493</v>
      </c>
      <c r="DR1" s="1" t="s">
        <v>494</v>
      </c>
      <c r="DS1" s="1" t="s">
        <v>495</v>
      </c>
      <c r="DT1" s="3" t="s">
        <v>496</v>
      </c>
      <c r="DU1" s="3" t="s">
        <v>497</v>
      </c>
      <c r="DV1" s="3" t="s">
        <v>498</v>
      </c>
      <c r="DW1" s="3" t="s">
        <v>499</v>
      </c>
      <c r="DX1" s="3" t="s">
        <v>500</v>
      </c>
      <c r="DY1" s="3" t="s">
        <v>501</v>
      </c>
      <c r="DZ1" s="3" t="s">
        <v>502</v>
      </c>
      <c r="EA1" s="3" t="s">
        <v>503</v>
      </c>
      <c r="EB1" s="3" t="s">
        <v>504</v>
      </c>
      <c r="EC1" s="3" t="s">
        <v>505</v>
      </c>
      <c r="ED1" s="3" t="s">
        <v>506</v>
      </c>
      <c r="EE1" s="3" t="s">
        <v>507</v>
      </c>
      <c r="EF1" s="3" t="s">
        <v>508</v>
      </c>
      <c r="EG1" s="3" t="s">
        <v>509</v>
      </c>
      <c r="EH1" s="3" t="s">
        <v>510</v>
      </c>
      <c r="EI1" s="3" t="s">
        <v>511</v>
      </c>
      <c r="EK1" s="15" t="s">
        <v>512</v>
      </c>
      <c r="EL1" s="3" t="s">
        <v>513</v>
      </c>
      <c r="EM1" s="3" t="s">
        <v>514</v>
      </c>
      <c r="EN1" s="3" t="s">
        <v>515</v>
      </c>
      <c r="EO1" s="3" t="s">
        <v>516</v>
      </c>
      <c r="EP1" s="3" t="s">
        <v>517</v>
      </c>
    </row>
    <row r="2" spans="1:146" ht="180" x14ac:dyDescent="0.25">
      <c r="C2" s="7" t="str">
        <f>"公司主营业务为面向电子信息产业链的现代高端服务业，为产业链上的各环节提供线上线下交易服务、产品服务、技术服务、信息服务、数据服务和创新创业配套等服务，打造面向电子信息产业的国内一流线下、线上交易服务平台。"&amp;CHAR(10)&amp;Basic_Fundamental_Information_Constructure(F2)&amp;CHAR(10)&amp;Basic_Fundamental_Information_Concatenate("电子元器件授权分销分部-产品 75.13亿 86.66% 58.34% 7.21%
电子元器件产业互联网分部 8.53亿 9.84% 21.67% 23.59%
电子专业市场 2.21亿 2.54% 15.66% 65.98%
物业经营及其他分部 8254.07万 0.95% 4.32% 48.67%")</f>
        <v>公司主营业务为面向电子信息产业链的现代高端服务业，为产业链上的各环节提供线上线下交易服务、产品服务、技术服务、信息服务、数据服务和创新创业配套等服务，打造面向电子信息产业的国内一流线下、线上交易服务平台。
市值89.634429亿, 利润5740.47万; PE22.44; 平均PE14.03; 平均PEG55.05, PB1.24; ROIC7.3467%; ROE11.8667%; 股利率2.3337%; 毛利10.5733%; 净利3.9233%; 上一年度营收增-81.37%, 利润增-93.97%; 当季营收增-48.55%, 利润增-78.5%; 过往5年营收增-.25%, 利润增-10.77%
Income profile:
电子元器件授权分销分部-产品 75.13亿 86.66% 58.34% 7.21%
电子元器件产业互联网分部 8.53亿 9.84% 21.67% 23.59%
电子专业市场 2.21亿 2.54% 15.66% 65.98%
物业经营及其他分部 8254.07万 0.95% 4.32% 48.67%</v>
      </c>
      <c r="D2" s="3" t="s">
        <v>47</v>
      </c>
      <c r="E2" s="3" t="s">
        <v>48</v>
      </c>
      <c r="F2" s="3">
        <v>8.57</v>
      </c>
      <c r="G2" s="3">
        <v>0.47</v>
      </c>
      <c r="H2" s="3" t="s">
        <v>721</v>
      </c>
      <c r="I2" s="3">
        <v>8963442900</v>
      </c>
      <c r="J2" s="3">
        <v>22.44</v>
      </c>
      <c r="K2" s="3">
        <v>1.24</v>
      </c>
      <c r="L2" s="3" t="s">
        <v>49</v>
      </c>
      <c r="M2" s="3" t="s">
        <v>722</v>
      </c>
      <c r="N2" s="3" t="s">
        <v>723</v>
      </c>
      <c r="O2" s="3" t="s">
        <v>724</v>
      </c>
      <c r="P2" s="3">
        <v>15.72</v>
      </c>
      <c r="Q2" s="3" t="s">
        <v>724</v>
      </c>
      <c r="R2" s="3">
        <v>57404669</v>
      </c>
      <c r="S2" s="5">
        <v>-0.54190000000000005</v>
      </c>
      <c r="T2" s="3" t="s">
        <v>725</v>
      </c>
      <c r="U2" s="3">
        <v>1044547530</v>
      </c>
      <c r="V2" s="3">
        <v>1045909320</v>
      </c>
      <c r="W2" s="3">
        <v>2.04</v>
      </c>
      <c r="X2" s="3">
        <v>0.26</v>
      </c>
      <c r="Y2" s="3">
        <v>1.62</v>
      </c>
      <c r="Z2" s="3" t="s">
        <v>726</v>
      </c>
      <c r="AA2" s="3" t="s">
        <v>727</v>
      </c>
      <c r="AB2" s="3" t="s">
        <v>728</v>
      </c>
      <c r="AC2" s="3" t="s">
        <v>729</v>
      </c>
      <c r="AD2" s="3" t="s">
        <v>52</v>
      </c>
      <c r="AE2" s="3">
        <v>68766504</v>
      </c>
      <c r="AF2" s="3" t="s">
        <v>730</v>
      </c>
      <c r="AG2" s="3" t="s">
        <v>731</v>
      </c>
      <c r="AH2" s="3" t="s">
        <v>732</v>
      </c>
      <c r="AI2" s="3" t="s">
        <v>733</v>
      </c>
      <c r="AJ2" s="3" t="s">
        <v>734</v>
      </c>
      <c r="AK2" s="3" t="s">
        <v>735</v>
      </c>
      <c r="AL2" s="3" t="s">
        <v>736</v>
      </c>
      <c r="AM2" s="3" t="s">
        <v>52</v>
      </c>
      <c r="AN2" s="3" t="s">
        <v>737</v>
      </c>
      <c r="AO2" s="3" t="s">
        <v>738</v>
      </c>
      <c r="AP2" s="3" t="s">
        <v>52</v>
      </c>
      <c r="AQ2" s="3" t="s">
        <v>339</v>
      </c>
      <c r="AR2" s="3" t="s">
        <v>739</v>
      </c>
      <c r="AS2" s="3" t="s">
        <v>740</v>
      </c>
      <c r="AT2" s="3" t="s">
        <v>741</v>
      </c>
      <c r="AU2" s="3" t="s">
        <v>742</v>
      </c>
      <c r="AV2" s="3" t="s">
        <v>743</v>
      </c>
      <c r="AW2" s="3" t="s">
        <v>744</v>
      </c>
      <c r="AX2" s="3" t="s">
        <v>539</v>
      </c>
      <c r="AY2" s="3" t="s">
        <v>298</v>
      </c>
      <c r="AZ2" s="3" t="s">
        <v>50</v>
      </c>
      <c r="BA2" s="3" t="s">
        <v>54</v>
      </c>
      <c r="BB2" s="3" t="s">
        <v>55</v>
      </c>
      <c r="BC2" s="3" t="s">
        <v>540</v>
      </c>
      <c r="BD2" s="3" t="s">
        <v>133</v>
      </c>
      <c r="BE2" s="3" t="s">
        <v>51</v>
      </c>
      <c r="BF2" s="3" t="s">
        <v>56</v>
      </c>
      <c r="BG2" s="3" t="s">
        <v>57</v>
      </c>
      <c r="BH2" s="3" t="s">
        <v>745</v>
      </c>
      <c r="BI2" s="3" t="s">
        <v>538</v>
      </c>
      <c r="BJ2" s="3" t="s">
        <v>539</v>
      </c>
      <c r="BK2" s="3" t="s">
        <v>681</v>
      </c>
      <c r="BL2" s="3" t="s">
        <v>640</v>
      </c>
      <c r="BM2" s="3" t="s">
        <v>540</v>
      </c>
      <c r="BN2" s="3">
        <v>4.1100000000000003</v>
      </c>
      <c r="BO2" s="3">
        <v>8.65</v>
      </c>
      <c r="BP2" s="3">
        <v>9.2799999999999994</v>
      </c>
      <c r="BQ2" s="3">
        <v>5.78</v>
      </c>
      <c r="BR2" s="3">
        <v>14.62</v>
      </c>
      <c r="BS2" s="3">
        <v>15.2</v>
      </c>
      <c r="BT2" s="3" t="s">
        <v>746</v>
      </c>
      <c r="BU2" s="3" t="s">
        <v>49</v>
      </c>
      <c r="BV2" s="3">
        <v>9.57</v>
      </c>
      <c r="BW2" s="3">
        <v>10.76</v>
      </c>
      <c r="BX2" s="3">
        <v>11.39</v>
      </c>
      <c r="BY2" s="3">
        <v>2.69</v>
      </c>
      <c r="BZ2" s="3">
        <v>4.51</v>
      </c>
      <c r="CA2" s="3">
        <v>4.57</v>
      </c>
      <c r="CB2" s="3">
        <v>-3.71</v>
      </c>
      <c r="CC2" s="3">
        <v>-10.82</v>
      </c>
      <c r="CD2" s="3" t="s">
        <v>747</v>
      </c>
      <c r="CE2" s="3" t="s">
        <v>535</v>
      </c>
      <c r="CF2" s="10">
        <v>-0.48552312838851081</v>
      </c>
      <c r="CG2" s="11">
        <v>-0.7850012397003745</v>
      </c>
      <c r="CH2" s="10">
        <v>-0.81370866298675537</v>
      </c>
      <c r="CI2" s="10">
        <v>4.8158977180719376E-2</v>
      </c>
      <c r="CJ2" s="10">
        <v>0.39862838387489319</v>
      </c>
      <c r="CK2" s="10">
        <v>0.13765235245227814</v>
      </c>
      <c r="CL2" s="10">
        <v>0.21652539074420929</v>
      </c>
      <c r="CM2" s="11">
        <v>-0.93970096111297607</v>
      </c>
      <c r="CN2" s="11">
        <v>7.8142695128917694E-2</v>
      </c>
      <c r="CO2" s="11">
        <v>0.41280001401901245</v>
      </c>
      <c r="CP2" s="11">
        <v>-7.9365083947777748E-3</v>
      </c>
      <c r="CQ2" s="11">
        <v>-8.1632651388645172E-2</v>
      </c>
      <c r="CR2" s="3">
        <v>14.029475520807912</v>
      </c>
      <c r="CS2" s="3">
        <v>55.04535982815991</v>
      </c>
      <c r="CT2" s="3">
        <v>2.3337222870478413</v>
      </c>
      <c r="CU2" s="10">
        <v>-2.548711746931076E-3</v>
      </c>
      <c r="CV2" s="11">
        <v>-0.10766548234969378</v>
      </c>
      <c r="CW2" s="3">
        <v>0.06</v>
      </c>
      <c r="CX2" s="3">
        <v>184.5048036136414</v>
      </c>
      <c r="CY2" s="3" t="s">
        <v>748</v>
      </c>
      <c r="CZ2" s="3">
        <v>-2.548711746931076E-3</v>
      </c>
      <c r="DA2" s="3">
        <v>61.501601204547129</v>
      </c>
      <c r="DB2" s="3" t="s">
        <v>749</v>
      </c>
      <c r="DC2" s="3">
        <v>-2.4212761595845222E-3</v>
      </c>
      <c r="DD2" s="3">
        <v>30.750800602273564</v>
      </c>
      <c r="DE2" s="3" t="s">
        <v>750</v>
      </c>
      <c r="DF2" s="3">
        <v>-2.2428663372993469E-3</v>
      </c>
      <c r="DG2" s="3">
        <v>18.450480361364139</v>
      </c>
      <c r="DH2" s="3" t="s">
        <v>751</v>
      </c>
      <c r="DI2" s="3">
        <v>-2.038969397544861E-3</v>
      </c>
      <c r="DJ2" s="3">
        <v>9.2252401806820696</v>
      </c>
      <c r="DK2" s="3" t="s">
        <v>752</v>
      </c>
      <c r="DL2" s="3">
        <v>-1.7840982228517531E-3</v>
      </c>
      <c r="DM2" s="3">
        <v>57404700</v>
      </c>
      <c r="DN2" s="3">
        <v>-2.548711746931076E-3</v>
      </c>
      <c r="DO2" s="3">
        <v>10591442900</v>
      </c>
      <c r="DP2" s="3">
        <v>4315947000</v>
      </c>
      <c r="DQ2" s="3">
        <v>43</v>
      </c>
      <c r="DR2" s="3">
        <v>-0.48297441664157975</v>
      </c>
      <c r="DS2" s="3">
        <v>-0.67733575735068074</v>
      </c>
      <c r="DT2" s="12">
        <v>-0.54</v>
      </c>
      <c r="DU2" s="3">
        <v>-0.64</v>
      </c>
      <c r="DV2" s="3">
        <v>-1.1800000000000002</v>
      </c>
      <c r="DW2" s="3">
        <v>-8.3428835489833642</v>
      </c>
      <c r="DX2" s="3">
        <v>0.29635633802817068</v>
      </c>
      <c r="DY2" s="3">
        <v>-8.0364678386399735</v>
      </c>
      <c r="DZ2" s="3">
        <v>2815</v>
      </c>
      <c r="EA2" s="3">
        <v>-8.0163784128529816</v>
      </c>
      <c r="EB2" s="3">
        <v>8</v>
      </c>
      <c r="EC2" s="3">
        <v>2.1659525894654041E-2</v>
      </c>
      <c r="ED2" s="3">
        <v>0.20365054209479652</v>
      </c>
      <c r="EE2" s="13">
        <v>1.0597000000000001</v>
      </c>
      <c r="EF2" s="3">
        <v>1.0350999999999999</v>
      </c>
      <c r="EG2" s="3">
        <v>19.106356338028171</v>
      </c>
      <c r="EH2" s="3" t="s">
        <v>367</v>
      </c>
      <c r="EI2" s="3">
        <v>0</v>
      </c>
      <c r="EJ2" s="3">
        <v>0</v>
      </c>
      <c r="EK2" s="15">
        <v>45470</v>
      </c>
      <c r="EL2" s="16">
        <v>-2.48</v>
      </c>
      <c r="EM2" s="16">
        <v>-6.57</v>
      </c>
      <c r="EN2" s="16">
        <v>-1.93</v>
      </c>
      <c r="EO2" s="16">
        <v>3.47</v>
      </c>
      <c r="EP2" s="16">
        <v>-2.46</v>
      </c>
    </row>
    <row r="3" spans="1:146" ht="96" x14ac:dyDescent="0.25">
      <c r="C3" s="7" t="str">
        <f>""&amp;CHAR(10)&amp;Basic_Fundamental_Information_Constructure(F3)&amp;CHAR(10)&amp;Basic_Fundamental_Information_Concatenate("")</f>
        <v xml:space="preserve">
市值36.944亿, 利润-327.63万; PE; 平均PE-63.15; 平均PEG-.02, PB97.53; ROIC15.69%; ROE-3.4767%; 股利率0%; 毛利6.29%; 净利1.0267%; 上一年度营收增-68.95%, 利润增-121.98%; 当季营收增-32.07%, 利润增88.53%; 过往5年营收增3401.36%, 利润增50.82%
Income profile:
</v>
      </c>
      <c r="D3" s="3" t="s">
        <v>385</v>
      </c>
      <c r="E3" s="3" t="s">
        <v>386</v>
      </c>
      <c r="F3" s="3">
        <v>4.3499999999999996</v>
      </c>
      <c r="G3" s="3">
        <v>1.1599999999999999</v>
      </c>
      <c r="H3" s="3" t="s">
        <v>753</v>
      </c>
      <c r="I3" s="3">
        <v>3694400000</v>
      </c>
      <c r="K3" s="3">
        <v>97.53</v>
      </c>
      <c r="L3" s="3" t="s">
        <v>49</v>
      </c>
      <c r="M3" s="3" t="s">
        <v>754</v>
      </c>
      <c r="N3" s="3" t="s">
        <v>755</v>
      </c>
      <c r="O3" s="3" t="s">
        <v>756</v>
      </c>
      <c r="P3" s="3">
        <v>55.87</v>
      </c>
      <c r="Q3" s="3" t="s">
        <v>756</v>
      </c>
      <c r="R3" s="3">
        <v>-3276270</v>
      </c>
      <c r="S3" s="5">
        <v>0.68389999999999995</v>
      </c>
      <c r="T3" s="3" t="s">
        <v>757</v>
      </c>
      <c r="U3" s="3">
        <v>722106710</v>
      </c>
      <c r="V3" s="3">
        <v>849287360</v>
      </c>
      <c r="W3" s="3">
        <v>5.17</v>
      </c>
      <c r="X3" s="3">
        <v>0.51</v>
      </c>
      <c r="Y3" s="3">
        <v>1.33</v>
      </c>
      <c r="Z3" s="3" t="s">
        <v>758</v>
      </c>
      <c r="AA3" s="3" t="s">
        <v>239</v>
      </c>
      <c r="AB3" s="3" t="s">
        <v>759</v>
      </c>
      <c r="AC3" s="3" t="s">
        <v>760</v>
      </c>
      <c r="AD3" s="3" t="s">
        <v>52</v>
      </c>
      <c r="AE3" s="3">
        <v>13157356</v>
      </c>
      <c r="AF3" s="3" t="s">
        <v>761</v>
      </c>
      <c r="AG3" s="3" t="s">
        <v>52</v>
      </c>
      <c r="AH3" s="3" t="s">
        <v>762</v>
      </c>
      <c r="AI3" s="3" t="s">
        <v>763</v>
      </c>
      <c r="AJ3" s="3" t="s">
        <v>764</v>
      </c>
      <c r="AK3" s="3" t="s">
        <v>765</v>
      </c>
      <c r="AL3" s="3" t="s">
        <v>766</v>
      </c>
      <c r="AM3" s="3" t="s">
        <v>52</v>
      </c>
      <c r="AN3" s="3">
        <v>0</v>
      </c>
      <c r="AO3" s="3" t="s">
        <v>140</v>
      </c>
      <c r="AP3" s="3" t="s">
        <v>52</v>
      </c>
      <c r="AQ3" s="3" t="s">
        <v>591</v>
      </c>
      <c r="AR3" s="3" t="s">
        <v>52</v>
      </c>
      <c r="AS3" s="3" t="s">
        <v>767</v>
      </c>
      <c r="AT3" s="3" t="s">
        <v>768</v>
      </c>
      <c r="AU3" s="3" t="s">
        <v>769</v>
      </c>
      <c r="AV3" s="3" t="s">
        <v>770</v>
      </c>
      <c r="AW3" s="3" t="s">
        <v>771</v>
      </c>
      <c r="AX3" s="3" t="s">
        <v>544</v>
      </c>
      <c r="AY3" s="3" t="s">
        <v>387</v>
      </c>
      <c r="AZ3" s="3" t="s">
        <v>389</v>
      </c>
      <c r="BA3" s="3" t="s">
        <v>390</v>
      </c>
      <c r="BB3" s="3" t="s">
        <v>59</v>
      </c>
      <c r="BC3" s="3" t="s">
        <v>545</v>
      </c>
      <c r="BD3" s="3" t="s">
        <v>388</v>
      </c>
      <c r="BE3" s="3" t="s">
        <v>391</v>
      </c>
      <c r="BF3" s="3" t="s">
        <v>392</v>
      </c>
      <c r="BG3" s="3" t="s">
        <v>393</v>
      </c>
      <c r="BH3" s="3" t="s">
        <v>772</v>
      </c>
      <c r="BI3" s="3" t="s">
        <v>543</v>
      </c>
      <c r="BJ3" s="3" t="s">
        <v>544</v>
      </c>
      <c r="BK3" s="3" t="s">
        <v>773</v>
      </c>
      <c r="BL3" s="3" t="s">
        <v>645</v>
      </c>
      <c r="BM3" s="3" t="s">
        <v>545</v>
      </c>
      <c r="BN3" s="3" t="s">
        <v>52</v>
      </c>
      <c r="BO3" s="3">
        <v>16.75</v>
      </c>
      <c r="BP3" s="3">
        <v>14.63</v>
      </c>
      <c r="BQ3" s="3">
        <v>-49.68</v>
      </c>
      <c r="BR3" s="3">
        <v>25.9</v>
      </c>
      <c r="BS3" s="3">
        <v>13.35</v>
      </c>
      <c r="BT3" s="3" t="s">
        <v>519</v>
      </c>
      <c r="BU3" s="3" t="s">
        <v>49</v>
      </c>
      <c r="BV3" s="3">
        <v>4.7</v>
      </c>
      <c r="BW3" s="3">
        <v>6.81</v>
      </c>
      <c r="BX3" s="3">
        <v>7.36</v>
      </c>
      <c r="BY3" s="3">
        <v>-0.9</v>
      </c>
      <c r="BZ3" s="3">
        <v>2.0499999999999998</v>
      </c>
      <c r="CA3" s="3">
        <v>1.93</v>
      </c>
      <c r="CB3" s="3">
        <v>-0.46</v>
      </c>
      <c r="CC3" s="3">
        <v>-13.17</v>
      </c>
      <c r="CD3" s="3" t="s">
        <v>774</v>
      </c>
      <c r="CE3" s="3" t="s">
        <v>775</v>
      </c>
      <c r="CF3" s="10">
        <v>-0.32072829131652669</v>
      </c>
      <c r="CG3" s="11">
        <v>0.88526497893546163</v>
      </c>
      <c r="CH3" s="10">
        <v>-0.68950057029724121</v>
      </c>
      <c r="CI3" s="10">
        <v>8.0968908965587616E-2</v>
      </c>
      <c r="CJ3" s="10">
        <v>3.1285712718963623</v>
      </c>
      <c r="CK3" s="10">
        <v>168.50794982910156</v>
      </c>
      <c r="CL3" s="10">
        <v>-0.95990681648254395</v>
      </c>
      <c r="CM3" s="11">
        <v>-1.2198165655136108</v>
      </c>
      <c r="CN3" s="11">
        <v>3.6034839153289795</v>
      </c>
      <c r="CO3" s="11">
        <v>-0.68004703521728516</v>
      </c>
      <c r="CP3" s="11">
        <v>1.0491228103637695</v>
      </c>
      <c r="CQ3" s="11">
        <v>-0.21176470816135406</v>
      </c>
      <c r="CR3" s="3">
        <v>-63.149510020380916</v>
      </c>
      <c r="CS3" s="3">
        <v>-1.8565949896753982E-2</v>
      </c>
      <c r="CT3" s="3">
        <v>0</v>
      </c>
      <c r="CU3" s="10">
        <v>34.013616524636745</v>
      </c>
      <c r="CV3" s="11">
        <v>0.50819568336009979</v>
      </c>
      <c r="CW3" s="3">
        <v>0.06</v>
      </c>
      <c r="CX3" s="3" t="e">
        <v>#VALUE!</v>
      </c>
      <c r="CY3" s="3" t="s">
        <v>365</v>
      </c>
      <c r="CZ3" s="3">
        <v>34.013616524636745</v>
      </c>
      <c r="DA3" s="3" t="e">
        <v>#VALUE!</v>
      </c>
      <c r="DB3" s="3" t="s">
        <v>366</v>
      </c>
      <c r="DC3" s="3">
        <v>32.312935698404907</v>
      </c>
      <c r="DD3" s="3" t="e">
        <v>#VALUE!</v>
      </c>
      <c r="DE3" s="3" t="s">
        <v>366</v>
      </c>
      <c r="DF3" s="3">
        <v>29.931982541680338</v>
      </c>
      <c r="DG3" s="3" t="e">
        <v>#VALUE!</v>
      </c>
      <c r="DH3" s="3" t="s">
        <v>366</v>
      </c>
      <c r="DI3" s="3">
        <v>27.210893219709398</v>
      </c>
      <c r="DJ3" s="3" t="e">
        <v>#VALUE!</v>
      </c>
      <c r="DK3" s="3" t="s">
        <v>366</v>
      </c>
      <c r="DL3" s="3">
        <v>23.80953156724572</v>
      </c>
      <c r="DM3" s="3">
        <v>-3276300</v>
      </c>
      <c r="DN3" s="3">
        <v>34.013616524636745</v>
      </c>
      <c r="DO3" s="3">
        <v>5007400000</v>
      </c>
      <c r="DP3" s="3">
        <v>-40400000</v>
      </c>
      <c r="DQ3" s="3">
        <v>208</v>
      </c>
      <c r="DR3" s="3">
        <v>-34.334344815953273</v>
      </c>
      <c r="DS3" s="3">
        <v>0.37706929557536184</v>
      </c>
      <c r="DT3" s="12">
        <v>-0.19333333333333336</v>
      </c>
      <c r="DU3" s="3">
        <v>-1.0433333333333334</v>
      </c>
      <c r="DV3" s="3">
        <v>-1.2366666666666668</v>
      </c>
      <c r="DW3" s="3">
        <v>-2.1316999999999999</v>
      </c>
      <c r="DX3" s="3">
        <v>0.25462115059221591</v>
      </c>
      <c r="DY3" s="3">
        <v>-2.0137786055329947</v>
      </c>
      <c r="DZ3" s="3">
        <v>4013</v>
      </c>
      <c r="EA3" s="3">
        <v>-2.0029579511290989</v>
      </c>
      <c r="EB3" s="3">
        <v>2</v>
      </c>
      <c r="EC3" s="3">
        <v>7.2803509050222995E-2</v>
      </c>
      <c r="ED3" s="3">
        <v>0.69587754137774993</v>
      </c>
      <c r="EE3" s="13">
        <v>1.0444100000000001</v>
      </c>
      <c r="EF3" s="3">
        <v>1.06681</v>
      </c>
      <c r="EG3" s="3">
        <v>15.104621150592216</v>
      </c>
      <c r="EH3" s="3" t="s">
        <v>368</v>
      </c>
      <c r="EI3" s="3">
        <v>0</v>
      </c>
      <c r="EJ3" s="3">
        <v>0</v>
      </c>
      <c r="EK3" s="15">
        <v>45470</v>
      </c>
      <c r="EL3" s="16">
        <v>-2.13</v>
      </c>
      <c r="EM3" s="16">
        <v>-5.22</v>
      </c>
      <c r="EN3" s="16">
        <v>-2.06</v>
      </c>
      <c r="EO3" s="16">
        <v>4.45</v>
      </c>
      <c r="EP3" s="16">
        <v>-2.2400000000000002</v>
      </c>
    </row>
    <row r="4" spans="1:146" ht="192" x14ac:dyDescent="0.25">
      <c r="A4" s="7" t="s">
        <v>712</v>
      </c>
      <c r="C4" s="7" t="str">
        <f>"公司的主营业务是电子元器件分销、设计链服务、供应链协同配套和产业数据服务。深圳中电港技术股份有限公司的主要产品为处理器、存储器、射频与无线连接、模拟器件、分立器件、传感器件、可编程逻辑器件。"&amp;CHAR(10)&amp;Basic_Fundamental_Information_Constructure(F4)&amp;CHAR(10)&amp;Basic_Fundamental_Information_Concatenate("(都是代理分销）
处理器 49.75亿 31.69% 37.99% 4.37%
存储器 31.31亿 19.95% 11.25% 2.05%
模拟器件 31.21亿 19.88% 21.74% 3.98%
其他 29.54亿 18.82% 20.69% 4.00%
射频与无线连接 15.18亿 9.67% 8.33% 3.14%")</f>
        <v>公司的主营业务是电子元器件分销、设计链服务、供应链协同配套和产业数据服务。深圳中电港技术股份有限公司的主要产品为处理器、存储器、射频与无线连接、模拟器件、分立器件、传感器件、可编程逻辑器件。
市值120.064215亿, 利润5124.92万; PE55.4; 平均PE58.03; 平均PEG4.93, PB2.35; ROIC4.56%; ROE9.11%; 股利率.538%; 毛利3.75%; 净利.8333%; 上一年度营收增-72.92%, 利润增-87.22%; 当季营收增-25.31%, 利润增-35.65%; 过往5年营收增11.77%, 利润增58.09%
Income profile:
(都是代理分销）
处理器 49.75亿 31.69% 37.99% 4.37%
存储器 31.31亿 19.95% 11.25% 2.05%
模拟器件 31.21亿 19.88% 21.74% 3.98%
其他 29.54亿 18.82% 20.69% 4.00%
射频与无线连接 15.18亿 9.67% 8.33% 3.14%</v>
      </c>
      <c r="D4" s="3" t="s">
        <v>546</v>
      </c>
      <c r="E4" s="3" t="s">
        <v>547</v>
      </c>
      <c r="F4" s="3">
        <v>15.8</v>
      </c>
      <c r="G4" s="3">
        <v>0.32</v>
      </c>
      <c r="H4" s="3" t="s">
        <v>776</v>
      </c>
      <c r="I4" s="3">
        <v>12006421500</v>
      </c>
      <c r="J4" s="3">
        <v>55.4</v>
      </c>
      <c r="K4" s="3">
        <v>2.35</v>
      </c>
      <c r="L4" s="3" t="s">
        <v>49</v>
      </c>
      <c r="M4" s="3" t="s">
        <v>777</v>
      </c>
      <c r="N4" s="3" t="s">
        <v>778</v>
      </c>
      <c r="O4" s="3" t="s">
        <v>779</v>
      </c>
      <c r="P4" s="5">
        <v>42.15</v>
      </c>
      <c r="Q4" s="3" t="s">
        <v>779</v>
      </c>
      <c r="R4" s="3">
        <v>51249210</v>
      </c>
      <c r="S4" s="3">
        <v>-0.27989999999999998</v>
      </c>
      <c r="T4" s="3" t="s">
        <v>780</v>
      </c>
      <c r="U4" s="3">
        <v>437394500</v>
      </c>
      <c r="V4" s="3">
        <v>759900100</v>
      </c>
      <c r="W4" s="3">
        <v>4.7</v>
      </c>
      <c r="X4" s="3">
        <v>0.5</v>
      </c>
      <c r="Y4" s="3">
        <v>0.44</v>
      </c>
      <c r="Z4" s="3" t="s">
        <v>781</v>
      </c>
      <c r="AA4" s="3" t="s">
        <v>782</v>
      </c>
      <c r="AB4" s="3" t="s">
        <v>783</v>
      </c>
      <c r="AC4" s="3" t="s">
        <v>784</v>
      </c>
      <c r="AD4" s="3" t="s">
        <v>52</v>
      </c>
      <c r="AE4" s="3">
        <v>149036120</v>
      </c>
      <c r="AF4" s="3" t="s">
        <v>785</v>
      </c>
      <c r="AG4" s="3" t="s">
        <v>786</v>
      </c>
      <c r="AH4" s="3" t="s">
        <v>787</v>
      </c>
      <c r="AI4" s="3" t="s">
        <v>788</v>
      </c>
      <c r="AJ4" s="3" t="s">
        <v>789</v>
      </c>
      <c r="AK4" s="3" t="s">
        <v>437</v>
      </c>
      <c r="AL4" s="3" t="s">
        <v>790</v>
      </c>
      <c r="AM4" s="3" t="s">
        <v>52</v>
      </c>
      <c r="AN4" s="3">
        <v>0</v>
      </c>
      <c r="AO4" s="3" t="s">
        <v>791</v>
      </c>
      <c r="AP4" s="3" t="s">
        <v>792</v>
      </c>
      <c r="AQ4" s="3" t="s">
        <v>793</v>
      </c>
      <c r="AR4" s="3" t="s">
        <v>52</v>
      </c>
      <c r="AS4" s="3" t="s">
        <v>794</v>
      </c>
      <c r="AT4" s="3" t="s">
        <v>52</v>
      </c>
      <c r="AU4" s="3" t="s">
        <v>795</v>
      </c>
      <c r="AV4" s="3" t="s">
        <v>796</v>
      </c>
      <c r="AW4" s="3" t="s">
        <v>797</v>
      </c>
      <c r="AX4" s="3" t="s">
        <v>549</v>
      </c>
      <c r="AY4" s="3" t="s">
        <v>551</v>
      </c>
      <c r="AZ4" s="3" t="s">
        <v>552</v>
      </c>
      <c r="BA4" s="3" t="s">
        <v>553</v>
      </c>
      <c r="BB4" s="3" t="s">
        <v>554</v>
      </c>
      <c r="BC4" s="3" t="s">
        <v>550</v>
      </c>
      <c r="BD4" s="3" t="s">
        <v>524</v>
      </c>
      <c r="BE4" s="3" t="s">
        <v>425</v>
      </c>
      <c r="BF4" s="3" t="s">
        <v>555</v>
      </c>
      <c r="BG4" s="3" t="s">
        <v>556</v>
      </c>
      <c r="BH4" s="3" t="s">
        <v>798</v>
      </c>
      <c r="BI4" s="3" t="s">
        <v>548</v>
      </c>
      <c r="BJ4" s="3" t="s">
        <v>549</v>
      </c>
      <c r="BK4" s="3" t="s">
        <v>690</v>
      </c>
      <c r="BL4" s="3" t="s">
        <v>647</v>
      </c>
      <c r="BM4" s="3" t="s">
        <v>550</v>
      </c>
      <c r="BN4" s="3">
        <v>3.45</v>
      </c>
      <c r="BO4" s="3">
        <v>5.64</v>
      </c>
      <c r="BP4" s="3">
        <v>4.59</v>
      </c>
      <c r="BQ4" s="3">
        <v>2.65</v>
      </c>
      <c r="BR4" s="3">
        <v>15.57</v>
      </c>
      <c r="BS4" s="3" t="s">
        <v>52</v>
      </c>
      <c r="BT4" s="3" t="s">
        <v>799</v>
      </c>
      <c r="BU4" s="3" t="s">
        <v>49</v>
      </c>
      <c r="BV4" s="3">
        <v>4.07</v>
      </c>
      <c r="BW4" s="3">
        <v>3.65</v>
      </c>
      <c r="BX4" s="3">
        <v>3.53</v>
      </c>
      <c r="BY4" s="3">
        <v>0.69</v>
      </c>
      <c r="BZ4" s="3">
        <v>0.93</v>
      </c>
      <c r="CA4" s="3">
        <v>0.88</v>
      </c>
      <c r="CB4" s="3">
        <v>-4.42</v>
      </c>
      <c r="CC4" s="10">
        <v>-10.1</v>
      </c>
      <c r="CD4" s="11" t="s">
        <v>800</v>
      </c>
      <c r="CE4" s="10" t="s">
        <v>682</v>
      </c>
      <c r="CF4" s="10">
        <v>-0.25308956554975148</v>
      </c>
      <c r="CG4" s="10">
        <v>-0.35653432204666674</v>
      </c>
      <c r="CH4" s="10">
        <v>-0.7292335033416748</v>
      </c>
      <c r="CI4" s="10">
        <v>0.12794657051563263</v>
      </c>
      <c r="CJ4" s="11">
        <v>0.47510182857513428</v>
      </c>
      <c r="CK4" s="11">
        <v>0.51463651657104492</v>
      </c>
      <c r="CL4" s="11">
        <v>0.20018166303634644</v>
      </c>
      <c r="CM4" s="11">
        <v>-0.8721964955329895</v>
      </c>
      <c r="CN4" s="11">
        <v>0.18991097807884216</v>
      </c>
      <c r="CO4" s="3">
        <v>5.6426331400871277E-2</v>
      </c>
      <c r="CP4" s="3">
        <v>2.7134130001068115</v>
      </c>
      <c r="CQ4" s="3">
        <v>0.81711804866790771</v>
      </c>
      <c r="CR4" s="10">
        <v>58.028700466470376</v>
      </c>
      <c r="CS4" s="11">
        <v>4.9291063394057053</v>
      </c>
      <c r="CT4" s="3">
        <v>0.53797468354430378</v>
      </c>
      <c r="CU4" s="3">
        <v>0.1177266150712967</v>
      </c>
      <c r="CV4" s="3">
        <v>0.58093437254428859</v>
      </c>
      <c r="CW4" s="3">
        <v>0.06</v>
      </c>
      <c r="CX4" s="3">
        <v>454.26236123166001</v>
      </c>
      <c r="CY4" s="3">
        <v>54040183.812369719</v>
      </c>
      <c r="CZ4" s="3">
        <v>0.1177266150712967</v>
      </c>
      <c r="DA4" s="3">
        <v>145.01474675405456</v>
      </c>
      <c r="DB4" s="3">
        <v>169282242.32004622</v>
      </c>
      <c r="DC4" s="3">
        <v>0.11184028431773185</v>
      </c>
      <c r="DD4" s="3">
        <v>69.165118252080021</v>
      </c>
      <c r="DE4" s="3">
        <v>354924882.95227849</v>
      </c>
      <c r="DF4" s="3">
        <v>0.10359942126274109</v>
      </c>
      <c r="DG4" s="3">
        <v>40.06127001617439</v>
      </c>
      <c r="DH4" s="3">
        <v>612771923.85785043</v>
      </c>
      <c r="DI4" s="3">
        <v>9.4181292057037361E-2</v>
      </c>
      <c r="DJ4" s="3">
        <v>19.087751043284204</v>
      </c>
      <c r="DK4" s="3">
        <v>1286082443.3602967</v>
      </c>
      <c r="DL4" s="3">
        <v>8.2408630549907685E-2</v>
      </c>
      <c r="DM4" s="3">
        <v>51249200</v>
      </c>
      <c r="DN4" s="3">
        <v>0.1177266150712967</v>
      </c>
      <c r="DO4" s="3">
        <v>24548421500</v>
      </c>
      <c r="DP4" s="3">
        <v>4618074000</v>
      </c>
      <c r="DQ4" s="12">
        <v>472</v>
      </c>
      <c r="DR4" s="3">
        <v>-0.37081618062104815</v>
      </c>
      <c r="DS4" s="3">
        <v>-0.93746869459095539</v>
      </c>
      <c r="DT4" s="3">
        <v>-0.42333333333333339</v>
      </c>
      <c r="DU4" s="3">
        <v>0.22833333333333325</v>
      </c>
      <c r="DV4" s="3">
        <v>-0.19500000000000015</v>
      </c>
      <c r="DW4" s="3">
        <v>-8.4376237623762371</v>
      </c>
      <c r="DX4" s="3">
        <v>0.29216627906976683</v>
      </c>
      <c r="DY4" s="3">
        <v>-8.0447103914344922</v>
      </c>
      <c r="DZ4" s="3">
        <v>1363</v>
      </c>
      <c r="EA4" s="3">
        <v>-8.0327847038561728</v>
      </c>
      <c r="EB4" s="13">
        <v>8</v>
      </c>
      <c r="EC4" s="13">
        <v>2.3124881810122146E-2</v>
      </c>
      <c r="ED4" s="3">
        <v>0.22634554199953388</v>
      </c>
      <c r="EE4" s="3">
        <v>-2.0807099999999998</v>
      </c>
      <c r="EF4" s="3">
        <v>-2.1041099999999999</v>
      </c>
      <c r="EG4" s="3">
        <v>19.102166279069767</v>
      </c>
      <c r="EH4" s="15" t="s">
        <v>619</v>
      </c>
      <c r="EI4" s="3">
        <v>0</v>
      </c>
      <c r="EJ4" s="3">
        <v>1</v>
      </c>
      <c r="EK4" s="3">
        <v>45470</v>
      </c>
      <c r="EL4" s="3">
        <v>-1.76</v>
      </c>
      <c r="EM4" s="3">
        <v>-6.4</v>
      </c>
      <c r="EN4" s="16">
        <v>-2.77</v>
      </c>
      <c r="EO4" s="16">
        <v>5.57</v>
      </c>
      <c r="EP4" s="16">
        <v>-2.34</v>
      </c>
    </row>
    <row r="5" spans="1:146" ht="180" x14ac:dyDescent="0.25">
      <c r="A5" s="3"/>
      <c r="B5" s="3"/>
      <c r="C5" s="7" t="str">
        <f>"公司的主营业务是电子元器件分销，主要向消费电子、物联网、照明、工业控制、汽车电子及新能源等应用领域的电子产品制造商销售电子元器件，并提供相关产品设计方案和技术支持等服务。主要产品包括SoC芯片、无线芯片及模块、电源及功率器件、模拟/数字器件、存储器、LED器件、处理器、传感器、光电器件、结构件及被动器件等各类电子元器件。"&amp;CHAR(10)&amp;Basic_Fundamental_Information_Constructure(F5)&amp;CHAR(10)&amp;Basic_Fundamental_Information_Concatenate("分销业务 27.76亿 99.69% 98.61% 4.93%
物联网产品设计及制造 837.02万 0.30% 1.30% 21.49%
芯片定制 25.23万 0.0091% 0.06% 31.96%")</f>
        <v>公司的主营业务是电子元器件分销，主要向消费电子、物联网、照明、工业控制、汽车电子及新能源等应用领域的电子产品制造商销售电子元器件，并提供相关产品设计方案和技术支持等服务。主要产品包括SoC芯片、无线芯片及模块、电源及功率器件、模拟/数字器件、存储器、LED器件、处理器、传感器、光电器件、结构件及被动器件等各类电子元器件。
市值37.94148亿, 利润471.15万; PE67.41; 平均PE45.94; 平均PEG8.01, PB2.45; ROIC8.7667%; ROE16.8367%; 股利率1.0799%; 毛利5.19%; 净利1.75%; 上一年度营收增-75.51%, 利润增-95.25%; 当季营收增-43.75%, 利润增-73.53%; 过往5年营收增-5.73%, 利润增18.23%
Income profile:
分销业务 27.76亿 99.69% 98.61% 4.93%
物联网产品设计及制造 837.02万 0.30% 1.30% 21.49%
芯片定制 25.23万 0.0091% 0.06% 31.96%</v>
      </c>
      <c r="D5" s="3" t="s">
        <v>428</v>
      </c>
      <c r="E5" s="3" t="s">
        <v>429</v>
      </c>
      <c r="F5" s="3">
        <v>18.52</v>
      </c>
      <c r="G5" s="3">
        <v>-1.23</v>
      </c>
      <c r="H5" s="3" t="s">
        <v>801</v>
      </c>
      <c r="I5" s="3">
        <v>3794148000</v>
      </c>
      <c r="J5" s="3">
        <v>67.41</v>
      </c>
      <c r="K5" s="3">
        <v>2.4500000000000002</v>
      </c>
      <c r="L5" s="3" t="s">
        <v>49</v>
      </c>
      <c r="M5" s="3" t="s">
        <v>802</v>
      </c>
      <c r="N5" s="3" t="s">
        <v>803</v>
      </c>
      <c r="O5" s="3" t="s">
        <v>693</v>
      </c>
      <c r="P5" s="3">
        <v>27.7</v>
      </c>
      <c r="Q5" s="3" t="s">
        <v>693</v>
      </c>
      <c r="R5" s="3">
        <v>4711522</v>
      </c>
      <c r="S5" s="3">
        <v>9.4799999999999995E-2</v>
      </c>
      <c r="T5" s="3" t="s">
        <v>804</v>
      </c>
      <c r="U5" s="3">
        <v>105196185</v>
      </c>
      <c r="V5" s="3">
        <v>204867600</v>
      </c>
      <c r="W5" s="3">
        <v>1.8</v>
      </c>
      <c r="X5" s="3">
        <v>0.57999999999999996</v>
      </c>
      <c r="Y5" s="3">
        <v>0.3</v>
      </c>
      <c r="Z5" s="3" t="s">
        <v>805</v>
      </c>
      <c r="AA5" s="3" t="s">
        <v>806</v>
      </c>
      <c r="AB5" s="3" t="s">
        <v>807</v>
      </c>
      <c r="AC5" s="3" t="s">
        <v>808</v>
      </c>
      <c r="AD5" s="3" t="s">
        <v>52</v>
      </c>
      <c r="AE5" s="3">
        <v>14417987</v>
      </c>
      <c r="AF5" s="3" t="s">
        <v>809</v>
      </c>
      <c r="AG5" s="3">
        <v>2849.56</v>
      </c>
      <c r="AH5" s="3" t="s">
        <v>810</v>
      </c>
      <c r="AI5" s="3" t="s">
        <v>811</v>
      </c>
      <c r="AJ5" s="3" t="s">
        <v>812</v>
      </c>
      <c r="AK5" s="3" t="s">
        <v>813</v>
      </c>
      <c r="AL5" s="3" t="s">
        <v>814</v>
      </c>
      <c r="AM5" s="3" t="s">
        <v>52</v>
      </c>
      <c r="AN5" s="3">
        <v>0</v>
      </c>
      <c r="AO5" s="3" t="s">
        <v>707</v>
      </c>
      <c r="AP5" s="3" t="s">
        <v>815</v>
      </c>
      <c r="AQ5" s="3" t="s">
        <v>523</v>
      </c>
      <c r="AR5" s="3" t="s">
        <v>52</v>
      </c>
      <c r="AS5" s="3" t="s">
        <v>816</v>
      </c>
      <c r="AT5" s="3" t="s">
        <v>52</v>
      </c>
      <c r="AU5" s="3" t="s">
        <v>817</v>
      </c>
      <c r="AV5" s="3" t="s">
        <v>818</v>
      </c>
      <c r="AW5" s="3" t="s">
        <v>119</v>
      </c>
      <c r="AX5" s="3" t="s">
        <v>559</v>
      </c>
      <c r="AY5" s="3" t="s">
        <v>430</v>
      </c>
      <c r="AZ5" s="3" t="s">
        <v>431</v>
      </c>
      <c r="BA5" s="3" t="s">
        <v>432</v>
      </c>
      <c r="BB5" s="3" t="s">
        <v>433</v>
      </c>
      <c r="BC5" s="3" t="s">
        <v>560</v>
      </c>
      <c r="BD5" s="3" t="s">
        <v>363</v>
      </c>
      <c r="BE5" s="3" t="s">
        <v>86</v>
      </c>
      <c r="BF5" s="3" t="s">
        <v>434</v>
      </c>
      <c r="BG5" s="3" t="s">
        <v>435</v>
      </c>
      <c r="BH5" s="3" t="s">
        <v>819</v>
      </c>
      <c r="BI5" s="3" t="s">
        <v>558</v>
      </c>
      <c r="BJ5" s="3" t="s">
        <v>559</v>
      </c>
      <c r="BK5" s="3" t="s">
        <v>820</v>
      </c>
      <c r="BL5" s="3" t="s">
        <v>650</v>
      </c>
      <c r="BM5" s="3" t="s">
        <v>560</v>
      </c>
      <c r="BN5" s="3">
        <v>3.64</v>
      </c>
      <c r="BO5" s="3">
        <v>6.69</v>
      </c>
      <c r="BP5" s="3">
        <v>15.97</v>
      </c>
      <c r="BQ5" s="3">
        <v>3.72</v>
      </c>
      <c r="BR5" s="3">
        <v>12.15</v>
      </c>
      <c r="BS5" s="3">
        <v>34.64</v>
      </c>
      <c r="BT5" s="3" t="s">
        <v>821</v>
      </c>
      <c r="BU5" s="3" t="s">
        <v>49</v>
      </c>
      <c r="BV5" s="3">
        <v>4.62</v>
      </c>
      <c r="BW5" s="3">
        <v>5.0199999999999996</v>
      </c>
      <c r="BX5" s="3">
        <v>5.93</v>
      </c>
      <c r="BY5" s="3">
        <v>0.97</v>
      </c>
      <c r="BZ5" s="3">
        <v>1.55</v>
      </c>
      <c r="CA5" s="3">
        <v>2.73</v>
      </c>
      <c r="CB5" s="3">
        <v>-13.01</v>
      </c>
      <c r="CC5" s="10">
        <v>12.93</v>
      </c>
      <c r="CD5" s="11" t="s">
        <v>822</v>
      </c>
      <c r="CE5" s="10" t="s">
        <v>652</v>
      </c>
      <c r="CF5" s="10">
        <v>-0.4375</v>
      </c>
      <c r="CG5" s="10">
        <v>-0.73530180453493332</v>
      </c>
      <c r="CH5" s="10">
        <v>-0.75512117147445679</v>
      </c>
      <c r="CI5" s="10">
        <v>-6.5195165574550629E-2</v>
      </c>
      <c r="CJ5" s="11">
        <v>0.30032306909561157</v>
      </c>
      <c r="CK5" s="11">
        <v>0.27725178003311157</v>
      </c>
      <c r="CL5" s="11">
        <v>-4.3871793895959854E-2</v>
      </c>
      <c r="CM5" s="11">
        <v>-0.95251655578613281</v>
      </c>
      <c r="CN5" s="11">
        <v>-0.46653711795806885</v>
      </c>
      <c r="CO5" s="3">
        <v>0.5762711763381958</v>
      </c>
      <c r="CP5" s="3">
        <v>1.2305648326873779</v>
      </c>
      <c r="CQ5" s="3">
        <v>0.52395188808441162</v>
      </c>
      <c r="CR5" s="10">
        <v>45.938601994590655</v>
      </c>
      <c r="CS5" s="11">
        <v>8.0140392837836441</v>
      </c>
      <c r="CT5" s="3">
        <v>1.079913606911447</v>
      </c>
      <c r="CU5" s="3">
        <v>-5.7322656363248826E-2</v>
      </c>
      <c r="CV5" s="3">
        <v>0.18234684467315673</v>
      </c>
      <c r="CW5" s="3">
        <v>0.06</v>
      </c>
      <c r="CX5" s="3">
        <v>713.6045845272206</v>
      </c>
      <c r="CY5" s="3" t="s">
        <v>823</v>
      </c>
      <c r="CZ5" s="3">
        <v>-5.7322656363248826E-2</v>
      </c>
      <c r="DA5" s="3">
        <v>237.86819484240687</v>
      </c>
      <c r="DB5" s="3" t="s">
        <v>824</v>
      </c>
      <c r="DC5" s="3">
        <v>-5.4456523545086385E-2</v>
      </c>
      <c r="DD5" s="3">
        <v>118.93409742120343</v>
      </c>
      <c r="DE5" s="3" t="s">
        <v>825</v>
      </c>
      <c r="DF5" s="3">
        <v>-5.044393759965897E-2</v>
      </c>
      <c r="DG5" s="3">
        <v>71.360458452722057</v>
      </c>
      <c r="DH5" s="3" t="s">
        <v>826</v>
      </c>
      <c r="DI5" s="3">
        <v>-4.5858125090599063E-2</v>
      </c>
      <c r="DJ5" s="3">
        <v>35.680229226361028</v>
      </c>
      <c r="DK5" s="3" t="s">
        <v>827</v>
      </c>
      <c r="DL5" s="3">
        <v>-4.0125859454274174E-2</v>
      </c>
      <c r="DM5" s="3">
        <v>4711500</v>
      </c>
      <c r="DN5" s="3">
        <v>-5.7322656363248826E-2</v>
      </c>
      <c r="DO5" s="3">
        <v>3362148000</v>
      </c>
      <c r="DP5" s="3">
        <v>1467844800</v>
      </c>
      <c r="DQ5" s="12">
        <v>476</v>
      </c>
      <c r="DR5" s="3">
        <v>-0.38017734363675115</v>
      </c>
      <c r="DS5" s="3">
        <v>-0.91764864920809008</v>
      </c>
      <c r="DT5" s="3">
        <v>-0.52333333333333332</v>
      </c>
      <c r="DU5" s="3">
        <v>-0.45666666666666672</v>
      </c>
      <c r="DV5" s="3">
        <v>-0.98</v>
      </c>
      <c r="DW5" s="3">
        <v>-5.9938508839354343</v>
      </c>
      <c r="DX5" s="3">
        <v>0.24993796610169505</v>
      </c>
      <c r="DY5" s="3">
        <v>-5.1092619447882335</v>
      </c>
      <c r="DZ5" s="3">
        <v>1806</v>
      </c>
      <c r="EA5" s="3">
        <v>-5.0706460793699266</v>
      </c>
      <c r="EB5" s="13">
        <v>5</v>
      </c>
      <c r="EC5" s="3">
        <v>0.31661131384367269</v>
      </c>
      <c r="ED5" s="3">
        <v>2.8799087801096905</v>
      </c>
      <c r="EE5" s="3">
        <v>4.0515999999999996</v>
      </c>
      <c r="EF5" s="3">
        <v>4.0034099999999997</v>
      </c>
      <c r="EG5" s="3">
        <v>14.109937966101695</v>
      </c>
      <c r="EH5" s="15" t="s">
        <v>828</v>
      </c>
      <c r="EI5" s="16">
        <v>0</v>
      </c>
      <c r="EJ5" s="16">
        <v>0</v>
      </c>
      <c r="EK5" s="16">
        <v>45470</v>
      </c>
      <c r="EL5" s="16">
        <v>-10.01</v>
      </c>
      <c r="EM5" s="16">
        <v>4.93</v>
      </c>
      <c r="EN5" s="16">
        <v>1.34</v>
      </c>
      <c r="EO5" s="16">
        <v>-1.32</v>
      </c>
      <c r="EP5" s="16">
        <v>-5.5</v>
      </c>
    </row>
    <row r="6" spans="1:146" ht="96" x14ac:dyDescent="0.25">
      <c r="C6" s="7" t="str">
        <f>""&amp;CHAR(10)&amp;Basic_Fundamental_Information_Constructure(F6)&amp;CHAR(10)&amp;Basic_Fundamental_Information_Concatenate("")</f>
        <v xml:space="preserve">
市值183.69321亿, 利润1.84亿; PE23.53; 平均PE55.71; 平均PEG10.17, PB3.62; ROIC10.54%; ROE13.73%; 股利率1.166%; 毛利32.2167%; 净利12.1367%; 上一年度营收增-73.99%, 利润增-70.08%; 当季营收增-45.19%, 利润增-37.1%; 过往5年营收增-5.48%, 利润增198.61%
Income profile:
</v>
      </c>
      <c r="D6" s="3" t="s">
        <v>63</v>
      </c>
      <c r="E6" s="3" t="s">
        <v>64</v>
      </c>
      <c r="F6" s="3">
        <v>14.58</v>
      </c>
      <c r="G6" s="3">
        <v>3.26</v>
      </c>
      <c r="H6" s="3" t="s">
        <v>829</v>
      </c>
      <c r="I6" s="3">
        <v>18369321000</v>
      </c>
      <c r="J6" s="3">
        <v>23.53</v>
      </c>
      <c r="K6" s="3">
        <v>3.62</v>
      </c>
      <c r="L6" s="3" t="s">
        <v>49</v>
      </c>
      <c r="M6" s="3" t="s">
        <v>830</v>
      </c>
      <c r="N6" s="3" t="s">
        <v>831</v>
      </c>
      <c r="O6" s="3" t="s">
        <v>832</v>
      </c>
      <c r="P6" s="3">
        <v>21.62</v>
      </c>
      <c r="Q6" s="3" t="s">
        <v>832</v>
      </c>
      <c r="R6" s="3">
        <v>184297190</v>
      </c>
      <c r="S6" s="5">
        <v>0.77270000000000005</v>
      </c>
      <c r="T6" s="3" t="s">
        <v>177</v>
      </c>
      <c r="U6" s="3">
        <v>1249149130</v>
      </c>
      <c r="V6" s="3">
        <v>1259898560</v>
      </c>
      <c r="W6" s="3">
        <v>1.63</v>
      </c>
      <c r="X6" s="3">
        <v>0.15</v>
      </c>
      <c r="Y6" s="3">
        <v>14.25</v>
      </c>
      <c r="Z6" s="3" t="s">
        <v>709</v>
      </c>
      <c r="AA6" s="3" t="s">
        <v>833</v>
      </c>
      <c r="AB6" s="3" t="s">
        <v>834</v>
      </c>
      <c r="AC6" s="3" t="s">
        <v>835</v>
      </c>
      <c r="AD6" s="3" t="s">
        <v>52</v>
      </c>
      <c r="AE6" s="3">
        <v>9218714</v>
      </c>
      <c r="AF6" s="3" t="s">
        <v>836</v>
      </c>
      <c r="AG6" s="3" t="s">
        <v>837</v>
      </c>
      <c r="AH6" s="3" t="s">
        <v>838</v>
      </c>
      <c r="AI6" s="3" t="s">
        <v>839</v>
      </c>
      <c r="AJ6" s="3" t="s">
        <v>840</v>
      </c>
      <c r="AK6" s="3" t="s">
        <v>841</v>
      </c>
      <c r="AL6" s="3" t="s">
        <v>842</v>
      </c>
      <c r="AM6" s="3" t="s">
        <v>52</v>
      </c>
      <c r="AN6" s="3" t="s">
        <v>843</v>
      </c>
      <c r="AO6" s="3" t="s">
        <v>844</v>
      </c>
      <c r="AP6" s="3" t="s">
        <v>717</v>
      </c>
      <c r="AQ6" s="3" t="s">
        <v>114</v>
      </c>
      <c r="AR6" s="3" t="s">
        <v>52</v>
      </c>
      <c r="AS6" s="3" t="s">
        <v>845</v>
      </c>
      <c r="AT6" s="3" t="s">
        <v>846</v>
      </c>
      <c r="AU6" s="3" t="s">
        <v>847</v>
      </c>
      <c r="AV6" s="3" t="s">
        <v>848</v>
      </c>
      <c r="AW6" s="3" t="s">
        <v>849</v>
      </c>
      <c r="AX6" s="3" t="s">
        <v>562</v>
      </c>
      <c r="AY6" s="3" t="s">
        <v>299</v>
      </c>
      <c r="AZ6" s="3" t="s">
        <v>65</v>
      </c>
      <c r="BA6" s="3" t="s">
        <v>70</v>
      </c>
      <c r="BB6" s="3" t="s">
        <v>71</v>
      </c>
      <c r="BC6" s="3" t="s">
        <v>665</v>
      </c>
      <c r="BD6" s="3" t="s">
        <v>300</v>
      </c>
      <c r="BE6" s="3" t="s">
        <v>66</v>
      </c>
      <c r="BF6" s="3" t="s">
        <v>72</v>
      </c>
      <c r="BG6" s="3" t="s">
        <v>73</v>
      </c>
      <c r="BH6" s="3" t="s">
        <v>850</v>
      </c>
      <c r="BI6" s="3" t="s">
        <v>561</v>
      </c>
      <c r="BJ6" s="3" t="s">
        <v>562</v>
      </c>
      <c r="BK6" s="3" t="s">
        <v>389</v>
      </c>
      <c r="BL6" s="3" t="s">
        <v>395</v>
      </c>
      <c r="BM6" s="3" t="s">
        <v>665</v>
      </c>
      <c r="BN6" s="3">
        <v>8.4</v>
      </c>
      <c r="BO6" s="3">
        <v>11.68</v>
      </c>
      <c r="BP6" s="3">
        <v>11.54</v>
      </c>
      <c r="BQ6" s="3">
        <v>10.44</v>
      </c>
      <c r="BR6" s="3">
        <v>15.08</v>
      </c>
      <c r="BS6" s="3">
        <v>15.67</v>
      </c>
      <c r="BT6" s="3" t="s">
        <v>851</v>
      </c>
      <c r="BU6" s="3" t="s">
        <v>49</v>
      </c>
      <c r="BV6" s="3">
        <v>32.630000000000003</v>
      </c>
      <c r="BW6" s="3">
        <v>31.53</v>
      </c>
      <c r="BX6" s="3">
        <v>32.49</v>
      </c>
      <c r="BY6" s="3">
        <v>13.24</v>
      </c>
      <c r="BZ6" s="3">
        <v>12.36</v>
      </c>
      <c r="CA6" s="3">
        <v>10.81</v>
      </c>
      <c r="CB6" s="3">
        <v>3.26</v>
      </c>
      <c r="CC6" s="3">
        <v>2.68</v>
      </c>
      <c r="CD6" s="3" t="s">
        <v>852</v>
      </c>
      <c r="CE6" s="3" t="s">
        <v>853</v>
      </c>
      <c r="CF6" s="10">
        <v>-0.45185477505919497</v>
      </c>
      <c r="CG6" s="11">
        <v>-0.37099935153583619</v>
      </c>
      <c r="CH6" s="10">
        <v>-0.73993635177612305</v>
      </c>
      <c r="CI6" s="10">
        <v>-1.2206375598907471E-2</v>
      </c>
      <c r="CJ6" s="10">
        <v>0.32039070129394531</v>
      </c>
      <c r="CK6" s="10">
        <v>2.9411813244223595E-2</v>
      </c>
      <c r="CL6" s="10">
        <v>0.12851062417030334</v>
      </c>
      <c r="CM6" s="11">
        <v>-0.70081299543380737</v>
      </c>
      <c r="CN6" s="11">
        <v>0.11211573332548141</v>
      </c>
      <c r="CO6" s="11">
        <v>0.39646464586257935</v>
      </c>
      <c r="CP6" s="11">
        <v>0.88571429252624512</v>
      </c>
      <c r="CQ6" s="11">
        <v>9.236811637878418</v>
      </c>
      <c r="CR6" s="3">
        <v>55.706411407105392</v>
      </c>
      <c r="CS6" s="3">
        <v>10.171729738625686</v>
      </c>
      <c r="CT6" s="3">
        <v>1.1659807956104251</v>
      </c>
      <c r="CU6" s="10">
        <v>-5.4765917733311652E-2</v>
      </c>
      <c r="CV6" s="11">
        <v>1.9860586628317833</v>
      </c>
      <c r="CW6" s="3">
        <v>0.06</v>
      </c>
      <c r="CX6" s="3">
        <v>88.393048913043472</v>
      </c>
      <c r="CY6" s="3" t="s">
        <v>854</v>
      </c>
      <c r="CZ6" s="3">
        <v>-5.4765917733311652E-2</v>
      </c>
      <c r="DA6" s="3">
        <v>29.46434963768116</v>
      </c>
      <c r="DB6" s="3" t="s">
        <v>855</v>
      </c>
      <c r="DC6" s="3">
        <v>-5.2027621846646069E-2</v>
      </c>
      <c r="DD6" s="3">
        <v>14.73217481884058</v>
      </c>
      <c r="DE6" s="3" t="s">
        <v>856</v>
      </c>
      <c r="DF6" s="3">
        <v>-4.8194007605314254E-2</v>
      </c>
      <c r="DG6" s="3">
        <v>8.8393048913043479</v>
      </c>
      <c r="DH6" s="3" t="s">
        <v>857</v>
      </c>
      <c r="DI6" s="3">
        <v>-4.3812734186649327E-2</v>
      </c>
      <c r="DJ6" s="3">
        <v>4.419652445652174</v>
      </c>
      <c r="DK6" s="3" t="s">
        <v>858</v>
      </c>
      <c r="DL6" s="3">
        <v>-3.8336142413318154E-2</v>
      </c>
      <c r="DM6" s="3">
        <v>184000000</v>
      </c>
      <c r="DN6" s="3">
        <v>-5.4765917733311652E-2</v>
      </c>
      <c r="DO6" s="3">
        <v>16264321000</v>
      </c>
      <c r="DP6" s="3">
        <v>2188314600</v>
      </c>
      <c r="DQ6" s="3">
        <v>642</v>
      </c>
      <c r="DR6" s="3">
        <v>-0.39708885732588334</v>
      </c>
      <c r="DS6" s="3">
        <v>-2.3570580143676194</v>
      </c>
      <c r="DT6" s="12">
        <v>-0.64</v>
      </c>
      <c r="DU6" s="3">
        <v>0.3166666666666666</v>
      </c>
      <c r="DV6" s="3">
        <v>-0.32333333333333342</v>
      </c>
      <c r="DW6" s="3">
        <v>4.8220858895705518</v>
      </c>
      <c r="DX6" s="3">
        <v>0.38885246694200576</v>
      </c>
      <c r="DY6" s="3">
        <v>4.1552529482836116</v>
      </c>
      <c r="DZ6" s="3">
        <v>189</v>
      </c>
      <c r="EA6" s="3">
        <v>4.1495107159498339</v>
      </c>
      <c r="EB6" s="3">
        <v>4</v>
      </c>
      <c r="EC6" s="3">
        <v>0.45717966373419777</v>
      </c>
      <c r="ED6" s="3">
        <v>2.4208298166480957</v>
      </c>
      <c r="EE6" s="13">
        <v>4.07491</v>
      </c>
      <c r="EF6" s="3">
        <v>4.13971</v>
      </c>
      <c r="EG6" s="3">
        <v>20.188852466942006</v>
      </c>
      <c r="EH6" s="3" t="s">
        <v>828</v>
      </c>
      <c r="EI6" s="3">
        <v>0</v>
      </c>
      <c r="EJ6" s="3">
        <v>1</v>
      </c>
      <c r="EK6" s="15">
        <v>45470</v>
      </c>
      <c r="EL6" s="16">
        <v>5.18</v>
      </c>
      <c r="EM6" s="16">
        <v>-6.18</v>
      </c>
      <c r="EN6" s="16">
        <v>-2</v>
      </c>
      <c r="EO6" s="16">
        <v>3.62</v>
      </c>
      <c r="EP6" s="16">
        <v>-6.48</v>
      </c>
    </row>
    <row r="7" spans="1:146" ht="96" x14ac:dyDescent="0.25">
      <c r="C7" s="7" t="str">
        <f>""&amp;CHAR(10)&amp;Basic_Fundamental_Information_Constructure(F7)&amp;CHAR(10)&amp;Basic_Fundamental_Information_Concatenate("")</f>
        <v xml:space="preserve">
市值33.658962亿, 利润8658.58万; PE27.07; 平均PE173.44; 平均PEG15.26, PB2.12; ROIC2.28%; ROE-1.4933%; 股利率.3956%; 毛利39.1233%; 净利-5.2567%; 上一年度营收增-77.34%, 利润增388.4%; 当季营收增-53.62%, 利润增58.43%; 过往5年营收增-11.36%, 利润增176.81%
Income profile:
</v>
      </c>
      <c r="D7" s="3" t="s">
        <v>77</v>
      </c>
      <c r="E7" s="3" t="s">
        <v>78</v>
      </c>
      <c r="F7" s="3">
        <v>4.55</v>
      </c>
      <c r="G7" s="3">
        <v>2.02</v>
      </c>
      <c r="H7" s="3" t="s">
        <v>859</v>
      </c>
      <c r="I7" s="3">
        <v>3365896200</v>
      </c>
      <c r="J7" s="3">
        <v>27.07</v>
      </c>
      <c r="K7" s="3">
        <v>2.12</v>
      </c>
      <c r="L7" s="3" t="s">
        <v>49</v>
      </c>
      <c r="M7" s="3" t="s">
        <v>860</v>
      </c>
      <c r="N7" s="3" t="s">
        <v>655</v>
      </c>
      <c r="O7" s="3" t="s">
        <v>587</v>
      </c>
      <c r="P7" s="3">
        <v>3.14</v>
      </c>
      <c r="Q7" s="3" t="s">
        <v>587</v>
      </c>
      <c r="R7" s="3">
        <v>86585831</v>
      </c>
      <c r="S7" s="5">
        <v>9.9830000000000005</v>
      </c>
      <c r="T7" s="3" t="s">
        <v>861</v>
      </c>
      <c r="U7" s="3">
        <v>713459300</v>
      </c>
      <c r="V7" s="3">
        <v>739757400</v>
      </c>
      <c r="W7" s="3">
        <v>1.8</v>
      </c>
      <c r="X7" s="3">
        <v>0.04</v>
      </c>
      <c r="Y7" s="3">
        <v>78.09</v>
      </c>
      <c r="Z7" s="3" t="s">
        <v>81</v>
      </c>
      <c r="AA7" s="3" t="s">
        <v>862</v>
      </c>
      <c r="AB7" s="3" t="s">
        <v>863</v>
      </c>
      <c r="AC7" s="3" t="s">
        <v>864</v>
      </c>
      <c r="AD7" s="3" t="s">
        <v>52</v>
      </c>
      <c r="AE7" s="3">
        <v>8462672</v>
      </c>
      <c r="AF7" s="3" t="s">
        <v>865</v>
      </c>
      <c r="AG7" s="3" t="s">
        <v>866</v>
      </c>
      <c r="AH7" s="3" t="s">
        <v>867</v>
      </c>
      <c r="AI7" s="3" t="s">
        <v>868</v>
      </c>
      <c r="AJ7" s="3" t="s">
        <v>869</v>
      </c>
      <c r="AK7" s="3" t="s">
        <v>870</v>
      </c>
      <c r="AL7" s="3" t="s">
        <v>871</v>
      </c>
      <c r="AM7" s="3" t="s">
        <v>52</v>
      </c>
      <c r="AN7" s="3" t="s">
        <v>697</v>
      </c>
      <c r="AO7" s="3" t="s">
        <v>684</v>
      </c>
      <c r="AP7" s="3" t="s">
        <v>872</v>
      </c>
      <c r="AQ7" s="3" t="s">
        <v>384</v>
      </c>
      <c r="AR7" s="3" t="s">
        <v>52</v>
      </c>
      <c r="AS7" s="3" t="s">
        <v>873</v>
      </c>
      <c r="AT7" s="3" t="s">
        <v>640</v>
      </c>
      <c r="AU7" s="3" t="s">
        <v>874</v>
      </c>
      <c r="AV7" s="3" t="s">
        <v>875</v>
      </c>
      <c r="AW7" s="3" t="s">
        <v>876</v>
      </c>
      <c r="AX7" s="3" t="s">
        <v>155</v>
      </c>
      <c r="AY7" s="3" t="s">
        <v>303</v>
      </c>
      <c r="AZ7" s="3" t="s">
        <v>79</v>
      </c>
      <c r="BA7" s="3" t="s">
        <v>75</v>
      </c>
      <c r="BB7" s="3" t="s">
        <v>82</v>
      </c>
      <c r="BC7" s="3" t="s">
        <v>566</v>
      </c>
      <c r="BD7" s="3" t="s">
        <v>304</v>
      </c>
      <c r="BE7" s="3" t="s">
        <v>80</v>
      </c>
      <c r="BF7" s="3" t="s">
        <v>69</v>
      </c>
      <c r="BG7" s="3" t="s">
        <v>84</v>
      </c>
      <c r="BH7" s="3" t="s">
        <v>627</v>
      </c>
      <c r="BI7" s="3" t="s">
        <v>565</v>
      </c>
      <c r="BJ7" s="3" t="s">
        <v>155</v>
      </c>
      <c r="BK7" s="3" t="s">
        <v>877</v>
      </c>
      <c r="BL7" s="3" t="s">
        <v>654</v>
      </c>
      <c r="BM7" s="3" t="s">
        <v>566</v>
      </c>
      <c r="BN7" s="3">
        <v>2.2799999999999998</v>
      </c>
      <c r="BO7" s="3" t="s">
        <v>52</v>
      </c>
      <c r="BP7" s="3" t="s">
        <v>52</v>
      </c>
      <c r="BQ7" s="3">
        <v>2.08</v>
      </c>
      <c r="BR7" s="3">
        <v>-2.08</v>
      </c>
      <c r="BS7" s="3">
        <v>-4.4800000000000004</v>
      </c>
      <c r="BT7" s="3" t="s">
        <v>878</v>
      </c>
      <c r="BU7" s="3" t="s">
        <v>49</v>
      </c>
      <c r="BV7" s="3">
        <v>41.93</v>
      </c>
      <c r="BW7" s="3">
        <v>39.4</v>
      </c>
      <c r="BX7" s="3">
        <v>36.04</v>
      </c>
      <c r="BY7" s="3">
        <v>4.5999999999999996</v>
      </c>
      <c r="BZ7" s="3">
        <v>-6.49</v>
      </c>
      <c r="CA7" s="3">
        <v>-13.88</v>
      </c>
      <c r="CB7" s="3">
        <v>-1.52</v>
      </c>
      <c r="CC7" s="3">
        <v>-7.33</v>
      </c>
      <c r="CD7" s="3" t="s">
        <v>879</v>
      </c>
      <c r="CE7" s="3" t="s">
        <v>98</v>
      </c>
      <c r="CF7" s="10">
        <v>-0.53617021276595733</v>
      </c>
      <c r="CG7" s="11">
        <v>0.58428322324483561</v>
      </c>
      <c r="CH7" s="10">
        <v>-0.77338880300521851</v>
      </c>
      <c r="CI7" s="10">
        <v>-2.2357722744345665E-2</v>
      </c>
      <c r="CJ7" s="10">
        <v>3.7974681705236435E-2</v>
      </c>
      <c r="CK7" s="10">
        <v>-0.24642288684844971</v>
      </c>
      <c r="CL7" s="10">
        <v>0.43607306480407715</v>
      </c>
      <c r="CM7" s="11">
        <v>3.8839919567108154</v>
      </c>
      <c r="CN7" s="11">
        <v>0.54596817493438721</v>
      </c>
      <c r="CO7" s="11">
        <v>0.84902948141098022</v>
      </c>
      <c r="CP7" s="11">
        <v>-1.5895019769668579</v>
      </c>
      <c r="CQ7" s="11">
        <v>5.1508378982543945</v>
      </c>
      <c r="CR7" s="3">
        <v>173.4434796947383</v>
      </c>
      <c r="CS7" s="3">
        <v>15.264642245456868</v>
      </c>
      <c r="CT7" s="3">
        <v>0.39560439560439559</v>
      </c>
      <c r="CU7" s="10">
        <v>-0.11362433321774006</v>
      </c>
      <c r="CV7" s="11">
        <v>1.7680651068687439</v>
      </c>
      <c r="CW7" s="3">
        <v>0.06</v>
      </c>
      <c r="CX7" s="3">
        <v>34.854401068073521</v>
      </c>
      <c r="CY7" s="3" t="s">
        <v>880</v>
      </c>
      <c r="CZ7" s="3">
        <v>-0.11362433321774006</v>
      </c>
      <c r="DA7" s="3">
        <v>11.618133689357839</v>
      </c>
      <c r="DB7" s="3" t="s">
        <v>881</v>
      </c>
      <c r="DC7" s="3">
        <v>-0.10794311655685304</v>
      </c>
      <c r="DD7" s="3">
        <v>5.8090668446789193</v>
      </c>
      <c r="DE7" s="3" t="s">
        <v>882</v>
      </c>
      <c r="DF7" s="3">
        <v>-9.9989413231611243E-2</v>
      </c>
      <c r="DG7" s="3">
        <v>3.4854401068073519</v>
      </c>
      <c r="DH7" s="3" t="s">
        <v>883</v>
      </c>
      <c r="DI7" s="3">
        <v>-9.0899466574192053E-2</v>
      </c>
      <c r="DJ7" s="3">
        <v>1.742720053403676</v>
      </c>
      <c r="DK7" s="3" t="s">
        <v>884</v>
      </c>
      <c r="DL7" s="3">
        <v>-7.9537033252418038E-2</v>
      </c>
      <c r="DM7" s="3">
        <v>86585800</v>
      </c>
      <c r="DN7" s="3">
        <v>-0.11362433321774006</v>
      </c>
      <c r="DO7" s="3">
        <v>3017896200</v>
      </c>
      <c r="DP7" s="3">
        <v>324540120</v>
      </c>
      <c r="DQ7" s="3">
        <v>671</v>
      </c>
      <c r="DR7" s="3">
        <v>-0.42254587954821726</v>
      </c>
      <c r="DS7" s="3">
        <v>-1.1837818836239082</v>
      </c>
      <c r="DT7" s="12">
        <v>-0.79</v>
      </c>
      <c r="DU7" s="3">
        <v>-0.15333333333333352</v>
      </c>
      <c r="DV7" s="3">
        <v>-0.94333333333333358</v>
      </c>
      <c r="DW7" s="3">
        <v>-2.0733000000000001</v>
      </c>
      <c r="DX7" s="3">
        <v>0.33007142857142996</v>
      </c>
      <c r="DY7" s="3">
        <v>-2.0095342357142858</v>
      </c>
      <c r="DZ7" s="3">
        <v>1861</v>
      </c>
      <c r="EA7" s="3">
        <v>-2.006061982746715</v>
      </c>
      <c r="EB7" s="3">
        <v>2</v>
      </c>
      <c r="EC7" s="3">
        <v>6.2771254468018844E-2</v>
      </c>
      <c r="ED7" s="3">
        <v>0.48259064390569123</v>
      </c>
      <c r="EE7" s="13">
        <v>6.5409999999999996E-2</v>
      </c>
      <c r="EF7" s="3">
        <v>8.6910000000000001E-2</v>
      </c>
      <c r="EG7" s="3">
        <v>20.13007142857143</v>
      </c>
      <c r="EH7" s="3">
        <v>-1</v>
      </c>
      <c r="EI7" s="3">
        <v>0</v>
      </c>
      <c r="EJ7" s="3">
        <v>0</v>
      </c>
      <c r="EK7" s="15">
        <v>45470</v>
      </c>
      <c r="EL7" s="16">
        <v>-1.07</v>
      </c>
      <c r="EM7" s="16">
        <v>-4.75</v>
      </c>
      <c r="EN7" s="16">
        <v>-0.68</v>
      </c>
      <c r="EO7" s="16">
        <v>6.16</v>
      </c>
      <c r="EP7" s="16">
        <v>-2.15</v>
      </c>
    </row>
    <row r="8" spans="1:146" ht="165.4" customHeight="1" x14ac:dyDescent="0.25">
      <c r="A8" s="9" t="s">
        <v>282</v>
      </c>
      <c r="B8" s="9" t="s">
        <v>283</v>
      </c>
      <c r="C8" s="7" t="str">
        <f>"公司的主营业务主要围绕电子信息行业开展，根据业务性质不同可分为“电子制程方案服务”，“电子制程产品服务”及“产业配套服务”。公司主要产品包括制程产品、建筑装饰新材、产业配套服务、租赁。"&amp;CHAR(10)&amp;Basic_Fundamental_Information_Constructure(F8)&amp;CHAR(10)&amp;Basic_Fundamental_Information_Concatenate("电子制程行业 6.95亿 68.61% 65.31% 10.09%
电解液行业 2.12亿 20.89% -2.09% -1.06%
化工材料制造-胶粘剂 1.01亿 10.01% 34.61% 36.66%
物业租赁 414.65万 0.41% 1.89% 49.05%")</f>
        <v>公司的主营业务主要围绕电子信息行业开展，根据业务性质不同可分为“电子制程方案服务”，“电子制程产品服务”及“产业配套服务”。公司主要产品包括制程产品、建筑装饰新材、产业配套服务、租赁。
市值15.372408亿, 利润432.08万; PE; 平均PE41.06; 平均PEG7.02, PB1.28; ROIC-.02%; ROE1.9867%; 股利率0%; 毛利11.5%; 净利-3.3633%; 上一年度营收增-73.54%, 利润增-26.02%; 当季营收增-54.49%, 利润增-55.85%; 过往5年营收增5.85%, 利润增-6.76%
Income profile:
电子制程行业 6.95亿 68.61% 65.31% 10.09%
电解液行业 2.12亿 20.89% -2.09% -1.06%
化工材料制造-胶粘剂 1.01亿 10.01% 34.61% 36.66%
物业租赁 414.65万 0.41% 1.89% 49.05%</v>
      </c>
      <c r="D8" s="3" t="s">
        <v>87</v>
      </c>
      <c r="E8" s="3" t="s">
        <v>88</v>
      </c>
      <c r="F8" s="3">
        <v>3</v>
      </c>
      <c r="G8" s="3">
        <v>0.67</v>
      </c>
      <c r="H8" s="3" t="s">
        <v>885</v>
      </c>
      <c r="I8" s="3">
        <v>1537240800</v>
      </c>
      <c r="K8" s="3">
        <v>1.28</v>
      </c>
      <c r="L8" s="3" t="s">
        <v>49</v>
      </c>
      <c r="M8" s="3" t="s">
        <v>886</v>
      </c>
      <c r="N8" s="3" t="s">
        <v>643</v>
      </c>
      <c r="O8" s="3" t="s">
        <v>426</v>
      </c>
      <c r="P8" s="3">
        <v>0.61</v>
      </c>
      <c r="Q8" s="3" t="s">
        <v>426</v>
      </c>
      <c r="R8" s="3">
        <v>4320750</v>
      </c>
      <c r="S8" s="5">
        <v>-0.57179999999999997</v>
      </c>
      <c r="T8" s="3" t="s">
        <v>887</v>
      </c>
      <c r="U8" s="3">
        <v>499044850</v>
      </c>
      <c r="V8" s="3">
        <v>512413600</v>
      </c>
      <c r="W8" s="3">
        <v>2.0299999999999998</v>
      </c>
      <c r="X8" s="3">
        <v>0.15</v>
      </c>
      <c r="Y8" s="3">
        <v>7.0000000000000007E-2</v>
      </c>
      <c r="Z8" s="3" t="s">
        <v>888</v>
      </c>
      <c r="AA8" s="3" t="s">
        <v>352</v>
      </c>
      <c r="AB8" s="3" t="s">
        <v>889</v>
      </c>
      <c r="AC8" s="3" t="s">
        <v>890</v>
      </c>
      <c r="AD8" s="3" t="s">
        <v>52</v>
      </c>
      <c r="AE8" s="3">
        <v>8844316</v>
      </c>
      <c r="AF8" s="3" t="s">
        <v>891</v>
      </c>
      <c r="AG8" s="3" t="s">
        <v>892</v>
      </c>
      <c r="AH8" s="3" t="s">
        <v>893</v>
      </c>
      <c r="AI8" s="3" t="s">
        <v>255</v>
      </c>
      <c r="AJ8" s="3" t="s">
        <v>894</v>
      </c>
      <c r="AK8" s="3" t="s">
        <v>694</v>
      </c>
      <c r="AL8" s="3" t="s">
        <v>895</v>
      </c>
      <c r="AM8" s="3" t="s">
        <v>52</v>
      </c>
      <c r="AN8" s="3" t="s">
        <v>896</v>
      </c>
      <c r="AO8" s="3" t="s">
        <v>897</v>
      </c>
      <c r="AP8" s="3" t="s">
        <v>898</v>
      </c>
      <c r="AQ8" s="3" t="s">
        <v>704</v>
      </c>
      <c r="AR8" s="3" t="s">
        <v>52</v>
      </c>
      <c r="AS8" s="3" t="s">
        <v>899</v>
      </c>
      <c r="AT8" s="3" t="s">
        <v>900</v>
      </c>
      <c r="AU8" s="3" t="s">
        <v>901</v>
      </c>
      <c r="AV8" s="3" t="s">
        <v>902</v>
      </c>
      <c r="AW8" s="3" t="s">
        <v>565</v>
      </c>
      <c r="AX8" s="3" t="s">
        <v>903</v>
      </c>
      <c r="AY8" s="3" t="s">
        <v>904</v>
      </c>
      <c r="AZ8" s="3" t="s">
        <v>905</v>
      </c>
      <c r="BA8" s="3" t="s">
        <v>899</v>
      </c>
      <c r="BB8" s="3" t="s">
        <v>91</v>
      </c>
      <c r="BC8" s="3" t="s">
        <v>906</v>
      </c>
      <c r="BD8" s="3" t="s">
        <v>305</v>
      </c>
      <c r="BE8" s="3" t="s">
        <v>89</v>
      </c>
      <c r="BF8" s="3" t="s">
        <v>92</v>
      </c>
      <c r="BG8" s="3" t="s">
        <v>93</v>
      </c>
      <c r="BH8" s="3" t="s">
        <v>907</v>
      </c>
      <c r="BI8" s="3" t="s">
        <v>567</v>
      </c>
      <c r="BJ8" s="3" t="s">
        <v>903</v>
      </c>
      <c r="BK8" s="3" t="s">
        <v>908</v>
      </c>
      <c r="BL8" s="3" t="s">
        <v>909</v>
      </c>
      <c r="BM8" s="3" t="s">
        <v>906</v>
      </c>
      <c r="BN8" s="3">
        <v>-2.91</v>
      </c>
      <c r="BO8" s="3">
        <v>0.31</v>
      </c>
      <c r="BP8" s="3">
        <v>2.54</v>
      </c>
      <c r="BQ8" s="3">
        <v>-0.68</v>
      </c>
      <c r="BR8" s="3">
        <v>1.71</v>
      </c>
      <c r="BS8" s="3">
        <v>4.93</v>
      </c>
      <c r="BT8" s="3" t="s">
        <v>519</v>
      </c>
      <c r="BU8" s="3" t="s">
        <v>49</v>
      </c>
      <c r="BV8" s="3">
        <v>10.83</v>
      </c>
      <c r="BW8" s="3">
        <v>13.28</v>
      </c>
      <c r="BX8" s="3">
        <v>10.39</v>
      </c>
      <c r="BY8" s="3">
        <v>-12.58</v>
      </c>
      <c r="BZ8" s="3">
        <v>0.3</v>
      </c>
      <c r="CA8" s="3">
        <v>2.19</v>
      </c>
      <c r="CB8" s="3">
        <v>-4.76</v>
      </c>
      <c r="CC8" s="3">
        <v>-23.27</v>
      </c>
      <c r="CD8" s="3" t="s">
        <v>910</v>
      </c>
      <c r="CE8" s="3" t="s">
        <v>196</v>
      </c>
      <c r="CF8" s="10">
        <v>-0.54491609081934844</v>
      </c>
      <c r="CG8" s="11">
        <v>-0.55848992979982215</v>
      </c>
      <c r="CH8" s="10">
        <v>-0.73536163568496704</v>
      </c>
      <c r="CI8" s="10">
        <v>-0.23090505599975586</v>
      </c>
      <c r="CJ8" s="10">
        <v>0.12742657959461212</v>
      </c>
      <c r="CK8" s="10">
        <v>0.33399730920791626</v>
      </c>
      <c r="CL8" s="10">
        <v>0.79713600873947144</v>
      </c>
      <c r="CM8" s="11">
        <v>-0.26017498970031738</v>
      </c>
      <c r="CN8" s="11">
        <v>-0.90332949161529541</v>
      </c>
      <c r="CO8" s="11">
        <v>-0.13816198706626892</v>
      </c>
      <c r="CP8" s="11">
        <v>0.35392758250236511</v>
      </c>
      <c r="CQ8" s="11">
        <v>0.60971391201019287</v>
      </c>
      <c r="CR8" s="3">
        <v>41.063479929817476</v>
      </c>
      <c r="CS8" s="3">
        <v>7.0243644236240401</v>
      </c>
      <c r="CT8" s="3">
        <v>0</v>
      </c>
      <c r="CU8" s="10">
        <v>5.8458641171455383E-2</v>
      </c>
      <c r="CV8" s="11">
        <v>-6.7604994773864752E-2</v>
      </c>
      <c r="CW8" s="3">
        <v>0.06</v>
      </c>
      <c r="CX8" s="3">
        <v>335.20340184588582</v>
      </c>
      <c r="CY8" s="3">
        <v>4314517.0724279471</v>
      </c>
      <c r="CZ8" s="3">
        <v>5.8458641171455383E-2</v>
      </c>
      <c r="DA8" s="3">
        <v>112.51708745401913</v>
      </c>
      <c r="DB8" s="3">
        <v>12853521.475935964</v>
      </c>
      <c r="DC8" s="3">
        <v>5.5535709112882609E-2</v>
      </c>
      <c r="DD8" s="3">
        <v>57.385633178303991</v>
      </c>
      <c r="DE8" s="3">
        <v>25202140.673543807</v>
      </c>
      <c r="DF8" s="3">
        <v>5.1443604230880735E-2</v>
      </c>
      <c r="DG8" s="3">
        <v>35.842730498190292</v>
      </c>
      <c r="DH8" s="3">
        <v>40349626.82525041</v>
      </c>
      <c r="DI8" s="3">
        <v>4.6766912937164312E-2</v>
      </c>
      <c r="DJ8" s="3">
        <v>20.141507666364184</v>
      </c>
      <c r="DK8" s="3">
        <v>71803999.182006925</v>
      </c>
      <c r="DL8" s="3">
        <v>4.0921048820018763E-2</v>
      </c>
      <c r="DM8" s="3">
        <v>4320800</v>
      </c>
      <c r="DN8" s="3">
        <v>5.8458641171455383E-2</v>
      </c>
      <c r="DO8" s="3">
        <v>1446240800</v>
      </c>
      <c r="DP8" s="3">
        <v>561311400</v>
      </c>
      <c r="DQ8" s="3">
        <v>894</v>
      </c>
      <c r="DR8" s="3">
        <v>-0.60337473199080383</v>
      </c>
      <c r="DS8" s="3">
        <v>-0.49088493502595743</v>
      </c>
      <c r="DT8" s="12">
        <v>-0.60666666666666669</v>
      </c>
      <c r="DU8" s="3">
        <v>-0.37000000000000005</v>
      </c>
      <c r="DV8" s="3">
        <v>-0.97666666666666679</v>
      </c>
      <c r="DW8" s="3">
        <v>-8.2045552213149975</v>
      </c>
      <c r="DX8" s="3">
        <v>0.43668269230769186</v>
      </c>
      <c r="DY8" s="3">
        <v>-8.0340958150143802</v>
      </c>
      <c r="DZ8" s="3">
        <v>3836</v>
      </c>
      <c r="EA8" s="3">
        <v>-8.0085006004556405</v>
      </c>
      <c r="EB8" s="3">
        <v>8</v>
      </c>
      <c r="EC8" s="3">
        <v>0.10149028050777731</v>
      </c>
      <c r="ED8" s="3">
        <v>0.6088831365912224</v>
      </c>
      <c r="EE8" s="13">
        <v>-2.0880000000000001</v>
      </c>
      <c r="EF8" s="3">
        <v>-2.0569000000000002</v>
      </c>
      <c r="EG8" s="3">
        <v>27.166682692307692</v>
      </c>
      <c r="EH8" s="3" t="s">
        <v>588</v>
      </c>
      <c r="EI8" s="3">
        <v>0</v>
      </c>
      <c r="EJ8" s="3">
        <v>0</v>
      </c>
      <c r="EK8" s="15">
        <v>45470</v>
      </c>
      <c r="EL8" s="16">
        <v>-0.91</v>
      </c>
      <c r="EM8" s="16">
        <v>-5.54</v>
      </c>
      <c r="EN8" s="16">
        <v>-1.3</v>
      </c>
      <c r="EO8" s="16">
        <v>6.27</v>
      </c>
      <c r="EP8" s="16">
        <v>-3.11</v>
      </c>
    </row>
    <row r="9" spans="1:146" ht="249.4" customHeight="1" x14ac:dyDescent="0.25">
      <c r="A9" s="7" t="s">
        <v>373</v>
      </c>
      <c r="B9" s="7" t="s">
        <v>374</v>
      </c>
      <c r="C9" s="7" t="str">
        <f>"公司的主营业务是为客户提供专业照明解决方案及照明工程施工、设计和维保业务，产品涵盖固定照明设备、移动照明设备和便携照明设备三大系列；在工业照明领域中，按照使用环境来看，主要分为专业环境照明和普通环境照明，专业环境照明主要应用领域包括易燃易爆、强振动、强冲击、强腐蚀、高低温、高湿、高压力、电磁干扰、宽电压输入等环境。与其他领域照明环境相比，专业环境照明对灯具的各项参数均要求较高，同时根据具体应用的环境不同，需要有相关的专业安全认证，对照明系统的工作可靠性和功能性提出较正常环境更高的要求。"&amp;CHAR(10)&amp;Basic_Fundamental_Information_Constructure(F9)&amp;CHAR(10)&amp;Basic_Fundamental_Information_Concatenate("固定照明设备 10.35亿 49.00% 55.50% 69.79%
工程施工 3.88亿 18.35% 9.11% 30.58%
便携照明设备 3.36亿 15.91% 17.90% 69.34%
移动照明设备 3.19亿 15.11% 16.03% 65.33%
设计服务 2173.64万 1.03% 1.18% 70.65%
管养服务 1262.67万 0.60% 0.28% 29.11%")</f>
        <v>公司的主营业务是为客户提供专业照明解决方案及照明工程施工、设计和维保业务，产品涵盖固定照明设备、移动照明设备和便携照明设备三大系列；在工业照明领域中，按照使用环境来看，主要分为专业环境照明和普通环境照明，专业环境照明主要应用领域包括易燃易爆、强振动、强冲击、强腐蚀、高低温、高湿、高压力、电磁干扰、宽电压输入等环境。与其他领域照明环境相比，专业环境照明对灯具的各项参数均要求较高，同时根据具体应用的环境不同，需要有相关的专业安全认证，对照明系统的工作可靠性和功能性提出较正常环境更高的要求。
市值33.945912亿, 利润33.63万; PE99.19; 平均PE15.92; 平均PEG1.75, PB1.21; ROIC7.0533%; ROE7.3667%; 股利率.9091%; 毛利59.3267%; 净利9.6333%; 上一年度营收增-84.89%, 利润增-99.76%; 当季营收增-68.77%, 利润增-99.58%; 过往5年营收增-9.11%, 利润增-16.34%
Income profile:
固定照明设备 10.35亿 49.00% 55.50% 69.79%
工程施工 3.88亿 18.35% 9.11% 30.58%
便携照明设备 3.36亿 15.91% 17.90% 69.34%
移动照明设备 3.19亿 15.11% 16.03% 65.33%
设计服务 2173.64万 1.03% 1.18% 70.65%
管养服务 1262.67万 0.60% 0.28% 29.11%</v>
      </c>
      <c r="D9" s="3" t="s">
        <v>94</v>
      </c>
      <c r="E9" s="3" t="s">
        <v>95</v>
      </c>
      <c r="F9" s="3">
        <v>4.4000000000000004</v>
      </c>
      <c r="G9" s="3">
        <v>1.38</v>
      </c>
      <c r="H9" s="3" t="s">
        <v>911</v>
      </c>
      <c r="I9" s="3">
        <v>3394591200</v>
      </c>
      <c r="J9" s="3">
        <v>99.19</v>
      </c>
      <c r="K9" s="3">
        <v>1.21</v>
      </c>
      <c r="L9" s="3" t="s">
        <v>49</v>
      </c>
      <c r="M9" s="3" t="s">
        <v>912</v>
      </c>
      <c r="N9" s="3" t="s">
        <v>913</v>
      </c>
      <c r="O9" s="3" t="s">
        <v>678</v>
      </c>
      <c r="P9" s="3">
        <v>-17.21</v>
      </c>
      <c r="Q9" s="3" t="s">
        <v>678</v>
      </c>
      <c r="R9" s="3">
        <v>336271</v>
      </c>
      <c r="S9" s="5">
        <v>-0.96560000000000001</v>
      </c>
      <c r="T9" s="3" t="s">
        <v>914</v>
      </c>
      <c r="U9" s="3">
        <v>571765620</v>
      </c>
      <c r="V9" s="3">
        <v>771497990</v>
      </c>
      <c r="W9" s="3">
        <v>1.21</v>
      </c>
      <c r="X9" s="3">
        <v>7.0000000000000007E-2</v>
      </c>
      <c r="Y9" s="3">
        <v>-0.93</v>
      </c>
      <c r="Z9" s="3" t="s">
        <v>395</v>
      </c>
      <c r="AA9" s="3" t="s">
        <v>915</v>
      </c>
      <c r="AB9" s="3" t="s">
        <v>610</v>
      </c>
      <c r="AC9" s="3" t="s">
        <v>916</v>
      </c>
      <c r="AD9" s="3" t="s">
        <v>52</v>
      </c>
      <c r="AE9" s="3">
        <v>101979</v>
      </c>
      <c r="AF9" s="3" t="s">
        <v>917</v>
      </c>
      <c r="AG9" s="3" t="s">
        <v>918</v>
      </c>
      <c r="AH9" s="3" t="s">
        <v>919</v>
      </c>
      <c r="AI9" s="3" t="s">
        <v>920</v>
      </c>
      <c r="AJ9" s="3" t="s">
        <v>921</v>
      </c>
      <c r="AK9" s="3" t="s">
        <v>922</v>
      </c>
      <c r="AL9" s="3" t="s">
        <v>923</v>
      </c>
      <c r="AM9" s="3" t="s">
        <v>52</v>
      </c>
      <c r="AN9" s="3">
        <v>0</v>
      </c>
      <c r="AO9" s="3" t="s">
        <v>924</v>
      </c>
      <c r="AP9" s="3" t="s">
        <v>52</v>
      </c>
      <c r="AQ9" s="3" t="s">
        <v>925</v>
      </c>
      <c r="AR9" s="3" t="s">
        <v>52</v>
      </c>
      <c r="AS9" s="3" t="s">
        <v>926</v>
      </c>
      <c r="AT9" s="3" t="s">
        <v>52</v>
      </c>
      <c r="AU9" s="3" t="s">
        <v>927</v>
      </c>
      <c r="AV9" s="3" t="s">
        <v>198</v>
      </c>
      <c r="AW9" s="3" t="s">
        <v>928</v>
      </c>
      <c r="AX9" s="3" t="s">
        <v>571</v>
      </c>
      <c r="AY9" s="3" t="s">
        <v>306</v>
      </c>
      <c r="AZ9" s="3" t="s">
        <v>96</v>
      </c>
      <c r="BA9" s="3" t="s">
        <v>99</v>
      </c>
      <c r="BB9" s="3" t="s">
        <v>100</v>
      </c>
      <c r="BC9" s="3" t="s">
        <v>529</v>
      </c>
      <c r="BD9" s="3" t="s">
        <v>307</v>
      </c>
      <c r="BE9" s="3" t="s">
        <v>97</v>
      </c>
      <c r="BF9" s="3" t="s">
        <v>101</v>
      </c>
      <c r="BG9" s="3" t="s">
        <v>61</v>
      </c>
      <c r="BH9" s="3" t="s">
        <v>929</v>
      </c>
      <c r="BI9" s="3" t="s">
        <v>570</v>
      </c>
      <c r="BJ9" s="3" t="s">
        <v>571</v>
      </c>
      <c r="BK9" s="3" t="s">
        <v>930</v>
      </c>
      <c r="BL9" s="3" t="s">
        <v>657</v>
      </c>
      <c r="BM9" s="3" t="s">
        <v>529</v>
      </c>
      <c r="BN9" s="3">
        <v>2.76</v>
      </c>
      <c r="BO9" s="3">
        <v>4.43</v>
      </c>
      <c r="BP9" s="3">
        <v>13.97</v>
      </c>
      <c r="BQ9" s="3">
        <v>3.09</v>
      </c>
      <c r="BR9" s="3">
        <v>4.8099999999999996</v>
      </c>
      <c r="BS9" s="3">
        <v>14.2</v>
      </c>
      <c r="BT9" s="3" t="s">
        <v>931</v>
      </c>
      <c r="BU9" s="3" t="s">
        <v>49</v>
      </c>
      <c r="BV9" s="3">
        <v>60.38</v>
      </c>
      <c r="BW9" s="3">
        <v>55.99</v>
      </c>
      <c r="BX9" s="3">
        <v>61.61</v>
      </c>
      <c r="BY9" s="3">
        <v>0.63</v>
      </c>
      <c r="BZ9" s="3">
        <v>8.19</v>
      </c>
      <c r="CA9" s="3">
        <v>20.079999999999998</v>
      </c>
      <c r="CB9" s="3">
        <v>-1.1200000000000001</v>
      </c>
      <c r="CC9" s="3">
        <v>-17.600000000000001</v>
      </c>
      <c r="CD9" s="3" t="s">
        <v>932</v>
      </c>
      <c r="CE9" s="3" t="s">
        <v>106</v>
      </c>
      <c r="CF9" s="10">
        <v>-0.68772348033373065</v>
      </c>
      <c r="CG9" s="11">
        <v>-0.99582090869209139</v>
      </c>
      <c r="CH9" s="10">
        <v>-0.84890425205230713</v>
      </c>
      <c r="CI9" s="10">
        <v>-0.17936579883098602</v>
      </c>
      <c r="CJ9" s="10">
        <v>0.24002343416213989</v>
      </c>
      <c r="CK9" s="10">
        <v>0.13979928195476532</v>
      </c>
      <c r="CL9" s="10">
        <v>0.19313658773899078</v>
      </c>
      <c r="CM9" s="11">
        <v>-0.99758052825927734</v>
      </c>
      <c r="CN9" s="11">
        <v>-0.64540815353393555</v>
      </c>
      <c r="CO9" s="11">
        <v>0.30232557654380798</v>
      </c>
      <c r="CP9" s="11">
        <v>0.17120622098445892</v>
      </c>
      <c r="CQ9" s="11">
        <v>0.35263156890869141</v>
      </c>
      <c r="CR9" s="3">
        <v>15.920401226792361</v>
      </c>
      <c r="CS9" s="3">
        <v>1.748300620041634</v>
      </c>
      <c r="CT9" s="3">
        <v>0.90909090909090906</v>
      </c>
      <c r="CU9" s="10">
        <v>-9.1062149405479437E-2</v>
      </c>
      <c r="CV9" s="11">
        <v>-0.16336506307125093</v>
      </c>
      <c r="CW9" s="3">
        <v>0.06</v>
      </c>
      <c r="CX9" s="3">
        <v>3462.9533154921201</v>
      </c>
      <c r="CY9" s="3" t="s">
        <v>933</v>
      </c>
      <c r="CZ9" s="3">
        <v>-9.1062149405479437E-2</v>
      </c>
      <c r="DA9" s="3">
        <v>1154.3177718307068</v>
      </c>
      <c r="DB9" s="3" t="s">
        <v>934</v>
      </c>
      <c r="DC9" s="3">
        <v>-8.6509041935205463E-2</v>
      </c>
      <c r="DD9" s="3">
        <v>577.15888591535338</v>
      </c>
      <c r="DE9" s="3" t="s">
        <v>935</v>
      </c>
      <c r="DF9" s="3">
        <v>-8.0134691476821909E-2</v>
      </c>
      <c r="DG9" s="3">
        <v>346.29533154921199</v>
      </c>
      <c r="DH9" s="3" t="s">
        <v>936</v>
      </c>
      <c r="DI9" s="3">
        <v>-7.2849719524383558E-2</v>
      </c>
      <c r="DJ9" s="3">
        <v>173.147665774606</v>
      </c>
      <c r="DK9" s="3" t="s">
        <v>937</v>
      </c>
      <c r="DL9" s="3">
        <v>-6.3743504583835597E-2</v>
      </c>
      <c r="DM9" s="3">
        <v>336300</v>
      </c>
      <c r="DN9" s="3">
        <v>-9.1062149405479437E-2</v>
      </c>
      <c r="DO9" s="3">
        <v>1164591200</v>
      </c>
      <c r="DP9" s="3">
        <v>1869080900</v>
      </c>
      <c r="DQ9" s="3">
        <v>1207</v>
      </c>
      <c r="DR9" s="3">
        <v>-0.59666133092825124</v>
      </c>
      <c r="DS9" s="3">
        <v>-0.83245584562084041</v>
      </c>
      <c r="DT9" s="12">
        <v>-0.69</v>
      </c>
      <c r="DU9" s="3">
        <v>-0.72333333333333349</v>
      </c>
      <c r="DV9" s="3">
        <v>-1.4133333333333336</v>
      </c>
      <c r="DW9" s="3">
        <v>-3.0180952380952379</v>
      </c>
      <c r="DX9" s="3">
        <v>0.31903651685393186</v>
      </c>
      <c r="DY9" s="3">
        <v>-3.0034206607811664</v>
      </c>
      <c r="DZ9" s="3">
        <v>3643</v>
      </c>
      <c r="EA9" s="3">
        <v>-3.0009820174884485</v>
      </c>
      <c r="EB9" s="3">
        <v>3</v>
      </c>
      <c r="EC9" s="3">
        <v>4.3614501186192332E-2</v>
      </c>
      <c r="ED9" s="3">
        <v>0.23071997893345128</v>
      </c>
      <c r="EE9" s="13">
        <v>-5.0911</v>
      </c>
      <c r="EF9" s="3">
        <v>-5.0601000000000003</v>
      </c>
      <c r="EG9" s="3">
        <v>13.189036516853932</v>
      </c>
      <c r="EH9" s="3" t="s">
        <v>938</v>
      </c>
      <c r="EI9" s="3">
        <v>0</v>
      </c>
      <c r="EJ9" s="3">
        <v>0</v>
      </c>
      <c r="EK9" s="15">
        <v>45470</v>
      </c>
      <c r="EL9" s="16">
        <v>-0.88</v>
      </c>
      <c r="EM9" s="16">
        <v>-5.99</v>
      </c>
      <c r="EN9" s="16">
        <v>0.24</v>
      </c>
      <c r="EO9" s="16">
        <v>6.12</v>
      </c>
      <c r="EP9" s="16">
        <v>-3.1</v>
      </c>
    </row>
    <row r="10" spans="1:146" ht="96" x14ac:dyDescent="0.25">
      <c r="C10" s="7" t="str">
        <f>""&amp;CHAR(10)&amp;Basic_Fundamental_Information_Constructure(F10)&amp;CHAR(10)&amp;Basic_Fundamental_Information_Concatenate("")</f>
        <v xml:space="preserve">
市值16.083056亿, 利润605.80万; PE85.53; 平均PE84.93; 平均PEG12.74, PB3.25; ROIC4.9933%; ROE5.3233%; 股利率.3185%; 毛利34.67%; 净利9.8533%; 上一年度营收增-74.25%, 利润增-80.07%; 当季营收增-48.29%, 利润增-26.46%; 过往5年营收增-6.67%, 利润增4.88%
Income profile:
</v>
      </c>
      <c r="D10" s="3" t="s">
        <v>103</v>
      </c>
      <c r="E10" s="3" t="s">
        <v>104</v>
      </c>
      <c r="F10" s="3">
        <v>8.7899999999999991</v>
      </c>
      <c r="G10" s="3">
        <v>0.92</v>
      </c>
      <c r="H10" s="3" t="s">
        <v>939</v>
      </c>
      <c r="I10" s="3">
        <v>1608305600</v>
      </c>
      <c r="J10" s="3">
        <v>85.53</v>
      </c>
      <c r="K10" s="3">
        <v>3.25</v>
      </c>
      <c r="L10" s="3" t="s">
        <v>49</v>
      </c>
      <c r="M10" s="3" t="s">
        <v>940</v>
      </c>
      <c r="N10" s="3" t="s">
        <v>941</v>
      </c>
      <c r="O10" s="3" t="s">
        <v>942</v>
      </c>
      <c r="P10" s="3">
        <v>6.9</v>
      </c>
      <c r="Q10" s="3" t="s">
        <v>942</v>
      </c>
      <c r="R10" s="3">
        <v>6057981</v>
      </c>
      <c r="S10" s="5">
        <v>0.1235</v>
      </c>
      <c r="T10" s="3" t="s">
        <v>943</v>
      </c>
      <c r="U10" s="3">
        <v>175463710</v>
      </c>
      <c r="V10" s="3">
        <v>182969920</v>
      </c>
      <c r="W10" s="3">
        <v>1.2</v>
      </c>
      <c r="X10" s="3">
        <v>0.11</v>
      </c>
      <c r="Y10" s="3">
        <v>9.3000000000000007</v>
      </c>
      <c r="Z10" s="3" t="s">
        <v>944</v>
      </c>
      <c r="AA10" s="3" t="s">
        <v>945</v>
      </c>
      <c r="AB10" s="3" t="s">
        <v>946</v>
      </c>
      <c r="AC10" s="3" t="s">
        <v>947</v>
      </c>
      <c r="AD10" s="3" t="s">
        <v>52</v>
      </c>
      <c r="AE10" s="3">
        <v>32574</v>
      </c>
      <c r="AF10" s="3" t="s">
        <v>948</v>
      </c>
      <c r="AG10" s="3" t="s">
        <v>949</v>
      </c>
      <c r="AH10" s="3" t="s">
        <v>950</v>
      </c>
      <c r="AI10" s="3" t="s">
        <v>951</v>
      </c>
      <c r="AJ10" s="3" t="s">
        <v>952</v>
      </c>
      <c r="AK10" s="3" t="s">
        <v>953</v>
      </c>
      <c r="AL10" s="3" t="s">
        <v>954</v>
      </c>
      <c r="AM10" s="3" t="s">
        <v>52</v>
      </c>
      <c r="AN10" s="3" t="s">
        <v>955</v>
      </c>
      <c r="AO10" s="3" t="s">
        <v>52</v>
      </c>
      <c r="AP10" s="3" t="s">
        <v>956</v>
      </c>
      <c r="AQ10" s="3" t="s">
        <v>957</v>
      </c>
      <c r="AR10" s="3" t="s">
        <v>958</v>
      </c>
      <c r="AS10" s="3" t="s">
        <v>959</v>
      </c>
      <c r="AT10" s="3" t="s">
        <v>960</v>
      </c>
      <c r="AU10" s="3" t="s">
        <v>961</v>
      </c>
      <c r="AV10" s="3" t="s">
        <v>962</v>
      </c>
      <c r="AW10" s="3" t="s">
        <v>963</v>
      </c>
      <c r="AX10" s="3" t="s">
        <v>573</v>
      </c>
      <c r="AY10" s="3" t="s">
        <v>308</v>
      </c>
      <c r="AZ10" s="3" t="s">
        <v>76</v>
      </c>
      <c r="BA10" s="3" t="s">
        <v>106</v>
      </c>
      <c r="BB10" s="3" t="s">
        <v>107</v>
      </c>
      <c r="BC10" s="3" t="s">
        <v>574</v>
      </c>
      <c r="BD10" s="3" t="s">
        <v>309</v>
      </c>
      <c r="BE10" s="3" t="s">
        <v>105</v>
      </c>
      <c r="BF10" s="3" t="s">
        <v>108</v>
      </c>
      <c r="BG10" s="3" t="s">
        <v>109</v>
      </c>
      <c r="BH10" s="3" t="s">
        <v>372</v>
      </c>
      <c r="BI10" s="3" t="s">
        <v>62</v>
      </c>
      <c r="BJ10" s="3" t="s">
        <v>573</v>
      </c>
      <c r="BK10" s="3" t="s">
        <v>964</v>
      </c>
      <c r="BL10" s="3" t="s">
        <v>659</v>
      </c>
      <c r="BM10" s="3" t="s">
        <v>574</v>
      </c>
      <c r="BN10" s="3">
        <v>3.37</v>
      </c>
      <c r="BO10" s="3">
        <v>6.25</v>
      </c>
      <c r="BP10" s="3">
        <v>5.36</v>
      </c>
      <c r="BQ10" s="3">
        <v>3.64</v>
      </c>
      <c r="BR10" s="3">
        <v>6.67</v>
      </c>
      <c r="BS10" s="3">
        <v>5.66</v>
      </c>
      <c r="BT10" s="3" t="s">
        <v>965</v>
      </c>
      <c r="BU10" s="3" t="s">
        <v>49</v>
      </c>
      <c r="BV10" s="3">
        <v>32.32</v>
      </c>
      <c r="BW10" s="3">
        <v>37.33</v>
      </c>
      <c r="BX10" s="3">
        <v>34.36</v>
      </c>
      <c r="BY10" s="3">
        <v>6.72</v>
      </c>
      <c r="BZ10" s="3">
        <v>11.99</v>
      </c>
      <c r="CA10" s="3">
        <v>10.85</v>
      </c>
      <c r="CB10" s="3">
        <v>-5.28</v>
      </c>
      <c r="CC10" s="3">
        <v>-23.11</v>
      </c>
      <c r="CD10" s="3" t="s">
        <v>966</v>
      </c>
      <c r="CE10" s="3" t="s">
        <v>206</v>
      </c>
      <c r="CF10" s="10">
        <v>-0.48291666666666666</v>
      </c>
      <c r="CG10" s="11">
        <v>-0.26456715185801172</v>
      </c>
      <c r="CH10" s="10">
        <v>-0.74248027801513672</v>
      </c>
      <c r="CI10" s="10">
        <v>0.13452914357185364</v>
      </c>
      <c r="CJ10" s="10">
        <v>0.31952661275863647</v>
      </c>
      <c r="CK10" s="10">
        <v>-5.0561796873807907E-2</v>
      </c>
      <c r="CL10" s="10">
        <v>5.6497175246477127E-3</v>
      </c>
      <c r="CM10" s="11">
        <v>-0.80073809623718262</v>
      </c>
      <c r="CN10" s="11">
        <v>0.25932309031486511</v>
      </c>
      <c r="CO10" s="11">
        <v>1.2385345697402954</v>
      </c>
      <c r="CP10" s="11">
        <v>-0.50091862678527832</v>
      </c>
      <c r="CQ10" s="11">
        <v>4.7628052532672882E-2</v>
      </c>
      <c r="CR10" s="3">
        <v>84.929345487093599</v>
      </c>
      <c r="CS10" s="3">
        <v>12.739276938640188</v>
      </c>
      <c r="CT10" s="3">
        <v>0.31854379977246877</v>
      </c>
      <c r="CU10" s="10">
        <v>-6.666732020676136E-2</v>
      </c>
      <c r="CV10" s="11">
        <v>4.8765797913074491E-2</v>
      </c>
      <c r="CW10" s="3">
        <v>0.06</v>
      </c>
      <c r="CX10" s="3">
        <v>199.52162429844833</v>
      </c>
      <c r="CY10" s="3" t="s">
        <v>967</v>
      </c>
      <c r="CZ10" s="3">
        <v>-6.666732020676136E-2</v>
      </c>
      <c r="DA10" s="3">
        <v>66.507208099482781</v>
      </c>
      <c r="DB10" s="3" t="s">
        <v>968</v>
      </c>
      <c r="DC10" s="3">
        <v>-6.3333954196423292E-2</v>
      </c>
      <c r="DD10" s="3">
        <v>33.253604049741391</v>
      </c>
      <c r="DE10" s="3" t="s">
        <v>969</v>
      </c>
      <c r="DF10" s="3">
        <v>-5.866724178195E-2</v>
      </c>
      <c r="DG10" s="3">
        <v>19.952162429844833</v>
      </c>
      <c r="DH10" s="3" t="s">
        <v>970</v>
      </c>
      <c r="DI10" s="3">
        <v>-5.3333856165409088E-2</v>
      </c>
      <c r="DJ10" s="3">
        <v>9.9760812149224165</v>
      </c>
      <c r="DK10" s="3" t="s">
        <v>971</v>
      </c>
      <c r="DL10" s="3">
        <v>-4.6667124144732952E-2</v>
      </c>
      <c r="DM10" s="3">
        <v>6058000</v>
      </c>
      <c r="DN10" s="3">
        <v>-6.666732020676136E-2</v>
      </c>
      <c r="DO10" s="3">
        <v>1208702000</v>
      </c>
      <c r="DP10" s="3">
        <v>289366040</v>
      </c>
      <c r="DQ10" s="3">
        <v>1212</v>
      </c>
      <c r="DR10" s="3">
        <v>-0.4162493464599053</v>
      </c>
      <c r="DS10" s="3">
        <v>-0.31333294977108622</v>
      </c>
      <c r="DT10" s="12">
        <v>-0.64</v>
      </c>
      <c r="DU10" s="3">
        <v>-0.2533333333333333</v>
      </c>
      <c r="DV10" s="3">
        <v>-0.89333333333333331</v>
      </c>
      <c r="DW10" s="3">
        <v>-8.2284725227174391</v>
      </c>
      <c r="DX10" s="3">
        <v>0.46878200000000303</v>
      </c>
      <c r="DY10" s="3">
        <v>-8.0271384231934224</v>
      </c>
      <c r="DZ10" s="3">
        <v>2127</v>
      </c>
      <c r="EA10" s="3">
        <v>-8.0158422536958867</v>
      </c>
      <c r="EB10" s="3">
        <v>8</v>
      </c>
      <c r="EC10" s="3">
        <v>9.7378301307668502E-2</v>
      </c>
      <c r="ED10" s="3">
        <v>0.81980688410422875</v>
      </c>
      <c r="EE10" s="13">
        <v>-8.0016099999999994</v>
      </c>
      <c r="EF10" s="3">
        <v>-8.0197099999999999</v>
      </c>
      <c r="EG10" s="3">
        <v>35.118782000000003</v>
      </c>
      <c r="EH10" s="3" t="s">
        <v>972</v>
      </c>
      <c r="EI10" s="3">
        <v>0</v>
      </c>
      <c r="EJ10" s="3">
        <v>0</v>
      </c>
      <c r="EK10" s="15">
        <v>45470</v>
      </c>
      <c r="EL10" s="16">
        <v>-1.34</v>
      </c>
      <c r="EM10" s="16">
        <v>-6.26</v>
      </c>
      <c r="EN10" s="16">
        <v>-0.89</v>
      </c>
      <c r="EO10" s="16">
        <v>5.39</v>
      </c>
      <c r="EP10" s="16">
        <v>-1.81</v>
      </c>
    </row>
    <row r="11" spans="1:146" ht="96" x14ac:dyDescent="0.25">
      <c r="C11" s="7" t="str">
        <f>""&amp;CHAR(10)&amp;Basic_Fundamental_Information_Constructure(F11)&amp;CHAR(10)&amp;Basic_Fundamental_Information_Concatenate("")</f>
        <v xml:space="preserve">
市值51.400022亿, 利润5176.90万; PE37.77; 平均PE61.39; 平均PEG4.21, PB2.74; ROIC5.2633%; ROE5.55%; 股利率.767%; 毛利16.28%; 净利2.67%; 上一年度营收增-70.9%, 利润增-53.36%; 当季营收增-59.18%, 利润增-21.09%; 过往5年营收增14.58%, 利润增186.47%
Income profile:
</v>
      </c>
      <c r="D11" s="3" t="s">
        <v>396</v>
      </c>
      <c r="E11" s="3" t="s">
        <v>397</v>
      </c>
      <c r="F11" s="3">
        <v>10.43</v>
      </c>
      <c r="G11" s="3">
        <v>0.77</v>
      </c>
      <c r="H11" s="3" t="s">
        <v>973</v>
      </c>
      <c r="I11" s="3">
        <v>5140002200</v>
      </c>
      <c r="J11" s="3">
        <v>37.770000000000003</v>
      </c>
      <c r="K11" s="3">
        <v>2.74</v>
      </c>
      <c r="L11" s="3" t="s">
        <v>49</v>
      </c>
      <c r="M11" s="3" t="s">
        <v>974</v>
      </c>
      <c r="N11" s="3" t="s">
        <v>975</v>
      </c>
      <c r="O11" s="3" t="s">
        <v>976</v>
      </c>
      <c r="P11" s="3">
        <v>-11.42</v>
      </c>
      <c r="Q11" s="3" t="s">
        <v>976</v>
      </c>
      <c r="R11" s="3">
        <v>51768977</v>
      </c>
      <c r="S11" s="5">
        <v>0.74809999999999999</v>
      </c>
      <c r="T11" s="3" t="s">
        <v>977</v>
      </c>
      <c r="U11" s="3">
        <v>490016630</v>
      </c>
      <c r="V11" s="3">
        <v>492809410</v>
      </c>
      <c r="W11" s="3">
        <v>2.02</v>
      </c>
      <c r="X11" s="3">
        <v>0.24</v>
      </c>
      <c r="Y11" s="3">
        <v>5.48</v>
      </c>
      <c r="Z11" s="3" t="s">
        <v>239</v>
      </c>
      <c r="AA11" s="3" t="s">
        <v>978</v>
      </c>
      <c r="AB11" s="3" t="s">
        <v>979</v>
      </c>
      <c r="AC11" s="3" t="s">
        <v>980</v>
      </c>
      <c r="AD11" s="3" t="s">
        <v>52</v>
      </c>
      <c r="AE11" s="3">
        <v>-988116</v>
      </c>
      <c r="AF11" s="3" t="s">
        <v>981</v>
      </c>
      <c r="AG11" s="3" t="s">
        <v>982</v>
      </c>
      <c r="AH11" s="3" t="s">
        <v>983</v>
      </c>
      <c r="AI11" s="3" t="s">
        <v>686</v>
      </c>
      <c r="AJ11" s="3" t="s">
        <v>984</v>
      </c>
      <c r="AK11" s="3" t="s">
        <v>181</v>
      </c>
      <c r="AL11" s="3" t="s">
        <v>985</v>
      </c>
      <c r="AM11" s="3" t="s">
        <v>52</v>
      </c>
      <c r="AN11" s="3">
        <v>0</v>
      </c>
      <c r="AO11" s="3" t="s">
        <v>986</v>
      </c>
      <c r="AP11" s="3" t="s">
        <v>201</v>
      </c>
      <c r="AQ11" s="3" t="s">
        <v>987</v>
      </c>
      <c r="AR11" s="3" t="s">
        <v>52</v>
      </c>
      <c r="AS11" s="3" t="s">
        <v>568</v>
      </c>
      <c r="AT11" s="3" t="s">
        <v>988</v>
      </c>
      <c r="AU11" s="3" t="s">
        <v>989</v>
      </c>
      <c r="AV11" s="3" t="s">
        <v>990</v>
      </c>
      <c r="AW11" s="3" t="s">
        <v>991</v>
      </c>
      <c r="AX11" s="3" t="s">
        <v>576</v>
      </c>
      <c r="AY11" s="3" t="s">
        <v>398</v>
      </c>
      <c r="AZ11" s="3" t="s">
        <v>401</v>
      </c>
      <c r="BA11" s="3" t="s">
        <v>402</v>
      </c>
      <c r="BB11" s="3" t="s">
        <v>403</v>
      </c>
      <c r="BC11" s="3" t="s">
        <v>102</v>
      </c>
      <c r="BD11" s="3" t="s">
        <v>399</v>
      </c>
      <c r="BE11" s="3" t="s">
        <v>371</v>
      </c>
      <c r="BF11" s="3" t="s">
        <v>404</v>
      </c>
      <c r="BG11" s="3" t="s">
        <v>405</v>
      </c>
      <c r="BH11" s="3" t="s">
        <v>992</v>
      </c>
      <c r="BI11" s="3" t="s">
        <v>575</v>
      </c>
      <c r="BJ11" s="3" t="s">
        <v>576</v>
      </c>
      <c r="BK11" s="3" t="s">
        <v>223</v>
      </c>
      <c r="BL11" s="3" t="s">
        <v>660</v>
      </c>
      <c r="BM11" s="3" t="s">
        <v>102</v>
      </c>
      <c r="BN11" s="3">
        <v>7.58</v>
      </c>
      <c r="BO11" s="3">
        <v>7.12</v>
      </c>
      <c r="BP11" s="3">
        <v>1.0900000000000001</v>
      </c>
      <c r="BQ11" s="3">
        <v>7.52</v>
      </c>
      <c r="BR11" s="3">
        <v>7.31</v>
      </c>
      <c r="BS11" s="3">
        <v>1.82</v>
      </c>
      <c r="BT11" s="3" t="s">
        <v>577</v>
      </c>
      <c r="BU11" s="3" t="s">
        <v>49</v>
      </c>
      <c r="BV11" s="3">
        <v>13.22</v>
      </c>
      <c r="BW11" s="3">
        <v>16.670000000000002</v>
      </c>
      <c r="BX11" s="3">
        <v>18.95</v>
      </c>
      <c r="BY11" s="3">
        <v>2.79</v>
      </c>
      <c r="BZ11" s="3">
        <v>3.63</v>
      </c>
      <c r="CA11" s="3">
        <v>1.59</v>
      </c>
      <c r="CB11" s="3">
        <v>-5.87</v>
      </c>
      <c r="CC11" s="3">
        <v>-8.02</v>
      </c>
      <c r="CD11" s="3" t="s">
        <v>993</v>
      </c>
      <c r="CE11" s="3" t="s">
        <v>994</v>
      </c>
      <c r="CF11" s="10">
        <v>-0.59184549356223171</v>
      </c>
      <c r="CG11" s="11">
        <v>-0.21093378998565721</v>
      </c>
      <c r="CH11" s="10">
        <v>-0.70899629592895508</v>
      </c>
      <c r="CI11" s="10">
        <v>0.98180723190307617</v>
      </c>
      <c r="CJ11" s="10">
        <v>0.28828120231628418</v>
      </c>
      <c r="CK11" s="10">
        <v>0.15419302880764008</v>
      </c>
      <c r="CL11" s="10">
        <v>1.3711092993617058E-2</v>
      </c>
      <c r="CM11" s="11">
        <v>-0.53361260890960693</v>
      </c>
      <c r="CN11" s="11">
        <v>3.2254164218902588</v>
      </c>
      <c r="CO11" s="11">
        <v>-0.87247765064239502</v>
      </c>
      <c r="CP11" s="11">
        <v>8.242060661315918</v>
      </c>
      <c r="CQ11" s="11">
        <v>-0.73776930570602417</v>
      </c>
      <c r="CR11" s="3">
        <v>61.394272896231776</v>
      </c>
      <c r="CS11" s="3">
        <v>4.210877082449791</v>
      </c>
      <c r="CT11" s="3">
        <v>0.76701821668264625</v>
      </c>
      <c r="CU11" s="10">
        <v>0.14579925201833249</v>
      </c>
      <c r="CV11" s="11">
        <v>1.8647235035896301</v>
      </c>
      <c r="CW11" s="3">
        <v>0.06</v>
      </c>
      <c r="CX11" s="3">
        <v>96.963329640967231</v>
      </c>
      <c r="CY11" s="3">
        <v>55959322.148808531</v>
      </c>
      <c r="CZ11" s="3">
        <v>0.14579925201833249</v>
      </c>
      <c r="DA11" s="3">
        <v>30.233523603369637</v>
      </c>
      <c r="DB11" s="3">
        <v>179469726.09554687</v>
      </c>
      <c r="DC11" s="3">
        <v>0.13850928941741586</v>
      </c>
      <c r="DD11" s="3">
        <v>13.959572698199443</v>
      </c>
      <c r="DE11" s="3">
        <v>388694003.55641729</v>
      </c>
      <c r="DF11" s="3">
        <v>0.12830334177613259</v>
      </c>
      <c r="DG11" s="3">
        <v>7.7844499996386505</v>
      </c>
      <c r="DH11" s="3">
        <v>697030901.38055634</v>
      </c>
      <c r="DI11" s="3">
        <v>0.116639401614666</v>
      </c>
      <c r="DJ11" s="3">
        <v>3.3967337497171348</v>
      </c>
      <c r="DK11" s="3">
        <v>1597417578.1224694</v>
      </c>
      <c r="DL11" s="3">
        <v>0.10205947641283274</v>
      </c>
      <c r="DM11" s="3">
        <v>51769000</v>
      </c>
      <c r="DN11" s="3">
        <v>0.14579925201833249</v>
      </c>
      <c r="DO11" s="3">
        <v>5426002200</v>
      </c>
      <c r="DP11" s="3">
        <v>1031589300</v>
      </c>
      <c r="DQ11" s="3">
        <v>1257</v>
      </c>
      <c r="DR11" s="3">
        <v>-0.73764474558056414</v>
      </c>
      <c r="DS11" s="3">
        <v>-2.0756572935752873</v>
      </c>
      <c r="DT11" s="12">
        <v>-0.22333333333333338</v>
      </c>
      <c r="DU11" s="3">
        <v>-0.1150000000000001</v>
      </c>
      <c r="DV11" s="3">
        <v>-0.33833333333333349</v>
      </c>
      <c r="DW11" s="3">
        <v>-8.7319201995012463</v>
      </c>
      <c r="DX11" s="3">
        <v>0.33814267515923674</v>
      </c>
      <c r="DY11" s="3">
        <v>-8.115747818352208</v>
      </c>
      <c r="DZ11" s="3">
        <v>197</v>
      </c>
      <c r="EA11" s="3">
        <v>-8.1112855247679843</v>
      </c>
      <c r="EB11" s="3">
        <v>8</v>
      </c>
      <c r="EC11" s="3">
        <v>5.0381343164693219E-2</v>
      </c>
      <c r="ED11" s="3">
        <v>0.31858157903275425</v>
      </c>
      <c r="EE11" s="13">
        <v>-3.0354999999999999</v>
      </c>
      <c r="EF11" s="3">
        <v>-3.0160999999999998</v>
      </c>
      <c r="EG11" s="3">
        <v>18.158142675159237</v>
      </c>
      <c r="EH11" s="3" t="s">
        <v>995</v>
      </c>
      <c r="EI11" s="3">
        <v>0</v>
      </c>
      <c r="EJ11" s="3">
        <v>1</v>
      </c>
      <c r="EK11" s="15">
        <v>45470</v>
      </c>
      <c r="EL11" s="16">
        <v>-1.24</v>
      </c>
      <c r="EM11" s="16">
        <v>-5.83</v>
      </c>
      <c r="EN11" s="16">
        <v>-1.24</v>
      </c>
      <c r="EO11" s="16">
        <v>4.63</v>
      </c>
      <c r="EP11" s="16">
        <v>-1.94</v>
      </c>
    </row>
    <row r="12" spans="1:146" ht="96" x14ac:dyDescent="0.25">
      <c r="C12" s="7" t="str">
        <f>""&amp;CHAR(10)&amp;Basic_Fundamental_Information_Constructure(F12)&amp;CHAR(10)&amp;Basic_Fundamental_Information_Concatenate("")</f>
        <v xml:space="preserve">
市值77.348687亿, 利润5331.05万; PE27.88; 平均PE35.97; 平均PEG3.67, PB2.69; ROIC6.8467%; ROE10.9367%; 股利率1.1142%; 毛利34.5133%; 净利16.6367%; 上一年度营收增-72.1%, 利润增-67.89%; 当季营收增-49.09%, 利润增-46.69%; 过往5年营收增-9.81%, 利润增-.56%
Income profile:
</v>
      </c>
      <c r="D12" s="3" t="s">
        <v>110</v>
      </c>
      <c r="E12" s="3" t="s">
        <v>111</v>
      </c>
      <c r="F12" s="3">
        <v>17.95</v>
      </c>
      <c r="G12" s="3">
        <v>-0.06</v>
      </c>
      <c r="H12" s="3" t="s">
        <v>996</v>
      </c>
      <c r="I12" s="3">
        <v>7734868700</v>
      </c>
      <c r="J12" s="3">
        <v>27.88</v>
      </c>
      <c r="K12" s="3">
        <v>2.69</v>
      </c>
      <c r="L12" s="3" t="s">
        <v>49</v>
      </c>
      <c r="M12" s="3" t="s">
        <v>997</v>
      </c>
      <c r="N12" s="3" t="s">
        <v>998</v>
      </c>
      <c r="O12" s="3" t="s">
        <v>999</v>
      </c>
      <c r="P12" s="3">
        <v>17.87</v>
      </c>
      <c r="Q12" s="3" t="s">
        <v>999</v>
      </c>
      <c r="R12" s="3">
        <v>53310483</v>
      </c>
      <c r="S12" s="5">
        <v>0.69189999999999996</v>
      </c>
      <c r="T12" s="3" t="s">
        <v>1000</v>
      </c>
      <c r="U12" s="3">
        <v>399525670</v>
      </c>
      <c r="V12" s="3">
        <v>430911910</v>
      </c>
      <c r="W12" s="3">
        <v>1.78</v>
      </c>
      <c r="X12" s="3">
        <v>7.0000000000000007E-2</v>
      </c>
      <c r="Y12" s="3">
        <v>14.68</v>
      </c>
      <c r="Z12" s="3" t="s">
        <v>196</v>
      </c>
      <c r="AA12" s="3" t="s">
        <v>163</v>
      </c>
      <c r="AB12" s="3" t="s">
        <v>1001</v>
      </c>
      <c r="AC12" s="3" t="s">
        <v>1002</v>
      </c>
      <c r="AD12" s="3" t="s">
        <v>52</v>
      </c>
      <c r="AE12" s="3">
        <v>3250376</v>
      </c>
      <c r="AF12" s="3" t="s">
        <v>85</v>
      </c>
      <c r="AG12" s="3" t="s">
        <v>1003</v>
      </c>
      <c r="AH12" s="3" t="s">
        <v>1004</v>
      </c>
      <c r="AI12" s="3" t="s">
        <v>1005</v>
      </c>
      <c r="AJ12" s="3" t="s">
        <v>1006</v>
      </c>
      <c r="AK12" s="3" t="s">
        <v>52</v>
      </c>
      <c r="AL12" s="3" t="s">
        <v>1007</v>
      </c>
      <c r="AM12" s="3" t="s">
        <v>52</v>
      </c>
      <c r="AN12" s="3" t="s">
        <v>370</v>
      </c>
      <c r="AO12" s="3" t="s">
        <v>213</v>
      </c>
      <c r="AP12" s="3">
        <v>3254.59</v>
      </c>
      <c r="AQ12" s="3" t="s">
        <v>1008</v>
      </c>
      <c r="AR12" s="3" t="s">
        <v>52</v>
      </c>
      <c r="AS12" s="3" t="s">
        <v>1009</v>
      </c>
      <c r="AT12" s="3" t="s">
        <v>1010</v>
      </c>
      <c r="AU12" s="3" t="s">
        <v>1011</v>
      </c>
      <c r="AV12" s="3" t="s">
        <v>1012</v>
      </c>
      <c r="AW12" s="3" t="s">
        <v>371</v>
      </c>
      <c r="AX12" s="3" t="s">
        <v>579</v>
      </c>
      <c r="AY12" s="3" t="s">
        <v>310</v>
      </c>
      <c r="AZ12" s="3" t="s">
        <v>112</v>
      </c>
      <c r="BA12" s="3" t="s">
        <v>116</v>
      </c>
      <c r="BB12" s="3" t="s">
        <v>117</v>
      </c>
      <c r="BC12" s="3" t="s">
        <v>439</v>
      </c>
      <c r="BD12" s="3" t="s">
        <v>302</v>
      </c>
      <c r="BE12" s="3" t="s">
        <v>113</v>
      </c>
      <c r="BF12" s="3" t="s">
        <v>86</v>
      </c>
      <c r="BG12" s="3" t="s">
        <v>118</v>
      </c>
      <c r="BH12" s="3" t="s">
        <v>1013</v>
      </c>
      <c r="BI12" s="3" t="s">
        <v>578</v>
      </c>
      <c r="BJ12" s="3" t="s">
        <v>579</v>
      </c>
      <c r="BK12" s="3" t="s">
        <v>215</v>
      </c>
      <c r="BL12" s="3" t="s">
        <v>438</v>
      </c>
      <c r="BM12" s="3" t="s">
        <v>439</v>
      </c>
      <c r="BN12" s="3">
        <v>3.51</v>
      </c>
      <c r="BO12" s="3">
        <v>4.58</v>
      </c>
      <c r="BP12" s="3">
        <v>12.45</v>
      </c>
      <c r="BQ12" s="3">
        <v>6.03</v>
      </c>
      <c r="BR12" s="3">
        <v>7.4</v>
      </c>
      <c r="BS12" s="3">
        <v>19.38</v>
      </c>
      <c r="BT12" s="3" t="s">
        <v>746</v>
      </c>
      <c r="BU12" s="3" t="s">
        <v>49</v>
      </c>
      <c r="BV12" s="3">
        <v>35.82</v>
      </c>
      <c r="BW12" s="3">
        <v>29.45</v>
      </c>
      <c r="BX12" s="3">
        <v>38.270000000000003</v>
      </c>
      <c r="BY12" s="3">
        <v>16.260000000000002</v>
      </c>
      <c r="BZ12" s="3">
        <v>12.75</v>
      </c>
      <c r="CA12" s="3">
        <v>20.9</v>
      </c>
      <c r="CB12" s="3">
        <v>-10.61</v>
      </c>
      <c r="CC12" s="3">
        <v>-15.93</v>
      </c>
      <c r="CD12" s="3" t="s">
        <v>1014</v>
      </c>
      <c r="CE12" s="3" t="s">
        <v>610</v>
      </c>
      <c r="CF12" s="10">
        <v>-0.49088359046283309</v>
      </c>
      <c r="CG12" s="11">
        <v>-0.46689517000000003</v>
      </c>
      <c r="CH12" s="10">
        <v>-0.72098386287689209</v>
      </c>
      <c r="CI12" s="10">
        <v>-0.3009134829044342</v>
      </c>
      <c r="CJ12" s="10">
        <v>0.30504903197288513</v>
      </c>
      <c r="CK12" s="10">
        <v>0.50263434648513794</v>
      </c>
      <c r="CL12" s="10">
        <v>-0.27612513303756714</v>
      </c>
      <c r="CM12" s="11">
        <v>-0.67885243892669678</v>
      </c>
      <c r="CN12" s="11">
        <v>-0.57326477766036987</v>
      </c>
      <c r="CO12" s="11">
        <v>0.34602075815200806</v>
      </c>
      <c r="CP12" s="11">
        <v>1.4491525888442993</v>
      </c>
      <c r="CQ12" s="11">
        <v>-0.57090908288955688</v>
      </c>
      <c r="CR12" s="3">
        <v>35.967476200495931</v>
      </c>
      <c r="CS12" s="3">
        <v>3.6676124924593285</v>
      </c>
      <c r="CT12" s="3">
        <v>1.1142061281337048</v>
      </c>
      <c r="CU12" s="10">
        <v>-9.8067820072174072E-2</v>
      </c>
      <c r="CV12" s="11">
        <v>-5.5705904960632324E-3</v>
      </c>
      <c r="CW12" s="3">
        <v>0.06</v>
      </c>
      <c r="CX12" s="3">
        <v>129.69056189681208</v>
      </c>
      <c r="CY12" s="3" t="s">
        <v>1015</v>
      </c>
      <c r="CZ12" s="3">
        <v>-9.8067820072174072E-2</v>
      </c>
      <c r="DA12" s="3">
        <v>43.230187298937359</v>
      </c>
      <c r="DB12" s="3" t="s">
        <v>1016</v>
      </c>
      <c r="DC12" s="3">
        <v>-9.3164429068565369E-2</v>
      </c>
      <c r="DD12" s="3">
        <v>21.61509364946868</v>
      </c>
      <c r="DE12" s="3" t="s">
        <v>1017</v>
      </c>
      <c r="DF12" s="3">
        <v>-8.6299681663513178E-2</v>
      </c>
      <c r="DG12" s="3">
        <v>12.969056189681208</v>
      </c>
      <c r="DH12" s="3" t="s">
        <v>1018</v>
      </c>
      <c r="DI12" s="3">
        <v>-7.8454256057739258E-2</v>
      </c>
      <c r="DJ12" s="3">
        <v>6.4845280948406039</v>
      </c>
      <c r="DK12" s="3" t="s">
        <v>1019</v>
      </c>
      <c r="DL12" s="3">
        <v>-6.8647474050521851E-2</v>
      </c>
      <c r="DM12" s="3">
        <v>53310500</v>
      </c>
      <c r="DN12" s="3">
        <v>-9.8067820072174072E-2</v>
      </c>
      <c r="DO12" s="3">
        <v>6913868700</v>
      </c>
      <c r="DP12" s="3">
        <v>934218600</v>
      </c>
      <c r="DQ12" s="3">
        <v>1327</v>
      </c>
      <c r="DR12" s="3">
        <v>-0.39281577039065901</v>
      </c>
      <c r="DS12" s="3">
        <v>-0.46132457950393679</v>
      </c>
      <c r="DT12" s="12">
        <v>-0.77333333333333332</v>
      </c>
      <c r="DU12" s="3">
        <v>-0.43666666666666659</v>
      </c>
      <c r="DV12" s="3">
        <v>-1.21</v>
      </c>
      <c r="DW12" s="3">
        <v>-9.6660389202762076</v>
      </c>
      <c r="DX12" s="3">
        <v>0.34425454545454459</v>
      </c>
      <c r="DY12" s="3">
        <v>-9.1293810877132913</v>
      </c>
      <c r="DZ12" s="3">
        <v>1195</v>
      </c>
      <c r="EA12" s="3">
        <v>-9.0991246493928646</v>
      </c>
      <c r="EB12" s="3">
        <v>9</v>
      </c>
      <c r="EC12" s="3">
        <v>5.9505433488714662E-2</v>
      </c>
      <c r="ED12" s="3">
        <v>0.30632710987264195</v>
      </c>
      <c r="EE12" s="13">
        <v>5.0510000000000006E-2</v>
      </c>
      <c r="EF12" s="3">
        <v>6.8809999999999996E-2</v>
      </c>
      <c r="EG12" s="3">
        <v>15.194254545454545</v>
      </c>
      <c r="EH12" s="3">
        <v>-1</v>
      </c>
      <c r="EI12" s="3">
        <v>0</v>
      </c>
      <c r="EJ12" s="3">
        <v>1</v>
      </c>
      <c r="EK12" s="15">
        <v>45470</v>
      </c>
      <c r="EL12" s="16">
        <v>0.52</v>
      </c>
      <c r="EM12" s="16">
        <v>-2.92</v>
      </c>
      <c r="EN12" s="16">
        <v>-4.9400000000000004</v>
      </c>
      <c r="EO12" s="16">
        <v>2.96</v>
      </c>
      <c r="EP12" s="16">
        <v>-1.83</v>
      </c>
    </row>
    <row r="13" spans="1:146" ht="96" x14ac:dyDescent="0.25">
      <c r="C13" s="7" t="str">
        <f>""&amp;CHAR(10)&amp;Basic_Fundamental_Information_Constructure(F13)&amp;CHAR(10)&amp;Basic_Fundamental_Information_Concatenate("")</f>
        <v xml:space="preserve">
市值50.275775亿, 利润-81.73万; PE81.04; 平均PE22.29; 平均PEG.5, PB2.37; ROIC-.39%; ROE-2.0733%; 股利率.3571%; 毛利36.63%; 净利-16.79%; 上一年度营收增-85.77%, 利润增-104.24%; 当季营收增-68.53%, 利润增-109.99%; 过往5年营收增44.86%, 利润增757.8%
Income profile:
</v>
      </c>
      <c r="D13" s="3" t="s">
        <v>121</v>
      </c>
      <c r="E13" s="3" t="s">
        <v>122</v>
      </c>
      <c r="F13" s="3">
        <v>28</v>
      </c>
      <c r="G13" s="3">
        <v>-5.41</v>
      </c>
      <c r="H13" s="3" t="s">
        <v>1020</v>
      </c>
      <c r="I13" s="3">
        <v>5027577500</v>
      </c>
      <c r="J13" s="3">
        <v>81.040000000000006</v>
      </c>
      <c r="K13" s="3">
        <v>2.37</v>
      </c>
      <c r="L13" s="3" t="s">
        <v>49</v>
      </c>
      <c r="M13" s="3" t="s">
        <v>1021</v>
      </c>
      <c r="N13" s="3" t="s">
        <v>1022</v>
      </c>
      <c r="O13" s="3" t="s">
        <v>1023</v>
      </c>
      <c r="P13" s="3">
        <v>-15.35</v>
      </c>
      <c r="Q13" s="3" t="s">
        <v>1023</v>
      </c>
      <c r="R13" s="3">
        <v>-817301</v>
      </c>
      <c r="S13" s="5">
        <v>0.93959999999999999</v>
      </c>
      <c r="T13" s="3" t="s">
        <v>1024</v>
      </c>
      <c r="U13" s="3">
        <v>158158130</v>
      </c>
      <c r="V13" s="3">
        <v>179556340</v>
      </c>
      <c r="W13" s="3">
        <v>1.25</v>
      </c>
      <c r="X13" s="3">
        <v>0.03</v>
      </c>
      <c r="Y13" s="3">
        <v>-1.17</v>
      </c>
      <c r="Z13" s="3" t="s">
        <v>1025</v>
      </c>
      <c r="AA13" s="3" t="s">
        <v>1026</v>
      </c>
      <c r="AB13" s="3" t="s">
        <v>1027</v>
      </c>
      <c r="AC13" s="3" t="s">
        <v>1028</v>
      </c>
      <c r="AD13" s="3" t="s">
        <v>52</v>
      </c>
      <c r="AE13" s="3">
        <v>-6148016</v>
      </c>
      <c r="AF13" s="3" t="s">
        <v>1029</v>
      </c>
      <c r="AG13" s="3" t="s">
        <v>1030</v>
      </c>
      <c r="AH13" s="3" t="s">
        <v>1031</v>
      </c>
      <c r="AI13" s="3" t="s">
        <v>1032</v>
      </c>
      <c r="AJ13" s="3" t="s">
        <v>1033</v>
      </c>
      <c r="AK13" s="3" t="s">
        <v>1034</v>
      </c>
      <c r="AL13" s="3" t="s">
        <v>1035</v>
      </c>
      <c r="AM13" s="3" t="s">
        <v>52</v>
      </c>
      <c r="AN13" s="3">
        <v>8578</v>
      </c>
      <c r="AO13" s="3" t="s">
        <v>1036</v>
      </c>
      <c r="AP13" s="3" t="s">
        <v>1037</v>
      </c>
      <c r="AQ13" s="3" t="s">
        <v>147</v>
      </c>
      <c r="AR13" s="3" t="s">
        <v>1038</v>
      </c>
      <c r="AS13" s="3" t="s">
        <v>1039</v>
      </c>
      <c r="AT13" s="3" t="s">
        <v>52</v>
      </c>
      <c r="AU13" s="3" t="s">
        <v>1040</v>
      </c>
      <c r="AV13" s="3" t="s">
        <v>1041</v>
      </c>
      <c r="AW13" s="3" t="s">
        <v>1042</v>
      </c>
      <c r="AX13" s="3" t="s">
        <v>581</v>
      </c>
      <c r="AY13" s="3" t="s">
        <v>180</v>
      </c>
      <c r="AZ13" s="3" t="s">
        <v>123</v>
      </c>
      <c r="BA13" s="3" t="s">
        <v>125</v>
      </c>
      <c r="BB13" s="3" t="s">
        <v>126</v>
      </c>
      <c r="BC13" s="3" t="s">
        <v>1043</v>
      </c>
      <c r="BD13" s="3" t="s">
        <v>311</v>
      </c>
      <c r="BE13" s="3" t="s">
        <v>124</v>
      </c>
      <c r="BF13" s="3" t="s">
        <v>127</v>
      </c>
      <c r="BG13" s="3" t="s">
        <v>128</v>
      </c>
      <c r="BH13" s="3" t="s">
        <v>271</v>
      </c>
      <c r="BI13" s="3" t="s">
        <v>533</v>
      </c>
      <c r="BJ13" s="3" t="s">
        <v>581</v>
      </c>
      <c r="BK13" s="3" t="s">
        <v>1044</v>
      </c>
      <c r="BL13" s="3" t="s">
        <v>667</v>
      </c>
      <c r="BM13" s="3" t="s">
        <v>1043</v>
      </c>
      <c r="BN13" s="3">
        <v>0.21</v>
      </c>
      <c r="BO13" s="3">
        <v>-0.99</v>
      </c>
      <c r="BP13" s="3" t="s">
        <v>52</v>
      </c>
      <c r="BQ13" s="3">
        <v>1.28</v>
      </c>
      <c r="BR13" s="3">
        <v>0.87</v>
      </c>
      <c r="BS13" s="3">
        <v>-8.3699999999999992</v>
      </c>
      <c r="BT13" s="3" t="s">
        <v>580</v>
      </c>
      <c r="BU13" s="3" t="s">
        <v>49</v>
      </c>
      <c r="BV13" s="3">
        <v>35.11</v>
      </c>
      <c r="BW13" s="3">
        <v>36.68</v>
      </c>
      <c r="BX13" s="3">
        <v>38.1</v>
      </c>
      <c r="BY13" s="3">
        <v>9.6199999999999992</v>
      </c>
      <c r="BZ13" s="3">
        <v>3.92</v>
      </c>
      <c r="CA13" s="3">
        <v>-63.91</v>
      </c>
      <c r="CB13" s="3">
        <v>-12.8</v>
      </c>
      <c r="CC13" s="3">
        <v>54.02</v>
      </c>
      <c r="CD13" s="3" t="s">
        <v>532</v>
      </c>
      <c r="CE13" s="3" t="s">
        <v>1045</v>
      </c>
      <c r="CF13" s="10">
        <v>-0.68529864864864865</v>
      </c>
      <c r="CG13" s="11">
        <v>-1.0998730356575506</v>
      </c>
      <c r="CH13" s="10">
        <v>-0.85771143436431885</v>
      </c>
      <c r="CI13" s="10">
        <v>0.62582778930664063</v>
      </c>
      <c r="CJ13" s="10">
        <v>-0.80690538883209229</v>
      </c>
      <c r="CK13" s="10">
        <v>-0.45314684510231018</v>
      </c>
      <c r="CL13" s="10">
        <v>3.7350993156433105</v>
      </c>
      <c r="CM13" s="11">
        <v>-1.0424445867538452</v>
      </c>
      <c r="CN13" s="11">
        <v>1.0997704267501831</v>
      </c>
      <c r="CO13" s="11">
        <v>-1.3058637380599976</v>
      </c>
      <c r="CP13" s="11">
        <v>-0.27885714173316956</v>
      </c>
      <c r="CQ13" s="11">
        <v>39.417385101318359</v>
      </c>
      <c r="CR13" s="3">
        <v>22.293802137703583</v>
      </c>
      <c r="CS13" s="3">
        <v>0.49692772656337331</v>
      </c>
      <c r="CT13" s="3">
        <v>0.35714285714285715</v>
      </c>
      <c r="CU13" s="10">
        <v>0.44863268733024597</v>
      </c>
      <c r="CV13" s="11">
        <v>7.577998012304306</v>
      </c>
      <c r="CW13" s="3">
        <v>0.06</v>
      </c>
      <c r="CX13" s="3" t="e">
        <v>#VALUE!</v>
      </c>
      <c r="CY13" s="3" t="s">
        <v>365</v>
      </c>
      <c r="CZ13" s="3">
        <v>0.44863268733024597</v>
      </c>
      <c r="DA13" s="3" t="e">
        <v>#VALUE!</v>
      </c>
      <c r="DB13" s="3" t="s">
        <v>366</v>
      </c>
      <c r="DC13" s="3">
        <v>0.42620105296373367</v>
      </c>
      <c r="DD13" s="3" t="e">
        <v>#VALUE!</v>
      </c>
      <c r="DE13" s="3" t="s">
        <v>366</v>
      </c>
      <c r="DF13" s="3">
        <v>0.39479676485061643</v>
      </c>
      <c r="DG13" s="3" t="e">
        <v>#VALUE!</v>
      </c>
      <c r="DH13" s="3" t="s">
        <v>366</v>
      </c>
      <c r="DI13" s="3">
        <v>0.35890614986419678</v>
      </c>
      <c r="DJ13" s="3" t="e">
        <v>#VALUE!</v>
      </c>
      <c r="DK13" s="3" t="s">
        <v>366</v>
      </c>
      <c r="DL13" s="3">
        <v>0.31404288113117218</v>
      </c>
      <c r="DM13" s="3">
        <v>-817300</v>
      </c>
      <c r="DN13" s="3">
        <v>0.44863268733024597</v>
      </c>
      <c r="DO13" s="3">
        <v>3483577500</v>
      </c>
      <c r="DP13" s="3">
        <v>1591628400</v>
      </c>
      <c r="DQ13" s="3">
        <v>1337</v>
      </c>
      <c r="DR13" s="3">
        <v>-1.1339313359788945</v>
      </c>
      <c r="DS13" s="3">
        <v>-8.6778710479618564</v>
      </c>
      <c r="DT13" s="12">
        <v>-0.39833333333333337</v>
      </c>
      <c r="DU13" s="3">
        <v>-1.7733333333333337</v>
      </c>
      <c r="DV13" s="3">
        <v>-2.1716666666666669</v>
      </c>
      <c r="DW13" s="3">
        <v>-7.1915594133492968</v>
      </c>
      <c r="DX13" s="3">
        <v>0.42845111326234386</v>
      </c>
      <c r="DY13" s="3">
        <v>-7.0380151788350496</v>
      </c>
      <c r="DZ13" s="3">
        <v>1115</v>
      </c>
      <c r="EA13" s="3">
        <v>-7.029720281691981</v>
      </c>
      <c r="EB13" s="3">
        <v>7</v>
      </c>
      <c r="EC13" s="3">
        <v>1.141702932906741</v>
      </c>
      <c r="ED13" s="3">
        <v>5.7530689253300666</v>
      </c>
      <c r="EE13" s="13">
        <v>2.08691</v>
      </c>
      <c r="EF13" s="3">
        <v>2.0845099999999999</v>
      </c>
      <c r="EG13" s="3">
        <v>23.198451113262344</v>
      </c>
      <c r="EH13" s="3" t="s">
        <v>536</v>
      </c>
      <c r="EI13" s="3">
        <v>0</v>
      </c>
      <c r="EJ13" s="3">
        <v>1</v>
      </c>
      <c r="EK13" s="15">
        <v>45470</v>
      </c>
      <c r="EL13" s="16">
        <v>3.4</v>
      </c>
      <c r="EM13" s="16">
        <v>-3.23</v>
      </c>
      <c r="EN13" s="16">
        <v>-6.85</v>
      </c>
      <c r="EO13" s="16">
        <v>-0.26</v>
      </c>
      <c r="EP13" s="16">
        <v>0.24</v>
      </c>
    </row>
    <row r="14" spans="1:146" ht="96" x14ac:dyDescent="0.25">
      <c r="C14" s="7" t="str">
        <f>""&amp;CHAR(10)&amp;Basic_Fundamental_Information_Constructure(F14)&amp;CHAR(10)&amp;Basic_Fundamental_Information_Concatenate("")</f>
        <v xml:space="preserve">
市值27.821157亿, 利润887.21万; PE; 平均PE49.62; 平均PEG15.44, PB1.96; ROIC6.7167%; ROE8.13%; 股利率.1373%; 毛利12.8933%; 净利2.5467%; 上一年度营收增-77.48%, 利润增-93.8%; 当季营收增-58.46%, 利润增-86.41%; 过往5年营收增3.21%, 利润增82.57%
Income profile:
</v>
      </c>
      <c r="D14" s="3" t="s">
        <v>406</v>
      </c>
      <c r="E14" s="3" t="s">
        <v>407</v>
      </c>
      <c r="F14" s="3">
        <v>10.199999999999999</v>
      </c>
      <c r="G14" s="3">
        <v>0.39</v>
      </c>
      <c r="H14" s="3" t="s">
        <v>1046</v>
      </c>
      <c r="I14" s="3">
        <v>2782115700</v>
      </c>
      <c r="K14" s="3">
        <v>1.96</v>
      </c>
      <c r="L14" s="3" t="s">
        <v>49</v>
      </c>
      <c r="M14" s="3" t="s">
        <v>1047</v>
      </c>
      <c r="N14" s="3" t="s">
        <v>1048</v>
      </c>
      <c r="O14" s="3" t="s">
        <v>1049</v>
      </c>
      <c r="P14" s="3">
        <v>-25.43</v>
      </c>
      <c r="Q14" s="3" t="s">
        <v>1049</v>
      </c>
      <c r="R14" s="3">
        <v>8872070</v>
      </c>
      <c r="S14" s="4">
        <v>-0.84060000000000001</v>
      </c>
      <c r="T14" s="3" t="s">
        <v>1050</v>
      </c>
      <c r="U14" s="3">
        <v>232498440</v>
      </c>
      <c r="V14" s="3">
        <v>272756440</v>
      </c>
      <c r="W14" s="3">
        <v>2.0499999999999998</v>
      </c>
      <c r="X14" s="3">
        <v>0.2</v>
      </c>
      <c r="Y14" s="3">
        <v>1.49</v>
      </c>
      <c r="Z14" s="3" t="s">
        <v>1051</v>
      </c>
      <c r="AA14" s="3" t="s">
        <v>271</v>
      </c>
      <c r="AB14" s="3" t="s">
        <v>1052</v>
      </c>
      <c r="AC14" s="3" t="s">
        <v>1053</v>
      </c>
      <c r="AD14" s="3" t="s">
        <v>52</v>
      </c>
      <c r="AE14" s="3">
        <v>1706991</v>
      </c>
      <c r="AF14" s="3" t="s">
        <v>1054</v>
      </c>
      <c r="AG14" s="3" t="s">
        <v>1055</v>
      </c>
      <c r="AH14" s="3" t="s">
        <v>1056</v>
      </c>
      <c r="AI14" s="3" t="s">
        <v>1057</v>
      </c>
      <c r="AJ14" s="3" t="s">
        <v>1058</v>
      </c>
      <c r="AK14" s="3" t="s">
        <v>232</v>
      </c>
      <c r="AL14" s="3" t="s">
        <v>1059</v>
      </c>
      <c r="AM14" s="3" t="s">
        <v>52</v>
      </c>
      <c r="AN14" s="3">
        <v>0</v>
      </c>
      <c r="AO14" s="3" t="s">
        <v>716</v>
      </c>
      <c r="AP14" s="3" t="s">
        <v>1060</v>
      </c>
      <c r="AQ14" s="3" t="s">
        <v>1061</v>
      </c>
      <c r="AR14" s="3" t="s">
        <v>52</v>
      </c>
      <c r="AS14" s="3" t="s">
        <v>1062</v>
      </c>
      <c r="AT14" s="3" t="s">
        <v>1063</v>
      </c>
      <c r="AU14" s="3" t="s">
        <v>1064</v>
      </c>
      <c r="AV14" s="3" t="s">
        <v>1065</v>
      </c>
      <c r="AW14" s="3" t="s">
        <v>1066</v>
      </c>
      <c r="AX14" s="3" t="s">
        <v>582</v>
      </c>
      <c r="AY14" s="3" t="s">
        <v>408</v>
      </c>
      <c r="AZ14" s="3" t="s">
        <v>410</v>
      </c>
      <c r="BA14" s="3" t="s">
        <v>411</v>
      </c>
      <c r="BB14" s="3" t="s">
        <v>412</v>
      </c>
      <c r="BC14" s="3" t="s">
        <v>68</v>
      </c>
      <c r="BD14" s="3" t="s">
        <v>409</v>
      </c>
      <c r="BE14" s="3" t="s">
        <v>413</v>
      </c>
      <c r="BF14" s="3" t="s">
        <v>414</v>
      </c>
      <c r="BG14" s="3" t="s">
        <v>415</v>
      </c>
      <c r="BH14" s="3" t="s">
        <v>1067</v>
      </c>
      <c r="BI14" s="3" t="s">
        <v>530</v>
      </c>
      <c r="BJ14" s="3" t="s">
        <v>582</v>
      </c>
      <c r="BK14" s="3" t="s">
        <v>1068</v>
      </c>
      <c r="BL14" s="3" t="s">
        <v>668</v>
      </c>
      <c r="BM14" s="3" t="s">
        <v>68</v>
      </c>
      <c r="BN14" s="3">
        <v>4.91</v>
      </c>
      <c r="BO14" s="3">
        <v>12.62</v>
      </c>
      <c r="BP14" s="3">
        <v>2.62</v>
      </c>
      <c r="BQ14" s="3">
        <v>5.82</v>
      </c>
      <c r="BR14" s="3">
        <v>16.100000000000001</v>
      </c>
      <c r="BS14" s="3">
        <v>2.4700000000000002</v>
      </c>
      <c r="BT14" s="3" t="s">
        <v>1069</v>
      </c>
      <c r="BU14" s="3" t="s">
        <v>49</v>
      </c>
      <c r="BV14" s="3">
        <v>12.68</v>
      </c>
      <c r="BW14" s="3">
        <v>14.66</v>
      </c>
      <c r="BX14" s="3">
        <v>11.34</v>
      </c>
      <c r="BY14" s="3">
        <v>1.27</v>
      </c>
      <c r="BZ14" s="3">
        <v>5.44</v>
      </c>
      <c r="CA14" s="3">
        <v>0.93</v>
      </c>
      <c r="CB14" s="3">
        <v>-5.38</v>
      </c>
      <c r="CC14" s="3">
        <v>-14.69</v>
      </c>
      <c r="CD14" s="3" t="s">
        <v>1070</v>
      </c>
      <c r="CE14" s="3" t="s">
        <v>384</v>
      </c>
      <c r="CF14" s="10">
        <v>-0.58458244111349034</v>
      </c>
      <c r="CG14" s="11">
        <v>-0.8641467974758944</v>
      </c>
      <c r="CH14" s="10">
        <v>-0.77476781606674194</v>
      </c>
      <c r="CI14" s="10">
        <v>0.35287958383560181</v>
      </c>
      <c r="CJ14" s="10">
        <v>0.45357686281204224</v>
      </c>
      <c r="CK14" s="10">
        <v>-1.4253515750169754E-2</v>
      </c>
      <c r="CL14" s="10">
        <v>0.14322464168071747</v>
      </c>
      <c r="CM14" s="11">
        <v>-0.93795734643936157</v>
      </c>
      <c r="CN14" s="11">
        <v>6.175724983215332</v>
      </c>
      <c r="CO14" s="11">
        <v>-0.39238911867141724</v>
      </c>
      <c r="CP14" s="11">
        <v>-0.37004962563514709</v>
      </c>
      <c r="CQ14" s="11">
        <v>-0.34703993797302246</v>
      </c>
      <c r="CR14" s="3">
        <v>49.621888728166475</v>
      </c>
      <c r="CS14" s="3">
        <v>15.443160691156049</v>
      </c>
      <c r="CT14" s="3">
        <v>0.13725490196078433</v>
      </c>
      <c r="CU14" s="10">
        <v>3.2131951302289963E-2</v>
      </c>
      <c r="CV14" s="11">
        <v>0.82565779089927671</v>
      </c>
      <c r="CW14" s="3">
        <v>0.06</v>
      </c>
      <c r="CX14" s="3">
        <v>333.04394435167848</v>
      </c>
      <c r="CY14" s="3">
        <v>8638847.0614613649</v>
      </c>
      <c r="CZ14" s="3">
        <v>3.2131951302289963E-2</v>
      </c>
      <c r="DA14" s="3">
        <v>114.33755360039193</v>
      </c>
      <c r="DB14" s="3">
        <v>25163348.431045473</v>
      </c>
      <c r="DC14" s="3">
        <v>3.0525353737175465E-2</v>
      </c>
      <c r="DD14" s="3">
        <v>60.031815709864233</v>
      </c>
      <c r="DE14" s="3">
        <v>47926514.731874779</v>
      </c>
      <c r="DF14" s="3">
        <v>2.8276117146015169E-2</v>
      </c>
      <c r="DG14" s="3">
        <v>38.685864530165539</v>
      </c>
      <c r="DH14" s="3">
        <v>74371239.597257838</v>
      </c>
      <c r="DI14" s="3">
        <v>2.570556104183197E-2</v>
      </c>
      <c r="DJ14" s="3">
        <v>23.166013798520439</v>
      </c>
      <c r="DK14" s="3">
        <v>124195544.6035241</v>
      </c>
      <c r="DL14" s="3">
        <v>2.2492365911602974E-2</v>
      </c>
      <c r="DM14" s="3">
        <v>8872100</v>
      </c>
      <c r="DN14" s="3">
        <v>3.2131951302289963E-2</v>
      </c>
      <c r="DO14" s="3">
        <v>2877115700</v>
      </c>
      <c r="DP14" s="3">
        <v>809733900</v>
      </c>
      <c r="DQ14" s="3">
        <v>1352</v>
      </c>
      <c r="DR14" s="3">
        <v>-0.6167143924157803</v>
      </c>
      <c r="DS14" s="3">
        <v>-1.6898045883751711</v>
      </c>
      <c r="DT14" s="12">
        <v>-0.49</v>
      </c>
      <c r="DU14" s="3">
        <v>-0.80666666666666664</v>
      </c>
      <c r="DV14" s="3">
        <v>-1.2966666666666666</v>
      </c>
      <c r="DW14" s="3">
        <v>-8.3662355343771271</v>
      </c>
      <c r="DX14" s="3">
        <v>0.35245961538461712</v>
      </c>
      <c r="DY14" s="3">
        <v>-8.0448490626800027</v>
      </c>
      <c r="DZ14" s="3">
        <v>3526</v>
      </c>
      <c r="EA14" s="3">
        <v>-8.0139023317583415</v>
      </c>
      <c r="EB14" s="3">
        <v>8</v>
      </c>
      <c r="EC14" s="3">
        <v>4.669293967907779E-2</v>
      </c>
      <c r="ED14" s="3">
        <v>0.38129255536551215</v>
      </c>
      <c r="EE14" s="13">
        <v>-3.0367999999999999</v>
      </c>
      <c r="EF14" s="3">
        <v>-3.0135999999999998</v>
      </c>
      <c r="EG14" s="3">
        <v>23.122459615384617</v>
      </c>
      <c r="EH14" s="3" t="s">
        <v>995</v>
      </c>
      <c r="EI14" s="3">
        <v>0</v>
      </c>
      <c r="EJ14" s="3">
        <v>0</v>
      </c>
      <c r="EK14" s="15">
        <v>45470</v>
      </c>
      <c r="EL14" s="16">
        <v>-1.51</v>
      </c>
      <c r="EM14" s="16">
        <v>-7.05</v>
      </c>
      <c r="EN14" s="16">
        <v>-0.49</v>
      </c>
      <c r="EO14" s="16">
        <v>5.28</v>
      </c>
      <c r="EP14" s="16">
        <v>-2.3199999999999998</v>
      </c>
    </row>
    <row r="15" spans="1:146" ht="96" x14ac:dyDescent="0.25">
      <c r="C15" s="7" t="str">
        <f>""&amp;CHAR(10)&amp;Basic_Fundamental_Information_Constructure(F15)&amp;CHAR(10)&amp;Basic_Fundamental_Information_Concatenate("")</f>
        <v xml:space="preserve">
市值71.988181亿, 利润5836.75万; PE28.95; 平均PE72.62; 平均PEG9.04, PB2.33; ROIC9.17%; ROE10.88%; 股利率1.634%; 毛利19.84%; 净利7.0833%; 上一年度营收增-72.56%, 利润增-69.44%; 当季营收增-50.83%, 利润增-35.32%; 过往5年营收增8.03%, 利润增47.05%
Income profile:
</v>
      </c>
      <c r="D15" s="3" t="s">
        <v>129</v>
      </c>
      <c r="E15" s="3" t="s">
        <v>130</v>
      </c>
      <c r="F15" s="3">
        <v>18.36</v>
      </c>
      <c r="G15" s="3">
        <v>5.09</v>
      </c>
      <c r="H15" s="3" t="s">
        <v>1071</v>
      </c>
      <c r="I15" s="3">
        <v>7198818100</v>
      </c>
      <c r="J15" s="3">
        <v>28.95</v>
      </c>
      <c r="K15" s="3">
        <v>2.33</v>
      </c>
      <c r="L15" s="3" t="s">
        <v>49</v>
      </c>
      <c r="M15" s="3" t="s">
        <v>1072</v>
      </c>
      <c r="N15" s="3" t="s">
        <v>1073</v>
      </c>
      <c r="O15" s="3" t="s">
        <v>1074</v>
      </c>
      <c r="P15" s="3">
        <v>21.05</v>
      </c>
      <c r="Q15" s="3" t="s">
        <v>1074</v>
      </c>
      <c r="R15" s="3">
        <v>58367502</v>
      </c>
      <c r="S15" s="5">
        <v>2.0670000000000002</v>
      </c>
      <c r="T15" s="3" t="s">
        <v>1075</v>
      </c>
      <c r="U15" s="3">
        <v>370071850</v>
      </c>
      <c r="V15" s="3">
        <v>392092490</v>
      </c>
      <c r="W15" s="3">
        <v>1.78</v>
      </c>
      <c r="X15" s="3">
        <v>0.14000000000000001</v>
      </c>
      <c r="Y15" s="3">
        <v>7.88</v>
      </c>
      <c r="Z15" s="3" t="s">
        <v>1076</v>
      </c>
      <c r="AA15" s="3" t="s">
        <v>614</v>
      </c>
      <c r="AB15" s="3" t="s">
        <v>1077</v>
      </c>
      <c r="AC15" s="3" t="s">
        <v>1078</v>
      </c>
      <c r="AD15" s="3" t="s">
        <v>52</v>
      </c>
      <c r="AE15" s="3">
        <v>8424862</v>
      </c>
      <c r="AF15" s="3" t="s">
        <v>1079</v>
      </c>
      <c r="AG15" s="3" t="s">
        <v>1080</v>
      </c>
      <c r="AH15" s="3" t="s">
        <v>1081</v>
      </c>
      <c r="AI15" s="3" t="s">
        <v>1082</v>
      </c>
      <c r="AJ15" s="3" t="s">
        <v>1083</v>
      </c>
      <c r="AK15" s="3" t="s">
        <v>53</v>
      </c>
      <c r="AL15" s="3" t="s">
        <v>1084</v>
      </c>
      <c r="AM15" s="3" t="s">
        <v>52</v>
      </c>
      <c r="AN15" s="3" t="s">
        <v>1085</v>
      </c>
      <c r="AO15" s="3" t="s">
        <v>56</v>
      </c>
      <c r="AP15" s="3" t="s">
        <v>523</v>
      </c>
      <c r="AQ15" s="3" t="s">
        <v>1086</v>
      </c>
      <c r="AR15" s="3" t="s">
        <v>52</v>
      </c>
      <c r="AS15" s="3" t="s">
        <v>1087</v>
      </c>
      <c r="AT15" s="3" t="s">
        <v>118</v>
      </c>
      <c r="AU15" s="3" t="s">
        <v>1088</v>
      </c>
      <c r="AV15" s="3" t="s">
        <v>1089</v>
      </c>
      <c r="AW15" s="3" t="s">
        <v>1090</v>
      </c>
      <c r="AX15" s="3" t="s">
        <v>584</v>
      </c>
      <c r="AY15" s="3" t="s">
        <v>312</v>
      </c>
      <c r="AZ15" s="3" t="s">
        <v>131</v>
      </c>
      <c r="BA15" s="3" t="s">
        <v>136</v>
      </c>
      <c r="BB15" s="3" t="s">
        <v>137</v>
      </c>
      <c r="BC15" s="3" t="s">
        <v>224</v>
      </c>
      <c r="BD15" s="3" t="s">
        <v>313</v>
      </c>
      <c r="BE15" s="3" t="s">
        <v>132</v>
      </c>
      <c r="BF15" s="3" t="s">
        <v>138</v>
      </c>
      <c r="BG15" s="3" t="s">
        <v>139</v>
      </c>
      <c r="BH15" s="3" t="s">
        <v>1091</v>
      </c>
      <c r="BI15" s="3" t="s">
        <v>583</v>
      </c>
      <c r="BJ15" s="3" t="s">
        <v>584</v>
      </c>
      <c r="BK15" s="3" t="s">
        <v>522</v>
      </c>
      <c r="BL15" s="3" t="s">
        <v>669</v>
      </c>
      <c r="BM15" s="3" t="s">
        <v>224</v>
      </c>
      <c r="BN15" s="3">
        <v>6.02</v>
      </c>
      <c r="BO15" s="3">
        <v>10.25</v>
      </c>
      <c r="BP15" s="3">
        <v>11.24</v>
      </c>
      <c r="BQ15" s="3">
        <v>8.52</v>
      </c>
      <c r="BR15" s="3">
        <v>11.37</v>
      </c>
      <c r="BS15" s="3">
        <v>12.75</v>
      </c>
      <c r="BT15" s="3" t="s">
        <v>518</v>
      </c>
      <c r="BU15" s="3" t="s">
        <v>49</v>
      </c>
      <c r="BV15" s="3">
        <v>22.34</v>
      </c>
      <c r="BW15" s="3">
        <v>20.079999999999998</v>
      </c>
      <c r="BX15" s="3">
        <v>17.100000000000001</v>
      </c>
      <c r="BY15" s="3">
        <v>5.99</v>
      </c>
      <c r="BZ15" s="3">
        <v>6.8</v>
      </c>
      <c r="CA15" s="3">
        <v>8.4600000000000009</v>
      </c>
      <c r="CB15" s="3">
        <v>-16.010000000000002</v>
      </c>
      <c r="CC15" s="3">
        <v>-9.2899999999999991</v>
      </c>
      <c r="CD15" s="3" t="s">
        <v>68</v>
      </c>
      <c r="CE15" s="3" t="s">
        <v>688</v>
      </c>
      <c r="CF15" s="10">
        <v>-0.50825921219822112</v>
      </c>
      <c r="CG15" s="11">
        <v>-0.35315399960103733</v>
      </c>
      <c r="CH15" s="10">
        <v>-0.72562921047210693</v>
      </c>
      <c r="CI15" s="10">
        <v>0.26502230763435364</v>
      </c>
      <c r="CJ15" s="10">
        <v>0.5860598087310791</v>
      </c>
      <c r="CK15" s="10">
        <v>8.4040142595767975E-2</v>
      </c>
      <c r="CL15" s="10">
        <v>0.19209553301334381</v>
      </c>
      <c r="CM15" s="11">
        <v>-0.69441097974777222</v>
      </c>
      <c r="CN15" s="11">
        <v>-2.0512821152806282E-2</v>
      </c>
      <c r="CO15" s="11">
        <v>2.7912516593933105</v>
      </c>
      <c r="CP15" s="11">
        <v>-0.10357460379600525</v>
      </c>
      <c r="CQ15" s="11">
        <v>0.37971583008766174</v>
      </c>
      <c r="CR15" s="3">
        <v>72.62183067995953</v>
      </c>
      <c r="CS15" s="3">
        <v>9.0418196663192134</v>
      </c>
      <c r="CT15" s="3">
        <v>1.6339869281045751</v>
      </c>
      <c r="CU15" s="10">
        <v>8.0317716300487521E-2</v>
      </c>
      <c r="CV15" s="11">
        <v>0.4704938169568777</v>
      </c>
      <c r="CW15" s="3">
        <v>0.06</v>
      </c>
      <c r="CX15" s="3">
        <v>105.87011572840377</v>
      </c>
      <c r="CY15" s="3">
        <v>59486268.213366702</v>
      </c>
      <c r="CZ15" s="3">
        <v>8.0317716300487521E-2</v>
      </c>
      <c r="DA15" s="3">
        <v>34.882501329904827</v>
      </c>
      <c r="DB15" s="3">
        <v>180543764.34871286</v>
      </c>
      <c r="DC15" s="3">
        <v>7.6301830485463143E-2</v>
      </c>
      <c r="DD15" s="3">
        <v>17.360663488337934</v>
      </c>
      <c r="DE15" s="3">
        <v>362763675.721874</v>
      </c>
      <c r="DF15" s="3">
        <v>7.0679590344429014E-2</v>
      </c>
      <c r="DG15" s="3">
        <v>10.554144851826875</v>
      </c>
      <c r="DH15" s="3">
        <v>596715147.31104684</v>
      </c>
      <c r="DI15" s="3">
        <v>6.4254173040390022E-2</v>
      </c>
      <c r="DJ15" s="3">
        <v>5.5998598528250643</v>
      </c>
      <c r="DK15" s="3">
        <v>1124638520.5199063</v>
      </c>
      <c r="DL15" s="3">
        <v>5.6222401410341259E-2</v>
      </c>
      <c r="DM15" s="3">
        <v>58367500</v>
      </c>
      <c r="DN15" s="3">
        <v>8.0317716300487521E-2</v>
      </c>
      <c r="DO15" s="3">
        <v>6297818100</v>
      </c>
      <c r="DP15" s="3">
        <v>1456860700</v>
      </c>
      <c r="DQ15" s="3">
        <v>1386</v>
      </c>
      <c r="DR15" s="3">
        <v>-0.58857692849870868</v>
      </c>
      <c r="DS15" s="3">
        <v>-0.82364781655791508</v>
      </c>
      <c r="DT15" s="12">
        <v>-0.39000000000000007</v>
      </c>
      <c r="DU15" s="3">
        <v>-8.6666666666666711E-2</v>
      </c>
      <c r="DV15" s="3">
        <v>-0.47666666666666679</v>
      </c>
      <c r="DW15" s="3">
        <v>-5.5802623360399748</v>
      </c>
      <c r="DX15" s="3">
        <v>0.4486544342507659</v>
      </c>
      <c r="DY15" s="3">
        <v>-5.1268769328038477</v>
      </c>
      <c r="DZ15" s="3">
        <v>185</v>
      </c>
      <c r="EA15" s="3">
        <v>-5.1222835409117318</v>
      </c>
      <c r="EB15" s="3">
        <v>5</v>
      </c>
      <c r="EC15" s="3">
        <v>0.36470986730707339</v>
      </c>
      <c r="ED15" s="3">
        <v>1.667973798733049</v>
      </c>
      <c r="EE15" s="13">
        <v>5.0325100000000003</v>
      </c>
      <c r="EF15" s="3">
        <v>5.1002099999999997</v>
      </c>
      <c r="EG15" s="3">
        <v>23.218654434250766</v>
      </c>
      <c r="EH15" s="3" t="s">
        <v>1092</v>
      </c>
      <c r="EI15" s="3">
        <v>0</v>
      </c>
      <c r="EJ15" s="3">
        <v>1</v>
      </c>
      <c r="EK15" s="15">
        <v>45470</v>
      </c>
      <c r="EL15" s="16">
        <v>0</v>
      </c>
      <c r="EM15" s="16">
        <v>-0.76</v>
      </c>
      <c r="EN15" s="16">
        <v>-4.87</v>
      </c>
      <c r="EO15" s="16">
        <v>0.22</v>
      </c>
      <c r="EP15" s="16">
        <v>-6.77</v>
      </c>
    </row>
    <row r="16" spans="1:146" ht="96" x14ac:dyDescent="0.25">
      <c r="C16" s="7" t="str">
        <f>""&amp;CHAR(10)&amp;Basic_Fundamental_Information_Constructure(F16)&amp;CHAR(10)&amp;Basic_Fundamental_Information_Concatenate("")</f>
        <v xml:space="preserve">
市值48.916675亿, 利润1851.53万; PE97.83; 平均PE54.01; 平均PEG1.83, PB2.85; ROIC2.6767%; ROE2.5567%; 股利率0%; 毛利9.21%; 净利.7033%; 上一年度营收增-75.68%, 利润增-67.79%; 当季营收增-44.63%, 利润增-41.13%; 过往5年营收增-29.49%, 利润增140.87%
Income profile:
</v>
      </c>
      <c r="D16" s="3" t="s">
        <v>416</v>
      </c>
      <c r="E16" s="3" t="s">
        <v>417</v>
      </c>
      <c r="F16" s="3">
        <v>4.3</v>
      </c>
      <c r="G16" s="3">
        <v>0.94</v>
      </c>
      <c r="H16" s="3" t="s">
        <v>1093</v>
      </c>
      <c r="I16" s="3">
        <v>4891667500</v>
      </c>
      <c r="J16" s="3">
        <v>97.83</v>
      </c>
      <c r="K16" s="3">
        <v>2.85</v>
      </c>
      <c r="L16" s="3" t="s">
        <v>49</v>
      </c>
      <c r="M16" s="3" t="s">
        <v>706</v>
      </c>
      <c r="N16" s="3" t="s">
        <v>1094</v>
      </c>
      <c r="O16" s="3" t="s">
        <v>1095</v>
      </c>
      <c r="P16" s="3">
        <v>20.32</v>
      </c>
      <c r="Q16" s="3" t="s">
        <v>1095</v>
      </c>
      <c r="R16" s="3">
        <v>18515323</v>
      </c>
      <c r="S16" s="5">
        <v>-0.20830000000000001</v>
      </c>
      <c r="T16" s="3" t="s">
        <v>1096</v>
      </c>
      <c r="U16" s="3">
        <v>1028519940</v>
      </c>
      <c r="V16" s="3">
        <v>1137597090</v>
      </c>
      <c r="W16" s="3">
        <v>1.97</v>
      </c>
      <c r="X16" s="3">
        <v>0.36</v>
      </c>
      <c r="Y16" s="3">
        <v>1.33</v>
      </c>
      <c r="Z16" s="3" t="s">
        <v>1097</v>
      </c>
      <c r="AA16" s="3" t="s">
        <v>692</v>
      </c>
      <c r="AB16" s="3" t="s">
        <v>1098</v>
      </c>
      <c r="AC16" s="3" t="s">
        <v>1099</v>
      </c>
      <c r="AD16" s="3" t="s">
        <v>52</v>
      </c>
      <c r="AE16" s="3">
        <v>10999700</v>
      </c>
      <c r="AF16" s="3" t="s">
        <v>1100</v>
      </c>
      <c r="AG16" s="3">
        <v>4548.21</v>
      </c>
      <c r="AH16" s="3" t="s">
        <v>1101</v>
      </c>
      <c r="AI16" s="3" t="s">
        <v>664</v>
      </c>
      <c r="AJ16" s="3" t="s">
        <v>1102</v>
      </c>
      <c r="AK16" s="3" t="s">
        <v>1103</v>
      </c>
      <c r="AL16" s="3" t="s">
        <v>1104</v>
      </c>
      <c r="AM16" s="3" t="s">
        <v>52</v>
      </c>
      <c r="AN16" s="3" t="s">
        <v>1105</v>
      </c>
      <c r="AO16" s="3" t="s">
        <v>1106</v>
      </c>
      <c r="AP16" s="3" t="s">
        <v>52</v>
      </c>
      <c r="AQ16" s="3" t="s">
        <v>852</v>
      </c>
      <c r="AR16" s="3" t="s">
        <v>52</v>
      </c>
      <c r="AS16" s="3" t="s">
        <v>1107</v>
      </c>
      <c r="AT16" s="3" t="s">
        <v>1108</v>
      </c>
      <c r="AU16" s="3" t="s">
        <v>642</v>
      </c>
      <c r="AV16" s="3" t="s">
        <v>1109</v>
      </c>
      <c r="AW16" s="3" t="s">
        <v>1110</v>
      </c>
      <c r="AX16" s="3" t="s">
        <v>586</v>
      </c>
      <c r="AY16" s="3" t="s">
        <v>418</v>
      </c>
      <c r="AZ16" s="3" t="s">
        <v>420</v>
      </c>
      <c r="BA16" s="3" t="s">
        <v>421</v>
      </c>
      <c r="BB16" s="3" t="s">
        <v>422</v>
      </c>
      <c r="BC16" s="3" t="s">
        <v>1111</v>
      </c>
      <c r="BD16" s="3" t="s">
        <v>419</v>
      </c>
      <c r="BE16" s="3" t="s">
        <v>372</v>
      </c>
      <c r="BF16" s="3" t="s">
        <v>423</v>
      </c>
      <c r="BG16" s="3" t="s">
        <v>176</v>
      </c>
      <c r="BH16" s="3" t="s">
        <v>1112</v>
      </c>
      <c r="BI16" s="3" t="s">
        <v>585</v>
      </c>
      <c r="BJ16" s="3" t="s">
        <v>586</v>
      </c>
      <c r="BK16" s="3" t="s">
        <v>1113</v>
      </c>
      <c r="BL16" s="3" t="s">
        <v>670</v>
      </c>
      <c r="BM16" s="3" t="s">
        <v>1111</v>
      </c>
      <c r="BN16" s="3">
        <v>2.74</v>
      </c>
      <c r="BO16" s="3">
        <v>3.68</v>
      </c>
      <c r="BP16" s="3">
        <v>1.61</v>
      </c>
      <c r="BQ16" s="3">
        <v>2.14</v>
      </c>
      <c r="BR16" s="3">
        <v>3.55</v>
      </c>
      <c r="BS16" s="3">
        <v>1.98</v>
      </c>
      <c r="BT16" s="3" t="s">
        <v>519</v>
      </c>
      <c r="BU16" s="3" t="s">
        <v>49</v>
      </c>
      <c r="BV16" s="3">
        <v>7.6</v>
      </c>
      <c r="BW16" s="3">
        <v>10.1</v>
      </c>
      <c r="BX16" s="3">
        <v>9.93</v>
      </c>
      <c r="BY16" s="3">
        <v>0.93</v>
      </c>
      <c r="BZ16" s="3">
        <v>0.91</v>
      </c>
      <c r="CA16" s="3">
        <v>0.27</v>
      </c>
      <c r="CB16" s="3">
        <v>-3.37</v>
      </c>
      <c r="CC16" s="3">
        <v>-10.039999999999999</v>
      </c>
      <c r="CD16" s="3" t="s">
        <v>587</v>
      </c>
      <c r="CE16" s="3" t="s">
        <v>1114</v>
      </c>
      <c r="CF16" s="10">
        <v>-0.44625550660792951</v>
      </c>
      <c r="CG16" s="11">
        <v>-0.41130556571228716</v>
      </c>
      <c r="CH16" s="10">
        <v>-0.75681948661804199</v>
      </c>
      <c r="CI16" s="10">
        <v>-0.18444304168224335</v>
      </c>
      <c r="CJ16" s="10">
        <v>-0.39162987470626831</v>
      </c>
      <c r="CK16" s="10">
        <v>-0.12820085883140564</v>
      </c>
      <c r="CL16" s="10">
        <v>-1.3538033701479435E-2</v>
      </c>
      <c r="CM16" s="11">
        <v>-0.67793762683868408</v>
      </c>
      <c r="CN16" s="11">
        <v>0.9946291446685791</v>
      </c>
      <c r="CO16" s="11">
        <v>-0.89285391569137573</v>
      </c>
      <c r="CP16" s="11">
        <v>8.4169864654541016</v>
      </c>
      <c r="CQ16" s="11">
        <v>-0.79740852117538452</v>
      </c>
      <c r="CR16" s="3">
        <v>54.01250255800224</v>
      </c>
      <c r="CS16" s="3">
        <v>1.8313900810793451</v>
      </c>
      <c r="CT16" s="3">
        <v>0</v>
      </c>
      <c r="CU16" s="10">
        <v>-0.29492625910788772</v>
      </c>
      <c r="CV16" s="11">
        <v>1.4086831092834473</v>
      </c>
      <c r="CW16" s="3">
        <v>0.06</v>
      </c>
      <c r="CX16" s="3">
        <v>278.29241222124404</v>
      </c>
      <c r="CY16" s="3" t="s">
        <v>1115</v>
      </c>
      <c r="CZ16" s="3">
        <v>-0.29492625910788772</v>
      </c>
      <c r="DA16" s="3">
        <v>92.76413740708135</v>
      </c>
      <c r="DB16" s="3" t="s">
        <v>1116</v>
      </c>
      <c r="DC16" s="3">
        <v>-0.28017994615249331</v>
      </c>
      <c r="DD16" s="3">
        <v>46.382068703540675</v>
      </c>
      <c r="DE16" s="3" t="s">
        <v>1117</v>
      </c>
      <c r="DF16" s="3">
        <v>-0.25953510801494117</v>
      </c>
      <c r="DG16" s="3">
        <v>27.829241222124406</v>
      </c>
      <c r="DH16" s="3" t="s">
        <v>1118</v>
      </c>
      <c r="DI16" s="3">
        <v>-0.23594100728631018</v>
      </c>
      <c r="DJ16" s="3">
        <v>13.914620611062203</v>
      </c>
      <c r="DK16" s="3" t="s">
        <v>1119</v>
      </c>
      <c r="DL16" s="3">
        <v>-0.20644838137552141</v>
      </c>
      <c r="DM16" s="3">
        <v>18515300</v>
      </c>
      <c r="DN16" s="3">
        <v>-0.29492625910788772</v>
      </c>
      <c r="DO16" s="3">
        <v>5152667500</v>
      </c>
      <c r="DP16" s="3">
        <v>743023300</v>
      </c>
      <c r="DQ16" s="3">
        <v>1621</v>
      </c>
      <c r="DR16" s="3">
        <v>-0.15132924750004179</v>
      </c>
      <c r="DS16" s="3">
        <v>-1.8199886749957344</v>
      </c>
      <c r="DT16" s="12">
        <v>-1.0566666666666666</v>
      </c>
      <c r="DU16" s="3">
        <v>-0.30000000000000004</v>
      </c>
      <c r="DV16" s="3">
        <v>-1.3566666666666667</v>
      </c>
      <c r="DW16" s="3">
        <v>-8.3356573705179287</v>
      </c>
      <c r="DX16" s="3">
        <v>0.32964873765093383</v>
      </c>
      <c r="DY16" s="3">
        <v>-8.0401609806657017</v>
      </c>
      <c r="DZ16" s="3">
        <v>3125</v>
      </c>
      <c r="EA16" s="3">
        <v>-8.0156006940550721</v>
      </c>
      <c r="EB16" s="3">
        <v>8</v>
      </c>
      <c r="EC16" s="3">
        <v>9.5815997560261004E-2</v>
      </c>
      <c r="ED16" s="3">
        <v>0.80081076859997946</v>
      </c>
      <c r="EE16" s="13">
        <v>-3.0430000000000001</v>
      </c>
      <c r="EF16" s="3">
        <v>-3.0164</v>
      </c>
      <c r="EG16" s="3">
        <v>21.119648737650934</v>
      </c>
      <c r="EH16" s="3" t="s">
        <v>995</v>
      </c>
      <c r="EI16" s="3">
        <v>0</v>
      </c>
      <c r="EJ16" s="3">
        <v>0</v>
      </c>
      <c r="EK16" s="15">
        <v>45470</v>
      </c>
      <c r="EL16" s="16">
        <v>0.43</v>
      </c>
      <c r="EM16" s="16">
        <v>-5.17</v>
      </c>
      <c r="EN16" s="16">
        <v>-1.36</v>
      </c>
      <c r="EO16" s="16">
        <v>3.92</v>
      </c>
      <c r="EP16" s="16">
        <v>-2.66</v>
      </c>
    </row>
    <row r="17" spans="1:146" ht="192" x14ac:dyDescent="0.25">
      <c r="C17" s="7" t="str">
        <f>"公司的主营业务是电子元器件的代理（技术）分销业务、芯片自研以及智能电网产品的研发、生产及销售。公司主要产品是电子元器件、结构模块器件（模组）、含嵌入式软件的芯片及套件、用电信息采集及控制系统产品、其他产品、自研芯片、其他业务（外协加工等其他）。"&amp;CHAR(10)&amp;Basic_Fundamental_Information_Constructure(F17)&amp;CHAR(10)&amp;Basic_Fundamental_Information_Concatenate("电子元器件代理分销(模组) 75.45亿 93.86% 87.51% 9.15%
电力计量采集解决方案 3.96亿 4.92% 11.13% 22.19%
外协加工 4086.15万 0.51% -0.66% -12.79%
自研芯片 3373.25万 0.42% 0.38% 8.85%
其他业务 2369.59万 0.29% 1.65% 54.77%")</f>
        <v>公司的主营业务是电子元器件的代理（技术）分销业务、芯片自研以及智能电网产品的研发、生产及销售。公司主要产品是电子元器件、结构模块器件（模组）、含嵌入式软件的芯片及套件、用电信息采集及控制系统产品、其他产品、自研芯片、其他业务（外协加工等其他）。
市值52.045938亿, 利润3524.37万; PE76.46; 平均PE-50.39; 平均PEG-2.46, PB1.43; ROIC5.5867%; ROE6.1833%; 股利率0%; 毛利9.1267%; 净利2.2833%; 上一年度营收增-80.88%, 利润增-84.34%; 当季营收增-40.77%, 利润增-32.74%; 过往5年营收增-20.52%, 利润增-208.61%
Income profile:
电子元器件代理分销(模组) 75.45亿 93.86% 87.51% 9.15%
电力计量采集解决方案 3.96亿 4.92% 11.13% 22.19%
外协加工 4086.15万 0.51% -0.66% -12.79%
自研芯片 3373.25万 0.42% 0.38% 8.85%
其他业务 2369.59万 0.29% 1.65% 54.77%</v>
      </c>
      <c r="D17" s="3" t="s">
        <v>141</v>
      </c>
      <c r="E17" s="3" t="s">
        <v>142</v>
      </c>
      <c r="F17" s="3">
        <v>4.51</v>
      </c>
      <c r="G17" s="3">
        <v>0.89</v>
      </c>
      <c r="H17" s="3" t="s">
        <v>1120</v>
      </c>
      <c r="I17" s="3">
        <v>5204593800</v>
      </c>
      <c r="J17" s="3">
        <v>76.459999999999994</v>
      </c>
      <c r="K17" s="3">
        <v>1.43</v>
      </c>
      <c r="L17" s="3" t="s">
        <v>49</v>
      </c>
      <c r="M17" s="3" t="s">
        <v>1121</v>
      </c>
      <c r="N17" s="3" t="s">
        <v>1122</v>
      </c>
      <c r="O17" s="3" t="s">
        <v>1123</v>
      </c>
      <c r="P17" s="3">
        <v>29.69</v>
      </c>
      <c r="Q17" s="3" t="s">
        <v>1123</v>
      </c>
      <c r="R17" s="3">
        <v>35243651</v>
      </c>
      <c r="S17" s="5">
        <v>5.11E-2</v>
      </c>
      <c r="T17" s="3" t="s">
        <v>1124</v>
      </c>
      <c r="U17" s="3">
        <v>1048391180</v>
      </c>
      <c r="V17" s="3">
        <v>1154011920</v>
      </c>
      <c r="W17" s="3">
        <v>1.59</v>
      </c>
      <c r="X17" s="3">
        <v>0.27</v>
      </c>
      <c r="Y17" s="3">
        <v>2.29</v>
      </c>
      <c r="Z17" s="3" t="s">
        <v>1125</v>
      </c>
      <c r="AA17" s="3" t="s">
        <v>1126</v>
      </c>
      <c r="AB17" s="3" t="s">
        <v>1127</v>
      </c>
      <c r="AC17" s="3" t="s">
        <v>1128</v>
      </c>
      <c r="AD17" s="3" t="s">
        <v>52</v>
      </c>
      <c r="AE17" s="3">
        <v>13923140</v>
      </c>
      <c r="AF17" s="3" t="s">
        <v>1129</v>
      </c>
      <c r="AG17" s="3" t="s">
        <v>1130</v>
      </c>
      <c r="AH17" s="3" t="s">
        <v>1131</v>
      </c>
      <c r="AI17" s="3" t="s">
        <v>1132</v>
      </c>
      <c r="AJ17" s="3" t="s">
        <v>1133</v>
      </c>
      <c r="AK17" s="3" t="s">
        <v>52</v>
      </c>
      <c r="AL17" s="3" t="s">
        <v>1134</v>
      </c>
      <c r="AM17" s="3" t="s">
        <v>52</v>
      </c>
      <c r="AN17" s="3" t="s">
        <v>1135</v>
      </c>
      <c r="AO17" s="3" t="s">
        <v>1032</v>
      </c>
      <c r="AP17" s="3" t="s">
        <v>658</v>
      </c>
      <c r="AQ17" s="3" t="s">
        <v>688</v>
      </c>
      <c r="AR17" s="3" t="s">
        <v>52</v>
      </c>
      <c r="AS17" s="3" t="s">
        <v>1136</v>
      </c>
      <c r="AT17" s="3" t="s">
        <v>52</v>
      </c>
      <c r="AU17" s="3" t="s">
        <v>1137</v>
      </c>
      <c r="AV17" s="3" t="s">
        <v>1138</v>
      </c>
      <c r="AW17" s="3" t="s">
        <v>1139</v>
      </c>
      <c r="AX17" s="3" t="s">
        <v>590</v>
      </c>
      <c r="AY17" s="3" t="s">
        <v>315</v>
      </c>
      <c r="AZ17" s="3" t="s">
        <v>143</v>
      </c>
      <c r="BA17" s="3" t="s">
        <v>145</v>
      </c>
      <c r="BB17" s="3" t="s">
        <v>146</v>
      </c>
      <c r="BC17" s="3" t="s">
        <v>400</v>
      </c>
      <c r="BD17" s="3" t="s">
        <v>316</v>
      </c>
      <c r="BE17" s="3" t="s">
        <v>144</v>
      </c>
      <c r="BF17" s="3" t="s">
        <v>147</v>
      </c>
      <c r="BG17" s="3" t="s">
        <v>98</v>
      </c>
      <c r="BH17" s="3" t="s">
        <v>1140</v>
      </c>
      <c r="BI17" s="3" t="s">
        <v>589</v>
      </c>
      <c r="BJ17" s="3" t="s">
        <v>590</v>
      </c>
      <c r="BK17" s="3" t="s">
        <v>1141</v>
      </c>
      <c r="BL17" s="3" t="s">
        <v>672</v>
      </c>
      <c r="BM17" s="3" t="s">
        <v>400</v>
      </c>
      <c r="BN17" s="3">
        <v>2.2799999999999998</v>
      </c>
      <c r="BO17" s="3">
        <v>5.97</v>
      </c>
      <c r="BP17" s="3">
        <v>8.51</v>
      </c>
      <c r="BQ17" s="3">
        <v>2.12</v>
      </c>
      <c r="BR17" s="3">
        <v>6.58</v>
      </c>
      <c r="BS17" s="3">
        <v>9.85</v>
      </c>
      <c r="BT17" s="3" t="s">
        <v>519</v>
      </c>
      <c r="BU17" s="3" t="s">
        <v>49</v>
      </c>
      <c r="BV17" s="3">
        <v>9.4700000000000006</v>
      </c>
      <c r="BW17" s="3">
        <v>9.81</v>
      </c>
      <c r="BX17" s="3">
        <v>8.1</v>
      </c>
      <c r="BY17" s="3">
        <v>1.1200000000000001</v>
      </c>
      <c r="BZ17" s="3">
        <v>2.8</v>
      </c>
      <c r="CA17" s="3">
        <v>2.93</v>
      </c>
      <c r="CB17" s="3">
        <v>-2.59</v>
      </c>
      <c r="CC17" s="3">
        <v>-5.05</v>
      </c>
      <c r="CD17" s="3" t="s">
        <v>951</v>
      </c>
      <c r="CE17" s="3" t="s">
        <v>622</v>
      </c>
      <c r="CF17" s="10">
        <v>-0.40770712909441231</v>
      </c>
      <c r="CG17" s="11">
        <v>-0.32742664290130763</v>
      </c>
      <c r="CH17" s="10">
        <v>-0.80880707502365112</v>
      </c>
      <c r="CI17" s="10">
        <v>-0.23012834787368774</v>
      </c>
      <c r="CJ17" s="10">
        <v>7.9150451347231865E-3</v>
      </c>
      <c r="CK17" s="10">
        <v>-0.21108739078044891</v>
      </c>
      <c r="CL17" s="10">
        <v>0.21626383066177368</v>
      </c>
      <c r="CM17" s="11">
        <v>-0.84336137771606445</v>
      </c>
      <c r="CN17" s="11">
        <v>-0.26470589637756348</v>
      </c>
      <c r="CO17" s="11">
        <v>1.1763688325881958</v>
      </c>
      <c r="CP17" s="11">
        <v>-10.036458969116211</v>
      </c>
      <c r="CQ17" s="11">
        <v>-0.46218487620353699</v>
      </c>
      <c r="CR17" s="3">
        <v>-50.386842053884713</v>
      </c>
      <c r="CS17" s="3">
        <v>-2.4558726816649279</v>
      </c>
      <c r="CT17" s="3">
        <v>0</v>
      </c>
      <c r="CU17" s="10">
        <v>-0.20516878757625817</v>
      </c>
      <c r="CV17" s="11">
        <v>-2.0860684573650361</v>
      </c>
      <c r="CW17" s="3">
        <v>0.06</v>
      </c>
      <c r="CX17" s="3">
        <v>99.155134109074808</v>
      </c>
      <c r="CY17" s="3" t="s">
        <v>1142</v>
      </c>
      <c r="CZ17" s="3">
        <v>-0.20516878757625817</v>
      </c>
      <c r="DA17" s="3">
        <v>33.051711369691603</v>
      </c>
      <c r="DB17" s="3" t="s">
        <v>1143</v>
      </c>
      <c r="DC17" s="3">
        <v>-0.19491034819744527</v>
      </c>
      <c r="DD17" s="3">
        <v>16.525855684845801</v>
      </c>
      <c r="DE17" s="3" t="s">
        <v>1144</v>
      </c>
      <c r="DF17" s="3">
        <v>-0.18054853306710719</v>
      </c>
      <c r="DG17" s="3">
        <v>9.9155134109074812</v>
      </c>
      <c r="DH17" s="3" t="s">
        <v>1145</v>
      </c>
      <c r="DI17" s="3">
        <v>-0.16413503006100655</v>
      </c>
      <c r="DJ17" s="3">
        <v>4.9577567054537406</v>
      </c>
      <c r="DK17" s="3" t="s">
        <v>1146</v>
      </c>
      <c r="DL17" s="3">
        <v>-0.14361815130338071</v>
      </c>
      <c r="DM17" s="3">
        <v>35243700</v>
      </c>
      <c r="DN17" s="3">
        <v>-0.20516878757625817</v>
      </c>
      <c r="DO17" s="3">
        <v>3494593800</v>
      </c>
      <c r="DP17" s="3">
        <v>2731856400</v>
      </c>
      <c r="DQ17" s="3">
        <v>1672</v>
      </c>
      <c r="DR17" s="3">
        <v>-0.20253834151815414</v>
      </c>
      <c r="DS17" s="3">
        <v>1.7586418144637284</v>
      </c>
      <c r="DT17" s="12">
        <v>-0.94</v>
      </c>
      <c r="DU17" s="3">
        <v>-1.4066666666666665</v>
      </c>
      <c r="DV17" s="3">
        <v>-2.3466666666666667</v>
      </c>
      <c r="DW17" s="3">
        <v>-8.5128712871287124</v>
      </c>
      <c r="DX17" s="3">
        <v>0.29717868338557879</v>
      </c>
      <c r="DY17" s="3">
        <v>-8.0498401564294362</v>
      </c>
      <c r="DZ17" s="3">
        <v>4518</v>
      </c>
      <c r="EA17" s="3">
        <v>-8.005774045519809</v>
      </c>
      <c r="EB17" s="3">
        <v>8</v>
      </c>
      <c r="EC17" s="3">
        <v>0.10745122979318966</v>
      </c>
      <c r="ED17" s="3">
        <v>1.1057078162589515</v>
      </c>
      <c r="EE17" s="13">
        <v>-1.0479000000000001</v>
      </c>
      <c r="EF17" s="3">
        <v>-1.0159</v>
      </c>
      <c r="EG17" s="3">
        <v>20.097178683385579</v>
      </c>
      <c r="EH17" s="3" t="s">
        <v>714</v>
      </c>
      <c r="EI17" s="3">
        <v>0</v>
      </c>
      <c r="EJ17" s="3">
        <v>0</v>
      </c>
      <c r="EK17" s="15">
        <v>45470</v>
      </c>
      <c r="EL17" s="16">
        <v>-1.02</v>
      </c>
      <c r="EM17" s="16">
        <v>-5.15</v>
      </c>
      <c r="EN17" s="16">
        <v>-2.61</v>
      </c>
      <c r="EO17" s="16">
        <v>4.6900000000000004</v>
      </c>
      <c r="EP17" s="16">
        <v>-3.2</v>
      </c>
    </row>
    <row r="18" spans="1:146" ht="120" x14ac:dyDescent="0.25">
      <c r="A18" s="7" t="s">
        <v>711</v>
      </c>
      <c r="B18" s="7" t="s">
        <v>719</v>
      </c>
      <c r="C18" s="7" t="str">
        <f>"公司的主营业务是电子元器件分销。公司的主要产品和服务是半导体分销及半导体投资。"&amp;CHAR(10)&amp;Basic_Fundamental_Information_Constructure(F18)&amp;CHAR(10)&amp;Basic_Fundamental_Information_Concatenate("集成电路(含存储器) 42.13亿 97.24% 83.70% 3.91%
其他业务 1.20亿 2.76% 16.30% 26.79%")</f>
        <v>公司的主营业务是电子元器件分销。公司的主要产品和服务是半导体分销及半导体投资。
市值130.31473亿, 利润1409.82万; PE42.54; 平均PE109.43; 平均PEG.16, PB4.93; ROIC10.1633%; ROE14.2867%; 股利率.5829%; 毛利4.6967%; 净利2.6733%; 上一年度营收增-83.28%, 利润增-95.51%; 当季营收增-46.85%, 利润增-92.03%; 过往5年营收增665.27%, 利润增57.12%
Income profile:
集成电路(含存储器) 42.13亿 97.24% 83.70% 3.91%
其他业务 1.20亿 2.76% 16.30% 26.79%</v>
      </c>
      <c r="D18" s="3" t="s">
        <v>149</v>
      </c>
      <c r="E18" s="3" t="s">
        <v>317</v>
      </c>
      <c r="F18" s="3">
        <v>28.48</v>
      </c>
      <c r="G18" s="3">
        <v>0.56000000000000005</v>
      </c>
      <c r="H18" s="3" t="s">
        <v>1147</v>
      </c>
      <c r="I18" s="3">
        <v>13031473000</v>
      </c>
      <c r="J18" s="3">
        <v>42.54</v>
      </c>
      <c r="K18" s="3">
        <v>4.93</v>
      </c>
      <c r="L18" s="3" t="s">
        <v>49</v>
      </c>
      <c r="M18" s="3" t="s">
        <v>1148</v>
      </c>
      <c r="N18" s="3" t="s">
        <v>1149</v>
      </c>
      <c r="O18" s="3" t="s">
        <v>1150</v>
      </c>
      <c r="P18" s="3">
        <v>46.86</v>
      </c>
      <c r="Q18" s="3" t="s">
        <v>1150</v>
      </c>
      <c r="R18" s="3">
        <v>14098215</v>
      </c>
      <c r="S18" s="5">
        <v>-0.83489999999999998</v>
      </c>
      <c r="T18" s="3" t="s">
        <v>1151</v>
      </c>
      <c r="U18" s="3">
        <v>440240770</v>
      </c>
      <c r="V18" s="3">
        <v>457565770</v>
      </c>
      <c r="W18" s="3">
        <v>2</v>
      </c>
      <c r="X18" s="3">
        <v>0.46</v>
      </c>
      <c r="Y18" s="3">
        <v>0.46</v>
      </c>
      <c r="Z18" s="3" t="s">
        <v>1152</v>
      </c>
      <c r="AA18" s="3" t="s">
        <v>1153</v>
      </c>
      <c r="AB18" s="3" t="s">
        <v>1154</v>
      </c>
      <c r="AC18" s="3" t="s">
        <v>1155</v>
      </c>
      <c r="AD18" s="3" t="s">
        <v>52</v>
      </c>
      <c r="AE18" s="3">
        <v>28365532</v>
      </c>
      <c r="AF18" s="3" t="s">
        <v>1156</v>
      </c>
      <c r="AG18" s="3" t="s">
        <v>1157</v>
      </c>
      <c r="AH18" s="3" t="s">
        <v>1158</v>
      </c>
      <c r="AI18" s="3" t="s">
        <v>1159</v>
      </c>
      <c r="AJ18" s="3" t="s">
        <v>1160</v>
      </c>
      <c r="AK18" s="3" t="s">
        <v>148</v>
      </c>
      <c r="AL18" s="3" t="s">
        <v>1161</v>
      </c>
      <c r="AM18" s="3" t="s">
        <v>52</v>
      </c>
      <c r="AN18" s="3">
        <v>0</v>
      </c>
      <c r="AO18" s="3" t="s">
        <v>1162</v>
      </c>
      <c r="AP18" s="3" t="s">
        <v>666</v>
      </c>
      <c r="AQ18" s="3" t="s">
        <v>1163</v>
      </c>
      <c r="AR18" s="3" t="s">
        <v>52</v>
      </c>
      <c r="AS18" s="3" t="s">
        <v>1164</v>
      </c>
      <c r="AT18" s="3" t="s">
        <v>596</v>
      </c>
      <c r="AU18" s="3" t="s">
        <v>1165</v>
      </c>
      <c r="AV18" s="3" t="s">
        <v>1166</v>
      </c>
      <c r="AW18" s="3" t="s">
        <v>140</v>
      </c>
      <c r="AX18" s="3" t="s">
        <v>593</v>
      </c>
      <c r="AY18" s="3" t="s">
        <v>318</v>
      </c>
      <c r="AZ18" s="3" t="s">
        <v>150</v>
      </c>
      <c r="BA18" s="3" t="s">
        <v>97</v>
      </c>
      <c r="BB18" s="3" t="s">
        <v>154</v>
      </c>
      <c r="BC18" s="3" t="s">
        <v>594</v>
      </c>
      <c r="BD18" s="3" t="s">
        <v>90</v>
      </c>
      <c r="BE18" s="3" t="s">
        <v>151</v>
      </c>
      <c r="BF18" s="3" t="s">
        <v>157</v>
      </c>
      <c r="BG18" s="3" t="s">
        <v>158</v>
      </c>
      <c r="BH18" s="3" t="s">
        <v>1167</v>
      </c>
      <c r="BI18" s="3" t="s">
        <v>592</v>
      </c>
      <c r="BJ18" s="3" t="s">
        <v>593</v>
      </c>
      <c r="BK18" s="3" t="s">
        <v>1168</v>
      </c>
      <c r="BL18" s="3" t="s">
        <v>107</v>
      </c>
      <c r="BM18" s="3" t="s">
        <v>594</v>
      </c>
      <c r="BN18" s="3">
        <v>7.02</v>
      </c>
      <c r="BO18" s="3">
        <v>11.93</v>
      </c>
      <c r="BP18" s="3">
        <v>11.54</v>
      </c>
      <c r="BQ18" s="3">
        <v>9.34</v>
      </c>
      <c r="BR18" s="3">
        <v>18.03</v>
      </c>
      <c r="BS18" s="3">
        <v>15.49</v>
      </c>
      <c r="BT18" s="3" t="s">
        <v>1169</v>
      </c>
      <c r="BU18" s="3" t="s">
        <v>49</v>
      </c>
      <c r="BV18" s="3">
        <v>5.8</v>
      </c>
      <c r="BW18" s="3">
        <v>4.42</v>
      </c>
      <c r="BX18" s="3">
        <v>3.87</v>
      </c>
      <c r="BY18" s="3">
        <v>3.33</v>
      </c>
      <c r="BZ18" s="3">
        <v>2.2799999999999998</v>
      </c>
      <c r="CA18" s="3">
        <v>2.41</v>
      </c>
      <c r="CB18" s="3">
        <v>-3.69</v>
      </c>
      <c r="CC18" s="3">
        <v>-17.04</v>
      </c>
      <c r="CD18" s="3" t="s">
        <v>1170</v>
      </c>
      <c r="CE18" s="3" t="s">
        <v>615</v>
      </c>
      <c r="CF18" s="10">
        <v>-0.46849757673667203</v>
      </c>
      <c r="CG18" s="11">
        <v>-0.92034906779661019</v>
      </c>
      <c r="CH18" s="10">
        <v>-0.83277666568756104</v>
      </c>
      <c r="CI18" s="10">
        <v>0.49598097801208496</v>
      </c>
      <c r="CJ18" s="10">
        <v>33.739620208740234</v>
      </c>
      <c r="CK18" s="10">
        <v>-0.11960133165121078</v>
      </c>
      <c r="CL18" s="10">
        <v>-1.9543973729014397E-2</v>
      </c>
      <c r="CM18" s="11">
        <v>-0.95510125160217285</v>
      </c>
      <c r="CN18" s="11">
        <v>0.40178570151329041</v>
      </c>
      <c r="CO18" s="11">
        <v>2.4795901775360107</v>
      </c>
      <c r="CP18" s="11">
        <v>-3.5585316363722086E-3</v>
      </c>
      <c r="CQ18" s="11">
        <v>0.9334452748298645</v>
      </c>
      <c r="CR18" s="3">
        <v>109.43253927432509</v>
      </c>
      <c r="CS18" s="3">
        <v>0.16449253638594091</v>
      </c>
      <c r="CT18" s="3">
        <v>0.5828651685393258</v>
      </c>
      <c r="CU18" s="10">
        <v>6.6527358431369068</v>
      </c>
      <c r="CV18" s="11">
        <v>0.57123227412812416</v>
      </c>
      <c r="CW18" s="3">
        <v>0.06</v>
      </c>
      <c r="CX18" s="3">
        <v>120.08383854929377</v>
      </c>
      <c r="CY18" s="3">
        <v>101782830.62614408</v>
      </c>
      <c r="CZ18" s="3">
        <v>6.6527358431369068</v>
      </c>
      <c r="DA18" s="3">
        <v>2.2581204855117498</v>
      </c>
      <c r="DB18" s="3">
        <v>5412675310.4717817</v>
      </c>
      <c r="DC18" s="3">
        <v>6.320099050980061</v>
      </c>
      <c r="DD18" s="3">
        <v>1.0024347881630528E-2</v>
      </c>
      <c r="DE18" s="3">
        <v>1219278614861.0728</v>
      </c>
      <c r="DF18" s="3">
        <v>5.8544075419604784</v>
      </c>
      <c r="DG18" s="3">
        <v>1.2667138475224843E-5</v>
      </c>
      <c r="DH18" s="3">
        <v>964896138453483.62</v>
      </c>
      <c r="DI18" s="3">
        <v>5.3221886745095262</v>
      </c>
      <c r="DJ18" s="3">
        <v>2.0063483777660145E-12</v>
      </c>
      <c r="DK18" s="3">
        <v>6.0918996598233928E+21</v>
      </c>
      <c r="DL18" s="3">
        <v>4.6569150901958345</v>
      </c>
      <c r="DM18" s="3">
        <v>14098200</v>
      </c>
      <c r="DN18" s="3">
        <v>6.6527358431369068</v>
      </c>
      <c r="DO18" s="3">
        <v>12222473000</v>
      </c>
      <c r="DP18" s="3">
        <v>1698995900</v>
      </c>
      <c r="DQ18" s="3">
        <v>1946</v>
      </c>
      <c r="DR18" s="3">
        <v>-7.1212334198735787</v>
      </c>
      <c r="DS18" s="3">
        <v>-1.4915813419247343</v>
      </c>
      <c r="DT18" s="12">
        <v>-0.24166666666666661</v>
      </c>
      <c r="DU18" s="3">
        <v>-4.1666666666666741E-2</v>
      </c>
      <c r="DV18" s="3">
        <v>-0.28333333333333333</v>
      </c>
      <c r="DW18" s="3">
        <v>-8.216549295774648</v>
      </c>
      <c r="DX18" s="3">
        <v>0.32104663573085856</v>
      </c>
      <c r="DY18" s="3">
        <v>-8.0197160848501685</v>
      </c>
      <c r="DZ18" s="3">
        <v>780</v>
      </c>
      <c r="EA18" s="3">
        <v>-8.0167065846186354</v>
      </c>
      <c r="EB18" s="3">
        <v>8</v>
      </c>
      <c r="EC18" s="3">
        <v>8.576056727320315E-2</v>
      </c>
      <c r="ED18" s="3">
        <v>0.94194108969296353</v>
      </c>
      <c r="EE18" s="13">
        <v>1.06351</v>
      </c>
      <c r="EF18" s="3">
        <v>1.0963099999999999</v>
      </c>
      <c r="EG18" s="3">
        <v>23.091046635730859</v>
      </c>
      <c r="EH18" s="3" t="s">
        <v>368</v>
      </c>
      <c r="EI18" s="3">
        <v>0</v>
      </c>
      <c r="EJ18" s="3">
        <v>1</v>
      </c>
      <c r="EK18" s="15">
        <v>45470</v>
      </c>
      <c r="EL18" s="16">
        <v>-1.7</v>
      </c>
      <c r="EM18" s="16">
        <v>-6.85</v>
      </c>
      <c r="EN18" s="16">
        <v>-4.8</v>
      </c>
      <c r="EO18" s="16">
        <v>3.67</v>
      </c>
      <c r="EP18" s="16">
        <v>-3.28</v>
      </c>
    </row>
    <row r="19" spans="1:146" ht="96" x14ac:dyDescent="0.25">
      <c r="C19" s="7" t="str">
        <f>""&amp;CHAR(10)&amp;Basic_Fundamental_Information_Constructure(F19)&amp;CHAR(10)&amp;Basic_Fundamental_Information_Concatenate("")</f>
        <v xml:space="preserve">
市值36.886512亿, 利润1216.14万; PE92.59; 平均PE103.1; 平均PEG11.38, PB3.44; ROIC5.1133%; ROE5.5067%; 股利率.4788%; 毛利10.6233%; 净利2.4067%; 上一年度营收增-73.69%, 利润增-77.53%; 当季营收增-41.42%, 利润增-41.71%; 过往5年营收增-9.06%, 利润增16.84%
Income profile:
</v>
      </c>
      <c r="D19" s="3" t="s">
        <v>159</v>
      </c>
      <c r="E19" s="3" t="s">
        <v>160</v>
      </c>
      <c r="F19" s="3">
        <v>7.31</v>
      </c>
      <c r="G19" s="3">
        <v>-0.54</v>
      </c>
      <c r="H19" s="3" t="s">
        <v>1171</v>
      </c>
      <c r="I19" s="3">
        <v>3688651200</v>
      </c>
      <c r="J19" s="3">
        <v>92.59</v>
      </c>
      <c r="K19" s="3">
        <v>3.44</v>
      </c>
      <c r="L19" s="3" t="s">
        <v>49</v>
      </c>
      <c r="M19" s="3" t="s">
        <v>1172</v>
      </c>
      <c r="N19" s="3" t="s">
        <v>531</v>
      </c>
      <c r="O19" s="3" t="s">
        <v>300</v>
      </c>
      <c r="P19" s="3">
        <v>33.6</v>
      </c>
      <c r="Q19" s="3" t="s">
        <v>300</v>
      </c>
      <c r="R19" s="3">
        <v>12161448</v>
      </c>
      <c r="S19" s="5">
        <v>0.52849999999999997</v>
      </c>
      <c r="T19" s="3" t="s">
        <v>1173</v>
      </c>
      <c r="U19" s="3">
        <v>500993050</v>
      </c>
      <c r="V19" s="3">
        <v>504603450</v>
      </c>
      <c r="W19" s="3">
        <v>1.57</v>
      </c>
      <c r="X19" s="3">
        <v>0.33</v>
      </c>
      <c r="Y19" s="3">
        <v>2.15</v>
      </c>
      <c r="Z19" s="3" t="s">
        <v>83</v>
      </c>
      <c r="AA19" s="3" t="s">
        <v>1174</v>
      </c>
      <c r="AB19" s="3" t="s">
        <v>1175</v>
      </c>
      <c r="AC19" s="3" t="s">
        <v>1176</v>
      </c>
      <c r="AD19" s="3" t="s">
        <v>52</v>
      </c>
      <c r="AE19" s="3">
        <v>-85886</v>
      </c>
      <c r="AF19" s="3" t="s">
        <v>1177</v>
      </c>
      <c r="AG19" s="3" t="s">
        <v>52</v>
      </c>
      <c r="AH19" s="3" t="s">
        <v>1178</v>
      </c>
      <c r="AI19" s="3" t="s">
        <v>1179</v>
      </c>
      <c r="AJ19" s="3" t="s">
        <v>1180</v>
      </c>
      <c r="AK19" s="3" t="s">
        <v>1181</v>
      </c>
      <c r="AL19" s="3" t="s">
        <v>1182</v>
      </c>
      <c r="AM19" s="3" t="s">
        <v>52</v>
      </c>
      <c r="AN19" s="3">
        <v>0</v>
      </c>
      <c r="AO19" s="3" t="s">
        <v>718</v>
      </c>
      <c r="AP19" s="3" t="s">
        <v>1183</v>
      </c>
      <c r="AQ19" s="3" t="s">
        <v>563</v>
      </c>
      <c r="AR19" s="3" t="s">
        <v>52</v>
      </c>
      <c r="AS19" s="3" t="s">
        <v>775</v>
      </c>
      <c r="AT19" s="3" t="s">
        <v>52</v>
      </c>
      <c r="AU19" s="3" t="s">
        <v>1184</v>
      </c>
      <c r="AV19" s="3" t="s">
        <v>1185</v>
      </c>
      <c r="AW19" s="3" t="s">
        <v>1186</v>
      </c>
      <c r="AX19" s="3" t="s">
        <v>598</v>
      </c>
      <c r="AY19" s="3" t="s">
        <v>319</v>
      </c>
      <c r="AZ19" s="3" t="s">
        <v>161</v>
      </c>
      <c r="BA19" s="3" t="s">
        <v>164</v>
      </c>
      <c r="BB19" s="3" t="s">
        <v>165</v>
      </c>
      <c r="BC19" s="3" t="s">
        <v>599</v>
      </c>
      <c r="BD19" s="3" t="s">
        <v>320</v>
      </c>
      <c r="BE19" s="3" t="s">
        <v>162</v>
      </c>
      <c r="BF19" s="3" t="s">
        <v>166</v>
      </c>
      <c r="BG19" s="3" t="s">
        <v>167</v>
      </c>
      <c r="BH19" s="3" t="s">
        <v>1187</v>
      </c>
      <c r="BI19" s="3" t="s">
        <v>597</v>
      </c>
      <c r="BJ19" s="3" t="s">
        <v>598</v>
      </c>
      <c r="BK19" s="3" t="s">
        <v>1188</v>
      </c>
      <c r="BL19" s="3" t="s">
        <v>674</v>
      </c>
      <c r="BM19" s="3" t="s">
        <v>599</v>
      </c>
      <c r="BN19" s="3">
        <v>2.91</v>
      </c>
      <c r="BO19" s="3">
        <v>5.54</v>
      </c>
      <c r="BP19" s="3">
        <v>6.89</v>
      </c>
      <c r="BQ19" s="3">
        <v>3.07</v>
      </c>
      <c r="BR19" s="3">
        <v>5.9</v>
      </c>
      <c r="BS19" s="3">
        <v>7.55</v>
      </c>
      <c r="BT19" s="3" t="s">
        <v>521</v>
      </c>
      <c r="BU19" s="3" t="s">
        <v>49</v>
      </c>
      <c r="BV19" s="3">
        <v>9.57</v>
      </c>
      <c r="BW19" s="3">
        <v>10.48</v>
      </c>
      <c r="BX19" s="3">
        <v>11.82</v>
      </c>
      <c r="BY19" s="3">
        <v>1.55</v>
      </c>
      <c r="BZ19" s="3">
        <v>2.56</v>
      </c>
      <c r="CA19" s="3">
        <v>3.11</v>
      </c>
      <c r="CB19" s="3">
        <v>-9.64</v>
      </c>
      <c r="CC19" s="3">
        <v>-7.35</v>
      </c>
      <c r="CD19" s="3" t="s">
        <v>1189</v>
      </c>
      <c r="CE19" s="3" t="s">
        <v>1159</v>
      </c>
      <c r="CF19" s="10">
        <v>-0.41419491525423729</v>
      </c>
      <c r="CG19" s="11">
        <v>-0.41708616127919013</v>
      </c>
      <c r="CH19" s="10">
        <v>-0.73691719770431519</v>
      </c>
      <c r="CI19" s="10">
        <v>0.13132400810718536</v>
      </c>
      <c r="CJ19" s="10">
        <v>0.33958175778388977</v>
      </c>
      <c r="CK19" s="10">
        <v>-4.3448232114315033E-2</v>
      </c>
      <c r="CL19" s="10">
        <v>-0.1435321569442749</v>
      </c>
      <c r="CM19" s="11">
        <v>-0.77525418996810913</v>
      </c>
      <c r="CN19" s="11">
        <v>-7.0998996496200562E-2</v>
      </c>
      <c r="CO19" s="11">
        <v>0.29366862773895264</v>
      </c>
      <c r="CP19" s="11">
        <v>0.53431904315948486</v>
      </c>
      <c r="CQ19" s="11">
        <v>0.86010485887527466</v>
      </c>
      <c r="CR19" s="3">
        <v>103.09893057470022</v>
      </c>
      <c r="CS19" s="3">
        <v>11.379778378368464</v>
      </c>
      <c r="CT19" s="3">
        <v>0.47879616963064298</v>
      </c>
      <c r="CU19" s="10">
        <v>-9.0598364174365995E-2</v>
      </c>
      <c r="CV19" s="11">
        <v>0.1683678686618805</v>
      </c>
      <c r="CW19" s="3">
        <v>0.06</v>
      </c>
      <c r="CX19" s="3">
        <v>260.9610077787097</v>
      </c>
      <c r="CY19" s="3" t="s">
        <v>1190</v>
      </c>
      <c r="CZ19" s="3">
        <v>-9.0598364174365995E-2</v>
      </c>
      <c r="DA19" s="3">
        <v>86.987002592903224</v>
      </c>
      <c r="DB19" s="3" t="s">
        <v>1191</v>
      </c>
      <c r="DC19" s="3">
        <v>-8.6068445965647694E-2</v>
      </c>
      <c r="DD19" s="3">
        <v>43.493501296451612</v>
      </c>
      <c r="DE19" s="3" t="s">
        <v>1192</v>
      </c>
      <c r="DF19" s="3">
        <v>-7.9726560473442079E-2</v>
      </c>
      <c r="DG19" s="3">
        <v>26.096100777870969</v>
      </c>
      <c r="DH19" s="3" t="s">
        <v>1193</v>
      </c>
      <c r="DI19" s="3">
        <v>-7.2478691339492793E-2</v>
      </c>
      <c r="DJ19" s="3">
        <v>13.048050388935485</v>
      </c>
      <c r="DK19" s="3" t="s">
        <v>1194</v>
      </c>
      <c r="DL19" s="3">
        <v>-6.3418854922056192E-2</v>
      </c>
      <c r="DM19" s="3">
        <v>12161400.000000002</v>
      </c>
      <c r="DN19" s="3">
        <v>-9.0598364174365995E-2</v>
      </c>
      <c r="DO19" s="3">
        <v>3173651200</v>
      </c>
      <c r="DP19" s="3">
        <v>834747400</v>
      </c>
      <c r="DQ19" s="3">
        <v>1964</v>
      </c>
      <c r="DR19" s="3">
        <v>-0.32359655107987129</v>
      </c>
      <c r="DS19" s="3">
        <v>-0.58545402994107065</v>
      </c>
      <c r="DT19" s="12">
        <v>-0.64</v>
      </c>
      <c r="DU19" s="3">
        <v>-0.10333333333333332</v>
      </c>
      <c r="DV19" s="3">
        <v>-0.74333333333333329</v>
      </c>
      <c r="DW19" s="3">
        <v>-5.7624481327800829</v>
      </c>
      <c r="DX19" s="3">
        <v>0.36346748633879927</v>
      </c>
      <c r="DY19" s="3">
        <v>-5.1246354797292701</v>
      </c>
      <c r="DZ19" s="3">
        <v>1270</v>
      </c>
      <c r="EA19" s="3">
        <v>-5.0936595385832479</v>
      </c>
      <c r="EB19" s="3">
        <v>5</v>
      </c>
      <c r="EC19" s="3">
        <v>0.11856656945171501</v>
      </c>
      <c r="ED19" s="3">
        <v>0.72532203257825523</v>
      </c>
      <c r="EE19" s="13">
        <v>6.01511</v>
      </c>
      <c r="EF19" s="3">
        <v>6.04331</v>
      </c>
      <c r="EG19" s="3">
        <v>20.163467486338799</v>
      </c>
      <c r="EH19" s="3" t="s">
        <v>1195</v>
      </c>
      <c r="EI19" s="3">
        <v>0</v>
      </c>
      <c r="EJ19" s="3">
        <v>1</v>
      </c>
      <c r="EK19" s="15">
        <v>45470</v>
      </c>
      <c r="EL19" s="16">
        <v>4.03</v>
      </c>
      <c r="EM19" s="16">
        <v>-5.4</v>
      </c>
      <c r="EN19" s="16">
        <v>-2.48</v>
      </c>
      <c r="EO19" s="16">
        <v>3.94</v>
      </c>
      <c r="EP19" s="16">
        <v>-2.82</v>
      </c>
    </row>
    <row r="20" spans="1:146" ht="96" x14ac:dyDescent="0.25">
      <c r="C20" s="7" t="str">
        <f>""&amp;CHAR(10)&amp;Basic_Fundamental_Information_Constructure(F20)&amp;CHAR(10)&amp;Basic_Fundamental_Information_Concatenate("")</f>
        <v xml:space="preserve">
市值48.888亿, 利润427.54万; PE59.27; 平均PE82.03; 平均PEG8.38, PB3.7; ROIC5.13%; ROE5.6367%; 股利率1.296%; 毛利29.9267%; 净利10.84%; 上一年度营收增-91.46%, 利润增-94.79%; 当季营收增-70.03%, 利润增-75.2%; 过往5年营收增-9.79%, 利润增-13.26%
Income profile:
</v>
      </c>
      <c r="D20" s="3" t="s">
        <v>168</v>
      </c>
      <c r="E20" s="3" t="s">
        <v>169</v>
      </c>
      <c r="F20" s="3">
        <v>27.16</v>
      </c>
      <c r="G20" s="3">
        <v>1.1200000000000001</v>
      </c>
      <c r="H20" s="3" t="s">
        <v>1196</v>
      </c>
      <c r="I20" s="3">
        <v>4888800000</v>
      </c>
      <c r="J20" s="3">
        <v>59.27</v>
      </c>
      <c r="K20" s="3">
        <v>3.7</v>
      </c>
      <c r="L20" s="3" t="s">
        <v>49</v>
      </c>
      <c r="M20" s="3" t="s">
        <v>702</v>
      </c>
      <c r="N20" s="3" t="s">
        <v>1197</v>
      </c>
      <c r="O20" s="3" t="s">
        <v>1198</v>
      </c>
      <c r="P20" s="3">
        <v>-12.42</v>
      </c>
      <c r="Q20" s="3" t="s">
        <v>1198</v>
      </c>
      <c r="R20" s="3">
        <v>4275395</v>
      </c>
      <c r="S20" s="5">
        <v>-9.2600000000000002E-2</v>
      </c>
      <c r="T20" s="3" t="s">
        <v>1199</v>
      </c>
      <c r="U20" s="3">
        <v>180000000</v>
      </c>
      <c r="V20" s="3">
        <v>180000000</v>
      </c>
      <c r="W20" s="3">
        <v>1.36</v>
      </c>
      <c r="X20" s="3">
        <v>0.04</v>
      </c>
      <c r="Y20" s="3">
        <v>6.73</v>
      </c>
      <c r="Z20" s="3" t="s">
        <v>1200</v>
      </c>
      <c r="AA20" s="3" t="s">
        <v>1201</v>
      </c>
      <c r="AB20" s="3" t="s">
        <v>1202</v>
      </c>
      <c r="AC20" s="3" t="s">
        <v>1203</v>
      </c>
      <c r="AD20" s="3" t="s">
        <v>52</v>
      </c>
      <c r="AE20" s="3">
        <v>-145518</v>
      </c>
      <c r="AF20" s="3" t="s">
        <v>85</v>
      </c>
      <c r="AG20" s="3">
        <v>4000.3</v>
      </c>
      <c r="AH20" s="3" t="s">
        <v>1204</v>
      </c>
      <c r="AI20" s="3" t="s">
        <v>372</v>
      </c>
      <c r="AJ20" s="3" t="s">
        <v>1205</v>
      </c>
      <c r="AK20" s="3" t="s">
        <v>595</v>
      </c>
      <c r="AL20" s="3" t="s">
        <v>1206</v>
      </c>
      <c r="AM20" s="3" t="s">
        <v>52</v>
      </c>
      <c r="AN20" s="3" t="s">
        <v>1207</v>
      </c>
      <c r="AO20" s="3" t="s">
        <v>52</v>
      </c>
      <c r="AP20" s="3" t="s">
        <v>1041</v>
      </c>
      <c r="AQ20" s="3" t="s">
        <v>1208</v>
      </c>
      <c r="AR20" s="3" t="s">
        <v>52</v>
      </c>
      <c r="AS20" s="3" t="s">
        <v>1209</v>
      </c>
      <c r="AT20" s="3" t="s">
        <v>52</v>
      </c>
      <c r="AU20" s="3" t="s">
        <v>1210</v>
      </c>
      <c r="AV20" s="3" t="s">
        <v>1211</v>
      </c>
      <c r="AW20" s="3" t="s">
        <v>52</v>
      </c>
      <c r="AX20" s="3" t="s">
        <v>601</v>
      </c>
      <c r="AY20" s="3" t="s">
        <v>114</v>
      </c>
      <c r="AZ20" s="3" t="s">
        <v>170</v>
      </c>
      <c r="BA20" s="3" t="s">
        <v>115</v>
      </c>
      <c r="BB20" s="3" t="s">
        <v>173</v>
      </c>
      <c r="BC20" s="3" t="s">
        <v>602</v>
      </c>
      <c r="BD20" s="3" t="s">
        <v>321</v>
      </c>
      <c r="BE20" s="3" t="s">
        <v>171</v>
      </c>
      <c r="BF20" s="3" t="s">
        <v>174</v>
      </c>
      <c r="BG20" s="3" t="s">
        <v>175</v>
      </c>
      <c r="BH20" s="3" t="s">
        <v>707</v>
      </c>
      <c r="BI20" s="3" t="s">
        <v>600</v>
      </c>
      <c r="BJ20" s="3" t="s">
        <v>601</v>
      </c>
      <c r="BK20" s="3" t="s">
        <v>1212</v>
      </c>
      <c r="BL20" s="3" t="s">
        <v>676</v>
      </c>
      <c r="BM20" s="3" t="s">
        <v>602</v>
      </c>
      <c r="BN20" s="3">
        <v>3.1</v>
      </c>
      <c r="BO20" s="3">
        <v>6.23</v>
      </c>
      <c r="BP20" s="3">
        <v>6.06</v>
      </c>
      <c r="BQ20" s="3">
        <v>3.43</v>
      </c>
      <c r="BR20" s="3">
        <v>6.74</v>
      </c>
      <c r="BS20" s="3">
        <v>6.74</v>
      </c>
      <c r="BT20" s="3" t="s">
        <v>1213</v>
      </c>
      <c r="BU20" s="3" t="s">
        <v>49</v>
      </c>
      <c r="BV20" s="3">
        <v>33.119999999999997</v>
      </c>
      <c r="BW20" s="3">
        <v>29.41</v>
      </c>
      <c r="BX20" s="3">
        <v>27.25</v>
      </c>
      <c r="BY20" s="3">
        <v>10.77</v>
      </c>
      <c r="BZ20" s="3">
        <v>11.04</v>
      </c>
      <c r="CA20" s="3">
        <v>10.71</v>
      </c>
      <c r="CB20" s="3">
        <v>-5.4</v>
      </c>
      <c r="CC20" s="3">
        <v>-5.66</v>
      </c>
      <c r="CD20" s="3" t="s">
        <v>1214</v>
      </c>
      <c r="CE20" s="3" t="s">
        <v>1215</v>
      </c>
      <c r="CF20" s="10">
        <v>-0.70027028301886796</v>
      </c>
      <c r="CG20" s="11">
        <v>-0.75197847778164517</v>
      </c>
      <c r="CH20" s="10">
        <v>-0.91459310054779053</v>
      </c>
      <c r="CI20" s="10">
        <v>2.0576132461428642E-2</v>
      </c>
      <c r="CJ20" s="10">
        <v>8.2987556234002113E-3</v>
      </c>
      <c r="CK20" s="10">
        <v>0.26178011298179626</v>
      </c>
      <c r="CL20" s="10">
        <v>0.13465346395969391</v>
      </c>
      <c r="CM20" s="11">
        <v>-0.94792479276657104</v>
      </c>
      <c r="CN20" s="11">
        <v>5.1296830177307129E-2</v>
      </c>
      <c r="CO20" s="11">
        <v>0.14610905945301056</v>
      </c>
      <c r="CP20" s="11">
        <v>9.4059638679027557E-2</v>
      </c>
      <c r="CQ20" s="11">
        <v>-6.4481240697205067E-3</v>
      </c>
      <c r="CR20" s="3">
        <v>82.032626460253908</v>
      </c>
      <c r="CS20" s="3">
        <v>8.3829146170536184</v>
      </c>
      <c r="CT20" s="3">
        <v>1.2960235640648012</v>
      </c>
      <c r="CU20" s="10">
        <v>-9.7856927104294306E-2</v>
      </c>
      <c r="CV20" s="11">
        <v>-0.13258147770538925</v>
      </c>
      <c r="CW20" s="3">
        <v>0.06</v>
      </c>
      <c r="CX20" s="3">
        <v>934.8365065257052</v>
      </c>
      <c r="CY20" s="3" t="s">
        <v>1216</v>
      </c>
      <c r="CZ20" s="3">
        <v>-9.7856927104294306E-2</v>
      </c>
      <c r="DA20" s="3">
        <v>311.61216884190173</v>
      </c>
      <c r="DB20" s="3" t="s">
        <v>1217</v>
      </c>
      <c r="DC20" s="3">
        <v>-9.2964080749079581E-2</v>
      </c>
      <c r="DD20" s="3">
        <v>155.80608442095087</v>
      </c>
      <c r="DE20" s="3" t="s">
        <v>1218</v>
      </c>
      <c r="DF20" s="3">
        <v>-8.6114095851778996E-2</v>
      </c>
      <c r="DG20" s="3">
        <v>93.483650652570518</v>
      </c>
      <c r="DH20" s="3" t="s">
        <v>1219</v>
      </c>
      <c r="DI20" s="3">
        <v>-7.8285541683435447E-2</v>
      </c>
      <c r="DJ20" s="3">
        <v>46.741825326285259</v>
      </c>
      <c r="DK20" s="3" t="s">
        <v>1220</v>
      </c>
      <c r="DL20" s="3">
        <v>-6.8499848973006011E-2</v>
      </c>
      <c r="DM20" s="3">
        <v>4275400</v>
      </c>
      <c r="DN20" s="3">
        <v>-9.7856927104294306E-2</v>
      </c>
      <c r="DO20" s="3">
        <v>3996800000</v>
      </c>
      <c r="DP20" s="3">
        <v>1051336300</v>
      </c>
      <c r="DQ20" s="3">
        <v>1987</v>
      </c>
      <c r="DR20" s="3">
        <v>-0.60241335591457368</v>
      </c>
      <c r="DS20" s="3">
        <v>-0.61939700007625587</v>
      </c>
      <c r="DT20" s="12">
        <v>-0.65666666666666662</v>
      </c>
      <c r="DU20" s="3">
        <v>-0.77333333333333332</v>
      </c>
      <c r="DV20" s="3">
        <v>-1.43</v>
      </c>
      <c r="DW20" s="3">
        <v>-8.9540636042402824</v>
      </c>
      <c r="DX20" s="3">
        <v>0.3090857359521651</v>
      </c>
      <c r="DY20" s="3">
        <v>-8.1136153664561288</v>
      </c>
      <c r="DZ20" s="3">
        <v>2507</v>
      </c>
      <c r="EA20" s="3">
        <v>-8.057874911719237</v>
      </c>
      <c r="EB20" s="3">
        <v>8</v>
      </c>
      <c r="EC20" s="3">
        <v>4.3970555555555554E-2</v>
      </c>
      <c r="ED20" s="3">
        <v>0.36923444444444442</v>
      </c>
      <c r="EE20" s="13">
        <v>-1.0965100000000001</v>
      </c>
      <c r="EF20" s="3">
        <v>-1.11331</v>
      </c>
      <c r="EG20" s="3">
        <v>19.119085735952165</v>
      </c>
      <c r="EH20" s="3" t="s">
        <v>635</v>
      </c>
      <c r="EI20" s="3">
        <v>0</v>
      </c>
      <c r="EJ20" s="3">
        <v>0</v>
      </c>
      <c r="EK20" s="15">
        <v>45470</v>
      </c>
      <c r="EL20" s="16">
        <v>0.04</v>
      </c>
      <c r="EM20" s="16">
        <v>-6.35</v>
      </c>
      <c r="EN20" s="16">
        <v>-1.43</v>
      </c>
      <c r="EO20" s="16">
        <v>2.1800000000000002</v>
      </c>
      <c r="EP20" s="16">
        <v>-1.68</v>
      </c>
    </row>
    <row r="21" spans="1:146" ht="96" x14ac:dyDescent="0.25">
      <c r="A21" s="9" t="s">
        <v>444</v>
      </c>
      <c r="B21" s="9" t="s">
        <v>284</v>
      </c>
      <c r="C21" s="7" t="str">
        <f>""&amp;CHAR(10)&amp;Basic_Fundamental_Information_Constructure(F21)&amp;CHAR(10)&amp;Basic_Fundamental_Information_Concatenate("")</f>
        <v xml:space="preserve">
市值20.84728亿, 利润739.14万; PE46.22; 平均PE39.01; 平均PEG.57, PB1.73; ROIC6.5367%; ROE7.68%; 股利率.4188%; 毛利8.9233%; 净利2.04%; 上一年度营收增-77.31%, 利润增-86.45%; 当季营收增-34.11%, 利润增-44.09%; 过往5年营收增68.42%, 利润增32.38%
Income profile:
</v>
      </c>
      <c r="D21" s="3" t="s">
        <v>285</v>
      </c>
      <c r="E21" s="3" t="s">
        <v>322</v>
      </c>
      <c r="F21" s="3">
        <v>9.5500000000000007</v>
      </c>
      <c r="G21" s="3">
        <v>-1.44</v>
      </c>
      <c r="H21" s="3" t="s">
        <v>1221</v>
      </c>
      <c r="I21" s="3">
        <v>2084728000</v>
      </c>
      <c r="J21" s="3">
        <v>46.22</v>
      </c>
      <c r="K21" s="3">
        <v>1.73</v>
      </c>
      <c r="L21" s="3" t="s">
        <v>49</v>
      </c>
      <c r="M21" s="3" t="s">
        <v>1222</v>
      </c>
      <c r="N21" s="3" t="s">
        <v>1223</v>
      </c>
      <c r="O21" s="3" t="s">
        <v>394</v>
      </c>
      <c r="P21" s="3">
        <v>36.92</v>
      </c>
      <c r="Q21" s="3" t="s">
        <v>394</v>
      </c>
      <c r="R21" s="3">
        <v>7391395</v>
      </c>
      <c r="S21" s="5">
        <v>0.44209999999999999</v>
      </c>
      <c r="T21" s="3" t="s">
        <v>1224</v>
      </c>
      <c r="U21" s="3">
        <v>151954680</v>
      </c>
      <c r="V21" s="3">
        <v>218296130</v>
      </c>
      <c r="W21" s="3">
        <v>1.63</v>
      </c>
      <c r="X21" s="3">
        <v>0.36</v>
      </c>
      <c r="Y21" s="3">
        <v>0.68</v>
      </c>
      <c r="Z21" s="3" t="s">
        <v>662</v>
      </c>
      <c r="AA21" s="3" t="s">
        <v>1225</v>
      </c>
      <c r="AB21" s="3" t="s">
        <v>1226</v>
      </c>
      <c r="AC21" s="3" t="s">
        <v>1227</v>
      </c>
      <c r="AD21" s="3" t="s">
        <v>52</v>
      </c>
      <c r="AE21" s="3">
        <v>3040346</v>
      </c>
      <c r="AF21" s="3" t="s">
        <v>1228</v>
      </c>
      <c r="AG21" s="3">
        <v>1734.69</v>
      </c>
      <c r="AH21" s="3" t="s">
        <v>1229</v>
      </c>
      <c r="AI21" s="3" t="s">
        <v>658</v>
      </c>
      <c r="AJ21" s="3" t="s">
        <v>1230</v>
      </c>
      <c r="AK21" s="3" t="s">
        <v>1231</v>
      </c>
      <c r="AL21" s="3" t="s">
        <v>1232</v>
      </c>
      <c r="AM21" s="3" t="s">
        <v>52</v>
      </c>
      <c r="AN21" s="3" t="s">
        <v>1233</v>
      </c>
      <c r="AO21" s="3" t="s">
        <v>53</v>
      </c>
      <c r="AP21" s="3" t="s">
        <v>1234</v>
      </c>
      <c r="AQ21" s="3" t="s">
        <v>713</v>
      </c>
      <c r="AR21" s="3" t="s">
        <v>1235</v>
      </c>
      <c r="AS21" s="3" t="s">
        <v>1236</v>
      </c>
      <c r="AT21" s="3" t="s">
        <v>1237</v>
      </c>
      <c r="AU21" s="3" t="s">
        <v>1238</v>
      </c>
      <c r="AV21" s="3" t="s">
        <v>1239</v>
      </c>
      <c r="AW21" s="3" t="s">
        <v>1240</v>
      </c>
      <c r="AX21" s="3" t="s">
        <v>604</v>
      </c>
      <c r="AY21" s="3" t="s">
        <v>323</v>
      </c>
      <c r="AZ21" s="3" t="s">
        <v>286</v>
      </c>
      <c r="BA21" s="3" t="s">
        <v>288</v>
      </c>
      <c r="BB21" s="3" t="s">
        <v>289</v>
      </c>
      <c r="BC21" s="3" t="s">
        <v>605</v>
      </c>
      <c r="BD21" s="3" t="s">
        <v>184</v>
      </c>
      <c r="BE21" s="3" t="s">
        <v>287</v>
      </c>
      <c r="BF21" s="3" t="s">
        <v>290</v>
      </c>
      <c r="BG21" s="3" t="s">
        <v>291</v>
      </c>
      <c r="BH21" s="3" t="s">
        <v>1241</v>
      </c>
      <c r="BI21" s="3" t="s">
        <v>603</v>
      </c>
      <c r="BJ21" s="3" t="s">
        <v>604</v>
      </c>
      <c r="BK21" s="3" t="s">
        <v>1242</v>
      </c>
      <c r="BL21" s="3" t="s">
        <v>677</v>
      </c>
      <c r="BM21" s="3" t="s">
        <v>605</v>
      </c>
      <c r="BN21" s="3">
        <v>2.2799999999999998</v>
      </c>
      <c r="BO21" s="3">
        <v>4.66</v>
      </c>
      <c r="BP21" s="3">
        <v>12.67</v>
      </c>
      <c r="BQ21" s="3">
        <v>2.44</v>
      </c>
      <c r="BR21" s="3">
        <v>5.07</v>
      </c>
      <c r="BS21" s="3">
        <v>15.53</v>
      </c>
      <c r="BT21" s="3" t="s">
        <v>564</v>
      </c>
      <c r="BU21" s="3" t="s">
        <v>49</v>
      </c>
      <c r="BV21" s="3">
        <v>9.57</v>
      </c>
      <c r="BW21" s="3">
        <v>9.23</v>
      </c>
      <c r="BX21" s="3">
        <v>7.97</v>
      </c>
      <c r="BY21" s="3">
        <v>1.76</v>
      </c>
      <c r="BZ21" s="3">
        <v>1.76</v>
      </c>
      <c r="CA21" s="3">
        <v>2.6</v>
      </c>
      <c r="CB21" s="3">
        <v>-10.16</v>
      </c>
      <c r="CC21" s="3">
        <v>0.1</v>
      </c>
      <c r="CD21" s="3" t="s">
        <v>1243</v>
      </c>
      <c r="CE21" s="3" t="s">
        <v>1244</v>
      </c>
      <c r="CF21" s="10">
        <v>-0.34111310592459604</v>
      </c>
      <c r="CG21" s="11">
        <v>-0.4408718181474337</v>
      </c>
      <c r="CH21" s="10">
        <v>-0.77310669422149658</v>
      </c>
      <c r="CI21" s="10">
        <v>-0.34620043635368347</v>
      </c>
      <c r="CJ21" s="10">
        <v>3.3671667575836182</v>
      </c>
      <c r="CK21" s="10">
        <v>1.0232142210006714</v>
      </c>
      <c r="CL21" s="10">
        <v>0.14989733695983887</v>
      </c>
      <c r="CM21" s="11">
        <v>-0.86453431844711304</v>
      </c>
      <c r="CN21" s="11">
        <v>-0.55639922618865967</v>
      </c>
      <c r="CO21" s="11">
        <v>3.6238343715667725</v>
      </c>
      <c r="CP21" s="11">
        <v>-0.48567900061607361</v>
      </c>
      <c r="CQ21" s="11">
        <v>-9.8154500126838684E-2</v>
      </c>
      <c r="CR21" s="3">
        <v>39.012186115214185</v>
      </c>
      <c r="CS21" s="3">
        <v>0.57019167958247929</v>
      </c>
      <c r="CT21" s="3">
        <v>0.41884816753926701</v>
      </c>
      <c r="CU21" s="10">
        <v>0.68419423699378967</v>
      </c>
      <c r="CV21" s="11">
        <v>0.3238134652376175</v>
      </c>
      <c r="CW21" s="3">
        <v>0.06</v>
      </c>
      <c r="CX21" s="3">
        <v>145.07321765818497</v>
      </c>
      <c r="CY21" s="3">
        <v>11743918.191807449</v>
      </c>
      <c r="CZ21" s="3">
        <v>0.68419423699378967</v>
      </c>
      <c r="DA21" s="3">
        <v>29.737788209893306</v>
      </c>
      <c r="DB21" s="3">
        <v>57291685.177621774</v>
      </c>
      <c r="DC21" s="3">
        <v>0.64998452514410021</v>
      </c>
      <c r="DD21" s="3">
        <v>7.1420571208192483</v>
      </c>
      <c r="DE21" s="3">
        <v>238548638.18347192</v>
      </c>
      <c r="DF21" s="3">
        <v>0.60209092855453494</v>
      </c>
      <c r="DG21" s="3">
        <v>1.690774234562092</v>
      </c>
      <c r="DH21" s="3">
        <v>1007661440.0510207</v>
      </c>
      <c r="DI21" s="3">
        <v>0.54735538959503172</v>
      </c>
      <c r="DJ21" s="3">
        <v>8.3667708624069081E-2</v>
      </c>
      <c r="DK21" s="3">
        <v>20363029273.994968</v>
      </c>
      <c r="DL21" s="3">
        <v>0.47893596589565274</v>
      </c>
      <c r="DM21" s="3">
        <v>7391400</v>
      </c>
      <c r="DN21" s="3">
        <v>0.68419423699378967</v>
      </c>
      <c r="DO21" s="3">
        <v>1703728000</v>
      </c>
      <c r="DP21" s="3">
        <v>560112610</v>
      </c>
      <c r="DQ21" s="3">
        <v>2116</v>
      </c>
      <c r="DR21" s="3">
        <v>-1.0253073429183857</v>
      </c>
      <c r="DS21" s="3">
        <v>-0.76468528338505126</v>
      </c>
      <c r="DT21" s="12">
        <v>-0.33833333333333343</v>
      </c>
      <c r="DU21" s="3">
        <v>-0.46833333333333332</v>
      </c>
      <c r="DV21" s="3">
        <v>-0.80666666666666675</v>
      </c>
      <c r="DW21" s="3">
        <v>-5.0098425196850398</v>
      </c>
      <c r="DX21" s="3">
        <v>0.26210681114550965</v>
      </c>
      <c r="DY21" s="3">
        <v>-5.000709712708125</v>
      </c>
      <c r="DZ21" s="3">
        <v>1710</v>
      </c>
      <c r="EA21" s="3">
        <v>-5.0004722158919028</v>
      </c>
      <c r="EB21" s="3">
        <v>5</v>
      </c>
      <c r="EC21" s="3">
        <v>0.21338445166206108</v>
      </c>
      <c r="ED21" s="3">
        <v>2.9592828787207544</v>
      </c>
      <c r="EE21" s="13">
        <v>-1.01271</v>
      </c>
      <c r="EF21" s="3">
        <v>-1.03681</v>
      </c>
      <c r="EG21" s="3">
        <v>19.07210681114551</v>
      </c>
      <c r="EH21" s="3" t="s">
        <v>635</v>
      </c>
      <c r="EI21" s="3">
        <v>0</v>
      </c>
      <c r="EJ21" s="3">
        <v>0</v>
      </c>
      <c r="EK21" s="15">
        <v>45470</v>
      </c>
      <c r="EL21" s="16">
        <v>-6.21</v>
      </c>
      <c r="EM21" s="16">
        <v>-5.28</v>
      </c>
      <c r="EN21" s="16">
        <v>-1.51</v>
      </c>
      <c r="EO21" s="16">
        <v>3.64</v>
      </c>
      <c r="EP21" s="16">
        <v>-2.41</v>
      </c>
    </row>
    <row r="22" spans="1:146" ht="96" x14ac:dyDescent="0.25">
      <c r="C22" s="7" t="str">
        <f>""&amp;CHAR(10)&amp;Basic_Fundamental_Information_Constructure(F22)&amp;CHAR(10)&amp;Basic_Fundamental_Information_Concatenate("")</f>
        <v xml:space="preserve">
市值30.460263亿, 利润20.41万; PE446.3; 平均PE59.48; 平均PEG21.36, PB2.68; ROIC7.44%; ROE7.98%; 股利率.1685%; 毛利28.8033%; 净利11.83%; 上一年度营收增-87.32%, 利润增-99.77%; 当季营收增-64.11%, 利润增-98.51%; 过往5年营收增-2.78%, 利润增-4.81%
Income profile:
</v>
      </c>
      <c r="D22" s="3" t="s">
        <v>178</v>
      </c>
      <c r="E22" s="3" t="s">
        <v>179</v>
      </c>
      <c r="F22" s="3">
        <v>17.8</v>
      </c>
      <c r="G22" s="3">
        <v>-0.22</v>
      </c>
      <c r="H22" s="3" t="s">
        <v>1245</v>
      </c>
      <c r="I22" s="3">
        <v>3046026300</v>
      </c>
      <c r="J22" s="3">
        <v>446.3</v>
      </c>
      <c r="K22" s="3">
        <v>2.68</v>
      </c>
      <c r="L22" s="3" t="s">
        <v>49</v>
      </c>
      <c r="M22" s="3" t="s">
        <v>1246</v>
      </c>
      <c r="N22" s="3" t="s">
        <v>649</v>
      </c>
      <c r="O22" s="3" t="s">
        <v>1247</v>
      </c>
      <c r="P22" s="3">
        <v>-10.57</v>
      </c>
      <c r="Q22" s="3" t="s">
        <v>1247</v>
      </c>
      <c r="R22" s="3">
        <v>204097</v>
      </c>
      <c r="S22" s="5">
        <v>-0.96560000000000001</v>
      </c>
      <c r="T22" s="3" t="s">
        <v>1248</v>
      </c>
      <c r="U22" s="3">
        <v>127136779</v>
      </c>
      <c r="V22" s="3">
        <v>171125070</v>
      </c>
      <c r="W22" s="3">
        <v>1.51</v>
      </c>
      <c r="X22" s="3">
        <v>0.04</v>
      </c>
      <c r="Y22" s="3">
        <v>-1.79</v>
      </c>
      <c r="Z22" s="3" t="s">
        <v>1249</v>
      </c>
      <c r="AA22" s="3" t="s">
        <v>1250</v>
      </c>
      <c r="AB22" s="3" t="s">
        <v>1251</v>
      </c>
      <c r="AC22" s="3" t="s">
        <v>1252</v>
      </c>
      <c r="AD22" s="3" t="s">
        <v>52</v>
      </c>
      <c r="AE22" s="3">
        <v>3773998</v>
      </c>
      <c r="AF22" s="3" t="s">
        <v>1253</v>
      </c>
      <c r="AG22" s="3" t="s">
        <v>1254</v>
      </c>
      <c r="AH22" s="3" t="s">
        <v>1255</v>
      </c>
      <c r="AI22" s="3" t="s">
        <v>152</v>
      </c>
      <c r="AJ22" s="3" t="s">
        <v>1256</v>
      </c>
      <c r="AK22" s="3" t="s">
        <v>1257</v>
      </c>
      <c r="AL22" s="3" t="s">
        <v>1258</v>
      </c>
      <c r="AM22" s="3" t="s">
        <v>52</v>
      </c>
      <c r="AN22" s="3" t="s">
        <v>74</v>
      </c>
      <c r="AO22" s="3" t="s">
        <v>656</v>
      </c>
      <c r="AP22" s="3" t="s">
        <v>52</v>
      </c>
      <c r="AQ22" s="3" t="s">
        <v>232</v>
      </c>
      <c r="AR22" s="3" t="s">
        <v>52</v>
      </c>
      <c r="AS22" s="3" t="s">
        <v>648</v>
      </c>
      <c r="AT22" s="3" t="s">
        <v>1060</v>
      </c>
      <c r="AU22" s="3" t="s">
        <v>1259</v>
      </c>
      <c r="AV22" s="3" t="s">
        <v>1260</v>
      </c>
      <c r="AW22" s="3" t="s">
        <v>1261</v>
      </c>
      <c r="AX22" s="3" t="s">
        <v>534</v>
      </c>
      <c r="AY22" s="3" t="s">
        <v>325</v>
      </c>
      <c r="AZ22" s="3" t="s">
        <v>181</v>
      </c>
      <c r="BA22" s="3" t="s">
        <v>183</v>
      </c>
      <c r="BB22" s="3" t="s">
        <v>118</v>
      </c>
      <c r="BC22" s="3" t="s">
        <v>1262</v>
      </c>
      <c r="BD22" s="3" t="s">
        <v>326</v>
      </c>
      <c r="BE22" s="3" t="s">
        <v>182</v>
      </c>
      <c r="BF22" s="3" t="s">
        <v>185</v>
      </c>
      <c r="BG22" s="3" t="s">
        <v>186</v>
      </c>
      <c r="BH22" s="3" t="s">
        <v>1263</v>
      </c>
      <c r="BI22" s="3" t="s">
        <v>526</v>
      </c>
      <c r="BJ22" s="3" t="s">
        <v>534</v>
      </c>
      <c r="BK22" s="3" t="s">
        <v>1264</v>
      </c>
      <c r="BL22" s="3" t="s">
        <v>679</v>
      </c>
      <c r="BM22" s="3" t="s">
        <v>1262</v>
      </c>
      <c r="BN22" s="3">
        <v>1.61</v>
      </c>
      <c r="BO22" s="3">
        <v>9.16</v>
      </c>
      <c r="BP22" s="3">
        <v>11.55</v>
      </c>
      <c r="BQ22" s="3">
        <v>1.47</v>
      </c>
      <c r="BR22" s="3">
        <v>8.49</v>
      </c>
      <c r="BS22" s="3">
        <v>13.98</v>
      </c>
      <c r="BT22" s="3" t="s">
        <v>1265</v>
      </c>
      <c r="BU22" s="3" t="s">
        <v>49</v>
      </c>
      <c r="BV22" s="3">
        <v>32.909999999999997</v>
      </c>
      <c r="BW22" s="3">
        <v>25.28</v>
      </c>
      <c r="BX22" s="3">
        <v>28.22</v>
      </c>
      <c r="BY22" s="3">
        <v>3.66</v>
      </c>
      <c r="BZ22" s="3">
        <v>17.649999999999999</v>
      </c>
      <c r="CA22" s="3">
        <v>14.18</v>
      </c>
      <c r="CB22" s="3">
        <v>-10.06</v>
      </c>
      <c r="CC22" s="3">
        <v>-3.68</v>
      </c>
      <c r="CD22" s="3" t="s">
        <v>1266</v>
      </c>
      <c r="CE22" s="3" t="s">
        <v>241</v>
      </c>
      <c r="CF22" s="10">
        <v>-0.64106448087431689</v>
      </c>
      <c r="CG22" s="11">
        <v>-0.98508128298466446</v>
      </c>
      <c r="CH22" s="10">
        <v>-0.87319463491439819</v>
      </c>
      <c r="CI22" s="10">
        <v>-5.128205195069313E-2</v>
      </c>
      <c r="CJ22" s="10">
        <v>0.35483869910240173</v>
      </c>
      <c r="CK22" s="10">
        <v>0.32131147384643555</v>
      </c>
      <c r="CL22" s="10">
        <v>0.10909090936183929</v>
      </c>
      <c r="CM22" s="11">
        <v>-0.99772483110427856</v>
      </c>
      <c r="CN22" s="11">
        <v>0.17832599580287933</v>
      </c>
      <c r="CO22" s="11">
        <v>0.47536873817443848</v>
      </c>
      <c r="CP22" s="11">
        <v>0.42684406042098999</v>
      </c>
      <c r="CQ22" s="11">
        <v>-0.32323276996612549</v>
      </c>
      <c r="CR22" s="3">
        <v>59.481838765772267</v>
      </c>
      <c r="CS22" s="3">
        <v>21.360139511774854</v>
      </c>
      <c r="CT22" s="3">
        <v>0.16853932584269662</v>
      </c>
      <c r="CU22" s="10">
        <v>-2.7847120910882948E-2</v>
      </c>
      <c r="CV22" s="11">
        <v>-4.8083761334419252E-2</v>
      </c>
      <c r="CW22" s="3">
        <v>0.06</v>
      </c>
      <c r="CX22" s="3">
        <v>12092.240568348849</v>
      </c>
      <c r="CY22" s="3" t="s">
        <v>1267</v>
      </c>
      <c r="CZ22" s="3">
        <v>-2.7847120910882948E-2</v>
      </c>
      <c r="DA22" s="3">
        <v>4030.7468561162827</v>
      </c>
      <c r="DB22" s="3" t="s">
        <v>1268</v>
      </c>
      <c r="DC22" s="3">
        <v>-2.6454764865338799E-2</v>
      </c>
      <c r="DD22" s="3">
        <v>2015.3734280581414</v>
      </c>
      <c r="DE22" s="3" t="s">
        <v>1269</v>
      </c>
      <c r="DF22" s="3">
        <v>-2.4505466401576994E-2</v>
      </c>
      <c r="DG22" s="3">
        <v>1209.2240568348848</v>
      </c>
      <c r="DH22" s="3" t="s">
        <v>1270</v>
      </c>
      <c r="DI22" s="3">
        <v>-2.2277696728706359E-2</v>
      </c>
      <c r="DJ22" s="3">
        <v>604.61202841744239</v>
      </c>
      <c r="DK22" s="3" t="s">
        <v>1271</v>
      </c>
      <c r="DL22" s="3">
        <v>-1.9492984637618064E-2</v>
      </c>
      <c r="DM22" s="3">
        <v>204100</v>
      </c>
      <c r="DN22" s="3">
        <v>-2.7847120910882948E-2</v>
      </c>
      <c r="DO22" s="3">
        <v>2468026300</v>
      </c>
      <c r="DP22" s="3">
        <v>181257610</v>
      </c>
      <c r="DQ22" s="3">
        <v>2122</v>
      </c>
      <c r="DR22" s="3">
        <v>-0.61321735996343396</v>
      </c>
      <c r="DS22" s="3">
        <v>-0.93699752165024519</v>
      </c>
      <c r="DT22" s="12">
        <v>-0.52333333333333332</v>
      </c>
      <c r="DU22" s="3">
        <v>-0.47333333333333333</v>
      </c>
      <c r="DV22" s="3">
        <v>-0.99666666666666659</v>
      </c>
      <c r="DW22" s="3">
        <v>-5.3658051689860837</v>
      </c>
      <c r="DX22" s="3">
        <v>0.23335256410256364</v>
      </c>
      <c r="DY22" s="3">
        <v>-5.0268327471071013</v>
      </c>
      <c r="DZ22" s="3">
        <v>3387</v>
      </c>
      <c r="EA22" s="3">
        <v>-5.0090475192300463</v>
      </c>
      <c r="EB22" s="3">
        <v>5</v>
      </c>
      <c r="EC22" s="3">
        <v>0.10030383040895177</v>
      </c>
      <c r="ED22" s="3">
        <v>1.36742091617552</v>
      </c>
      <c r="EE22" s="13">
        <v>-3.01681</v>
      </c>
      <c r="EF22" s="3">
        <v>-3.0303100000000001</v>
      </c>
      <c r="EG22" s="3">
        <v>16.073352564102564</v>
      </c>
      <c r="EH22" s="3" t="s">
        <v>715</v>
      </c>
      <c r="EI22" s="3">
        <v>0</v>
      </c>
      <c r="EJ22" s="3">
        <v>0</v>
      </c>
      <c r="EK22" s="15">
        <v>45470</v>
      </c>
      <c r="EL22" s="16">
        <v>-7.94</v>
      </c>
      <c r="EM22" s="16">
        <v>-7.08</v>
      </c>
      <c r="EN22" s="16">
        <v>1.99</v>
      </c>
      <c r="EO22" s="16">
        <v>5.58</v>
      </c>
      <c r="EP22" s="16">
        <v>-1.35</v>
      </c>
    </row>
    <row r="23" spans="1:146" ht="96" x14ac:dyDescent="0.25">
      <c r="C23" s="7" t="str">
        <f>""&amp;CHAR(10)&amp;Basic_Fundamental_Information_Constructure(F23)&amp;CHAR(10)&amp;Basic_Fundamental_Information_Concatenate("")</f>
        <v xml:space="preserve">
市值13.474828亿, 利润-727.31万; PE; 平均PE-43.3; 平均PEG-2.17, PB13.51; ROIC3.64%; ROE-10.6567%; 股利率0%; 毛利13.9767%; 净利-4.4067%; 上一年度营收增-51.88%, 利润增77.66%; 当季营收增-52.53%, 利润增59.52%; 过往5年营收增-19.94%, 利润增-170.61%
Income profile:
</v>
      </c>
      <c r="D23" s="3" t="s">
        <v>187</v>
      </c>
      <c r="E23" s="3" t="s">
        <v>188</v>
      </c>
      <c r="F23" s="3">
        <v>10.36</v>
      </c>
      <c r="G23" s="3">
        <v>0.57999999999999996</v>
      </c>
      <c r="H23" s="3" t="s">
        <v>1272</v>
      </c>
      <c r="I23" s="3">
        <v>1347482800</v>
      </c>
      <c r="K23" s="3">
        <v>13.51</v>
      </c>
      <c r="L23" s="3" t="s">
        <v>49</v>
      </c>
      <c r="M23" s="3" t="s">
        <v>1273</v>
      </c>
      <c r="N23" s="3" t="s">
        <v>1274</v>
      </c>
      <c r="O23" s="3" t="s">
        <v>176</v>
      </c>
      <c r="P23" s="3">
        <v>1.71</v>
      </c>
      <c r="Q23" s="3" t="s">
        <v>176</v>
      </c>
      <c r="R23" s="3">
        <v>-7273136</v>
      </c>
      <c r="S23" s="5">
        <v>-18.39</v>
      </c>
      <c r="T23" s="3" t="s">
        <v>1275</v>
      </c>
      <c r="U23" s="3">
        <v>128700258</v>
      </c>
      <c r="V23" s="3">
        <v>130065904</v>
      </c>
      <c r="W23" s="3">
        <v>1.67</v>
      </c>
      <c r="X23" s="3">
        <v>0.86</v>
      </c>
      <c r="Y23" s="3">
        <v>-5.15</v>
      </c>
      <c r="Z23" s="3" t="s">
        <v>689</v>
      </c>
      <c r="AA23" s="3" t="s">
        <v>201</v>
      </c>
      <c r="AB23" s="3" t="s">
        <v>1276</v>
      </c>
      <c r="AC23" s="3" t="s">
        <v>1277</v>
      </c>
      <c r="AD23" s="3" t="s">
        <v>52</v>
      </c>
      <c r="AE23" s="3">
        <v>692595</v>
      </c>
      <c r="AF23" s="3" t="s">
        <v>1278</v>
      </c>
      <c r="AG23" s="3" t="s">
        <v>1279</v>
      </c>
      <c r="AH23" s="3" t="s">
        <v>1280</v>
      </c>
      <c r="AI23" s="3" t="s">
        <v>1281</v>
      </c>
      <c r="AJ23" s="3" t="s">
        <v>1282</v>
      </c>
      <c r="AK23" s="3" t="s">
        <v>52</v>
      </c>
      <c r="AL23" s="3" t="s">
        <v>1283</v>
      </c>
      <c r="AM23" s="3" t="s">
        <v>52</v>
      </c>
      <c r="AN23" s="3">
        <v>0</v>
      </c>
      <c r="AO23" s="3" t="s">
        <v>52</v>
      </c>
      <c r="AP23" s="3" t="s">
        <v>52</v>
      </c>
      <c r="AQ23" s="3" t="s">
        <v>1284</v>
      </c>
      <c r="AR23" s="3" t="s">
        <v>52</v>
      </c>
      <c r="AS23" s="3" t="s">
        <v>1285</v>
      </c>
      <c r="AT23" s="3" t="s">
        <v>52</v>
      </c>
      <c r="AU23" s="3" t="s">
        <v>1286</v>
      </c>
      <c r="AV23" s="3" t="s">
        <v>1287</v>
      </c>
      <c r="AW23" s="3" t="s">
        <v>1288</v>
      </c>
      <c r="AX23" s="3" t="s">
        <v>395</v>
      </c>
      <c r="AY23" s="3" t="s">
        <v>196</v>
      </c>
      <c r="AZ23" s="3" t="s">
        <v>189</v>
      </c>
      <c r="BA23" s="3" t="s">
        <v>135</v>
      </c>
      <c r="BB23" s="3" t="s">
        <v>124</v>
      </c>
      <c r="BC23" s="3" t="s">
        <v>607</v>
      </c>
      <c r="BD23" s="3" t="s">
        <v>327</v>
      </c>
      <c r="BE23" s="3" t="s">
        <v>190</v>
      </c>
      <c r="BF23" s="3" t="s">
        <v>192</v>
      </c>
      <c r="BG23" s="3" t="s">
        <v>193</v>
      </c>
      <c r="BH23" s="3" t="s">
        <v>1289</v>
      </c>
      <c r="BI23" s="3" t="s">
        <v>369</v>
      </c>
      <c r="BJ23" s="3" t="s">
        <v>395</v>
      </c>
      <c r="BK23" s="3" t="s">
        <v>1290</v>
      </c>
      <c r="BL23" s="3" t="s">
        <v>680</v>
      </c>
      <c r="BM23" s="3" t="s">
        <v>607</v>
      </c>
      <c r="BN23" s="3" t="s">
        <v>52</v>
      </c>
      <c r="BO23" s="3" t="s">
        <v>52</v>
      </c>
      <c r="BP23" s="3">
        <v>3.64</v>
      </c>
      <c r="BQ23" s="3">
        <v>-12.72</v>
      </c>
      <c r="BR23" s="3">
        <v>-22.64</v>
      </c>
      <c r="BS23" s="3">
        <v>3.39</v>
      </c>
      <c r="BT23" s="3" t="s">
        <v>519</v>
      </c>
      <c r="BU23" s="3" t="s">
        <v>49</v>
      </c>
      <c r="BV23" s="3">
        <v>7.96</v>
      </c>
      <c r="BW23" s="3">
        <v>12.99</v>
      </c>
      <c r="BX23" s="3">
        <v>20.98</v>
      </c>
      <c r="BY23" s="3">
        <v>-4.1900000000000004</v>
      </c>
      <c r="BZ23" s="3">
        <v>-11.12</v>
      </c>
      <c r="CA23" s="3">
        <v>2.09</v>
      </c>
      <c r="CB23" s="3">
        <v>-26.21</v>
      </c>
      <c r="CC23" s="3">
        <v>-28.94</v>
      </c>
      <c r="CD23" s="3" t="s">
        <v>1291</v>
      </c>
      <c r="CE23" s="3" t="s">
        <v>180</v>
      </c>
      <c r="CF23" s="10">
        <v>-0.5252525252525253</v>
      </c>
      <c r="CG23" s="11">
        <v>0.59521727515583256</v>
      </c>
      <c r="CH23" s="10">
        <v>-0.51877135038375854</v>
      </c>
      <c r="CI23" s="10">
        <v>-6.0897435992956161E-2</v>
      </c>
      <c r="CJ23" s="10">
        <v>-0.3619631826877594</v>
      </c>
      <c r="CK23" s="10">
        <v>0.38526913523674011</v>
      </c>
      <c r="CL23" s="10">
        <v>-0.44057053327560425</v>
      </c>
      <c r="CM23" s="11">
        <v>0.77655398845672607</v>
      </c>
      <c r="CN23" s="11">
        <v>-6.001183032989502</v>
      </c>
      <c r="CO23" s="11">
        <v>1.0743842124938965</v>
      </c>
      <c r="CP23" s="11">
        <v>5.8664917945861816E-2</v>
      </c>
      <c r="CQ23" s="11">
        <v>-4.4389114379882812</v>
      </c>
      <c r="CR23" s="3">
        <v>-43.296654146089111</v>
      </c>
      <c r="CS23" s="3">
        <v>-2.1714918757253887</v>
      </c>
      <c r="CT23" s="3">
        <v>0</v>
      </c>
      <c r="CU23" s="10">
        <v>-0.19938667342066765</v>
      </c>
      <c r="CV23" s="11">
        <v>-1.7060982704162597</v>
      </c>
      <c r="CW23" s="3">
        <v>0.06</v>
      </c>
      <c r="CX23" s="3" t="e">
        <v>#VALUE!</v>
      </c>
      <c r="CY23" s="3" t="s">
        <v>365</v>
      </c>
      <c r="CZ23" s="3">
        <v>-0.19938667342066765</v>
      </c>
      <c r="DA23" s="3" t="e">
        <v>#VALUE!</v>
      </c>
      <c r="DB23" s="3" t="s">
        <v>366</v>
      </c>
      <c r="DC23" s="3">
        <v>-0.18941733974963426</v>
      </c>
      <c r="DD23" s="3" t="e">
        <v>#VALUE!</v>
      </c>
      <c r="DE23" s="3" t="s">
        <v>366</v>
      </c>
      <c r="DF23" s="3">
        <v>-0.17546027261018754</v>
      </c>
      <c r="DG23" s="3" t="e">
        <v>#VALUE!</v>
      </c>
      <c r="DH23" s="3" t="s">
        <v>366</v>
      </c>
      <c r="DI23" s="3">
        <v>-0.15950933873653414</v>
      </c>
      <c r="DJ23" s="3" t="e">
        <v>#VALUE!</v>
      </c>
      <c r="DK23" s="3" t="s">
        <v>366</v>
      </c>
      <c r="DL23" s="3">
        <v>-0.13957067139446735</v>
      </c>
      <c r="DM23" s="3">
        <v>-7273099.9999999991</v>
      </c>
      <c r="DN23" s="3">
        <v>-0.19938667342066765</v>
      </c>
      <c r="DO23" s="3">
        <v>1304997600</v>
      </c>
      <c r="DP23" s="3">
        <v>62081008.999999993</v>
      </c>
      <c r="DQ23" s="3">
        <v>2198</v>
      </c>
      <c r="DR23" s="3">
        <v>-0.32586585183185768</v>
      </c>
      <c r="DS23" s="3">
        <v>2.3013155455720922</v>
      </c>
      <c r="DT23" s="12">
        <v>-0.72333333333333327</v>
      </c>
      <c r="DU23" s="3">
        <v>-2.4650000000000003</v>
      </c>
      <c r="DV23" s="3">
        <v>-3.1883333333333335</v>
      </c>
      <c r="DW23" s="3">
        <v>-9.9056668970283344</v>
      </c>
      <c r="DX23" s="3">
        <v>0.47255695364238459</v>
      </c>
      <c r="DY23" s="3">
        <v>-9.23778914149851</v>
      </c>
      <c r="DZ23" s="3">
        <v>4914</v>
      </c>
      <c r="EA23" s="3">
        <v>-9.0091206793999437</v>
      </c>
      <c r="EB23" s="3">
        <v>9</v>
      </c>
      <c r="EC23" s="3">
        <v>0.60963094524757233</v>
      </c>
      <c r="ED23" s="3">
        <v>2.3218998270292266</v>
      </c>
      <c r="EE23" s="13">
        <v>2.0983999999999998</v>
      </c>
      <c r="EF23" s="3">
        <v>2.10181</v>
      </c>
      <c r="EG23" s="3">
        <v>21.262556953642385</v>
      </c>
      <c r="EH23" s="3" t="s">
        <v>536</v>
      </c>
      <c r="EI23" s="3">
        <v>0</v>
      </c>
      <c r="EJ23" s="3">
        <v>0</v>
      </c>
      <c r="EK23" s="15">
        <v>45470</v>
      </c>
      <c r="EL23" s="16">
        <v>0.28999999999999998</v>
      </c>
      <c r="EM23" s="16">
        <v>-2.96</v>
      </c>
      <c r="EN23" s="16">
        <v>4.29</v>
      </c>
      <c r="EO23" s="16">
        <v>17.29</v>
      </c>
      <c r="EP23" s="16">
        <v>-20.02</v>
      </c>
    </row>
    <row r="24" spans="1:146" ht="96" x14ac:dyDescent="0.25">
      <c r="C24" s="7" t="str">
        <f>""&amp;CHAR(10)&amp;Basic_Fundamental_Information_Constructure(F24)&amp;CHAR(10)&amp;Basic_Fundamental_Information_Concatenate("")</f>
        <v xml:space="preserve">
市值23.7696亿, 利润901.91万; PE; 平均PE64.96; 平均PEG5.88, PB1.55; ROIC1.3%; ROE-1.6767%; 股利率0%; 毛利21.9367%; 净利-8.6133%; 上一年度营收增-70.65%, 利润增107.78%; 当季营收增-13.52%, 利润增132.99%; 过往5年营收增-11.04%, 利润增-76.42%
Income profile:
</v>
      </c>
      <c r="D24" s="3" t="s">
        <v>194</v>
      </c>
      <c r="E24" s="3" t="s">
        <v>195</v>
      </c>
      <c r="F24" s="3">
        <v>18.57</v>
      </c>
      <c r="G24" s="3">
        <v>-1.07</v>
      </c>
      <c r="H24" s="3" t="s">
        <v>1292</v>
      </c>
      <c r="I24" s="3">
        <v>2376960000</v>
      </c>
      <c r="K24" s="3">
        <v>1.55</v>
      </c>
      <c r="L24" s="3" t="s">
        <v>49</v>
      </c>
      <c r="M24" s="3" t="s">
        <v>1172</v>
      </c>
      <c r="N24" s="3" t="s">
        <v>1293</v>
      </c>
      <c r="O24" s="3" t="s">
        <v>1294</v>
      </c>
      <c r="P24" s="3">
        <v>129.99</v>
      </c>
      <c r="Q24" s="3" t="s">
        <v>1294</v>
      </c>
      <c r="R24" s="3">
        <v>9019111</v>
      </c>
      <c r="S24" s="5">
        <v>1.9630000000000001</v>
      </c>
      <c r="T24" s="3" t="s">
        <v>1295</v>
      </c>
      <c r="U24" s="3">
        <v>75742917</v>
      </c>
      <c r="V24" s="3">
        <v>128000000</v>
      </c>
      <c r="W24" s="3">
        <v>1.39</v>
      </c>
      <c r="X24" s="3">
        <v>0.1</v>
      </c>
      <c r="Y24" s="3">
        <v>4.01</v>
      </c>
      <c r="Z24" s="3" t="s">
        <v>371</v>
      </c>
      <c r="AA24" s="3" t="s">
        <v>1296</v>
      </c>
      <c r="AB24" s="3" t="s">
        <v>1297</v>
      </c>
      <c r="AC24" s="3" t="s">
        <v>1298</v>
      </c>
      <c r="AD24" s="3" t="s">
        <v>52</v>
      </c>
      <c r="AE24" s="3">
        <v>417443</v>
      </c>
      <c r="AF24" s="3" t="s">
        <v>1299</v>
      </c>
      <c r="AG24" s="3" t="s">
        <v>1300</v>
      </c>
      <c r="AH24" s="3" t="s">
        <v>1301</v>
      </c>
      <c r="AI24" s="3" t="s">
        <v>176</v>
      </c>
      <c r="AJ24" s="3" t="s">
        <v>1302</v>
      </c>
      <c r="AK24" s="3" t="s">
        <v>52</v>
      </c>
      <c r="AL24" s="3" t="s">
        <v>1303</v>
      </c>
      <c r="AM24" s="3" t="s">
        <v>52</v>
      </c>
      <c r="AN24" s="3" t="s">
        <v>163</v>
      </c>
      <c r="AO24" s="3" t="s">
        <v>713</v>
      </c>
      <c r="AP24" s="3" t="s">
        <v>1304</v>
      </c>
      <c r="AQ24" s="3" t="s">
        <v>1305</v>
      </c>
      <c r="AR24" s="3" t="s">
        <v>1306</v>
      </c>
      <c r="AS24" s="3" t="s">
        <v>1106</v>
      </c>
      <c r="AT24" s="3" t="s">
        <v>1307</v>
      </c>
      <c r="AU24" s="3" t="s">
        <v>1308</v>
      </c>
      <c r="AV24" s="3" t="s">
        <v>1309</v>
      </c>
      <c r="AW24" s="3" t="s">
        <v>1310</v>
      </c>
      <c r="AX24" s="3" t="s">
        <v>608</v>
      </c>
      <c r="AY24" s="3" t="s">
        <v>328</v>
      </c>
      <c r="AZ24" s="3" t="s">
        <v>197</v>
      </c>
      <c r="BA24" s="3" t="s">
        <v>199</v>
      </c>
      <c r="BB24" s="3" t="s">
        <v>200</v>
      </c>
      <c r="BC24" s="3" t="s">
        <v>609</v>
      </c>
      <c r="BD24" s="3" t="s">
        <v>611</v>
      </c>
      <c r="BE24" s="3" t="s">
        <v>198</v>
      </c>
      <c r="BF24" s="3" t="s">
        <v>201</v>
      </c>
      <c r="BG24" s="3" t="s">
        <v>202</v>
      </c>
      <c r="BH24" s="3" t="s">
        <v>1311</v>
      </c>
      <c r="BI24" s="3" t="s">
        <v>520</v>
      </c>
      <c r="BJ24" s="3" t="s">
        <v>608</v>
      </c>
      <c r="BK24" s="3" t="s">
        <v>1312</v>
      </c>
      <c r="BL24" s="3" t="s">
        <v>683</v>
      </c>
      <c r="BM24" s="3" t="s">
        <v>609</v>
      </c>
      <c r="BN24" s="3" t="s">
        <v>52</v>
      </c>
      <c r="BO24" s="3" t="s">
        <v>52</v>
      </c>
      <c r="BP24" s="3">
        <v>1.3</v>
      </c>
      <c r="BQ24" s="3">
        <v>-1.39</v>
      </c>
      <c r="BR24" s="3">
        <v>-5.1100000000000003</v>
      </c>
      <c r="BS24" s="3">
        <v>1.47</v>
      </c>
      <c r="BT24" s="3" t="s">
        <v>519</v>
      </c>
      <c r="BU24" s="3" t="s">
        <v>49</v>
      </c>
      <c r="BV24" s="3">
        <v>17.78</v>
      </c>
      <c r="BW24" s="3">
        <v>19.41</v>
      </c>
      <c r="BX24" s="3">
        <v>28.62</v>
      </c>
      <c r="BY24" s="3">
        <v>-13.44</v>
      </c>
      <c r="BZ24" s="3">
        <v>-16.350000000000001</v>
      </c>
      <c r="CA24" s="3">
        <v>3.95</v>
      </c>
      <c r="CB24" s="3">
        <v>-11.36</v>
      </c>
      <c r="CC24" s="3">
        <v>20.350000000000001</v>
      </c>
      <c r="CD24" s="3" t="s">
        <v>1313</v>
      </c>
      <c r="CE24" s="3" t="s">
        <v>542</v>
      </c>
      <c r="CF24" s="10">
        <v>-0.13524590163934427</v>
      </c>
      <c r="CG24" s="11">
        <v>1.3298797758644654</v>
      </c>
      <c r="CH24" s="10">
        <v>-0.70653682947158813</v>
      </c>
      <c r="CI24" s="10">
        <v>5.5944058112800121E-3</v>
      </c>
      <c r="CJ24" s="10">
        <v>-0.16374269127845764</v>
      </c>
      <c r="CK24" s="10">
        <v>3.1363088637590408E-2</v>
      </c>
      <c r="CL24" s="10">
        <v>0.28129830956459045</v>
      </c>
      <c r="CM24" s="11">
        <v>1.0777509212493896</v>
      </c>
      <c r="CN24" s="11">
        <v>-5.1110992431640625</v>
      </c>
      <c r="CO24" s="11">
        <v>-0.73380845785140991</v>
      </c>
      <c r="CP24" s="11">
        <v>-0.19083969295024872</v>
      </c>
      <c r="CQ24" s="11">
        <v>1.1371914148330688</v>
      </c>
      <c r="CR24" s="3">
        <v>64.964733877888662</v>
      </c>
      <c r="CS24" s="3">
        <v>5.8842339475867647</v>
      </c>
      <c r="CT24" s="3">
        <v>0</v>
      </c>
      <c r="CU24" s="10">
        <v>-0.11040474334731698</v>
      </c>
      <c r="CV24" s="11">
        <v>-0.7641610115766525</v>
      </c>
      <c r="CW24" s="3">
        <v>0.06</v>
      </c>
      <c r="CX24" s="3">
        <v>155.6651994101407</v>
      </c>
      <c r="CY24" s="3" t="s">
        <v>1314</v>
      </c>
      <c r="CZ24" s="3">
        <v>-0.11040474334731698</v>
      </c>
      <c r="DA24" s="3">
        <v>51.888399803380231</v>
      </c>
      <c r="DB24" s="3" t="s">
        <v>1315</v>
      </c>
      <c r="DC24" s="3">
        <v>-0.10488450617995113</v>
      </c>
      <c r="DD24" s="3">
        <v>25.944199901690116</v>
      </c>
      <c r="DE24" s="3" t="s">
        <v>1316</v>
      </c>
      <c r="DF24" s="3">
        <v>-9.7156174145638943E-2</v>
      </c>
      <c r="DG24" s="3">
        <v>15.56651994101407</v>
      </c>
      <c r="DH24" s="3" t="s">
        <v>1317</v>
      </c>
      <c r="DI24" s="3">
        <v>-8.832379467785359E-2</v>
      </c>
      <c r="DJ24" s="3">
        <v>7.7832599705070349</v>
      </c>
      <c r="DK24" s="3" t="s">
        <v>1318</v>
      </c>
      <c r="DL24" s="3">
        <v>-7.7283320343121881E-2</v>
      </c>
      <c r="DM24" s="3">
        <v>9019100</v>
      </c>
      <c r="DN24" s="3">
        <v>-0.11040474334731698</v>
      </c>
      <c r="DO24" s="3">
        <v>1403960000</v>
      </c>
      <c r="DP24" s="3">
        <v>1137922900</v>
      </c>
      <c r="DQ24" s="3">
        <v>2325</v>
      </c>
      <c r="DR24" s="3">
        <v>-2.4841158292027293E-2</v>
      </c>
      <c r="DS24" s="3">
        <v>2.0940407874411178</v>
      </c>
      <c r="DT24" s="12">
        <v>-0.80666666666666664</v>
      </c>
      <c r="DU24" s="3">
        <v>3.333333333333325E-2</v>
      </c>
      <c r="DV24" s="3">
        <v>-0.77333333333333343</v>
      </c>
      <c r="DW24" s="3">
        <v>-7.3582466099022392</v>
      </c>
      <c r="DX24" s="3">
        <v>0.27374396551724189</v>
      </c>
      <c r="DY24" s="3">
        <v>-7.0514957883404561</v>
      </c>
      <c r="DZ24" s="3">
        <v>2510</v>
      </c>
      <c r="EA24" s="3">
        <v>-7.0262013795861424</v>
      </c>
      <c r="EB24" s="3">
        <v>7</v>
      </c>
      <c r="EC24" s="3">
        <v>0.39080390625</v>
      </c>
      <c r="ED24" s="3">
        <v>2.71875</v>
      </c>
      <c r="EE24" s="13">
        <v>-3.1175999999999999</v>
      </c>
      <c r="EF24" s="3">
        <v>-3.0903</v>
      </c>
      <c r="EG24" s="3">
        <v>13.143743965517242</v>
      </c>
      <c r="EH24" s="3" t="s">
        <v>995</v>
      </c>
      <c r="EI24" s="3">
        <v>0</v>
      </c>
      <c r="EJ24" s="3">
        <v>0</v>
      </c>
      <c r="EK24" s="15">
        <v>45470</v>
      </c>
      <c r="EL24" s="16">
        <v>1.48</v>
      </c>
      <c r="EM24" s="16">
        <v>-4.45</v>
      </c>
      <c r="EN24" s="16">
        <v>0.38</v>
      </c>
      <c r="EO24" s="16">
        <v>4.08</v>
      </c>
      <c r="EP24" s="16">
        <v>-2.73</v>
      </c>
    </row>
    <row r="25" spans="1:146" ht="96" x14ac:dyDescent="0.25">
      <c r="C25" s="7" t="str">
        <f>""&amp;CHAR(10)&amp;Basic_Fundamental_Information_Constructure(F25)&amp;CHAR(10)&amp;Basic_Fundamental_Information_Concatenate("")</f>
        <v xml:space="preserve">
市值58.189375亿, 利润2213.32万; PE162.1; 平均PE35.88; 平均PEG8.52, PB2.88; ROIC6.5467%; ROE9.2033%; 股利率.1299%; 毛利12.4333%; 净利2.45%; 上一年度营收增-76%, 利润增-83.23%; 当季营收增-48.87%, 利润增-8.46%; 过往5年营收增4.21%, 利润增-17.77%
Income profile:
</v>
      </c>
      <c r="D25" s="3" t="s">
        <v>203</v>
      </c>
      <c r="E25" s="3" t="s">
        <v>204</v>
      </c>
      <c r="F25" s="3">
        <v>8.4700000000000006</v>
      </c>
      <c r="G25" s="3">
        <v>0.59</v>
      </c>
      <c r="H25" s="3" t="s">
        <v>1319</v>
      </c>
      <c r="I25" s="3">
        <v>5818937500</v>
      </c>
      <c r="J25" s="3">
        <v>162.1</v>
      </c>
      <c r="K25" s="3">
        <v>2.88</v>
      </c>
      <c r="L25" s="3" t="s">
        <v>49</v>
      </c>
      <c r="M25" s="3" t="s">
        <v>1320</v>
      </c>
      <c r="N25" s="3" t="s">
        <v>1321</v>
      </c>
      <c r="O25" s="3" t="s">
        <v>1322</v>
      </c>
      <c r="P25" s="3">
        <v>5.89</v>
      </c>
      <c r="Q25" s="3" t="s">
        <v>1322</v>
      </c>
      <c r="R25" s="3">
        <v>22133161</v>
      </c>
      <c r="S25" s="5">
        <v>9.3899999999999997E-2</v>
      </c>
      <c r="T25" s="3" t="s">
        <v>1323</v>
      </c>
      <c r="U25" s="3">
        <v>468556660</v>
      </c>
      <c r="V25" s="3">
        <v>687005600</v>
      </c>
      <c r="W25" s="3">
        <v>2.0699999999999998</v>
      </c>
      <c r="X25" s="3">
        <v>0.33</v>
      </c>
      <c r="Y25" s="3">
        <v>1.6</v>
      </c>
      <c r="Z25" s="3" t="s">
        <v>1324</v>
      </c>
      <c r="AA25" s="3" t="s">
        <v>1325</v>
      </c>
      <c r="AB25" s="3" t="s">
        <v>1326</v>
      </c>
      <c r="AC25" s="3" t="s">
        <v>1327</v>
      </c>
      <c r="AD25" s="3" t="s">
        <v>52</v>
      </c>
      <c r="AE25" s="3">
        <v>9376243</v>
      </c>
      <c r="AF25" s="3" t="s">
        <v>1328</v>
      </c>
      <c r="AG25" s="3" t="s">
        <v>1329</v>
      </c>
      <c r="AH25" s="3" t="s">
        <v>1330</v>
      </c>
      <c r="AI25" s="3" t="s">
        <v>702</v>
      </c>
      <c r="AJ25" s="3" t="s">
        <v>1331</v>
      </c>
      <c r="AK25" s="3" t="s">
        <v>1332</v>
      </c>
      <c r="AL25" s="3" t="s">
        <v>1333</v>
      </c>
      <c r="AM25" s="3" t="s">
        <v>52</v>
      </c>
      <c r="AN25" s="3">
        <v>0</v>
      </c>
      <c r="AO25" s="3" t="s">
        <v>1334</v>
      </c>
      <c r="AP25" s="3" t="s">
        <v>1335</v>
      </c>
      <c r="AQ25" s="3" t="s">
        <v>1039</v>
      </c>
      <c r="AR25" s="3" t="s">
        <v>52</v>
      </c>
      <c r="AS25" s="3" t="s">
        <v>408</v>
      </c>
      <c r="AT25" s="3" t="s">
        <v>1336</v>
      </c>
      <c r="AU25" s="3" t="s">
        <v>1337</v>
      </c>
      <c r="AV25" s="3" t="s">
        <v>1338</v>
      </c>
      <c r="AW25" s="3" t="s">
        <v>537</v>
      </c>
      <c r="AX25" s="3" t="s">
        <v>613</v>
      </c>
      <c r="AY25" s="3" t="s">
        <v>329</v>
      </c>
      <c r="AZ25" s="3" t="s">
        <v>205</v>
      </c>
      <c r="BA25" s="3" t="s">
        <v>207</v>
      </c>
      <c r="BB25" s="3" t="s">
        <v>208</v>
      </c>
      <c r="BC25" s="3" t="s">
        <v>610</v>
      </c>
      <c r="BD25" s="3" t="s">
        <v>301</v>
      </c>
      <c r="BE25" s="3" t="s">
        <v>206</v>
      </c>
      <c r="BF25" s="3" t="s">
        <v>209</v>
      </c>
      <c r="BG25" s="3" t="s">
        <v>210</v>
      </c>
      <c r="BH25" s="3" t="s">
        <v>1339</v>
      </c>
      <c r="BI25" s="3" t="s">
        <v>612</v>
      </c>
      <c r="BJ25" s="3" t="s">
        <v>613</v>
      </c>
      <c r="BK25" s="3" t="s">
        <v>1340</v>
      </c>
      <c r="BL25" s="3" t="s">
        <v>685</v>
      </c>
      <c r="BM25" s="3" t="s">
        <v>610</v>
      </c>
      <c r="BN25" s="3">
        <v>1.88</v>
      </c>
      <c r="BO25" s="3">
        <v>5.6</v>
      </c>
      <c r="BP25" s="3">
        <v>12.16</v>
      </c>
      <c r="BQ25" s="3">
        <v>1.91</v>
      </c>
      <c r="BR25" s="3">
        <v>8.26</v>
      </c>
      <c r="BS25" s="3">
        <v>17.440000000000001</v>
      </c>
      <c r="BT25" s="3" t="s">
        <v>1341</v>
      </c>
      <c r="BU25" s="3" t="s">
        <v>49</v>
      </c>
      <c r="BV25" s="3">
        <v>11.91</v>
      </c>
      <c r="BW25" s="3">
        <v>11.62</v>
      </c>
      <c r="BX25" s="3">
        <v>13.77</v>
      </c>
      <c r="BY25" s="3">
        <v>0.65</v>
      </c>
      <c r="BZ25" s="3">
        <v>2.34</v>
      </c>
      <c r="CA25" s="3">
        <v>4.3600000000000003</v>
      </c>
      <c r="CB25" s="3">
        <v>-6.31</v>
      </c>
      <c r="CC25" s="3">
        <v>-27.11</v>
      </c>
      <c r="CD25" s="3" t="s">
        <v>1342</v>
      </c>
      <c r="CE25" s="3" t="s">
        <v>1343</v>
      </c>
      <c r="CF25" s="10">
        <v>-0.48867069486404835</v>
      </c>
      <c r="CG25" s="11">
        <v>-8.4570578917110256E-2</v>
      </c>
      <c r="CH25" s="10">
        <v>-0.75997167825698853</v>
      </c>
      <c r="CI25" s="10">
        <v>5.1836684346199036E-2</v>
      </c>
      <c r="CJ25" s="10">
        <v>0.71946126222610474</v>
      </c>
      <c r="CK25" s="10">
        <v>0.50822055339813232</v>
      </c>
      <c r="CL25" s="10">
        <v>-0.30905443429946899</v>
      </c>
      <c r="CM25" s="11">
        <v>-0.83232426643371582</v>
      </c>
      <c r="CN25" s="11">
        <v>-0.44067797064781189</v>
      </c>
      <c r="CO25" s="11">
        <v>0.57333332300186157</v>
      </c>
      <c r="CP25" s="11">
        <v>0.51471084356307983</v>
      </c>
      <c r="CQ25" s="11">
        <v>-0.70350658893585205</v>
      </c>
      <c r="CR25" s="3">
        <v>35.876477914262992</v>
      </c>
      <c r="CS25" s="3">
        <v>8.5220369142624097</v>
      </c>
      <c r="CT25" s="3">
        <v>0.12987012987012986</v>
      </c>
      <c r="CU25" s="10">
        <v>4.2098477482795715E-2</v>
      </c>
      <c r="CV25" s="11">
        <v>-0.17769293189048768</v>
      </c>
      <c r="CW25" s="3">
        <v>0.06</v>
      </c>
      <c r="CX25" s="3">
        <v>285.06920249635482</v>
      </c>
      <c r="CY25" s="3">
        <v>21759409.454549257</v>
      </c>
      <c r="CZ25" s="3">
        <v>4.2098477482795715E-2</v>
      </c>
      <c r="DA25" s="3">
        <v>97.035314963040733</v>
      </c>
      <c r="DB25" s="3">
        <v>63924536.158434734</v>
      </c>
      <c r="DC25" s="3">
        <v>3.9993553608655925E-2</v>
      </c>
      <c r="DD25" s="3">
        <v>50.393548754604069</v>
      </c>
      <c r="DE25" s="3">
        <v>123089912.36568323</v>
      </c>
      <c r="DF25" s="3">
        <v>3.7046660184860226E-2</v>
      </c>
      <c r="DG25" s="3">
        <v>32.098339926799099</v>
      </c>
      <c r="DH25" s="3">
        <v>193247922.2958546</v>
      </c>
      <c r="DI25" s="3">
        <v>3.3678781986236576E-2</v>
      </c>
      <c r="DJ25" s="3">
        <v>18.777861462310195</v>
      </c>
      <c r="DK25" s="3">
        <v>330332477.55342996</v>
      </c>
      <c r="DL25" s="3">
        <v>2.9468934237957E-2</v>
      </c>
      <c r="DM25" s="3">
        <v>22133200</v>
      </c>
      <c r="DN25" s="3">
        <v>4.2098477482795715E-2</v>
      </c>
      <c r="DO25" s="3">
        <v>6202937500</v>
      </c>
      <c r="DP25" s="3">
        <v>1643747799.9999998</v>
      </c>
      <c r="DQ25" s="3">
        <v>2425</v>
      </c>
      <c r="DR25" s="3">
        <v>-0.53076917234684406</v>
      </c>
      <c r="DS25" s="3">
        <v>9.3122352973377426E-2</v>
      </c>
      <c r="DT25" s="12">
        <v>-0.49</v>
      </c>
      <c r="DU25" s="3">
        <v>-0.65333333333333332</v>
      </c>
      <c r="DV25" s="3">
        <v>-1.1433333333333333</v>
      </c>
      <c r="DW25" s="3">
        <v>-9.2327554407967547</v>
      </c>
      <c r="DX25" s="3">
        <v>0.27907175384615546</v>
      </c>
      <c r="DY25" s="3">
        <v>-9.0253870441449369</v>
      </c>
      <c r="DZ25" s="3">
        <v>574</v>
      </c>
      <c r="EA25" s="3">
        <v>-9.0225353487752322</v>
      </c>
      <c r="EB25" s="3">
        <v>9</v>
      </c>
      <c r="EC25" s="3">
        <v>0.14447524154097144</v>
      </c>
      <c r="ED25" s="3">
        <v>1.3245889116478817</v>
      </c>
      <c r="EE25" s="13">
        <v>-5.0857000000000001</v>
      </c>
      <c r="EF25" s="3">
        <v>-5.0544000000000002</v>
      </c>
      <c r="EG25" s="3">
        <v>17.109071753846155</v>
      </c>
      <c r="EH25" s="3" t="s">
        <v>938</v>
      </c>
      <c r="EI25" s="3">
        <v>0</v>
      </c>
      <c r="EJ25" s="3">
        <v>1</v>
      </c>
      <c r="EK25" s="15">
        <v>45470</v>
      </c>
      <c r="EL25" s="16">
        <v>-0.39</v>
      </c>
      <c r="EM25" s="16">
        <v>-4.28</v>
      </c>
      <c r="EN25" s="16">
        <v>-0.9</v>
      </c>
      <c r="EO25" s="16">
        <v>4.17</v>
      </c>
      <c r="EP25" s="16">
        <v>-3.13</v>
      </c>
    </row>
    <row r="26" spans="1:146" ht="96" x14ac:dyDescent="0.25">
      <c r="C26" s="7" t="str">
        <f>""&amp;CHAR(10)&amp;Basic_Fundamental_Information_Constructure(F26)&amp;CHAR(10)&amp;Basic_Fundamental_Information_Concatenate("")</f>
        <v xml:space="preserve">
市值25.0416亿, 利润208.93万; PE114; 平均PE56.92; 平均PEG5.84, PB3.89; ROIC6.215%; ROE4.63%; 股利率.1725%; 毛利27.2567%; 净利6.0633%; 上一年度营收增-67.75%, 利润增-75.39%; 当季营收增-36.24%, 利润增116.94%; 过往5年营收增-9.75%, 利润增-19.05%
Income profile:
</v>
      </c>
      <c r="D26" s="3" t="s">
        <v>211</v>
      </c>
      <c r="E26" s="3" t="s">
        <v>212</v>
      </c>
      <c r="F26" s="3">
        <v>17.39</v>
      </c>
      <c r="G26" s="3">
        <v>-3.01</v>
      </c>
      <c r="H26" s="3" t="s">
        <v>1344</v>
      </c>
      <c r="I26" s="3">
        <v>2504160000</v>
      </c>
      <c r="J26" s="3">
        <v>114</v>
      </c>
      <c r="K26" s="3">
        <v>3.89</v>
      </c>
      <c r="L26" s="3" t="s">
        <v>49</v>
      </c>
      <c r="M26" s="3" t="s">
        <v>1345</v>
      </c>
      <c r="N26" s="3" t="s">
        <v>651</v>
      </c>
      <c r="O26" s="3" t="s">
        <v>529</v>
      </c>
      <c r="P26" s="3">
        <v>45.31</v>
      </c>
      <c r="Q26" s="3" t="s">
        <v>529</v>
      </c>
      <c r="R26" s="3">
        <v>2089339</v>
      </c>
      <c r="S26" s="5">
        <v>1.244</v>
      </c>
      <c r="T26" s="3" t="s">
        <v>1346</v>
      </c>
      <c r="U26" s="3">
        <v>86684400</v>
      </c>
      <c r="V26" s="3">
        <v>144000000</v>
      </c>
      <c r="W26" s="3">
        <v>2.08</v>
      </c>
      <c r="X26" s="3">
        <v>0.1</v>
      </c>
      <c r="Y26" s="3">
        <v>1.22</v>
      </c>
      <c r="Z26" s="3" t="s">
        <v>120</v>
      </c>
      <c r="AA26" s="3" t="s">
        <v>384</v>
      </c>
      <c r="AB26" s="3" t="s">
        <v>1347</v>
      </c>
      <c r="AC26" s="3" t="s">
        <v>1348</v>
      </c>
      <c r="AD26" s="3" t="s">
        <v>52</v>
      </c>
      <c r="AE26" s="3">
        <v>4166139</v>
      </c>
      <c r="AF26" s="3" t="s">
        <v>1349</v>
      </c>
      <c r="AG26" s="3" t="s">
        <v>1350</v>
      </c>
      <c r="AH26" s="3" t="s">
        <v>1351</v>
      </c>
      <c r="AI26" s="3" t="s">
        <v>107</v>
      </c>
      <c r="AJ26" s="3" t="s">
        <v>1352</v>
      </c>
      <c r="AK26" s="3" t="s">
        <v>1353</v>
      </c>
      <c r="AL26" s="3" t="s">
        <v>1354</v>
      </c>
      <c r="AM26" s="3" t="s">
        <v>52</v>
      </c>
      <c r="AN26" s="3" t="s">
        <v>1355</v>
      </c>
      <c r="AO26" s="3" t="s">
        <v>1356</v>
      </c>
      <c r="AP26" s="3" t="s">
        <v>1357</v>
      </c>
      <c r="AQ26" s="3" t="s">
        <v>629</v>
      </c>
      <c r="AR26" s="3" t="s">
        <v>52</v>
      </c>
      <c r="AS26" s="3" t="s">
        <v>1358</v>
      </c>
      <c r="AT26" s="3" t="s">
        <v>1359</v>
      </c>
      <c r="AU26" s="3" t="s">
        <v>1360</v>
      </c>
      <c r="AV26" s="3" t="s">
        <v>1361</v>
      </c>
      <c r="AW26" s="3" t="s">
        <v>1362</v>
      </c>
      <c r="AX26" s="3" t="s">
        <v>615</v>
      </c>
      <c r="AY26" s="3" t="s">
        <v>330</v>
      </c>
      <c r="AZ26" s="3" t="s">
        <v>213</v>
      </c>
      <c r="BA26" s="3" t="s">
        <v>216</v>
      </c>
      <c r="BB26" s="3" t="s">
        <v>217</v>
      </c>
      <c r="BC26" s="3" t="s">
        <v>1363</v>
      </c>
      <c r="BD26" s="3" t="s">
        <v>331</v>
      </c>
      <c r="BE26" s="3" t="s">
        <v>214</v>
      </c>
      <c r="BF26" s="3" t="s">
        <v>218</v>
      </c>
      <c r="BG26" s="3" t="s">
        <v>219</v>
      </c>
      <c r="BH26" s="3" t="s">
        <v>134</v>
      </c>
      <c r="BI26" s="3" t="s">
        <v>314</v>
      </c>
      <c r="BJ26" s="3" t="s">
        <v>615</v>
      </c>
      <c r="BK26" s="3" t="s">
        <v>1364</v>
      </c>
      <c r="BL26" s="3" t="s">
        <v>687</v>
      </c>
      <c r="BM26" s="3" t="s">
        <v>1363</v>
      </c>
      <c r="BN26" s="3" t="s">
        <v>52</v>
      </c>
      <c r="BO26" s="3">
        <v>1.57</v>
      </c>
      <c r="BP26" s="3">
        <v>10.86</v>
      </c>
      <c r="BQ26" s="3">
        <v>-1.55</v>
      </c>
      <c r="BR26" s="3">
        <v>1.33</v>
      </c>
      <c r="BS26" s="3">
        <v>14.11</v>
      </c>
      <c r="BT26" s="3" t="s">
        <v>1265</v>
      </c>
      <c r="BU26" s="3" t="s">
        <v>49</v>
      </c>
      <c r="BV26" s="3">
        <v>27.15</v>
      </c>
      <c r="BW26" s="3">
        <v>24.15</v>
      </c>
      <c r="BX26" s="3">
        <v>30.47</v>
      </c>
      <c r="BY26" s="3">
        <v>1.93</v>
      </c>
      <c r="BZ26" s="3">
        <v>1.9</v>
      </c>
      <c r="CA26" s="3">
        <v>14.36</v>
      </c>
      <c r="CB26" s="3">
        <v>9.44</v>
      </c>
      <c r="CC26" s="3">
        <v>-0.74</v>
      </c>
      <c r="CD26" s="3" t="s">
        <v>198</v>
      </c>
      <c r="CE26" s="3" t="s">
        <v>534</v>
      </c>
      <c r="CF26" s="10">
        <v>-0.36238532110091753</v>
      </c>
      <c r="CG26" s="11">
        <v>1.1693774826920895</v>
      </c>
      <c r="CH26" s="10">
        <v>-0.67749422788619995</v>
      </c>
      <c r="CI26" s="10">
        <v>-0.13627254962921143</v>
      </c>
      <c r="CJ26" s="10">
        <v>8.0086581408977509E-2</v>
      </c>
      <c r="CK26" s="10">
        <v>4.76190485060215E-2</v>
      </c>
      <c r="CL26" s="10">
        <v>0.19836956262588501</v>
      </c>
      <c r="CM26" s="11">
        <v>-0.75389021635055542</v>
      </c>
      <c r="CN26" s="11">
        <v>-0.88213562965393066</v>
      </c>
      <c r="CO26" s="11">
        <v>-3.728119283914566E-2</v>
      </c>
      <c r="CP26" s="11">
        <v>0.14886441826820374</v>
      </c>
      <c r="CQ26" s="11">
        <v>0.5721924901008606</v>
      </c>
      <c r="CR26" s="3">
        <v>56.921071384327931</v>
      </c>
      <c r="CS26" s="3">
        <v>5.8357651780377733</v>
      </c>
      <c r="CT26" s="3">
        <v>0.17251293847038526</v>
      </c>
      <c r="CU26" s="10">
        <v>-9.7538316994905477E-2</v>
      </c>
      <c r="CV26" s="11">
        <v>-0.19045002609491349</v>
      </c>
      <c r="CW26" s="3">
        <v>0.06</v>
      </c>
      <c r="CX26" s="3">
        <v>1230.6322691810653</v>
      </c>
      <c r="CY26" s="3" t="s">
        <v>1365</v>
      </c>
      <c r="CZ26" s="3">
        <v>-9.7538316994905477E-2</v>
      </c>
      <c r="DA26" s="3">
        <v>410.21075639368848</v>
      </c>
      <c r="DB26" s="3" t="s">
        <v>1366</v>
      </c>
      <c r="DC26" s="3">
        <v>-9.2661401145160194E-2</v>
      </c>
      <c r="DD26" s="3">
        <v>205.10537819684424</v>
      </c>
      <c r="DE26" s="3" t="s">
        <v>1367</v>
      </c>
      <c r="DF26" s="3">
        <v>-8.5833718955516822E-2</v>
      </c>
      <c r="DG26" s="3">
        <v>123.06322691810654</v>
      </c>
      <c r="DH26" s="3" t="s">
        <v>1368</v>
      </c>
      <c r="DI26" s="3">
        <v>-7.8030653595924385E-2</v>
      </c>
      <c r="DJ26" s="3">
        <v>61.531613459053268</v>
      </c>
      <c r="DK26" s="3" t="s">
        <v>1369</v>
      </c>
      <c r="DL26" s="3">
        <v>-6.8276821896433831E-2</v>
      </c>
      <c r="DM26" s="3">
        <v>2089300</v>
      </c>
      <c r="DN26" s="3">
        <v>-9.7538316994905477E-2</v>
      </c>
      <c r="DO26" s="3">
        <v>2571160000</v>
      </c>
      <c r="DP26" s="3">
        <v>-21712940</v>
      </c>
      <c r="DQ26" s="3">
        <v>2441</v>
      </c>
      <c r="DR26" s="3">
        <v>-0.26484700410601203</v>
      </c>
      <c r="DS26" s="3">
        <v>1.3598275087870031</v>
      </c>
      <c r="DT26" s="12">
        <v>-0.67333333333333334</v>
      </c>
      <c r="DU26" s="3">
        <v>-0.75333333333333341</v>
      </c>
      <c r="DV26" s="3">
        <v>-1.4266666666666667</v>
      </c>
      <c r="DW26" s="3">
        <v>5.0783898305084749</v>
      </c>
      <c r="DX26" s="3">
        <v>0.54463320463320408</v>
      </c>
      <c r="DY26" s="3">
        <v>5.0160411622276033</v>
      </c>
      <c r="DZ26" s="3">
        <v>1142</v>
      </c>
      <c r="EA26" s="3">
        <v>5.0124562292992429</v>
      </c>
      <c r="EB26" s="3">
        <v>5</v>
      </c>
      <c r="EC26" s="3">
        <v>0.73611111111111116</v>
      </c>
      <c r="ED26" s="3">
        <v>3.5972222222222223</v>
      </c>
      <c r="EE26" s="13">
        <v>-2.06481</v>
      </c>
      <c r="EF26" s="3">
        <v>-2.1015100000000002</v>
      </c>
      <c r="EG26" s="3">
        <v>34.204633204633204</v>
      </c>
      <c r="EH26" s="3" t="s">
        <v>619</v>
      </c>
      <c r="EI26" s="3">
        <v>1</v>
      </c>
      <c r="EJ26" s="3">
        <v>1</v>
      </c>
      <c r="EK26" s="15">
        <v>45470</v>
      </c>
      <c r="EL26" s="16">
        <v>0.19</v>
      </c>
      <c r="EM26" s="16">
        <v>-7.44</v>
      </c>
      <c r="EN26" s="16">
        <v>-1.4</v>
      </c>
      <c r="EO26" s="16">
        <v>2.41</v>
      </c>
      <c r="EP26" s="16">
        <v>-3.67</v>
      </c>
    </row>
    <row r="27" spans="1:146" ht="96" x14ac:dyDescent="0.25">
      <c r="C27" s="7" t="str">
        <f>""&amp;CHAR(10)&amp;Basic_Fundamental_Information_Constructure(F27)&amp;CHAR(10)&amp;Basic_Fundamental_Information_Concatenate("")</f>
        <v xml:space="preserve">
市值49.549004亿, 利润2690.56万; PE44.5; 平均PE76.99; 平均PEG2.72, PB4.81; ROIC14.7333%; ROE14.9767%; 股利率.8026%; 毛利41.15%; 净利17.4433%; 上一年度营收增-64.37%, 利润增-82.53%; 当季营收增-45.66%, 利润增-52.69%; 过往5年营收增28.26%, 利润增24.01%
Income profile:
</v>
      </c>
      <c r="D27" s="3" t="s">
        <v>220</v>
      </c>
      <c r="E27" s="3" t="s">
        <v>221</v>
      </c>
      <c r="F27" s="3">
        <v>74.760000000000005</v>
      </c>
      <c r="G27" s="3">
        <v>0.34</v>
      </c>
      <c r="H27" s="3" t="s">
        <v>1370</v>
      </c>
      <c r="I27" s="3">
        <v>4954900400</v>
      </c>
      <c r="J27" s="3">
        <v>44.5</v>
      </c>
      <c r="K27" s="3">
        <v>4.8099999999999996</v>
      </c>
      <c r="L27" s="3" t="s">
        <v>49</v>
      </c>
      <c r="M27" s="3" t="s">
        <v>641</v>
      </c>
      <c r="N27" s="3" t="s">
        <v>1371</v>
      </c>
      <c r="O27" s="3" t="s">
        <v>372</v>
      </c>
      <c r="P27" s="3">
        <v>16.100000000000001</v>
      </c>
      <c r="Q27" s="3" t="s">
        <v>372</v>
      </c>
      <c r="R27" s="3">
        <v>26905647</v>
      </c>
      <c r="S27" s="5">
        <v>-0.1731</v>
      </c>
      <c r="T27" s="3" t="s">
        <v>1372</v>
      </c>
      <c r="U27" s="3">
        <v>36498948</v>
      </c>
      <c r="V27" s="3">
        <v>66277427</v>
      </c>
      <c r="W27" s="3">
        <v>1.64</v>
      </c>
      <c r="X27" s="3">
        <v>0.16</v>
      </c>
      <c r="Y27" s="3">
        <v>10</v>
      </c>
      <c r="Z27" s="3" t="s">
        <v>675</v>
      </c>
      <c r="AA27" s="3" t="s">
        <v>673</v>
      </c>
      <c r="AB27" s="3" t="s">
        <v>1373</v>
      </c>
      <c r="AC27" s="3" t="s">
        <v>1374</v>
      </c>
      <c r="AD27" s="3" t="s">
        <v>52</v>
      </c>
      <c r="AE27" s="3">
        <v>1175091</v>
      </c>
      <c r="AF27" s="3" t="s">
        <v>85</v>
      </c>
      <c r="AG27" s="3" t="s">
        <v>1375</v>
      </c>
      <c r="AH27" s="3" t="s">
        <v>1376</v>
      </c>
      <c r="AI27" s="3" t="s">
        <v>176</v>
      </c>
      <c r="AJ27" s="3" t="s">
        <v>1377</v>
      </c>
      <c r="AK27" s="3" t="s">
        <v>1378</v>
      </c>
      <c r="AL27" s="3" t="s">
        <v>1379</v>
      </c>
      <c r="AM27" s="3" t="s">
        <v>52</v>
      </c>
      <c r="AN27" s="3" t="s">
        <v>1380</v>
      </c>
      <c r="AO27" s="3" t="s">
        <v>147</v>
      </c>
      <c r="AP27" s="3" t="s">
        <v>113</v>
      </c>
      <c r="AQ27" s="3" t="s">
        <v>86</v>
      </c>
      <c r="AR27" s="3">
        <v>6051.96</v>
      </c>
      <c r="AS27" s="3" t="s">
        <v>1381</v>
      </c>
      <c r="AT27" s="3" t="s">
        <v>52</v>
      </c>
      <c r="AU27" s="3" t="s">
        <v>1382</v>
      </c>
      <c r="AV27" s="3" t="s">
        <v>1383</v>
      </c>
      <c r="AW27" s="3" t="s">
        <v>1384</v>
      </c>
      <c r="AX27" s="3" t="s">
        <v>617</v>
      </c>
      <c r="AY27" s="3" t="s">
        <v>156</v>
      </c>
      <c r="AZ27" s="3" t="s">
        <v>58</v>
      </c>
      <c r="BA27" s="3" t="s">
        <v>224</v>
      </c>
      <c r="BB27" s="3" t="s">
        <v>225</v>
      </c>
      <c r="BC27" s="3" t="s">
        <v>67</v>
      </c>
      <c r="BD27" s="3" t="s">
        <v>332</v>
      </c>
      <c r="BE27" s="3" t="s">
        <v>222</v>
      </c>
      <c r="BF27" s="3" t="s">
        <v>226</v>
      </c>
      <c r="BG27" s="3" t="s">
        <v>227</v>
      </c>
      <c r="BH27" s="3" t="s">
        <v>1385</v>
      </c>
      <c r="BI27" s="3" t="s">
        <v>616</v>
      </c>
      <c r="BJ27" s="3" t="s">
        <v>617</v>
      </c>
      <c r="BK27" s="3" t="s">
        <v>694</v>
      </c>
      <c r="BL27" s="3" t="s">
        <v>691</v>
      </c>
      <c r="BM27" s="3" t="s">
        <v>67</v>
      </c>
      <c r="BN27" s="3">
        <v>8.65</v>
      </c>
      <c r="BO27" s="3">
        <v>19.16</v>
      </c>
      <c r="BP27" s="3">
        <v>16.39</v>
      </c>
      <c r="BQ27" s="3">
        <v>9.6</v>
      </c>
      <c r="BR27" s="3">
        <v>19.79</v>
      </c>
      <c r="BS27" s="3">
        <v>15.54</v>
      </c>
      <c r="BT27" s="3" t="s">
        <v>528</v>
      </c>
      <c r="BU27" s="3" t="s">
        <v>49</v>
      </c>
      <c r="BV27" s="3">
        <v>40.880000000000003</v>
      </c>
      <c r="BW27" s="3">
        <v>41.93</v>
      </c>
      <c r="BX27" s="3">
        <v>40.64</v>
      </c>
      <c r="BY27" s="3">
        <v>11.04</v>
      </c>
      <c r="BZ27" s="3">
        <v>20.38</v>
      </c>
      <c r="CA27" s="3">
        <v>20.91</v>
      </c>
      <c r="CB27" s="3">
        <v>-9.0500000000000007</v>
      </c>
      <c r="CC27" s="3">
        <v>-16.98</v>
      </c>
      <c r="CD27" s="3" t="s">
        <v>1386</v>
      </c>
      <c r="CE27" s="3" t="s">
        <v>1387</v>
      </c>
      <c r="CF27" s="10">
        <v>-0.45656565656565656</v>
      </c>
      <c r="CG27" s="11">
        <v>-0.52687794430288926</v>
      </c>
      <c r="CH27" s="10">
        <v>-0.64370858669281006</v>
      </c>
      <c r="CI27" s="10">
        <v>0.96103894710540771</v>
      </c>
      <c r="CJ27" s="10">
        <v>0.70353984832763672</v>
      </c>
      <c r="CK27" s="10">
        <v>0.18324607610702515</v>
      </c>
      <c r="CL27" s="10">
        <v>0.20886075496673584</v>
      </c>
      <c r="CM27" s="11">
        <v>-0.82528829574584961</v>
      </c>
      <c r="CN27" s="11">
        <v>0.91359728574752808</v>
      </c>
      <c r="CO27" s="11">
        <v>0.45303362607955933</v>
      </c>
      <c r="CP27" s="11">
        <v>0.46946468949317932</v>
      </c>
      <c r="CQ27" s="11">
        <v>0.18978367745876312</v>
      </c>
      <c r="CR27" s="3">
        <v>76.991831139768749</v>
      </c>
      <c r="CS27" s="3">
        <v>2.7244544309758907</v>
      </c>
      <c r="CT27" s="3">
        <v>0.80256821829855529</v>
      </c>
      <c r="CU27" s="10">
        <v>0.28259540796279908</v>
      </c>
      <c r="CV27" s="11">
        <v>0.24011819660663605</v>
      </c>
      <c r="CW27" s="3">
        <v>0.06</v>
      </c>
      <c r="CX27" s="3">
        <v>141.9691838292832</v>
      </c>
      <c r="CY27" s="3">
        <v>32555659.44196593</v>
      </c>
      <c r="CZ27" s="3">
        <v>0.28259540796279908</v>
      </c>
      <c r="DA27" s="3">
        <v>39.560069757293668</v>
      </c>
      <c r="DB27" s="3">
        <v>116832463.3489268</v>
      </c>
      <c r="DC27" s="3">
        <v>0.26846563756465913</v>
      </c>
      <c r="DD27" s="3">
        <v>15.522243065788352</v>
      </c>
      <c r="DE27" s="3">
        <v>297759826.36084694</v>
      </c>
      <c r="DF27" s="3">
        <v>0.2486839590072632</v>
      </c>
      <c r="DG27" s="3">
        <v>7.0797311121779085</v>
      </c>
      <c r="DH27" s="3">
        <v>652835584.68058598</v>
      </c>
      <c r="DI27" s="3">
        <v>0.22607632637023928</v>
      </c>
      <c r="DJ27" s="3">
        <v>1.8776435272922567</v>
      </c>
      <c r="DK27" s="3">
        <v>2461543063.3232212</v>
      </c>
      <c r="DL27" s="3">
        <v>0.19781678557395935</v>
      </c>
      <c r="DM27" s="3">
        <v>26905600</v>
      </c>
      <c r="DN27" s="3">
        <v>0.28259540796279908</v>
      </c>
      <c r="DO27" s="3">
        <v>4621900400</v>
      </c>
      <c r="DP27" s="3">
        <v>475323440</v>
      </c>
      <c r="DQ27" s="3">
        <v>2480</v>
      </c>
      <c r="DR27" s="3">
        <v>-0.73916106452845565</v>
      </c>
      <c r="DS27" s="3">
        <v>-0.76699614090952528</v>
      </c>
      <c r="DT27" s="12">
        <v>1.0000000000000011E-2</v>
      </c>
      <c r="DU27" s="3">
        <v>9.6666666666666567E-2</v>
      </c>
      <c r="DV27" s="3">
        <v>0.10666666666666658</v>
      </c>
      <c r="DW27" s="3">
        <v>-9.5329799764428742</v>
      </c>
      <c r="DX27" s="3">
        <v>0.35795877534070852</v>
      </c>
      <c r="DY27" s="3">
        <v>-9.0681994650667495</v>
      </c>
      <c r="DZ27" s="3">
        <v>95</v>
      </c>
      <c r="EA27" s="3">
        <v>-9.0669315689451562</v>
      </c>
      <c r="EB27" s="3">
        <v>9</v>
      </c>
      <c r="EC27" s="3">
        <v>5.1141092124774246E-2</v>
      </c>
      <c r="ED27" s="3">
        <v>0.39966850252047353</v>
      </c>
      <c r="EE27" s="13">
        <v>2.0822099999999999</v>
      </c>
      <c r="EF27" s="3">
        <v>2.11381</v>
      </c>
      <c r="EG27" s="3">
        <v>23.127958775340709</v>
      </c>
      <c r="EH27" s="3" t="s">
        <v>536</v>
      </c>
      <c r="EI27" s="3">
        <v>0</v>
      </c>
      <c r="EJ27" s="3">
        <v>1</v>
      </c>
      <c r="EK27" s="15">
        <v>45470</v>
      </c>
      <c r="EL27" s="16">
        <v>-1.36</v>
      </c>
      <c r="EM27" s="16">
        <v>-5.47</v>
      </c>
      <c r="EN27" s="16">
        <v>-3.69</v>
      </c>
      <c r="EO27" s="16">
        <v>1.74</v>
      </c>
      <c r="EP27" s="16">
        <v>-3.16</v>
      </c>
    </row>
    <row r="28" spans="1:146" ht="96" x14ac:dyDescent="0.25">
      <c r="C28" s="7" t="str">
        <f>""&amp;CHAR(10)&amp;Basic_Fundamental_Information_Constructure(F28)&amp;CHAR(10)&amp;Basic_Fundamental_Information_Concatenate("")</f>
        <v xml:space="preserve">
市值31.809138亿, 利润1815.93万; PE52.36; 平均PE46.9; 平均PEG21.17, PB3.17; ROIC9.4067%; ROE13.9033%; 股利率.1761%; 毛利18.8133%; 净利5.4767%; 上一年度营收增-72.17%, 利润增-88.21%; 当季营收增-35.81%, 利润增-33.65%; 过往5年营收增2.22%, 利润增15.04%
Income profile:
</v>
      </c>
      <c r="D28" s="3" t="s">
        <v>333</v>
      </c>
      <c r="E28" s="3" t="s">
        <v>334</v>
      </c>
      <c r="F28" s="3">
        <v>39.76</v>
      </c>
      <c r="G28" s="3">
        <v>-1.22</v>
      </c>
      <c r="H28" s="3" t="s">
        <v>1388</v>
      </c>
      <c r="I28" s="3">
        <v>3180913800</v>
      </c>
      <c r="J28" s="3">
        <v>52.36</v>
      </c>
      <c r="K28" s="3">
        <v>3.17</v>
      </c>
      <c r="L28" s="3" t="s">
        <v>49</v>
      </c>
      <c r="M28" s="3" t="s">
        <v>1389</v>
      </c>
      <c r="N28" s="3" t="s">
        <v>1390</v>
      </c>
      <c r="O28" s="3" t="s">
        <v>1391</v>
      </c>
      <c r="P28" s="3">
        <v>36.909999999999997</v>
      </c>
      <c r="Q28" s="3" t="s">
        <v>1391</v>
      </c>
      <c r="R28" s="3">
        <v>18159322</v>
      </c>
      <c r="S28" s="5">
        <v>0.70230000000000004</v>
      </c>
      <c r="T28" s="3" t="s">
        <v>1392</v>
      </c>
      <c r="U28" s="3">
        <v>29002863</v>
      </c>
      <c r="V28" s="3">
        <v>80002863</v>
      </c>
      <c r="W28" s="3">
        <v>2.14</v>
      </c>
      <c r="X28" s="3">
        <v>0.23</v>
      </c>
      <c r="Y28" s="3">
        <v>3.85</v>
      </c>
      <c r="Z28" s="3" t="s">
        <v>1393</v>
      </c>
      <c r="AA28" s="3" t="s">
        <v>1174</v>
      </c>
      <c r="AB28" s="3" t="s">
        <v>1394</v>
      </c>
      <c r="AC28" s="3" t="s">
        <v>1395</v>
      </c>
      <c r="AD28" s="3" t="s">
        <v>52</v>
      </c>
      <c r="AE28" s="3">
        <v>-4737394</v>
      </c>
      <c r="AF28" s="3" t="s">
        <v>1396</v>
      </c>
      <c r="AG28" s="3" t="s">
        <v>1397</v>
      </c>
      <c r="AH28" s="3" t="s">
        <v>1398</v>
      </c>
      <c r="AI28" s="3" t="s">
        <v>1399</v>
      </c>
      <c r="AJ28" s="3" t="s">
        <v>1400</v>
      </c>
      <c r="AK28" s="3" t="s">
        <v>1401</v>
      </c>
      <c r="AL28" s="3" t="s">
        <v>1402</v>
      </c>
      <c r="AM28" s="3" t="s">
        <v>52</v>
      </c>
      <c r="AN28" s="3" t="s">
        <v>1403</v>
      </c>
      <c r="AO28" s="3" t="s">
        <v>1404</v>
      </c>
      <c r="AP28" s="3" t="s">
        <v>1405</v>
      </c>
      <c r="AQ28" s="3" t="s">
        <v>541</v>
      </c>
      <c r="AR28" s="3" t="s">
        <v>52</v>
      </c>
      <c r="AS28" s="3" t="s">
        <v>1406</v>
      </c>
      <c r="AT28" s="3" t="s">
        <v>52</v>
      </c>
      <c r="AU28" s="3" t="s">
        <v>1407</v>
      </c>
      <c r="AV28" s="3" t="s">
        <v>1408</v>
      </c>
      <c r="AW28" s="3" t="s">
        <v>223</v>
      </c>
      <c r="AX28" s="3" t="s">
        <v>621</v>
      </c>
      <c r="AY28" s="3" t="s">
        <v>335</v>
      </c>
      <c r="AZ28" s="3" t="s">
        <v>337</v>
      </c>
      <c r="BA28" s="3" t="s">
        <v>338</v>
      </c>
      <c r="BB28" s="3" t="s">
        <v>339</v>
      </c>
      <c r="BC28" s="3" t="s">
        <v>67</v>
      </c>
      <c r="BD28" s="3" t="s">
        <v>336</v>
      </c>
      <c r="BE28" s="3" t="s">
        <v>340</v>
      </c>
      <c r="BF28" s="3" t="s">
        <v>341</v>
      </c>
      <c r="BG28" s="3" t="s">
        <v>342</v>
      </c>
      <c r="BH28" s="3" t="s">
        <v>1409</v>
      </c>
      <c r="BI28" s="3" t="s">
        <v>620</v>
      </c>
      <c r="BJ28" s="3" t="s">
        <v>621</v>
      </c>
      <c r="BK28" s="3" t="s">
        <v>1410</v>
      </c>
      <c r="BL28" s="3" t="s">
        <v>1411</v>
      </c>
      <c r="BM28" s="3" t="s">
        <v>67</v>
      </c>
      <c r="BN28" s="3">
        <v>2.61</v>
      </c>
      <c r="BO28" s="3">
        <v>12.81</v>
      </c>
      <c r="BP28" s="3">
        <v>12.8</v>
      </c>
      <c r="BQ28" s="3">
        <v>3.81</v>
      </c>
      <c r="BR28" s="3">
        <v>16.920000000000002</v>
      </c>
      <c r="BS28" s="3">
        <v>20.98</v>
      </c>
      <c r="BT28" s="3" t="s">
        <v>1412</v>
      </c>
      <c r="BU28" s="3" t="s">
        <v>49</v>
      </c>
      <c r="BV28" s="3">
        <v>17.87</v>
      </c>
      <c r="BW28" s="3">
        <v>20.43</v>
      </c>
      <c r="BX28" s="3">
        <v>18.14</v>
      </c>
      <c r="BY28" s="3">
        <v>2.4500000000000002</v>
      </c>
      <c r="BZ28" s="3">
        <v>7.43</v>
      </c>
      <c r="CA28" s="3">
        <v>6.55</v>
      </c>
      <c r="CB28" s="3">
        <v>-10.95</v>
      </c>
      <c r="CC28" s="3">
        <v>-0.5</v>
      </c>
      <c r="CD28" s="3" t="s">
        <v>1413</v>
      </c>
      <c r="CE28" s="3" t="s">
        <v>700</v>
      </c>
      <c r="CF28" s="10">
        <v>-0.35811518324607339</v>
      </c>
      <c r="CG28" s="11">
        <v>-0.33654882905264694</v>
      </c>
      <c r="CH28" s="10">
        <v>-0.72174310684204102</v>
      </c>
      <c r="CI28" s="10">
        <v>0.55359667539596558</v>
      </c>
      <c r="CJ28" s="10">
        <v>0.29143896698951721</v>
      </c>
      <c r="CK28" s="10">
        <v>-1.7009790986776352E-2</v>
      </c>
      <c r="CL28" s="10">
        <v>4.4963452965021133E-3</v>
      </c>
      <c r="CM28" s="11">
        <v>-0.88208252191543579</v>
      </c>
      <c r="CN28" s="11">
        <v>0.66654765605926514</v>
      </c>
      <c r="CO28" s="11">
        <v>0.55160742998123169</v>
      </c>
      <c r="CP28" s="11">
        <v>0.54512763023376465</v>
      </c>
      <c r="CQ28" s="11">
        <v>-0.12899836897850037</v>
      </c>
      <c r="CR28" s="3">
        <v>46.902550834591167</v>
      </c>
      <c r="CS28" s="3">
        <v>21.169406111188621</v>
      </c>
      <c r="CT28" s="3">
        <v>0.176056338028169</v>
      </c>
      <c r="CU28" s="10">
        <v>2.2155817970633505E-2</v>
      </c>
      <c r="CV28" s="11">
        <v>0.15044036507606506</v>
      </c>
      <c r="CW28" s="3">
        <v>0.06</v>
      </c>
      <c r="CX28" s="3">
        <v>189.64756014740496</v>
      </c>
      <c r="CY28" s="3">
        <v>17510975.608749174</v>
      </c>
      <c r="CZ28" s="3">
        <v>2.2155817970633505E-2</v>
      </c>
      <c r="DA28" s="3">
        <v>65.667992605536057</v>
      </c>
      <c r="DB28" s="3">
        <v>50571270.23736728</v>
      </c>
      <c r="DC28" s="3">
        <v>2.1048027072101828E-2</v>
      </c>
      <c r="DD28" s="3">
        <v>34.855065237550605</v>
      </c>
      <c r="DE28" s="3">
        <v>95277796.135703713</v>
      </c>
      <c r="DF28" s="3">
        <v>1.9497119814157485E-2</v>
      </c>
      <c r="DG28" s="3">
        <v>22.720128789767688</v>
      </c>
      <c r="DH28" s="3">
        <v>146166152.08165622</v>
      </c>
      <c r="DI28" s="3">
        <v>1.7724654376506804E-2</v>
      </c>
      <c r="DJ28" s="3">
        <v>13.914441726573077</v>
      </c>
      <c r="DK28" s="3">
        <v>238666693.58770546</v>
      </c>
      <c r="DL28" s="3">
        <v>1.5509072579443452E-2</v>
      </c>
      <c r="DM28" s="3">
        <v>18159300</v>
      </c>
      <c r="DN28" s="3">
        <v>2.2155817970633505E-2</v>
      </c>
      <c r="DO28" s="3">
        <v>3320913800</v>
      </c>
      <c r="DP28" s="3">
        <v>977712700</v>
      </c>
      <c r="DQ28" s="3">
        <v>2541</v>
      </c>
      <c r="DR28" s="3">
        <v>-0.38027100121670687</v>
      </c>
      <c r="DS28" s="3">
        <v>-0.486989194128712</v>
      </c>
      <c r="DT28" s="12">
        <v>-0.49</v>
      </c>
      <c r="DU28" s="3">
        <v>-3.3333333333333726E-3</v>
      </c>
      <c r="DV28" s="3">
        <v>-0.49333333333333335</v>
      </c>
      <c r="DW28" s="3">
        <v>-5.0456621004566209</v>
      </c>
      <c r="DX28" s="3">
        <v>0.28965769230769123</v>
      </c>
      <c r="DY28" s="3">
        <v>-5.0036373375482963</v>
      </c>
      <c r="DZ28" s="3">
        <v>3447</v>
      </c>
      <c r="EA28" s="3">
        <v>-5.00118373627061</v>
      </c>
      <c r="EB28" s="3">
        <v>5</v>
      </c>
      <c r="EC28" s="3">
        <v>0.15532694123709048</v>
      </c>
      <c r="ED28" s="3">
        <v>1.9499302168723638</v>
      </c>
      <c r="EE28" s="13">
        <v>0.10880000000000001</v>
      </c>
      <c r="EF28" s="3">
        <v>0.10879999999999999</v>
      </c>
      <c r="EG28" s="3">
        <v>21.079657692307691</v>
      </c>
      <c r="EH28" s="3" t="s">
        <v>364</v>
      </c>
      <c r="EI28" s="3">
        <v>0</v>
      </c>
      <c r="EJ28" s="3">
        <v>0</v>
      </c>
      <c r="EK28" s="15">
        <v>45470</v>
      </c>
      <c r="EL28" s="16">
        <v>1.06</v>
      </c>
      <c r="EM28" s="16">
        <v>-4.1900000000000004</v>
      </c>
      <c r="EN28" s="16">
        <v>0</v>
      </c>
      <c r="EO28" s="16">
        <v>5.19</v>
      </c>
      <c r="EP28" s="16">
        <v>0</v>
      </c>
    </row>
    <row r="29" spans="1:146" ht="96" x14ac:dyDescent="0.25">
      <c r="A29" s="3"/>
      <c r="B29" s="3"/>
      <c r="C29" s="7" t="str">
        <f>""&amp;CHAR(10)&amp;Basic_Fundamental_Information_Constructure(F29)&amp;CHAR(10)&amp;Basic_Fundamental_Information_Concatenate("")</f>
        <v xml:space="preserve">
市值39.089151亿, 利润1817.83万; PE38.71; 平均PE64.93; 平均PEG46.43, PB2.06; ROIC13.7433%; ROE16.26%; 股利率.8434%; 毛利43.9833%; 净利24.97%; 上一年度营收增-79.17%, 利润增-83.77%; 当季营收增-58.85%, 利润增-75.64%; 过往5年营收增1.4%, 利润增19.21%
Income profile:
</v>
      </c>
      <c r="D29" s="3" t="s">
        <v>436</v>
      </c>
      <c r="E29" s="3" t="s">
        <v>445</v>
      </c>
      <c r="F29" s="3">
        <v>35.57</v>
      </c>
      <c r="G29" s="3">
        <v>-2.76</v>
      </c>
      <c r="H29" s="3" t="s">
        <v>1414</v>
      </c>
      <c r="I29" s="3">
        <v>3908915100</v>
      </c>
      <c r="J29" s="3">
        <v>38.71</v>
      </c>
      <c r="K29" s="3">
        <v>2.06</v>
      </c>
      <c r="L29" s="3" t="s">
        <v>49</v>
      </c>
      <c r="M29" s="3" t="s">
        <v>525</v>
      </c>
      <c r="N29" s="3" t="s">
        <v>1415</v>
      </c>
      <c r="O29" s="3" t="s">
        <v>438</v>
      </c>
      <c r="P29" s="5">
        <v>-12.24</v>
      </c>
      <c r="Q29" s="3" t="s">
        <v>438</v>
      </c>
      <c r="R29" s="3">
        <v>18178285</v>
      </c>
      <c r="S29" s="3">
        <v>-0.61760000000000004</v>
      </c>
      <c r="T29" s="3" t="s">
        <v>1416</v>
      </c>
      <c r="U29" s="3">
        <v>34133841</v>
      </c>
      <c r="V29" s="3">
        <v>109893594</v>
      </c>
      <c r="W29" s="3">
        <v>1.06</v>
      </c>
      <c r="X29" s="3">
        <v>0.05</v>
      </c>
      <c r="Y29" s="3">
        <v>18.600000000000001</v>
      </c>
      <c r="Z29" s="3" t="s">
        <v>1417</v>
      </c>
      <c r="AA29" s="3" t="s">
        <v>1418</v>
      </c>
      <c r="AB29" s="3" t="s">
        <v>1419</v>
      </c>
      <c r="AC29" s="3" t="s">
        <v>1420</v>
      </c>
      <c r="AD29" s="3" t="s">
        <v>52</v>
      </c>
      <c r="AE29" s="3">
        <v>-6238519</v>
      </c>
      <c r="AF29" s="3" t="s">
        <v>1421</v>
      </c>
      <c r="AG29" s="3">
        <v>0.34</v>
      </c>
      <c r="AH29" s="3" t="s">
        <v>1422</v>
      </c>
      <c r="AI29" s="3" t="s">
        <v>1423</v>
      </c>
      <c r="AJ29" s="3" t="s">
        <v>1424</v>
      </c>
      <c r="AK29" s="3" t="s">
        <v>1425</v>
      </c>
      <c r="AL29" s="3" t="s">
        <v>1426</v>
      </c>
      <c r="AM29" s="3" t="s">
        <v>52</v>
      </c>
      <c r="AN29" s="3" t="s">
        <v>532</v>
      </c>
      <c r="AO29" s="3" t="s">
        <v>1427</v>
      </c>
      <c r="AP29" s="3" t="s">
        <v>52</v>
      </c>
      <c r="AQ29" s="3" t="s">
        <v>1428</v>
      </c>
      <c r="AR29" s="3" t="s">
        <v>52</v>
      </c>
      <c r="AS29" s="3" t="s">
        <v>438</v>
      </c>
      <c r="AT29" s="3" t="s">
        <v>52</v>
      </c>
      <c r="AU29" s="3" t="s">
        <v>1429</v>
      </c>
      <c r="AV29" s="3" t="s">
        <v>1430</v>
      </c>
      <c r="AW29" s="3" t="s">
        <v>1431</v>
      </c>
      <c r="AX29" s="3" t="s">
        <v>572</v>
      </c>
      <c r="AY29" s="3" t="s">
        <v>437</v>
      </c>
      <c r="AZ29" s="3" t="s">
        <v>172</v>
      </c>
      <c r="BA29" s="3" t="s">
        <v>424</v>
      </c>
      <c r="BB29" s="3" t="s">
        <v>324</v>
      </c>
      <c r="BC29" s="3" t="s">
        <v>606</v>
      </c>
      <c r="BD29" s="3" t="s">
        <v>438</v>
      </c>
      <c r="BE29" s="3" t="s">
        <v>441</v>
      </c>
      <c r="BF29" s="3" t="s">
        <v>442</v>
      </c>
      <c r="BG29" s="3" t="s">
        <v>443</v>
      </c>
      <c r="BH29" s="3" t="s">
        <v>289</v>
      </c>
      <c r="BI29" s="3" t="s">
        <v>591</v>
      </c>
      <c r="BJ29" s="3" t="s">
        <v>572</v>
      </c>
      <c r="BK29" s="3" t="s">
        <v>1432</v>
      </c>
      <c r="BL29" s="3" t="s">
        <v>695</v>
      </c>
      <c r="BM29" s="3" t="s">
        <v>606</v>
      </c>
      <c r="BN29" s="3">
        <v>4.24</v>
      </c>
      <c r="BO29" s="3">
        <v>9.07</v>
      </c>
      <c r="BP29" s="3">
        <v>27.92</v>
      </c>
      <c r="BQ29" s="3">
        <v>5.42</v>
      </c>
      <c r="BR29" s="3">
        <v>14.33</v>
      </c>
      <c r="BS29" s="3">
        <v>29.03</v>
      </c>
      <c r="BT29" s="3" t="s">
        <v>518</v>
      </c>
      <c r="BU29" s="3" t="s">
        <v>49</v>
      </c>
      <c r="BV29" s="3">
        <v>42.5</v>
      </c>
      <c r="BW29" s="3">
        <v>43.74</v>
      </c>
      <c r="BX29" s="3">
        <v>45.71</v>
      </c>
      <c r="BY29" s="3">
        <v>27.03</v>
      </c>
      <c r="BZ29" s="3">
        <v>23.34</v>
      </c>
      <c r="CA29" s="3">
        <v>24.54</v>
      </c>
      <c r="CB29" s="3">
        <v>-3.63</v>
      </c>
      <c r="CC29" s="1">
        <v>-11.05</v>
      </c>
      <c r="CD29" s="1" t="s">
        <v>1433</v>
      </c>
      <c r="CE29" s="1" t="s">
        <v>1434</v>
      </c>
      <c r="CF29" s="10">
        <v>-0.58847736625514413</v>
      </c>
      <c r="CG29" s="11">
        <v>-0.75638791580786868</v>
      </c>
      <c r="CH29" s="10">
        <v>-0.79166668653488159</v>
      </c>
      <c r="CI29" s="10">
        <v>0.17359413206577301</v>
      </c>
      <c r="CJ29" s="10">
        <v>0.49816849827766418</v>
      </c>
      <c r="CK29" s="10">
        <v>0.1767241358757019</v>
      </c>
      <c r="CL29" s="10">
        <v>1.3100436888635159E-2</v>
      </c>
      <c r="CM29" s="11">
        <v>-0.83769369125366211</v>
      </c>
      <c r="CN29" s="11">
        <v>0.11999999731779099</v>
      </c>
      <c r="CO29" s="11">
        <v>0.63781923055648804</v>
      </c>
      <c r="CP29" s="11">
        <v>0.40587663650512695</v>
      </c>
      <c r="CQ29" s="11">
        <v>0.63472354412078857</v>
      </c>
      <c r="CR29" s="1">
        <v>64.92642840414382</v>
      </c>
      <c r="CS29" s="1">
        <v>46.428739078649059</v>
      </c>
      <c r="CT29" s="1">
        <v>0.84340736575766095</v>
      </c>
      <c r="CU29" s="10">
        <v>1.3984103314578533E-2</v>
      </c>
      <c r="CV29" s="11">
        <v>0.1921451434493065</v>
      </c>
      <c r="CW29" s="3">
        <v>0.06</v>
      </c>
      <c r="CX29" s="3">
        <v>122.42772935982421</v>
      </c>
      <c r="CY29" s="3">
        <v>17389157.759701319</v>
      </c>
      <c r="CZ29" s="3">
        <v>1.3984103314578533E-2</v>
      </c>
      <c r="DA29" s="3">
        <v>42.691201784464546</v>
      </c>
      <c r="DB29" s="3">
        <v>49867771.601939738</v>
      </c>
      <c r="DC29" s="3">
        <v>1.3284898148849606E-2</v>
      </c>
      <c r="DD29" s="3">
        <v>22.860803988738603</v>
      </c>
      <c r="DE29" s="3">
        <v>93125119.354888797</v>
      </c>
      <c r="DF29" s="3">
        <v>1.2306010916829108E-2</v>
      </c>
      <c r="DG29" s="3">
        <v>15.039706953104183</v>
      </c>
      <c r="DH29" s="3">
        <v>141552964.20590124</v>
      </c>
      <c r="DI29" s="3">
        <v>1.1187282651662828E-2</v>
      </c>
      <c r="DJ29" s="3">
        <v>9.375500432334869</v>
      </c>
      <c r="DK29" s="3">
        <v>227072156.34673238</v>
      </c>
      <c r="DL29" s="3">
        <v>9.7888723202049725E-3</v>
      </c>
      <c r="DM29" s="3">
        <v>18178300</v>
      </c>
      <c r="DN29" s="3">
        <v>1.3984103314578533E-2</v>
      </c>
      <c r="DO29" s="3">
        <v>2128915100.0000002</v>
      </c>
      <c r="DP29" s="3">
        <v>1362699800</v>
      </c>
      <c r="DQ29" s="12">
        <v>2731</v>
      </c>
      <c r="DR29" s="3">
        <v>-0.60246146956972269</v>
      </c>
      <c r="DS29" s="3">
        <v>-0.94853305925717524</v>
      </c>
      <c r="DT29" s="3">
        <v>-0.37333333333333335</v>
      </c>
      <c r="DU29" s="3">
        <v>-0.19000000000000003</v>
      </c>
      <c r="DV29" s="3">
        <v>-0.56333333333333335</v>
      </c>
      <c r="DW29" s="3">
        <v>-8.3285067873303174</v>
      </c>
      <c r="DX29" s="3">
        <v>0.36235179124475581</v>
      </c>
      <c r="DY29" s="3">
        <v>-8.0303381902460149</v>
      </c>
      <c r="DZ29" s="3">
        <v>129</v>
      </c>
      <c r="EA29" s="3">
        <v>-8.0295723142104496</v>
      </c>
      <c r="EB29" s="13">
        <v>8</v>
      </c>
      <c r="EC29" s="3">
        <v>6.1215579135577278E-2</v>
      </c>
      <c r="ED29" s="3">
        <v>0.6628521040089016</v>
      </c>
      <c r="EE29" s="3">
        <v>-2.0404</v>
      </c>
      <c r="EF29" s="3">
        <v>-2.024</v>
      </c>
      <c r="EG29" s="3">
        <v>27.092351791244756</v>
      </c>
      <c r="EH29" s="15" t="s">
        <v>588</v>
      </c>
      <c r="EI29" s="16">
        <v>0</v>
      </c>
      <c r="EJ29" s="16">
        <v>1</v>
      </c>
      <c r="EK29" s="16">
        <v>45470</v>
      </c>
      <c r="EL29" s="16">
        <v>-1.37</v>
      </c>
      <c r="EM29" s="16">
        <v>-2.27</v>
      </c>
      <c r="EN29" s="16">
        <v>-0.12</v>
      </c>
      <c r="EO29" s="16">
        <v>2.75</v>
      </c>
      <c r="EP29" s="16">
        <v>-1.64</v>
      </c>
    </row>
    <row r="30" spans="1:146" ht="96" x14ac:dyDescent="0.25">
      <c r="C30" s="7" t="str">
        <f>""&amp;CHAR(10)&amp;Basic_Fundamental_Information_Constructure(F30)&amp;CHAR(10)&amp;Basic_Fundamental_Information_Concatenate("")</f>
        <v xml:space="preserve">
市值27.86784亿, 利润-2164.85万; PE229.4; 平均PE52.12; 平均PEG2.22, PB1.51; ROIC3.0667%; ROE4.5667%; 股利率.1881%; 毛利32.2267%; 净利2.15%; 上一年度营收增-87.25%, 利润增-131.13%; 当季营收增-71.89%, 利润增-782.27%; 过往5年营收增-23.44%, 利润增-14.45%
Income profile:
</v>
      </c>
      <c r="D30" s="3" t="s">
        <v>228</v>
      </c>
      <c r="E30" s="3" t="s">
        <v>229</v>
      </c>
      <c r="F30" s="3">
        <v>6.38</v>
      </c>
      <c r="G30" s="3">
        <v>2.74</v>
      </c>
      <c r="H30" s="3" t="s">
        <v>1435</v>
      </c>
      <c r="I30" s="3">
        <v>2786784000</v>
      </c>
      <c r="J30" s="3">
        <v>229.4</v>
      </c>
      <c r="K30" s="3">
        <v>1.51</v>
      </c>
      <c r="L30" s="3" t="s">
        <v>49</v>
      </c>
      <c r="M30" s="3" t="s">
        <v>1436</v>
      </c>
      <c r="N30" s="3" t="s">
        <v>1437</v>
      </c>
      <c r="O30" s="3" t="s">
        <v>704</v>
      </c>
      <c r="P30" s="3">
        <v>-40.619999999999997</v>
      </c>
      <c r="Q30" s="3" t="s">
        <v>704</v>
      </c>
      <c r="R30" s="3">
        <v>-21648533</v>
      </c>
      <c r="S30" s="5">
        <v>-2.3439999999999999</v>
      </c>
      <c r="T30" s="3" t="s">
        <v>1438</v>
      </c>
      <c r="U30" s="3">
        <v>436800000</v>
      </c>
      <c r="V30" s="3">
        <v>436800000</v>
      </c>
      <c r="W30" s="3">
        <v>1.44</v>
      </c>
      <c r="X30" s="3">
        <v>0.09</v>
      </c>
      <c r="Y30" s="3">
        <v>-10.84</v>
      </c>
      <c r="Z30" s="3" t="s">
        <v>708</v>
      </c>
      <c r="AA30" s="3" t="s">
        <v>61</v>
      </c>
      <c r="AB30" s="3" t="s">
        <v>1439</v>
      </c>
      <c r="AC30" s="3" t="s">
        <v>1440</v>
      </c>
      <c r="AD30" s="3" t="s">
        <v>52</v>
      </c>
      <c r="AE30" s="3">
        <v>461418</v>
      </c>
      <c r="AF30" s="3" t="s">
        <v>1441</v>
      </c>
      <c r="AG30" s="3" t="s">
        <v>1442</v>
      </c>
      <c r="AH30" s="3" t="s">
        <v>1443</v>
      </c>
      <c r="AI30" s="3" t="s">
        <v>1049</v>
      </c>
      <c r="AJ30" s="3" t="s">
        <v>1444</v>
      </c>
      <c r="AK30" s="3" t="s">
        <v>1445</v>
      </c>
      <c r="AL30" s="3" t="s">
        <v>1446</v>
      </c>
      <c r="AM30" s="3" t="s">
        <v>52</v>
      </c>
      <c r="AN30" s="3">
        <v>0</v>
      </c>
      <c r="AO30" s="3" t="s">
        <v>1447</v>
      </c>
      <c r="AP30" s="3" t="s">
        <v>1448</v>
      </c>
      <c r="AQ30" s="3" t="s">
        <v>524</v>
      </c>
      <c r="AR30" s="3" t="s">
        <v>1449</v>
      </c>
      <c r="AS30" s="3" t="s">
        <v>1450</v>
      </c>
      <c r="AT30" s="3" t="s">
        <v>440</v>
      </c>
      <c r="AU30" s="3" t="s">
        <v>1451</v>
      </c>
      <c r="AV30" s="3" t="s">
        <v>1452</v>
      </c>
      <c r="AW30" s="3" t="s">
        <v>1453</v>
      </c>
      <c r="AX30" s="3" t="s">
        <v>624</v>
      </c>
      <c r="AY30" s="3" t="s">
        <v>343</v>
      </c>
      <c r="AZ30" s="3" t="s">
        <v>230</v>
      </c>
      <c r="BA30" s="3" t="s">
        <v>233</v>
      </c>
      <c r="BB30" s="3" t="s">
        <v>234</v>
      </c>
      <c r="BC30" s="3" t="s">
        <v>625</v>
      </c>
      <c r="BD30" s="3" t="s">
        <v>344</v>
      </c>
      <c r="BE30" s="3" t="s">
        <v>231</v>
      </c>
      <c r="BF30" s="3" t="s">
        <v>235</v>
      </c>
      <c r="BG30" s="3" t="s">
        <v>236</v>
      </c>
      <c r="BH30" s="3" t="s">
        <v>1454</v>
      </c>
      <c r="BI30" s="3" t="s">
        <v>623</v>
      </c>
      <c r="BJ30" s="3" t="s">
        <v>624</v>
      </c>
      <c r="BK30" s="3" t="s">
        <v>1455</v>
      </c>
      <c r="BL30" s="3" t="s">
        <v>696</v>
      </c>
      <c r="BM30" s="3" t="s">
        <v>625</v>
      </c>
      <c r="BN30" s="3">
        <v>2.71</v>
      </c>
      <c r="BO30" s="3">
        <v>3.04</v>
      </c>
      <c r="BP30" s="3">
        <v>3.45</v>
      </c>
      <c r="BQ30" s="3">
        <v>4.57</v>
      </c>
      <c r="BR30" s="3">
        <v>3.84</v>
      </c>
      <c r="BS30" s="3">
        <v>5.29</v>
      </c>
      <c r="BT30" s="3" t="s">
        <v>1456</v>
      </c>
      <c r="BU30" s="3" t="s">
        <v>49</v>
      </c>
      <c r="BV30" s="3">
        <v>30.74</v>
      </c>
      <c r="BW30" s="3">
        <v>33.72</v>
      </c>
      <c r="BX30" s="3">
        <v>32.22</v>
      </c>
      <c r="BY30" s="3">
        <v>0.79</v>
      </c>
      <c r="BZ30" s="3">
        <v>2.81</v>
      </c>
      <c r="CA30" s="3">
        <v>2.85</v>
      </c>
      <c r="CB30" s="3">
        <v>-2</v>
      </c>
      <c r="CC30" s="3">
        <v>-14.71</v>
      </c>
      <c r="CD30" s="3" t="s">
        <v>1457</v>
      </c>
      <c r="CE30" s="3" t="s">
        <v>1458</v>
      </c>
      <c r="CF30" s="10">
        <v>-0.71889838556505214</v>
      </c>
      <c r="CG30" s="11">
        <v>-7.822733375354554</v>
      </c>
      <c r="CH30" s="10">
        <v>-0.87252366542816162</v>
      </c>
      <c r="CI30" s="10">
        <v>-8.4745787084102631E-2</v>
      </c>
      <c r="CJ30" s="10">
        <v>9.5896273851394653E-2</v>
      </c>
      <c r="CK30" s="10">
        <v>-0.29975795745849609</v>
      </c>
      <c r="CL30" s="10">
        <v>-1.0772068984806538E-2</v>
      </c>
      <c r="CM30" s="11">
        <v>-1.3113157749176025</v>
      </c>
      <c r="CN30" s="11">
        <v>-0.24362242221832275</v>
      </c>
      <c r="CO30" s="11">
        <v>0.60648936033248901</v>
      </c>
      <c r="CP30" s="11">
        <v>-0.21699166297912598</v>
      </c>
      <c r="CQ30" s="11">
        <v>0.44314411282539368</v>
      </c>
      <c r="CR30" s="3">
        <v>52.123975021447237</v>
      </c>
      <c r="CS30" s="3">
        <v>2.2239027418998254</v>
      </c>
      <c r="CT30" s="3">
        <v>0.18808777429467086</v>
      </c>
      <c r="CU30" s="10">
        <v>-0.23438064102083445</v>
      </c>
      <c r="CV30" s="11">
        <v>-0.14445927739143372</v>
      </c>
      <c r="CW30" s="3">
        <v>0.06</v>
      </c>
      <c r="CX30" s="3" t="e">
        <v>#VALUE!</v>
      </c>
      <c r="CY30" s="3" t="s">
        <v>365</v>
      </c>
      <c r="CZ30" s="3">
        <v>-0.23438064102083445</v>
      </c>
      <c r="DA30" s="3" t="e">
        <v>#VALUE!</v>
      </c>
      <c r="DB30" s="3" t="s">
        <v>366</v>
      </c>
      <c r="DC30" s="3">
        <v>-0.2226616089697927</v>
      </c>
      <c r="DD30" s="3" t="e">
        <v>#VALUE!</v>
      </c>
      <c r="DE30" s="3" t="s">
        <v>366</v>
      </c>
      <c r="DF30" s="3">
        <v>-0.20625496409833433</v>
      </c>
      <c r="DG30" s="3" t="e">
        <v>#VALUE!</v>
      </c>
      <c r="DH30" s="3" t="s">
        <v>366</v>
      </c>
      <c r="DI30" s="3">
        <v>-0.18750451281666758</v>
      </c>
      <c r="DJ30" s="3" t="e">
        <v>#VALUE!</v>
      </c>
      <c r="DK30" s="3" t="s">
        <v>366</v>
      </c>
      <c r="DL30" s="3">
        <v>-0.16406644871458409</v>
      </c>
      <c r="DM30" s="3">
        <v>-21648500</v>
      </c>
      <c r="DN30" s="3">
        <v>-0.23438064102083445</v>
      </c>
      <c r="DO30" s="3">
        <v>1656784000</v>
      </c>
      <c r="DP30" s="3">
        <v>1245361000</v>
      </c>
      <c r="DQ30" s="3">
        <v>3070</v>
      </c>
      <c r="DR30" s="3">
        <v>-0.4845177445442177</v>
      </c>
      <c r="DS30" s="3">
        <v>-7.6782740979631203</v>
      </c>
      <c r="DT30" s="12">
        <v>-0.89</v>
      </c>
      <c r="DU30" s="3">
        <v>-1.5483333333333336</v>
      </c>
      <c r="DV30" s="3">
        <v>-2.4383333333333335</v>
      </c>
      <c r="DW30" s="3">
        <v>-2.1471</v>
      </c>
      <c r="DX30" s="3">
        <v>0.41302962962962853</v>
      </c>
      <c r="DY30" s="3">
        <v>-2.0225106585185184</v>
      </c>
      <c r="DZ30" s="3">
        <v>3310</v>
      </c>
      <c r="EA30" s="3">
        <v>-2.0079293904761903</v>
      </c>
      <c r="EB30" s="3">
        <v>2</v>
      </c>
      <c r="EC30" s="3">
        <v>5.6755494505494504E-2</v>
      </c>
      <c r="ED30" s="3">
        <v>0.37087912087912089</v>
      </c>
      <c r="EE30" s="13">
        <v>7.6300000000000007E-2</v>
      </c>
      <c r="EF30" s="3">
        <v>5.4100000000000009E-2</v>
      </c>
      <c r="EG30" s="3">
        <v>26.153029629629629</v>
      </c>
      <c r="EH30" s="3" t="s">
        <v>364</v>
      </c>
      <c r="EI30" s="3">
        <v>0</v>
      </c>
      <c r="EJ30" s="3">
        <v>0</v>
      </c>
      <c r="EK30" s="15">
        <v>45470</v>
      </c>
      <c r="EL30" s="16">
        <v>0.28000000000000003</v>
      </c>
      <c r="EM30" s="16">
        <v>-4.95</v>
      </c>
      <c r="EN30" s="16">
        <v>1.73</v>
      </c>
      <c r="EO30" s="16">
        <v>2.56</v>
      </c>
      <c r="EP30" s="16">
        <v>-2.2200000000000002</v>
      </c>
    </row>
    <row r="31" spans="1:146" ht="96" x14ac:dyDescent="0.25">
      <c r="C31" s="7" t="str">
        <f>""&amp;CHAR(10)&amp;Basic_Fundamental_Information_Constructure(F31)&amp;CHAR(10)&amp;Basic_Fundamental_Information_Concatenate("")</f>
        <v xml:space="preserve">
市值48.704881亿, 利润2525.71万; PE48.83; 平均PE83.73; 平均PEG7.96, PB2.75; ROIC5.7967%; ROE6.6633%; 股利率.6826%; 毛利25.2967%; 净利8.97%; 上一年度营收增-66.08%, 利润增-74.74%; 当季营收增-35.61%, 利润增-50.11%; 过往5年营收增-10.52%, 利润增.19%
Income profile:
</v>
      </c>
      <c r="D31" s="3" t="s">
        <v>237</v>
      </c>
      <c r="E31" s="3" t="s">
        <v>238</v>
      </c>
      <c r="F31" s="3">
        <v>5.86</v>
      </c>
      <c r="G31" s="3">
        <v>-0.34</v>
      </c>
      <c r="H31" s="3" t="s">
        <v>1459</v>
      </c>
      <c r="I31" s="3">
        <v>4870488100</v>
      </c>
      <c r="J31" s="3">
        <v>48.83</v>
      </c>
      <c r="K31" s="3">
        <v>2.75</v>
      </c>
      <c r="L31" s="3" t="s">
        <v>49</v>
      </c>
      <c r="M31" s="3" t="s">
        <v>1460</v>
      </c>
      <c r="N31" s="3" t="s">
        <v>1461</v>
      </c>
      <c r="O31" s="3" t="s">
        <v>1462</v>
      </c>
      <c r="P31" s="3">
        <v>51.12</v>
      </c>
      <c r="Q31" s="3" t="s">
        <v>1462</v>
      </c>
      <c r="R31" s="3">
        <v>25257073</v>
      </c>
      <c r="S31" s="5">
        <v>0.38590000000000002</v>
      </c>
      <c r="T31" s="3" t="s">
        <v>1463</v>
      </c>
      <c r="U31" s="3">
        <v>828811160</v>
      </c>
      <c r="V31" s="3">
        <v>831141320</v>
      </c>
      <c r="W31" s="3">
        <v>1.61</v>
      </c>
      <c r="X31" s="3">
        <v>0.13</v>
      </c>
      <c r="Y31" s="3">
        <v>6.41</v>
      </c>
      <c r="Z31" s="3" t="s">
        <v>755</v>
      </c>
      <c r="AA31" s="3" t="s">
        <v>644</v>
      </c>
      <c r="AB31" s="3" t="s">
        <v>1464</v>
      </c>
      <c r="AC31" s="3" t="s">
        <v>1465</v>
      </c>
      <c r="AD31" s="3" t="s">
        <v>52</v>
      </c>
      <c r="AE31" s="3">
        <v>2242088</v>
      </c>
      <c r="AF31" s="3" t="s">
        <v>1466</v>
      </c>
      <c r="AG31" s="3" t="s">
        <v>52</v>
      </c>
      <c r="AH31" s="3" t="s">
        <v>1467</v>
      </c>
      <c r="AI31" s="3" t="s">
        <v>106</v>
      </c>
      <c r="AJ31" s="3" t="s">
        <v>1468</v>
      </c>
      <c r="AK31" s="3" t="s">
        <v>177</v>
      </c>
      <c r="AL31" s="3" t="s">
        <v>1469</v>
      </c>
      <c r="AM31" s="3" t="s">
        <v>52</v>
      </c>
      <c r="AN31" s="3" t="s">
        <v>994</v>
      </c>
      <c r="AO31" s="3" t="s">
        <v>527</v>
      </c>
      <c r="AP31" s="3" t="s">
        <v>1470</v>
      </c>
      <c r="AQ31" s="3" t="s">
        <v>1471</v>
      </c>
      <c r="AR31" s="3" t="s">
        <v>1472</v>
      </c>
      <c r="AS31" s="3" t="s">
        <v>1473</v>
      </c>
      <c r="AT31" s="3" t="s">
        <v>1458</v>
      </c>
      <c r="AU31" s="3" t="s">
        <v>1474</v>
      </c>
      <c r="AV31" s="3" t="s">
        <v>1475</v>
      </c>
      <c r="AW31" s="3" t="s">
        <v>1476</v>
      </c>
      <c r="AX31" s="3" t="s">
        <v>628</v>
      </c>
      <c r="AY31" s="3" t="s">
        <v>345</v>
      </c>
      <c r="AZ31" s="3" t="s">
        <v>239</v>
      </c>
      <c r="BA31" s="3" t="s">
        <v>242</v>
      </c>
      <c r="BB31" s="3" t="s">
        <v>243</v>
      </c>
      <c r="BC31" s="3" t="s">
        <v>438</v>
      </c>
      <c r="BD31" s="3" t="s">
        <v>346</v>
      </c>
      <c r="BE31" s="3" t="s">
        <v>240</v>
      </c>
      <c r="BF31" s="3" t="s">
        <v>244</v>
      </c>
      <c r="BG31" s="3" t="s">
        <v>245</v>
      </c>
      <c r="BH31" s="3" t="s">
        <v>1477</v>
      </c>
      <c r="BI31" s="3" t="s">
        <v>627</v>
      </c>
      <c r="BJ31" s="3" t="s">
        <v>628</v>
      </c>
      <c r="BK31" s="3" t="s">
        <v>1478</v>
      </c>
      <c r="BL31" s="3" t="s">
        <v>698</v>
      </c>
      <c r="BM31" s="3" t="s">
        <v>438</v>
      </c>
      <c r="BN31" s="3">
        <v>4.21</v>
      </c>
      <c r="BO31" s="3">
        <v>7.21</v>
      </c>
      <c r="BP31" s="3">
        <v>5.97</v>
      </c>
      <c r="BQ31" s="3">
        <v>6.04</v>
      </c>
      <c r="BR31" s="3">
        <v>8.99</v>
      </c>
      <c r="BS31" s="3">
        <v>4.96</v>
      </c>
      <c r="BT31" s="3" t="s">
        <v>564</v>
      </c>
      <c r="BU31" s="3" t="s">
        <v>49</v>
      </c>
      <c r="BV31" s="3">
        <v>26.7</v>
      </c>
      <c r="BW31" s="3">
        <v>26.91</v>
      </c>
      <c r="BX31" s="3">
        <v>22.28</v>
      </c>
      <c r="BY31" s="3">
        <v>8.5399999999999991</v>
      </c>
      <c r="BZ31" s="3">
        <v>10.52</v>
      </c>
      <c r="CA31" s="3">
        <v>7.85</v>
      </c>
      <c r="CB31" s="3">
        <v>-5.0199999999999996</v>
      </c>
      <c r="CC31" s="3">
        <v>-13.06</v>
      </c>
      <c r="CD31" s="3" t="s">
        <v>1479</v>
      </c>
      <c r="CE31" s="3" t="s">
        <v>1480</v>
      </c>
      <c r="CF31" s="10">
        <v>-0.35607321131447589</v>
      </c>
      <c r="CG31" s="11">
        <v>-0.5010643022091229</v>
      </c>
      <c r="CH31" s="10">
        <v>-0.66082382202148438</v>
      </c>
      <c r="CI31" s="10">
        <v>0.13306845724582672</v>
      </c>
      <c r="CJ31" s="10">
        <v>0.11640798300504684</v>
      </c>
      <c r="CK31" s="10">
        <v>-0.24895915389060974</v>
      </c>
      <c r="CL31" s="10">
        <v>0.13408870995044708</v>
      </c>
      <c r="CM31" s="11">
        <v>-0.74742895364761353</v>
      </c>
      <c r="CN31" s="11">
        <v>0.72559577226638794</v>
      </c>
      <c r="CO31" s="11">
        <v>8.2397110760211945E-2</v>
      </c>
      <c r="CP31" s="11">
        <v>-4.1781507432460785E-2</v>
      </c>
      <c r="CQ31" s="11">
        <v>-9.1206859797239304E-3</v>
      </c>
      <c r="CR31" s="3">
        <v>83.730944594981409</v>
      </c>
      <c r="CS31" s="3">
        <v>7.9559205811665787</v>
      </c>
      <c r="CT31" s="3">
        <v>0.68259385665529015</v>
      </c>
      <c r="CU31" s="10">
        <v>-0.10524356514215469</v>
      </c>
      <c r="CV31" s="11">
        <v>1.9323471933603287E-3</v>
      </c>
      <c r="CW31" s="3">
        <v>0.06</v>
      </c>
      <c r="CX31" s="3">
        <v>163.65648075194699</v>
      </c>
      <c r="CY31" s="3" t="s">
        <v>1481</v>
      </c>
      <c r="CZ31" s="3">
        <v>-0.10524356514215469</v>
      </c>
      <c r="DA31" s="3">
        <v>54.552160250648996</v>
      </c>
      <c r="DB31" s="3" t="s">
        <v>1482</v>
      </c>
      <c r="DC31" s="3">
        <v>-9.9981386885046944E-2</v>
      </c>
      <c r="DD31" s="3">
        <v>27.276080125324498</v>
      </c>
      <c r="DE31" s="3" t="s">
        <v>1483</v>
      </c>
      <c r="DF31" s="3">
        <v>-9.2614337325096122E-2</v>
      </c>
      <c r="DG31" s="3">
        <v>16.365648075194699</v>
      </c>
      <c r="DH31" s="3" t="s">
        <v>1484</v>
      </c>
      <c r="DI31" s="3">
        <v>-8.4194852113723753E-2</v>
      </c>
      <c r="DJ31" s="3">
        <v>8.1828240375973493</v>
      </c>
      <c r="DK31" s="3" t="s">
        <v>1485</v>
      </c>
      <c r="DL31" s="3">
        <v>-7.3670495599508279E-2</v>
      </c>
      <c r="DM31" s="3">
        <v>25257100</v>
      </c>
      <c r="DN31" s="3">
        <v>-0.10524356514215469</v>
      </c>
      <c r="DO31" s="3">
        <v>4133488100</v>
      </c>
      <c r="DP31" s="3">
        <v>1095154000</v>
      </c>
      <c r="DQ31" s="3">
        <v>3119</v>
      </c>
      <c r="DR31" s="3">
        <v>-0.25082964617232117</v>
      </c>
      <c r="DS31" s="3">
        <v>-0.50299664940248323</v>
      </c>
      <c r="DT31" s="12">
        <v>-0.89</v>
      </c>
      <c r="DU31" s="3">
        <v>-0.25333333333333335</v>
      </c>
      <c r="DV31" s="3">
        <v>-1.1433333333333333</v>
      </c>
      <c r="DW31" s="3">
        <v>-8.3843797856049012</v>
      </c>
      <c r="DX31" s="3">
        <v>0.31012472924187562</v>
      </c>
      <c r="DY31" s="3">
        <v>-8.0269545283915953</v>
      </c>
      <c r="DZ31" s="3">
        <v>3676</v>
      </c>
      <c r="EA31" s="3">
        <v>-8.0075641474977584</v>
      </c>
      <c r="EB31" s="3">
        <v>8</v>
      </c>
      <c r="EC31" s="3">
        <v>4.6741870564202009E-2</v>
      </c>
      <c r="ED31" s="3">
        <v>0.66655331249804783</v>
      </c>
      <c r="EE31" s="13">
        <v>1.0524</v>
      </c>
      <c r="EF31" s="3">
        <v>1.0298</v>
      </c>
      <c r="EG31" s="3">
        <v>24.070124729241876</v>
      </c>
      <c r="EH31" s="3" t="s">
        <v>367</v>
      </c>
      <c r="EI31" s="3">
        <v>0</v>
      </c>
      <c r="EJ31" s="3">
        <v>0</v>
      </c>
      <c r="EK31" s="15">
        <v>45470</v>
      </c>
      <c r="EL31" s="16">
        <v>-0.12</v>
      </c>
      <c r="EM31" s="16">
        <v>-1.44</v>
      </c>
      <c r="EN31" s="16">
        <v>3.16</v>
      </c>
      <c r="EO31" s="16">
        <v>4.12</v>
      </c>
      <c r="EP31" s="16">
        <v>-2.2599999999999998</v>
      </c>
    </row>
    <row r="32" spans="1:146" ht="96" x14ac:dyDescent="0.25">
      <c r="C32" s="7" t="str">
        <f>""&amp;CHAR(10)&amp;Basic_Fundamental_Information_Constructure(F32)&amp;CHAR(10)&amp;Basic_Fundamental_Information_Concatenate("")</f>
        <v xml:space="preserve">
市值25.584939亿, 利润1806.06万; PE42.32; 平均PE46.99; 平均PEG4.12, PB1.97; ROIC4.5667%; ROE5.43%; 股利率.8217%; 毛利20.8133%; 净利3.2733%; 上一年度营收增-79.78%, 利润增-66.35%; 当季营收增-54.81%, 利润增-59.34%; 过往5年营收增-11.4%, 利润增9.34%
Income profile:
</v>
      </c>
      <c r="D32" s="3" t="s">
        <v>246</v>
      </c>
      <c r="E32" s="3" t="s">
        <v>247</v>
      </c>
      <c r="F32" s="3">
        <v>12.17</v>
      </c>
      <c r="G32" s="3">
        <v>0.33</v>
      </c>
      <c r="H32" s="3" t="s">
        <v>1486</v>
      </c>
      <c r="I32" s="3">
        <v>2558493900</v>
      </c>
      <c r="J32" s="3">
        <v>42.32</v>
      </c>
      <c r="K32" s="3">
        <v>1.97</v>
      </c>
      <c r="L32" s="3" t="s">
        <v>49</v>
      </c>
      <c r="M32" s="3" t="s">
        <v>1487</v>
      </c>
      <c r="N32" s="3" t="s">
        <v>1488</v>
      </c>
      <c r="O32" s="3" t="s">
        <v>1489</v>
      </c>
      <c r="P32" s="3">
        <v>-7.16</v>
      </c>
      <c r="Q32" s="3" t="s">
        <v>1489</v>
      </c>
      <c r="R32" s="3">
        <v>18060604</v>
      </c>
      <c r="S32" s="5">
        <v>7.4999999999999997E-2</v>
      </c>
      <c r="T32" s="3" t="s">
        <v>1490</v>
      </c>
      <c r="U32" s="3">
        <v>207544580</v>
      </c>
      <c r="V32" s="3">
        <v>210229580</v>
      </c>
      <c r="W32" s="3">
        <v>1.73</v>
      </c>
      <c r="X32" s="3">
        <v>0.19</v>
      </c>
      <c r="Y32" s="3">
        <v>4.1500000000000004</v>
      </c>
      <c r="Z32" s="3" t="s">
        <v>1491</v>
      </c>
      <c r="AA32" s="3" t="s">
        <v>1492</v>
      </c>
      <c r="AB32" s="3" t="s">
        <v>1493</v>
      </c>
      <c r="AC32" s="3" t="s">
        <v>1494</v>
      </c>
      <c r="AD32" s="3" t="s">
        <v>52</v>
      </c>
      <c r="AE32" s="3">
        <v>4203643</v>
      </c>
      <c r="AF32" s="3" t="s">
        <v>1495</v>
      </c>
      <c r="AG32" s="3" t="s">
        <v>1496</v>
      </c>
      <c r="AH32" s="3" t="s">
        <v>1497</v>
      </c>
      <c r="AI32" s="3" t="s">
        <v>658</v>
      </c>
      <c r="AJ32" s="3" t="s">
        <v>1498</v>
      </c>
      <c r="AK32" s="3" t="s">
        <v>1499</v>
      </c>
      <c r="AL32" s="3" t="s">
        <v>1500</v>
      </c>
      <c r="AM32" s="3" t="s">
        <v>52</v>
      </c>
      <c r="AN32" s="3" t="s">
        <v>1305</v>
      </c>
      <c r="AO32" s="3" t="s">
        <v>618</v>
      </c>
      <c r="AP32" s="3" t="s">
        <v>1501</v>
      </c>
      <c r="AQ32" s="3" t="s">
        <v>395</v>
      </c>
      <c r="AR32" s="3" t="s">
        <v>52</v>
      </c>
      <c r="AS32" s="3" t="s">
        <v>671</v>
      </c>
      <c r="AT32" s="3" t="s">
        <v>1502</v>
      </c>
      <c r="AU32" s="3" t="s">
        <v>1503</v>
      </c>
      <c r="AV32" s="3" t="s">
        <v>1504</v>
      </c>
      <c r="AW32" s="3" t="s">
        <v>1505</v>
      </c>
      <c r="AX32" s="3" t="s">
        <v>637</v>
      </c>
      <c r="AY32" s="3" t="s">
        <v>347</v>
      </c>
      <c r="AZ32" s="3" t="s">
        <v>248</v>
      </c>
      <c r="BA32" s="3" t="s">
        <v>250</v>
      </c>
      <c r="BB32" s="3" t="s">
        <v>251</v>
      </c>
      <c r="BC32" s="3" t="s">
        <v>638</v>
      </c>
      <c r="BD32" s="3" t="s">
        <v>348</v>
      </c>
      <c r="BE32" s="3" t="s">
        <v>249</v>
      </c>
      <c r="BF32" s="3" t="s">
        <v>252</v>
      </c>
      <c r="BG32" s="3" t="s">
        <v>223</v>
      </c>
      <c r="BH32" s="3" t="s">
        <v>1506</v>
      </c>
      <c r="BI32" s="3" t="s">
        <v>636</v>
      </c>
      <c r="BJ32" s="3" t="s">
        <v>637</v>
      </c>
      <c r="BK32" s="3" t="s">
        <v>1507</v>
      </c>
      <c r="BL32" s="3" t="s">
        <v>699</v>
      </c>
      <c r="BM32" s="3" t="s">
        <v>638</v>
      </c>
      <c r="BN32" s="3">
        <v>3.46</v>
      </c>
      <c r="BO32" s="3">
        <v>4.08</v>
      </c>
      <c r="BP32" s="3">
        <v>6.16</v>
      </c>
      <c r="BQ32" s="3">
        <v>3.65</v>
      </c>
      <c r="BR32" s="3">
        <v>4.57</v>
      </c>
      <c r="BS32" s="3">
        <v>8.07</v>
      </c>
      <c r="BT32" s="3" t="s">
        <v>580</v>
      </c>
      <c r="BU32" s="3" t="s">
        <v>49</v>
      </c>
      <c r="BV32" s="3">
        <v>22.92</v>
      </c>
      <c r="BW32" s="3">
        <v>20.78</v>
      </c>
      <c r="BX32" s="3">
        <v>18.739999999999998</v>
      </c>
      <c r="BY32" s="3">
        <v>3.33</v>
      </c>
      <c r="BZ32" s="3">
        <v>2.65</v>
      </c>
      <c r="CA32" s="3">
        <v>3.84</v>
      </c>
      <c r="CB32" s="3">
        <v>-5.37</v>
      </c>
      <c r="CC32" s="3">
        <v>-12.51</v>
      </c>
      <c r="CD32" s="3" t="s">
        <v>1508</v>
      </c>
      <c r="CE32" s="3" t="s">
        <v>1296</v>
      </c>
      <c r="CF32" s="10">
        <v>-0.54811715481171552</v>
      </c>
      <c r="CG32" s="11">
        <v>-0.59335786013419189</v>
      </c>
      <c r="CH32" s="10">
        <v>-0.79775279760360718</v>
      </c>
      <c r="CI32" s="10">
        <v>2.4460399523377419E-2</v>
      </c>
      <c r="CJ32" s="10">
        <v>0.39278566837310791</v>
      </c>
      <c r="CK32" s="10">
        <v>1.285516656935215E-2</v>
      </c>
      <c r="CL32" s="10">
        <v>-0.20237450301647186</v>
      </c>
      <c r="CM32" s="11">
        <v>-0.66346728801727295</v>
      </c>
      <c r="CN32" s="11">
        <v>-0.37366941571235657</v>
      </c>
      <c r="CO32" s="11">
        <v>2.4043452739715576</v>
      </c>
      <c r="CP32" s="11">
        <v>-0.16445572674274445</v>
      </c>
      <c r="CQ32" s="11">
        <v>-0.73576313257217407</v>
      </c>
      <c r="CR32" s="3">
        <v>46.987418263092827</v>
      </c>
      <c r="CS32" s="3">
        <v>4.1215148791440219</v>
      </c>
      <c r="CT32" s="3">
        <v>0.82169268693508624</v>
      </c>
      <c r="CU32" s="10">
        <v>-0.11400521323084831</v>
      </c>
      <c r="CV32" s="11">
        <v>9.3397942185401914E-2</v>
      </c>
      <c r="CW32" s="3">
        <v>0.06</v>
      </c>
      <c r="CX32" s="3">
        <v>120.45523958229516</v>
      </c>
      <c r="CY32" s="3" t="s">
        <v>1509</v>
      </c>
      <c r="CZ32" s="3">
        <v>-0.11400521323084831</v>
      </c>
      <c r="DA32" s="3">
        <v>40.151746527431719</v>
      </c>
      <c r="DB32" s="3" t="s">
        <v>1510</v>
      </c>
      <c r="DC32" s="3">
        <v>-0.10830495256930589</v>
      </c>
      <c r="DD32" s="3">
        <v>20.075873263715859</v>
      </c>
      <c r="DE32" s="3" t="s">
        <v>1511</v>
      </c>
      <c r="DF32" s="3">
        <v>-0.10032458764314652</v>
      </c>
      <c r="DG32" s="3">
        <v>12.045523958229516</v>
      </c>
      <c r="DH32" s="3" t="s">
        <v>1512</v>
      </c>
      <c r="DI32" s="3">
        <v>-9.1204170584678654E-2</v>
      </c>
      <c r="DJ32" s="3">
        <v>6.0227619791147582</v>
      </c>
      <c r="DK32" s="3" t="s">
        <v>1513</v>
      </c>
      <c r="DL32" s="3">
        <v>-7.9803649261593806E-2</v>
      </c>
      <c r="DM32" s="3">
        <v>18060600</v>
      </c>
      <c r="DN32" s="3">
        <v>-0.11400521323084831</v>
      </c>
      <c r="DO32" s="3">
        <v>2175493900</v>
      </c>
      <c r="DP32" s="3">
        <v>806753400</v>
      </c>
      <c r="DQ32" s="3">
        <v>4388</v>
      </c>
      <c r="DR32" s="3">
        <v>-0.43411194158086719</v>
      </c>
      <c r="DS32" s="3">
        <v>-0.68675580231959377</v>
      </c>
      <c r="DT32" s="12">
        <v>-0.73999999999999988</v>
      </c>
      <c r="DU32" s="3">
        <v>-0.66833333333333333</v>
      </c>
      <c r="DV32" s="3">
        <v>-1.4083333333333332</v>
      </c>
      <c r="DW32" s="3">
        <v>-8.4292565947242206</v>
      </c>
      <c r="DX32" s="3">
        <v>0.31245426829268452</v>
      </c>
      <c r="DY32" s="3">
        <v>-8.0311014724805521</v>
      </c>
      <c r="DZ32" s="3">
        <v>3427</v>
      </c>
      <c r="EA32" s="3">
        <v>-8.010243400818938</v>
      </c>
      <c r="EB32" s="3">
        <v>8</v>
      </c>
      <c r="EC32" s="3">
        <v>5.6521541830602526E-2</v>
      </c>
      <c r="ED32" s="3">
        <v>0.78009954641016743</v>
      </c>
      <c r="EE32" s="13">
        <v>-3.1278000000000001</v>
      </c>
      <c r="EF32" s="3">
        <v>-3.0825</v>
      </c>
      <c r="EG32" s="3">
        <v>24.072454268292685</v>
      </c>
      <c r="EH32" s="3" t="s">
        <v>995</v>
      </c>
      <c r="EI32" s="3">
        <v>0</v>
      </c>
      <c r="EJ32" s="3">
        <v>0</v>
      </c>
      <c r="EK32" s="15">
        <v>45470</v>
      </c>
      <c r="EL32" s="16">
        <v>-0.78</v>
      </c>
      <c r="EM32" s="16">
        <v>10</v>
      </c>
      <c r="EN32" s="16">
        <v>-3.35</v>
      </c>
      <c r="EO32" s="16">
        <v>3.71</v>
      </c>
      <c r="EP32" s="16">
        <v>-4.53</v>
      </c>
    </row>
    <row r="33" spans="1:146" ht="144" x14ac:dyDescent="0.25">
      <c r="B33" s="7" t="s">
        <v>720</v>
      </c>
      <c r="C33" s="7" t="str">
        <f>"公司主营业务为功能性材料研发、生产及销售，其主要产品有精密制程应用材料、电子复合功能材料和光电显示模组材料。"&amp;CHAR(10)&amp;Basic_Fundamental_Information_Constructure(F33)&amp;CHAR(10)&amp;Basic_Fundamental_Information_Concatenate("电子复合功能材料 3.45亿 74.63% 2.27亿 81.43% 65.68%
精密制程应用材料 9778.27万 21.15% 4609.08万 16.56% 47.14%
光电显示模组材料 1945.80万 4.21% 557.26万 2.00% 28.64%")</f>
        <v>公司主营业务为功能性材料研发、生产及销售，其主要产品有精密制程应用材料、电子复合功能材料和光电显示模组材料。
市值45.146323亿, 利润4126.45万; PE22.06; 平均PE40.09; 平均PEG75.03, PB2.36; ROIC12.8567%; ROE13.1567%; 股利率2.0942%; 毛利60.1167%; 净利40.4133%; 上一年度营收增-71.21%, 利润增-77.69%; 当季营收增-37.56%, 利润增-47.94%; 过往5年营收增-.53%, 利润增14.51%
Income profile:
电子复合功能材料 3.45亿 74.63% 2.27亿 81.43% 65.68%
精密制程应用材料 9778.27万 21.15% 4609.08万 16.56% 47.14%
光电显示模组材料 1945.80万 4.21% 557.26万 2.00% 28.64%</v>
      </c>
      <c r="D33" s="3" t="s">
        <v>253</v>
      </c>
      <c r="E33" s="3" t="s">
        <v>254</v>
      </c>
      <c r="F33" s="3">
        <v>17.190000000000001</v>
      </c>
      <c r="G33" s="3">
        <v>0.23</v>
      </c>
      <c r="H33" s="3" t="s">
        <v>1514</v>
      </c>
      <c r="I33" s="3">
        <v>4514632300</v>
      </c>
      <c r="J33" s="3">
        <v>22.06</v>
      </c>
      <c r="K33" s="3">
        <v>2.36</v>
      </c>
      <c r="L33" s="3" t="s">
        <v>49</v>
      </c>
      <c r="M33" s="3" t="s">
        <v>1515</v>
      </c>
      <c r="N33" s="3" t="s">
        <v>408</v>
      </c>
      <c r="O33" s="3" t="s">
        <v>718</v>
      </c>
      <c r="P33" s="3">
        <v>63.32</v>
      </c>
      <c r="Q33" s="3" t="s">
        <v>718</v>
      </c>
      <c r="R33" s="3">
        <v>41264496</v>
      </c>
      <c r="S33" s="5">
        <v>0.37319999999999998</v>
      </c>
      <c r="T33" s="3" t="s">
        <v>1516</v>
      </c>
      <c r="U33" s="3">
        <v>254063040</v>
      </c>
      <c r="V33" s="3">
        <v>262631310</v>
      </c>
      <c r="W33" s="3">
        <v>1.07</v>
      </c>
      <c r="X33" s="3">
        <v>0.06</v>
      </c>
      <c r="Y33" s="3">
        <v>31</v>
      </c>
      <c r="Z33" s="3" t="s">
        <v>1517</v>
      </c>
      <c r="AA33" s="3" t="s">
        <v>1518</v>
      </c>
      <c r="AB33" s="3" t="s">
        <v>1519</v>
      </c>
      <c r="AC33" s="3" t="s">
        <v>1520</v>
      </c>
      <c r="AD33" s="3" t="s">
        <v>52</v>
      </c>
      <c r="AE33" s="3">
        <v>-922805</v>
      </c>
      <c r="AF33" s="3" t="s">
        <v>1521</v>
      </c>
      <c r="AG33" s="3">
        <v>2944</v>
      </c>
      <c r="AH33" s="3" t="s">
        <v>1522</v>
      </c>
      <c r="AI33" s="3" t="s">
        <v>1523</v>
      </c>
      <c r="AJ33" s="3" t="s">
        <v>1524</v>
      </c>
      <c r="AK33" s="3" t="s">
        <v>52</v>
      </c>
      <c r="AL33" s="3" t="s">
        <v>1525</v>
      </c>
      <c r="AM33" s="3" t="s">
        <v>52</v>
      </c>
      <c r="AN33" s="3" t="s">
        <v>644</v>
      </c>
      <c r="AO33" s="3" t="s">
        <v>52</v>
      </c>
      <c r="AP33" s="3" t="s">
        <v>1526</v>
      </c>
      <c r="AQ33" s="3" t="s">
        <v>1527</v>
      </c>
      <c r="AR33" s="3" t="s">
        <v>52</v>
      </c>
      <c r="AS33" s="3" t="s">
        <v>525</v>
      </c>
      <c r="AT33" s="3" t="s">
        <v>52</v>
      </c>
      <c r="AU33" s="3" t="s">
        <v>1528</v>
      </c>
      <c r="AV33" s="3" t="s">
        <v>1529</v>
      </c>
      <c r="AW33" s="3" t="s">
        <v>1530</v>
      </c>
      <c r="AX33" s="3" t="s">
        <v>213</v>
      </c>
      <c r="AY33" s="3" t="s">
        <v>349</v>
      </c>
      <c r="AZ33" s="3" t="s">
        <v>255</v>
      </c>
      <c r="BA33" s="3" t="s">
        <v>60</v>
      </c>
      <c r="BB33" s="3" t="s">
        <v>215</v>
      </c>
      <c r="BC33" s="3" t="s">
        <v>557</v>
      </c>
      <c r="BD33" s="3" t="s">
        <v>177</v>
      </c>
      <c r="BE33" s="3" t="s">
        <v>153</v>
      </c>
      <c r="BF33" s="3" t="s">
        <v>256</v>
      </c>
      <c r="BG33" s="3" t="s">
        <v>257</v>
      </c>
      <c r="BH33" s="3" t="s">
        <v>1531</v>
      </c>
      <c r="BI33" s="3" t="s">
        <v>535</v>
      </c>
      <c r="BJ33" s="3" t="s">
        <v>213</v>
      </c>
      <c r="BK33" s="3" t="s">
        <v>569</v>
      </c>
      <c r="BL33" s="3" t="s">
        <v>701</v>
      </c>
      <c r="BM33" s="3" t="s">
        <v>557</v>
      </c>
      <c r="BN33" s="3">
        <v>9.2200000000000006</v>
      </c>
      <c r="BO33" s="3">
        <v>13.79</v>
      </c>
      <c r="BP33" s="3">
        <v>15.56</v>
      </c>
      <c r="BQ33" s="3">
        <v>9.7899999999999991</v>
      </c>
      <c r="BR33" s="3">
        <v>13.94</v>
      </c>
      <c r="BS33" s="3">
        <v>15.74</v>
      </c>
      <c r="BT33" s="3" t="s">
        <v>1532</v>
      </c>
      <c r="BU33" s="3" t="s">
        <v>49</v>
      </c>
      <c r="BV33" s="3">
        <v>58.88</v>
      </c>
      <c r="BW33" s="3">
        <v>60.2</v>
      </c>
      <c r="BX33" s="3">
        <v>61.27</v>
      </c>
      <c r="BY33" s="3">
        <v>37.82</v>
      </c>
      <c r="BZ33" s="3">
        <v>40.1</v>
      </c>
      <c r="CA33" s="3">
        <v>43.32</v>
      </c>
      <c r="CB33" s="3">
        <v>-5.39</v>
      </c>
      <c r="CC33" s="3">
        <v>4.18</v>
      </c>
      <c r="CD33" s="3" t="s">
        <v>1533</v>
      </c>
      <c r="CE33" s="3" t="s">
        <v>1534</v>
      </c>
      <c r="CF33" s="10">
        <v>-0.37558685446009388</v>
      </c>
      <c r="CG33" s="11">
        <v>-0.47935374222617005</v>
      </c>
      <c r="CH33" s="10">
        <v>-0.71212118864059448</v>
      </c>
      <c r="CI33" s="10">
        <v>8.7058819830417633E-2</v>
      </c>
      <c r="CJ33" s="10">
        <v>0.29179331660270691</v>
      </c>
      <c r="CK33" s="10">
        <v>0.3651452362537384</v>
      </c>
      <c r="CL33" s="10">
        <v>-5.859375E-2</v>
      </c>
      <c r="CM33" s="11">
        <v>-0.77694869041442871</v>
      </c>
      <c r="CN33" s="11">
        <v>5.4347827099263668E-3</v>
      </c>
      <c r="CO33" s="11">
        <v>0.42635658383369446</v>
      </c>
      <c r="CP33" s="11">
        <v>0.58118849992752075</v>
      </c>
      <c r="CQ33" s="11">
        <v>0.48936614394187927</v>
      </c>
      <c r="CR33" s="3">
        <v>40.092852781825457</v>
      </c>
      <c r="CS33" s="3">
        <v>75.030885768667574</v>
      </c>
      <c r="CT33" s="3">
        <v>2.0942408376963351</v>
      </c>
      <c r="CU33" s="10">
        <v>-5.343513190746307E-3</v>
      </c>
      <c r="CV33" s="11">
        <v>0.14507946399971844</v>
      </c>
      <c r="CW33" s="3">
        <v>0.06</v>
      </c>
      <c r="CX33" s="3">
        <v>67.821791127967145</v>
      </c>
      <c r="CY33" s="3" t="s">
        <v>1535</v>
      </c>
      <c r="CZ33" s="3">
        <v>-5.343513190746307E-3</v>
      </c>
      <c r="DA33" s="3">
        <v>22.607263709322378</v>
      </c>
      <c r="DB33" s="3" t="s">
        <v>1536</v>
      </c>
      <c r="DC33" s="3">
        <v>-5.0763375312089911E-3</v>
      </c>
      <c r="DD33" s="3">
        <v>11.303631854661189</v>
      </c>
      <c r="DE33" s="3" t="s">
        <v>1537</v>
      </c>
      <c r="DF33" s="3">
        <v>-4.7022916078567501E-3</v>
      </c>
      <c r="DG33" s="3">
        <v>6.7821791127967135</v>
      </c>
      <c r="DH33" s="3" t="s">
        <v>1538</v>
      </c>
      <c r="DI33" s="3">
        <v>-4.2748105525970458E-3</v>
      </c>
      <c r="DJ33" s="3">
        <v>3.3910895563983567</v>
      </c>
      <c r="DK33" s="3" t="s">
        <v>1539</v>
      </c>
      <c r="DL33" s="3">
        <v>-3.7404592335224147E-3</v>
      </c>
      <c r="DM33" s="3">
        <v>41264500</v>
      </c>
      <c r="DN33" s="3">
        <v>-5.343513190746307E-3</v>
      </c>
      <c r="DO33" s="3">
        <v>2798632300</v>
      </c>
      <c r="DP33" s="3">
        <v>644929120</v>
      </c>
      <c r="DQ33" s="3">
        <v>4621</v>
      </c>
      <c r="DR33" s="3">
        <v>-0.37024334126934755</v>
      </c>
      <c r="DS33" s="3">
        <v>-0.62443320622588849</v>
      </c>
      <c r="DT33" s="12">
        <v>-0.52333333333333332</v>
      </c>
      <c r="DU33" s="3">
        <v>-0.20333333333333339</v>
      </c>
      <c r="DV33" s="3">
        <v>-0.72666666666666668</v>
      </c>
      <c r="DW33" s="3">
        <v>-4.7755102040816331</v>
      </c>
      <c r="DX33" s="3">
        <v>0.25675718369801859</v>
      </c>
      <c r="DY33" s="3">
        <v>-4.08279128531683</v>
      </c>
      <c r="DZ33" s="3">
        <v>4562</v>
      </c>
      <c r="EA33" s="3">
        <v>-4.0088785957639184</v>
      </c>
      <c r="EB33" s="3">
        <v>4</v>
      </c>
      <c r="EC33" s="3">
        <v>3.0343678367975243E-2</v>
      </c>
      <c r="ED33" s="3">
        <v>0.28423077202790481</v>
      </c>
      <c r="EE33" s="13">
        <v>-2.0264000000000002</v>
      </c>
      <c r="EF33" s="3">
        <v>-2.0072999999999999</v>
      </c>
      <c r="EG33" s="3">
        <v>15.106757183698019</v>
      </c>
      <c r="EH33" s="3" t="s">
        <v>588</v>
      </c>
      <c r="EI33" s="3">
        <v>0</v>
      </c>
      <c r="EJ33" s="3">
        <v>0</v>
      </c>
      <c r="EK33" s="15">
        <v>45470</v>
      </c>
      <c r="EL33" s="16">
        <v>1.3</v>
      </c>
      <c r="EM33" s="16">
        <v>-5.81</v>
      </c>
      <c r="EN33" s="16">
        <v>-2.77</v>
      </c>
      <c r="EO33" s="16">
        <v>8.99</v>
      </c>
      <c r="EP33" s="16">
        <v>-1.91</v>
      </c>
    </row>
    <row r="34" spans="1:146" ht="96" x14ac:dyDescent="0.25">
      <c r="C34" s="7" t="str">
        <f>""&amp;CHAR(10)&amp;Basic_Fundamental_Information_Constructure(F34)&amp;CHAR(10)&amp;Basic_Fundamental_Information_Concatenate("")</f>
        <v xml:space="preserve">
市值32.992048亿, 利润416.06万; PE57.96; 平均PE60.52; 平均PEG57.87, PB3; ROIC7.0033%; ROE8.13%; 股利率.6688%; 毛利38.7467%; 净利11.9833%; 上一年度营收增-79.43%, 利润增-95.13%; 当季营收增-50.17%, 利润增-85.22%; 过往5年营收增-1.05%, 利润增106.27%
Income profile:
</v>
      </c>
      <c r="D34" s="3" t="s">
        <v>258</v>
      </c>
      <c r="E34" s="3" t="s">
        <v>259</v>
      </c>
      <c r="F34" s="3">
        <v>34.39</v>
      </c>
      <c r="G34" s="3">
        <v>5.65</v>
      </c>
      <c r="H34" s="3" t="s">
        <v>1540</v>
      </c>
      <c r="I34" s="3">
        <v>3299204800</v>
      </c>
      <c r="J34" s="3">
        <v>57.96</v>
      </c>
      <c r="K34" s="3">
        <v>3</v>
      </c>
      <c r="L34" s="3" t="s">
        <v>49</v>
      </c>
      <c r="M34" s="3" t="s">
        <v>661</v>
      </c>
      <c r="N34" s="3" t="s">
        <v>1541</v>
      </c>
      <c r="O34" s="3" t="s">
        <v>1445</v>
      </c>
      <c r="P34" s="3">
        <v>11.93</v>
      </c>
      <c r="Q34" s="3" t="s">
        <v>1445</v>
      </c>
      <c r="R34" s="3">
        <v>4160604</v>
      </c>
      <c r="S34" s="5">
        <v>-0.63590000000000002</v>
      </c>
      <c r="T34" s="3" t="s">
        <v>1542</v>
      </c>
      <c r="U34" s="3">
        <v>63497104</v>
      </c>
      <c r="V34" s="3">
        <v>95935004</v>
      </c>
      <c r="W34" s="3">
        <v>1.82</v>
      </c>
      <c r="X34" s="3">
        <v>7.0000000000000007E-2</v>
      </c>
      <c r="Y34" s="3">
        <v>3.11</v>
      </c>
      <c r="Z34" s="3" t="s">
        <v>148</v>
      </c>
      <c r="AA34" s="3" t="s">
        <v>59</v>
      </c>
      <c r="AB34" s="3" t="s">
        <v>1543</v>
      </c>
      <c r="AC34" s="3" t="s">
        <v>1544</v>
      </c>
      <c r="AD34" s="3" t="s">
        <v>52</v>
      </c>
      <c r="AE34" s="3">
        <v>1847368</v>
      </c>
      <c r="AF34" s="3" t="s">
        <v>1545</v>
      </c>
      <c r="AG34" s="3" t="s">
        <v>1546</v>
      </c>
      <c r="AH34" s="3" t="s">
        <v>1547</v>
      </c>
      <c r="AI34" s="3" t="s">
        <v>1548</v>
      </c>
      <c r="AJ34" s="3" t="s">
        <v>1549</v>
      </c>
      <c r="AK34" s="3" t="s">
        <v>1550</v>
      </c>
      <c r="AL34" s="3" t="s">
        <v>1551</v>
      </c>
      <c r="AM34" s="3" t="s">
        <v>52</v>
      </c>
      <c r="AN34" s="3" t="s">
        <v>1552</v>
      </c>
      <c r="AO34" s="3" t="s">
        <v>52</v>
      </c>
      <c r="AP34" s="3" t="s">
        <v>1041</v>
      </c>
      <c r="AQ34" s="3" t="s">
        <v>183</v>
      </c>
      <c r="AR34" s="3" t="s">
        <v>52</v>
      </c>
      <c r="AS34" s="3" t="s">
        <v>1553</v>
      </c>
      <c r="AT34" s="3" t="s">
        <v>52</v>
      </c>
      <c r="AU34" s="3" t="s">
        <v>1554</v>
      </c>
      <c r="AV34" s="3" t="s">
        <v>1555</v>
      </c>
      <c r="AW34" s="3" t="s">
        <v>52</v>
      </c>
      <c r="AX34" s="3" t="s">
        <v>389</v>
      </c>
      <c r="AY34" s="3" t="s">
        <v>350</v>
      </c>
      <c r="AZ34" s="3" t="s">
        <v>260</v>
      </c>
      <c r="BA34" s="3" t="s">
        <v>261</v>
      </c>
      <c r="BB34" s="3" t="s">
        <v>262</v>
      </c>
      <c r="BC34" s="3" t="s">
        <v>630</v>
      </c>
      <c r="BD34" s="3" t="s">
        <v>351</v>
      </c>
      <c r="BE34" s="3" t="s">
        <v>120</v>
      </c>
      <c r="BF34" s="3" t="s">
        <v>263</v>
      </c>
      <c r="BG34" s="3" t="s">
        <v>264</v>
      </c>
      <c r="BH34" s="3" t="s">
        <v>663</v>
      </c>
      <c r="BI34" s="3" t="s">
        <v>113</v>
      </c>
      <c r="BJ34" s="3" t="s">
        <v>389</v>
      </c>
      <c r="BK34" s="3" t="s">
        <v>1556</v>
      </c>
      <c r="BL34" s="3" t="s">
        <v>703</v>
      </c>
      <c r="BM34" s="3" t="s">
        <v>630</v>
      </c>
      <c r="BN34" s="3">
        <v>4.04</v>
      </c>
      <c r="BO34" s="3">
        <v>8.0500000000000007</v>
      </c>
      <c r="BP34" s="3">
        <v>8.92</v>
      </c>
      <c r="BQ34" s="3">
        <v>5</v>
      </c>
      <c r="BR34" s="3">
        <v>8.73</v>
      </c>
      <c r="BS34" s="3">
        <v>10.66</v>
      </c>
      <c r="BT34" s="3" t="s">
        <v>1557</v>
      </c>
      <c r="BU34" s="3" t="s">
        <v>49</v>
      </c>
      <c r="BV34" s="3">
        <v>36.479999999999997</v>
      </c>
      <c r="BW34" s="3">
        <v>38.85</v>
      </c>
      <c r="BX34" s="3">
        <v>40.909999999999997</v>
      </c>
      <c r="BY34" s="3">
        <v>9.1999999999999993</v>
      </c>
      <c r="BZ34" s="3">
        <v>12.32</v>
      </c>
      <c r="CA34" s="3">
        <v>14.43</v>
      </c>
      <c r="CB34" s="3">
        <v>-1.06</v>
      </c>
      <c r="CC34" s="3">
        <v>18.34</v>
      </c>
      <c r="CD34" s="3" t="s">
        <v>1558</v>
      </c>
      <c r="CE34" s="3" t="s">
        <v>1559</v>
      </c>
      <c r="CF34" s="10">
        <v>-0.5017301038062284</v>
      </c>
      <c r="CG34" s="11">
        <v>-0.85221296713991912</v>
      </c>
      <c r="CH34" s="10">
        <v>-0.79428571462631226</v>
      </c>
      <c r="CI34" s="10">
        <v>0.37524557113647461</v>
      </c>
      <c r="CJ34" s="10">
        <v>0.25679013133049011</v>
      </c>
      <c r="CK34" s="10">
        <v>0.21987952291965485</v>
      </c>
      <c r="CL34" s="10">
        <v>-0.10991957038640976</v>
      </c>
      <c r="CM34" s="11">
        <v>-0.95129293203353882</v>
      </c>
      <c r="CN34" s="11">
        <v>0.17008835077285767</v>
      </c>
      <c r="CO34" s="11">
        <v>-0.47098696231842041</v>
      </c>
      <c r="CP34" s="11">
        <v>2.5069530010223389</v>
      </c>
      <c r="CQ34" s="11">
        <v>4.0587410926818848</v>
      </c>
      <c r="CR34" s="3">
        <v>60.522763878646458</v>
      </c>
      <c r="CS34" s="3">
        <v>57.872150377539789</v>
      </c>
      <c r="CT34" s="3">
        <v>0.66879906949694667</v>
      </c>
      <c r="CU34" s="10">
        <v>-1.045801192522049E-2</v>
      </c>
      <c r="CV34" s="11">
        <v>1.0627005100250244</v>
      </c>
      <c r="CW34" s="3">
        <v>0.06</v>
      </c>
      <c r="CX34" s="3">
        <v>742.9709176561073</v>
      </c>
      <c r="CY34" s="3" t="s">
        <v>1560</v>
      </c>
      <c r="CZ34" s="3">
        <v>-1.045801192522049E-2</v>
      </c>
      <c r="DA34" s="3">
        <v>247.65697255203577</v>
      </c>
      <c r="DB34" s="3" t="s">
        <v>1561</v>
      </c>
      <c r="DC34" s="3">
        <v>-9.9351113289594655E-3</v>
      </c>
      <c r="DD34" s="3">
        <v>123.82848627601788</v>
      </c>
      <c r="DE34" s="3" t="s">
        <v>1562</v>
      </c>
      <c r="DF34" s="3">
        <v>-9.203050494194032E-3</v>
      </c>
      <c r="DG34" s="3">
        <v>74.29709176561073</v>
      </c>
      <c r="DH34" s="3" t="s">
        <v>1563</v>
      </c>
      <c r="DI34" s="3">
        <v>-8.3664095401763932E-3</v>
      </c>
      <c r="DJ34" s="3">
        <v>37.148545882805365</v>
      </c>
      <c r="DK34" s="3" t="s">
        <v>1564</v>
      </c>
      <c r="DL34" s="3">
        <v>-7.320608347654343E-3</v>
      </c>
      <c r="DM34" s="3">
        <v>4160600</v>
      </c>
      <c r="DN34" s="3">
        <v>-1.045801192522049E-2</v>
      </c>
      <c r="DO34" s="3">
        <v>3091204800</v>
      </c>
      <c r="DP34" s="3">
        <v>1059251300</v>
      </c>
      <c r="DQ34" s="3">
        <v>4630</v>
      </c>
      <c r="DR34" s="3">
        <v>-0.4912720918810079</v>
      </c>
      <c r="DS34" s="3">
        <v>-1.9149134771649434</v>
      </c>
      <c r="DT34" s="12">
        <v>-0.37333333333333335</v>
      </c>
      <c r="DU34" s="3">
        <v>0.12683333333333335</v>
      </c>
      <c r="DV34" s="3">
        <v>-0.2465</v>
      </c>
      <c r="DW34" s="3">
        <v>3.0264642857142858</v>
      </c>
      <c r="DX34" s="3">
        <v>0.46800492158225565</v>
      </c>
      <c r="DY34" s="3">
        <v>3.0044461302461589</v>
      </c>
      <c r="DZ34" s="3">
        <v>658</v>
      </c>
      <c r="EA34" s="3">
        <v>3.0038736148445988</v>
      </c>
      <c r="EB34" s="3">
        <v>3</v>
      </c>
      <c r="EC34" s="3">
        <v>8.7676026990106765E-2</v>
      </c>
      <c r="ED34" s="3">
        <v>0.52186582490787203</v>
      </c>
      <c r="EE34" s="13">
        <v>-6.0537000000000001</v>
      </c>
      <c r="EF34" s="3">
        <v>-6.0254000000000003</v>
      </c>
      <c r="EG34" s="3">
        <v>30.168004921582256</v>
      </c>
      <c r="EH34" s="3" t="s">
        <v>1565</v>
      </c>
      <c r="EI34" s="3">
        <v>0</v>
      </c>
      <c r="EJ34" s="3">
        <v>1</v>
      </c>
      <c r="EK34" s="15">
        <v>45470</v>
      </c>
      <c r="EL34" s="16">
        <v>0.59</v>
      </c>
      <c r="EM34" s="16">
        <v>-3.4</v>
      </c>
      <c r="EN34" s="3">
        <v>-1.46</v>
      </c>
      <c r="EO34" s="3">
        <v>6.32</v>
      </c>
      <c r="EP34" s="3">
        <v>-2.83</v>
      </c>
    </row>
    <row r="35" spans="1:146" ht="96" x14ac:dyDescent="0.25">
      <c r="C35" s="7" t="str">
        <f>""&amp;CHAR(10)&amp;Basic_Fundamental_Information_Constructure(F35)&amp;CHAR(10)&amp;Basic_Fundamental_Information_Concatenate("")</f>
        <v xml:space="preserve">
市值19.98636亿, 利润859.25万; PE; 平均PE34.22; 平均PEG1.87, PB3.01; ROIC11.35%; ROE7.06%; 股利率0%; 毛利25.8767%; 净利6.9767%; 上一年度营收增-78.44%, 利润增-84.41%; 当季营收增-48.57%, 利润增154.51%; 过往5年营收增-18.27%, 利润增-12.26%
Income profile:
</v>
      </c>
      <c r="D35" s="3" t="s">
        <v>265</v>
      </c>
      <c r="E35" s="3" t="s">
        <v>266</v>
      </c>
      <c r="F35" s="3">
        <v>22.65</v>
      </c>
      <c r="G35" s="3">
        <v>0.94</v>
      </c>
      <c r="H35" s="3" t="s">
        <v>1566</v>
      </c>
      <c r="I35" s="3">
        <v>1998636000</v>
      </c>
      <c r="K35" s="3">
        <v>3.01</v>
      </c>
      <c r="L35" s="3" t="s">
        <v>49</v>
      </c>
      <c r="M35" s="3" t="s">
        <v>72</v>
      </c>
      <c r="N35" s="3" t="s">
        <v>1225</v>
      </c>
      <c r="O35" s="3" t="s">
        <v>626</v>
      </c>
      <c r="P35" s="3">
        <v>14.2</v>
      </c>
      <c r="Q35" s="3" t="s">
        <v>626</v>
      </c>
      <c r="R35" s="3">
        <v>8592460</v>
      </c>
      <c r="S35" s="5">
        <v>2.75</v>
      </c>
      <c r="T35" s="3" t="s">
        <v>1567</v>
      </c>
      <c r="U35" s="3">
        <v>88240000</v>
      </c>
      <c r="V35" s="3">
        <v>88240000</v>
      </c>
      <c r="W35" s="3">
        <v>1.31</v>
      </c>
      <c r="X35" s="3">
        <v>0.12</v>
      </c>
      <c r="Y35" s="3">
        <v>7.7</v>
      </c>
      <c r="Z35" s="3" t="s">
        <v>1568</v>
      </c>
      <c r="AA35" s="3" t="s">
        <v>1569</v>
      </c>
      <c r="AB35" s="3" t="s">
        <v>1570</v>
      </c>
      <c r="AC35" s="3" t="s">
        <v>1571</v>
      </c>
      <c r="AD35" s="3" t="s">
        <v>52</v>
      </c>
      <c r="AE35" s="3">
        <v>-2388511</v>
      </c>
      <c r="AF35" s="3" t="s">
        <v>1572</v>
      </c>
      <c r="AG35" s="3" t="s">
        <v>646</v>
      </c>
      <c r="AH35" s="3" t="s">
        <v>1573</v>
      </c>
      <c r="AI35" s="3" t="s">
        <v>634</v>
      </c>
      <c r="AJ35" s="3" t="s">
        <v>1574</v>
      </c>
      <c r="AK35" s="3" t="s">
        <v>52</v>
      </c>
      <c r="AL35" s="3" t="s">
        <v>1575</v>
      </c>
      <c r="AM35" s="3" t="s">
        <v>52</v>
      </c>
      <c r="AN35" s="3" t="s">
        <v>1576</v>
      </c>
      <c r="AO35" s="3" t="s">
        <v>1577</v>
      </c>
      <c r="AP35" s="3" t="s">
        <v>1578</v>
      </c>
      <c r="AQ35" s="3" t="s">
        <v>1579</v>
      </c>
      <c r="AR35" s="3" t="s">
        <v>52</v>
      </c>
      <c r="AS35" s="3" t="s">
        <v>1060</v>
      </c>
      <c r="AT35" s="3" t="s">
        <v>52</v>
      </c>
      <c r="AU35" s="3" t="s">
        <v>1580</v>
      </c>
      <c r="AV35" s="3" t="s">
        <v>1581</v>
      </c>
      <c r="AW35" s="3" t="s">
        <v>1582</v>
      </c>
      <c r="AX35" s="3" t="s">
        <v>631</v>
      </c>
      <c r="AY35" s="3" t="s">
        <v>353</v>
      </c>
      <c r="AZ35" s="3" t="s">
        <v>267</v>
      </c>
      <c r="BA35" s="3" t="s">
        <v>269</v>
      </c>
      <c r="BB35" s="3" t="s">
        <v>270</v>
      </c>
      <c r="BC35" s="3" t="s">
        <v>632</v>
      </c>
      <c r="BD35" s="3" t="s">
        <v>354</v>
      </c>
      <c r="BE35" s="3" t="s">
        <v>268</v>
      </c>
      <c r="BF35" s="3" t="s">
        <v>272</v>
      </c>
      <c r="BG35" s="3" t="s">
        <v>273</v>
      </c>
      <c r="BH35" s="3" t="s">
        <v>1263</v>
      </c>
      <c r="BI35" s="3" t="s">
        <v>72</v>
      </c>
      <c r="BJ35" s="3" t="s">
        <v>631</v>
      </c>
      <c r="BK35" s="3" t="s">
        <v>1583</v>
      </c>
      <c r="BL35" s="3" t="s">
        <v>705</v>
      </c>
      <c r="BM35" s="3" t="s">
        <v>632</v>
      </c>
      <c r="BN35" s="3" t="s">
        <v>52</v>
      </c>
      <c r="BO35" s="3">
        <v>6.76</v>
      </c>
      <c r="BP35" s="3">
        <v>15.94</v>
      </c>
      <c r="BQ35" s="3">
        <v>-1.63</v>
      </c>
      <c r="BR35" s="3">
        <v>7.65</v>
      </c>
      <c r="BS35" s="3">
        <v>15.16</v>
      </c>
      <c r="BT35" s="3" t="s">
        <v>519</v>
      </c>
      <c r="BU35" s="3" t="s">
        <v>49</v>
      </c>
      <c r="BV35" s="3">
        <v>24.76</v>
      </c>
      <c r="BW35" s="3">
        <v>26.12</v>
      </c>
      <c r="BX35" s="3">
        <v>26.75</v>
      </c>
      <c r="BY35" s="3">
        <v>-3.27</v>
      </c>
      <c r="BZ35" s="3">
        <v>11.32</v>
      </c>
      <c r="CA35" s="3">
        <v>12.88</v>
      </c>
      <c r="CB35" s="3">
        <v>-7.17</v>
      </c>
      <c r="CC35" s="3">
        <v>-13.38</v>
      </c>
      <c r="CD35" s="3" t="s">
        <v>1584</v>
      </c>
      <c r="CE35" s="3" t="s">
        <v>1585</v>
      </c>
      <c r="CF35" s="10">
        <v>-0.48571428571428571</v>
      </c>
      <c r="CG35" s="11">
        <v>1.5450823415970973</v>
      </c>
      <c r="CH35" s="10">
        <v>-0.78443115949630737</v>
      </c>
      <c r="CI35" s="10">
        <v>-0.28120517730712891</v>
      </c>
      <c r="CJ35" s="10">
        <v>0.11698717623949051</v>
      </c>
      <c r="CK35" s="10">
        <v>-3.1948881223797798E-3</v>
      </c>
      <c r="CL35" s="10">
        <v>3.8142621517181396E-2</v>
      </c>
      <c r="CM35" s="11">
        <v>-0.84407973289489746</v>
      </c>
      <c r="CN35" s="11">
        <v>-0.37639835476875305</v>
      </c>
      <c r="CO35" s="11">
        <v>0.18929125368595123</v>
      </c>
      <c r="CP35" s="11">
        <v>3.0829666182398796E-2</v>
      </c>
      <c r="CQ35" s="11">
        <v>0.3871215283870697</v>
      </c>
      <c r="CR35" s="3">
        <v>34.220601848945343</v>
      </c>
      <c r="CS35" s="3">
        <v>1.8726358978648303</v>
      </c>
      <c r="CT35" s="3">
        <v>0</v>
      </c>
      <c r="CU35" s="10">
        <v>-0.18274028543382884</v>
      </c>
      <c r="CV35" s="11">
        <v>-0.12264712788164615</v>
      </c>
      <c r="CW35" s="3">
        <v>0.06</v>
      </c>
      <c r="CX35" s="3">
        <v>177.55437881873726</v>
      </c>
      <c r="CY35" s="3" t="s">
        <v>1586</v>
      </c>
      <c r="CZ35" s="3">
        <v>-0.18274028543382884</v>
      </c>
      <c r="DA35" s="3">
        <v>59.18479293957909</v>
      </c>
      <c r="DB35" s="3" t="s">
        <v>1587</v>
      </c>
      <c r="DC35" s="3">
        <v>-0.17360327116213739</v>
      </c>
      <c r="DD35" s="3">
        <v>29.592396469789545</v>
      </c>
      <c r="DE35" s="3" t="s">
        <v>1588</v>
      </c>
      <c r="DF35" s="3">
        <v>-0.16081145118176937</v>
      </c>
      <c r="DG35" s="3">
        <v>17.755437881873728</v>
      </c>
      <c r="DH35" s="3" t="s">
        <v>1589</v>
      </c>
      <c r="DI35" s="3">
        <v>-0.14619222834706308</v>
      </c>
      <c r="DJ35" s="3">
        <v>8.8777189409368642</v>
      </c>
      <c r="DK35" s="3" t="s">
        <v>1590</v>
      </c>
      <c r="DL35" s="3">
        <v>-0.12791819980368019</v>
      </c>
      <c r="DM35" s="3">
        <v>8592500</v>
      </c>
      <c r="DN35" s="3">
        <v>-0.18274028543382884</v>
      </c>
      <c r="DO35" s="3">
        <v>1525636000</v>
      </c>
      <c r="DP35" s="3">
        <v>374870950</v>
      </c>
      <c r="DQ35" s="3">
        <v>5049</v>
      </c>
      <c r="DR35" s="3">
        <v>-0.30297400028045685</v>
      </c>
      <c r="DS35" s="3">
        <v>1.6677294694787435</v>
      </c>
      <c r="DT35" s="12">
        <v>-0.92333333333333334</v>
      </c>
      <c r="DU35" s="3">
        <v>-0.25</v>
      </c>
      <c r="DV35" s="3">
        <v>-1.1733333333333333</v>
      </c>
      <c r="DW35" s="3">
        <v>-9.5358744394618835</v>
      </c>
      <c r="DX35" s="3">
        <v>0.32269104407794114</v>
      </c>
      <c r="DY35" s="3">
        <v>-9.0603882500776418</v>
      </c>
      <c r="DZ35" s="3">
        <v>942</v>
      </c>
      <c r="EA35" s="3">
        <v>-9.0492560129791801</v>
      </c>
      <c r="EB35" s="3">
        <v>9</v>
      </c>
      <c r="EC35" s="3">
        <v>4.6685176790571173E-2</v>
      </c>
      <c r="ED35" s="3">
        <v>0.41427583862194017</v>
      </c>
      <c r="EE35" s="13">
        <v>-3.0283000000000002</v>
      </c>
      <c r="EF35" s="3">
        <v>-3.0072999999999999</v>
      </c>
      <c r="EG35" s="3">
        <v>21.112691044077941</v>
      </c>
      <c r="EH35" s="3" t="s">
        <v>995</v>
      </c>
      <c r="EI35" s="3">
        <v>0</v>
      </c>
      <c r="EJ35" s="3">
        <v>1</v>
      </c>
      <c r="EK35" s="15">
        <v>45470</v>
      </c>
      <c r="EL35" s="16">
        <v>-2.08</v>
      </c>
      <c r="EM35" s="16">
        <v>-4.51</v>
      </c>
      <c r="EN35" s="3">
        <v>-1.4</v>
      </c>
      <c r="EO35" s="3">
        <v>3.59</v>
      </c>
      <c r="EP35" s="3">
        <v>-2.1</v>
      </c>
    </row>
    <row r="36" spans="1:146" ht="180" x14ac:dyDescent="0.25">
      <c r="A36" s="7" t="s">
        <v>639</v>
      </c>
      <c r="C36" s="7" t="str">
        <f>"公司主营业务是从事连接器产品的研发、生产、销售和服务。主要产品包括连接器、连接器组件和模块等系列。"&amp;CHAR(10)&amp;Basic_Fundamental_Information_Constructure(F36)&amp;CHAR(10)&amp;Basic_Fundamental_Information_Concatenate("新能源连接器 13.95亿 85.83% 87.14% 27.50%
通信连接器 1.55亿 9.56% 6.95% 19.71%
其他连接器 6480.22万 3.99% 3.92% 26.60%
其他业务 1023.31万 0.63% 1.99% 85.45%")</f>
        <v>公司主营业务是从事连接器产品的研发、生产、销售和服务。主要产品包括连接器、连接器组件和模块等系列。
市值40.302016亿, 利润4169.03万; PE29.31; 平均PE43; 平均PEG2.4, PB2.03; ROIC11.76%; ROE13.4433%; 股利率.3931%; 毛利25.55%; 净利12.3267%; 上一年度营收增-71.57%, 利润增-83.52%; 当季营收增-28.7%, 利润增-37.46%; 过往5年营收增17.88%, 利润增35.79%
Income profile:
新能源连接器 13.95亿 85.83% 87.14% 27.50%
通信连接器 1.55亿 9.56% 6.95% 19.71%
其他连接器 6480.22万 3.99% 3.92% 26.60%
其他业务 1023.31万 0.63% 1.99% 85.45%</v>
      </c>
      <c r="D36" s="3" t="s">
        <v>274</v>
      </c>
      <c r="E36" s="3" t="s">
        <v>275</v>
      </c>
      <c r="F36" s="3">
        <v>25.44</v>
      </c>
      <c r="G36" s="3">
        <v>-1.01</v>
      </c>
      <c r="H36" s="3" t="s">
        <v>1591</v>
      </c>
      <c r="I36" s="3">
        <v>4030201600</v>
      </c>
      <c r="J36" s="3">
        <v>29.31</v>
      </c>
      <c r="K36" s="3">
        <v>2.0299999999999998</v>
      </c>
      <c r="L36" s="3" t="s">
        <v>49</v>
      </c>
      <c r="M36" s="3" t="s">
        <v>1592</v>
      </c>
      <c r="N36" s="3" t="s">
        <v>1593</v>
      </c>
      <c r="O36" s="3" t="s">
        <v>213</v>
      </c>
      <c r="P36" s="3">
        <v>40.659999999999997</v>
      </c>
      <c r="Q36" s="3" t="s">
        <v>213</v>
      </c>
      <c r="R36" s="3">
        <v>41690342</v>
      </c>
      <c r="S36" s="5">
        <v>1.66E-2</v>
      </c>
      <c r="T36" s="3" t="s">
        <v>1594</v>
      </c>
      <c r="U36" s="3">
        <v>106589073</v>
      </c>
      <c r="V36" s="3">
        <v>158419870</v>
      </c>
      <c r="W36" s="3">
        <v>1.84</v>
      </c>
      <c r="X36" s="3">
        <v>0.13</v>
      </c>
      <c r="Y36" s="3">
        <v>9.43</v>
      </c>
      <c r="Z36" s="3" t="s">
        <v>653</v>
      </c>
      <c r="AA36" s="3" t="s">
        <v>1523</v>
      </c>
      <c r="AB36" s="3" t="s">
        <v>1595</v>
      </c>
      <c r="AC36" s="3" t="s">
        <v>1596</v>
      </c>
      <c r="AD36" s="3" t="s">
        <v>52</v>
      </c>
      <c r="AE36" s="3">
        <v>2445057</v>
      </c>
      <c r="AF36" s="3" t="s">
        <v>1597</v>
      </c>
      <c r="AG36" s="3" t="s">
        <v>52</v>
      </c>
      <c r="AH36" s="3" t="s">
        <v>1598</v>
      </c>
      <c r="AI36" s="3" t="s">
        <v>1599</v>
      </c>
      <c r="AJ36" s="3" t="s">
        <v>1600</v>
      </c>
      <c r="AK36" s="3" t="s">
        <v>532</v>
      </c>
      <c r="AL36" s="3" t="s">
        <v>1601</v>
      </c>
      <c r="AM36" s="3" t="s">
        <v>52</v>
      </c>
      <c r="AN36" s="3" t="s">
        <v>324</v>
      </c>
      <c r="AO36" s="3" t="s">
        <v>708</v>
      </c>
      <c r="AP36" s="3" t="s">
        <v>400</v>
      </c>
      <c r="AQ36" s="3" t="s">
        <v>1602</v>
      </c>
      <c r="AR36" s="3" t="s">
        <v>52</v>
      </c>
      <c r="AS36" s="3" t="s">
        <v>1603</v>
      </c>
      <c r="AT36" s="3" t="s">
        <v>1604</v>
      </c>
      <c r="AU36" s="3" t="s">
        <v>1605</v>
      </c>
      <c r="AV36" s="3" t="s">
        <v>1606</v>
      </c>
      <c r="AW36" s="3" t="s">
        <v>526</v>
      </c>
      <c r="AX36" s="3" t="s">
        <v>633</v>
      </c>
      <c r="AY36" s="3" t="s">
        <v>239</v>
      </c>
      <c r="AZ36" s="3" t="s">
        <v>276</v>
      </c>
      <c r="BA36" s="3" t="s">
        <v>278</v>
      </c>
      <c r="BB36" s="3" t="s">
        <v>279</v>
      </c>
      <c r="BC36" s="3" t="s">
        <v>573</v>
      </c>
      <c r="BD36" s="3" t="s">
        <v>223</v>
      </c>
      <c r="BE36" s="3" t="s">
        <v>277</v>
      </c>
      <c r="BF36" s="3" t="s">
        <v>280</v>
      </c>
      <c r="BG36" s="3" t="s">
        <v>281</v>
      </c>
      <c r="BH36" s="3" t="s">
        <v>1607</v>
      </c>
      <c r="BI36" s="3" t="s">
        <v>191</v>
      </c>
      <c r="BJ36" s="3" t="s">
        <v>633</v>
      </c>
      <c r="BK36" s="3" t="s">
        <v>537</v>
      </c>
      <c r="BL36" s="3" t="s">
        <v>710</v>
      </c>
      <c r="BM36" s="3" t="s">
        <v>573</v>
      </c>
      <c r="BN36" s="3">
        <v>4.33</v>
      </c>
      <c r="BO36" s="3">
        <v>16.809999999999999</v>
      </c>
      <c r="BP36" s="3">
        <v>14.14</v>
      </c>
      <c r="BQ36" s="3">
        <v>4.99</v>
      </c>
      <c r="BR36" s="3">
        <v>19.88</v>
      </c>
      <c r="BS36" s="3">
        <v>15.46</v>
      </c>
      <c r="BT36" s="3" t="s">
        <v>580</v>
      </c>
      <c r="BU36" s="3" t="s">
        <v>49</v>
      </c>
      <c r="BV36" s="3">
        <v>25.07</v>
      </c>
      <c r="BW36" s="3">
        <v>27.09</v>
      </c>
      <c r="BX36" s="3">
        <v>24.49</v>
      </c>
      <c r="BY36" s="3">
        <v>8.7799999999999994</v>
      </c>
      <c r="BZ36" s="3">
        <v>15.58</v>
      </c>
      <c r="CA36" s="3">
        <v>12.62</v>
      </c>
      <c r="CB36" s="3">
        <v>-9.4</v>
      </c>
      <c r="CC36" s="3">
        <v>-17.239999999999998</v>
      </c>
      <c r="CD36" s="3" t="s">
        <v>1608</v>
      </c>
      <c r="CE36" s="3" t="s">
        <v>1609</v>
      </c>
      <c r="CF36" s="10">
        <v>-0.28703703703703703</v>
      </c>
      <c r="CG36" s="11">
        <v>-0.3746423685694743</v>
      </c>
      <c r="CH36" s="10">
        <v>-0.71569228172302246</v>
      </c>
      <c r="CI36" s="10">
        <v>0.80155205726623535</v>
      </c>
      <c r="CJ36" s="10">
        <v>0.47868853807449341</v>
      </c>
      <c r="CK36" s="10">
        <v>0.20078739523887634</v>
      </c>
      <c r="CL36" s="10">
        <v>0.12888889014720917</v>
      </c>
      <c r="CM36" s="11">
        <v>-0.83521616458892822</v>
      </c>
      <c r="CN36" s="11">
        <v>1.219298243522644</v>
      </c>
      <c r="CO36" s="11">
        <v>0.54835343360900879</v>
      </c>
      <c r="CP36" s="11">
        <v>0.7516588568687439</v>
      </c>
      <c r="CQ36" s="11">
        <v>0.10522842407226563</v>
      </c>
      <c r="CR36" s="3">
        <v>42.997989971193853</v>
      </c>
      <c r="CS36" s="3">
        <v>2.4042052756709911</v>
      </c>
      <c r="CT36" s="3">
        <v>0.39308176100628928</v>
      </c>
      <c r="CU36" s="10">
        <v>0.17884491980075837</v>
      </c>
      <c r="CV36" s="11">
        <v>0.35786455869674683</v>
      </c>
      <c r="CW36" s="3">
        <v>0.06</v>
      </c>
      <c r="CX36" s="3">
        <v>74.349979203689983</v>
      </c>
      <c r="CY36" s="3">
        <v>46364526.754688263</v>
      </c>
      <c r="CZ36" s="3">
        <v>0.17884491980075837</v>
      </c>
      <c r="DA36" s="3">
        <v>22.553551472965143</v>
      </c>
      <c r="DB36" s="3">
        <v>152845178.46921569</v>
      </c>
      <c r="DC36" s="3">
        <v>0.16990267381072044</v>
      </c>
      <c r="DD36" s="3">
        <v>10.018421328684266</v>
      </c>
      <c r="DE36" s="3">
        <v>344086307.30374026</v>
      </c>
      <c r="DF36" s="3">
        <v>0.15738352942466735</v>
      </c>
      <c r="DG36" s="3">
        <v>5.3339639234309191</v>
      </c>
      <c r="DH36" s="3">
        <v>646273887.39117801</v>
      </c>
      <c r="DI36" s="3">
        <v>0.14307593584060671</v>
      </c>
      <c r="DJ36" s="3">
        <v>2.0836057288634451</v>
      </c>
      <c r="DK36" s="3">
        <v>1654440450.1519406</v>
      </c>
      <c r="DL36" s="3">
        <v>0.12519144386053085</v>
      </c>
      <c r="DM36" s="3">
        <v>41690300</v>
      </c>
      <c r="DN36" s="3">
        <v>0.17884491980075837</v>
      </c>
      <c r="DO36" s="3">
        <v>3447201600</v>
      </c>
      <c r="DP36" s="3">
        <v>1250888200</v>
      </c>
      <c r="DQ36" s="3">
        <v>5109</v>
      </c>
      <c r="DR36" s="3">
        <v>-0.46588195683779543</v>
      </c>
      <c r="DS36" s="3">
        <v>-0.73250692726622113</v>
      </c>
      <c r="DT36" s="12">
        <v>-0.22333333333333338</v>
      </c>
      <c r="DU36" s="3">
        <v>0.11333333333333333</v>
      </c>
      <c r="DV36" s="3">
        <v>-0.11000000000000006</v>
      </c>
      <c r="DW36" s="3">
        <v>-9.5452436194895594</v>
      </c>
      <c r="DX36" s="3">
        <v>0.39141137390541703</v>
      </c>
      <c r="DY36" s="3">
        <v>-9.0661987769553889</v>
      </c>
      <c r="DZ36" s="3">
        <v>2385</v>
      </c>
      <c r="EA36" s="3">
        <v>-9.0353016961259165</v>
      </c>
      <c r="EB36" s="3">
        <v>9</v>
      </c>
      <c r="EC36" s="3">
        <v>5.2447966280997453E-2</v>
      </c>
      <c r="ED36" s="3">
        <v>0.43198558362659939</v>
      </c>
      <c r="EE36" s="13">
        <v>3.4000000000000002E-2</v>
      </c>
      <c r="EF36" s="3">
        <v>4.6999999999999993E-3</v>
      </c>
      <c r="EG36" s="3">
        <v>27.121411373905417</v>
      </c>
      <c r="EH36" s="3" t="s">
        <v>364</v>
      </c>
      <c r="EI36" s="3">
        <v>0</v>
      </c>
      <c r="EJ36" s="3">
        <v>0</v>
      </c>
      <c r="EK36" s="15">
        <v>45470</v>
      </c>
      <c r="EL36" s="16">
        <v>1.92</v>
      </c>
      <c r="EM36" s="16">
        <v>-2.77</v>
      </c>
      <c r="EN36" s="3">
        <v>-0.28999999999999998</v>
      </c>
      <c r="EO36" s="3">
        <v>1.78</v>
      </c>
      <c r="EP36" s="3">
        <v>-2.93</v>
      </c>
    </row>
    <row r="37" spans="1:146" x14ac:dyDescent="0.25">
      <c r="Q37" s="5"/>
    </row>
    <row r="38" spans="1:146" x14ac:dyDescent="0.25">
      <c r="Q38" s="5"/>
    </row>
    <row r="39" spans="1:146" x14ac:dyDescent="0.25">
      <c r="Q39" s="5"/>
    </row>
    <row r="40" spans="1:146" x14ac:dyDescent="0.25">
      <c r="Q40" s="5"/>
    </row>
    <row r="41" spans="1:146" x14ac:dyDescent="0.25">
      <c r="Q41" s="5"/>
    </row>
    <row r="42" spans="1:146" x14ac:dyDescent="0.25">
      <c r="Q42" s="5"/>
    </row>
    <row r="43" spans="1:146" x14ac:dyDescent="0.25">
      <c r="Q43" s="5"/>
    </row>
    <row r="44" spans="1:146" x14ac:dyDescent="0.25">
      <c r="Q44" s="5"/>
    </row>
    <row r="45" spans="1:146" x14ac:dyDescent="0.25">
      <c r="Q45" s="5"/>
    </row>
    <row r="46" spans="1:146" x14ac:dyDescent="0.25">
      <c r="Q46" s="5"/>
    </row>
    <row r="47" spans="1:146" x14ac:dyDescent="0.25">
      <c r="Q47" s="5"/>
    </row>
    <row r="48" spans="1:146" x14ac:dyDescent="0.25">
      <c r="Q48" s="5"/>
    </row>
    <row r="49" spans="1:17" x14ac:dyDescent="0.25">
      <c r="A49" s="9"/>
      <c r="B49" s="9"/>
      <c r="C49" s="9"/>
      <c r="Q49" s="5"/>
    </row>
    <row r="50" spans="1:17" x14ac:dyDescent="0.25">
      <c r="Q50" s="5"/>
    </row>
    <row r="51" spans="1:17" x14ac:dyDescent="0.25">
      <c r="Q51" s="5"/>
    </row>
    <row r="52" spans="1:17" x14ac:dyDescent="0.25">
      <c r="Q52" s="5"/>
    </row>
    <row r="53" spans="1:17" x14ac:dyDescent="0.25">
      <c r="Q53" s="5"/>
    </row>
    <row r="54" spans="1:17" x14ac:dyDescent="0.25">
      <c r="Q54" s="5"/>
    </row>
    <row r="55" spans="1:17" x14ac:dyDescent="0.25">
      <c r="A55" s="9"/>
      <c r="B55" s="9"/>
      <c r="C55" s="9"/>
      <c r="Q55" s="5"/>
    </row>
    <row r="56" spans="1:17" x14ac:dyDescent="0.25">
      <c r="Q56" s="5"/>
    </row>
    <row r="57" spans="1:17" x14ac:dyDescent="0.25">
      <c r="Q57" s="5"/>
    </row>
    <row r="58" spans="1:17" x14ac:dyDescent="0.25">
      <c r="Q58" s="5"/>
    </row>
    <row r="59" spans="1:17" x14ac:dyDescent="0.25">
      <c r="Q59" s="5"/>
    </row>
    <row r="60" spans="1:17" x14ac:dyDescent="0.25">
      <c r="Q60" s="5"/>
    </row>
    <row r="61" spans="1:17" x14ac:dyDescent="0.25">
      <c r="Q61" s="5"/>
    </row>
    <row r="62" spans="1:17" x14ac:dyDescent="0.25">
      <c r="Q62" s="5"/>
    </row>
    <row r="63" spans="1:17" x14ac:dyDescent="0.25">
      <c r="Q63" s="5"/>
    </row>
    <row r="64" spans="1:17" x14ac:dyDescent="0.25">
      <c r="Q64" s="5"/>
    </row>
    <row r="65" spans="17:17" x14ac:dyDescent="0.25">
      <c r="Q65" s="5"/>
    </row>
    <row r="66" spans="17:17" x14ac:dyDescent="0.25">
      <c r="Q66" s="5"/>
    </row>
    <row r="67" spans="17:17" x14ac:dyDescent="0.25">
      <c r="Q67" s="5"/>
    </row>
    <row r="68" spans="17:17" x14ac:dyDescent="0.25">
      <c r="Q68" s="5"/>
    </row>
    <row r="69" spans="17:17" x14ac:dyDescent="0.25">
      <c r="Q69" s="5"/>
    </row>
    <row r="70" spans="17:17" x14ac:dyDescent="0.25">
      <c r="Q70" s="5"/>
    </row>
    <row r="71" spans="17:17" x14ac:dyDescent="0.25">
      <c r="Q71" s="5"/>
    </row>
    <row r="72" spans="17:17" x14ac:dyDescent="0.25">
      <c r="Q72" s="5"/>
    </row>
    <row r="73" spans="17:17" x14ac:dyDescent="0.25">
      <c r="Q73" s="5"/>
    </row>
    <row r="74" spans="17:17" x14ac:dyDescent="0.25">
      <c r="Q74" s="5"/>
    </row>
    <row r="75" spans="17:17" x14ac:dyDescent="0.25">
      <c r="Q75" s="5"/>
    </row>
    <row r="76" spans="17:17" x14ac:dyDescent="0.25">
      <c r="Q76" s="5"/>
    </row>
    <row r="77" spans="17:17" x14ac:dyDescent="0.25">
      <c r="Q77" s="5"/>
    </row>
    <row r="78" spans="17:17" x14ac:dyDescent="0.25">
      <c r="Q78" s="5"/>
    </row>
    <row r="79" spans="17:17" x14ac:dyDescent="0.25">
      <c r="Q79" s="5"/>
    </row>
    <row r="80" spans="17:17" x14ac:dyDescent="0.25">
      <c r="Q80" s="5"/>
    </row>
    <row r="81" spans="17:17" x14ac:dyDescent="0.25">
      <c r="Q81" s="5"/>
    </row>
    <row r="82" spans="17:17" x14ac:dyDescent="0.25">
      <c r="Q82" s="5"/>
    </row>
    <row r="83" spans="17:17" x14ac:dyDescent="0.25">
      <c r="Q83" s="5"/>
    </row>
    <row r="84" spans="17:17" x14ac:dyDescent="0.25">
      <c r="Q84" s="5"/>
    </row>
    <row r="85" spans="17:17" x14ac:dyDescent="0.25">
      <c r="Q85" s="5"/>
    </row>
    <row r="86" spans="17:17" x14ac:dyDescent="0.25">
      <c r="Q86" s="5"/>
    </row>
    <row r="87" spans="17:17" x14ac:dyDescent="0.25">
      <c r="Q87" s="5"/>
    </row>
    <row r="88" spans="17:17" x14ac:dyDescent="0.25">
      <c r="Q88" s="5"/>
    </row>
    <row r="89" spans="17:17" x14ac:dyDescent="0.25">
      <c r="Q89" s="5"/>
    </row>
    <row r="90" spans="17:17" x14ac:dyDescent="0.25">
      <c r="Q90" s="5"/>
    </row>
    <row r="91" spans="17:17" x14ac:dyDescent="0.25">
      <c r="Q91" s="5"/>
    </row>
    <row r="92" spans="17:17" x14ac:dyDescent="0.25">
      <c r="Q92" s="5"/>
    </row>
    <row r="93" spans="17:17" x14ac:dyDescent="0.25">
      <c r="Q93" s="5"/>
    </row>
    <row r="94" spans="17:17" x14ac:dyDescent="0.25">
      <c r="Q94" s="5"/>
    </row>
    <row r="95" spans="17:17" x14ac:dyDescent="0.25">
      <c r="Q95" s="4"/>
    </row>
    <row r="96" spans="17:17" x14ac:dyDescent="0.25">
      <c r="Q96" s="5"/>
    </row>
    <row r="97" spans="17:17" x14ac:dyDescent="0.25">
      <c r="Q97" s="5"/>
    </row>
    <row r="98" spans="17:17" x14ac:dyDescent="0.25">
      <c r="Q98" s="5"/>
    </row>
    <row r="99" spans="17:17" x14ac:dyDescent="0.25">
      <c r="Q99" s="5"/>
    </row>
    <row r="100" spans="17:17" x14ac:dyDescent="0.25">
      <c r="Q100" s="5"/>
    </row>
    <row r="101" spans="17:17" x14ac:dyDescent="0.25">
      <c r="Q101" s="5"/>
    </row>
    <row r="102" spans="17:17" x14ac:dyDescent="0.25">
      <c r="Q102" s="5"/>
    </row>
    <row r="103" spans="17:17" x14ac:dyDescent="0.25">
      <c r="Q103" s="5"/>
    </row>
    <row r="104" spans="17:17" x14ac:dyDescent="0.25">
      <c r="Q104" s="5"/>
    </row>
    <row r="105" spans="17:17" x14ac:dyDescent="0.25">
      <c r="Q105" s="5"/>
    </row>
    <row r="106" spans="17:17" x14ac:dyDescent="0.25">
      <c r="Q106" s="5"/>
    </row>
    <row r="107" spans="17:17" x14ac:dyDescent="0.25">
      <c r="Q107" s="5"/>
    </row>
    <row r="108" spans="17:17" x14ac:dyDescent="0.25">
      <c r="Q108" s="5"/>
    </row>
    <row r="109" spans="17:17" x14ac:dyDescent="0.25">
      <c r="Q109" s="5"/>
    </row>
    <row r="110" spans="17:17" x14ac:dyDescent="0.25">
      <c r="Q110" s="5"/>
    </row>
    <row r="111" spans="17:17" x14ac:dyDescent="0.25">
      <c r="Q111" s="5"/>
    </row>
    <row r="112" spans="17:17" x14ac:dyDescent="0.25">
      <c r="Q112" s="5"/>
    </row>
    <row r="113" spans="17:17" x14ac:dyDescent="0.25">
      <c r="Q113" s="5"/>
    </row>
  </sheetData>
  <autoFilter ref="BU1:BU113"/>
  <sortState ref="D2:AD92">
    <sortCondition ref="D2:D92"/>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其他电子&quot;,&quot;&quot;'" altText="更新基本面按钮_x000a_">
                <anchor moveWithCells="1" sizeWithCells="1">
                  <from>
                    <xdr:col>147</xdr:col>
                    <xdr:colOff>196850</xdr:colOff>
                    <xdr:row>0</xdr:row>
                    <xdr:rowOff>50800</xdr:rowOff>
                  </from>
                  <to>
                    <xdr:col>147</xdr:col>
                    <xdr:colOff>1327150</xdr:colOff>
                    <xdr:row>0</xdr:row>
                    <xdr:rowOff>412750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6"/>
  <sheetViews>
    <sheetView workbookViewId="0">
      <selection activeCell="I58" sqref="I58"/>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其他电子</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2024-07-08T15:28:44Z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