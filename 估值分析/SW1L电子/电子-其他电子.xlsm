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004Investment\value-investment\估值分析\SW1L电子\"/>
    </mc:Choice>
  </mc:AlternateContent>
  <bookViews>
    <workbookView xWindow="0" yWindow="0" windowWidth="3800" windowHeight="2950"/>
  </bookViews>
  <sheets>
    <sheet name="其他电子" sheetId="7" r:id="rId1"/>
    <sheet name="估值-增速与年化收益" sheetId="14" r:id="rId2"/>
  </sheets>
  <functionGroups builtInGroupCount="18"/>
  <definedNames>
    <definedName name="_xlnm._FilterDatabase" localSheetId="0" hidden="1">其他电子!$BU$1:$BU$109</definedName>
  </definedNames>
  <calcPr calcId="152511"/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30" i="7"/>
  <c r="C29" i="7"/>
  <c r="C26" i="7"/>
  <c r="C22" i="7"/>
  <c r="C19" i="7"/>
  <c r="C15" i="7"/>
  <c r="C9" i="7"/>
  <c r="C32" i="7"/>
  <c r="C28" i="7"/>
  <c r="C25" i="7"/>
  <c r="C18" i="7"/>
  <c r="C14" i="7"/>
  <c r="C11" i="7"/>
  <c r="C20" i="7"/>
  <c r="C12" i="7"/>
  <c r="C31" i="7"/>
  <c r="C27" i="7"/>
  <c r="C24" i="7"/>
  <c r="C21" i="7"/>
  <c r="C17" i="7"/>
  <c r="C13" i="7"/>
  <c r="C10" i="7"/>
  <c r="C23" i="7"/>
  <c r="C16" i="7"/>
  <c r="C8" i="7"/>
  <c r="C7" i="7"/>
  <c r="C6" i="7"/>
  <c r="C5" i="7"/>
  <c r="C4" i="7"/>
  <c r="C3" i="7"/>
  <c r="C2" i="7"/>
</calcChain>
</file>

<file path=xl/sharedStrings.xml><?xml version="1.0" encoding="utf-8"?>
<sst xmlns="http://schemas.openxmlformats.org/spreadsheetml/2006/main" count="1825" uniqueCount="1371">
  <si>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</si>
  <si>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</si>
  <si>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</si>
  <si>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已知和基本信息</t>
    <phoneticPr fontId="1" type="noConversion"/>
  </si>
  <si>
    <t>预期多</t>
    <phoneticPr fontId="1" type="noConversion"/>
  </si>
  <si>
    <t>预期空</t>
    <phoneticPr fontId="1" type="noConversion"/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</si>
  <si>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</si>
  <si>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</si>
  <si>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</si>
  <si>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</si>
  <si>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</si>
  <si>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</si>
  <si>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</si>
  <si>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</si>
  <si>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</si>
  <si>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</si>
  <si>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</si>
  <si>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</si>
  <si>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</si>
  <si>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现价</t>
  </si>
  <si>
    <t>总市值</t>
  </si>
  <si>
    <t>TTM市盈率</t>
  </si>
  <si>
    <t>市净率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</si>
  <si>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</si>
  <si>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</si>
  <si>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</si>
  <si>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</si>
  <si>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</si>
  <si>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</si>
  <si>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</si>
  <si>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</si>
  <si>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</si>
  <si>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</si>
  <si>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</si>
  <si>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</si>
  <si>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</si>
  <si>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</si>
  <si>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</si>
  <si>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</si>
  <si>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</si>
  <si>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</si>
  <si>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</si>
  <si>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</si>
  <si>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销售毛利率%[20201231]</t>
  </si>
  <si>
    <t>销售毛利率%[20191231]</t>
  </si>
  <si>
    <t>销售净利率%[20201231]</t>
  </si>
  <si>
    <t>销售净利率%[20191231]</t>
  </si>
  <si>
    <t>SZ000062</t>
  </si>
  <si>
    <t>深圳华强</t>
  </si>
  <si>
    <t>其他电子</t>
  </si>
  <si>
    <t>163.31亿</t>
  </si>
  <si>
    <t>6.25亿</t>
  </si>
  <si>
    <t>--</t>
  </si>
  <si>
    <t>1.07亿</t>
  </si>
  <si>
    <t>143.55亿</t>
  </si>
  <si>
    <t>118.00亿</t>
  </si>
  <si>
    <t>6.30亿</t>
  </si>
  <si>
    <t>6.86亿</t>
  </si>
  <si>
    <t>2.26亿</t>
  </si>
  <si>
    <t>1.03亿</t>
  </si>
  <si>
    <t>2.41亿</t>
  </si>
  <si>
    <t>1.26亿</t>
  </si>
  <si>
    <t>SZ002130</t>
  </si>
  <si>
    <t>沃尔核材</t>
  </si>
  <si>
    <t>40.95亿</t>
  </si>
  <si>
    <t>3.96亿</t>
  </si>
  <si>
    <t>1.54亿</t>
  </si>
  <si>
    <t>1.43亿</t>
  </si>
  <si>
    <t>7.43亿</t>
  </si>
  <si>
    <t>39.78亿</t>
  </si>
  <si>
    <t>35.25亿</t>
  </si>
  <si>
    <t>2.10亿</t>
  </si>
  <si>
    <t>2051.42万</t>
  </si>
  <si>
    <t>1.68亿</t>
  </si>
  <si>
    <t>6.29亿</t>
  </si>
  <si>
    <t>1.69亿</t>
  </si>
  <si>
    <t>SZ002161</t>
  </si>
  <si>
    <t>远 望 谷</t>
  </si>
  <si>
    <t>4.74亿</t>
  </si>
  <si>
    <t>-4.38亿</t>
  </si>
  <si>
    <t>1.22亿</t>
  </si>
  <si>
    <t>4.38亿</t>
  </si>
  <si>
    <t>5.31亿</t>
  </si>
  <si>
    <t>-1.79亿</t>
  </si>
  <si>
    <t>0亿</t>
  </si>
  <si>
    <t>1.18亿</t>
  </si>
  <si>
    <t>SZ002388</t>
  </si>
  <si>
    <t>新亚制程</t>
  </si>
  <si>
    <t>7009.96万</t>
  </si>
  <si>
    <t>2.24亿</t>
  </si>
  <si>
    <t>8.38亿</t>
  </si>
  <si>
    <t>5177.50万</t>
  </si>
  <si>
    <t>3216.41万</t>
  </si>
  <si>
    <t>3.01亿</t>
  </si>
  <si>
    <t>3.57亿</t>
  </si>
  <si>
    <t>1.11亿</t>
  </si>
  <si>
    <t>SZ002729</t>
  </si>
  <si>
    <t>好利科技</t>
  </si>
  <si>
    <t>1078.46万</t>
  </si>
  <si>
    <t>1.78亿</t>
  </si>
  <si>
    <t>1.77亿</t>
  </si>
  <si>
    <t>2160.89万</t>
  </si>
  <si>
    <t>2062.65万</t>
  </si>
  <si>
    <t>SZ002859</t>
  </si>
  <si>
    <t>洁美科技</t>
  </si>
  <si>
    <t>14.26亿</t>
  </si>
  <si>
    <t>2.89亿</t>
  </si>
  <si>
    <t>7.29亿</t>
  </si>
  <si>
    <t>5.73亿</t>
  </si>
  <si>
    <t>9.49亿</t>
  </si>
  <si>
    <t>13.11亿</t>
  </si>
  <si>
    <t>2.75亿</t>
  </si>
  <si>
    <t>1.96亿</t>
  </si>
  <si>
    <t>1.38亿</t>
  </si>
  <si>
    <t>6.31亿</t>
  </si>
  <si>
    <t>SZ002922</t>
  </si>
  <si>
    <t>伊戈尔</t>
  </si>
  <si>
    <t>14.06亿</t>
  </si>
  <si>
    <t>5143.42万</t>
  </si>
  <si>
    <t>8.83亿</t>
  </si>
  <si>
    <t>5.41亿</t>
  </si>
  <si>
    <t>3.53亿</t>
  </si>
  <si>
    <t>12.97亿</t>
  </si>
  <si>
    <t>10.88亿</t>
  </si>
  <si>
    <t>5737.70万</t>
  </si>
  <si>
    <t>4158.61万</t>
  </si>
  <si>
    <t>3.60亿</t>
  </si>
  <si>
    <t>SZ300184</t>
  </si>
  <si>
    <t>力源信息</t>
  </si>
  <si>
    <t>103.60亿</t>
  </si>
  <si>
    <t>-17.35亿</t>
  </si>
  <si>
    <t>131.32亿</t>
  </si>
  <si>
    <t>107.97亿</t>
  </si>
  <si>
    <t>1.92亿</t>
  </si>
  <si>
    <t>1.46亿</t>
  </si>
  <si>
    <t>SZ300475</t>
  </si>
  <si>
    <t>2.65亿</t>
  </si>
  <si>
    <t>6437.54万</t>
  </si>
  <si>
    <t>1.35亿</t>
  </si>
  <si>
    <t>1.29亿</t>
  </si>
  <si>
    <t>3.07亿</t>
  </si>
  <si>
    <t>4.81亿</t>
  </si>
  <si>
    <t>3.85亿</t>
  </si>
  <si>
    <t>6460.53万</t>
  </si>
  <si>
    <t>3341.46万</t>
  </si>
  <si>
    <t>SZ300493</t>
  </si>
  <si>
    <t>润欣科技</t>
  </si>
  <si>
    <t>13.87亿</t>
  </si>
  <si>
    <t>4502.49万</t>
  </si>
  <si>
    <t>2.21亿</t>
  </si>
  <si>
    <t>14.50亿</t>
  </si>
  <si>
    <t>16.93亿</t>
  </si>
  <si>
    <t>2934.52万</t>
  </si>
  <si>
    <t>1577.61万</t>
  </si>
  <si>
    <t>SZ300516</t>
  </si>
  <si>
    <t>久之洋</t>
  </si>
  <si>
    <t>7.23亿</t>
  </si>
  <si>
    <t>6813.88万</t>
  </si>
  <si>
    <t>2.73亿</t>
  </si>
  <si>
    <t>5.05亿</t>
  </si>
  <si>
    <t>6228.07万</t>
  </si>
  <si>
    <t>6268.49万</t>
  </si>
  <si>
    <t>1.41亿</t>
  </si>
  <si>
    <t>1.84亿</t>
  </si>
  <si>
    <t>SZ300656</t>
  </si>
  <si>
    <t>民德电子</t>
  </si>
  <si>
    <t>4.03亿</t>
  </si>
  <si>
    <t>5160.31万</t>
  </si>
  <si>
    <t>3.05亿</t>
  </si>
  <si>
    <t>1.23亿</t>
  </si>
  <si>
    <t>3616.59万</t>
  </si>
  <si>
    <t>5343.92万</t>
  </si>
  <si>
    <t>SZ300736</t>
  </si>
  <si>
    <t>百邦科技</t>
  </si>
  <si>
    <t>4.89亿</t>
  </si>
  <si>
    <t>-8749.71万</t>
  </si>
  <si>
    <t>-9295.00万</t>
  </si>
  <si>
    <t>2702.89万</t>
  </si>
  <si>
    <t>3.12亿</t>
  </si>
  <si>
    <t>1.06亿</t>
  </si>
  <si>
    <t>1.31亿</t>
  </si>
  <si>
    <t>SZ300975</t>
  </si>
  <si>
    <t>商络电子</t>
  </si>
  <si>
    <t>31.19亿</t>
  </si>
  <si>
    <t>1.50亿</t>
  </si>
  <si>
    <t>20.68亿</t>
  </si>
  <si>
    <t>29.93亿</t>
  </si>
  <si>
    <t>9902.88万</t>
  </si>
  <si>
    <t>3.34亿</t>
  </si>
  <si>
    <t>SZ300991</t>
  </si>
  <si>
    <t>创益通</t>
  </si>
  <si>
    <t>4.62亿</t>
  </si>
  <si>
    <t>7481.52万</t>
  </si>
  <si>
    <t>2.56亿</t>
  </si>
  <si>
    <t>4.41亿</t>
  </si>
  <si>
    <t>3.68亿</t>
  </si>
  <si>
    <t>6512.10万</t>
  </si>
  <si>
    <t>4142.05万</t>
  </si>
  <si>
    <t>SZ301031</t>
  </si>
  <si>
    <t>中熔电气</t>
  </si>
  <si>
    <t>5538.53万</t>
  </si>
  <si>
    <t>1.14亿</t>
  </si>
  <si>
    <t>1.91亿</t>
  </si>
  <si>
    <t>1.58亿</t>
  </si>
  <si>
    <t>3769.08万</t>
  </si>
  <si>
    <t>3167.87万</t>
  </si>
  <si>
    <t>1.15亿</t>
  </si>
  <si>
    <t>SH600353</t>
  </si>
  <si>
    <t>旭光电子</t>
  </si>
  <si>
    <t>9.02亿</t>
  </si>
  <si>
    <t>5353.95万</t>
  </si>
  <si>
    <t>12.01亿</t>
  </si>
  <si>
    <t>10.59亿</t>
  </si>
  <si>
    <t>5587.40万</t>
  </si>
  <si>
    <t>5638.83万</t>
  </si>
  <si>
    <t>SH603933</t>
  </si>
  <si>
    <t>睿能科技</t>
  </si>
  <si>
    <t>14.97亿</t>
  </si>
  <si>
    <t>2516.91万</t>
  </si>
  <si>
    <t>14.78亿</t>
  </si>
  <si>
    <t>18.53亿</t>
  </si>
  <si>
    <t>3012.30万</t>
  </si>
  <si>
    <t>SH688093</t>
  </si>
  <si>
    <t>世华科技</t>
  </si>
  <si>
    <t>3.29亿</t>
  </si>
  <si>
    <t>8158.42万</t>
  </si>
  <si>
    <t>5477.78万</t>
  </si>
  <si>
    <t>SH688103</t>
  </si>
  <si>
    <t>国力股份</t>
  </si>
  <si>
    <t>4.05亿</t>
  </si>
  <si>
    <t>3.32亿</t>
  </si>
  <si>
    <t>3.73亿</t>
  </si>
  <si>
    <t>3935.04万</t>
  </si>
  <si>
    <t>-1286.49万</t>
  </si>
  <si>
    <t>SH688662</t>
  </si>
  <si>
    <t>富信科技</t>
  </si>
  <si>
    <t>6.24亿</t>
  </si>
  <si>
    <t>7430.56万</t>
  </si>
  <si>
    <t>6.26亿</t>
  </si>
  <si>
    <t>6.03亿</t>
  </si>
  <si>
    <t>5.12亿</t>
  </si>
  <si>
    <t>7208.33万</t>
  </si>
  <si>
    <t>5196.61万</t>
  </si>
  <si>
    <t>SH688800</t>
  </si>
  <si>
    <t>瑞可达</t>
  </si>
  <si>
    <t>6.10亿</t>
  </si>
  <si>
    <t>7362.66万</t>
  </si>
  <si>
    <t>5.08亿</t>
  </si>
  <si>
    <t>4.50亿</t>
  </si>
  <si>
    <t>4203.25万</t>
  </si>
  <si>
    <t>3803.06万</t>
  </si>
  <si>
    <t>1.股权转让受让方的实际控制人为珠海市国资委，新亚制程亦表示，引入优质国有资本作为战略投资人将对公司未来发展产生积极影响。近两年，珠海市国资委入股近20家上市公司，这些公司涵盖电子、通信、建材、半导体等多个行业</t>
    <phoneticPr fontId="1" type="noConversion"/>
  </si>
  <si>
    <t>1.毛利不高10%，净利率也不高2%左右，按道理测量仪器仪表应该是高毛利才对？？？</t>
    <phoneticPr fontId="1" type="noConversion"/>
  </si>
  <si>
    <t>由于博思达是销售类型业务，毛利率降低较多</t>
    <phoneticPr fontId="1" type="noConversion"/>
  </si>
  <si>
    <t>SZ300650</t>
  </si>
  <si>
    <t>11.33亿</t>
  </si>
  <si>
    <t>2660.13万</t>
  </si>
  <si>
    <t>5.60亿</t>
  </si>
  <si>
    <t>4.87亿</t>
  </si>
  <si>
    <t>5172.12万</t>
  </si>
  <si>
    <t>5735.04万</t>
  </si>
  <si>
    <t>代码</t>
  </si>
  <si>
    <t>涨幅%</t>
  </si>
  <si>
    <t>流通股本</t>
  </si>
  <si>
    <t>净利润[20201231]</t>
  </si>
  <si>
    <t>投入资本回报率roic%[20201231]</t>
  </si>
  <si>
    <t>净资产收益率%[20201231]</t>
  </si>
  <si>
    <t>228.41亿</t>
  </si>
  <si>
    <t>54.07亿</t>
  </si>
  <si>
    <t>5.53亿</t>
  </si>
  <si>
    <t>2.36亿</t>
  </si>
  <si>
    <t>3.89亿</t>
  </si>
  <si>
    <t>4.92亿</t>
  </si>
  <si>
    <t>-6612.51万</t>
  </si>
  <si>
    <t>6041.45万</t>
  </si>
  <si>
    <t>3.92亿</t>
  </si>
  <si>
    <t>2.23亿</t>
  </si>
  <si>
    <t>2414.17万</t>
  </si>
  <si>
    <t>18.61亿</t>
  </si>
  <si>
    <t>22.30亿</t>
  </si>
  <si>
    <t>1.95亿</t>
  </si>
  <si>
    <t>104.42亿</t>
  </si>
  <si>
    <t>3.06亿</t>
  </si>
  <si>
    <t>香农芯创</t>
  </si>
  <si>
    <t>92.06亿</t>
  </si>
  <si>
    <t>18.58亿</t>
  </si>
  <si>
    <t>5824.73万</t>
  </si>
  <si>
    <t>7809.45万</t>
  </si>
  <si>
    <t>太龙股份</t>
  </si>
  <si>
    <t>49.48亿</t>
  </si>
  <si>
    <t>2.29亿</t>
  </si>
  <si>
    <t>5.46亿</t>
  </si>
  <si>
    <t>7613.36万</t>
  </si>
  <si>
    <t>650.84万</t>
  </si>
  <si>
    <t>53.63亿</t>
  </si>
  <si>
    <t>4.99亿</t>
  </si>
  <si>
    <t>7202.60万</t>
  </si>
  <si>
    <t>8047.67万</t>
  </si>
  <si>
    <t>SZ301099</t>
  </si>
  <si>
    <t>雅创电子</t>
  </si>
  <si>
    <t>14.18亿</t>
  </si>
  <si>
    <t>9240.66万</t>
  </si>
  <si>
    <t>10.98亿</t>
  </si>
  <si>
    <t>11.17亿</t>
  </si>
  <si>
    <t>11.12亿</t>
  </si>
  <si>
    <t>5955.54万</t>
  </si>
  <si>
    <t>3854.40万</t>
  </si>
  <si>
    <t>4425.25万</t>
  </si>
  <si>
    <t>10.07亿</t>
  </si>
  <si>
    <t>5795.10万</t>
  </si>
  <si>
    <t>20.85亿</t>
  </si>
  <si>
    <t>8568.43万</t>
  </si>
  <si>
    <t>4.25亿</t>
  </si>
  <si>
    <t>5.09亿</t>
  </si>
  <si>
    <t>7300.38万</t>
  </si>
  <si>
    <t>4.14亿</t>
  </si>
  <si>
    <t>6.97亿</t>
  </si>
  <si>
    <t>8837.10万</t>
  </si>
  <si>
    <t xml:space="preserve">    名称</t>
  </si>
  <si>
    <t>净利润?</t>
  </si>
  <si>
    <t>扣非净利润</t>
  </si>
  <si>
    <t>营业总收入[20201231]</t>
  </si>
  <si>
    <t>投入资本回报率roic%[20211231]</t>
  </si>
  <si>
    <t>净资产收益率%[20211231]</t>
  </si>
  <si>
    <t>单季营收增速</t>
  </si>
  <si>
    <t>单季利润增速</t>
  </si>
  <si>
    <t>1.86亿</t>
  </si>
  <si>
    <t/>
  </si>
  <si>
    <t>亏损</t>
  </si>
  <si>
    <t>扭亏</t>
  </si>
  <si>
    <t>1-0</t>
  </si>
  <si>
    <t>1-1</t>
  </si>
  <si>
    <t>4.60亿</t>
  </si>
  <si>
    <t>2.06亿</t>
  </si>
  <si>
    <t>2.69亿</t>
  </si>
  <si>
    <t>LY营业总收入[20211231]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</si>
  <si>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</si>
  <si>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</si>
  <si>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</si>
  <si>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</si>
  <si>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</si>
  <si>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</si>
  <si>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</si>
  <si>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细分行业</t>
  </si>
  <si>
    <t>1.04亿</t>
  </si>
  <si>
    <t>SZ000670</t>
  </si>
  <si>
    <t>盈方微</t>
  </si>
  <si>
    <t>28.90亿</t>
  </si>
  <si>
    <t>323.77万</t>
  </si>
  <si>
    <t>7.00亿</t>
  </si>
  <si>
    <t>412.96万</t>
  </si>
  <si>
    <t>1011.93万</t>
  </si>
  <si>
    <t>-2.06亿</t>
  </si>
  <si>
    <t>-1.70亿</t>
  </si>
  <si>
    <t>7.34亿</t>
  </si>
  <si>
    <t>2.93亿</t>
  </si>
  <si>
    <t>SZ002782</t>
  </si>
  <si>
    <t>可立克</t>
  </si>
  <si>
    <t>16.49亿</t>
  </si>
  <si>
    <t>2626.96万</t>
  </si>
  <si>
    <t>2.25亿</t>
  </si>
  <si>
    <t>12.80亿</t>
  </si>
  <si>
    <t>11.09亿</t>
  </si>
  <si>
    <t>10.94亿</t>
  </si>
  <si>
    <t>2228.94万</t>
  </si>
  <si>
    <t>8499.92万</t>
  </si>
  <si>
    <t>SZ002885</t>
  </si>
  <si>
    <t>京泉华</t>
  </si>
  <si>
    <t>19.10亿</t>
  </si>
  <si>
    <t>1992.83万</t>
  </si>
  <si>
    <t>13.14亿</t>
  </si>
  <si>
    <t>13.33亿</t>
  </si>
  <si>
    <t>11.66亿</t>
  </si>
  <si>
    <t>3279.78万</t>
  </si>
  <si>
    <t>5206.41万</t>
  </si>
  <si>
    <t>7973.55万</t>
  </si>
  <si>
    <t>SZ300131</t>
  </si>
  <si>
    <t>英唐智控</t>
  </si>
  <si>
    <t>63.38亿</t>
  </si>
  <si>
    <t>2882.23万</t>
  </si>
  <si>
    <t>104.18亿</t>
  </si>
  <si>
    <t>119.50亿</t>
  </si>
  <si>
    <t>121.14亿</t>
  </si>
  <si>
    <t>2856.54万</t>
  </si>
  <si>
    <t>2.32亿</t>
  </si>
  <si>
    <t>3.19亿</t>
  </si>
  <si>
    <t>4.61亿</t>
  </si>
  <si>
    <t>6增速</t>
    <phoneticPr fontId="1" type="noConversion"/>
  </si>
  <si>
    <t>SZ001298</t>
  </si>
  <si>
    <t>好上好</t>
  </si>
  <si>
    <t>68.41亿</t>
  </si>
  <si>
    <t>52.61亿</t>
  </si>
  <si>
    <t>41.19亿</t>
  </si>
  <si>
    <t>43.08亿</t>
  </si>
  <si>
    <t>5290.14万</t>
  </si>
  <si>
    <t>3471.33万</t>
  </si>
  <si>
    <t>SZ301328</t>
  </si>
  <si>
    <t>4.09亿</t>
  </si>
  <si>
    <t>1.00亿</t>
  </si>
  <si>
    <t>1.66亿</t>
  </si>
  <si>
    <t>6105.68万</t>
  </si>
  <si>
    <t>4342.97万</t>
  </si>
  <si>
    <t>2656.70万</t>
  </si>
  <si>
    <t>2021Q1的营收暴增，是因为并购并表了子公司博思达，对博思达资产组的收购完成之后，新增半导体分销业务板块</t>
    <phoneticPr fontId="1" type="noConversion"/>
  </si>
  <si>
    <t>维峰电子</t>
  </si>
  <si>
    <t>成交量[20221209]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</si>
  <si>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</si>
  <si>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</si>
  <si>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</si>
  <si>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</si>
  <si>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</si>
  <si>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</si>
  <si>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</si>
  <si>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</si>
  <si>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</si>
  <si>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</si>
  <si>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</si>
  <si>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</si>
  <si>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</si>
  <si>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</si>
  <si>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</si>
  <si>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</si>
  <si>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</si>
  <si>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</si>
  <si>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</si>
  <si>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</si>
  <si>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</si>
  <si>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</si>
  <si>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</si>
  <si>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</si>
  <si>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</si>
  <si>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</si>
  <si>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区间涨跌幅:前复权%[20221205-20221209]</t>
  </si>
  <si>
    <t>区间涨跌幅:前复权%[20221031-20221209]</t>
  </si>
  <si>
    <t>区间成交量[20221205-20221209]</t>
  </si>
  <si>
    <t>指数@区间成交量[20221031-20221209]</t>
  </si>
  <si>
    <t>市销率</t>
    <phoneticPr fontId="1" type="noConversion"/>
  </si>
  <si>
    <t>扣非对比净利润</t>
    <phoneticPr fontId="1" type="noConversion"/>
  </si>
  <si>
    <t>股利率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</si>
  <si>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</si>
  <si>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</si>
  <si>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</si>
  <si>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</si>
  <si>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</si>
  <si>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</si>
  <si>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</si>
  <si>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</si>
  <si>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</si>
  <si>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</si>
  <si>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</si>
  <si>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</si>
  <si>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</si>
  <si>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原始顺序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</si>
  <si>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</si>
  <si>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</si>
  <si>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</si>
  <si>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</si>
  <si>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</si>
  <si>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</si>
  <si>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</si>
  <si>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</si>
  <si>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</si>
  <si>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</si>
  <si>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</si>
  <si>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</si>
  <si>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</si>
  <si>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</si>
  <si>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</si>
  <si>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</si>
  <si>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</si>
  <si>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</si>
  <si>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</si>
  <si>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</si>
  <si>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</si>
  <si>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</si>
  <si>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</si>
  <si>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</si>
  <si>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10派3元(含税)</t>
  </si>
  <si>
    <t>不分配不转增</t>
  </si>
  <si>
    <t>10派0.35元(含税)</t>
  </si>
  <si>
    <t>2.09亿</t>
  </si>
  <si>
    <t>2.33亿</t>
  </si>
  <si>
    <t>3.37亿</t>
  </si>
  <si>
    <t>1.28亿</t>
  </si>
  <si>
    <t>1.83亿</t>
  </si>
  <si>
    <t>1.36亿</t>
  </si>
  <si>
    <t>10派6元(含税)</t>
  </si>
  <si>
    <t>1.39亿</t>
  </si>
  <si>
    <t>14.01亿</t>
  </si>
  <si>
    <t>10.78亿</t>
  </si>
  <si>
    <t>2.05亿</t>
  </si>
  <si>
    <t>5.18亿</t>
  </si>
  <si>
    <t>2-1</t>
  </si>
  <si>
    <t>1.37亿</t>
  </si>
  <si>
    <t>239.41亿</t>
  </si>
  <si>
    <t>9.52亿</t>
  </si>
  <si>
    <t>1.55亿</t>
  </si>
  <si>
    <t>31.24亿</t>
  </si>
  <si>
    <t>1490.47万</t>
  </si>
  <si>
    <t>SZ001287</t>
  </si>
  <si>
    <t>中电港</t>
  </si>
  <si>
    <t>433.03亿</t>
  </si>
  <si>
    <t>4.01亿</t>
  </si>
  <si>
    <t>383.91亿</t>
  </si>
  <si>
    <t>260.26亿</t>
  </si>
  <si>
    <t>171.83亿</t>
  </si>
  <si>
    <t>143.17亿</t>
  </si>
  <si>
    <t>8590.48万</t>
  </si>
  <si>
    <t>4727.53万</t>
  </si>
  <si>
    <t>1.85亿</t>
  </si>
  <si>
    <t>63.95亿</t>
  </si>
  <si>
    <t>9922.41万</t>
  </si>
  <si>
    <t>53.41亿</t>
  </si>
  <si>
    <t>3.49亿</t>
  </si>
  <si>
    <t>10派0.4元(含税)</t>
  </si>
  <si>
    <t>2.35亿</t>
  </si>
  <si>
    <t>-3002.29万</t>
  </si>
  <si>
    <t>18.07亿</t>
  </si>
  <si>
    <t>1.93亿</t>
  </si>
  <si>
    <t>4.80亿</t>
  </si>
  <si>
    <t>2.53亿</t>
  </si>
  <si>
    <t>3040.22万</t>
  </si>
  <si>
    <t>32.68亿</t>
  </si>
  <si>
    <t>10派0.8元(含税)</t>
  </si>
  <si>
    <t>13.01亿</t>
  </si>
  <si>
    <t>10派1元(含税)</t>
  </si>
  <si>
    <t>25.84亿</t>
  </si>
  <si>
    <t>28.21亿</t>
  </si>
  <si>
    <t>51.69亿</t>
  </si>
  <si>
    <t>1.09亿</t>
  </si>
  <si>
    <t>-2-0</t>
  </si>
  <si>
    <t>80.39亿</t>
  </si>
  <si>
    <t>2.43亿</t>
  </si>
  <si>
    <t>137.72亿</t>
  </si>
  <si>
    <t>3.14亿</t>
  </si>
  <si>
    <t>4.49亿</t>
  </si>
  <si>
    <t>5.49亿</t>
  </si>
  <si>
    <t>21.02亿</t>
  </si>
  <si>
    <t>5411.18万</t>
  </si>
  <si>
    <t>7.44亿</t>
  </si>
  <si>
    <t>8210.05万</t>
  </si>
  <si>
    <t>32.35亿</t>
  </si>
  <si>
    <t>5456.29万</t>
  </si>
  <si>
    <t>1.12亿</t>
  </si>
  <si>
    <t>-3254.97万</t>
  </si>
  <si>
    <t>1.32亿</t>
  </si>
  <si>
    <t>26.48亿</t>
  </si>
  <si>
    <t>56.41亿</t>
  </si>
  <si>
    <t>5.87亿</t>
  </si>
  <si>
    <t>4.31亿</t>
  </si>
  <si>
    <t>7.55亿</t>
  </si>
  <si>
    <t>3.54亿</t>
  </si>
  <si>
    <t>-2-1</t>
  </si>
  <si>
    <t>22.03亿</t>
  </si>
  <si>
    <t>1.08亿</t>
  </si>
  <si>
    <t>6.01亿</t>
  </si>
  <si>
    <t>11.41亿</t>
  </si>
  <si>
    <t>1.51亿</t>
  </si>
  <si>
    <t>8542.09万</t>
  </si>
  <si>
    <t>5.01亿</t>
  </si>
  <si>
    <t>5510.83万</t>
  </si>
  <si>
    <t>16.25亿</t>
  </si>
  <si>
    <t>2.38亿</t>
  </si>
  <si>
    <t>21.36亿</t>
  </si>
  <si>
    <t>5366.67万</t>
  </si>
  <si>
    <t>0.三大业务，通信，新能源车，工业：1.通信连接器：预计 2025 年全球通信连接器市场规模将达到 215 亿美元，2019~2025年 CAGR=7.1%。2.新能源连接器：高压连接器，预测 2025 年国内高压连接器市场规模将达到 305 亿元，2022~2025 年 CAGR=28.1%;换电连接器：主要应用在商用车重卡领域。我们预测 2025 年汽车换电连接器市场规模有望达到 19.97 亿元，2021~2025 年 CAGR=87.86%;高频高速连接器：公司已完成全系列开发，包括 Fakra、Mini Fakra、HSD、以太网等产品高频高速连接器已经导入客户。我们预测 2025 年中国高频高速连接器市场规模有望达到 129 亿元，2022~2025 年 CAGR=18.6%。3.光储连接器：2021~2025 年 CAGR=18.0%；</t>
    <phoneticPr fontId="1" type="noConversion"/>
  </si>
  <si>
    <t>2.67亿</t>
  </si>
  <si>
    <t>6.98亿</t>
  </si>
  <si>
    <t>1.47亿</t>
  </si>
  <si>
    <t>15.54亿</t>
  </si>
  <si>
    <t>3.09亿</t>
  </si>
  <si>
    <t>6.79万</t>
  </si>
  <si>
    <t>3.70亿</t>
  </si>
  <si>
    <t>11.59亿</t>
  </si>
  <si>
    <t>6.49亿</t>
  </si>
  <si>
    <t>4.21亿</t>
  </si>
  <si>
    <t>15.79亿</t>
  </si>
  <si>
    <t>1.87亿</t>
  </si>
  <si>
    <t>1.80亿</t>
  </si>
  <si>
    <t>823.73万</t>
  </si>
  <si>
    <t>9.28亿</t>
  </si>
  <si>
    <t>7.24亿</t>
  </si>
  <si>
    <t>6.92亿</t>
  </si>
  <si>
    <t>3.72亿</t>
  </si>
  <si>
    <t>6.15亿</t>
  </si>
  <si>
    <t>5.44亿</t>
  </si>
  <si>
    <t>6530.63万</t>
  </si>
  <si>
    <t>8.81亿</t>
  </si>
  <si>
    <t>1.67亿</t>
  </si>
  <si>
    <t>2.45亿</t>
  </si>
  <si>
    <t>4.67亿</t>
  </si>
  <si>
    <t>4.84亿</t>
  </si>
  <si>
    <t>2417.79万</t>
  </si>
  <si>
    <t>3.71亿</t>
  </si>
  <si>
    <t>6.54亿</t>
  </si>
  <si>
    <t>1.49亿</t>
  </si>
  <si>
    <t>2.37亿</t>
  </si>
  <si>
    <t>11.70亿</t>
  </si>
  <si>
    <t>15.66亿</t>
  </si>
  <si>
    <t>1.17亿</t>
  </si>
  <si>
    <t>1.71亿</t>
  </si>
  <si>
    <t>5062.19万</t>
  </si>
  <si>
    <t>4.30亿</t>
  </si>
  <si>
    <t>2.96亿</t>
  </si>
  <si>
    <t>19.76亿</t>
  </si>
  <si>
    <t>7.70亿</t>
  </si>
  <si>
    <t>3.40亿</t>
  </si>
  <si>
    <t>11.77亿</t>
  </si>
  <si>
    <t>1.在公司传统主营业务市场竞争加剧难以实现重大突破的情况下，公司于 2021 年完成对联合创泰的收购，并以此为契机切入电子元器件分销行业;</t>
    <phoneticPr fontId="1" type="noConversion"/>
  </si>
  <si>
    <t xml:space="preserve">1.国资委控股；2.公司报告期内一直稳居境内电子元器件分销商前二，2020 年和 2021 年位居境内分销商之首，已具备显著规模优势。3.公司以电子元器件授权分销为核心，辅以非授权分销业务来满足客户多样化需求，
并积极探索电商模式；
</t>
    <phoneticPr fontId="1" type="noConversion"/>
  </si>
  <si>
    <t>1.59亿</t>
  </si>
  <si>
    <t>-1-0</t>
  </si>
  <si>
    <t>-3-1</t>
  </si>
  <si>
    <t>3.22亿</t>
  </si>
  <si>
    <t>3.42亿</t>
  </si>
  <si>
    <t>1.33亿</t>
  </si>
  <si>
    <r>
      <t>1.国际分销商以艾睿电子(Arrow)、安富丽(Avnet)、大联大(WPG),文晔科技（WT Microelectronics，中国台湾地区）,第五名的MacnicaFuji（日本），本土分销商以</t>
    </r>
    <r>
      <rPr>
        <sz val="9"/>
        <color rgb="FFFF0000"/>
        <rFont val="宋体"/>
        <family val="3"/>
        <charset val="134"/>
        <scheme val="minor"/>
      </rPr>
      <t>泰科源、中电港、力源信息、深圳华强</t>
    </r>
    <r>
      <rPr>
        <sz val="9"/>
        <color theme="1"/>
        <rFont val="宋体"/>
        <family val="3"/>
        <charset val="134"/>
        <scheme val="minor"/>
      </rPr>
      <t>等企业为代表。</t>
    </r>
    <phoneticPr fontId="1" type="noConversion"/>
  </si>
  <si>
    <r>
      <t>1.公司核心技术不断发展，掌握了包括高聚物聚合与改性技术、功能涂层配方设计技术、精密涂布技术在内的多项 关键技术，成功开发出具有自主知识产权的功能性材料，达到或接近3M Nitto、Tesa等 国际龙头材料厂商的产品性能。2.目前 A 股市场中与公司业务接近、具备可比 性的公司有</t>
    </r>
    <r>
      <rPr>
        <sz val="9"/>
        <color rgb="FFFF0000"/>
        <rFont val="宋体"/>
        <family val="3"/>
        <charset val="134"/>
        <scheme val="minor"/>
      </rPr>
      <t>斯迪克、方邦股份</t>
    </r>
    <r>
      <rPr>
        <sz val="9"/>
        <color theme="1"/>
        <rFont val="宋体"/>
        <family val="3"/>
        <charset val="134"/>
        <scheme val="minor"/>
      </rPr>
      <t>。其中斯迪克是国内领先的功能性涂层复合材料供应商； 方邦股份是一家高端电子材料及解决方案供应商，主要产品包括电磁屏蔽膜、导电胶膜、 极薄挠性覆铜板及超薄铜箔等。</t>
    </r>
    <phoneticPr fontId="1" type="noConversion"/>
  </si>
  <si>
    <t>97.25亿</t>
  </si>
  <si>
    <t>80.97亿</t>
  </si>
  <si>
    <t>44.60亿</t>
  </si>
  <si>
    <t>43.56亿</t>
  </si>
  <si>
    <t>40.78亿</t>
  </si>
  <si>
    <t>8746.66万</t>
  </si>
  <si>
    <t>8061.79万</t>
  </si>
  <si>
    <t>-858920亿</t>
  </si>
  <si>
    <t>89.31万</t>
  </si>
  <si>
    <t>55151513亿</t>
  </si>
  <si>
    <t>26.97亿</t>
  </si>
  <si>
    <t>4797551300亿</t>
  </si>
  <si>
    <t>3389.63万</t>
  </si>
  <si>
    <t>11504947000亿</t>
  </si>
  <si>
    <t>201.78万</t>
  </si>
  <si>
    <t>51.68亿</t>
  </si>
  <si>
    <t>8459.12万</t>
  </si>
  <si>
    <t>71.89亿</t>
  </si>
  <si>
    <t>10.09亿</t>
  </si>
  <si>
    <t>6.88亿</t>
  </si>
  <si>
    <t>-1265.61万</t>
  </si>
  <si>
    <t>-13.00亿</t>
  </si>
  <si>
    <t>205.94亿</t>
  </si>
  <si>
    <t>10派2元(含税)</t>
  </si>
  <si>
    <t>16.65亿</t>
  </si>
  <si>
    <t>3.52亿</t>
  </si>
  <si>
    <t>9.70亿</t>
  </si>
  <si>
    <t>9.47亿</t>
  </si>
  <si>
    <t>924.45万</t>
  </si>
  <si>
    <t>1977.53万</t>
  </si>
  <si>
    <t>-2045058亿</t>
  </si>
  <si>
    <t>-4036467亿</t>
  </si>
  <si>
    <t>4039.15万</t>
  </si>
  <si>
    <t>1003655840亿</t>
  </si>
  <si>
    <t>1556.30万</t>
  </si>
  <si>
    <t>1352600000亿</t>
  </si>
  <si>
    <t>13.93亿</t>
  </si>
  <si>
    <t>7510.66万</t>
  </si>
  <si>
    <t>9421.01万</t>
  </si>
  <si>
    <t>-120.13万</t>
  </si>
  <si>
    <t>-6943.75万</t>
  </si>
  <si>
    <t>34.67亿</t>
  </si>
  <si>
    <t>-6005.75万</t>
  </si>
  <si>
    <t>5.91亿</t>
  </si>
  <si>
    <t>176.48亿</t>
  </si>
  <si>
    <t>51.06亿</t>
  </si>
  <si>
    <t>117.25亿</t>
  </si>
  <si>
    <t>116.54亿</t>
  </si>
  <si>
    <t>113.97亿</t>
  </si>
  <si>
    <t>5182.88万</t>
  </si>
  <si>
    <t>3058.69万</t>
  </si>
  <si>
    <t>690978亿</t>
  </si>
  <si>
    <t>1.02万</t>
  </si>
  <si>
    <t>37802496亿</t>
  </si>
  <si>
    <t>28.85亿</t>
  </si>
  <si>
    <t>9015872700亿</t>
  </si>
  <si>
    <t>23501074000亿</t>
  </si>
  <si>
    <t>126.11亿</t>
  </si>
  <si>
    <t>353.67万</t>
  </si>
  <si>
    <t>37.47亿</t>
  </si>
  <si>
    <t>188.83亿</t>
  </si>
  <si>
    <t>-3.70亿</t>
  </si>
  <si>
    <t>-847.18万</t>
  </si>
  <si>
    <t>10.66亿</t>
  </si>
  <si>
    <t>345.04亿</t>
  </si>
  <si>
    <t>10派0.85元(含税)</t>
  </si>
  <si>
    <t>11.18亿</t>
  </si>
  <si>
    <t>15.50亿</t>
  </si>
  <si>
    <t>471.15万</t>
  </si>
  <si>
    <t>15.56亿</t>
  </si>
  <si>
    <t>14.96亿</t>
  </si>
  <si>
    <t>1817.58万</t>
  </si>
  <si>
    <t>1915.38万</t>
  </si>
  <si>
    <t>2313870亿</t>
  </si>
  <si>
    <t>2518969亿</t>
  </si>
  <si>
    <t>3.58亿</t>
  </si>
  <si>
    <t>1311015960亿</t>
  </si>
  <si>
    <t>878.85万</t>
  </si>
  <si>
    <t>2700844800亿</t>
  </si>
  <si>
    <t>1229.00万</t>
  </si>
  <si>
    <t>12.33亿</t>
  </si>
  <si>
    <t>-3.51亿</t>
  </si>
  <si>
    <t>-5371.58万</t>
  </si>
  <si>
    <t>57.76亿</t>
  </si>
  <si>
    <t>5587.54万</t>
  </si>
  <si>
    <t>10转4.5股派2元(含税)</t>
  </si>
  <si>
    <t>35.39亿</t>
  </si>
  <si>
    <t>56.44亿</t>
  </si>
  <si>
    <t>13.89亿</t>
  </si>
  <si>
    <t>9.29亿</t>
  </si>
  <si>
    <t>8207.81万</t>
  </si>
  <si>
    <t>6821.51万</t>
  </si>
  <si>
    <t>590304亿</t>
  </si>
  <si>
    <t>222.79万</t>
  </si>
  <si>
    <t>172967300亿</t>
  </si>
  <si>
    <t>8.92亿</t>
  </si>
  <si>
    <t>2181090400亿</t>
  </si>
  <si>
    <t>3.41亿</t>
  </si>
  <si>
    <t>4817314600亿</t>
  </si>
  <si>
    <t>7940.35万</t>
  </si>
  <si>
    <t>6.39亿</t>
  </si>
  <si>
    <t>26.29亿</t>
  </si>
  <si>
    <t>6.37亿</t>
  </si>
  <si>
    <t>5247.06万</t>
  </si>
  <si>
    <t>-2.01亿</t>
  </si>
  <si>
    <t>2666.92万</t>
  </si>
  <si>
    <t>57.23亿</t>
  </si>
  <si>
    <t>10派1.7元(含税)</t>
  </si>
  <si>
    <t>5.76亿</t>
  </si>
  <si>
    <t>12.31亿</t>
  </si>
  <si>
    <t>6377.90万</t>
  </si>
  <si>
    <t>1865.20万</t>
  </si>
  <si>
    <t>1782.06万</t>
  </si>
  <si>
    <t>829109亿</t>
  </si>
  <si>
    <t>2.69万</t>
  </si>
  <si>
    <t>-9309903亿</t>
  </si>
  <si>
    <t>2.42亿</t>
  </si>
  <si>
    <t>193036110亿</t>
  </si>
  <si>
    <t>520.00万</t>
  </si>
  <si>
    <t>1088540120亿</t>
  </si>
  <si>
    <t>2034.73万</t>
  </si>
  <si>
    <t>7.64亿</t>
  </si>
  <si>
    <t>-2248.46万</t>
  </si>
  <si>
    <t>-2292.42万</t>
  </si>
  <si>
    <t>2090.27万</t>
  </si>
  <si>
    <t>2811.60万</t>
  </si>
  <si>
    <t>10派0.18元(含税)</t>
  </si>
  <si>
    <t>14.63亿</t>
  </si>
  <si>
    <t>4.69亿</t>
  </si>
  <si>
    <t>1326.98万</t>
  </si>
  <si>
    <t>2394.37万</t>
  </si>
  <si>
    <t>-619.9亿</t>
  </si>
  <si>
    <t>119.63万</t>
  </si>
  <si>
    <t>7988731亿</t>
  </si>
  <si>
    <t>949941770亿</t>
  </si>
  <si>
    <t>2067311400亿</t>
  </si>
  <si>
    <t>891.91万</t>
  </si>
  <si>
    <t>6.91亿</t>
  </si>
  <si>
    <t>1875.23万</t>
  </si>
  <si>
    <t>15.06亿</t>
  </si>
  <si>
    <t>4900.00万</t>
  </si>
  <si>
    <t>-4194.77万</t>
  </si>
  <si>
    <t>-9418.92万</t>
  </si>
  <si>
    <t>17.42亿</t>
  </si>
  <si>
    <t>22.65亿</t>
  </si>
  <si>
    <t>20.09亿</t>
  </si>
  <si>
    <t>584.03万</t>
  </si>
  <si>
    <t>21.46亿</t>
  </si>
  <si>
    <t>-2.41亿</t>
  </si>
  <si>
    <t>-5-0</t>
  </si>
  <si>
    <t>462.76万</t>
  </si>
  <si>
    <t>9439.64万</t>
  </si>
  <si>
    <t>4.94亿</t>
  </si>
  <si>
    <t>6515.25万</t>
  </si>
  <si>
    <t>605.80万</t>
  </si>
  <si>
    <t>6080.78万</t>
  </si>
  <si>
    <t>4525.12万</t>
  </si>
  <si>
    <t>239.81万</t>
  </si>
  <si>
    <t>809.81万</t>
  </si>
  <si>
    <t>-4112亿</t>
  </si>
  <si>
    <t>2.09万</t>
  </si>
  <si>
    <t>4994945亿</t>
  </si>
  <si>
    <t>1.24亿</t>
  </si>
  <si>
    <t>97539864亿</t>
  </si>
  <si>
    <t>267.97万</t>
  </si>
  <si>
    <t>359820340亿</t>
  </si>
  <si>
    <t>702.68万</t>
  </si>
  <si>
    <t>1285.54万</t>
  </si>
  <si>
    <t>3988.43万</t>
  </si>
  <si>
    <t>57.10万</t>
  </si>
  <si>
    <t>7045.43万</t>
  </si>
  <si>
    <t>2640.81万</t>
  </si>
  <si>
    <t>2337.31万</t>
  </si>
  <si>
    <t>1215.60万</t>
  </si>
  <si>
    <t>251.78万</t>
  </si>
  <si>
    <t>1813.70万</t>
  </si>
  <si>
    <t>10派0.28元(含税)</t>
  </si>
  <si>
    <t>1781.73万</t>
  </si>
  <si>
    <t>06058000</t>
  </si>
  <si>
    <t>018174000</t>
  </si>
  <si>
    <t>036348000</t>
  </si>
  <si>
    <t>060580000</t>
  </si>
  <si>
    <t>0121160000</t>
  </si>
  <si>
    <t>-8-1</t>
  </si>
  <si>
    <t>22.00亿</t>
  </si>
  <si>
    <t>19.14亿</t>
  </si>
  <si>
    <t>9.51亿</t>
  </si>
  <si>
    <t>8.15亿</t>
  </si>
  <si>
    <t>1257.22万</t>
  </si>
  <si>
    <t>4257.82万</t>
  </si>
  <si>
    <t>407786亿</t>
  </si>
  <si>
    <t>10.82万</t>
  </si>
  <si>
    <t>48756357亿</t>
  </si>
  <si>
    <t>1187795550亿</t>
  </si>
  <si>
    <t>2838589300亿</t>
  </si>
  <si>
    <t>1.05亿</t>
  </si>
  <si>
    <t>10.54亿</t>
  </si>
  <si>
    <t>6720.00万</t>
  </si>
  <si>
    <t>4701.09万</t>
  </si>
  <si>
    <t>-1.62亿</t>
  </si>
  <si>
    <t>-2150.35万</t>
  </si>
  <si>
    <t>46.68亿</t>
  </si>
  <si>
    <t>1.57亿</t>
  </si>
  <si>
    <t>-3-0</t>
  </si>
  <si>
    <t>21.73亿</t>
  </si>
  <si>
    <t>29.94亿</t>
  </si>
  <si>
    <t>3.63亿</t>
  </si>
  <si>
    <t>803.36万</t>
  </si>
  <si>
    <t>3580.00万</t>
  </si>
  <si>
    <t>51.97万</t>
  </si>
  <si>
    <t>52737534亿</t>
  </si>
  <si>
    <t>7.50亿</t>
  </si>
  <si>
    <t>459987820亿</t>
  </si>
  <si>
    <t>1710218600亿</t>
  </si>
  <si>
    <t>2.16亿</t>
  </si>
  <si>
    <t>7.76亿</t>
  </si>
  <si>
    <t>8.57亿</t>
  </si>
  <si>
    <t>8345.42万</t>
  </si>
  <si>
    <t>-1.07亿</t>
  </si>
  <si>
    <t>15.72亿</t>
  </si>
  <si>
    <t>9.94亿</t>
  </si>
  <si>
    <t>4.33亿</t>
  </si>
  <si>
    <t>1.21亿</t>
  </si>
  <si>
    <t>243.89万</t>
  </si>
  <si>
    <t>15.09亿</t>
  </si>
  <si>
    <t>14.14亿</t>
  </si>
  <si>
    <t>5.82亿</t>
  </si>
  <si>
    <t>887.21万</t>
  </si>
  <si>
    <t>5.79亿</t>
  </si>
  <si>
    <t>789.12万</t>
  </si>
  <si>
    <t>2610.57万</t>
  </si>
  <si>
    <t>2201401亿</t>
  </si>
  <si>
    <t>12.52万</t>
  </si>
  <si>
    <t>4082544亿</t>
  </si>
  <si>
    <t>4.98亿</t>
  </si>
  <si>
    <t>721637750亿</t>
  </si>
  <si>
    <t>2141733900亿</t>
  </si>
  <si>
    <t>2.08亿</t>
  </si>
  <si>
    <t>6.21亿</t>
  </si>
  <si>
    <t>13.32亿</t>
  </si>
  <si>
    <t>3749.00万</t>
  </si>
  <si>
    <t>-5013.60万</t>
  </si>
  <si>
    <t>3918.32万</t>
  </si>
  <si>
    <t>5075.22万</t>
  </si>
  <si>
    <t>25.94亿</t>
  </si>
  <si>
    <t>3417.27万</t>
  </si>
  <si>
    <t>10派0.14元(含税)</t>
  </si>
  <si>
    <t>1273.58万</t>
  </si>
  <si>
    <t>21.91亿</t>
  </si>
  <si>
    <t>30.92亿</t>
  </si>
  <si>
    <t>7.74亿</t>
  </si>
  <si>
    <t>7.04亿</t>
  </si>
  <si>
    <t>2630.71万</t>
  </si>
  <si>
    <t>4875.38万</t>
  </si>
  <si>
    <t>3384236亿</t>
  </si>
  <si>
    <t>39.30万</t>
  </si>
  <si>
    <t>52495724亿</t>
  </si>
  <si>
    <t>8.86亿</t>
  </si>
  <si>
    <t>961179820亿</t>
  </si>
  <si>
    <t>3517860700亿</t>
  </si>
  <si>
    <t>4.64亿</t>
  </si>
  <si>
    <t>9.14亿</t>
  </si>
  <si>
    <t>20.61亿</t>
  </si>
  <si>
    <t>4192.68万</t>
  </si>
  <si>
    <t>-1.60亿</t>
  </si>
  <si>
    <t>3.27亿</t>
  </si>
  <si>
    <t>36.30亿</t>
  </si>
  <si>
    <t>17.15亿</t>
  </si>
  <si>
    <t>12.57亿</t>
  </si>
  <si>
    <t>12.38亿</t>
  </si>
  <si>
    <t>2478.32万</t>
  </si>
  <si>
    <t>2610.56万</t>
  </si>
  <si>
    <t>-78827亿</t>
  </si>
  <si>
    <t>18456441亿</t>
  </si>
  <si>
    <t>854186510亿</t>
  </si>
  <si>
    <t>9398.13万</t>
  </si>
  <si>
    <t>2194023300亿</t>
  </si>
  <si>
    <t>352.51万</t>
  </si>
  <si>
    <t>5.16亿</t>
  </si>
  <si>
    <t>14.51亿</t>
  </si>
  <si>
    <t>4740.08万</t>
  </si>
  <si>
    <t>-1.35亿</t>
  </si>
  <si>
    <t>-5711.48万</t>
  </si>
  <si>
    <t>5748.98万</t>
  </si>
  <si>
    <t>49.58亿</t>
  </si>
  <si>
    <t>5487.62万</t>
  </si>
  <si>
    <t>19.40亿</t>
  </si>
  <si>
    <t>36.50亿</t>
  </si>
  <si>
    <t>15.37亿</t>
  </si>
  <si>
    <t>14.98亿</t>
  </si>
  <si>
    <t>13.86亿</t>
  </si>
  <si>
    <t>5533.71万</t>
  </si>
  <si>
    <t>3110.95万</t>
  </si>
  <si>
    <t>-405850亿</t>
  </si>
  <si>
    <t>146.65万</t>
  </si>
  <si>
    <t>33147186亿</t>
  </si>
  <si>
    <t>7.35亿</t>
  </si>
  <si>
    <t>1706354800亿</t>
  </si>
  <si>
    <t>4772856400亿</t>
  </si>
  <si>
    <t>465.42万</t>
  </si>
  <si>
    <t>20.41亿</t>
  </si>
  <si>
    <t>-1999.40万</t>
  </si>
  <si>
    <t>-606.06万</t>
  </si>
  <si>
    <t>7257.30万</t>
  </si>
  <si>
    <t>59.44亿</t>
  </si>
  <si>
    <t>6635.27万</t>
  </si>
  <si>
    <t>18.75亿</t>
  </si>
  <si>
    <t>26.84亿</t>
  </si>
  <si>
    <t>23.03亿</t>
  </si>
  <si>
    <t>22.41亿</t>
  </si>
  <si>
    <t>21.81亿</t>
  </si>
  <si>
    <t>1091.97万</t>
  </si>
  <si>
    <t>1568.87万</t>
  </si>
  <si>
    <t>19453亿</t>
  </si>
  <si>
    <t>6.24万</t>
  </si>
  <si>
    <t>54479436亿</t>
  </si>
  <si>
    <t>3.66亿</t>
  </si>
  <si>
    <t>950689120亿</t>
  </si>
  <si>
    <t>3789995900亿</t>
  </si>
  <si>
    <t>12.42亿</t>
  </si>
  <si>
    <t>8661.48万</t>
  </si>
  <si>
    <t>20.91亿</t>
  </si>
  <si>
    <t>-5.66亿</t>
  </si>
  <si>
    <t>75.21万</t>
  </si>
  <si>
    <t>112.68亿</t>
  </si>
  <si>
    <t>3.78亿</t>
  </si>
  <si>
    <t>10派1.66元(含税)</t>
  </si>
  <si>
    <t>5.63亿</t>
  </si>
  <si>
    <t>4.96亿</t>
  </si>
  <si>
    <t>1780.02万</t>
  </si>
  <si>
    <t>801.33万</t>
  </si>
  <si>
    <t>-727915亿</t>
  </si>
  <si>
    <t>11959331亿</t>
  </si>
  <si>
    <t>3.10亿</t>
  </si>
  <si>
    <t>660646010亿</t>
  </si>
  <si>
    <t>3742.24万</t>
  </si>
  <si>
    <t>1425747400亿</t>
  </si>
  <si>
    <t>4250.00万</t>
  </si>
  <si>
    <t>4678.49万</t>
  </si>
  <si>
    <t>-1758.69万</t>
  </si>
  <si>
    <t>1320.82万</t>
  </si>
  <si>
    <t>21.60亿</t>
  </si>
  <si>
    <t>3563.22万</t>
  </si>
  <si>
    <t>6-1</t>
  </si>
  <si>
    <t>13.22亿</t>
  </si>
  <si>
    <t>6354.27万</t>
  </si>
  <si>
    <t>7098.85万</t>
  </si>
  <si>
    <t>4060.11万</t>
  </si>
  <si>
    <t>291.56万</t>
  </si>
  <si>
    <t>930.80万</t>
  </si>
  <si>
    <t>4283273亿</t>
  </si>
  <si>
    <t>461925660亿</t>
  </si>
  <si>
    <t>1522336300亿</t>
  </si>
  <si>
    <t>380.35万</t>
  </si>
  <si>
    <t>2.90亿</t>
  </si>
  <si>
    <t>4.71亿</t>
  </si>
  <si>
    <t>-4091.30万</t>
  </si>
  <si>
    <t>-60.35万</t>
  </si>
  <si>
    <t>8292.46万</t>
  </si>
  <si>
    <t>10派3.52元(含税)</t>
  </si>
  <si>
    <t>8.49亿</t>
  </si>
  <si>
    <t>12.30亿</t>
  </si>
  <si>
    <t>6.83亿</t>
  </si>
  <si>
    <t>1069.24万</t>
  </si>
  <si>
    <t>1875.43万</t>
  </si>
  <si>
    <t>-2704870亿</t>
  </si>
  <si>
    <t>6722524亿</t>
  </si>
  <si>
    <t>264596170亿</t>
  </si>
  <si>
    <t>395.36万</t>
  </si>
  <si>
    <t>1111112610亿</t>
  </si>
  <si>
    <t>1650.75万</t>
  </si>
  <si>
    <t>600.00万</t>
  </si>
  <si>
    <t>19.92万</t>
  </si>
  <si>
    <t>5.51亿</t>
  </si>
  <si>
    <t>2.01亿</t>
  </si>
  <si>
    <t>-3778.13万</t>
  </si>
  <si>
    <t>-367.11万</t>
  </si>
  <si>
    <t>-2762.64万</t>
  </si>
  <si>
    <t>26.45亿</t>
  </si>
  <si>
    <t>4283.48万</t>
  </si>
  <si>
    <t>5.81亿</t>
  </si>
  <si>
    <t>6568.52万</t>
  </si>
  <si>
    <t>5981.03万</t>
  </si>
  <si>
    <t>4047.70万</t>
  </si>
  <si>
    <t>486.04万</t>
  </si>
  <si>
    <t>481.49万</t>
  </si>
  <si>
    <t>-9645183亿</t>
  </si>
  <si>
    <t>3.79万</t>
  </si>
  <si>
    <t>-2180603亿</t>
  </si>
  <si>
    <t>181558660亿</t>
  </si>
  <si>
    <t>112.19万</t>
  </si>
  <si>
    <t>551257610亿</t>
  </si>
  <si>
    <t>-2283.43万</t>
  </si>
  <si>
    <t>-220.81万</t>
  </si>
  <si>
    <t>2297.34万</t>
  </si>
  <si>
    <t>8971.02万</t>
  </si>
  <si>
    <t>4.00亿</t>
  </si>
  <si>
    <t>1255.57万</t>
  </si>
  <si>
    <t>10派0.3元(含税)</t>
  </si>
  <si>
    <t>5722.41万</t>
  </si>
  <si>
    <t>9970.93万</t>
  </si>
  <si>
    <t>244.52万</t>
  </si>
  <si>
    <t>1325.41万</t>
  </si>
  <si>
    <t>742.9亿</t>
  </si>
  <si>
    <t>16.14万</t>
  </si>
  <si>
    <t>-7747334亿</t>
  </si>
  <si>
    <t>2891.48万</t>
  </si>
  <si>
    <t>3571603亿</t>
  </si>
  <si>
    <t>127218709亿</t>
  </si>
  <si>
    <t>386.69万</t>
  </si>
  <si>
    <t>6513.77万</t>
  </si>
  <si>
    <t>250.85万</t>
  </si>
  <si>
    <t>-5067.85万</t>
  </si>
  <si>
    <t>37.43万</t>
  </si>
  <si>
    <t>6.82亿</t>
  </si>
  <si>
    <t>-2856.97万</t>
  </si>
  <si>
    <t>2.59亿</t>
  </si>
  <si>
    <t>1464.13万</t>
  </si>
  <si>
    <t>23.72亿</t>
  </si>
  <si>
    <t>19.88亿</t>
  </si>
  <si>
    <t>13.54亿</t>
  </si>
  <si>
    <t>2213.32万</t>
  </si>
  <si>
    <t>12.84亿</t>
  </si>
  <si>
    <t>11.73亿</t>
  </si>
  <si>
    <t>7526.19万</t>
  </si>
  <si>
    <t>1899.99万</t>
  </si>
  <si>
    <t>-3167535亿</t>
  </si>
  <si>
    <t>518.05万</t>
  </si>
  <si>
    <t>18477528亿</t>
  </si>
  <si>
    <t>1777998000亿</t>
  </si>
  <si>
    <t>7408.20万</t>
  </si>
  <si>
    <t>3553747800亿</t>
  </si>
  <si>
    <t>10.20亿</t>
  </si>
  <si>
    <t>4370.19万</t>
  </si>
  <si>
    <t>542.72万</t>
  </si>
  <si>
    <t>-1.26亿</t>
  </si>
  <si>
    <t>-394.73万</t>
  </si>
  <si>
    <t>51.03亿</t>
  </si>
  <si>
    <t>3399.24万</t>
  </si>
  <si>
    <t>10派0.11元(含税)</t>
  </si>
  <si>
    <t>9925.53万</t>
  </si>
  <si>
    <t>9.10亿</t>
  </si>
  <si>
    <t>7.16亿</t>
  </si>
  <si>
    <t>194.04万</t>
  </si>
  <si>
    <t>1525.83万</t>
  </si>
  <si>
    <t>177617亿</t>
  </si>
  <si>
    <t>57.79万</t>
  </si>
  <si>
    <t>463470亿</t>
  </si>
  <si>
    <t>150111170亿</t>
  </si>
  <si>
    <t>540.37万</t>
  </si>
  <si>
    <t>503287060亿</t>
  </si>
  <si>
    <t>604.61万</t>
  </si>
  <si>
    <t>1.75亿</t>
  </si>
  <si>
    <t>5207.02万</t>
  </si>
  <si>
    <t>5.25亿</t>
  </si>
  <si>
    <t>1.48亿</t>
  </si>
  <si>
    <t>3510.83万</t>
  </si>
  <si>
    <t>-676.12万</t>
  </si>
  <si>
    <t>3061.41万</t>
  </si>
  <si>
    <t>848.93万</t>
  </si>
  <si>
    <t>1130.82万</t>
  </si>
  <si>
    <t>10.31亿</t>
  </si>
  <si>
    <t>1993.60万</t>
  </si>
  <si>
    <t>2382.61万</t>
  </si>
  <si>
    <t>176.93万</t>
  </si>
  <si>
    <t>25790548亿</t>
  </si>
  <si>
    <t>405206700亿</t>
  </si>
  <si>
    <t>3.61亿</t>
  </si>
  <si>
    <t>1125323440亿</t>
  </si>
  <si>
    <t>6319.78万</t>
  </si>
  <si>
    <t>6.50亿</t>
  </si>
  <si>
    <t>-2566.45万</t>
  </si>
  <si>
    <t>-2814.78万</t>
  </si>
  <si>
    <t>683.60万</t>
  </si>
  <si>
    <t>10.60亿</t>
  </si>
  <si>
    <t>14.17亿</t>
  </si>
  <si>
    <t>12.77亿</t>
  </si>
  <si>
    <t>6.13亿</t>
  </si>
  <si>
    <t>5.66亿</t>
  </si>
  <si>
    <t>3069.70万</t>
  </si>
  <si>
    <t>2833.83万</t>
  </si>
  <si>
    <t>-9375744亿</t>
  </si>
  <si>
    <t>87.75万</t>
  </si>
  <si>
    <t>21475772亿</t>
  </si>
  <si>
    <t>5.20亿</t>
  </si>
  <si>
    <t>812535900亿</t>
  </si>
  <si>
    <t>7368.83万</t>
  </si>
  <si>
    <t>2107712700亿</t>
  </si>
  <si>
    <t>380.04万</t>
  </si>
  <si>
    <t>7.88亿</t>
  </si>
  <si>
    <t>7532.21万</t>
  </si>
  <si>
    <t>11.30亿</t>
  </si>
  <si>
    <t>876.48万</t>
  </si>
  <si>
    <t>-2.81亿</t>
  </si>
  <si>
    <t>24.70亿</t>
  </si>
  <si>
    <t>5326.25万</t>
  </si>
  <si>
    <t>10转3股派0.7元(含税)</t>
  </si>
  <si>
    <t>19.08亿</t>
  </si>
  <si>
    <t>8074.49万</t>
  </si>
  <si>
    <t>6317.88万</t>
  </si>
  <si>
    <t>381.60万</t>
  </si>
  <si>
    <t>704.27万</t>
  </si>
  <si>
    <t>-612139亿</t>
  </si>
  <si>
    <t>17975523亿</t>
  </si>
  <si>
    <t>11.63亿</t>
  </si>
  <si>
    <t>117756918亿</t>
  </si>
  <si>
    <t>2557.76万</t>
  </si>
  <si>
    <t>1462699800亿</t>
  </si>
  <si>
    <t>150.57万</t>
  </si>
  <si>
    <t>4894.43万</t>
  </si>
  <si>
    <t>1961.54万</t>
  </si>
  <si>
    <t>-5220.22万</t>
  </si>
  <si>
    <t>-358.81万</t>
  </si>
  <si>
    <t>1.30亿</t>
  </si>
  <si>
    <t>1.44亿</t>
  </si>
  <si>
    <t>1.62亿</t>
  </si>
  <si>
    <t>762.45万</t>
  </si>
  <si>
    <t>11.43亿</t>
  </si>
  <si>
    <t>18.80亿</t>
  </si>
  <si>
    <t>3.87亿</t>
  </si>
  <si>
    <t>2525.71万</t>
  </si>
  <si>
    <t>595.88万</t>
  </si>
  <si>
    <t>2039.98万</t>
  </si>
  <si>
    <t>-3736890亿</t>
  </si>
  <si>
    <t>20374749亿</t>
  </si>
  <si>
    <t>960039400亿</t>
  </si>
  <si>
    <t>1971154000亿</t>
  </si>
  <si>
    <t>418.00万</t>
  </si>
  <si>
    <t>4.82亿</t>
  </si>
  <si>
    <t>740.71万</t>
  </si>
  <si>
    <t>8.76亿</t>
  </si>
  <si>
    <t>-1834.59万</t>
  </si>
  <si>
    <t>-4128.70万</t>
  </si>
  <si>
    <t>1741.19万</t>
  </si>
  <si>
    <t>13.17亿</t>
  </si>
  <si>
    <t>9271.32万</t>
  </si>
  <si>
    <t>3884.91万</t>
  </si>
  <si>
    <t>5.54亿</t>
  </si>
  <si>
    <t>025257100</t>
  </si>
  <si>
    <t>075771300</t>
  </si>
  <si>
    <t>0151542600</t>
  </si>
  <si>
    <t>0252571000</t>
  </si>
  <si>
    <t>0505142000</t>
  </si>
  <si>
    <t>9.40亿</t>
  </si>
  <si>
    <t>13.23亿</t>
  </si>
  <si>
    <t>4.32亿</t>
  </si>
  <si>
    <t>4.08亿</t>
  </si>
  <si>
    <t>3.15亿</t>
  </si>
  <si>
    <t>3584.71万</t>
  </si>
  <si>
    <t>2220.43万</t>
  </si>
  <si>
    <t>1864391亿</t>
  </si>
  <si>
    <t>95.89万</t>
  </si>
  <si>
    <t>15977449亿</t>
  </si>
  <si>
    <t>557586350亿</t>
  </si>
  <si>
    <t>40.10万</t>
  </si>
  <si>
    <t>1687753400亿</t>
  </si>
  <si>
    <t>2268.84万</t>
  </si>
  <si>
    <t>6600.00万</t>
  </si>
  <si>
    <t>5132.19万</t>
  </si>
  <si>
    <t>-951.44万</t>
  </si>
  <si>
    <t>-674.21万</t>
  </si>
  <si>
    <t>18.49亿</t>
  </si>
  <si>
    <t>5919.58万</t>
  </si>
  <si>
    <t>1.94亿</t>
  </si>
  <si>
    <t>9391.07万</t>
  </si>
  <si>
    <t>6202.80万</t>
  </si>
  <si>
    <t>943.27万</t>
  </si>
  <si>
    <t>1076.99万</t>
  </si>
  <si>
    <t>4983900亿</t>
  </si>
  <si>
    <t>34816404亿</t>
  </si>
  <si>
    <t>3.47亿</t>
  </si>
  <si>
    <t>164628350亿</t>
  </si>
  <si>
    <t>772929120亿</t>
  </si>
  <si>
    <t>3297.92万</t>
  </si>
  <si>
    <t>7858.42万</t>
  </si>
  <si>
    <t>7120.12万</t>
  </si>
  <si>
    <t>2920.34万</t>
  </si>
  <si>
    <t>-5291.05万</t>
  </si>
  <si>
    <t>5.11亿</t>
  </si>
  <si>
    <t>10派3.6元(含税)</t>
  </si>
  <si>
    <t>11.36亿</t>
  </si>
  <si>
    <t>478.97万</t>
  </si>
  <si>
    <t>1757.45万</t>
  </si>
  <si>
    <t>58047亿</t>
  </si>
  <si>
    <t>5.90万</t>
  </si>
  <si>
    <t>3191986亿</t>
  </si>
  <si>
    <t>4.02亿</t>
  </si>
  <si>
    <t>324007490亿</t>
  </si>
  <si>
    <t>5436.37万</t>
  </si>
  <si>
    <t>1524251300亿</t>
  </si>
  <si>
    <t>1794.81万</t>
  </si>
  <si>
    <t>4.65亿</t>
  </si>
  <si>
    <t>-3486.57万</t>
  </si>
  <si>
    <t>-3.85亿</t>
  </si>
  <si>
    <t>6419.00万</t>
  </si>
  <si>
    <t>10派2.3元(含税)</t>
  </si>
  <si>
    <t>9817.76万</t>
  </si>
  <si>
    <t>7961.97万</t>
  </si>
  <si>
    <t>347.73万</t>
  </si>
  <si>
    <t>920.36万</t>
  </si>
  <si>
    <t>201010亿</t>
  </si>
  <si>
    <t>8291950亿</t>
  </si>
  <si>
    <t>67414995亿</t>
  </si>
  <si>
    <t>582870950亿</t>
  </si>
  <si>
    <t>9721.29万</t>
  </si>
  <si>
    <t>9935.17万</t>
  </si>
  <si>
    <t>1497.21万</t>
  </si>
  <si>
    <t>4455.97万</t>
  </si>
  <si>
    <t>677.17万</t>
  </si>
  <si>
    <t>-1.38亿</t>
  </si>
  <si>
    <t>-2535.92万</t>
  </si>
  <si>
    <t>-1277.95万</t>
  </si>
  <si>
    <t>14.40亿</t>
  </si>
  <si>
    <t>20.23亿</t>
  </si>
  <si>
    <t>1030.17万</t>
  </si>
  <si>
    <t>2933.55万</t>
  </si>
  <si>
    <t>207143亿</t>
  </si>
  <si>
    <t>40777453亿</t>
  </si>
  <si>
    <t>10.04亿</t>
  </si>
  <si>
    <t>563186590亿</t>
  </si>
  <si>
    <t>2598888200亿</t>
  </si>
  <si>
    <t>6.63亿</t>
  </si>
  <si>
    <t>13.48亿</t>
  </si>
  <si>
    <t>2.15亿</t>
  </si>
  <si>
    <t>-6403.09万</t>
  </si>
  <si>
    <t>-7968.17万</t>
  </si>
  <si>
    <t>15.55亿</t>
  </si>
  <si>
    <t>505.95万</t>
  </si>
  <si>
    <t>38.54亿</t>
  </si>
  <si>
    <t>1.25亿</t>
  </si>
  <si>
    <t>2540.97万</t>
  </si>
  <si>
    <t>1.73亿</t>
  </si>
  <si>
    <t>3443.37万</t>
  </si>
  <si>
    <t>6.22亿</t>
  </si>
  <si>
    <t>-1036.57万</t>
  </si>
  <si>
    <t>8575.09万</t>
  </si>
  <si>
    <t>4.20亿</t>
  </si>
  <si>
    <t>764.84万</t>
  </si>
  <si>
    <t>82.48亿</t>
  </si>
  <si>
    <t>7116.48万</t>
  </si>
  <si>
    <t>2923.18万</t>
  </si>
  <si>
    <t>1.45亿</t>
  </si>
  <si>
    <t>1648.92万</t>
  </si>
  <si>
    <t>12.26亿</t>
  </si>
  <si>
    <t>430.35万</t>
  </si>
  <si>
    <t>5.27亿</t>
  </si>
  <si>
    <t>11.42亿</t>
  </si>
  <si>
    <t>7.56亿</t>
  </si>
  <si>
    <t>37.58亿</t>
  </si>
  <si>
    <t>1342.24万</t>
  </si>
  <si>
    <t>-963.93万</t>
  </si>
  <si>
    <t>4974.00万</t>
  </si>
  <si>
    <t>1042.07万</t>
  </si>
  <si>
    <t>4.58亿</t>
  </si>
  <si>
    <t>1009.07万</t>
  </si>
  <si>
    <t>4290.87万</t>
  </si>
  <si>
    <t>387.51万</t>
  </si>
  <si>
    <t>10.74亿</t>
  </si>
  <si>
    <t>2961.47万</t>
  </si>
  <si>
    <t>1949.87万</t>
  </si>
  <si>
    <t>284.39万</t>
  </si>
  <si>
    <t>3.08亿</t>
  </si>
  <si>
    <t>3150.98万</t>
  </si>
  <si>
    <t>1527.85万</t>
  </si>
  <si>
    <t>1375.21万</t>
  </si>
  <si>
    <t>1902.92万</t>
  </si>
  <si>
    <t>6584.68万</t>
  </si>
  <si>
    <t>5.62亿</t>
  </si>
  <si>
    <t>3317.24万</t>
  </si>
  <si>
    <t>10.45亿</t>
  </si>
  <si>
    <t>2338.81万</t>
  </si>
  <si>
    <t>7.78亿</t>
  </si>
  <si>
    <t>054876200</t>
  </si>
  <si>
    <t>0164628600</t>
  </si>
  <si>
    <t>0329257200</t>
  </si>
  <si>
    <t>0548762000</t>
  </si>
  <si>
    <t>01097524000</t>
  </si>
  <si>
    <t>7819.23万</t>
  </si>
  <si>
    <t>11.85亿</t>
  </si>
  <si>
    <t>3352.90万</t>
  </si>
  <si>
    <t>1.82亿</t>
  </si>
  <si>
    <t>9.50亿</t>
  </si>
  <si>
    <t>066352700</t>
  </si>
  <si>
    <t>0199058100</t>
  </si>
  <si>
    <t>0398116200</t>
  </si>
  <si>
    <t>0663527000</t>
  </si>
  <si>
    <t>01327054000</t>
  </si>
  <si>
    <t>938.66万</t>
  </si>
  <si>
    <t>15.68亿</t>
  </si>
  <si>
    <t>8541.74万</t>
  </si>
  <si>
    <t>4267.18万</t>
  </si>
  <si>
    <t>3.24亿</t>
  </si>
  <si>
    <t>8-0</t>
  </si>
  <si>
    <t>1222.56万</t>
  </si>
  <si>
    <t>795.65万</t>
  </si>
  <si>
    <t>6230.20万</t>
  </si>
  <si>
    <t>3-1</t>
  </si>
  <si>
    <t>541.76万</t>
  </si>
  <si>
    <t>7255.72万</t>
  </si>
  <si>
    <t>2350.48万</t>
  </si>
  <si>
    <t>6378.76万</t>
  </si>
  <si>
    <t>528.03万</t>
  </si>
  <si>
    <t>5.36亿</t>
  </si>
  <si>
    <t>512.54万</t>
  </si>
  <si>
    <t>2359.42万</t>
  </si>
  <si>
    <t>2.63亿</t>
  </si>
  <si>
    <t>365.93万</t>
  </si>
  <si>
    <t>7344.76万</t>
  </si>
  <si>
    <t>593.55万</t>
  </si>
  <si>
    <t>1541.20万</t>
  </si>
  <si>
    <t>1243.30万</t>
  </si>
  <si>
    <t>41.83万</t>
  </si>
  <si>
    <t>5290.05万</t>
  </si>
  <si>
    <t>1045.37万</t>
  </si>
  <si>
    <t>9564.25万</t>
  </si>
  <si>
    <t>-856.31万</t>
  </si>
  <si>
    <t>6431.69万</t>
  </si>
  <si>
    <t>77.66万</t>
  </si>
  <si>
    <t>3253.87万</t>
  </si>
  <si>
    <t>441.29万</t>
  </si>
  <si>
    <t>2208.69万</t>
  </si>
  <si>
    <t>1082.79万</t>
  </si>
  <si>
    <t>4.48亿</t>
  </si>
  <si>
    <t>1066.73万</t>
  </si>
  <si>
    <t>4429.41万</t>
  </si>
  <si>
    <t>313.49万</t>
  </si>
  <si>
    <t>4754.17万</t>
  </si>
  <si>
    <t>1756.82万</t>
  </si>
  <si>
    <t>6900.63万</t>
  </si>
  <si>
    <t>254.68万</t>
  </si>
  <si>
    <t>1680.00万</t>
  </si>
  <si>
    <t>1073.42万</t>
  </si>
  <si>
    <t>8402.62万</t>
  </si>
  <si>
    <t>6-0</t>
  </si>
  <si>
    <t>98.92万</t>
  </si>
  <si>
    <t>8151.26万</t>
  </si>
  <si>
    <t>3004.96万</t>
  </si>
  <si>
    <t>511.66万</t>
  </si>
  <si>
    <t>4629.13万</t>
  </si>
  <si>
    <t>-4-1</t>
  </si>
  <si>
    <t>235.64万</t>
  </si>
  <si>
    <t>1142.57万</t>
  </si>
  <si>
    <t>733.86万</t>
  </si>
  <si>
    <t>5040.59万</t>
  </si>
  <si>
    <t>107.36万</t>
  </si>
  <si>
    <t>9434.53万</t>
  </si>
  <si>
    <t>229.12万</t>
  </si>
  <si>
    <t>428.09万</t>
  </si>
  <si>
    <t>2866.04万</t>
  </si>
  <si>
    <t>189.04万</t>
  </si>
  <si>
    <t>4100.99万</t>
  </si>
  <si>
    <t>758.98万</t>
  </si>
  <si>
    <t>5342.16万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</si>
</sst>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>
      <alignment vertical="center"/>
    </xf>
    <xf numFmtId="0" fontId="2" fillId="0" borderId="0" applyFill="0" applyProtection="0"/>
    <xf numFmtId="0" fontId="2" fillId="0" borderId="0" applyFill="0" applyProtection="0"/>
    <xf numFmtId="0" fontId="4" fillId="0" borderId="0" applyNumberFormat="0" applyFill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1" fillId="7" borderId="5" applyNumberFormat="0" applyAlignment="0" applyProtection="0">
      <alignment vertical="center"/>
    </xf>
    <xf numFmtId="0" fontId="12" fillId="8" borderId="6" applyNumberFormat="0" applyAlignment="0" applyProtection="0">
      <alignment vertical="center"/>
    </xf>
    <xf numFmtId="0" fontId="13" fillId="8" borderId="5" applyNumberFormat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5" fillId="9" borderId="8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0" borderId="9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0" xfId="0">
      <alignment vertical="center"/>
    </xf>
    <xf numFmtId="9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1" xfId="0" applyNumberFormat="1" applyFill="1" applyBorder="1" applyAlignment="1">
      <alignment vertical="center" wrapText="1"/>
    </xf>
    <xf numFmtId="0" fontId="20" fillId="0" borderId="0" xfId="0" applyFont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0" fontId="21" fillId="0" borderId="0" xfId="0" applyFont="1" applyAlignment="1">
      <alignment vertical="center" wrapText="1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22" fillId="0" borderId="0" xfId="0" applyFont="1">
      <alignment vertical="center"/>
    </xf>
    <xf numFmtId="0" fontId="16" fillId="0" borderId="0" xfId="0" applyFont="1">
      <alignment vertical="center"/>
    </xf>
    <xf numFmtId="0" fontId="22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4">
    <cellStyle name="20% - 着色 1" xfId="21" builtinId="30" customBuiltin="1"/>
    <cellStyle name="20% - 着色 2" xfId="25" builtinId="34" customBuiltin="1"/>
    <cellStyle name="20% - 着色 3" xfId="29" builtinId="38" customBuiltin="1"/>
    <cellStyle name="20% - 着色 4" xfId="33" builtinId="42" customBuiltin="1"/>
    <cellStyle name="20% - 着色 5" xfId="37" builtinId="46" customBuiltin="1"/>
    <cellStyle name="20% - 着色 6" xfId="41" builtinId="50" customBuiltin="1"/>
    <cellStyle name="40% - 着色 1" xfId="22" builtinId="31" customBuiltin="1"/>
    <cellStyle name="40% - 着色 2" xfId="26" builtinId="35" customBuiltin="1"/>
    <cellStyle name="40% - 着色 3" xfId="30" builtinId="39" customBuiltin="1"/>
    <cellStyle name="40% - 着色 4" xfId="34" builtinId="43" customBuiltin="1"/>
    <cellStyle name="40% - 着色 5" xfId="38" builtinId="47" customBuiltin="1"/>
    <cellStyle name="40% - 着色 6" xfId="42" builtinId="51" customBuiltin="1"/>
    <cellStyle name="60% - 着色 1" xfId="23" builtinId="32" customBuiltin="1"/>
    <cellStyle name="60% - 着色 2" xfId="27" builtinId="36" customBuiltin="1"/>
    <cellStyle name="60% - 着色 3" xfId="31" builtinId="40" customBuiltin="1"/>
    <cellStyle name="60% - 着色 4" xfId="35" builtinId="44" customBuiltin="1"/>
    <cellStyle name="60% - 着色 5" xfId="39" builtinId="48" customBuiltin="1"/>
    <cellStyle name="60% - 着色 6" xfId="43" builtinId="52" customBuiltin="1"/>
    <cellStyle name="Normal 2" xfId="2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9" builtinId="27" customBuiltin="1"/>
    <cellStyle name="常规" xfId="0" builtinId="0"/>
    <cellStyle name="常规 2" xfId="1"/>
    <cellStyle name="好" xfId="8" builtinId="26" customBuiltin="1"/>
    <cellStyle name="汇总" xfId="19" builtinId="25" customBuiltin="1"/>
    <cellStyle name="计算" xfId="13" builtinId="22" customBuiltin="1"/>
    <cellStyle name="检查单元格" xfId="15" builtinId="23" customBuiltin="1"/>
    <cellStyle name="解释性文本" xfId="18" builtinId="53" customBuiltin="1"/>
    <cellStyle name="警告文本" xfId="16" builtinId="11" customBuiltin="1"/>
    <cellStyle name="链接单元格" xfId="14" builtinId="24" customBuiltin="1"/>
    <cellStyle name="适中" xfId="10" builtinId="28" customBuiltin="1"/>
    <cellStyle name="输出" xfId="12" builtinId="21" customBuiltin="1"/>
    <cellStyle name="输入" xfId="11" builtinId="20" customBuiltin="1"/>
    <cellStyle name="着色 1" xfId="20" builtinId="29" customBuiltin="1"/>
    <cellStyle name="着色 2" xfId="24" builtinId="33" customBuiltin="1"/>
    <cellStyle name="着色 3" xfId="28" builtinId="37" customBuiltin="1"/>
    <cellStyle name="着色 4" xfId="32" builtinId="41" customBuiltin="1"/>
    <cellStyle name="着色 5" xfId="36" builtinId="45" customBuiltin="1"/>
    <cellStyle name="着色 6" xfId="40" builtinId="49" customBuiltin="1"/>
    <cellStyle name="注释" xfId="17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196850</xdr:colOff>
          <xdr:row>0</xdr:row>
          <xdr:rowOff>50800</xdr:rowOff>
        </xdr:from>
        <xdr:to>
          <xdr:col>147</xdr:col>
          <xdr:colOff>1327150</xdr:colOff>
          <xdr:row>0</xdr:row>
          <xdr:rowOff>412750</xdr:rowOff>
        </xdr:to>
        <xdr:sp macro="" textlink="">
          <xdr:nvSpPr>
            <xdr:cNvPr id="2049" name="Button 1" descr="更新基本面按钮&#10;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109"/>
  <sheetViews>
    <sheetView tabSelected="1" zoomScale="85" zoomScaleNormal="85" workbookViewId="0">
      <pane xSplit="5" ySplit="1" topLeftCell="F24" activePane="bottomRight" state="frozen"/>
      <selection pane="topRight" activeCell="F1" sqref="F1"/>
      <selection pane="bottomLeft" activeCell="A2" sqref="A2"/>
      <selection pane="bottomRight" activeCell="D32" sqref="D32:EP32"/>
    </sheetView>
  </sheetViews>
  <sheetFormatPr defaultColWidth="8.81640625" defaultRowHeight="14" x14ac:dyDescent="0.25"/>
  <cols>
    <col min="1" max="1" width="34.6328125" style="7" customWidth="1"/>
    <col min="2" max="2" width="38.7265625" style="7" customWidth="1"/>
    <col min="3" max="3" width="45.36328125" style="7" customWidth="1"/>
    <col min="4" max="4" width="8.81640625" style="3"/>
    <col min="5" max="5" width="14.54296875" style="3" customWidth="1"/>
    <col min="6" max="8" width="8.81640625" style="3"/>
    <col min="9" max="9" width="14.1796875" style="3" customWidth="1"/>
    <col min="10" max="13" width="8.81640625" style="3"/>
    <col min="14" max="14" width="10.54296875" style="3" customWidth="1"/>
    <col min="15" max="15" width="10.36328125" style="3" customWidth="1"/>
    <col min="16" max="16" width="12.453125" style="3" customWidth="1"/>
    <col min="17" max="18" width="8.81640625" style="3"/>
    <col min="19" max="19" width="16.453125" style="3" customWidth="1"/>
    <col min="20" max="21" width="8.81640625" style="3"/>
    <col min="22" max="22" width="9.54296875" style="3" customWidth="1"/>
    <col min="23" max="26" width="8.81640625" style="3"/>
    <col min="27" max="27" width="14" style="3" customWidth="1"/>
    <col min="28" max="33" width="8.81640625" style="3"/>
    <col min="34" max="34" width="13.36328125" style="3" customWidth="1"/>
    <col min="35" max="147" width="8.81640625" style="3"/>
    <col min="148" max="148" width="21.36328125" style="3" customWidth="1"/>
    <col min="149" max="16384" width="8.81640625" style="3"/>
  </cols>
  <sheetData>
    <row r="1" spans="1:146" ht="37" customHeight="1" x14ac:dyDescent="0.25">
      <c r="A1" s="6" t="s">
        <v>4</v>
      </c>
      <c r="B1" s="8" t="s">
        <v>5</v>
      </c>
      <c r="C1" s="6" t="s">
        <v>3</v>
      </c>
      <c r="D1" s="3" t="s">
        <v>261</v>
      </c>
      <c r="E1" s="3" t="s">
        <v>318</v>
      </c>
      <c r="F1" s="3" t="s">
        <v>19</v>
      </c>
      <c r="G1" s="3" t="s">
        <v>262</v>
      </c>
      <c r="H1" s="3" t="s">
        <v>405</v>
      </c>
      <c r="I1" s="3" t="s">
        <v>20</v>
      </c>
      <c r="J1" s="3" t="s">
        <v>21</v>
      </c>
      <c r="K1" s="3" t="s">
        <v>22</v>
      </c>
      <c r="L1" s="3" t="s">
        <v>23</v>
      </c>
      <c r="M1" s="3" t="s">
        <v>24</v>
      </c>
      <c r="N1" s="3" t="s">
        <v>25</v>
      </c>
      <c r="O1" s="3" t="s">
        <v>26</v>
      </c>
      <c r="P1" s="3" t="s">
        <v>406</v>
      </c>
      <c r="Q1" s="3" t="s">
        <v>335</v>
      </c>
      <c r="R1" s="3" t="s">
        <v>319</v>
      </c>
      <c r="S1" s="3" t="s">
        <v>27</v>
      </c>
      <c r="T1" s="3" t="s">
        <v>407</v>
      </c>
      <c r="U1" s="3" t="s">
        <v>263</v>
      </c>
      <c r="V1" s="3" t="s">
        <v>28</v>
      </c>
      <c r="W1" s="3" t="s">
        <v>336</v>
      </c>
      <c r="X1" s="3" t="s">
        <v>337</v>
      </c>
      <c r="Y1" s="3" t="s">
        <v>338</v>
      </c>
      <c r="Z1" s="3" t="s">
        <v>339</v>
      </c>
      <c r="AA1" s="3" t="s">
        <v>340</v>
      </c>
      <c r="AB1" s="3" t="s">
        <v>408</v>
      </c>
      <c r="AC1" s="3" t="s">
        <v>341</v>
      </c>
      <c r="AD1" s="3" t="s">
        <v>342</v>
      </c>
      <c r="AE1" s="3" t="s">
        <v>29</v>
      </c>
      <c r="AF1" s="3" t="s">
        <v>30</v>
      </c>
      <c r="AG1" s="3" t="s">
        <v>409</v>
      </c>
      <c r="AH1" s="3" t="s">
        <v>320</v>
      </c>
      <c r="AI1" s="3" t="s">
        <v>410</v>
      </c>
      <c r="AJ1" s="3" t="s">
        <v>31</v>
      </c>
      <c r="AK1" s="3" t="s">
        <v>411</v>
      </c>
      <c r="AL1" s="3" t="s">
        <v>32</v>
      </c>
      <c r="AM1" s="3" t="s">
        <v>412</v>
      </c>
      <c r="AN1" s="3" t="s">
        <v>413</v>
      </c>
      <c r="AO1" s="3" t="s">
        <v>414</v>
      </c>
      <c r="AP1" s="3" t="s">
        <v>415</v>
      </c>
      <c r="AQ1" s="3" t="s">
        <v>416</v>
      </c>
      <c r="AR1" s="3" t="s">
        <v>417</v>
      </c>
      <c r="AS1" s="3" t="s">
        <v>418</v>
      </c>
      <c r="AT1" s="3" t="s">
        <v>419</v>
      </c>
      <c r="AU1" s="3" t="s">
        <v>420</v>
      </c>
      <c r="AV1" s="3" t="s">
        <v>421</v>
      </c>
      <c r="AW1" s="3" t="s">
        <v>422</v>
      </c>
      <c r="AX1" s="3" t="s">
        <v>321</v>
      </c>
      <c r="AY1" s="3" t="s">
        <v>33</v>
      </c>
      <c r="AZ1" s="3" t="s">
        <v>34</v>
      </c>
      <c r="BA1" s="3" t="s">
        <v>35</v>
      </c>
      <c r="BB1" s="3" t="s">
        <v>36</v>
      </c>
      <c r="BC1" s="3" t="s">
        <v>264</v>
      </c>
      <c r="BD1" s="3" t="s">
        <v>37</v>
      </c>
      <c r="BE1" s="3" t="s">
        <v>38</v>
      </c>
      <c r="BF1" s="3" t="s">
        <v>39</v>
      </c>
      <c r="BG1" s="3" t="s">
        <v>40</v>
      </c>
      <c r="BH1" s="3" t="s">
        <v>423</v>
      </c>
      <c r="BI1" s="3" t="s">
        <v>424</v>
      </c>
      <c r="BJ1" s="3" t="s">
        <v>425</v>
      </c>
      <c r="BK1" s="3" t="s">
        <v>426</v>
      </c>
      <c r="BL1" s="3" t="s">
        <v>427</v>
      </c>
      <c r="BM1" s="3" t="s">
        <v>428</v>
      </c>
      <c r="BN1" s="3" t="s">
        <v>322</v>
      </c>
      <c r="BO1" s="3" t="s">
        <v>265</v>
      </c>
      <c r="BP1" s="3" t="s">
        <v>41</v>
      </c>
      <c r="BQ1" s="3" t="s">
        <v>323</v>
      </c>
      <c r="BR1" s="3" t="s">
        <v>266</v>
      </c>
      <c r="BS1" s="3" t="s">
        <v>42</v>
      </c>
      <c r="BT1" s="3" t="s">
        <v>429</v>
      </c>
      <c r="BU1" s="3" t="s">
        <v>343</v>
      </c>
      <c r="BV1" s="3" t="s">
        <v>430</v>
      </c>
      <c r="BW1" s="3" t="s">
        <v>43</v>
      </c>
      <c r="BX1" s="3" t="s">
        <v>44</v>
      </c>
      <c r="BY1" s="3" t="s">
        <v>431</v>
      </c>
      <c r="BZ1" s="3" t="s">
        <v>45</v>
      </c>
      <c r="CA1" s="3" t="s">
        <v>46</v>
      </c>
      <c r="CB1" s="3" t="s">
        <v>432</v>
      </c>
      <c r="CC1" s="3" t="s">
        <v>433</v>
      </c>
      <c r="CD1" s="3" t="s">
        <v>434</v>
      </c>
      <c r="CE1" s="3" t="s">
        <v>435</v>
      </c>
      <c r="CF1" s="1" t="s">
        <v>324</v>
      </c>
      <c r="CG1" s="1" t="s">
        <v>325</v>
      </c>
      <c r="CH1" s="1" t="s">
        <v>6</v>
      </c>
      <c r="CI1" s="1" t="s">
        <v>7</v>
      </c>
      <c r="CJ1" s="1" t="s">
        <v>8</v>
      </c>
      <c r="CK1" s="1" t="s">
        <v>9</v>
      </c>
      <c r="CL1" s="1" t="s">
        <v>10</v>
      </c>
      <c r="CM1" s="1" t="s">
        <v>11</v>
      </c>
      <c r="CN1" s="1" t="s">
        <v>12</v>
      </c>
      <c r="CO1" s="1" t="s">
        <v>13</v>
      </c>
      <c r="CP1" s="1" t="s">
        <v>14</v>
      </c>
      <c r="CQ1" s="1" t="s">
        <v>15</v>
      </c>
      <c r="CR1" s="1" t="s">
        <v>436</v>
      </c>
      <c r="CS1" s="1" t="s">
        <v>437</v>
      </c>
      <c r="CT1" s="1" t="s">
        <v>438</v>
      </c>
      <c r="CU1" s="1" t="s">
        <v>439</v>
      </c>
      <c r="CV1" s="1" t="s">
        <v>440</v>
      </c>
      <c r="CW1" s="1" t="s">
        <v>441</v>
      </c>
      <c r="CX1" s="3">
        <v>1</v>
      </c>
      <c r="CY1" s="3" t="s">
        <v>442</v>
      </c>
      <c r="CZ1" s="3" t="s">
        <v>443</v>
      </c>
      <c r="DA1" s="3">
        <v>3</v>
      </c>
      <c r="DB1" s="3" t="s">
        <v>444</v>
      </c>
      <c r="DC1" s="3" t="s">
        <v>445</v>
      </c>
      <c r="DD1" s="3">
        <v>6</v>
      </c>
      <c r="DE1" s="3" t="s">
        <v>446</v>
      </c>
      <c r="DF1" s="3" t="s">
        <v>387</v>
      </c>
      <c r="DG1" s="3">
        <v>10</v>
      </c>
      <c r="DH1" s="3" t="s">
        <v>447</v>
      </c>
      <c r="DI1" s="3" t="s">
        <v>448</v>
      </c>
      <c r="DJ1" s="3">
        <v>20</v>
      </c>
      <c r="DK1" s="3" t="s">
        <v>449</v>
      </c>
      <c r="DL1" s="3" t="s">
        <v>16</v>
      </c>
      <c r="DM1" s="3" t="s">
        <v>17</v>
      </c>
      <c r="DN1" s="2" t="s">
        <v>18</v>
      </c>
      <c r="DO1" s="3" t="s">
        <v>450</v>
      </c>
      <c r="DP1" s="3" t="s">
        <v>451</v>
      </c>
      <c r="DQ1" s="14" t="s">
        <v>452</v>
      </c>
      <c r="DR1" s="1" t="s">
        <v>453</v>
      </c>
      <c r="DS1" s="1" t="s">
        <v>454</v>
      </c>
      <c r="DT1" s="3" t="s">
        <v>455</v>
      </c>
      <c r="DU1" s="3" t="s">
        <v>456</v>
      </c>
      <c r="DV1" s="3" t="s">
        <v>457</v>
      </c>
      <c r="DW1" s="3" t="s">
        <v>458</v>
      </c>
      <c r="DX1" s="3" t="s">
        <v>459</v>
      </c>
      <c r="DY1" s="3" t="s">
        <v>460</v>
      </c>
      <c r="DZ1" s="3" t="s">
        <v>461</v>
      </c>
      <c r="EA1" s="3" t="s">
        <v>462</v>
      </c>
      <c r="EB1" s="3" t="s">
        <v>463</v>
      </c>
      <c r="EC1" s="3" t="s">
        <v>464</v>
      </c>
      <c r="ED1" s="3" t="s">
        <v>465</v>
      </c>
      <c r="EE1" s="3" t="s">
        <v>466</v>
      </c>
      <c r="EF1" s="3" t="s">
        <v>467</v>
      </c>
      <c r="EG1" s="3" t="s">
        <v>468</v>
      </c>
      <c r="EH1" s="3" t="s">
        <v>469</v>
      </c>
      <c r="EI1" s="3" t="s">
        <v>470</v>
      </c>
      <c r="EK1" s="15" t="s">
        <v>471</v>
      </c>
      <c r="EL1" s="3" t="s">
        <v>472</v>
      </c>
      <c r="EM1" s="3" t="s">
        <v>473</v>
      </c>
      <c r="EN1" s="3" t="s">
        <v>474</v>
      </c>
      <c r="EO1" s="3" t="s">
        <v>475</v>
      </c>
      <c r="EP1" s="3" t="s">
        <v>476</v>
      </c>
    </row>
    <row r="2" spans="1:146" ht="180" x14ac:dyDescent="0.25">
      <c r="C2" s="7" t="str">
        <f>"公司主营业务为面向电子信息产业链的现代高端服务业，为产业链上的各环节提供线上线下交易服务、产品服务、技术服务、信息服务、数据服务和创新创业配套等服务，打造面向电子信息产业的国内一流线下、线上交易服务平台。"&amp;CHAR(10)&amp;Basic_Fundamental_Information_Constructure(F2)&amp;CHAR(10)&amp;Basic_Fundamental_Information_Concatenate("电子元器件授权分销分部-产品 75.13亿 86.66% 58.34% 7.21%
电子元器件产业互联网分部 8.53亿 9.84% 21.67% 23.59%
电子专业市场 2.21亿 2.54% 15.66% 65.98%
物业经营及其他分部 8254.07万 0.95% 4.32% 48.67%")</f>
        <v>公司主营业务为面向电子信息产业链的现代高端服务业，为产业链上的各环节提供线上线下交易服务、产品服务、技术服务、信息服务、数据服务和创新创业配套等服务，打造面向电子信息产业的国内一流线下、线上交易服务平台。
市值94.445612亿, 利润4.67亿; PE23.64; 平均PE13.36; 平均PEG1.01, PB1.31; ROIC7.3467%; ROE11.8667%; 股利率2.2148%; 毛利10.5733%; 净利3.9233%; 上一年度营收增-13.98%, 利润增-50.95%; 当季营收增15.72%, 利润增-54.08%; 过往5年营收增13.22%, 利润增-2.16%
Income profile:
电子元器件授权分销分部-产品 75.13亿 86.66% 58.34% 7.21%
电子元器件产业互联网分部 8.53亿 9.84% 21.67% 23.59%
电子专业市场 2.21亿 2.54% 15.66% 65.98%
物业经营及其他分部 8254.07万 0.95% 4.32% 48.67%</v>
      </c>
      <c r="D2" s="3" t="s">
        <v>47</v>
      </c>
      <c r="E2" s="3" t="s">
        <v>48</v>
      </c>
      <c r="F2" s="3">
        <v>9.0299999999999994</v>
      </c>
      <c r="G2" s="3">
        <v>0</v>
      </c>
      <c r="H2" s="3" t="s">
        <v>1245</v>
      </c>
      <c r="I2" s="3">
        <v>9444561200</v>
      </c>
      <c r="J2" s="3">
        <v>23.64</v>
      </c>
      <c r="K2" s="3">
        <v>1.31</v>
      </c>
      <c r="L2" s="3" t="s">
        <v>49</v>
      </c>
      <c r="M2" s="3" t="s">
        <v>618</v>
      </c>
      <c r="N2" s="3" t="s">
        <v>619</v>
      </c>
      <c r="O2" s="3" t="s">
        <v>620</v>
      </c>
      <c r="P2" s="3">
        <v>15.72</v>
      </c>
      <c r="Q2" s="3" t="s">
        <v>640</v>
      </c>
      <c r="R2" s="3">
        <v>57404669</v>
      </c>
      <c r="S2" s="5">
        <v>-0.54190000000000005</v>
      </c>
      <c r="T2" s="3" t="s">
        <v>590</v>
      </c>
      <c r="U2" s="3">
        <v>1044547530</v>
      </c>
      <c r="V2" s="3">
        <v>1045909320</v>
      </c>
      <c r="W2" s="3">
        <v>2.04</v>
      </c>
      <c r="X2" s="3">
        <v>0.26</v>
      </c>
      <c r="Y2" s="3">
        <v>1.62</v>
      </c>
      <c r="Z2" s="3" t="s">
        <v>621</v>
      </c>
      <c r="AA2" s="3" t="s">
        <v>622</v>
      </c>
      <c r="AB2" s="3" t="s">
        <v>623</v>
      </c>
      <c r="AC2" s="3" t="s">
        <v>624</v>
      </c>
      <c r="AD2" s="3" t="s">
        <v>52</v>
      </c>
      <c r="AE2" s="3">
        <v>68766504</v>
      </c>
      <c r="AF2" s="3" t="s">
        <v>625</v>
      </c>
      <c r="AG2" s="3" t="s">
        <v>626</v>
      </c>
      <c r="AH2" s="3" t="s">
        <v>627</v>
      </c>
      <c r="AI2" s="3" t="s">
        <v>628</v>
      </c>
      <c r="AJ2" s="3" t="s">
        <v>629</v>
      </c>
      <c r="AK2" s="3" t="s">
        <v>630</v>
      </c>
      <c r="AL2" s="3" t="s">
        <v>631</v>
      </c>
      <c r="AM2" s="3" t="s">
        <v>52</v>
      </c>
      <c r="AN2" s="3" t="s">
        <v>632</v>
      </c>
      <c r="AO2" s="3" t="s">
        <v>633</v>
      </c>
      <c r="AP2" s="3" t="s">
        <v>52</v>
      </c>
      <c r="AQ2" s="3" t="s">
        <v>304</v>
      </c>
      <c r="AR2" s="3" t="s">
        <v>634</v>
      </c>
      <c r="AS2" s="3" t="s">
        <v>635</v>
      </c>
      <c r="AT2" s="3" t="s">
        <v>636</v>
      </c>
      <c r="AU2" s="3" t="s">
        <v>637</v>
      </c>
      <c r="AV2" s="3" t="s">
        <v>638</v>
      </c>
      <c r="AW2" s="3" t="s">
        <v>639</v>
      </c>
      <c r="AX2" s="3" t="s">
        <v>494</v>
      </c>
      <c r="AY2" s="3" t="s">
        <v>267</v>
      </c>
      <c r="AZ2" s="3" t="s">
        <v>50</v>
      </c>
      <c r="BA2" s="3" t="s">
        <v>54</v>
      </c>
      <c r="BB2" s="3" t="s">
        <v>55</v>
      </c>
      <c r="BC2" s="3" t="s">
        <v>495</v>
      </c>
      <c r="BD2" s="3" t="s">
        <v>119</v>
      </c>
      <c r="BE2" s="3" t="s">
        <v>51</v>
      </c>
      <c r="BF2" s="3" t="s">
        <v>56</v>
      </c>
      <c r="BG2" s="3" t="s">
        <v>57</v>
      </c>
      <c r="BH2" s="3" t="s">
        <v>640</v>
      </c>
      <c r="BI2" s="3" t="s">
        <v>1246</v>
      </c>
      <c r="BJ2" s="3" t="s">
        <v>494</v>
      </c>
      <c r="BK2" s="3" t="s">
        <v>590</v>
      </c>
      <c r="BL2" s="3" t="s">
        <v>1247</v>
      </c>
      <c r="BM2" s="3" t="s">
        <v>495</v>
      </c>
      <c r="BN2" s="3">
        <v>4.1100000000000003</v>
      </c>
      <c r="BO2" s="3">
        <v>8.65</v>
      </c>
      <c r="BP2" s="3">
        <v>9.2799999999999994</v>
      </c>
      <c r="BQ2" s="3">
        <v>5.78</v>
      </c>
      <c r="BR2" s="3">
        <v>14.62</v>
      </c>
      <c r="BS2" s="3">
        <v>15.2</v>
      </c>
      <c r="BT2" s="3" t="s">
        <v>641</v>
      </c>
      <c r="BU2" s="3" t="s">
        <v>49</v>
      </c>
      <c r="BV2" s="3">
        <v>9.57</v>
      </c>
      <c r="BW2" s="3">
        <v>10.76</v>
      </c>
      <c r="BX2" s="3">
        <v>11.39</v>
      </c>
      <c r="BY2" s="3">
        <v>2.69</v>
      </c>
      <c r="BZ2" s="3">
        <v>4.51</v>
      </c>
      <c r="CA2" s="3">
        <v>4.57</v>
      </c>
      <c r="CB2" s="3">
        <v>9.06</v>
      </c>
      <c r="CC2" s="3">
        <v>-6.71</v>
      </c>
      <c r="CD2" s="3" t="s">
        <v>1248</v>
      </c>
      <c r="CE2" s="3" t="s">
        <v>1249</v>
      </c>
      <c r="CF2" s="10">
        <v>0.15723923196678774</v>
      </c>
      <c r="CG2" s="11">
        <v>-0.54076264799999996</v>
      </c>
      <c r="CH2" s="10">
        <v>-0.1398019939661026</v>
      </c>
      <c r="CI2" s="10">
        <v>4.8158977180719376E-2</v>
      </c>
      <c r="CJ2" s="10">
        <v>0.39862838387489319</v>
      </c>
      <c r="CK2" s="10">
        <v>0.13765235245227814</v>
      </c>
      <c r="CL2" s="10">
        <v>0.21652539074420929</v>
      </c>
      <c r="CM2" s="11">
        <v>-0.50945377349853516</v>
      </c>
      <c r="CN2" s="11">
        <v>7.8142695128917694E-2</v>
      </c>
      <c r="CO2" s="11">
        <v>0.41280001401901245</v>
      </c>
      <c r="CP2" s="11">
        <v>-7.9365083947777748E-3</v>
      </c>
      <c r="CQ2" s="11">
        <v>-8.1632651388645172E-2</v>
      </c>
      <c r="CR2" s="3">
        <v>13.355495451331606</v>
      </c>
      <c r="CS2" s="3">
        <v>1.0100000471558719</v>
      </c>
      <c r="CT2" s="3">
        <v>2.2148394241417497</v>
      </c>
      <c r="CU2" s="10">
        <v>0.13223262205719949</v>
      </c>
      <c r="CV2" s="11">
        <v>-2.161604482680559E-2</v>
      </c>
      <c r="CW2" s="3">
        <v>0.06</v>
      </c>
      <c r="CX2" s="3">
        <v>22.197364336695692</v>
      </c>
      <c r="CY2" s="3">
        <v>498823240.09501147</v>
      </c>
      <c r="CZ2" s="3">
        <v>0.13223262205719949</v>
      </c>
      <c r="DA2" s="3">
        <v>7.0002761866343253</v>
      </c>
      <c r="DB2" s="3">
        <v>1581732049.5355477</v>
      </c>
      <c r="DC2" s="3">
        <v>0.12562099095433951</v>
      </c>
      <c r="DD2" s="3">
        <v>3.2834511313591817</v>
      </c>
      <c r="DE2" s="3">
        <v>3372232677.4562116</v>
      </c>
      <c r="DF2" s="3">
        <v>0.11636470741033555</v>
      </c>
      <c r="DG2" s="3">
        <v>1.8651918898371309</v>
      </c>
      <c r="DH2" s="3">
        <v>5936419335.9037495</v>
      </c>
      <c r="DI2" s="3">
        <v>0.10578609764575959</v>
      </c>
      <c r="DJ2" s="3">
        <v>0.8498365466522162</v>
      </c>
      <c r="DK2" s="3">
        <v>13029048048.849436</v>
      </c>
      <c r="DL2" s="3">
        <v>9.256283544003964E-2</v>
      </c>
      <c r="DM2" s="3">
        <v>467000000</v>
      </c>
      <c r="DN2" s="3">
        <v>0.13223262205719949</v>
      </c>
      <c r="DO2" s="3">
        <v>11072561200</v>
      </c>
      <c r="DP2" s="3">
        <v>4315947000</v>
      </c>
      <c r="DQ2" s="3">
        <v>43</v>
      </c>
      <c r="DR2" s="3">
        <v>2.5006609909588251E-2</v>
      </c>
      <c r="DS2" s="3">
        <v>-0.51914660317319439</v>
      </c>
      <c r="DT2" s="12">
        <v>-0.20666666666666669</v>
      </c>
      <c r="DU2" s="3">
        <v>-0.25333333333333335</v>
      </c>
      <c r="DV2" s="3">
        <v>-0.46000000000000008</v>
      </c>
      <c r="DW2" s="3">
        <v>5.7406181015452535</v>
      </c>
      <c r="DX2" s="3">
        <v>0.38687687861271569</v>
      </c>
      <c r="DY2" s="3">
        <v>5.1087796749990426</v>
      </c>
      <c r="DZ2" s="3">
        <v>2884</v>
      </c>
      <c r="EA2" s="3">
        <v>5.047362176428714</v>
      </c>
      <c r="EB2" s="3">
        <v>5</v>
      </c>
      <c r="EC2" s="3">
        <v>2.4294362344911502E-2</v>
      </c>
      <c r="ED2" s="3">
        <v>0.16540630883755775</v>
      </c>
      <c r="EE2" s="13">
        <v>1.0699000000000001</v>
      </c>
      <c r="EF2" s="3">
        <v>1.0699000000000001</v>
      </c>
      <c r="EG2" s="3">
        <v>24.146876878612716</v>
      </c>
      <c r="EH2" s="3" t="s">
        <v>330</v>
      </c>
      <c r="EI2" s="3">
        <v>1</v>
      </c>
      <c r="EJ2" s="3">
        <v>0</v>
      </c>
      <c r="EK2" s="15">
        <v>45505</v>
      </c>
      <c r="EL2" s="16">
        <v>-0.24</v>
      </c>
      <c r="EM2" s="16">
        <v>2.29</v>
      </c>
      <c r="EN2" s="16">
        <v>0</v>
      </c>
      <c r="EO2" s="16">
        <v>5</v>
      </c>
      <c r="EP2" s="16">
        <v>0</v>
      </c>
    </row>
    <row r="3" spans="1:146" ht="96" x14ac:dyDescent="0.25">
      <c r="C3" s="7" t="str">
        <f>""&amp;CHAR(10)&amp;Basic_Fundamental_Information_Constructure(F3)&amp;CHAR(10)&amp;Basic_Fundamental_Information_Concatenate("")</f>
        <v xml:space="preserve">
市值41.360294亿, 利润-6005.75万; PE; 平均PE-60.85; 平均PEG-.02, PB109.2; ROIC15.69%; ROE-3.4767%; 股利率0%; 毛利6.29%; 净利1.0267%; 上一年度营收增10.98%, 利润增-502.94%; 当季营收增55.95%, 利润增-107.41%; 过往5年营收增3417.35%, 利润增-25.37%
Income profile:
</v>
      </c>
      <c r="D3" s="3" t="s">
        <v>345</v>
      </c>
      <c r="E3" s="3" t="s">
        <v>346</v>
      </c>
      <c r="F3" s="3">
        <v>4.87</v>
      </c>
      <c r="G3" s="3">
        <v>9.93</v>
      </c>
      <c r="H3" s="3" t="s">
        <v>1250</v>
      </c>
      <c r="I3" s="3">
        <v>4136029400</v>
      </c>
      <c r="K3" s="3">
        <v>109.2</v>
      </c>
      <c r="L3" s="3" t="s">
        <v>49</v>
      </c>
      <c r="M3" s="3" t="s">
        <v>642</v>
      </c>
      <c r="N3" s="3" t="s">
        <v>643</v>
      </c>
      <c r="O3" s="3" t="s">
        <v>644</v>
      </c>
      <c r="P3" s="3">
        <v>55.87</v>
      </c>
      <c r="Q3" s="3" t="s">
        <v>659</v>
      </c>
      <c r="R3" s="3">
        <v>-21500000</v>
      </c>
      <c r="S3" s="5">
        <v>0.68389999999999995</v>
      </c>
      <c r="T3" s="3" t="s">
        <v>660</v>
      </c>
      <c r="U3" s="3">
        <v>722106710</v>
      </c>
      <c r="V3" s="3">
        <v>849287360</v>
      </c>
      <c r="W3" s="3">
        <v>5.17</v>
      </c>
      <c r="X3" s="3">
        <v>0.51</v>
      </c>
      <c r="Y3" s="3">
        <v>1.33</v>
      </c>
      <c r="Z3" s="3" t="s">
        <v>645</v>
      </c>
      <c r="AA3" s="3" t="s">
        <v>209</v>
      </c>
      <c r="AB3" s="3" t="s">
        <v>646</v>
      </c>
      <c r="AC3" s="3" t="s">
        <v>647</v>
      </c>
      <c r="AD3" s="3" t="s">
        <v>52</v>
      </c>
      <c r="AE3" s="3">
        <v>13157356</v>
      </c>
      <c r="AF3" s="3" t="s">
        <v>648</v>
      </c>
      <c r="AG3" s="3" t="s">
        <v>52</v>
      </c>
      <c r="AH3" s="3" t="s">
        <v>649</v>
      </c>
      <c r="AI3" s="3" t="s">
        <v>650</v>
      </c>
      <c r="AJ3" s="3" t="s">
        <v>651</v>
      </c>
      <c r="AK3" s="3" t="s">
        <v>652</v>
      </c>
      <c r="AL3" s="3" t="s">
        <v>653</v>
      </c>
      <c r="AM3" s="3" t="s">
        <v>52</v>
      </c>
      <c r="AN3" s="3">
        <v>0</v>
      </c>
      <c r="AO3" s="3" t="s">
        <v>126</v>
      </c>
      <c r="AP3" s="3" t="s">
        <v>52</v>
      </c>
      <c r="AQ3" s="3" t="s">
        <v>532</v>
      </c>
      <c r="AR3" s="3" t="s">
        <v>52</v>
      </c>
      <c r="AS3" s="3" t="s">
        <v>654</v>
      </c>
      <c r="AT3" s="3" t="s">
        <v>655</v>
      </c>
      <c r="AU3" s="3" t="s">
        <v>656</v>
      </c>
      <c r="AV3" s="3" t="s">
        <v>657</v>
      </c>
      <c r="AW3" s="3" t="s">
        <v>658</v>
      </c>
      <c r="AX3" s="3" t="s">
        <v>497</v>
      </c>
      <c r="AY3" s="3" t="s">
        <v>347</v>
      </c>
      <c r="AZ3" s="3" t="s">
        <v>349</v>
      </c>
      <c r="BA3" s="3" t="s">
        <v>350</v>
      </c>
      <c r="BB3" s="3" t="s">
        <v>59</v>
      </c>
      <c r="BC3" s="3" t="s">
        <v>498</v>
      </c>
      <c r="BD3" s="3" t="s">
        <v>348</v>
      </c>
      <c r="BE3" s="3" t="s">
        <v>351</v>
      </c>
      <c r="BF3" s="3" t="s">
        <v>352</v>
      </c>
      <c r="BG3" s="3" t="s">
        <v>353</v>
      </c>
      <c r="BH3" s="3" t="s">
        <v>659</v>
      </c>
      <c r="BI3" s="3" t="s">
        <v>1251</v>
      </c>
      <c r="BJ3" s="3" t="s">
        <v>497</v>
      </c>
      <c r="BK3" s="3" t="s">
        <v>660</v>
      </c>
      <c r="BL3" s="3" t="s">
        <v>1252</v>
      </c>
      <c r="BM3" s="3" t="s">
        <v>498</v>
      </c>
      <c r="BN3" s="3" t="s">
        <v>52</v>
      </c>
      <c r="BO3" s="3">
        <v>16.75</v>
      </c>
      <c r="BP3" s="3">
        <v>14.63</v>
      </c>
      <c r="BQ3" s="3">
        <v>-49.68</v>
      </c>
      <c r="BR3" s="3">
        <v>25.9</v>
      </c>
      <c r="BS3" s="3">
        <v>13.35</v>
      </c>
      <c r="BT3" s="3" t="s">
        <v>478</v>
      </c>
      <c r="BU3" s="3" t="s">
        <v>49</v>
      </c>
      <c r="BV3" s="3">
        <v>4.7</v>
      </c>
      <c r="BW3" s="3">
        <v>6.81</v>
      </c>
      <c r="BX3" s="3">
        <v>7.36</v>
      </c>
      <c r="BY3" s="3">
        <v>-0.9</v>
      </c>
      <c r="BZ3" s="3">
        <v>2.0499999999999998</v>
      </c>
      <c r="CA3" s="3">
        <v>1.93</v>
      </c>
      <c r="CB3" s="3">
        <v>17.350000000000001</v>
      </c>
      <c r="CC3" s="3">
        <v>3.62</v>
      </c>
      <c r="CD3" s="3" t="s">
        <v>1253</v>
      </c>
      <c r="CE3" s="3" t="s">
        <v>1254</v>
      </c>
      <c r="CF3" s="10">
        <v>0.55948553054662364</v>
      </c>
      <c r="CG3" s="11">
        <v>-1.0741483932585354</v>
      </c>
      <c r="CH3" s="10">
        <v>0.10979515314102173</v>
      </c>
      <c r="CI3" s="10">
        <v>8.0968908965587616E-2</v>
      </c>
      <c r="CJ3" s="10">
        <v>3.1285712718963623</v>
      </c>
      <c r="CK3" s="10">
        <v>168.50794982910156</v>
      </c>
      <c r="CL3" s="10">
        <v>-0.95990681648254395</v>
      </c>
      <c r="CM3" s="11">
        <v>-5.0294337272644043</v>
      </c>
      <c r="CN3" s="11">
        <v>3.6034839153289795</v>
      </c>
      <c r="CO3" s="11">
        <v>-0.68004703521728516</v>
      </c>
      <c r="CP3" s="11">
        <v>1.0491228103637695</v>
      </c>
      <c r="CQ3" s="11">
        <v>-0.21176470816135406</v>
      </c>
      <c r="CR3" s="3">
        <v>-60.854418804705681</v>
      </c>
      <c r="CS3" s="3">
        <v>-1.7807500587167742E-2</v>
      </c>
      <c r="CT3" s="3">
        <v>0</v>
      </c>
      <c r="CU3" s="10">
        <v>34.173475669324397</v>
      </c>
      <c r="CV3" s="11">
        <v>-0.2537277489900589</v>
      </c>
      <c r="CW3" s="3">
        <v>0.06</v>
      </c>
      <c r="CX3" s="3" t="e">
        <v>#VALUE!</v>
      </c>
      <c r="CY3" s="3" t="s">
        <v>328</v>
      </c>
      <c r="CZ3" s="3">
        <v>34.173475669324397</v>
      </c>
      <c r="DA3" s="3" t="e">
        <v>#VALUE!</v>
      </c>
      <c r="DB3" s="3" t="s">
        <v>329</v>
      </c>
      <c r="DC3" s="3">
        <v>32.464801885858172</v>
      </c>
      <c r="DD3" s="3" t="e">
        <v>#VALUE!</v>
      </c>
      <c r="DE3" s="3" t="s">
        <v>329</v>
      </c>
      <c r="DF3" s="3">
        <v>30.072658589005471</v>
      </c>
      <c r="DG3" s="3" t="e">
        <v>#VALUE!</v>
      </c>
      <c r="DH3" s="3" t="s">
        <v>329</v>
      </c>
      <c r="DI3" s="3">
        <v>27.33878053545952</v>
      </c>
      <c r="DJ3" s="3" t="e">
        <v>#VALUE!</v>
      </c>
      <c r="DK3" s="3" t="s">
        <v>329</v>
      </c>
      <c r="DL3" s="3">
        <v>23.921432968527075</v>
      </c>
      <c r="DM3" s="3">
        <v>-60057500</v>
      </c>
      <c r="DN3" s="3">
        <v>34.173475669324397</v>
      </c>
      <c r="DO3" s="3">
        <v>5449029400</v>
      </c>
      <c r="DP3" s="3">
        <v>-40400000</v>
      </c>
      <c r="DQ3" s="3">
        <v>208</v>
      </c>
      <c r="DR3" s="3">
        <v>-33.613990138777773</v>
      </c>
      <c r="DS3" s="3">
        <v>-0.8204206442684765</v>
      </c>
      <c r="DT3" s="12">
        <v>0.21000000000000005</v>
      </c>
      <c r="DU3" s="3">
        <v>-1.9233333333333336</v>
      </c>
      <c r="DV3" s="3">
        <v>-1.7133333333333336</v>
      </c>
      <c r="DW3" s="3">
        <v>5.20864553314121</v>
      </c>
      <c r="DX3" s="3">
        <v>0.87416880000000508</v>
      </c>
      <c r="DY3" s="3">
        <v>5.0425989081268012</v>
      </c>
      <c r="DZ3" s="3">
        <v>4193</v>
      </c>
      <c r="EA3" s="3">
        <v>5.0076307754377494</v>
      </c>
      <c r="EB3" s="3">
        <v>5</v>
      </c>
      <c r="EC3" s="3">
        <v>0.10096806338905126</v>
      </c>
      <c r="ED3" s="3">
        <v>0.49453226290804564</v>
      </c>
      <c r="EE3" s="13">
        <v>1.04461</v>
      </c>
      <c r="EF3" s="3">
        <v>1.0547</v>
      </c>
      <c r="EG3" s="3">
        <v>67.204168800000005</v>
      </c>
      <c r="EH3" s="3" t="s">
        <v>330</v>
      </c>
      <c r="EI3" s="3">
        <v>1</v>
      </c>
      <c r="EJ3" s="3">
        <v>0</v>
      </c>
      <c r="EK3" s="15">
        <v>45505</v>
      </c>
      <c r="EL3" s="16">
        <v>-1.89</v>
      </c>
      <c r="EM3" s="16">
        <v>1.69</v>
      </c>
      <c r="EN3" s="16">
        <v>0.24</v>
      </c>
      <c r="EO3" s="16">
        <v>1.84</v>
      </c>
      <c r="EP3" s="16">
        <v>9.93</v>
      </c>
    </row>
    <row r="4" spans="1:146" ht="192" x14ac:dyDescent="0.25">
      <c r="A4" s="7" t="s">
        <v>609</v>
      </c>
      <c r="C4" s="7" t="str">
        <f>"公司的主营业务是电子元器件分销、设计链服务、供应链协同配套和产业数据服务。深圳中电港技术股份有限公司的主要产品为处理器、存储器、射频与无线连接、模拟器件、分立器件、传感器件、可编程逻辑器件。"&amp;CHAR(10)&amp;Basic_Fundamental_Information_Constructure(F4)&amp;CHAR(10)&amp;Basic_Fundamental_Information_Concatenate("(都是代理分销）
处理器 49.75亿 31.69% 37.99% 4.37%
存储器 31.31亿 19.95% 11.25% 2.05%
模拟器件 31.21亿 19.88% 21.74% 3.98%
其他 29.54亿 18.82% 20.69% 4.00%
射频与无线连接 15.18亿 9.67% 8.33% 3.14%")</f>
        <v>公司的主营业务是电子元器件分销、设计链服务、供应链协同配套和产业数据服务。深圳中电港技术股份有限公司的主要产品为处理器、存储器、射频与无线连接、模拟器件、分立器件、传感器件、可编程逻辑器件。
市值120.596145亿, 利润2.37亿; PE55.65; 平均PE50.7; 平均PEG2.27, PB2.36; ROIC4.56%; ROE9.11%; 股利率.5356%; 毛利3.75%; 净利.8333%; 上一年度营收增-20.32%, 利润增-40.9%; 当季营收增42.16%, 利润增-27.99%; 过往5年营收增22.29%, 利润增67.36%
Income profile:
(都是代理分销）
处理器 49.75亿 31.69% 37.99% 4.37%
存储器 31.31亿 19.95% 11.25% 2.05%
模拟器件 31.21亿 19.88% 21.74% 3.98%
其他 29.54亿 18.82% 20.69% 4.00%
射频与无线连接 15.18亿 9.67% 8.33% 3.14%</v>
      </c>
      <c r="D4" s="3" t="s">
        <v>499</v>
      </c>
      <c r="E4" s="3" t="s">
        <v>500</v>
      </c>
      <c r="F4" s="3">
        <v>15.87</v>
      </c>
      <c r="G4" s="3">
        <v>1.73</v>
      </c>
      <c r="H4" s="3" t="s">
        <v>1255</v>
      </c>
      <c r="I4" s="3">
        <v>12059614500</v>
      </c>
      <c r="J4" s="3">
        <v>55.65</v>
      </c>
      <c r="K4" s="3">
        <v>2.36</v>
      </c>
      <c r="L4" s="3" t="s">
        <v>49</v>
      </c>
      <c r="M4" s="3" t="s">
        <v>662</v>
      </c>
      <c r="N4" s="3" t="s">
        <v>663</v>
      </c>
      <c r="O4" s="3" t="s">
        <v>664</v>
      </c>
      <c r="P4" s="5">
        <v>42.15</v>
      </c>
      <c r="Q4" s="3" t="s">
        <v>682</v>
      </c>
      <c r="R4" s="3">
        <v>51249210</v>
      </c>
      <c r="S4" s="3">
        <v>-0.27989999999999998</v>
      </c>
      <c r="T4" s="3" t="s">
        <v>596</v>
      </c>
      <c r="U4" s="3">
        <v>437394500</v>
      </c>
      <c r="V4" s="3">
        <v>759900100</v>
      </c>
      <c r="W4" s="3">
        <v>4.7</v>
      </c>
      <c r="X4" s="3">
        <v>0.5</v>
      </c>
      <c r="Y4" s="3">
        <v>0.44</v>
      </c>
      <c r="Z4" s="3" t="s">
        <v>665</v>
      </c>
      <c r="AA4" s="3" t="s">
        <v>666</v>
      </c>
      <c r="AB4" s="3" t="s">
        <v>667</v>
      </c>
      <c r="AC4" s="3" t="s">
        <v>668</v>
      </c>
      <c r="AD4" s="3" t="s">
        <v>52</v>
      </c>
      <c r="AE4" s="3">
        <v>149036120</v>
      </c>
      <c r="AF4" s="3" t="s">
        <v>669</v>
      </c>
      <c r="AG4" s="3" t="s">
        <v>670</v>
      </c>
      <c r="AH4" s="3" t="s">
        <v>671</v>
      </c>
      <c r="AI4" s="3" t="s">
        <v>672</v>
      </c>
      <c r="AJ4" s="3" t="s">
        <v>673</v>
      </c>
      <c r="AK4" s="3" t="s">
        <v>397</v>
      </c>
      <c r="AL4" s="3" t="s">
        <v>674</v>
      </c>
      <c r="AM4" s="3" t="s">
        <v>52</v>
      </c>
      <c r="AN4" s="3">
        <v>0</v>
      </c>
      <c r="AO4" s="3" t="s">
        <v>675</v>
      </c>
      <c r="AP4" s="3" t="s">
        <v>676</v>
      </c>
      <c r="AQ4" s="3" t="s">
        <v>677</v>
      </c>
      <c r="AR4" s="3" t="s">
        <v>52</v>
      </c>
      <c r="AS4" s="3" t="s">
        <v>678</v>
      </c>
      <c r="AT4" s="3" t="s">
        <v>52</v>
      </c>
      <c r="AU4" s="3" t="s">
        <v>679</v>
      </c>
      <c r="AV4" s="3" t="s">
        <v>680</v>
      </c>
      <c r="AW4" s="3" t="s">
        <v>681</v>
      </c>
      <c r="AX4" s="3" t="s">
        <v>501</v>
      </c>
      <c r="AY4" s="3" t="s">
        <v>503</v>
      </c>
      <c r="AZ4" s="3" t="s">
        <v>504</v>
      </c>
      <c r="BA4" s="3" t="s">
        <v>505</v>
      </c>
      <c r="BB4" s="3" t="s">
        <v>506</v>
      </c>
      <c r="BC4" s="3" t="s">
        <v>502</v>
      </c>
      <c r="BD4" s="3" t="s">
        <v>482</v>
      </c>
      <c r="BE4" s="3" t="s">
        <v>385</v>
      </c>
      <c r="BF4" s="3" t="s">
        <v>507</v>
      </c>
      <c r="BG4" s="3" t="s">
        <v>508</v>
      </c>
      <c r="BH4" s="3" t="s">
        <v>682</v>
      </c>
      <c r="BI4" s="3" t="s">
        <v>1256</v>
      </c>
      <c r="BJ4" s="3" t="s">
        <v>501</v>
      </c>
      <c r="BK4" s="3" t="s">
        <v>596</v>
      </c>
      <c r="BL4" s="3" t="s">
        <v>1257</v>
      </c>
      <c r="BM4" s="3" t="s">
        <v>502</v>
      </c>
      <c r="BN4" s="3">
        <v>3.45</v>
      </c>
      <c r="BO4" s="3">
        <v>5.64</v>
      </c>
      <c r="BP4" s="3">
        <v>4.59</v>
      </c>
      <c r="BQ4" s="3">
        <v>2.65</v>
      </c>
      <c r="BR4" s="3">
        <v>15.57</v>
      </c>
      <c r="BS4" s="3" t="s">
        <v>52</v>
      </c>
      <c r="BT4" s="3" t="s">
        <v>683</v>
      </c>
      <c r="BU4" s="3" t="s">
        <v>49</v>
      </c>
      <c r="BV4" s="3">
        <v>4.07</v>
      </c>
      <c r="BW4" s="3">
        <v>3.65</v>
      </c>
      <c r="BX4" s="3">
        <v>3.53</v>
      </c>
      <c r="BY4" s="3">
        <v>0.69</v>
      </c>
      <c r="BZ4" s="3">
        <v>0.93</v>
      </c>
      <c r="CA4" s="3">
        <v>0.88</v>
      </c>
      <c r="CB4" s="3">
        <v>5.94</v>
      </c>
      <c r="CC4" s="10">
        <v>-10.14</v>
      </c>
      <c r="CD4" s="11" t="s">
        <v>1258</v>
      </c>
      <c r="CE4" s="10" t="s">
        <v>1259</v>
      </c>
      <c r="CF4" s="10">
        <v>0.42155674102812801</v>
      </c>
      <c r="CG4" s="10">
        <v>-0.2798516963442601</v>
      </c>
      <c r="CH4" s="10">
        <v>-0.20319606363773346</v>
      </c>
      <c r="CI4" s="10">
        <v>0.12794657051563263</v>
      </c>
      <c r="CJ4" s="11">
        <v>0.47510182857513428</v>
      </c>
      <c r="CK4" s="11">
        <v>0.51463651657104492</v>
      </c>
      <c r="CL4" s="11">
        <v>0.20018166303634644</v>
      </c>
      <c r="CM4" s="11">
        <v>-0.40897756814956665</v>
      </c>
      <c r="CN4" s="11">
        <v>0.18991097807884216</v>
      </c>
      <c r="CO4" s="3">
        <v>5.6426331400871277E-2</v>
      </c>
      <c r="CP4" s="3">
        <v>2.7134130001068115</v>
      </c>
      <c r="CQ4" s="3">
        <v>0.81711804866790771</v>
      </c>
      <c r="CR4" s="10">
        <v>50.699758916201255</v>
      </c>
      <c r="CS4" s="11">
        <v>2.2742038221694996</v>
      </c>
      <c r="CT4" s="3">
        <v>0.53560176433522366</v>
      </c>
      <c r="CU4" s="3">
        <v>0.22293410301208497</v>
      </c>
      <c r="CV4" s="3">
        <v>0.67357815802097321</v>
      </c>
      <c r="CW4" s="3">
        <v>0.06</v>
      </c>
      <c r="CX4" s="3">
        <v>89.974216235486736</v>
      </c>
      <c r="CY4" s="3">
        <v>273429606.05081522</v>
      </c>
      <c r="CZ4" s="3">
        <v>0.22293410301208497</v>
      </c>
      <c r="DA4" s="3">
        <v>26.318675171067838</v>
      </c>
      <c r="DB4" s="3">
        <v>934758848.61577666</v>
      </c>
      <c r="DC4" s="3">
        <v>0.21178739786148071</v>
      </c>
      <c r="DD4" s="3">
        <v>11.095149445683685</v>
      </c>
      <c r="DE4" s="3">
        <v>2217330611.0419898</v>
      </c>
      <c r="DF4" s="3">
        <v>0.19618201065063476</v>
      </c>
      <c r="DG4" s="3">
        <v>5.5400108948638982</v>
      </c>
      <c r="DH4" s="3">
        <v>4440715905.9575081</v>
      </c>
      <c r="DI4" s="3">
        <v>0.17834728240966799</v>
      </c>
      <c r="DJ4" s="3">
        <v>1.8475825346555683</v>
      </c>
      <c r="DK4" s="3">
        <v>13315569961.580257</v>
      </c>
      <c r="DL4" s="3">
        <v>0.15605387210845947</v>
      </c>
      <c r="DM4" s="3">
        <v>237000000</v>
      </c>
      <c r="DN4" s="3">
        <v>0.22293410301208497</v>
      </c>
      <c r="DO4" s="3">
        <v>24601614500</v>
      </c>
      <c r="DP4" s="3">
        <v>4618074000</v>
      </c>
      <c r="DQ4" s="12">
        <v>470</v>
      </c>
      <c r="DR4" s="3">
        <v>0.19862263801604305</v>
      </c>
      <c r="DS4" s="3">
        <v>-0.95342985436523331</v>
      </c>
      <c r="DT4" s="3">
        <v>-0.25666666666666677</v>
      </c>
      <c r="DU4" s="3">
        <v>0.41166666666666663</v>
      </c>
      <c r="DV4" s="3">
        <v>0.15499999999999986</v>
      </c>
      <c r="DW4" s="3">
        <v>6.3694029850746272</v>
      </c>
      <c r="DX4" s="3">
        <v>0.55159862068965848</v>
      </c>
      <c r="DY4" s="3">
        <v>6.0744711322696858</v>
      </c>
      <c r="DZ4" s="3">
        <v>1445</v>
      </c>
      <c r="EA4" s="3">
        <v>6.0534040245700584</v>
      </c>
      <c r="EB4" s="13">
        <v>6</v>
      </c>
      <c r="EC4" s="13">
        <v>3.8467951247802175E-2</v>
      </c>
      <c r="ED4" s="3">
        <v>0.190814555755421</v>
      </c>
      <c r="EE4" s="3">
        <v>1.0355099999999999</v>
      </c>
      <c r="EF4" s="3">
        <v>1.0182100000000001</v>
      </c>
      <c r="EG4" s="3">
        <v>35.201598620689659</v>
      </c>
      <c r="EH4" s="15" t="s">
        <v>331</v>
      </c>
      <c r="EI4" s="3">
        <v>0</v>
      </c>
      <c r="EJ4" s="3">
        <v>1</v>
      </c>
      <c r="EK4" s="3">
        <v>45505</v>
      </c>
      <c r="EL4" s="3">
        <v>-0.66</v>
      </c>
      <c r="EM4" s="3">
        <v>0.33</v>
      </c>
      <c r="EN4" s="16">
        <v>-1.66</v>
      </c>
      <c r="EO4" s="16">
        <v>4.49</v>
      </c>
      <c r="EP4" s="16">
        <v>1.73</v>
      </c>
    </row>
    <row r="5" spans="1:146" ht="180" x14ac:dyDescent="0.25">
      <c r="A5" s="3"/>
      <c r="B5" s="3"/>
      <c r="C5" s="7" t="str">
        <f>"公司的主营业务是电子元器件分销，主要向消费电子、物联网、照明、工业控制、汽车电子及新能源等应用领域的电子产品制造商销售电子元器件，并提供相关产品设计方案和技术支持等服务。主要产品包括SoC芯片、无线芯片及模块、电源及功率器件、模拟/数字器件、存储器、LED器件、处理器、传感器、光电器件、结构件及被动器件等各类电子元器件。"&amp;CHAR(10)&amp;Basic_Fundamental_Information_Constructure(F5)&amp;CHAR(10)&amp;Basic_Fundamental_Information_Concatenate("分销业务 27.76亿 99.69% 98.61% 4.93%
物联网产品设计及制造 837.02万 0.30% 1.30% 21.49%
芯片定制 25.23万 0.0091% 0.06% 31.96%")</f>
        <v>公司的主营业务是电子元器件分销，主要向消费电子、物联网、照明、工业控制、汽车电子及新能源等应用领域的电子产品制造商销售电子元器件，并提供相关产品设计方案和技术支持等服务。主要产品包括SoC芯片、无线芯片及模块、电源及功率器件、模拟/数字器件、存储器、LED器件、处理器、传感器、光电器件、结构件及被动器件等各类电子元器件。
市值44.57919亿, 利润5587.54万; PE79.2; 平均PE48.92; 平均PEG6.58, PB2.88; ROIC8.7667%; ROE16.8367%; 股利率.9191%; 毛利5.19%; 净利1.75%; 上一年度营收增-9.68%, 利润增-43.69%; 当季营收增27.73%, 利润增9.48%; 过往5年营收增7.43%, 利润增28.55%
Income profile:
分销业务 27.76亿 99.69% 98.61% 4.93%
物联网产品设计及制造 837.02万 0.30% 1.30% 21.49%
芯片定制 25.23万 0.0091% 0.06% 31.96%</v>
      </c>
      <c r="D5" s="3" t="s">
        <v>388</v>
      </c>
      <c r="E5" s="3" t="s">
        <v>389</v>
      </c>
      <c r="F5" s="3">
        <v>21.76</v>
      </c>
      <c r="G5" s="3">
        <v>-1.45</v>
      </c>
      <c r="H5" s="3" t="s">
        <v>1260</v>
      </c>
      <c r="I5" s="3">
        <v>4457919000</v>
      </c>
      <c r="J5" s="3">
        <v>79.2</v>
      </c>
      <c r="K5" s="3">
        <v>2.88</v>
      </c>
      <c r="L5" s="3" t="s">
        <v>49</v>
      </c>
      <c r="M5" s="3" t="s">
        <v>684</v>
      </c>
      <c r="N5" s="3" t="s">
        <v>685</v>
      </c>
      <c r="O5" s="3" t="s">
        <v>598</v>
      </c>
      <c r="P5" s="3">
        <v>27.7</v>
      </c>
      <c r="Q5" s="3" t="s">
        <v>701</v>
      </c>
      <c r="R5" s="3">
        <v>4711522</v>
      </c>
      <c r="S5" s="3">
        <v>9.4799999999999995E-2</v>
      </c>
      <c r="T5" s="3" t="s">
        <v>702</v>
      </c>
      <c r="U5" s="3">
        <v>105196185</v>
      </c>
      <c r="V5" s="3">
        <v>204867600</v>
      </c>
      <c r="W5" s="3">
        <v>1.8</v>
      </c>
      <c r="X5" s="3">
        <v>0.57999999999999996</v>
      </c>
      <c r="Y5" s="3">
        <v>0.3</v>
      </c>
      <c r="Z5" s="3" t="s">
        <v>687</v>
      </c>
      <c r="AA5" s="3" t="s">
        <v>688</v>
      </c>
      <c r="AB5" s="3" t="s">
        <v>689</v>
      </c>
      <c r="AC5" s="3" t="s">
        <v>690</v>
      </c>
      <c r="AD5" s="3" t="s">
        <v>52</v>
      </c>
      <c r="AE5" s="3">
        <v>14417987</v>
      </c>
      <c r="AF5" s="3" t="s">
        <v>691</v>
      </c>
      <c r="AG5" s="3">
        <v>2849.56</v>
      </c>
      <c r="AH5" s="3" t="s">
        <v>692</v>
      </c>
      <c r="AI5" s="3" t="s">
        <v>693</v>
      </c>
      <c r="AJ5" s="3" t="s">
        <v>694</v>
      </c>
      <c r="AK5" s="3" t="s">
        <v>695</v>
      </c>
      <c r="AL5" s="3" t="s">
        <v>696</v>
      </c>
      <c r="AM5" s="3" t="s">
        <v>52</v>
      </c>
      <c r="AN5" s="3">
        <v>0</v>
      </c>
      <c r="AO5" s="3" t="s">
        <v>605</v>
      </c>
      <c r="AP5" s="3" t="s">
        <v>697</v>
      </c>
      <c r="AQ5" s="3" t="s">
        <v>481</v>
      </c>
      <c r="AR5" s="3" t="s">
        <v>52</v>
      </c>
      <c r="AS5" s="3" t="s">
        <v>698</v>
      </c>
      <c r="AT5" s="3" t="s">
        <v>52</v>
      </c>
      <c r="AU5" s="3" t="s">
        <v>699</v>
      </c>
      <c r="AV5" s="3" t="s">
        <v>700</v>
      </c>
      <c r="AW5" s="3" t="s">
        <v>112</v>
      </c>
      <c r="AX5" s="3" t="s">
        <v>510</v>
      </c>
      <c r="AY5" s="3" t="s">
        <v>390</v>
      </c>
      <c r="AZ5" s="3" t="s">
        <v>391</v>
      </c>
      <c r="BA5" s="3" t="s">
        <v>392</v>
      </c>
      <c r="BB5" s="3" t="s">
        <v>393</v>
      </c>
      <c r="BC5" s="3" t="s">
        <v>511</v>
      </c>
      <c r="BD5" s="3" t="s">
        <v>326</v>
      </c>
      <c r="BE5" s="3" t="s">
        <v>85</v>
      </c>
      <c r="BF5" s="3" t="s">
        <v>394</v>
      </c>
      <c r="BG5" s="3" t="s">
        <v>395</v>
      </c>
      <c r="BH5" s="3" t="s">
        <v>701</v>
      </c>
      <c r="BI5" s="3" t="s">
        <v>1261</v>
      </c>
      <c r="BJ5" s="3" t="s">
        <v>510</v>
      </c>
      <c r="BK5" s="3" t="s">
        <v>702</v>
      </c>
      <c r="BL5" s="3" t="s">
        <v>1262</v>
      </c>
      <c r="BM5" s="3" t="s">
        <v>511</v>
      </c>
      <c r="BN5" s="3">
        <v>3.64</v>
      </c>
      <c r="BO5" s="3">
        <v>6.69</v>
      </c>
      <c r="BP5" s="3">
        <v>15.97</v>
      </c>
      <c r="BQ5" s="3">
        <v>3.72</v>
      </c>
      <c r="BR5" s="3">
        <v>12.15</v>
      </c>
      <c r="BS5" s="3">
        <v>34.64</v>
      </c>
      <c r="BT5" s="3" t="s">
        <v>703</v>
      </c>
      <c r="BU5" s="3" t="s">
        <v>49</v>
      </c>
      <c r="BV5" s="3">
        <v>4.62</v>
      </c>
      <c r="BW5" s="3">
        <v>5.0199999999999996</v>
      </c>
      <c r="BX5" s="3">
        <v>5.93</v>
      </c>
      <c r="BY5" s="3">
        <v>0.97</v>
      </c>
      <c r="BZ5" s="3">
        <v>1.55</v>
      </c>
      <c r="CA5" s="3">
        <v>2.73</v>
      </c>
      <c r="CB5" s="3">
        <v>9.9499999999999993</v>
      </c>
      <c r="CC5" s="10">
        <v>-8.11</v>
      </c>
      <c r="CD5" s="11" t="s">
        <v>59</v>
      </c>
      <c r="CE5" s="10" t="s">
        <v>1263</v>
      </c>
      <c r="CF5" s="10">
        <v>0.27732463295269166</v>
      </c>
      <c r="CG5" s="10">
        <v>9.4811664923899155E-2</v>
      </c>
      <c r="CH5" s="10">
        <v>-9.6794344484806061E-2</v>
      </c>
      <c r="CI5" s="10">
        <v>-6.5195165574550629E-2</v>
      </c>
      <c r="CJ5" s="11">
        <v>0.30032306909561157</v>
      </c>
      <c r="CK5" s="11">
        <v>0.27725178003311157</v>
      </c>
      <c r="CL5" s="11">
        <v>-4.3871793895959854E-2</v>
      </c>
      <c r="CM5" s="11">
        <v>-0.43687671422958374</v>
      </c>
      <c r="CN5" s="11">
        <v>-0.46653711795806885</v>
      </c>
      <c r="CO5" s="3">
        <v>0.5762711763381958</v>
      </c>
      <c r="CP5" s="3">
        <v>1.2305648326873779</v>
      </c>
      <c r="CQ5" s="3">
        <v>0.52395188808441162</v>
      </c>
      <c r="CR5" s="10">
        <v>48.924125255938115</v>
      </c>
      <c r="CS5" s="11">
        <v>6.5808908353224949</v>
      </c>
      <c r="CT5" s="3">
        <v>0.91911764705882348</v>
      </c>
      <c r="CU5" s="3">
        <v>7.434270903468132E-2</v>
      </c>
      <c r="CV5" s="3">
        <v>0.28547481298446653</v>
      </c>
      <c r="CW5" s="3">
        <v>0.06</v>
      </c>
      <c r="CX5" s="3">
        <v>71.089819580082036</v>
      </c>
      <c r="CY5" s="3">
        <v>56631442.079619274</v>
      </c>
      <c r="CZ5" s="3">
        <v>7.434270903468132E-2</v>
      </c>
      <c r="DA5" s="3">
        <v>23.542101926132617</v>
      </c>
      <c r="DB5" s="3">
        <v>171009326.72163308</v>
      </c>
      <c r="DC5" s="3">
        <v>7.0625573582947257E-2</v>
      </c>
      <c r="DD5" s="3">
        <v>11.795652347192608</v>
      </c>
      <c r="DE5" s="3">
        <v>341305328.565247</v>
      </c>
      <c r="DF5" s="3">
        <v>6.5421583950519557E-2</v>
      </c>
      <c r="DG5" s="3">
        <v>7.2248554073883282</v>
      </c>
      <c r="DH5" s="3">
        <v>557231774.61558449</v>
      </c>
      <c r="DI5" s="3">
        <v>5.947416722774506E-2</v>
      </c>
      <c r="DJ5" s="3">
        <v>3.8956291526490099</v>
      </c>
      <c r="DK5" s="3">
        <v>1033445136.1373538</v>
      </c>
      <c r="DL5" s="3">
        <v>5.203989632427692E-2</v>
      </c>
      <c r="DM5" s="3">
        <v>55875400</v>
      </c>
      <c r="DN5" s="3">
        <v>7.434270903468132E-2</v>
      </c>
      <c r="DO5" s="3">
        <v>4025919000</v>
      </c>
      <c r="DP5" s="3">
        <v>1467844800</v>
      </c>
      <c r="DQ5" s="12">
        <v>474</v>
      </c>
      <c r="DR5" s="3">
        <v>0.20298192391801034</v>
      </c>
      <c r="DS5" s="3">
        <v>-0.19066314806056739</v>
      </c>
      <c r="DT5" s="3">
        <v>-0.19000000000000003</v>
      </c>
      <c r="DU5" s="3">
        <v>0.15</v>
      </c>
      <c r="DV5" s="3">
        <v>-4.0000000000000036E-2</v>
      </c>
      <c r="DW5" s="3">
        <v>5.8150753768844226</v>
      </c>
      <c r="DX5" s="3">
        <v>0.38544592030360519</v>
      </c>
      <c r="DY5" s="3">
        <v>5.1593031571519834</v>
      </c>
      <c r="DZ5" s="3">
        <v>1881</v>
      </c>
      <c r="EA5" s="3">
        <v>5.1006404244576062</v>
      </c>
      <c r="EB5" s="13">
        <v>5</v>
      </c>
      <c r="EC5" s="3">
        <v>0.5027637361886409</v>
      </c>
      <c r="ED5" s="3">
        <v>2.5723930968098419</v>
      </c>
      <c r="EE5" s="3">
        <v>-2.1322999999999999</v>
      </c>
      <c r="EF5" s="3">
        <v>-2.1177999999999999</v>
      </c>
      <c r="EG5" s="3">
        <v>19.195445920303605</v>
      </c>
      <c r="EH5" s="15" t="s">
        <v>530</v>
      </c>
      <c r="EI5" s="16">
        <v>1</v>
      </c>
      <c r="EJ5" s="16">
        <v>0</v>
      </c>
      <c r="EK5" s="16">
        <v>45505</v>
      </c>
      <c r="EL5" s="16">
        <v>-1.69</v>
      </c>
      <c r="EM5" s="16">
        <v>3.34</v>
      </c>
      <c r="EN5" s="16">
        <v>5.53</v>
      </c>
      <c r="EO5" s="16">
        <v>-0.23</v>
      </c>
      <c r="EP5" s="16">
        <v>-1.45</v>
      </c>
    </row>
    <row r="6" spans="1:146" ht="96" x14ac:dyDescent="0.25">
      <c r="C6" s="7" t="str">
        <f>""&amp;CHAR(10)&amp;Basic_Fundamental_Information_Constructure(F6)&amp;CHAR(10)&amp;Basic_Fundamental_Information_Concatenate("")</f>
        <v xml:space="preserve">
市值207.3793亿, 利润7.00亿; PE26.56; 平均PE49.88; 平均PEG4.64, PB4.09; ROIC10.54%; ROE13.73%; 股利率1.0328%; 毛利32.2167%; 净利12.1367%; 上一年度营收增7.15%, 利润增13.82%; 当季营收增21.63%, 利润增308.8%; 过往5年营收增10.75%, 利润增215.39%
Income profile:
</v>
      </c>
      <c r="D6" s="3" t="s">
        <v>62</v>
      </c>
      <c r="E6" s="3" t="s">
        <v>63</v>
      </c>
      <c r="F6" s="3">
        <v>16.46</v>
      </c>
      <c r="G6" s="3">
        <v>-1.91</v>
      </c>
      <c r="H6" s="3" t="s">
        <v>780</v>
      </c>
      <c r="I6" s="3">
        <v>20737930000</v>
      </c>
      <c r="J6" s="3">
        <v>26.56</v>
      </c>
      <c r="K6" s="3">
        <v>4.09</v>
      </c>
      <c r="L6" s="3" t="s">
        <v>49</v>
      </c>
      <c r="M6" s="3" t="s">
        <v>704</v>
      </c>
      <c r="N6" s="3" t="s">
        <v>705</v>
      </c>
      <c r="O6" s="3" t="s">
        <v>706</v>
      </c>
      <c r="P6" s="3">
        <v>21.62</v>
      </c>
      <c r="Q6" s="3" t="s">
        <v>724</v>
      </c>
      <c r="R6" s="3">
        <v>425155500</v>
      </c>
      <c r="S6" s="5">
        <v>0.77270000000000005</v>
      </c>
      <c r="T6" s="3" t="s">
        <v>349</v>
      </c>
      <c r="U6" s="3">
        <v>1249149130</v>
      </c>
      <c r="V6" s="3">
        <v>1259898560</v>
      </c>
      <c r="W6" s="3">
        <v>1.63</v>
      </c>
      <c r="X6" s="3">
        <v>0.15</v>
      </c>
      <c r="Y6" s="3">
        <v>14.25</v>
      </c>
      <c r="Z6" s="3" t="s">
        <v>607</v>
      </c>
      <c r="AA6" s="3" t="s">
        <v>707</v>
      </c>
      <c r="AB6" s="3" t="s">
        <v>708</v>
      </c>
      <c r="AC6" s="3" t="s">
        <v>709</v>
      </c>
      <c r="AD6" s="3" t="s">
        <v>52</v>
      </c>
      <c r="AE6" s="3">
        <v>9218714</v>
      </c>
      <c r="AF6" s="3" t="s">
        <v>710</v>
      </c>
      <c r="AG6" s="3" t="s">
        <v>711</v>
      </c>
      <c r="AH6" s="3" t="s">
        <v>712</v>
      </c>
      <c r="AI6" s="3" t="s">
        <v>713</v>
      </c>
      <c r="AJ6" s="3" t="s">
        <v>714</v>
      </c>
      <c r="AK6" s="3" t="s">
        <v>715</v>
      </c>
      <c r="AL6" s="3" t="s">
        <v>716</v>
      </c>
      <c r="AM6" s="3" t="s">
        <v>52</v>
      </c>
      <c r="AN6" s="3" t="s">
        <v>717</v>
      </c>
      <c r="AO6" s="3" t="s">
        <v>718</v>
      </c>
      <c r="AP6" s="3" t="s">
        <v>614</v>
      </c>
      <c r="AQ6" s="3" t="s">
        <v>107</v>
      </c>
      <c r="AR6" s="3" t="s">
        <v>52</v>
      </c>
      <c r="AS6" s="3" t="s">
        <v>719</v>
      </c>
      <c r="AT6" s="3" t="s">
        <v>720</v>
      </c>
      <c r="AU6" s="3" t="s">
        <v>721</v>
      </c>
      <c r="AV6" s="3" t="s">
        <v>722</v>
      </c>
      <c r="AW6" s="3" t="s">
        <v>723</v>
      </c>
      <c r="AX6" s="3" t="s">
        <v>512</v>
      </c>
      <c r="AY6" s="3" t="s">
        <v>268</v>
      </c>
      <c r="AZ6" s="3" t="s">
        <v>64</v>
      </c>
      <c r="BA6" s="3" t="s">
        <v>69</v>
      </c>
      <c r="BB6" s="3" t="s">
        <v>70</v>
      </c>
      <c r="BC6" s="3" t="s">
        <v>584</v>
      </c>
      <c r="BD6" s="3" t="s">
        <v>269</v>
      </c>
      <c r="BE6" s="3" t="s">
        <v>65</v>
      </c>
      <c r="BF6" s="3" t="s">
        <v>71</v>
      </c>
      <c r="BG6" s="3" t="s">
        <v>72</v>
      </c>
      <c r="BH6" s="3" t="s">
        <v>724</v>
      </c>
      <c r="BI6" s="3" t="s">
        <v>1264</v>
      </c>
      <c r="BJ6" s="3" t="s">
        <v>512</v>
      </c>
      <c r="BK6" s="3" t="s">
        <v>349</v>
      </c>
      <c r="BL6" s="3" t="s">
        <v>344</v>
      </c>
      <c r="BM6" s="3" t="s">
        <v>584</v>
      </c>
      <c r="BN6" s="3">
        <v>8.4</v>
      </c>
      <c r="BO6" s="3">
        <v>11.68</v>
      </c>
      <c r="BP6" s="3">
        <v>11.54</v>
      </c>
      <c r="BQ6" s="3">
        <v>10.44</v>
      </c>
      <c r="BR6" s="3">
        <v>15.08</v>
      </c>
      <c r="BS6" s="3">
        <v>15.67</v>
      </c>
      <c r="BT6" s="3" t="s">
        <v>725</v>
      </c>
      <c r="BU6" s="3" t="s">
        <v>49</v>
      </c>
      <c r="BV6" s="3">
        <v>32.630000000000003</v>
      </c>
      <c r="BW6" s="3">
        <v>31.53</v>
      </c>
      <c r="BX6" s="3">
        <v>32.49</v>
      </c>
      <c r="BY6" s="3">
        <v>13.24</v>
      </c>
      <c r="BZ6" s="3">
        <v>12.36</v>
      </c>
      <c r="CA6" s="3">
        <v>10.81</v>
      </c>
      <c r="CB6" s="3">
        <v>5.58</v>
      </c>
      <c r="CC6" s="3">
        <v>20.149999999999999</v>
      </c>
      <c r="CD6" s="3" t="s">
        <v>1265</v>
      </c>
      <c r="CE6" s="3" t="s">
        <v>1266</v>
      </c>
      <c r="CF6" s="10">
        <v>0.21628721541155868</v>
      </c>
      <c r="CG6" s="11">
        <v>3.0880336538461539</v>
      </c>
      <c r="CH6" s="10">
        <v>7.152210921049118E-2</v>
      </c>
      <c r="CI6" s="10">
        <v>-1.2206375598907471E-2</v>
      </c>
      <c r="CJ6" s="10">
        <v>0.32039070129394531</v>
      </c>
      <c r="CK6" s="10">
        <v>2.9411813244223595E-2</v>
      </c>
      <c r="CL6" s="10">
        <v>0.12851062417030334</v>
      </c>
      <c r="CM6" s="11">
        <v>0.13821138441562653</v>
      </c>
      <c r="CN6" s="11">
        <v>0.11211573332548141</v>
      </c>
      <c r="CO6" s="11">
        <v>0.39646464586257935</v>
      </c>
      <c r="CP6" s="11">
        <v>0.88571429252624512</v>
      </c>
      <c r="CQ6" s="11">
        <v>9.236811637878418</v>
      </c>
      <c r="CR6" s="3">
        <v>49.880485747485423</v>
      </c>
      <c r="CS6" s="3">
        <v>4.6389329438571387</v>
      </c>
      <c r="CT6" s="3">
        <v>1.0328068043742404</v>
      </c>
      <c r="CU6" s="10">
        <v>0.1075257744640112</v>
      </c>
      <c r="CV6" s="11">
        <v>2.1538635388016703</v>
      </c>
      <c r="CW6" s="3">
        <v>0.06</v>
      </c>
      <c r="CX6" s="3">
        <v>25.476228513002948</v>
      </c>
      <c r="CY6" s="3">
        <v>731384945.40076208</v>
      </c>
      <c r="CZ6" s="3">
        <v>0.1075257744640112</v>
      </c>
      <c r="DA6" s="3">
        <v>8.202995968950999</v>
      </c>
      <c r="DB6" s="3">
        <v>2271478624.4595442</v>
      </c>
      <c r="DC6" s="3">
        <v>0.10214948574081063</v>
      </c>
      <c r="DD6" s="3">
        <v>3.9584282922355882</v>
      </c>
      <c r="DE6" s="3">
        <v>4707153603.5017433</v>
      </c>
      <c r="DF6" s="3">
        <v>9.4622681528329852E-2</v>
      </c>
      <c r="DG6" s="3">
        <v>2.3238221969528827</v>
      </c>
      <c r="DH6" s="3">
        <v>8018225329.1290846</v>
      </c>
      <c r="DI6" s="3">
        <v>8.6020619571208962E-2</v>
      </c>
      <c r="DJ6" s="3">
        <v>1.1414668133255514</v>
      </c>
      <c r="DK6" s="3">
        <v>16323672122.989531</v>
      </c>
      <c r="DL6" s="3">
        <v>7.5268042124807838E-2</v>
      </c>
      <c r="DM6" s="3">
        <v>700000000</v>
      </c>
      <c r="DN6" s="3">
        <v>0.1075257744640112</v>
      </c>
      <c r="DO6" s="3">
        <v>18632930000</v>
      </c>
      <c r="DP6" s="3">
        <v>2188314600</v>
      </c>
      <c r="DQ6" s="3">
        <v>640</v>
      </c>
      <c r="DR6" s="3">
        <v>0.10876144094754749</v>
      </c>
      <c r="DS6" s="3">
        <v>0.93417011504448366</v>
      </c>
      <c r="DT6" s="12">
        <v>-0.3066666666666667</v>
      </c>
      <c r="DU6" s="3">
        <v>1.5033333333333332</v>
      </c>
      <c r="DV6" s="3">
        <v>1.1966666666666665</v>
      </c>
      <c r="DW6" s="3">
        <v>8.2769230769230777</v>
      </c>
      <c r="DX6" s="3">
        <v>0.39117082869881031</v>
      </c>
      <c r="DY6" s="3">
        <v>8.0557088448704395</v>
      </c>
      <c r="DZ6" s="3">
        <v>143</v>
      </c>
      <c r="EA6" s="3">
        <v>8.0541492589627506</v>
      </c>
      <c r="EB6" s="3">
        <v>8</v>
      </c>
      <c r="EC6" s="3">
        <v>0.60004830865113457</v>
      </c>
      <c r="ED6" s="3">
        <v>2.9827798199880471</v>
      </c>
      <c r="EE6" s="13">
        <v>-3.1271</v>
      </c>
      <c r="EF6" s="3">
        <v>-3.1080000000000001</v>
      </c>
      <c r="EG6" s="3">
        <v>19.20117082869881</v>
      </c>
      <c r="EH6" s="3" t="s">
        <v>821</v>
      </c>
      <c r="EI6" s="3">
        <v>0</v>
      </c>
      <c r="EJ6" s="3">
        <v>1</v>
      </c>
      <c r="EK6" s="15">
        <v>45505</v>
      </c>
      <c r="EL6" s="16">
        <v>-4.88</v>
      </c>
      <c r="EM6" s="16">
        <v>2.44</v>
      </c>
      <c r="EN6" s="16">
        <v>3.82</v>
      </c>
      <c r="EO6" s="16">
        <v>-0.71</v>
      </c>
      <c r="EP6" s="16">
        <v>-1.91</v>
      </c>
    </row>
    <row r="7" spans="1:146" ht="96" x14ac:dyDescent="0.25">
      <c r="C7" s="7" t="str">
        <f>""&amp;CHAR(10)&amp;Basic_Fundamental_Information_Constructure(F7)&amp;CHAR(10)&amp;Basic_Fundamental_Information_Concatenate("")</f>
        <v xml:space="preserve">
市值34.398719亿, 利润2811.60万; PE27.66; 平均PE356.05; 平均PEG39.15, PB2.17; ROIC2.28%; ROE-1.4933%; 股利率.3871%; 毛利39.1233%; 净利-5.2567%; 上一年度营收增24.95%, 利润增193.65%; 当季营收增2.83%, 利润增998.26%; 过往5年营收增9.09%, 利润增137.86%
Income profile:
</v>
      </c>
      <c r="D7" s="3" t="s">
        <v>76</v>
      </c>
      <c r="E7" s="3" t="s">
        <v>77</v>
      </c>
      <c r="F7" s="3">
        <v>4.6500000000000004</v>
      </c>
      <c r="G7" s="3">
        <v>0.87</v>
      </c>
      <c r="H7" s="3" t="s">
        <v>1267</v>
      </c>
      <c r="I7" s="3">
        <v>3439871900</v>
      </c>
      <c r="J7" s="3">
        <v>27.66</v>
      </c>
      <c r="K7" s="3">
        <v>2.17</v>
      </c>
      <c r="L7" s="3" t="s">
        <v>49</v>
      </c>
      <c r="M7" s="3" t="s">
        <v>727</v>
      </c>
      <c r="N7" s="3" t="s">
        <v>576</v>
      </c>
      <c r="O7" s="3" t="s">
        <v>529</v>
      </c>
      <c r="P7" s="3">
        <v>3.14</v>
      </c>
      <c r="Q7" s="3" t="s">
        <v>555</v>
      </c>
      <c r="R7" s="3">
        <v>86585831</v>
      </c>
      <c r="S7" s="5">
        <v>9.9830000000000005</v>
      </c>
      <c r="T7" s="3" t="s">
        <v>743</v>
      </c>
      <c r="U7" s="3">
        <v>713459300</v>
      </c>
      <c r="V7" s="3">
        <v>739757400</v>
      </c>
      <c r="W7" s="3">
        <v>1.8</v>
      </c>
      <c r="X7" s="3">
        <v>0.04</v>
      </c>
      <c r="Y7" s="3">
        <v>78.09</v>
      </c>
      <c r="Z7" s="3" t="s">
        <v>80</v>
      </c>
      <c r="AA7" s="3" t="s">
        <v>728</v>
      </c>
      <c r="AB7" s="3" t="s">
        <v>729</v>
      </c>
      <c r="AC7" s="3" t="s">
        <v>730</v>
      </c>
      <c r="AD7" s="3" t="s">
        <v>52</v>
      </c>
      <c r="AE7" s="3">
        <v>8462672</v>
      </c>
      <c r="AF7" s="3" t="s">
        <v>731</v>
      </c>
      <c r="AG7" s="3" t="s">
        <v>732</v>
      </c>
      <c r="AH7" s="3" t="s">
        <v>733</v>
      </c>
      <c r="AI7" s="3" t="s">
        <v>734</v>
      </c>
      <c r="AJ7" s="3" t="s">
        <v>735</v>
      </c>
      <c r="AK7" s="3" t="s">
        <v>736</v>
      </c>
      <c r="AL7" s="3" t="s">
        <v>737</v>
      </c>
      <c r="AM7" s="3" t="s">
        <v>52</v>
      </c>
      <c r="AN7" s="3" t="s">
        <v>600</v>
      </c>
      <c r="AO7" s="3" t="s">
        <v>591</v>
      </c>
      <c r="AP7" s="3" t="s">
        <v>738</v>
      </c>
      <c r="AQ7" s="3" t="s">
        <v>344</v>
      </c>
      <c r="AR7" s="3" t="s">
        <v>52</v>
      </c>
      <c r="AS7" s="3" t="s">
        <v>739</v>
      </c>
      <c r="AT7" s="3" t="s">
        <v>566</v>
      </c>
      <c r="AU7" s="3" t="s">
        <v>740</v>
      </c>
      <c r="AV7" s="3" t="s">
        <v>741</v>
      </c>
      <c r="AW7" s="3" t="s">
        <v>742</v>
      </c>
      <c r="AX7" s="3" t="s">
        <v>141</v>
      </c>
      <c r="AY7" s="3" t="s">
        <v>272</v>
      </c>
      <c r="AZ7" s="3" t="s">
        <v>78</v>
      </c>
      <c r="BA7" s="3" t="s">
        <v>74</v>
      </c>
      <c r="BB7" s="3" t="s">
        <v>81</v>
      </c>
      <c r="BC7" s="3" t="s">
        <v>516</v>
      </c>
      <c r="BD7" s="3" t="s">
        <v>273</v>
      </c>
      <c r="BE7" s="3" t="s">
        <v>79</v>
      </c>
      <c r="BF7" s="3" t="s">
        <v>68</v>
      </c>
      <c r="BG7" s="3" t="s">
        <v>83</v>
      </c>
      <c r="BH7" s="3" t="s">
        <v>555</v>
      </c>
      <c r="BI7" s="3" t="s">
        <v>179</v>
      </c>
      <c r="BJ7" s="3" t="s">
        <v>141</v>
      </c>
      <c r="BK7" s="3" t="s">
        <v>743</v>
      </c>
      <c r="BL7" s="3" t="s">
        <v>1268</v>
      </c>
      <c r="BM7" s="3" t="s">
        <v>516</v>
      </c>
      <c r="BN7" s="3">
        <v>2.2799999999999998</v>
      </c>
      <c r="BO7" s="3" t="s">
        <v>52</v>
      </c>
      <c r="BP7" s="3" t="s">
        <v>52</v>
      </c>
      <c r="BQ7" s="3">
        <v>2.08</v>
      </c>
      <c r="BR7" s="3">
        <v>-2.08</v>
      </c>
      <c r="BS7" s="3">
        <v>-4.4800000000000004</v>
      </c>
      <c r="BT7" s="3" t="s">
        <v>744</v>
      </c>
      <c r="BU7" s="3" t="s">
        <v>49</v>
      </c>
      <c r="BV7" s="3">
        <v>41.93</v>
      </c>
      <c r="BW7" s="3">
        <v>39.4</v>
      </c>
      <c r="BX7" s="3">
        <v>36.04</v>
      </c>
      <c r="BY7" s="3">
        <v>4.5999999999999996</v>
      </c>
      <c r="BZ7" s="3">
        <v>-6.49</v>
      </c>
      <c r="CA7" s="3">
        <v>-13.88</v>
      </c>
      <c r="CB7" s="3">
        <v>8.14</v>
      </c>
      <c r="CC7" s="3">
        <v>-0.64</v>
      </c>
      <c r="CD7" s="3" t="s">
        <v>1269</v>
      </c>
      <c r="CE7" s="3" t="s">
        <v>883</v>
      </c>
      <c r="CF7" s="10">
        <v>2.830188679245297E-2</v>
      </c>
      <c r="CG7" s="11">
        <v>9.9825849387403647</v>
      </c>
      <c r="CH7" s="10">
        <v>0.24948024749755859</v>
      </c>
      <c r="CI7" s="10">
        <v>-2.2357722744345665E-2</v>
      </c>
      <c r="CJ7" s="10">
        <v>3.7974681705236435E-2</v>
      </c>
      <c r="CK7" s="10">
        <v>-0.24642288684844971</v>
      </c>
      <c r="CL7" s="10">
        <v>0.43607306480407715</v>
      </c>
      <c r="CM7" s="11">
        <v>1.9364851713180542</v>
      </c>
      <c r="CN7" s="11">
        <v>0.54596817493438721</v>
      </c>
      <c r="CO7" s="11">
        <v>0.84902948141098022</v>
      </c>
      <c r="CP7" s="11">
        <v>-1.5895019769668579</v>
      </c>
      <c r="CQ7" s="11">
        <v>5.1508378982543945</v>
      </c>
      <c r="CR7" s="3">
        <v>356.04525600331215</v>
      </c>
      <c r="CS7" s="3">
        <v>39.147587012739145</v>
      </c>
      <c r="CT7" s="3">
        <v>0.38709677419354832</v>
      </c>
      <c r="CU7" s="10">
        <v>9.0949476882815364E-2</v>
      </c>
      <c r="CV7" s="11">
        <v>1.3785637497901917</v>
      </c>
      <c r="CW7" s="3">
        <v>0.06</v>
      </c>
      <c r="CX7" s="3">
        <v>106.84868571231691</v>
      </c>
      <c r="CY7" s="3">
        <v>28936920.275506828</v>
      </c>
      <c r="CZ7" s="3">
        <v>9.0949476882815364E-2</v>
      </c>
      <c r="DA7" s="3">
        <v>34.88909461256042</v>
      </c>
      <c r="DB7" s="3">
        <v>88620009.614319295</v>
      </c>
      <c r="DC7" s="3">
        <v>8.6402003038674596E-2</v>
      </c>
      <c r="DD7" s="3">
        <v>17.156631691563632</v>
      </c>
      <c r="DE7" s="3">
        <v>180214389.14028531</v>
      </c>
      <c r="DF7" s="3">
        <v>8.0035539656877527E-2</v>
      </c>
      <c r="DG7" s="3">
        <v>10.290359493466701</v>
      </c>
      <c r="DH7" s="3">
        <v>300462962.6363408</v>
      </c>
      <c r="DI7" s="3">
        <v>7.2759581506252294E-2</v>
      </c>
      <c r="DJ7" s="3">
        <v>5.301685930837138</v>
      </c>
      <c r="DK7" s="3">
        <v>583186544.87173522</v>
      </c>
      <c r="DL7" s="3">
        <v>6.3664633817970745E-2</v>
      </c>
      <c r="DM7" s="3">
        <v>28116000</v>
      </c>
      <c r="DN7" s="3">
        <v>9.0949476882815364E-2</v>
      </c>
      <c r="DO7" s="3">
        <v>3091871900</v>
      </c>
      <c r="DP7" s="3">
        <v>324540120</v>
      </c>
      <c r="DQ7" s="3">
        <v>669</v>
      </c>
      <c r="DR7" s="3">
        <v>-6.2647590090362387E-2</v>
      </c>
      <c r="DS7" s="3">
        <v>8.6040211889501723</v>
      </c>
      <c r="DT7" s="12">
        <v>-0.28999999999999998</v>
      </c>
      <c r="DU7" s="3">
        <v>0.22666666666666646</v>
      </c>
      <c r="DV7" s="3">
        <v>-6.3333333333333519E-2</v>
      </c>
      <c r="DW7" s="3">
        <v>5.0786240786240784</v>
      </c>
      <c r="DX7" s="3">
        <v>0.51211009174311839</v>
      </c>
      <c r="DY7" s="3">
        <v>5.0119595158127268</v>
      </c>
      <c r="DZ7" s="3">
        <v>1942</v>
      </c>
      <c r="EA7" s="3">
        <v>5.007412652126682</v>
      </c>
      <c r="EB7" s="3">
        <v>5</v>
      </c>
      <c r="EC7" s="3">
        <v>6.7238259461818162E-2</v>
      </c>
      <c r="ED7" s="3">
        <v>0.44203680828336422</v>
      </c>
      <c r="EE7" s="13">
        <v>-2.0154100000000001</v>
      </c>
      <c r="EF7" s="3">
        <v>-2.00671</v>
      </c>
      <c r="EG7" s="3">
        <v>36.152110091743118</v>
      </c>
      <c r="EH7" s="3" t="s">
        <v>552</v>
      </c>
      <c r="EI7" s="3">
        <v>1</v>
      </c>
      <c r="EJ7" s="3">
        <v>0</v>
      </c>
      <c r="EK7" s="15">
        <v>45505</v>
      </c>
      <c r="EL7" s="16">
        <v>-1.1499999999999999</v>
      </c>
      <c r="EM7" s="16">
        <v>3.02</v>
      </c>
      <c r="EN7" s="16">
        <v>1.1299999999999999</v>
      </c>
      <c r="EO7" s="16">
        <v>1.99</v>
      </c>
      <c r="EP7" s="16">
        <v>0.87</v>
      </c>
    </row>
    <row r="8" spans="1:146" ht="165.4" customHeight="1" x14ac:dyDescent="0.25">
      <c r="A8" s="9" t="s">
        <v>251</v>
      </c>
      <c r="B8" s="9" t="s">
        <v>252</v>
      </c>
      <c r="C8" s="7" t="str">
        <f>"公司的主营业务主要围绕电子信息行业开展，根据业务性质不同可分为“电子制程方案服务”，“电子制程产品服务”及“产业配套服务”。公司主要产品包括制程产品、建筑装饰新材、产业配套服务、租赁。"&amp;CHAR(10)&amp;Basic_Fundamental_Information_Constructure(F8)&amp;CHAR(10)&amp;Basic_Fundamental_Information_Concatenate("电子制程行业 6.95亿 68.61% 65.31% 10.09%
电解液行业 2.12亿 20.89% -2.09% -1.06%
化工材料制造-胶粘剂 1.01亿 10.01% 34.61% 36.66%
物业租赁 414.65万 0.41% 1.89% 49.05%")</f>
        <v>公司的主营业务主要围绕电子信息行业开展，根据业务性质不同可分为“电子制程方案服务”，“电子制程产品服务”及“产业配套服务”。公司主要产品包括制程产品、建筑装饰新材、产业配套服务、租赁。
市值16.291253亿, 利润-2.41亿; PE; 平均PE-472.06; 平均PEG-18.74, PB1.36; ROIC-.02%; ROE1.9867%; 股利率0%; 毛利11.5%; 净利-3.3633%; 上一年度营收增23.19%, 利润增-4226.5%; 当季营收增.66%, 利润增-57.18%; 过往5年营收增25.19%, 利润增-846.86%
Income profile:
电子制程行业 6.95亿 68.61% 65.31% 10.09%
电解液行业 2.12亿 20.89% -2.09% -1.06%
化工材料制造-胶粘剂 1.01亿 10.01% 34.61% 36.66%
物业租赁 414.65万 0.41% 1.89% 49.05%</v>
      </c>
      <c r="D8" s="3" t="s">
        <v>86</v>
      </c>
      <c r="E8" s="3" t="s">
        <v>87</v>
      </c>
      <c r="F8" s="3">
        <v>3.19</v>
      </c>
      <c r="G8" s="3">
        <v>1.27</v>
      </c>
      <c r="H8" s="3" t="s">
        <v>1270</v>
      </c>
      <c r="I8" s="3">
        <v>1629125300</v>
      </c>
      <c r="K8" s="3">
        <v>1.36</v>
      </c>
      <c r="L8" s="3" t="s">
        <v>49</v>
      </c>
      <c r="M8" s="3" t="s">
        <v>745</v>
      </c>
      <c r="N8" s="3" t="s">
        <v>569</v>
      </c>
      <c r="O8" s="3" t="s">
        <v>386</v>
      </c>
      <c r="P8" s="3">
        <v>0.61</v>
      </c>
      <c r="Q8" s="3" t="s">
        <v>765</v>
      </c>
      <c r="R8" s="3">
        <v>4320750</v>
      </c>
      <c r="S8" s="5">
        <v>-0.57179999999999997</v>
      </c>
      <c r="T8" s="3" t="s">
        <v>766</v>
      </c>
      <c r="U8" s="3">
        <v>499044850</v>
      </c>
      <c r="V8" s="3">
        <v>512413600</v>
      </c>
      <c r="W8" s="3">
        <v>2.0299999999999998</v>
      </c>
      <c r="X8" s="3">
        <v>0.15</v>
      </c>
      <c r="Y8" s="3">
        <v>7.0000000000000007E-2</v>
      </c>
      <c r="Z8" s="3" t="s">
        <v>746</v>
      </c>
      <c r="AA8" s="3" t="s">
        <v>315</v>
      </c>
      <c r="AB8" s="3" t="s">
        <v>747</v>
      </c>
      <c r="AC8" s="3" t="s">
        <v>748</v>
      </c>
      <c r="AD8" s="3" t="s">
        <v>52</v>
      </c>
      <c r="AE8" s="3">
        <v>8844316</v>
      </c>
      <c r="AF8" s="3" t="s">
        <v>749</v>
      </c>
      <c r="AG8" s="3" t="s">
        <v>750</v>
      </c>
      <c r="AH8" s="3" t="s">
        <v>751</v>
      </c>
      <c r="AI8" s="3" t="s">
        <v>224</v>
      </c>
      <c r="AJ8" s="3" t="s">
        <v>752</v>
      </c>
      <c r="AK8" s="3" t="s">
        <v>599</v>
      </c>
      <c r="AL8" s="3" t="s">
        <v>753</v>
      </c>
      <c r="AM8" s="3" t="s">
        <v>52</v>
      </c>
      <c r="AN8" s="3" t="s">
        <v>754</v>
      </c>
      <c r="AO8" s="3" t="s">
        <v>755</v>
      </c>
      <c r="AP8" s="3" t="s">
        <v>756</v>
      </c>
      <c r="AQ8" s="3" t="s">
        <v>603</v>
      </c>
      <c r="AR8" s="3" t="s">
        <v>52</v>
      </c>
      <c r="AS8" s="3" t="s">
        <v>757</v>
      </c>
      <c r="AT8" s="3" t="s">
        <v>758</v>
      </c>
      <c r="AU8" s="3" t="s">
        <v>759</v>
      </c>
      <c r="AV8" s="3" t="s">
        <v>760</v>
      </c>
      <c r="AW8" s="3" t="s">
        <v>515</v>
      </c>
      <c r="AX8" s="3" t="s">
        <v>761</v>
      </c>
      <c r="AY8" s="3" t="s">
        <v>762</v>
      </c>
      <c r="AZ8" s="3" t="s">
        <v>763</v>
      </c>
      <c r="BA8" s="3" t="s">
        <v>757</v>
      </c>
      <c r="BB8" s="3" t="s">
        <v>90</v>
      </c>
      <c r="BC8" s="3" t="s">
        <v>764</v>
      </c>
      <c r="BD8" s="3" t="s">
        <v>274</v>
      </c>
      <c r="BE8" s="3" t="s">
        <v>88</v>
      </c>
      <c r="BF8" s="3" t="s">
        <v>91</v>
      </c>
      <c r="BG8" s="3" t="s">
        <v>92</v>
      </c>
      <c r="BH8" s="3" t="s">
        <v>765</v>
      </c>
      <c r="BI8" s="3" t="s">
        <v>1271</v>
      </c>
      <c r="BJ8" s="3" t="s">
        <v>761</v>
      </c>
      <c r="BK8" s="3" t="s">
        <v>766</v>
      </c>
      <c r="BL8" s="3" t="s">
        <v>1272</v>
      </c>
      <c r="BM8" s="3" t="s">
        <v>764</v>
      </c>
      <c r="BN8" s="3">
        <v>-2.91</v>
      </c>
      <c r="BO8" s="3">
        <v>0.31</v>
      </c>
      <c r="BP8" s="3">
        <v>2.54</v>
      </c>
      <c r="BQ8" s="3">
        <v>-0.68</v>
      </c>
      <c r="BR8" s="3">
        <v>1.71</v>
      </c>
      <c r="BS8" s="3">
        <v>4.93</v>
      </c>
      <c r="BT8" s="3" t="s">
        <v>478</v>
      </c>
      <c r="BU8" s="3" t="s">
        <v>49</v>
      </c>
      <c r="BV8" s="3">
        <v>10.83</v>
      </c>
      <c r="BW8" s="3">
        <v>13.28</v>
      </c>
      <c r="BX8" s="3">
        <v>10.39</v>
      </c>
      <c r="BY8" s="3">
        <v>-12.58</v>
      </c>
      <c r="BZ8" s="3">
        <v>0.3</v>
      </c>
      <c r="CA8" s="3">
        <v>2.19</v>
      </c>
      <c r="CB8" s="3">
        <v>10</v>
      </c>
      <c r="CC8" s="3">
        <v>-2.74</v>
      </c>
      <c r="CD8" s="3" t="s">
        <v>1273</v>
      </c>
      <c r="CE8" s="3" t="s">
        <v>195</v>
      </c>
      <c r="CF8" s="10">
        <v>6.5502183406114835E-3</v>
      </c>
      <c r="CG8" s="11">
        <v>-0.57180869513512445</v>
      </c>
      <c r="CH8" s="10">
        <v>0.23191733658313751</v>
      </c>
      <c r="CI8" s="10">
        <v>-0.23090505599975586</v>
      </c>
      <c r="CJ8" s="10">
        <v>0.12742657959461212</v>
      </c>
      <c r="CK8" s="10">
        <v>0.33399730920791626</v>
      </c>
      <c r="CL8" s="10">
        <v>0.79713600873947144</v>
      </c>
      <c r="CM8" s="11">
        <v>-42.265003204345703</v>
      </c>
      <c r="CN8" s="11">
        <v>-0.90332949161529541</v>
      </c>
      <c r="CO8" s="11">
        <v>-0.13816198706626892</v>
      </c>
      <c r="CP8" s="11">
        <v>0.35392758250236511</v>
      </c>
      <c r="CQ8" s="11">
        <v>0.60971391201019287</v>
      </c>
      <c r="CR8" s="3">
        <v>-472.06199985511796</v>
      </c>
      <c r="CS8" s="3">
        <v>-18.73898169764621</v>
      </c>
      <c r="CT8" s="3">
        <v>0</v>
      </c>
      <c r="CU8" s="10">
        <v>0.25191443562507632</v>
      </c>
      <c r="CV8" s="11">
        <v>-8.4685706377029426</v>
      </c>
      <c r="CW8" s="3">
        <v>0.06</v>
      </c>
      <c r="CX8" s="3" t="e">
        <v>#VALUE!</v>
      </c>
      <c r="CY8" s="3" t="s">
        <v>329</v>
      </c>
      <c r="CZ8" s="3">
        <v>0.25191443562507632</v>
      </c>
      <c r="DA8" s="3" t="e">
        <v>#VALUE!</v>
      </c>
      <c r="DB8" s="3" t="s">
        <v>329</v>
      </c>
      <c r="DC8" s="3">
        <v>0.2393187138438225</v>
      </c>
      <c r="DD8" s="3" t="e">
        <v>#VALUE!</v>
      </c>
      <c r="DE8" s="3" t="s">
        <v>329</v>
      </c>
      <c r="DF8" s="3">
        <v>0.22168470335006715</v>
      </c>
      <c r="DG8" s="3" t="e">
        <v>#VALUE!</v>
      </c>
      <c r="DH8" s="3" t="s">
        <v>329</v>
      </c>
      <c r="DI8" s="3">
        <v>0.20153154850006105</v>
      </c>
      <c r="DJ8" s="3" t="e">
        <v>#VALUE!</v>
      </c>
      <c r="DK8" s="3" t="s">
        <v>329</v>
      </c>
      <c r="DL8" s="3">
        <v>0.17634010493755342</v>
      </c>
      <c r="DM8" s="3">
        <v>-241000000</v>
      </c>
      <c r="DN8" s="3">
        <v>0.25191443562507632</v>
      </c>
      <c r="DO8" s="3">
        <v>1538125300</v>
      </c>
      <c r="DP8" s="3">
        <v>561311400</v>
      </c>
      <c r="DQ8" s="3">
        <v>892</v>
      </c>
      <c r="DR8" s="3">
        <v>-0.24536421728446484</v>
      </c>
      <c r="DS8" s="3">
        <v>7.8967619425678182</v>
      </c>
      <c r="DT8" s="12">
        <v>-0.10666666666666669</v>
      </c>
      <c r="DU8" s="3">
        <v>-1.1733333333333333</v>
      </c>
      <c r="DV8" s="3">
        <v>-1.28</v>
      </c>
      <c r="DW8" s="3">
        <v>5.274</v>
      </c>
      <c r="DX8" s="3">
        <v>0.43659972826087284</v>
      </c>
      <c r="DY8" s="3">
        <v>5.0319483255434783</v>
      </c>
      <c r="DZ8" s="3">
        <v>3863</v>
      </c>
      <c r="EA8" s="3">
        <v>5.0077869352587374</v>
      </c>
      <c r="EB8" s="3">
        <v>5</v>
      </c>
      <c r="EC8" s="3">
        <v>8.3738409753371101E-2</v>
      </c>
      <c r="ED8" s="3">
        <v>0.71816985341528794</v>
      </c>
      <c r="EE8" s="13">
        <v>-1.0075000000000001</v>
      </c>
      <c r="EF8" s="3">
        <v>-1.0202</v>
      </c>
      <c r="EG8" s="3">
        <v>32.116599728260873</v>
      </c>
      <c r="EH8" s="3" t="s">
        <v>611</v>
      </c>
      <c r="EI8" s="3">
        <v>1</v>
      </c>
      <c r="EJ8" s="3">
        <v>0</v>
      </c>
      <c r="EK8" s="15">
        <v>45505</v>
      </c>
      <c r="EL8" s="16">
        <v>-0.68</v>
      </c>
      <c r="EM8" s="16">
        <v>2.0699999999999998</v>
      </c>
      <c r="EN8" s="16">
        <v>2.7</v>
      </c>
      <c r="EO8" s="16">
        <v>3.28</v>
      </c>
      <c r="EP8" s="16">
        <v>1.27</v>
      </c>
    </row>
    <row r="9" spans="1:146" ht="96" x14ac:dyDescent="0.25">
      <c r="C9" s="7" t="str">
        <f>""&amp;CHAR(10)&amp;Basic_Fundamental_Information_Constructure(F9)&amp;CHAR(10)&amp;Basic_Fundamental_Information_Concatenate("")</f>
        <v xml:space="preserve">
市值16.083056亿, 利润605.80万; PE85.53; 平均PE84.93; 平均PEG12.74, PB3.25; ROIC4.9933%; ROE5.3233%; 股利率.3185%; 毛利34.67%; 净利9.8533%; 上一年度营收增-74.25%, 利润增-80.07%; 当季营收增-48.29%, 利润增-26.46%; 过往5年营收增-6.67%, 利润增4.88%
Income profile:
</v>
      </c>
      <c r="D9" s="3" t="s">
        <v>96</v>
      </c>
      <c r="E9" s="3" t="s">
        <v>97</v>
      </c>
      <c r="F9" s="3">
        <v>8.7899999999999991</v>
      </c>
      <c r="G9" s="3">
        <v>0.92</v>
      </c>
      <c r="H9" s="3" t="s">
        <v>768</v>
      </c>
      <c r="I9" s="3">
        <v>1608305600</v>
      </c>
      <c r="J9" s="3">
        <v>85.53</v>
      </c>
      <c r="K9" s="3">
        <v>3.25</v>
      </c>
      <c r="L9" s="3" t="s">
        <v>49</v>
      </c>
      <c r="M9" s="3" t="s">
        <v>769</v>
      </c>
      <c r="N9" s="3" t="s">
        <v>770</v>
      </c>
      <c r="O9" s="3" t="s">
        <v>771</v>
      </c>
      <c r="P9" s="3">
        <v>6.9</v>
      </c>
      <c r="Q9" s="3" t="s">
        <v>771</v>
      </c>
      <c r="R9" s="3">
        <v>6057981</v>
      </c>
      <c r="S9" s="5">
        <v>0.1235</v>
      </c>
      <c r="T9" s="3" t="s">
        <v>772</v>
      </c>
      <c r="U9" s="3">
        <v>175463710</v>
      </c>
      <c r="V9" s="3">
        <v>182969920</v>
      </c>
      <c r="W9" s="3">
        <v>1.2</v>
      </c>
      <c r="X9" s="3">
        <v>0.11</v>
      </c>
      <c r="Y9" s="3">
        <v>9.3000000000000007</v>
      </c>
      <c r="Z9" s="3" t="s">
        <v>773</v>
      </c>
      <c r="AA9" s="3" t="s">
        <v>774</v>
      </c>
      <c r="AB9" s="3" t="s">
        <v>775</v>
      </c>
      <c r="AC9" s="3" t="s">
        <v>776</v>
      </c>
      <c r="AD9" s="3" t="s">
        <v>52</v>
      </c>
      <c r="AE9" s="3">
        <v>32574</v>
      </c>
      <c r="AF9" s="3" t="s">
        <v>777</v>
      </c>
      <c r="AG9" s="3" t="s">
        <v>778</v>
      </c>
      <c r="AH9" s="3" t="s">
        <v>779</v>
      </c>
      <c r="AI9" s="3" t="s">
        <v>780</v>
      </c>
      <c r="AJ9" s="3" t="s">
        <v>781</v>
      </c>
      <c r="AK9" s="3" t="s">
        <v>782</v>
      </c>
      <c r="AL9" s="3" t="s">
        <v>783</v>
      </c>
      <c r="AM9" s="3" t="s">
        <v>52</v>
      </c>
      <c r="AN9" s="3" t="s">
        <v>784</v>
      </c>
      <c r="AO9" s="3" t="s">
        <v>52</v>
      </c>
      <c r="AP9" s="3" t="s">
        <v>785</v>
      </c>
      <c r="AQ9" s="3" t="s">
        <v>786</v>
      </c>
      <c r="AR9" s="3" t="s">
        <v>787</v>
      </c>
      <c r="AS9" s="3" t="s">
        <v>788</v>
      </c>
      <c r="AT9" s="3" t="s">
        <v>789</v>
      </c>
      <c r="AU9" s="3" t="s">
        <v>790</v>
      </c>
      <c r="AV9" s="3" t="s">
        <v>791</v>
      </c>
      <c r="AW9" s="3" t="s">
        <v>792</v>
      </c>
      <c r="AX9" s="3" t="s">
        <v>520</v>
      </c>
      <c r="AY9" s="3" t="s">
        <v>276</v>
      </c>
      <c r="AZ9" s="3" t="s">
        <v>75</v>
      </c>
      <c r="BA9" s="3" t="s">
        <v>99</v>
      </c>
      <c r="BB9" s="3" t="s">
        <v>100</v>
      </c>
      <c r="BC9" s="3" t="s">
        <v>521</v>
      </c>
      <c r="BD9" s="3" t="s">
        <v>277</v>
      </c>
      <c r="BE9" s="3" t="s">
        <v>98</v>
      </c>
      <c r="BF9" s="3" t="s">
        <v>101</v>
      </c>
      <c r="BG9" s="3" t="s">
        <v>102</v>
      </c>
      <c r="BH9" s="3" t="s">
        <v>334</v>
      </c>
      <c r="BI9" s="3" t="s">
        <v>61</v>
      </c>
      <c r="BJ9" s="3" t="s">
        <v>520</v>
      </c>
      <c r="BK9" s="3" t="s">
        <v>793</v>
      </c>
      <c r="BL9" s="3" t="s">
        <v>579</v>
      </c>
      <c r="BM9" s="3" t="s">
        <v>521</v>
      </c>
      <c r="BN9" s="3">
        <v>3.37</v>
      </c>
      <c r="BO9" s="3">
        <v>6.25</v>
      </c>
      <c r="BP9" s="3">
        <v>5.36</v>
      </c>
      <c r="BQ9" s="3">
        <v>3.64</v>
      </c>
      <c r="BR9" s="3">
        <v>6.67</v>
      </c>
      <c r="BS9" s="3">
        <v>5.66</v>
      </c>
      <c r="BT9" s="3" t="s">
        <v>794</v>
      </c>
      <c r="BU9" s="3" t="s">
        <v>49</v>
      </c>
      <c r="BV9" s="3">
        <v>32.32</v>
      </c>
      <c r="BW9" s="3">
        <v>37.33</v>
      </c>
      <c r="BX9" s="3">
        <v>34.36</v>
      </c>
      <c r="BY9" s="3">
        <v>6.72</v>
      </c>
      <c r="BZ9" s="3">
        <v>11.99</v>
      </c>
      <c r="CA9" s="3">
        <v>10.85</v>
      </c>
      <c r="CB9" s="3">
        <v>-5.28</v>
      </c>
      <c r="CC9" s="3">
        <v>-23.11</v>
      </c>
      <c r="CD9" s="3" t="s">
        <v>795</v>
      </c>
      <c r="CE9" s="3" t="s">
        <v>184</v>
      </c>
      <c r="CF9" s="10">
        <v>-0.48291666666666666</v>
      </c>
      <c r="CG9" s="11">
        <v>-0.26456715185801172</v>
      </c>
      <c r="CH9" s="10">
        <v>-0.74248027801513672</v>
      </c>
      <c r="CI9" s="10">
        <v>0.13452914357185364</v>
      </c>
      <c r="CJ9" s="10">
        <v>0.31952661275863647</v>
      </c>
      <c r="CK9" s="10">
        <v>-5.0561796873807907E-2</v>
      </c>
      <c r="CL9" s="10">
        <v>5.6497175246477127E-3</v>
      </c>
      <c r="CM9" s="11">
        <v>-0.80073809623718262</v>
      </c>
      <c r="CN9" s="11">
        <v>0.25932309031486511</v>
      </c>
      <c r="CO9" s="11">
        <v>1.2385345697402954</v>
      </c>
      <c r="CP9" s="11">
        <v>-0.50091862678527832</v>
      </c>
      <c r="CQ9" s="11">
        <v>4.7628052532672882E-2</v>
      </c>
      <c r="CR9" s="3">
        <v>84.929345487093599</v>
      </c>
      <c r="CS9" s="3">
        <v>12.739276938640188</v>
      </c>
      <c r="CT9" s="3">
        <v>0.31854379977246877</v>
      </c>
      <c r="CU9" s="10">
        <v>-6.666732020676136E-2</v>
      </c>
      <c r="CV9" s="11">
        <v>4.8765797913074491E-2</v>
      </c>
      <c r="CW9" s="3">
        <v>0.06</v>
      </c>
      <c r="CX9" s="3">
        <v>199.52162429844833</v>
      </c>
      <c r="CY9" s="3" t="s">
        <v>796</v>
      </c>
      <c r="CZ9" s="3">
        <v>-6.666732020676136E-2</v>
      </c>
      <c r="DA9" s="3">
        <v>66.507208099482781</v>
      </c>
      <c r="DB9" s="3" t="s">
        <v>797</v>
      </c>
      <c r="DC9" s="3">
        <v>-6.3333954196423292E-2</v>
      </c>
      <c r="DD9" s="3">
        <v>33.253604049741391</v>
      </c>
      <c r="DE9" s="3" t="s">
        <v>798</v>
      </c>
      <c r="DF9" s="3">
        <v>-5.866724178195E-2</v>
      </c>
      <c r="DG9" s="3">
        <v>19.952162429844833</v>
      </c>
      <c r="DH9" s="3" t="s">
        <v>799</v>
      </c>
      <c r="DI9" s="3">
        <v>-5.3333856165409088E-2</v>
      </c>
      <c r="DJ9" s="3">
        <v>9.9760812149224165</v>
      </c>
      <c r="DK9" s="3" t="s">
        <v>800</v>
      </c>
      <c r="DL9" s="3">
        <v>-4.6667124144732952E-2</v>
      </c>
      <c r="DM9" s="3">
        <v>6058000</v>
      </c>
      <c r="DN9" s="3">
        <v>-6.666732020676136E-2</v>
      </c>
      <c r="DO9" s="3">
        <v>1208702000</v>
      </c>
      <c r="DP9" s="3">
        <v>289366040</v>
      </c>
      <c r="DQ9" s="3">
        <v>1212</v>
      </c>
      <c r="DR9" s="3">
        <v>-0.4162493464599053</v>
      </c>
      <c r="DS9" s="3">
        <v>-0.31333294977108622</v>
      </c>
      <c r="DT9" s="12">
        <v>-0.64</v>
      </c>
      <c r="DU9" s="3">
        <v>-0.2533333333333333</v>
      </c>
      <c r="DV9" s="3">
        <v>-0.89333333333333331</v>
      </c>
      <c r="DW9" s="3">
        <v>-8.2284725227174391</v>
      </c>
      <c r="DX9" s="3">
        <v>0.46878200000000303</v>
      </c>
      <c r="DY9" s="3">
        <v>-8.0271384231934224</v>
      </c>
      <c r="DZ9" s="3">
        <v>2127</v>
      </c>
      <c r="EA9" s="3">
        <v>-8.0158422536958867</v>
      </c>
      <c r="EB9" s="3">
        <v>8</v>
      </c>
      <c r="EC9" s="3">
        <v>9.7378301307668502E-2</v>
      </c>
      <c r="ED9" s="3">
        <v>0.81980688410422875</v>
      </c>
      <c r="EE9" s="13">
        <v>-8.0016099999999994</v>
      </c>
      <c r="EF9" s="3">
        <v>-8.0197099999999999</v>
      </c>
      <c r="EG9" s="3">
        <v>35.118782000000003</v>
      </c>
      <c r="EH9" s="3" t="s">
        <v>801</v>
      </c>
      <c r="EI9" s="3">
        <v>0</v>
      </c>
      <c r="EJ9" s="3">
        <v>0</v>
      </c>
      <c r="EK9" s="15">
        <v>45470</v>
      </c>
      <c r="EL9" s="16">
        <v>-1.34</v>
      </c>
      <c r="EM9" s="16">
        <v>-6.26</v>
      </c>
      <c r="EN9" s="16">
        <v>-0.89</v>
      </c>
      <c r="EO9" s="16">
        <v>5.39</v>
      </c>
      <c r="EP9" s="16">
        <v>-1.81</v>
      </c>
    </row>
    <row r="10" spans="1:146" ht="96" x14ac:dyDescent="0.25">
      <c r="C10" s="7" t="str">
        <f>""&amp;CHAR(10)&amp;Basic_Fundamental_Information_Constructure(F10)&amp;CHAR(10)&amp;Basic_Fundamental_Information_Concatenate("")</f>
        <v xml:space="preserve">
市值52.434922亿, 利润1.14亿; PE38.53; 平均PE55.73; 平均PEG1.49, PB2.79; ROIC5.2633%; ROE5.55%; 股利率.7519%; 毛利16.28%; 净利2.67%; 上一年度营收增42.84%, 利润增2.7%; 当季营收增-11.45%, 利润增246.11%; 过往5年营收增37.33%, 利润增197.69%
Income profile:
</v>
      </c>
      <c r="D10" s="3" t="s">
        <v>356</v>
      </c>
      <c r="E10" s="3" t="s">
        <v>357</v>
      </c>
      <c r="F10" s="3">
        <v>10.64</v>
      </c>
      <c r="G10" s="3">
        <v>0</v>
      </c>
      <c r="H10" s="3" t="s">
        <v>1274</v>
      </c>
      <c r="I10" s="3">
        <v>5243492200</v>
      </c>
      <c r="J10" s="3">
        <v>38.53</v>
      </c>
      <c r="K10" s="3">
        <v>2.79</v>
      </c>
      <c r="L10" s="3" t="s">
        <v>49</v>
      </c>
      <c r="M10" s="3" t="s">
        <v>802</v>
      </c>
      <c r="N10" s="3" t="s">
        <v>803</v>
      </c>
      <c r="O10" s="3" t="s">
        <v>804</v>
      </c>
      <c r="P10" s="3">
        <v>-11.42</v>
      </c>
      <c r="Q10" s="3" t="s">
        <v>819</v>
      </c>
      <c r="R10" s="3">
        <v>102500000</v>
      </c>
      <c r="S10" s="5">
        <v>0.74809999999999999</v>
      </c>
      <c r="T10" s="3" t="s">
        <v>201</v>
      </c>
      <c r="U10" s="3">
        <v>490016630</v>
      </c>
      <c r="V10" s="3">
        <v>492809410</v>
      </c>
      <c r="W10" s="3">
        <v>2.02</v>
      </c>
      <c r="X10" s="3">
        <v>0.24</v>
      </c>
      <c r="Y10" s="3">
        <v>5.48</v>
      </c>
      <c r="Z10" s="3" t="s">
        <v>209</v>
      </c>
      <c r="AA10" s="3" t="s">
        <v>805</v>
      </c>
      <c r="AB10" s="3" t="s">
        <v>806</v>
      </c>
      <c r="AC10" s="3" t="s">
        <v>807</v>
      </c>
      <c r="AD10" s="3" t="s">
        <v>52</v>
      </c>
      <c r="AE10" s="3">
        <v>-988116</v>
      </c>
      <c r="AF10" s="3" t="s">
        <v>808</v>
      </c>
      <c r="AG10" s="3" t="s">
        <v>809</v>
      </c>
      <c r="AH10" s="3" t="s">
        <v>810</v>
      </c>
      <c r="AI10" s="3" t="s">
        <v>593</v>
      </c>
      <c r="AJ10" s="3" t="s">
        <v>811</v>
      </c>
      <c r="AK10" s="3" t="s">
        <v>166</v>
      </c>
      <c r="AL10" s="3" t="s">
        <v>812</v>
      </c>
      <c r="AM10" s="3" t="s">
        <v>52</v>
      </c>
      <c r="AN10" s="3">
        <v>0</v>
      </c>
      <c r="AO10" s="3" t="s">
        <v>813</v>
      </c>
      <c r="AP10" s="3" t="s">
        <v>180</v>
      </c>
      <c r="AQ10" s="3" t="s">
        <v>814</v>
      </c>
      <c r="AR10" s="3" t="s">
        <v>52</v>
      </c>
      <c r="AS10" s="3" t="s">
        <v>517</v>
      </c>
      <c r="AT10" s="3" t="s">
        <v>815</v>
      </c>
      <c r="AU10" s="3" t="s">
        <v>816</v>
      </c>
      <c r="AV10" s="3" t="s">
        <v>817</v>
      </c>
      <c r="AW10" s="3" t="s">
        <v>818</v>
      </c>
      <c r="AX10" s="3" t="s">
        <v>522</v>
      </c>
      <c r="AY10" s="3" t="s">
        <v>358</v>
      </c>
      <c r="AZ10" s="3" t="s">
        <v>361</v>
      </c>
      <c r="BA10" s="3" t="s">
        <v>362</v>
      </c>
      <c r="BB10" s="3" t="s">
        <v>363</v>
      </c>
      <c r="BC10" s="3" t="s">
        <v>95</v>
      </c>
      <c r="BD10" s="3" t="s">
        <v>359</v>
      </c>
      <c r="BE10" s="3" t="s">
        <v>333</v>
      </c>
      <c r="BF10" s="3" t="s">
        <v>364</v>
      </c>
      <c r="BG10" s="3" t="s">
        <v>365</v>
      </c>
      <c r="BH10" s="3" t="s">
        <v>819</v>
      </c>
      <c r="BI10" s="3" t="s">
        <v>1275</v>
      </c>
      <c r="BJ10" s="3" t="s">
        <v>522</v>
      </c>
      <c r="BK10" s="3" t="s">
        <v>201</v>
      </c>
      <c r="BL10" s="3" t="s">
        <v>1276</v>
      </c>
      <c r="BM10" s="3" t="s">
        <v>95</v>
      </c>
      <c r="BN10" s="3">
        <v>7.58</v>
      </c>
      <c r="BO10" s="3">
        <v>7.12</v>
      </c>
      <c r="BP10" s="3">
        <v>1.0900000000000001</v>
      </c>
      <c r="BQ10" s="3">
        <v>7.52</v>
      </c>
      <c r="BR10" s="3">
        <v>7.31</v>
      </c>
      <c r="BS10" s="3">
        <v>1.82</v>
      </c>
      <c r="BT10" s="3" t="s">
        <v>523</v>
      </c>
      <c r="BU10" s="3" t="s">
        <v>49</v>
      </c>
      <c r="BV10" s="3">
        <v>13.22</v>
      </c>
      <c r="BW10" s="3">
        <v>16.670000000000002</v>
      </c>
      <c r="BX10" s="3">
        <v>18.95</v>
      </c>
      <c r="BY10" s="3">
        <v>2.79</v>
      </c>
      <c r="BZ10" s="3">
        <v>3.63</v>
      </c>
      <c r="CA10" s="3">
        <v>1.59</v>
      </c>
      <c r="CB10" s="3">
        <v>5.56</v>
      </c>
      <c r="CC10" s="3">
        <v>-5.67</v>
      </c>
      <c r="CD10" s="3" t="s">
        <v>1277</v>
      </c>
      <c r="CE10" s="3" t="s">
        <v>1259</v>
      </c>
      <c r="CF10" s="10">
        <v>-0.11452513966480447</v>
      </c>
      <c r="CG10" s="11">
        <v>2.461118971321675</v>
      </c>
      <c r="CH10" s="10">
        <v>0.42839664220809937</v>
      </c>
      <c r="CI10" s="10">
        <v>0.98180723190307617</v>
      </c>
      <c r="CJ10" s="10">
        <v>0.28828120231628418</v>
      </c>
      <c r="CK10" s="10">
        <v>0.15419302880764008</v>
      </c>
      <c r="CL10" s="10">
        <v>1.3711092993617058E-2</v>
      </c>
      <c r="CM10" s="11">
        <v>2.7027027681469917E-2</v>
      </c>
      <c r="CN10" s="11">
        <v>3.2254164218902588</v>
      </c>
      <c r="CO10" s="11">
        <v>-0.87247765064239502</v>
      </c>
      <c r="CP10" s="11">
        <v>8.242060661315918</v>
      </c>
      <c r="CQ10" s="11">
        <v>-0.73776930570602417</v>
      </c>
      <c r="CR10" s="3">
        <v>55.726678312351147</v>
      </c>
      <c r="CS10" s="3">
        <v>1.4929007938225893</v>
      </c>
      <c r="CT10" s="3">
        <v>0.75187969924812026</v>
      </c>
      <c r="CU10" s="10">
        <v>0.37327783964574335</v>
      </c>
      <c r="CV10" s="11">
        <v>1.9768514309078455</v>
      </c>
      <c r="CW10" s="3">
        <v>0.06</v>
      </c>
      <c r="CX10" s="3">
        <v>37.43931134121727</v>
      </c>
      <c r="CY10" s="3">
        <v>147692145.01850447</v>
      </c>
      <c r="CZ10" s="3">
        <v>0.37327783964574335</v>
      </c>
      <c r="DA10" s="3">
        <v>9.7045627778110362</v>
      </c>
      <c r="DB10" s="3">
        <v>569782722.47801709</v>
      </c>
      <c r="DC10" s="3">
        <v>0.35461394766345616</v>
      </c>
      <c r="DD10" s="3">
        <v>3.4092753474005431</v>
      </c>
      <c r="DE10" s="3">
        <v>1621896630.9705815</v>
      </c>
      <c r="DF10" s="3">
        <v>0.32848449888825415</v>
      </c>
      <c r="DG10" s="3">
        <v>1.3469878220407321</v>
      </c>
      <c r="DH10" s="3">
        <v>4105079577.944983</v>
      </c>
      <c r="DI10" s="3">
        <v>0.29862227171659467</v>
      </c>
      <c r="DJ10" s="3">
        <v>0.24672268614975096</v>
      </c>
      <c r="DK10" s="3">
        <v>22411770422.456474</v>
      </c>
      <c r="DL10" s="3">
        <v>0.26129448775202035</v>
      </c>
      <c r="DM10" s="3">
        <v>113999999.99999999</v>
      </c>
      <c r="DN10" s="3">
        <v>0.37327783964574335</v>
      </c>
      <c r="DO10" s="3">
        <v>5529492200</v>
      </c>
      <c r="DP10" s="3">
        <v>1031589300</v>
      </c>
      <c r="DQ10" s="3">
        <v>1255</v>
      </c>
      <c r="DR10" s="3">
        <v>-0.48780297931054784</v>
      </c>
      <c r="DS10" s="3">
        <v>0.48426754041382947</v>
      </c>
      <c r="DT10" s="12">
        <v>0.27666666666666662</v>
      </c>
      <c r="DU10" s="3">
        <v>0.90666666666666662</v>
      </c>
      <c r="DV10" s="3">
        <v>1.1833333333333331</v>
      </c>
      <c r="DW10" s="3">
        <v>6.4951024042742649</v>
      </c>
      <c r="DX10" s="3">
        <v>0.37447379310344941</v>
      </c>
      <c r="DY10" s="3">
        <v>6.0665782982773973</v>
      </c>
      <c r="DZ10" s="3">
        <v>150</v>
      </c>
      <c r="EA10" s="3">
        <v>6.0646231798863228</v>
      </c>
      <c r="EB10" s="3">
        <v>6</v>
      </c>
      <c r="EC10" s="3">
        <v>3.9566411688445643E-2</v>
      </c>
      <c r="ED10" s="3">
        <v>0.29423139464808518</v>
      </c>
      <c r="EE10" s="13">
        <v>1.0864100000000001</v>
      </c>
      <c r="EF10" s="3">
        <v>1.0864100000000001</v>
      </c>
      <c r="EG10" s="3">
        <v>24.134473793103449</v>
      </c>
      <c r="EH10" s="3" t="s">
        <v>331</v>
      </c>
      <c r="EI10" s="3">
        <v>0</v>
      </c>
      <c r="EJ10" s="3">
        <v>1</v>
      </c>
      <c r="EK10" s="15">
        <v>45505</v>
      </c>
      <c r="EL10" s="16">
        <v>-0.88</v>
      </c>
      <c r="EM10" s="16">
        <v>3.17</v>
      </c>
      <c r="EN10" s="16">
        <v>-0.87</v>
      </c>
      <c r="EO10" s="16">
        <v>3.8</v>
      </c>
      <c r="EP10" s="16">
        <v>0</v>
      </c>
    </row>
    <row r="11" spans="1:146" ht="96" x14ac:dyDescent="0.25">
      <c r="C11" s="7" t="str">
        <f>""&amp;CHAR(10)&amp;Basic_Fundamental_Information_Constructure(F11)&amp;CHAR(10)&amp;Basic_Fundamental_Information_Concatenate("")</f>
        <v xml:space="preserve">
市值83.122906亿, 利润2.56亿; PE29.96; 平均PE33.41; 平均PEG3.81, PB2.89; ROIC6.8467%; ROE10.9367%; 股利率1.0368%; 毛利34.5133%; 净利16.6367%; 上一年度营收增20.83%, 利润增54.22%; 当季营收增17.86%, 利润增282.05%; 过往5年营收增8.78%, 利润增23.86%
Income profile:
</v>
      </c>
      <c r="D11" s="3" t="s">
        <v>103</v>
      </c>
      <c r="E11" s="3" t="s">
        <v>104</v>
      </c>
      <c r="F11" s="3">
        <v>19.29</v>
      </c>
      <c r="G11" s="3">
        <v>-0.52</v>
      </c>
      <c r="H11" s="3" t="s">
        <v>1278</v>
      </c>
      <c r="I11" s="3">
        <v>8312290600</v>
      </c>
      <c r="J11" s="3">
        <v>29.96</v>
      </c>
      <c r="K11" s="3">
        <v>2.89</v>
      </c>
      <c r="L11" s="3" t="s">
        <v>49</v>
      </c>
      <c r="M11" s="3" t="s">
        <v>822</v>
      </c>
      <c r="N11" s="3" t="s">
        <v>823</v>
      </c>
      <c r="O11" s="3" t="s">
        <v>824</v>
      </c>
      <c r="P11" s="3">
        <v>17.87</v>
      </c>
      <c r="Q11" s="3" t="s">
        <v>837</v>
      </c>
      <c r="R11" s="3">
        <v>120383450</v>
      </c>
      <c r="S11" s="5">
        <v>0.69189999999999996</v>
      </c>
      <c r="T11" s="3" t="s">
        <v>193</v>
      </c>
      <c r="U11" s="3">
        <v>399525670</v>
      </c>
      <c r="V11" s="3">
        <v>430911910</v>
      </c>
      <c r="W11" s="3">
        <v>1.78</v>
      </c>
      <c r="X11" s="3">
        <v>7.0000000000000007E-2</v>
      </c>
      <c r="Y11" s="3">
        <v>14.68</v>
      </c>
      <c r="Z11" s="3" t="s">
        <v>178</v>
      </c>
      <c r="AA11" s="3" t="s">
        <v>149</v>
      </c>
      <c r="AB11" s="3" t="s">
        <v>825</v>
      </c>
      <c r="AC11" s="3" t="s">
        <v>826</v>
      </c>
      <c r="AD11" s="3" t="s">
        <v>52</v>
      </c>
      <c r="AE11" s="3">
        <v>3250376</v>
      </c>
      <c r="AF11" s="3" t="s">
        <v>84</v>
      </c>
      <c r="AG11" s="3" t="s">
        <v>827</v>
      </c>
      <c r="AH11" s="3" t="s">
        <v>828</v>
      </c>
      <c r="AI11" s="3" t="s">
        <v>829</v>
      </c>
      <c r="AJ11" s="3" t="s">
        <v>830</v>
      </c>
      <c r="AK11" s="3" t="s">
        <v>52</v>
      </c>
      <c r="AL11" s="3" t="s">
        <v>831</v>
      </c>
      <c r="AM11" s="3" t="s">
        <v>52</v>
      </c>
      <c r="AN11" s="3" t="s">
        <v>332</v>
      </c>
      <c r="AO11" s="3" t="s">
        <v>191</v>
      </c>
      <c r="AP11" s="3">
        <v>3254.59</v>
      </c>
      <c r="AQ11" s="3" t="s">
        <v>832</v>
      </c>
      <c r="AR11" s="3" t="s">
        <v>52</v>
      </c>
      <c r="AS11" s="3" t="s">
        <v>833</v>
      </c>
      <c r="AT11" s="3" t="s">
        <v>834</v>
      </c>
      <c r="AU11" s="3" t="s">
        <v>835</v>
      </c>
      <c r="AV11" s="3" t="s">
        <v>836</v>
      </c>
      <c r="AW11" s="3" t="s">
        <v>333</v>
      </c>
      <c r="AX11" s="3" t="s">
        <v>524</v>
      </c>
      <c r="AY11" s="3" t="s">
        <v>278</v>
      </c>
      <c r="AZ11" s="3" t="s">
        <v>105</v>
      </c>
      <c r="BA11" s="3" t="s">
        <v>109</v>
      </c>
      <c r="BB11" s="3" t="s">
        <v>110</v>
      </c>
      <c r="BC11" s="3" t="s">
        <v>399</v>
      </c>
      <c r="BD11" s="3" t="s">
        <v>271</v>
      </c>
      <c r="BE11" s="3" t="s">
        <v>106</v>
      </c>
      <c r="BF11" s="3" t="s">
        <v>85</v>
      </c>
      <c r="BG11" s="3" t="s">
        <v>111</v>
      </c>
      <c r="BH11" s="3" t="s">
        <v>837</v>
      </c>
      <c r="BI11" s="3" t="s">
        <v>1279</v>
      </c>
      <c r="BJ11" s="3" t="s">
        <v>524</v>
      </c>
      <c r="BK11" s="3" t="s">
        <v>193</v>
      </c>
      <c r="BL11" s="3" t="s">
        <v>1280</v>
      </c>
      <c r="BM11" s="3" t="s">
        <v>399</v>
      </c>
      <c r="BN11" s="3">
        <v>3.51</v>
      </c>
      <c r="BO11" s="3">
        <v>4.58</v>
      </c>
      <c r="BP11" s="3">
        <v>12.45</v>
      </c>
      <c r="BQ11" s="3">
        <v>6.03</v>
      </c>
      <c r="BR11" s="3">
        <v>7.4</v>
      </c>
      <c r="BS11" s="3">
        <v>19.38</v>
      </c>
      <c r="BT11" s="3" t="s">
        <v>641</v>
      </c>
      <c r="BU11" s="3" t="s">
        <v>49</v>
      </c>
      <c r="BV11" s="3">
        <v>35.82</v>
      </c>
      <c r="BW11" s="3">
        <v>29.45</v>
      </c>
      <c r="BX11" s="3">
        <v>38.270000000000003</v>
      </c>
      <c r="BY11" s="3">
        <v>16.260000000000002</v>
      </c>
      <c r="BZ11" s="3">
        <v>12.75</v>
      </c>
      <c r="CA11" s="3">
        <v>20.9</v>
      </c>
      <c r="CB11" s="3">
        <v>4.6100000000000003</v>
      </c>
      <c r="CC11" s="3">
        <v>-8.7899999999999991</v>
      </c>
      <c r="CD11" s="3" t="s">
        <v>1281</v>
      </c>
      <c r="CE11" s="3" t="s">
        <v>138</v>
      </c>
      <c r="CF11" s="10">
        <v>0.17857142857142858</v>
      </c>
      <c r="CG11" s="11">
        <v>2.8205082228386091</v>
      </c>
      <c r="CH11" s="10">
        <v>0.2083013653755188</v>
      </c>
      <c r="CI11" s="10">
        <v>-0.3009134829044342</v>
      </c>
      <c r="CJ11" s="10">
        <v>0.30504903197288513</v>
      </c>
      <c r="CK11" s="10">
        <v>0.50263434648513794</v>
      </c>
      <c r="CL11" s="10">
        <v>-0.27612513303756714</v>
      </c>
      <c r="CM11" s="11">
        <v>0.54216867685317993</v>
      </c>
      <c r="CN11" s="11">
        <v>-0.57326477766036987</v>
      </c>
      <c r="CO11" s="11">
        <v>0.34602075815200806</v>
      </c>
      <c r="CP11" s="11">
        <v>1.4491525888442993</v>
      </c>
      <c r="CQ11" s="11">
        <v>-0.57090908288955688</v>
      </c>
      <c r="CR11" s="3">
        <v>33.405052645679838</v>
      </c>
      <c r="CS11" s="3">
        <v>3.8051426499807186</v>
      </c>
      <c r="CT11" s="3">
        <v>1.0368066355624677</v>
      </c>
      <c r="CU11" s="10">
        <v>8.7789225578308108E-2</v>
      </c>
      <c r="CV11" s="11">
        <v>0.23863363265991211</v>
      </c>
      <c r="CW11" s="3">
        <v>0.06</v>
      </c>
      <c r="CX11" s="3">
        <v>28.515289921293693</v>
      </c>
      <c r="CY11" s="3">
        <v>262711360.13966686</v>
      </c>
      <c r="CZ11" s="3">
        <v>8.7789225578308108E-2</v>
      </c>
      <c r="DA11" s="3">
        <v>9.3359961567348222</v>
      </c>
      <c r="DB11" s="3">
        <v>802409349.17222691</v>
      </c>
      <c r="DC11" s="3">
        <v>8.3399764299392692E-2</v>
      </c>
      <c r="DD11" s="3">
        <v>4.6074084015352899</v>
      </c>
      <c r="DE11" s="3">
        <v>1625922850.1436377</v>
      </c>
      <c r="DF11" s="3">
        <v>7.725451850891113E-2</v>
      </c>
      <c r="DG11" s="3">
        <v>2.7746384463648601</v>
      </c>
      <c r="DH11" s="3">
        <v>2699915951.1447597</v>
      </c>
      <c r="DI11" s="3">
        <v>7.0231380462646487E-2</v>
      </c>
      <c r="DJ11" s="3">
        <v>1.4422116094089357</v>
      </c>
      <c r="DK11" s="3">
        <v>5194307514.3252869</v>
      </c>
      <c r="DL11" s="3">
        <v>6.1452457904815669E-2</v>
      </c>
      <c r="DM11" s="3">
        <v>256000000</v>
      </c>
      <c r="DN11" s="3">
        <v>8.7789225578308108E-2</v>
      </c>
      <c r="DO11" s="3">
        <v>7491290600</v>
      </c>
      <c r="DP11" s="3">
        <v>934218600</v>
      </c>
      <c r="DQ11" s="3">
        <v>1325</v>
      </c>
      <c r="DR11" s="3">
        <v>9.0782202993120467E-2</v>
      </c>
      <c r="DS11" s="3">
        <v>2.581874590178697</v>
      </c>
      <c r="DT11" s="12">
        <v>-0.27333333333333337</v>
      </c>
      <c r="DU11" s="3">
        <v>0.72333333333333327</v>
      </c>
      <c r="DV11" s="3">
        <v>0.4499999999999999</v>
      </c>
      <c r="DW11" s="3">
        <v>6.3440298507462689</v>
      </c>
      <c r="DX11" s="3">
        <v>0.33317407407407384</v>
      </c>
      <c r="DY11" s="3">
        <v>6.0389352598120505</v>
      </c>
      <c r="DZ11" s="3">
        <v>850</v>
      </c>
      <c r="EA11" s="3">
        <v>6.0324562130539761</v>
      </c>
      <c r="EB11" s="3">
        <v>6</v>
      </c>
      <c r="EC11" s="3">
        <v>3.5456202637796669E-2</v>
      </c>
      <c r="ED11" s="3">
        <v>0.31328908964247471</v>
      </c>
      <c r="EE11" s="13">
        <v>2.0174099999999999</v>
      </c>
      <c r="EF11" s="3">
        <v>2.0226099999999998</v>
      </c>
      <c r="EG11" s="3">
        <v>22.113174074074074</v>
      </c>
      <c r="EH11" s="3" t="s">
        <v>492</v>
      </c>
      <c r="EI11" s="3">
        <v>0</v>
      </c>
      <c r="EJ11" s="3">
        <v>1</v>
      </c>
      <c r="EK11" s="15">
        <v>45505</v>
      </c>
      <c r="EL11" s="16">
        <v>-0.49</v>
      </c>
      <c r="EM11" s="16">
        <v>2.2799999999999998</v>
      </c>
      <c r="EN11" s="16">
        <v>-1.7</v>
      </c>
      <c r="EO11" s="16">
        <v>3.14</v>
      </c>
      <c r="EP11" s="16">
        <v>-0.52</v>
      </c>
    </row>
    <row r="12" spans="1:146" ht="96" x14ac:dyDescent="0.25">
      <c r="C12" s="7" t="str">
        <f>""&amp;CHAR(10)&amp;Basic_Fundamental_Information_Constructure(F12)&amp;CHAR(10)&amp;Basic_Fundamental_Information_Concatenate("")</f>
        <v xml:space="preserve">
市值27.821157亿, 利润887.21万; PE; 平均PE49.62; 平均PEG15.44, PB1.96; ROIC6.7167%; ROE8.13%; 股利率.1373%; 毛利12.8933%; 净利2.5467%; 上一年度营收增-77.48%, 利润增-93.8%; 当季营收增-58.46%, 利润增-86.41%; 过往5年营收增3.21%, 利润增82.57%
Income profile:
</v>
      </c>
      <c r="D12" s="3" t="s">
        <v>366</v>
      </c>
      <c r="E12" s="3" t="s">
        <v>367</v>
      </c>
      <c r="F12" s="3">
        <v>10.199999999999999</v>
      </c>
      <c r="G12" s="3">
        <v>0.39</v>
      </c>
      <c r="H12" s="3" t="s">
        <v>841</v>
      </c>
      <c r="I12" s="3">
        <v>2782115700</v>
      </c>
      <c r="K12" s="3">
        <v>1.96</v>
      </c>
      <c r="L12" s="3" t="s">
        <v>49</v>
      </c>
      <c r="M12" s="3" t="s">
        <v>842</v>
      </c>
      <c r="N12" s="3" t="s">
        <v>843</v>
      </c>
      <c r="O12" s="3" t="s">
        <v>844</v>
      </c>
      <c r="P12" s="3">
        <v>-25.43</v>
      </c>
      <c r="Q12" s="3" t="s">
        <v>844</v>
      </c>
      <c r="R12" s="3">
        <v>8872070</v>
      </c>
      <c r="S12" s="4">
        <v>-0.84060000000000001</v>
      </c>
      <c r="T12" s="3" t="s">
        <v>845</v>
      </c>
      <c r="U12" s="3">
        <v>232498440</v>
      </c>
      <c r="V12" s="3">
        <v>272756440</v>
      </c>
      <c r="W12" s="3">
        <v>2.0499999999999998</v>
      </c>
      <c r="X12" s="3">
        <v>0.2</v>
      </c>
      <c r="Y12" s="3">
        <v>1.49</v>
      </c>
      <c r="Z12" s="3" t="s">
        <v>846</v>
      </c>
      <c r="AA12" s="3" t="s">
        <v>240</v>
      </c>
      <c r="AB12" s="3" t="s">
        <v>847</v>
      </c>
      <c r="AC12" s="3" t="s">
        <v>848</v>
      </c>
      <c r="AD12" s="3" t="s">
        <v>52</v>
      </c>
      <c r="AE12" s="3">
        <v>1706991</v>
      </c>
      <c r="AF12" s="3" t="s">
        <v>849</v>
      </c>
      <c r="AG12" s="3" t="s">
        <v>850</v>
      </c>
      <c r="AH12" s="3" t="s">
        <v>851</v>
      </c>
      <c r="AI12" s="3" t="s">
        <v>852</v>
      </c>
      <c r="AJ12" s="3" t="s">
        <v>853</v>
      </c>
      <c r="AK12" s="3" t="s">
        <v>206</v>
      </c>
      <c r="AL12" s="3" t="s">
        <v>854</v>
      </c>
      <c r="AM12" s="3" t="s">
        <v>52</v>
      </c>
      <c r="AN12" s="3">
        <v>0</v>
      </c>
      <c r="AO12" s="3" t="s">
        <v>613</v>
      </c>
      <c r="AP12" s="3" t="s">
        <v>855</v>
      </c>
      <c r="AQ12" s="3" t="s">
        <v>856</v>
      </c>
      <c r="AR12" s="3" t="s">
        <v>52</v>
      </c>
      <c r="AS12" s="3" t="s">
        <v>857</v>
      </c>
      <c r="AT12" s="3" t="s">
        <v>858</v>
      </c>
      <c r="AU12" s="3" t="s">
        <v>859</v>
      </c>
      <c r="AV12" s="3" t="s">
        <v>860</v>
      </c>
      <c r="AW12" s="3" t="s">
        <v>861</v>
      </c>
      <c r="AX12" s="3" t="s">
        <v>526</v>
      </c>
      <c r="AY12" s="3" t="s">
        <v>368</v>
      </c>
      <c r="AZ12" s="3" t="s">
        <v>370</v>
      </c>
      <c r="BA12" s="3" t="s">
        <v>371</v>
      </c>
      <c r="BB12" s="3" t="s">
        <v>372</v>
      </c>
      <c r="BC12" s="3" t="s">
        <v>67</v>
      </c>
      <c r="BD12" s="3" t="s">
        <v>369</v>
      </c>
      <c r="BE12" s="3" t="s">
        <v>373</v>
      </c>
      <c r="BF12" s="3" t="s">
        <v>374</v>
      </c>
      <c r="BG12" s="3" t="s">
        <v>375</v>
      </c>
      <c r="BH12" s="3" t="s">
        <v>862</v>
      </c>
      <c r="BI12" s="3" t="s">
        <v>488</v>
      </c>
      <c r="BJ12" s="3" t="s">
        <v>526</v>
      </c>
      <c r="BK12" s="3" t="s">
        <v>863</v>
      </c>
      <c r="BL12" s="3" t="s">
        <v>586</v>
      </c>
      <c r="BM12" s="3" t="s">
        <v>67</v>
      </c>
      <c r="BN12" s="3">
        <v>4.91</v>
      </c>
      <c r="BO12" s="3">
        <v>12.62</v>
      </c>
      <c r="BP12" s="3">
        <v>2.62</v>
      </c>
      <c r="BQ12" s="3">
        <v>5.82</v>
      </c>
      <c r="BR12" s="3">
        <v>16.100000000000001</v>
      </c>
      <c r="BS12" s="3">
        <v>2.4700000000000002</v>
      </c>
      <c r="BT12" s="3" t="s">
        <v>864</v>
      </c>
      <c r="BU12" s="3" t="s">
        <v>49</v>
      </c>
      <c r="BV12" s="3">
        <v>12.68</v>
      </c>
      <c r="BW12" s="3">
        <v>14.66</v>
      </c>
      <c r="BX12" s="3">
        <v>11.34</v>
      </c>
      <c r="BY12" s="3">
        <v>1.27</v>
      </c>
      <c r="BZ12" s="3">
        <v>5.44</v>
      </c>
      <c r="CA12" s="3">
        <v>0.93</v>
      </c>
      <c r="CB12" s="3">
        <v>-5.38</v>
      </c>
      <c r="CC12" s="3">
        <v>-14.69</v>
      </c>
      <c r="CD12" s="3" t="s">
        <v>865</v>
      </c>
      <c r="CE12" s="3" t="s">
        <v>344</v>
      </c>
      <c r="CF12" s="10">
        <v>-0.58458244111349034</v>
      </c>
      <c r="CG12" s="11">
        <v>-0.8641467974758944</v>
      </c>
      <c r="CH12" s="10">
        <v>-0.77476781606674194</v>
      </c>
      <c r="CI12" s="10">
        <v>0.35287958383560181</v>
      </c>
      <c r="CJ12" s="10">
        <v>0.45357686281204224</v>
      </c>
      <c r="CK12" s="10">
        <v>-1.4253515750169754E-2</v>
      </c>
      <c r="CL12" s="10">
        <v>0.14322464168071747</v>
      </c>
      <c r="CM12" s="11">
        <v>-0.93795734643936157</v>
      </c>
      <c r="CN12" s="11">
        <v>6.175724983215332</v>
      </c>
      <c r="CO12" s="11">
        <v>-0.39238911867141724</v>
      </c>
      <c r="CP12" s="11">
        <v>-0.37004962563514709</v>
      </c>
      <c r="CQ12" s="11">
        <v>-0.34703993797302246</v>
      </c>
      <c r="CR12" s="3">
        <v>49.621888728166475</v>
      </c>
      <c r="CS12" s="3">
        <v>15.443160691156049</v>
      </c>
      <c r="CT12" s="3">
        <v>0.13725490196078433</v>
      </c>
      <c r="CU12" s="10">
        <v>3.2131951302289963E-2</v>
      </c>
      <c r="CV12" s="11">
        <v>0.82565779089927671</v>
      </c>
      <c r="CW12" s="3">
        <v>0.06</v>
      </c>
      <c r="CX12" s="3">
        <v>333.04394435167848</v>
      </c>
      <c r="CY12" s="3">
        <v>8638847.0614613649</v>
      </c>
      <c r="CZ12" s="3">
        <v>3.2131951302289963E-2</v>
      </c>
      <c r="DA12" s="3">
        <v>114.33755360039193</v>
      </c>
      <c r="DB12" s="3">
        <v>25163348.431045473</v>
      </c>
      <c r="DC12" s="3">
        <v>3.0525353737175465E-2</v>
      </c>
      <c r="DD12" s="3">
        <v>60.031815709864233</v>
      </c>
      <c r="DE12" s="3">
        <v>47926514.731874779</v>
      </c>
      <c r="DF12" s="3">
        <v>2.8276117146015169E-2</v>
      </c>
      <c r="DG12" s="3">
        <v>38.685864530165539</v>
      </c>
      <c r="DH12" s="3">
        <v>74371239.597257838</v>
      </c>
      <c r="DI12" s="3">
        <v>2.570556104183197E-2</v>
      </c>
      <c r="DJ12" s="3">
        <v>23.166013798520439</v>
      </c>
      <c r="DK12" s="3">
        <v>124195544.6035241</v>
      </c>
      <c r="DL12" s="3">
        <v>2.2492365911602974E-2</v>
      </c>
      <c r="DM12" s="3">
        <v>8872100</v>
      </c>
      <c r="DN12" s="3">
        <v>3.2131951302289963E-2</v>
      </c>
      <c r="DO12" s="3">
        <v>2877115700</v>
      </c>
      <c r="DP12" s="3">
        <v>809733900</v>
      </c>
      <c r="DQ12" s="3">
        <v>1352</v>
      </c>
      <c r="DR12" s="3">
        <v>-0.6167143924157803</v>
      </c>
      <c r="DS12" s="3">
        <v>-1.6898045883751711</v>
      </c>
      <c r="DT12" s="12">
        <v>-0.49</v>
      </c>
      <c r="DU12" s="3">
        <v>-0.80666666666666664</v>
      </c>
      <c r="DV12" s="3">
        <v>-1.2966666666666666</v>
      </c>
      <c r="DW12" s="3">
        <v>-8.3662355343771271</v>
      </c>
      <c r="DX12" s="3">
        <v>0.35245961538461712</v>
      </c>
      <c r="DY12" s="3">
        <v>-8.0448490626800027</v>
      </c>
      <c r="DZ12" s="3">
        <v>3526</v>
      </c>
      <c r="EA12" s="3">
        <v>-8.0139023317583415</v>
      </c>
      <c r="EB12" s="3">
        <v>8</v>
      </c>
      <c r="EC12" s="3">
        <v>4.669293967907779E-2</v>
      </c>
      <c r="ED12" s="3">
        <v>0.38129255536551215</v>
      </c>
      <c r="EE12" s="13">
        <v>-3.0367999999999999</v>
      </c>
      <c r="EF12" s="3">
        <v>-3.0135999999999998</v>
      </c>
      <c r="EG12" s="3">
        <v>23.122459615384617</v>
      </c>
      <c r="EH12" s="3" t="s">
        <v>821</v>
      </c>
      <c r="EI12" s="3">
        <v>0</v>
      </c>
      <c r="EJ12" s="3">
        <v>0</v>
      </c>
      <c r="EK12" s="15">
        <v>45470</v>
      </c>
      <c r="EL12" s="16">
        <v>-1.51</v>
      </c>
      <c r="EM12" s="16">
        <v>-7.05</v>
      </c>
      <c r="EN12" s="16">
        <v>-0.49</v>
      </c>
      <c r="EO12" s="16">
        <v>5.28</v>
      </c>
      <c r="EP12" s="16">
        <v>-2.3199999999999998</v>
      </c>
    </row>
    <row r="13" spans="1:146" ht="96" x14ac:dyDescent="0.25">
      <c r="C13" s="7" t="str">
        <f>""&amp;CHAR(10)&amp;Basic_Fundamental_Information_Constructure(F13)&amp;CHAR(10)&amp;Basic_Fundamental_Information_Concatenate("")</f>
        <v xml:space="preserve">
市值67.792792亿, 利润2.09亿; PE27.26; 平均PE54.57; 平均PEG1.93, PB2.2; ROIC9.17%; ROE10.88%; 股利率1.7351%; 毛利19.84%; 净利7.0833%; 上一年度营收增28.68%, 利润增9.42%; 当季营收增21.13%, 利润增801.25%; 过往5年营收增28.28%, 利润增62.82%
Income profile:
</v>
      </c>
      <c r="D13" s="3" t="s">
        <v>115</v>
      </c>
      <c r="E13" s="3" t="s">
        <v>116</v>
      </c>
      <c r="F13" s="3">
        <v>17.29</v>
      </c>
      <c r="G13" s="3">
        <v>-1.03</v>
      </c>
      <c r="H13" s="3" t="s">
        <v>1282</v>
      </c>
      <c r="I13" s="3">
        <v>6779279200</v>
      </c>
      <c r="J13" s="3">
        <v>27.26</v>
      </c>
      <c r="K13" s="3">
        <v>2.2000000000000002</v>
      </c>
      <c r="L13" s="3" t="s">
        <v>49</v>
      </c>
      <c r="M13" s="3" t="s">
        <v>866</v>
      </c>
      <c r="N13" s="3" t="s">
        <v>867</v>
      </c>
      <c r="O13" s="3" t="s">
        <v>868</v>
      </c>
      <c r="P13" s="3">
        <v>21.05</v>
      </c>
      <c r="Q13" s="3" t="s">
        <v>884</v>
      </c>
      <c r="R13" s="3">
        <v>171500000</v>
      </c>
      <c r="S13" s="5">
        <v>2.0670000000000002</v>
      </c>
      <c r="T13" s="3" t="s">
        <v>480</v>
      </c>
      <c r="U13" s="3">
        <v>370071850</v>
      </c>
      <c r="V13" s="3">
        <v>392092490</v>
      </c>
      <c r="W13" s="3">
        <v>1.78</v>
      </c>
      <c r="X13" s="3">
        <v>0.14000000000000001</v>
      </c>
      <c r="Y13" s="3">
        <v>7.88</v>
      </c>
      <c r="Z13" s="3" t="s">
        <v>869</v>
      </c>
      <c r="AA13" s="3" t="s">
        <v>548</v>
      </c>
      <c r="AB13" s="3" t="s">
        <v>870</v>
      </c>
      <c r="AC13" s="3" t="s">
        <v>871</v>
      </c>
      <c r="AD13" s="3" t="s">
        <v>52</v>
      </c>
      <c r="AE13" s="3">
        <v>8424862</v>
      </c>
      <c r="AF13" s="3" t="s">
        <v>872</v>
      </c>
      <c r="AG13" s="3" t="s">
        <v>873</v>
      </c>
      <c r="AH13" s="3" t="s">
        <v>874</v>
      </c>
      <c r="AI13" s="3" t="s">
        <v>875</v>
      </c>
      <c r="AJ13" s="3" t="s">
        <v>876</v>
      </c>
      <c r="AK13" s="3" t="s">
        <v>53</v>
      </c>
      <c r="AL13" s="3" t="s">
        <v>877</v>
      </c>
      <c r="AM13" s="3" t="s">
        <v>52</v>
      </c>
      <c r="AN13" s="3" t="s">
        <v>878</v>
      </c>
      <c r="AO13" s="3" t="s">
        <v>56</v>
      </c>
      <c r="AP13" s="3" t="s">
        <v>481</v>
      </c>
      <c r="AQ13" s="3" t="s">
        <v>879</v>
      </c>
      <c r="AR13" s="3" t="s">
        <v>52</v>
      </c>
      <c r="AS13" s="3" t="s">
        <v>880</v>
      </c>
      <c r="AT13" s="3" t="s">
        <v>111</v>
      </c>
      <c r="AU13" s="3" t="s">
        <v>881</v>
      </c>
      <c r="AV13" s="3" t="s">
        <v>882</v>
      </c>
      <c r="AW13" s="3" t="s">
        <v>883</v>
      </c>
      <c r="AX13" s="3" t="s">
        <v>527</v>
      </c>
      <c r="AY13" s="3" t="s">
        <v>279</v>
      </c>
      <c r="AZ13" s="3" t="s">
        <v>117</v>
      </c>
      <c r="BA13" s="3" t="s">
        <v>122</v>
      </c>
      <c r="BB13" s="3" t="s">
        <v>123</v>
      </c>
      <c r="BC13" s="3" t="s">
        <v>202</v>
      </c>
      <c r="BD13" s="3" t="s">
        <v>280</v>
      </c>
      <c r="BE13" s="3" t="s">
        <v>118</v>
      </c>
      <c r="BF13" s="3" t="s">
        <v>124</v>
      </c>
      <c r="BG13" s="3" t="s">
        <v>125</v>
      </c>
      <c r="BH13" s="3" t="s">
        <v>884</v>
      </c>
      <c r="BI13" s="3" t="s">
        <v>718</v>
      </c>
      <c r="BJ13" s="3" t="s">
        <v>527</v>
      </c>
      <c r="BK13" s="3" t="s">
        <v>480</v>
      </c>
      <c r="BL13" s="3" t="s">
        <v>1283</v>
      </c>
      <c r="BM13" s="3" t="s">
        <v>202</v>
      </c>
      <c r="BN13" s="3">
        <v>6.02</v>
      </c>
      <c r="BO13" s="3">
        <v>10.25</v>
      </c>
      <c r="BP13" s="3">
        <v>11.24</v>
      </c>
      <c r="BQ13" s="3">
        <v>8.52</v>
      </c>
      <c r="BR13" s="3">
        <v>11.37</v>
      </c>
      <c r="BS13" s="3">
        <v>12.75</v>
      </c>
      <c r="BT13" s="3" t="s">
        <v>477</v>
      </c>
      <c r="BU13" s="3" t="s">
        <v>49</v>
      </c>
      <c r="BV13" s="3">
        <v>22.34</v>
      </c>
      <c r="BW13" s="3">
        <v>20.079999999999998</v>
      </c>
      <c r="BX13" s="3">
        <v>17.100000000000001</v>
      </c>
      <c r="BY13" s="3">
        <v>5.99</v>
      </c>
      <c r="BZ13" s="3">
        <v>6.8</v>
      </c>
      <c r="CA13" s="3">
        <v>8.4600000000000009</v>
      </c>
      <c r="CB13" s="3">
        <v>6.01</v>
      </c>
      <c r="CC13" s="3">
        <v>-26.68</v>
      </c>
      <c r="CD13" s="3" t="s">
        <v>1284</v>
      </c>
      <c r="CE13" s="3" t="s">
        <v>1285</v>
      </c>
      <c r="CF13" s="10">
        <v>0.21126760563380281</v>
      </c>
      <c r="CG13" s="11">
        <v>8.0124650537069346</v>
      </c>
      <c r="CH13" s="10">
        <v>0.28677773475646973</v>
      </c>
      <c r="CI13" s="10">
        <v>0.26502230763435364</v>
      </c>
      <c r="CJ13" s="10">
        <v>0.5860598087310791</v>
      </c>
      <c r="CK13" s="10">
        <v>8.4040142595767975E-2</v>
      </c>
      <c r="CL13" s="10">
        <v>0.19209553301334381</v>
      </c>
      <c r="CM13" s="11">
        <v>9.4240836799144745E-2</v>
      </c>
      <c r="CN13" s="11">
        <v>-2.0512821152806282E-2</v>
      </c>
      <c r="CO13" s="11">
        <v>2.7912516593933105</v>
      </c>
      <c r="CP13" s="11">
        <v>-0.10357460379600525</v>
      </c>
      <c r="CQ13" s="11">
        <v>0.37971583008766174</v>
      </c>
      <c r="CR13" s="3">
        <v>54.569120655521559</v>
      </c>
      <c r="CS13" s="3">
        <v>1.9296072591431295</v>
      </c>
      <c r="CT13" s="3">
        <v>1.735106998264893</v>
      </c>
      <c r="CU13" s="10">
        <v>0.28279910534620284</v>
      </c>
      <c r="CV13" s="11">
        <v>0.62822418026626115</v>
      </c>
      <c r="CW13" s="3">
        <v>0.06</v>
      </c>
      <c r="CX13" s="3">
        <v>23.240803601074866</v>
      </c>
      <c r="CY13" s="3">
        <v>252929257.56354377</v>
      </c>
      <c r="CZ13" s="3">
        <v>0.28279910534620284</v>
      </c>
      <c r="DA13" s="3">
        <v>6.4750433776858509</v>
      </c>
      <c r="DB13" s="3">
        <v>907836265.66234195</v>
      </c>
      <c r="DC13" s="3">
        <v>0.26865915007889268</v>
      </c>
      <c r="DD13" s="3">
        <v>2.5399957744311985</v>
      </c>
      <c r="DE13" s="3">
        <v>2314286999.6767492</v>
      </c>
      <c r="DF13" s="3">
        <v>0.2488632127046585</v>
      </c>
      <c r="DG13" s="3">
        <v>1.1581327766215317</v>
      </c>
      <c r="DH13" s="3">
        <v>5075652221.1105452</v>
      </c>
      <c r="DI13" s="3">
        <v>0.22623928427696227</v>
      </c>
      <c r="DJ13" s="3">
        <v>0.30690542788253844</v>
      </c>
      <c r="DK13" s="3">
        <v>19153389500.330986</v>
      </c>
      <c r="DL13" s="3">
        <v>0.19795937374234199</v>
      </c>
      <c r="DM13" s="3">
        <v>209000000</v>
      </c>
      <c r="DN13" s="3">
        <v>0.28279910534620284</v>
      </c>
      <c r="DO13" s="3">
        <v>5878279200</v>
      </c>
      <c r="DP13" s="3">
        <v>1456860700</v>
      </c>
      <c r="DQ13" s="3">
        <v>1384</v>
      </c>
      <c r="DR13" s="3">
        <v>-7.1531499712400026E-2</v>
      </c>
      <c r="DS13" s="3">
        <v>7.3842408734406737</v>
      </c>
      <c r="DT13" s="12">
        <v>0.10999999999999995</v>
      </c>
      <c r="DU13" s="3">
        <v>1.0999999999999999</v>
      </c>
      <c r="DV13" s="3">
        <v>1.2099999999999997</v>
      </c>
      <c r="DW13" s="3">
        <v>7.1838482716427041</v>
      </c>
      <c r="DX13" s="3">
        <v>0.37716512455516082</v>
      </c>
      <c r="DY13" s="3">
        <v>7.0215406056462681</v>
      </c>
      <c r="DZ13" s="3">
        <v>135</v>
      </c>
      <c r="EA13" s="3">
        <v>7.0209713061626644</v>
      </c>
      <c r="EB13" s="3">
        <v>7</v>
      </c>
      <c r="EC13" s="3">
        <v>0.16793690692724056</v>
      </c>
      <c r="ED13" s="3">
        <v>1.4333352827033234</v>
      </c>
      <c r="EE13" s="13">
        <v>-3.0083000000000002</v>
      </c>
      <c r="EF13" s="3">
        <v>-3.0020099999999998</v>
      </c>
      <c r="EG13" s="3">
        <v>26.117165124555161</v>
      </c>
      <c r="EH13" s="3" t="s">
        <v>612</v>
      </c>
      <c r="EI13" s="3">
        <v>1</v>
      </c>
      <c r="EJ13" s="3">
        <v>1</v>
      </c>
      <c r="EK13" s="15">
        <v>45505</v>
      </c>
      <c r="EL13" s="16">
        <v>-1.39</v>
      </c>
      <c r="EM13" s="16">
        <v>3.13</v>
      </c>
      <c r="EN13" s="16">
        <v>0</v>
      </c>
      <c r="EO13" s="16">
        <v>6.14</v>
      </c>
      <c r="EP13" s="16">
        <v>-1.03</v>
      </c>
    </row>
    <row r="14" spans="1:146" ht="96" x14ac:dyDescent="0.25">
      <c r="C14" s="7" t="str">
        <f>""&amp;CHAR(10)&amp;Basic_Fundamental_Information_Constructure(F14)&amp;CHAR(10)&amp;Basic_Fundamental_Information_Concatenate("")</f>
        <v xml:space="preserve">
市值51.078109亿, 利润5487.62万; PE102.1; 平均PE52.86; 平均PEG3.48, PB2.98; ROIC2.6767%; ROE2.5567%; 股利率0%; 毛利9.21%; 净利.7033%; 上一年度营收增-4.08%, 利润增-4.55%; 当季营收增20.29%, 利润增-20.83%; 过往5年营收增-15.17%, 利润增153.52%
Income profile:
</v>
      </c>
      <c r="D14" s="3" t="s">
        <v>376</v>
      </c>
      <c r="E14" s="3" t="s">
        <v>377</v>
      </c>
      <c r="F14" s="3">
        <v>4.49</v>
      </c>
      <c r="G14" s="3">
        <v>0.9</v>
      </c>
      <c r="H14" s="3" t="s">
        <v>1286</v>
      </c>
      <c r="I14" s="3">
        <v>5107810900</v>
      </c>
      <c r="J14" s="3">
        <v>102.1</v>
      </c>
      <c r="K14" s="3">
        <v>2.98</v>
      </c>
      <c r="L14" s="3" t="s">
        <v>49</v>
      </c>
      <c r="M14" s="3" t="s">
        <v>604</v>
      </c>
      <c r="N14" s="3" t="s">
        <v>885</v>
      </c>
      <c r="O14" s="3" t="s">
        <v>886</v>
      </c>
      <c r="P14" s="3">
        <v>20.32</v>
      </c>
      <c r="Q14" s="3" t="s">
        <v>902</v>
      </c>
      <c r="R14" s="3">
        <v>18515323</v>
      </c>
      <c r="S14" s="5">
        <v>-0.20830000000000001</v>
      </c>
      <c r="T14" s="3" t="s">
        <v>903</v>
      </c>
      <c r="U14" s="3">
        <v>1028519940</v>
      </c>
      <c r="V14" s="3">
        <v>1137597090</v>
      </c>
      <c r="W14" s="3">
        <v>1.97</v>
      </c>
      <c r="X14" s="3">
        <v>0.36</v>
      </c>
      <c r="Y14" s="3">
        <v>1.33</v>
      </c>
      <c r="Z14" s="3" t="s">
        <v>887</v>
      </c>
      <c r="AA14" s="3" t="s">
        <v>597</v>
      </c>
      <c r="AB14" s="3" t="s">
        <v>888</v>
      </c>
      <c r="AC14" s="3" t="s">
        <v>889</v>
      </c>
      <c r="AD14" s="3" t="s">
        <v>52</v>
      </c>
      <c r="AE14" s="3">
        <v>10999700</v>
      </c>
      <c r="AF14" s="3" t="s">
        <v>890</v>
      </c>
      <c r="AG14" s="3">
        <v>4548.21</v>
      </c>
      <c r="AH14" s="3" t="s">
        <v>891</v>
      </c>
      <c r="AI14" s="3" t="s">
        <v>583</v>
      </c>
      <c r="AJ14" s="3" t="s">
        <v>892</v>
      </c>
      <c r="AK14" s="3" t="s">
        <v>893</v>
      </c>
      <c r="AL14" s="3" t="s">
        <v>894</v>
      </c>
      <c r="AM14" s="3" t="s">
        <v>52</v>
      </c>
      <c r="AN14" s="3" t="s">
        <v>895</v>
      </c>
      <c r="AO14" s="3" t="s">
        <v>896</v>
      </c>
      <c r="AP14" s="3" t="s">
        <v>52</v>
      </c>
      <c r="AQ14" s="3" t="s">
        <v>726</v>
      </c>
      <c r="AR14" s="3" t="s">
        <v>52</v>
      </c>
      <c r="AS14" s="3" t="s">
        <v>897</v>
      </c>
      <c r="AT14" s="3" t="s">
        <v>898</v>
      </c>
      <c r="AU14" s="3" t="s">
        <v>568</v>
      </c>
      <c r="AV14" s="3" t="s">
        <v>899</v>
      </c>
      <c r="AW14" s="3" t="s">
        <v>900</v>
      </c>
      <c r="AX14" s="3" t="s">
        <v>528</v>
      </c>
      <c r="AY14" s="3" t="s">
        <v>378</v>
      </c>
      <c r="AZ14" s="3" t="s">
        <v>380</v>
      </c>
      <c r="BA14" s="3" t="s">
        <v>381</v>
      </c>
      <c r="BB14" s="3" t="s">
        <v>382</v>
      </c>
      <c r="BC14" s="3" t="s">
        <v>901</v>
      </c>
      <c r="BD14" s="3" t="s">
        <v>379</v>
      </c>
      <c r="BE14" s="3" t="s">
        <v>334</v>
      </c>
      <c r="BF14" s="3" t="s">
        <v>383</v>
      </c>
      <c r="BG14" s="3" t="s">
        <v>162</v>
      </c>
      <c r="BH14" s="3" t="s">
        <v>902</v>
      </c>
      <c r="BI14" s="3" t="s">
        <v>1287</v>
      </c>
      <c r="BJ14" s="3" t="s">
        <v>528</v>
      </c>
      <c r="BK14" s="3" t="s">
        <v>903</v>
      </c>
      <c r="BL14" s="3" t="s">
        <v>1288</v>
      </c>
      <c r="BM14" s="3" t="s">
        <v>901</v>
      </c>
      <c r="BN14" s="3">
        <v>2.74</v>
      </c>
      <c r="BO14" s="3">
        <v>3.68</v>
      </c>
      <c r="BP14" s="3">
        <v>1.61</v>
      </c>
      <c r="BQ14" s="3">
        <v>2.14</v>
      </c>
      <c r="BR14" s="3">
        <v>3.55</v>
      </c>
      <c r="BS14" s="3">
        <v>1.98</v>
      </c>
      <c r="BT14" s="3" t="s">
        <v>478</v>
      </c>
      <c r="BU14" s="3" t="s">
        <v>49</v>
      </c>
      <c r="BV14" s="3">
        <v>7.6</v>
      </c>
      <c r="BW14" s="3">
        <v>10.1</v>
      </c>
      <c r="BX14" s="3">
        <v>9.93</v>
      </c>
      <c r="BY14" s="3">
        <v>0.93</v>
      </c>
      <c r="BZ14" s="3">
        <v>0.91</v>
      </c>
      <c r="CA14" s="3">
        <v>0.27</v>
      </c>
      <c r="CB14" s="3">
        <v>7.93</v>
      </c>
      <c r="CC14" s="3">
        <v>-2.81</v>
      </c>
      <c r="CD14" s="3" t="s">
        <v>162</v>
      </c>
      <c r="CE14" s="3" t="s">
        <v>1289</v>
      </c>
      <c r="CF14" s="10">
        <v>0.20287081339712931</v>
      </c>
      <c r="CG14" s="11">
        <v>-0.2083442861968266</v>
      </c>
      <c r="CH14" s="10">
        <v>-4.0820237249135971E-2</v>
      </c>
      <c r="CI14" s="10">
        <v>-0.18444304168224335</v>
      </c>
      <c r="CJ14" s="10">
        <v>-0.39162987470626831</v>
      </c>
      <c r="CK14" s="10">
        <v>-0.12820085883140564</v>
      </c>
      <c r="CL14" s="10">
        <v>-1.3538033701479435E-2</v>
      </c>
      <c r="CM14" s="11">
        <v>-4.5461978763341904E-2</v>
      </c>
      <c r="CN14" s="11">
        <v>0.9946291446685791</v>
      </c>
      <c r="CO14" s="11">
        <v>-0.89285391569137573</v>
      </c>
      <c r="CP14" s="11">
        <v>8.4169864654541016</v>
      </c>
      <c r="CQ14" s="11">
        <v>-0.79740852117538452</v>
      </c>
      <c r="CR14" s="3">
        <v>52.861871170464283</v>
      </c>
      <c r="CS14" s="3">
        <v>3.484025716900804</v>
      </c>
      <c r="CT14" s="3">
        <v>0</v>
      </c>
      <c r="CU14" s="10">
        <v>-0.15172640923410655</v>
      </c>
      <c r="CV14" s="11">
        <v>1.5351782388985158</v>
      </c>
      <c r="CW14" s="3">
        <v>0.06</v>
      </c>
      <c r="CX14" s="3">
        <v>97.834961240027553</v>
      </c>
      <c r="CY14" s="3" t="s">
        <v>1290</v>
      </c>
      <c r="CZ14" s="3">
        <v>-0.15172640923410655</v>
      </c>
      <c r="DA14" s="3">
        <v>32.611653746675849</v>
      </c>
      <c r="DB14" s="3" t="s">
        <v>1291</v>
      </c>
      <c r="DC14" s="3">
        <v>-0.14414008877240123</v>
      </c>
      <c r="DD14" s="3">
        <v>16.305826873337924</v>
      </c>
      <c r="DE14" s="3" t="s">
        <v>1292</v>
      </c>
      <c r="DF14" s="3">
        <v>-0.13351924012601377</v>
      </c>
      <c r="DG14" s="3">
        <v>9.783496124002756</v>
      </c>
      <c r="DH14" s="3" t="s">
        <v>1293</v>
      </c>
      <c r="DI14" s="3">
        <v>-0.12138112738728524</v>
      </c>
      <c r="DJ14" s="3">
        <v>4.891748062001378</v>
      </c>
      <c r="DK14" s="3" t="s">
        <v>1294</v>
      </c>
      <c r="DL14" s="3">
        <v>-0.10620848646387458</v>
      </c>
      <c r="DM14" s="3">
        <v>54876200</v>
      </c>
      <c r="DN14" s="3">
        <v>-0.15172640923410655</v>
      </c>
      <c r="DO14" s="3">
        <v>5368810900</v>
      </c>
      <c r="DP14" s="3">
        <v>743023300</v>
      </c>
      <c r="DQ14" s="3">
        <v>1618</v>
      </c>
      <c r="DR14" s="3">
        <v>0.35459722263123583</v>
      </c>
      <c r="DS14" s="3">
        <v>-1.7435225250953423</v>
      </c>
      <c r="DT14" s="12">
        <v>-0.72333333333333327</v>
      </c>
      <c r="DU14" s="3">
        <v>6.6666666666666652E-2</v>
      </c>
      <c r="DV14" s="3">
        <v>-0.65666666666666662</v>
      </c>
      <c r="DW14" s="3">
        <v>5.354350567465322</v>
      </c>
      <c r="DX14" s="3">
        <v>0.48123393316195545</v>
      </c>
      <c r="DY14" s="3">
        <v>5.0642203470599103</v>
      </c>
      <c r="DZ14" s="3">
        <v>3187</v>
      </c>
      <c r="EA14" s="3">
        <v>5.0241517789158356</v>
      </c>
      <c r="EB14" s="3">
        <v>5</v>
      </c>
      <c r="EC14" s="3">
        <v>0.12394546473391559</v>
      </c>
      <c r="ED14" s="3">
        <v>0.68389767065947749</v>
      </c>
      <c r="EE14" s="13">
        <v>1.04131</v>
      </c>
      <c r="EF14" s="3">
        <v>1.0323100000000001</v>
      </c>
      <c r="EG14" s="3">
        <v>30.181233933161955</v>
      </c>
      <c r="EH14" s="3" t="s">
        <v>331</v>
      </c>
      <c r="EI14" s="3">
        <v>1</v>
      </c>
      <c r="EJ14" s="3">
        <v>0</v>
      </c>
      <c r="EK14" s="15">
        <v>45505</v>
      </c>
      <c r="EL14" s="16">
        <v>-0.24</v>
      </c>
      <c r="EM14" s="16">
        <v>1.44</v>
      </c>
      <c r="EN14" s="16">
        <v>1.9</v>
      </c>
      <c r="EO14" s="16">
        <v>2.06</v>
      </c>
      <c r="EP14" s="16">
        <v>0.9</v>
      </c>
    </row>
    <row r="15" spans="1:146" ht="192" x14ac:dyDescent="0.25">
      <c r="C15" s="7" t="str">
        <f>"公司的主营业务是电子元器件的代理（技术）分销业务、芯片自研以及智能电网产品的研发、生产及销售。公司主要产品是电子元器件、结构模块器件（模组）、含嵌入式软件的芯片及套件、用电信息采集及控制系统产品、其他产品、自研芯片、其他业务（外协加工等其他）。"&amp;CHAR(10)&amp;Basic_Fundamental_Information_Constructure(F15)&amp;CHAR(10)&amp;Basic_Fundamental_Information_Concatenate("电子元器件代理分销(模组) 75.45亿 93.86% 87.51% 9.15%
电力计量采集解决方案 3.96亿 4.92% 11.13% 22.19%
外协加工 4086.15万 0.51% -0.66% -12.79%
自研芯片 3373.25万 0.42% 0.38% 8.85%
其他业务 2369.59万 0.29% 1.65% 54.77%")</f>
        <v>公司的主营业务是电子元器件的代理（技术）分销业务、芯片自研以及智能电网产品的研发、生产及销售。公司主要产品是电子元器件、结构模块器件（模组）、含嵌入式软件的芯片及套件、用电信息采集及控制系统产品、其他产品、自研芯片、其他业务（外协加工等其他）。
市值55.854177亿, 利润6635.27万; PE82.06; 平均PE-56.93; 平均PEG-5.96, PB1.53; ROIC5.5867%; ROE6.1833%; 股利率0%; 毛利9.1267%; 净利2.2833%; 上一年度营收增-26.06%, 利润增-70.51%; 当季营收增29.7%, 利润增5.11%; 过往5年营收增-9.55%, 利润增-205.84%
Income profile:
电子元器件代理分销(模组) 75.45亿 93.86% 87.51% 9.15%
电力计量采集解决方案 3.96亿 4.92% 11.13% 22.19%
外协加工 4086.15万 0.51% -0.66% -12.79%
自研芯片 3373.25万 0.42% 0.38% 8.85%
其他业务 2369.59万 0.29% 1.65% 54.77%</v>
      </c>
      <c r="D15" s="3" t="s">
        <v>127</v>
      </c>
      <c r="E15" s="3" t="s">
        <v>128</v>
      </c>
      <c r="F15" s="3">
        <v>4.84</v>
      </c>
      <c r="G15" s="3">
        <v>2.98</v>
      </c>
      <c r="H15" s="3" t="s">
        <v>1295</v>
      </c>
      <c r="I15" s="3">
        <v>5585417700</v>
      </c>
      <c r="J15" s="3">
        <v>82.06</v>
      </c>
      <c r="K15" s="3">
        <v>1.53</v>
      </c>
      <c r="L15" s="3" t="s">
        <v>49</v>
      </c>
      <c r="M15" s="3" t="s">
        <v>904</v>
      </c>
      <c r="N15" s="3" t="s">
        <v>905</v>
      </c>
      <c r="O15" s="3" t="s">
        <v>906</v>
      </c>
      <c r="P15" s="3">
        <v>29.69</v>
      </c>
      <c r="Q15" s="3" t="s">
        <v>922</v>
      </c>
      <c r="R15" s="3">
        <v>35243651</v>
      </c>
      <c r="S15" s="5">
        <v>5.11E-2</v>
      </c>
      <c r="T15" s="3" t="s">
        <v>923</v>
      </c>
      <c r="U15" s="3">
        <v>1048391180</v>
      </c>
      <c r="V15" s="3">
        <v>1154011920</v>
      </c>
      <c r="W15" s="3">
        <v>1.59</v>
      </c>
      <c r="X15" s="3">
        <v>0.27</v>
      </c>
      <c r="Y15" s="3">
        <v>2.29</v>
      </c>
      <c r="Z15" s="3" t="s">
        <v>907</v>
      </c>
      <c r="AA15" s="3" t="s">
        <v>908</v>
      </c>
      <c r="AB15" s="3" t="s">
        <v>909</v>
      </c>
      <c r="AC15" s="3" t="s">
        <v>910</v>
      </c>
      <c r="AD15" s="3" t="s">
        <v>52</v>
      </c>
      <c r="AE15" s="3">
        <v>13923140</v>
      </c>
      <c r="AF15" s="3" t="s">
        <v>911</v>
      </c>
      <c r="AG15" s="3" t="s">
        <v>912</v>
      </c>
      <c r="AH15" s="3" t="s">
        <v>913</v>
      </c>
      <c r="AI15" s="3" t="s">
        <v>914</v>
      </c>
      <c r="AJ15" s="3" t="s">
        <v>915</v>
      </c>
      <c r="AK15" s="3" t="s">
        <v>52</v>
      </c>
      <c r="AL15" s="3" t="s">
        <v>916</v>
      </c>
      <c r="AM15" s="3" t="s">
        <v>52</v>
      </c>
      <c r="AN15" s="3" t="s">
        <v>917</v>
      </c>
      <c r="AO15" s="3" t="s">
        <v>838</v>
      </c>
      <c r="AP15" s="3" t="s">
        <v>578</v>
      </c>
      <c r="AQ15" s="3" t="s">
        <v>594</v>
      </c>
      <c r="AR15" s="3" t="s">
        <v>52</v>
      </c>
      <c r="AS15" s="3" t="s">
        <v>918</v>
      </c>
      <c r="AT15" s="3" t="s">
        <v>52</v>
      </c>
      <c r="AU15" s="3" t="s">
        <v>919</v>
      </c>
      <c r="AV15" s="3" t="s">
        <v>920</v>
      </c>
      <c r="AW15" s="3" t="s">
        <v>921</v>
      </c>
      <c r="AX15" s="3" t="s">
        <v>531</v>
      </c>
      <c r="AY15" s="3" t="s">
        <v>281</v>
      </c>
      <c r="AZ15" s="3" t="s">
        <v>129</v>
      </c>
      <c r="BA15" s="3" t="s">
        <v>131</v>
      </c>
      <c r="BB15" s="3" t="s">
        <v>132</v>
      </c>
      <c r="BC15" s="3" t="s">
        <v>360</v>
      </c>
      <c r="BD15" s="3" t="s">
        <v>282</v>
      </c>
      <c r="BE15" s="3" t="s">
        <v>130</v>
      </c>
      <c r="BF15" s="3" t="s">
        <v>133</v>
      </c>
      <c r="BG15" s="3" t="s">
        <v>94</v>
      </c>
      <c r="BH15" s="3" t="s">
        <v>922</v>
      </c>
      <c r="BI15" s="3" t="s">
        <v>1296</v>
      </c>
      <c r="BJ15" s="3" t="s">
        <v>531</v>
      </c>
      <c r="BK15" s="3" t="s">
        <v>923</v>
      </c>
      <c r="BL15" s="3" t="s">
        <v>1297</v>
      </c>
      <c r="BM15" s="3" t="s">
        <v>360</v>
      </c>
      <c r="BN15" s="3">
        <v>2.2799999999999998</v>
      </c>
      <c r="BO15" s="3">
        <v>5.97</v>
      </c>
      <c r="BP15" s="3">
        <v>8.51</v>
      </c>
      <c r="BQ15" s="3">
        <v>2.12</v>
      </c>
      <c r="BR15" s="3">
        <v>6.58</v>
      </c>
      <c r="BS15" s="3">
        <v>9.85</v>
      </c>
      <c r="BT15" s="3" t="s">
        <v>478</v>
      </c>
      <c r="BU15" s="3" t="s">
        <v>49</v>
      </c>
      <c r="BV15" s="3">
        <v>9.4700000000000006</v>
      </c>
      <c r="BW15" s="3">
        <v>9.81</v>
      </c>
      <c r="BX15" s="3">
        <v>8.1</v>
      </c>
      <c r="BY15" s="3">
        <v>1.1200000000000001</v>
      </c>
      <c r="BZ15" s="3">
        <v>2.8</v>
      </c>
      <c r="CA15" s="3">
        <v>2.93</v>
      </c>
      <c r="CB15" s="3">
        <v>10</v>
      </c>
      <c r="CC15" s="3">
        <v>-1.22</v>
      </c>
      <c r="CD15" s="3" t="s">
        <v>1298</v>
      </c>
      <c r="CE15" s="3" t="s">
        <v>1299</v>
      </c>
      <c r="CF15" s="10">
        <v>0.2970464135021097</v>
      </c>
      <c r="CG15" s="11">
        <v>5.11393420620955E-2</v>
      </c>
      <c r="CH15" s="10">
        <v>-0.26060456037521362</v>
      </c>
      <c r="CI15" s="10">
        <v>-0.23012834787368774</v>
      </c>
      <c r="CJ15" s="10">
        <v>7.9150451347231865E-3</v>
      </c>
      <c r="CK15" s="10">
        <v>-0.21108739078044891</v>
      </c>
      <c r="CL15" s="10">
        <v>0.21626383066177368</v>
      </c>
      <c r="CM15" s="11">
        <v>-0.70509910583496094</v>
      </c>
      <c r="CN15" s="11">
        <v>-0.26470589637756348</v>
      </c>
      <c r="CO15" s="11">
        <v>1.1763688325881958</v>
      </c>
      <c r="CP15" s="11">
        <v>-10.036458969116211</v>
      </c>
      <c r="CQ15" s="11">
        <v>-0.46218487620353699</v>
      </c>
      <c r="CR15" s="3">
        <v>-56.931385228472102</v>
      </c>
      <c r="CS15" s="3">
        <v>-5.959636503377312</v>
      </c>
      <c r="CT15" s="3">
        <v>0</v>
      </c>
      <c r="CU15" s="10">
        <v>-9.5528284646570677E-2</v>
      </c>
      <c r="CV15" s="11">
        <v>-2.0584160029888152</v>
      </c>
      <c r="CW15" s="3">
        <v>0.06</v>
      </c>
      <c r="CX15" s="3">
        <v>58.406330111660864</v>
      </c>
      <c r="CY15" s="3" t="s">
        <v>1300</v>
      </c>
      <c r="CZ15" s="3">
        <v>-9.5528284646570677E-2</v>
      </c>
      <c r="DA15" s="3">
        <v>19.468776703886956</v>
      </c>
      <c r="DB15" s="3" t="s">
        <v>1301</v>
      </c>
      <c r="DC15" s="3">
        <v>-9.0751870414242139E-2</v>
      </c>
      <c r="DD15" s="3">
        <v>9.734388351943478</v>
      </c>
      <c r="DE15" s="3" t="s">
        <v>1302</v>
      </c>
      <c r="DF15" s="3">
        <v>-8.4064890488982191E-2</v>
      </c>
      <c r="DG15" s="3">
        <v>5.8406330111660862</v>
      </c>
      <c r="DH15" s="3" t="s">
        <v>1303</v>
      </c>
      <c r="DI15" s="3">
        <v>-7.6422627717256553E-2</v>
      </c>
      <c r="DJ15" s="3">
        <v>2.9203165055830431</v>
      </c>
      <c r="DK15" s="3" t="s">
        <v>1304</v>
      </c>
      <c r="DL15" s="3">
        <v>-6.6869799252599463E-2</v>
      </c>
      <c r="DM15" s="3">
        <v>66352700.000000007</v>
      </c>
      <c r="DN15" s="3">
        <v>-9.5528284646570677E-2</v>
      </c>
      <c r="DO15" s="3">
        <v>3875417700</v>
      </c>
      <c r="DP15" s="3">
        <v>2731856400</v>
      </c>
      <c r="DQ15" s="3">
        <v>1669</v>
      </c>
      <c r="DR15" s="3">
        <v>0.3925746981486804</v>
      </c>
      <c r="DS15" s="3">
        <v>2.1095553450509108</v>
      </c>
      <c r="DT15" s="12">
        <v>-0.77333333333333332</v>
      </c>
      <c r="DU15" s="3">
        <v>-1.4066666666666665</v>
      </c>
      <c r="DV15" s="3">
        <v>-2.1799999999999997</v>
      </c>
      <c r="DW15" s="3">
        <v>5.1219999999999999</v>
      </c>
      <c r="DX15" s="3">
        <v>0.94157894736842707</v>
      </c>
      <c r="DY15" s="3">
        <v>5.0233726315789475</v>
      </c>
      <c r="DZ15" s="3">
        <v>4492</v>
      </c>
      <c r="EA15" s="3">
        <v>5.0028186258912752</v>
      </c>
      <c r="EB15" s="3">
        <v>5</v>
      </c>
      <c r="EC15" s="3">
        <v>0.15771067598677838</v>
      </c>
      <c r="ED15" s="3">
        <v>0.82321506696395308</v>
      </c>
      <c r="EE15" s="13">
        <v>-2.0219100000000001</v>
      </c>
      <c r="EF15" s="3">
        <v>-2.0078999999999998</v>
      </c>
      <c r="EG15" s="3">
        <v>75.191578947368427</v>
      </c>
      <c r="EH15" s="3" t="s">
        <v>530</v>
      </c>
      <c r="EI15" s="3">
        <v>1</v>
      </c>
      <c r="EJ15" s="3">
        <v>0</v>
      </c>
      <c r="EK15" s="15">
        <v>45505</v>
      </c>
      <c r="EL15" s="16">
        <v>0</v>
      </c>
      <c r="EM15" s="16">
        <v>1.82</v>
      </c>
      <c r="EN15" s="16">
        <v>0.45</v>
      </c>
      <c r="EO15" s="16">
        <v>3.07</v>
      </c>
      <c r="EP15" s="16">
        <v>2.98</v>
      </c>
    </row>
    <row r="16" spans="1:146" ht="120" x14ac:dyDescent="0.25">
      <c r="A16" s="7" t="s">
        <v>608</v>
      </c>
      <c r="B16" s="7" t="s">
        <v>616</v>
      </c>
      <c r="C16" s="7" t="str">
        <f>"公司的主营业务是电子元器件分销。公司的主要产品和服务是半导体分销及半导体投资。"&amp;CHAR(10)&amp;Basic_Fundamental_Information_Constructure(F16)&amp;CHAR(10)&amp;Basic_Fundamental_Information_Concatenate("集成电路(含存储器) 42.13亿 97.24% 83.70% 3.91%
其他业务 1.20亿 2.76% 16.30% 26.79%")</f>
        <v>公司的主营业务是电子元器件分销。公司的主要产品和服务是半导体分销及半导体投资。
市值131.550158亿, 利润3.78亿; PE42.94; 平均PE73.19; 平均PEG.11, PB4.97; ROIC10.1633%; ROE14.2867%; 股利率.5774%; 毛利4.6967%; 净利2.6733%; 上一年度营收增-18.18%, 利润增20.38%; 当季营收增46.88%, 利润增-83.49%; 过往5年营收增678.29%, 利润增80.3%
Income profile:
集成电路(含存储器) 42.13亿 97.24% 83.70% 3.91%
其他业务 1.20亿 2.76% 16.30% 26.79%</v>
      </c>
      <c r="D16" s="3" t="s">
        <v>135</v>
      </c>
      <c r="E16" s="3" t="s">
        <v>283</v>
      </c>
      <c r="F16" s="3">
        <v>28.75</v>
      </c>
      <c r="G16" s="3">
        <v>-0.96</v>
      </c>
      <c r="H16" s="3" t="s">
        <v>1305</v>
      </c>
      <c r="I16" s="3">
        <v>13155015800</v>
      </c>
      <c r="J16" s="3">
        <v>42.94</v>
      </c>
      <c r="K16" s="3">
        <v>4.97</v>
      </c>
      <c r="L16" s="3" t="s">
        <v>49</v>
      </c>
      <c r="M16" s="3" t="s">
        <v>924</v>
      </c>
      <c r="N16" s="3" t="s">
        <v>925</v>
      </c>
      <c r="O16" s="3" t="s">
        <v>926</v>
      </c>
      <c r="P16" s="3">
        <v>46.86</v>
      </c>
      <c r="Q16" s="3" t="s">
        <v>942</v>
      </c>
      <c r="R16" s="3">
        <v>14098215</v>
      </c>
      <c r="S16" s="5">
        <v>-0.83489999999999998</v>
      </c>
      <c r="T16" s="3" t="s">
        <v>943</v>
      </c>
      <c r="U16" s="3">
        <v>440240770</v>
      </c>
      <c r="V16" s="3">
        <v>457565770</v>
      </c>
      <c r="W16" s="3">
        <v>2</v>
      </c>
      <c r="X16" s="3">
        <v>0.46</v>
      </c>
      <c r="Y16" s="3">
        <v>0.46</v>
      </c>
      <c r="Z16" s="3" t="s">
        <v>927</v>
      </c>
      <c r="AA16" s="3" t="s">
        <v>928</v>
      </c>
      <c r="AB16" s="3" t="s">
        <v>929</v>
      </c>
      <c r="AC16" s="3" t="s">
        <v>930</v>
      </c>
      <c r="AD16" s="3" t="s">
        <v>52</v>
      </c>
      <c r="AE16" s="3">
        <v>28365532</v>
      </c>
      <c r="AF16" s="3" t="s">
        <v>931</v>
      </c>
      <c r="AG16" s="3" t="s">
        <v>932</v>
      </c>
      <c r="AH16" s="3" t="s">
        <v>933</v>
      </c>
      <c r="AI16" s="3" t="s">
        <v>934</v>
      </c>
      <c r="AJ16" s="3" t="s">
        <v>935</v>
      </c>
      <c r="AK16" s="3" t="s">
        <v>134</v>
      </c>
      <c r="AL16" s="3" t="s">
        <v>936</v>
      </c>
      <c r="AM16" s="3" t="s">
        <v>52</v>
      </c>
      <c r="AN16" s="3">
        <v>0</v>
      </c>
      <c r="AO16" s="3" t="s">
        <v>937</v>
      </c>
      <c r="AP16" s="3" t="s">
        <v>585</v>
      </c>
      <c r="AQ16" s="3" t="s">
        <v>938</v>
      </c>
      <c r="AR16" s="3" t="s">
        <v>52</v>
      </c>
      <c r="AS16" s="3" t="s">
        <v>939</v>
      </c>
      <c r="AT16" s="3" t="s">
        <v>536</v>
      </c>
      <c r="AU16" s="3" t="s">
        <v>940</v>
      </c>
      <c r="AV16" s="3" t="s">
        <v>941</v>
      </c>
      <c r="AW16" s="3" t="s">
        <v>126</v>
      </c>
      <c r="AX16" s="3" t="s">
        <v>533</v>
      </c>
      <c r="AY16" s="3" t="s">
        <v>284</v>
      </c>
      <c r="AZ16" s="3" t="s">
        <v>136</v>
      </c>
      <c r="BA16" s="3" t="s">
        <v>93</v>
      </c>
      <c r="BB16" s="3" t="s">
        <v>140</v>
      </c>
      <c r="BC16" s="3" t="s">
        <v>534</v>
      </c>
      <c r="BD16" s="3" t="s">
        <v>89</v>
      </c>
      <c r="BE16" s="3" t="s">
        <v>137</v>
      </c>
      <c r="BF16" s="3" t="s">
        <v>143</v>
      </c>
      <c r="BG16" s="3" t="s">
        <v>144</v>
      </c>
      <c r="BH16" s="3" t="s">
        <v>942</v>
      </c>
      <c r="BI16" s="3" t="s">
        <v>1306</v>
      </c>
      <c r="BJ16" s="3" t="s">
        <v>533</v>
      </c>
      <c r="BK16" s="3" t="s">
        <v>943</v>
      </c>
      <c r="BL16" s="3" t="s">
        <v>1307</v>
      </c>
      <c r="BM16" s="3" t="s">
        <v>534</v>
      </c>
      <c r="BN16" s="3">
        <v>7.02</v>
      </c>
      <c r="BO16" s="3">
        <v>11.93</v>
      </c>
      <c r="BP16" s="3">
        <v>11.54</v>
      </c>
      <c r="BQ16" s="3">
        <v>9.34</v>
      </c>
      <c r="BR16" s="3">
        <v>18.03</v>
      </c>
      <c r="BS16" s="3">
        <v>15.49</v>
      </c>
      <c r="BT16" s="3" t="s">
        <v>944</v>
      </c>
      <c r="BU16" s="3" t="s">
        <v>49</v>
      </c>
      <c r="BV16" s="3">
        <v>5.8</v>
      </c>
      <c r="BW16" s="3">
        <v>4.42</v>
      </c>
      <c r="BX16" s="3">
        <v>3.87</v>
      </c>
      <c r="BY16" s="3">
        <v>3.33</v>
      </c>
      <c r="BZ16" s="3">
        <v>2.2799999999999998</v>
      </c>
      <c r="CA16" s="3">
        <v>2.41</v>
      </c>
      <c r="CB16" s="3">
        <v>6.68</v>
      </c>
      <c r="CC16" s="3">
        <v>-13.6</v>
      </c>
      <c r="CD16" s="3" t="s">
        <v>1308</v>
      </c>
      <c r="CE16" s="3" t="s">
        <v>1309</v>
      </c>
      <c r="CF16" s="10">
        <v>0.46875</v>
      </c>
      <c r="CG16" s="11">
        <v>-0.83494914385125274</v>
      </c>
      <c r="CH16" s="10">
        <v>-0.18181821703910828</v>
      </c>
      <c r="CI16" s="10">
        <v>0.49598097801208496</v>
      </c>
      <c r="CJ16" s="10">
        <v>33.739620208740234</v>
      </c>
      <c r="CK16" s="10">
        <v>-0.11960133165121078</v>
      </c>
      <c r="CL16" s="10">
        <v>-1.9543973729014397E-2</v>
      </c>
      <c r="CM16" s="11">
        <v>0.20382165908813477</v>
      </c>
      <c r="CN16" s="11">
        <v>0.40178570151329041</v>
      </c>
      <c r="CO16" s="11">
        <v>2.4795901775360107</v>
      </c>
      <c r="CP16" s="11">
        <v>-3.5585316363722086E-3</v>
      </c>
      <c r="CQ16" s="11">
        <v>0.9334452748298645</v>
      </c>
      <c r="CR16" s="3">
        <v>73.19217248072205</v>
      </c>
      <c r="CS16" s="3">
        <v>0.10790646387724212</v>
      </c>
      <c r="CT16" s="3">
        <v>0.57739130434782604</v>
      </c>
      <c r="CU16" s="10">
        <v>6.782927532866597</v>
      </c>
      <c r="CV16" s="11">
        <v>0.80301685626618569</v>
      </c>
      <c r="CW16" s="3">
        <v>0.06</v>
      </c>
      <c r="CX16" s="3">
        <v>4.448339312133478</v>
      </c>
      <c r="CY16" s="3">
        <v>2775421327.7580886</v>
      </c>
      <c r="CZ16" s="3">
        <v>6.782927532866597</v>
      </c>
      <c r="DA16" s="3">
        <v>8.1117042995208152E-2</v>
      </c>
      <c r="DB16" s="3">
        <v>152200022882.1127</v>
      </c>
      <c r="DC16" s="3">
        <v>6.4437811562232667</v>
      </c>
      <c r="DD16" s="3">
        <v>3.4292958889852116E-4</v>
      </c>
      <c r="DE16" s="3">
        <v>36001605576395.453</v>
      </c>
      <c r="DF16" s="3">
        <v>5.9689762289226058</v>
      </c>
      <c r="DG16" s="3">
        <v>4.0660230838273073E-7</v>
      </c>
      <c r="DH16" s="3">
        <v>3.0363860572033E+16</v>
      </c>
      <c r="DI16" s="3">
        <v>5.4263420262932778</v>
      </c>
      <c r="DJ16" s="3">
        <v>5.510796489602875E-14</v>
      </c>
      <c r="DK16" s="3">
        <v>2.2403323772331307E+23</v>
      </c>
      <c r="DL16" s="3">
        <v>4.7480492730066173</v>
      </c>
      <c r="DM16" s="3">
        <v>378000000</v>
      </c>
      <c r="DN16" s="3">
        <v>6.782927532866597</v>
      </c>
      <c r="DO16" s="3">
        <v>12346015800</v>
      </c>
      <c r="DP16" s="3">
        <v>1698995900</v>
      </c>
      <c r="DQ16" s="3">
        <v>1942</v>
      </c>
      <c r="DR16" s="3">
        <v>-6.314177532866597</v>
      </c>
      <c r="DS16" s="3">
        <v>-1.6379660001174385</v>
      </c>
      <c r="DT16" s="12">
        <v>-5.8333333333333272E-2</v>
      </c>
      <c r="DU16" s="3">
        <v>0.50833333333333319</v>
      </c>
      <c r="DV16" s="3">
        <v>0.4499999999999999</v>
      </c>
      <c r="DW16" s="3">
        <v>7.3293885601577911</v>
      </c>
      <c r="DX16" s="3">
        <v>0.41170308641975484</v>
      </c>
      <c r="DY16" s="3">
        <v>7.0433814900041396</v>
      </c>
      <c r="DZ16" s="3">
        <v>851</v>
      </c>
      <c r="EA16" s="3">
        <v>7.0361540726209126</v>
      </c>
      <c r="EB16" s="3">
        <v>7</v>
      </c>
      <c r="EC16" s="3">
        <v>9.3258287218469155E-2</v>
      </c>
      <c r="ED16" s="3">
        <v>0.70809492589447853</v>
      </c>
      <c r="EE16" s="13">
        <v>8.0371000000000006</v>
      </c>
      <c r="EF16" s="3">
        <v>8.0274999999999999</v>
      </c>
      <c r="EG16" s="3">
        <v>28.131703086419755</v>
      </c>
      <c r="EH16" s="3" t="s">
        <v>1310</v>
      </c>
      <c r="EI16" s="3">
        <v>1</v>
      </c>
      <c r="EJ16" s="3">
        <v>1</v>
      </c>
      <c r="EK16" s="15">
        <v>45505</v>
      </c>
      <c r="EL16" s="16">
        <v>-3.75</v>
      </c>
      <c r="EM16" s="16">
        <v>1.45</v>
      </c>
      <c r="EN16" s="16">
        <v>-0.33</v>
      </c>
      <c r="EO16" s="16">
        <v>6.73</v>
      </c>
      <c r="EP16" s="16">
        <v>-0.96</v>
      </c>
    </row>
    <row r="17" spans="1:146" ht="96" x14ac:dyDescent="0.25">
      <c r="C17" s="7" t="str">
        <f>""&amp;CHAR(10)&amp;Basic_Fundamental_Information_Constructure(F17)&amp;CHAR(10)&amp;Basic_Fundamental_Information_Concatenate("")</f>
        <v xml:space="preserve">
市值40.570117亿, 利润3563.22万; PE101.8; 平均PE102.22; 平均PEG16.41, PB3.78; ROIC5.1133%; ROE5.5067%; 股利率.4353%; 毛利10.6233%; 净利2.4067%; 上一年度营收增2.76%, 利润增-34.15%; 当季营收增33.57%, 利润增52.85%; 过往5年营收增6.23%, 利润增25.51%
Income profile:
</v>
      </c>
      <c r="D17" s="3" t="s">
        <v>145</v>
      </c>
      <c r="E17" s="3" t="s">
        <v>146</v>
      </c>
      <c r="F17" s="3">
        <v>8.0399999999999991</v>
      </c>
      <c r="G17" s="3">
        <v>0.5</v>
      </c>
      <c r="H17" s="3" t="s">
        <v>1311</v>
      </c>
      <c r="I17" s="3">
        <v>4057011700</v>
      </c>
      <c r="J17" s="3">
        <v>101.8</v>
      </c>
      <c r="K17" s="3">
        <v>3.78</v>
      </c>
      <c r="L17" s="3" t="s">
        <v>49</v>
      </c>
      <c r="M17" s="3" t="s">
        <v>945</v>
      </c>
      <c r="N17" s="3" t="s">
        <v>489</v>
      </c>
      <c r="O17" s="3" t="s">
        <v>269</v>
      </c>
      <c r="P17" s="3">
        <v>33.6</v>
      </c>
      <c r="Q17" s="3" t="s">
        <v>959</v>
      </c>
      <c r="R17" s="3">
        <v>12161448</v>
      </c>
      <c r="S17" s="5">
        <v>0.52849999999999997</v>
      </c>
      <c r="T17" s="3" t="s">
        <v>960</v>
      </c>
      <c r="U17" s="3">
        <v>500993050</v>
      </c>
      <c r="V17" s="3">
        <v>504603450</v>
      </c>
      <c r="W17" s="3">
        <v>1.57</v>
      </c>
      <c r="X17" s="3">
        <v>0.33</v>
      </c>
      <c r="Y17" s="3">
        <v>2.15</v>
      </c>
      <c r="Z17" s="3" t="s">
        <v>82</v>
      </c>
      <c r="AA17" s="3" t="s">
        <v>946</v>
      </c>
      <c r="AB17" s="3" t="s">
        <v>947</v>
      </c>
      <c r="AC17" s="3" t="s">
        <v>948</v>
      </c>
      <c r="AD17" s="3" t="s">
        <v>52</v>
      </c>
      <c r="AE17" s="3">
        <v>-85886</v>
      </c>
      <c r="AF17" s="3" t="s">
        <v>949</v>
      </c>
      <c r="AG17" s="3" t="s">
        <v>52</v>
      </c>
      <c r="AH17" s="3" t="s">
        <v>950</v>
      </c>
      <c r="AI17" s="3" t="s">
        <v>951</v>
      </c>
      <c r="AJ17" s="3" t="s">
        <v>952</v>
      </c>
      <c r="AK17" s="3" t="s">
        <v>953</v>
      </c>
      <c r="AL17" s="3" t="s">
        <v>954</v>
      </c>
      <c r="AM17" s="3" t="s">
        <v>52</v>
      </c>
      <c r="AN17" s="3">
        <v>0</v>
      </c>
      <c r="AO17" s="3" t="s">
        <v>615</v>
      </c>
      <c r="AP17" s="3" t="s">
        <v>955</v>
      </c>
      <c r="AQ17" s="3" t="s">
        <v>513</v>
      </c>
      <c r="AR17" s="3" t="s">
        <v>52</v>
      </c>
      <c r="AS17" s="3" t="s">
        <v>661</v>
      </c>
      <c r="AT17" s="3" t="s">
        <v>52</v>
      </c>
      <c r="AU17" s="3" t="s">
        <v>956</v>
      </c>
      <c r="AV17" s="3" t="s">
        <v>957</v>
      </c>
      <c r="AW17" s="3" t="s">
        <v>958</v>
      </c>
      <c r="AX17" s="3" t="s">
        <v>537</v>
      </c>
      <c r="AY17" s="3" t="s">
        <v>285</v>
      </c>
      <c r="AZ17" s="3" t="s">
        <v>147</v>
      </c>
      <c r="BA17" s="3" t="s">
        <v>150</v>
      </c>
      <c r="BB17" s="3" t="s">
        <v>151</v>
      </c>
      <c r="BC17" s="3" t="s">
        <v>538</v>
      </c>
      <c r="BD17" s="3" t="s">
        <v>286</v>
      </c>
      <c r="BE17" s="3" t="s">
        <v>148</v>
      </c>
      <c r="BF17" s="3" t="s">
        <v>152</v>
      </c>
      <c r="BG17" s="3" t="s">
        <v>153</v>
      </c>
      <c r="BH17" s="3" t="s">
        <v>959</v>
      </c>
      <c r="BI17" s="3" t="s">
        <v>315</v>
      </c>
      <c r="BJ17" s="3" t="s">
        <v>537</v>
      </c>
      <c r="BK17" s="3" t="s">
        <v>960</v>
      </c>
      <c r="BL17" s="3" t="s">
        <v>1312</v>
      </c>
      <c r="BM17" s="3" t="s">
        <v>538</v>
      </c>
      <c r="BN17" s="3">
        <v>2.91</v>
      </c>
      <c r="BO17" s="3">
        <v>5.54</v>
      </c>
      <c r="BP17" s="3">
        <v>6.89</v>
      </c>
      <c r="BQ17" s="3">
        <v>3.07</v>
      </c>
      <c r="BR17" s="3">
        <v>5.9</v>
      </c>
      <c r="BS17" s="3">
        <v>7.55</v>
      </c>
      <c r="BT17" s="3" t="s">
        <v>479</v>
      </c>
      <c r="BU17" s="3" t="s">
        <v>49</v>
      </c>
      <c r="BV17" s="3">
        <v>9.57</v>
      </c>
      <c r="BW17" s="3">
        <v>10.48</v>
      </c>
      <c r="BX17" s="3">
        <v>11.82</v>
      </c>
      <c r="BY17" s="3">
        <v>1.55</v>
      </c>
      <c r="BZ17" s="3">
        <v>2.56</v>
      </c>
      <c r="CA17" s="3">
        <v>3.11</v>
      </c>
      <c r="CB17" s="3">
        <v>6.99</v>
      </c>
      <c r="CC17" s="3">
        <v>-1.41</v>
      </c>
      <c r="CD17" s="3" t="s">
        <v>1313</v>
      </c>
      <c r="CE17" s="3" t="s">
        <v>397</v>
      </c>
      <c r="CF17" s="10">
        <v>0.33574879227053162</v>
      </c>
      <c r="CG17" s="11">
        <v>0.52849217620813171</v>
      </c>
      <c r="CH17" s="10">
        <v>2.7592768892645836E-2</v>
      </c>
      <c r="CI17" s="10">
        <v>0.13132400810718536</v>
      </c>
      <c r="CJ17" s="10">
        <v>0.33958175778388977</v>
      </c>
      <c r="CK17" s="10">
        <v>-4.3448232114315033E-2</v>
      </c>
      <c r="CL17" s="10">
        <v>-0.1435321569442749</v>
      </c>
      <c r="CM17" s="11">
        <v>-0.34150776267051697</v>
      </c>
      <c r="CN17" s="11">
        <v>-7.0998996496200562E-2</v>
      </c>
      <c r="CO17" s="11">
        <v>0.29366862773895264</v>
      </c>
      <c r="CP17" s="11">
        <v>0.53431904315948486</v>
      </c>
      <c r="CQ17" s="11">
        <v>0.86010485887527466</v>
      </c>
      <c r="CR17" s="3">
        <v>102.21855104718912</v>
      </c>
      <c r="CS17" s="3">
        <v>16.406516353847003</v>
      </c>
      <c r="CT17" s="3">
        <v>0.43532338308457713</v>
      </c>
      <c r="CU17" s="10">
        <v>6.2303629145026206E-2</v>
      </c>
      <c r="CV17" s="11">
        <v>0.2551171541213989</v>
      </c>
      <c r="CW17" s="3">
        <v>0.06</v>
      </c>
      <c r="CX17" s="3">
        <v>99.189238063384806</v>
      </c>
      <c r="CY17" s="3">
        <v>35709637.145680577</v>
      </c>
      <c r="CZ17" s="3">
        <v>6.2303629145026206E-2</v>
      </c>
      <c r="DA17" s="3">
        <v>33.185722264909316</v>
      </c>
      <c r="DB17" s="3">
        <v>106733000.16571687</v>
      </c>
      <c r="DC17" s="3">
        <v>5.9188447687774891E-2</v>
      </c>
      <c r="DD17" s="3">
        <v>16.852986169746778</v>
      </c>
      <c r="DE17" s="3">
        <v>210171162.8030856</v>
      </c>
      <c r="DF17" s="3">
        <v>5.4827193647623063E-2</v>
      </c>
      <c r="DG17" s="3">
        <v>10.47706901216314</v>
      </c>
      <c r="DH17" s="3">
        <v>338072765.95085645</v>
      </c>
      <c r="DI17" s="3">
        <v>4.9842903316020967E-2</v>
      </c>
      <c r="DJ17" s="3">
        <v>5.8300878214096654</v>
      </c>
      <c r="DK17" s="3">
        <v>607540024.86768234</v>
      </c>
      <c r="DL17" s="3">
        <v>4.3612540401518345E-2</v>
      </c>
      <c r="DM17" s="3">
        <v>35632200</v>
      </c>
      <c r="DN17" s="3">
        <v>6.2303629145026206E-2</v>
      </c>
      <c r="DO17" s="3">
        <v>3542011700</v>
      </c>
      <c r="DP17" s="3">
        <v>834747400</v>
      </c>
      <c r="DQ17" s="3">
        <v>1960</v>
      </c>
      <c r="DR17" s="3">
        <v>0.27344516312550543</v>
      </c>
      <c r="DS17" s="3">
        <v>0.27337502208673281</v>
      </c>
      <c r="DT17" s="12">
        <v>-0.3066666666666667</v>
      </c>
      <c r="DU17" s="3">
        <v>0.5033333333333333</v>
      </c>
      <c r="DV17" s="3">
        <v>0.1966666666666666</v>
      </c>
      <c r="DW17" s="3">
        <v>5.2017167381974252</v>
      </c>
      <c r="DX17" s="3">
        <v>0.39232762836185997</v>
      </c>
      <c r="DY17" s="3">
        <v>5.0307270323305033</v>
      </c>
      <c r="DZ17" s="3">
        <v>1351</v>
      </c>
      <c r="EA17" s="3">
        <v>5.0226001293002547</v>
      </c>
      <c r="EB17" s="3">
        <v>5</v>
      </c>
      <c r="EC17" s="3">
        <v>0.12346724938166792</v>
      </c>
      <c r="ED17" s="3">
        <v>0.81053746263526338</v>
      </c>
      <c r="EE17" s="13">
        <v>3.0156100000000001</v>
      </c>
      <c r="EF17" s="3">
        <v>3.0106099999999998</v>
      </c>
      <c r="EG17" s="3">
        <v>24.15232762836186</v>
      </c>
      <c r="EH17" s="3" t="s">
        <v>1314</v>
      </c>
      <c r="EI17" s="3">
        <v>1</v>
      </c>
      <c r="EJ17" s="3">
        <v>1</v>
      </c>
      <c r="EK17" s="15">
        <v>45505</v>
      </c>
      <c r="EL17" s="16">
        <v>-1.31</v>
      </c>
      <c r="EM17" s="16">
        <v>1.99</v>
      </c>
      <c r="EN17" s="16">
        <v>1.17</v>
      </c>
      <c r="EO17" s="16">
        <v>1.77</v>
      </c>
      <c r="EP17" s="16">
        <v>0.5</v>
      </c>
    </row>
    <row r="18" spans="1:146" ht="96" x14ac:dyDescent="0.25">
      <c r="C18" s="7" t="str">
        <f>""&amp;CHAR(10)&amp;Basic_Fundamental_Information_Constructure(F18)&amp;CHAR(10)&amp;Basic_Fundamental_Information_Concatenate("")</f>
        <v xml:space="preserve">
市值54.27亿, 利润8292.46万; PE65.79; 平均PE74.65; 平均PEG8.11, PB4.11; ROIC5.13%; ROE5.6367%; 股利率1.1675%; 毛利29.9267%; 净利10.84%; 上一年度营收增3.49%, 利润增1%; 当季营收增-12.42%, 利润增-9.26%; 过往5年营收增9.21%, 利润增5.9%
Income profile:
</v>
      </c>
      <c r="D18" s="3" t="s">
        <v>154</v>
      </c>
      <c r="E18" s="3" t="s">
        <v>155</v>
      </c>
      <c r="F18" s="3">
        <v>30.15</v>
      </c>
      <c r="G18" s="3">
        <v>1.96</v>
      </c>
      <c r="H18" s="3" t="s">
        <v>1315</v>
      </c>
      <c r="I18" s="3">
        <v>5427000000</v>
      </c>
      <c r="J18" s="3">
        <v>65.790000000000006</v>
      </c>
      <c r="K18" s="3">
        <v>4.1100000000000003</v>
      </c>
      <c r="L18" s="3" t="s">
        <v>49</v>
      </c>
      <c r="M18" s="3" t="s">
        <v>602</v>
      </c>
      <c r="N18" s="3" t="s">
        <v>962</v>
      </c>
      <c r="O18" s="3" t="s">
        <v>963</v>
      </c>
      <c r="P18" s="3">
        <v>-12.42</v>
      </c>
      <c r="Q18" s="3" t="s">
        <v>605</v>
      </c>
      <c r="R18" s="3">
        <v>4275395</v>
      </c>
      <c r="S18" s="5">
        <v>-9.2600000000000002E-2</v>
      </c>
      <c r="T18" s="3" t="s">
        <v>976</v>
      </c>
      <c r="U18" s="3">
        <v>180000000</v>
      </c>
      <c r="V18" s="3">
        <v>180000000</v>
      </c>
      <c r="W18" s="3">
        <v>1.36</v>
      </c>
      <c r="X18" s="3">
        <v>0.04</v>
      </c>
      <c r="Y18" s="3">
        <v>6.73</v>
      </c>
      <c r="Z18" s="3" t="s">
        <v>964</v>
      </c>
      <c r="AA18" s="3" t="s">
        <v>965</v>
      </c>
      <c r="AB18" s="3" t="s">
        <v>966</v>
      </c>
      <c r="AC18" s="3" t="s">
        <v>967</v>
      </c>
      <c r="AD18" s="3" t="s">
        <v>52</v>
      </c>
      <c r="AE18" s="3">
        <v>-145518</v>
      </c>
      <c r="AF18" s="3" t="s">
        <v>84</v>
      </c>
      <c r="AG18" s="3">
        <v>4000.3</v>
      </c>
      <c r="AH18" s="3" t="s">
        <v>968</v>
      </c>
      <c r="AI18" s="3" t="s">
        <v>334</v>
      </c>
      <c r="AJ18" s="3" t="s">
        <v>969</v>
      </c>
      <c r="AK18" s="3" t="s">
        <v>535</v>
      </c>
      <c r="AL18" s="3" t="s">
        <v>970</v>
      </c>
      <c r="AM18" s="3" t="s">
        <v>52</v>
      </c>
      <c r="AN18" s="3" t="s">
        <v>971</v>
      </c>
      <c r="AO18" s="3" t="s">
        <v>52</v>
      </c>
      <c r="AP18" s="3" t="s">
        <v>840</v>
      </c>
      <c r="AQ18" s="3" t="s">
        <v>972</v>
      </c>
      <c r="AR18" s="3" t="s">
        <v>52</v>
      </c>
      <c r="AS18" s="3" t="s">
        <v>973</v>
      </c>
      <c r="AT18" s="3" t="s">
        <v>52</v>
      </c>
      <c r="AU18" s="3" t="s">
        <v>974</v>
      </c>
      <c r="AV18" s="3" t="s">
        <v>975</v>
      </c>
      <c r="AW18" s="3" t="s">
        <v>52</v>
      </c>
      <c r="AX18" s="3" t="s">
        <v>539</v>
      </c>
      <c r="AY18" s="3" t="s">
        <v>107</v>
      </c>
      <c r="AZ18" s="3" t="s">
        <v>156</v>
      </c>
      <c r="BA18" s="3" t="s">
        <v>108</v>
      </c>
      <c r="BB18" s="3" t="s">
        <v>159</v>
      </c>
      <c r="BC18" s="3" t="s">
        <v>540</v>
      </c>
      <c r="BD18" s="3" t="s">
        <v>287</v>
      </c>
      <c r="BE18" s="3" t="s">
        <v>157</v>
      </c>
      <c r="BF18" s="3" t="s">
        <v>160</v>
      </c>
      <c r="BG18" s="3" t="s">
        <v>161</v>
      </c>
      <c r="BH18" s="3" t="s">
        <v>605</v>
      </c>
      <c r="BI18" s="3" t="s">
        <v>1316</v>
      </c>
      <c r="BJ18" s="3" t="s">
        <v>539</v>
      </c>
      <c r="BK18" s="3" t="s">
        <v>976</v>
      </c>
      <c r="BL18" s="3" t="s">
        <v>686</v>
      </c>
      <c r="BM18" s="3" t="s">
        <v>540</v>
      </c>
      <c r="BN18" s="3">
        <v>3.1</v>
      </c>
      <c r="BO18" s="3">
        <v>6.23</v>
      </c>
      <c r="BP18" s="3">
        <v>6.06</v>
      </c>
      <c r="BQ18" s="3">
        <v>3.43</v>
      </c>
      <c r="BR18" s="3">
        <v>6.74</v>
      </c>
      <c r="BS18" s="3">
        <v>6.74</v>
      </c>
      <c r="BT18" s="3" t="s">
        <v>977</v>
      </c>
      <c r="BU18" s="3" t="s">
        <v>49</v>
      </c>
      <c r="BV18" s="3">
        <v>33.119999999999997</v>
      </c>
      <c r="BW18" s="3">
        <v>29.41</v>
      </c>
      <c r="BX18" s="3">
        <v>27.25</v>
      </c>
      <c r="BY18" s="3">
        <v>10.77</v>
      </c>
      <c r="BZ18" s="3">
        <v>11.04</v>
      </c>
      <c r="CA18" s="3">
        <v>10.71</v>
      </c>
      <c r="CB18" s="3">
        <v>13.43</v>
      </c>
      <c r="CC18" s="3">
        <v>6.35</v>
      </c>
      <c r="CD18" s="3" t="s">
        <v>1317</v>
      </c>
      <c r="CE18" s="3" t="s">
        <v>1318</v>
      </c>
      <c r="CF18" s="10">
        <v>-0.12423991002960413</v>
      </c>
      <c r="CG18" s="11">
        <v>-9.25618168311578E-2</v>
      </c>
      <c r="CH18" s="10">
        <v>3.494623675942421E-2</v>
      </c>
      <c r="CI18" s="10">
        <v>2.0576132461428642E-2</v>
      </c>
      <c r="CJ18" s="10">
        <v>8.2987556234002113E-3</v>
      </c>
      <c r="CK18" s="10">
        <v>0.26178011298179626</v>
      </c>
      <c r="CL18" s="10">
        <v>0.13465346395969391</v>
      </c>
      <c r="CM18" s="11">
        <v>1.0037747211754322E-2</v>
      </c>
      <c r="CN18" s="11">
        <v>5.1296830177307129E-2</v>
      </c>
      <c r="CO18" s="11">
        <v>0.14610905945301056</v>
      </c>
      <c r="CP18" s="11">
        <v>9.4059638679027557E-2</v>
      </c>
      <c r="CQ18" s="11">
        <v>-6.4481240697205067E-3</v>
      </c>
      <c r="CR18" s="3">
        <v>74.645136443661968</v>
      </c>
      <c r="CS18" s="3">
        <v>8.1091117759412494</v>
      </c>
      <c r="CT18" s="3">
        <v>1.1674958540630183</v>
      </c>
      <c r="CU18" s="10">
        <v>9.2050940357148642E-2</v>
      </c>
      <c r="CV18" s="11">
        <v>5.9011030290275809E-2</v>
      </c>
      <c r="CW18" s="3">
        <v>0.06</v>
      </c>
      <c r="CX18" s="3">
        <v>53.083172957676929</v>
      </c>
      <c r="CY18" s="3">
        <v>85431969.253528669</v>
      </c>
      <c r="CZ18" s="3">
        <v>9.2050940357148642E-2</v>
      </c>
      <c r="DA18" s="3">
        <v>17.316992163549852</v>
      </c>
      <c r="DB18" s="3">
        <v>261881506.74027675</v>
      </c>
      <c r="DC18" s="3">
        <v>8.7448393339291206E-2</v>
      </c>
      <c r="DD18" s="3">
        <v>8.504967159142474</v>
      </c>
      <c r="DE18" s="3">
        <v>533217814.38333595</v>
      </c>
      <c r="DF18" s="3">
        <v>8.1004827514290806E-2</v>
      </c>
      <c r="DG18" s="3">
        <v>5.0939992483363907</v>
      </c>
      <c r="DH18" s="3">
        <v>890263185.94001555</v>
      </c>
      <c r="DI18" s="3">
        <v>7.3640752285718911E-2</v>
      </c>
      <c r="DJ18" s="3">
        <v>2.6163494167665728</v>
      </c>
      <c r="DK18" s="3">
        <v>1733331171.6462553</v>
      </c>
      <c r="DL18" s="3">
        <v>6.4435658250004052E-2</v>
      </c>
      <c r="DM18" s="3">
        <v>82924599.999999985</v>
      </c>
      <c r="DN18" s="3">
        <v>9.2050940357148642E-2</v>
      </c>
      <c r="DO18" s="3">
        <v>4535000000</v>
      </c>
      <c r="DP18" s="3">
        <v>1051336300</v>
      </c>
      <c r="DQ18" s="3">
        <v>1983</v>
      </c>
      <c r="DR18" s="3">
        <v>-0.21629085038675278</v>
      </c>
      <c r="DS18" s="3">
        <v>-0.1515728471214336</v>
      </c>
      <c r="DT18" s="12">
        <v>-0.32333333333333336</v>
      </c>
      <c r="DU18" s="3">
        <v>0</v>
      </c>
      <c r="DV18" s="3">
        <v>-0.32333333333333336</v>
      </c>
      <c r="DW18" s="3">
        <v>5.4728220402084888</v>
      </c>
      <c r="DX18" s="3">
        <v>0.65848541095761437</v>
      </c>
      <c r="DY18" s="3">
        <v>5.1742280237960427</v>
      </c>
      <c r="DZ18" s="3">
        <v>2584</v>
      </c>
      <c r="EA18" s="3">
        <v>5.0860907462923279</v>
      </c>
      <c r="EB18" s="3">
        <v>5</v>
      </c>
      <c r="EC18" s="3">
        <v>0.13058222222222221</v>
      </c>
      <c r="ED18" s="3">
        <v>0.35437555555555555</v>
      </c>
      <c r="EE18" s="13">
        <v>-1.0246</v>
      </c>
      <c r="EF18" s="3">
        <v>-1.0442</v>
      </c>
      <c r="EG18" s="3">
        <v>29.368485410957614</v>
      </c>
      <c r="EH18" s="3" t="s">
        <v>611</v>
      </c>
      <c r="EI18" s="3">
        <v>1</v>
      </c>
      <c r="EJ18" s="3">
        <v>0</v>
      </c>
      <c r="EK18" s="15">
        <v>45505</v>
      </c>
      <c r="EL18" s="16">
        <v>-1.41</v>
      </c>
      <c r="EM18" s="16">
        <v>3.99</v>
      </c>
      <c r="EN18" s="16">
        <v>8.9</v>
      </c>
      <c r="EO18" s="16">
        <v>1.1299999999999999</v>
      </c>
      <c r="EP18" s="16">
        <v>1.96</v>
      </c>
    </row>
    <row r="19" spans="1:146" ht="96" x14ac:dyDescent="0.25">
      <c r="A19" s="9" t="s">
        <v>403</v>
      </c>
      <c r="B19" s="9" t="s">
        <v>253</v>
      </c>
      <c r="C19" s="7" t="str">
        <f>""&amp;CHAR(10)&amp;Basic_Fundamental_Information_Constructure(F19)&amp;CHAR(10)&amp;Basic_Fundamental_Information_Concatenate("")</f>
        <v xml:space="preserve">
市值21.41485亿, 利润4283.48万; PE47.48; 平均PE36.09; 平均PEG.45, PB1.78; ROIC6.5367%; ROE7.68%; 股利率.4077%; 毛利8.9233%; 净利2.04%; 上一年度营收增-18.24%, 利润增-21.49%; 当季营收增36.94%, 利润增44.21%; 过往5年营收增80.23%, 利润增45.37%
Income profile:
</v>
      </c>
      <c r="D19" s="3" t="s">
        <v>254</v>
      </c>
      <c r="E19" s="3" t="s">
        <v>288</v>
      </c>
      <c r="F19" s="3">
        <v>9.81</v>
      </c>
      <c r="G19" s="3">
        <v>0.31</v>
      </c>
      <c r="H19" s="3" t="s">
        <v>1319</v>
      </c>
      <c r="I19" s="3">
        <v>2141485000</v>
      </c>
      <c r="J19" s="3">
        <v>47.48</v>
      </c>
      <c r="K19" s="3">
        <v>1.78</v>
      </c>
      <c r="L19" s="3" t="s">
        <v>49</v>
      </c>
      <c r="M19" s="3" t="s">
        <v>978</v>
      </c>
      <c r="N19" s="3" t="s">
        <v>979</v>
      </c>
      <c r="O19" s="3" t="s">
        <v>354</v>
      </c>
      <c r="P19" s="3">
        <v>36.92</v>
      </c>
      <c r="Q19" s="3" t="s">
        <v>996</v>
      </c>
      <c r="R19" s="3">
        <v>7391395</v>
      </c>
      <c r="S19" s="5">
        <v>0.44209999999999999</v>
      </c>
      <c r="T19" s="3" t="s">
        <v>997</v>
      </c>
      <c r="U19" s="3">
        <v>151954680</v>
      </c>
      <c r="V19" s="3">
        <v>218296130</v>
      </c>
      <c r="W19" s="3">
        <v>1.63</v>
      </c>
      <c r="X19" s="3">
        <v>0.36</v>
      </c>
      <c r="Y19" s="3">
        <v>0.68</v>
      </c>
      <c r="Z19" s="3" t="s">
        <v>581</v>
      </c>
      <c r="AA19" s="3" t="s">
        <v>980</v>
      </c>
      <c r="AB19" s="3" t="s">
        <v>981</v>
      </c>
      <c r="AC19" s="3" t="s">
        <v>982</v>
      </c>
      <c r="AD19" s="3" t="s">
        <v>52</v>
      </c>
      <c r="AE19" s="3">
        <v>3040346</v>
      </c>
      <c r="AF19" s="3" t="s">
        <v>983</v>
      </c>
      <c r="AG19" s="3">
        <v>1734.69</v>
      </c>
      <c r="AH19" s="3" t="s">
        <v>984</v>
      </c>
      <c r="AI19" s="3" t="s">
        <v>578</v>
      </c>
      <c r="AJ19" s="3" t="s">
        <v>985</v>
      </c>
      <c r="AK19" s="3" t="s">
        <v>986</v>
      </c>
      <c r="AL19" s="3" t="s">
        <v>987</v>
      </c>
      <c r="AM19" s="3" t="s">
        <v>52</v>
      </c>
      <c r="AN19" s="3" t="s">
        <v>988</v>
      </c>
      <c r="AO19" s="3" t="s">
        <v>53</v>
      </c>
      <c r="AP19" s="3" t="s">
        <v>989</v>
      </c>
      <c r="AQ19" s="3" t="s">
        <v>610</v>
      </c>
      <c r="AR19" s="3" t="s">
        <v>990</v>
      </c>
      <c r="AS19" s="3" t="s">
        <v>991</v>
      </c>
      <c r="AT19" s="3" t="s">
        <v>992</v>
      </c>
      <c r="AU19" s="3" t="s">
        <v>993</v>
      </c>
      <c r="AV19" s="3" t="s">
        <v>994</v>
      </c>
      <c r="AW19" s="3" t="s">
        <v>995</v>
      </c>
      <c r="AX19" s="3" t="s">
        <v>541</v>
      </c>
      <c r="AY19" s="3" t="s">
        <v>289</v>
      </c>
      <c r="AZ19" s="3" t="s">
        <v>255</v>
      </c>
      <c r="BA19" s="3" t="s">
        <v>257</v>
      </c>
      <c r="BB19" s="3" t="s">
        <v>258</v>
      </c>
      <c r="BC19" s="3" t="s">
        <v>542</v>
      </c>
      <c r="BD19" s="3" t="s">
        <v>169</v>
      </c>
      <c r="BE19" s="3" t="s">
        <v>256</v>
      </c>
      <c r="BF19" s="3" t="s">
        <v>259</v>
      </c>
      <c r="BG19" s="3" t="s">
        <v>260</v>
      </c>
      <c r="BH19" s="3" t="s">
        <v>996</v>
      </c>
      <c r="BI19" s="3" t="s">
        <v>1320</v>
      </c>
      <c r="BJ19" s="3" t="s">
        <v>541</v>
      </c>
      <c r="BK19" s="3" t="s">
        <v>997</v>
      </c>
      <c r="BL19" s="3" t="s">
        <v>1321</v>
      </c>
      <c r="BM19" s="3" t="s">
        <v>542</v>
      </c>
      <c r="BN19" s="3">
        <v>2.2799999999999998</v>
      </c>
      <c r="BO19" s="3">
        <v>4.66</v>
      </c>
      <c r="BP19" s="3">
        <v>12.67</v>
      </c>
      <c r="BQ19" s="3">
        <v>2.44</v>
      </c>
      <c r="BR19" s="3">
        <v>5.07</v>
      </c>
      <c r="BS19" s="3">
        <v>15.53</v>
      </c>
      <c r="BT19" s="3" t="s">
        <v>514</v>
      </c>
      <c r="BU19" s="3" t="s">
        <v>49</v>
      </c>
      <c r="BV19" s="3">
        <v>9.57</v>
      </c>
      <c r="BW19" s="3">
        <v>9.23</v>
      </c>
      <c r="BX19" s="3">
        <v>7.97</v>
      </c>
      <c r="BY19" s="3">
        <v>1.76</v>
      </c>
      <c r="BZ19" s="3">
        <v>1.76</v>
      </c>
      <c r="CA19" s="3">
        <v>2.6</v>
      </c>
      <c r="CB19" s="3">
        <v>6.63</v>
      </c>
      <c r="CC19" s="3">
        <v>-17.7</v>
      </c>
      <c r="CD19" s="3" t="s">
        <v>1322</v>
      </c>
      <c r="CE19" s="3" t="s">
        <v>1323</v>
      </c>
      <c r="CF19" s="10">
        <v>0.36940298507462671</v>
      </c>
      <c r="CG19" s="11">
        <v>0.44211085964022317</v>
      </c>
      <c r="CH19" s="10">
        <v>-0.18238025903701782</v>
      </c>
      <c r="CI19" s="10">
        <v>-0.34620043635368347</v>
      </c>
      <c r="CJ19" s="10">
        <v>3.3671667575836182</v>
      </c>
      <c r="CK19" s="10">
        <v>1.0232142210006714</v>
      </c>
      <c r="CL19" s="10">
        <v>0.14989733695983887</v>
      </c>
      <c r="CM19" s="11">
        <v>-0.21494641900062561</v>
      </c>
      <c r="CN19" s="11">
        <v>-0.55639922618865967</v>
      </c>
      <c r="CO19" s="11">
        <v>3.6238343715667725</v>
      </c>
      <c r="CP19" s="11">
        <v>-0.48567900061607361</v>
      </c>
      <c r="CQ19" s="11">
        <v>-9.8154500126838684E-2</v>
      </c>
      <c r="CR19" s="3">
        <v>36.085287580609013</v>
      </c>
      <c r="CS19" s="3">
        <v>0.44975084113180164</v>
      </c>
      <c r="CT19" s="3">
        <v>0.40774719673802245</v>
      </c>
      <c r="CU19" s="10">
        <v>0.80233952403068542</v>
      </c>
      <c r="CV19" s="11">
        <v>0.45373104512691498</v>
      </c>
      <c r="CW19" s="3">
        <v>0.06</v>
      </c>
      <c r="CX19" s="3">
        <v>24.171569137965271</v>
      </c>
      <c r="CY19" s="3">
        <v>72832880.230141118</v>
      </c>
      <c r="CZ19" s="3">
        <v>0.80233952403068542</v>
      </c>
      <c r="DA19" s="3">
        <v>4.5559333013248517</v>
      </c>
      <c r="DB19" s="3">
        <v>386415885.30017686</v>
      </c>
      <c r="DC19" s="3">
        <v>0.76222254782915111</v>
      </c>
      <c r="DD19" s="3">
        <v>0.94998321393898877</v>
      </c>
      <c r="DE19" s="3">
        <v>1853174850.0064175</v>
      </c>
      <c r="DF19" s="3">
        <v>0.70605878114700316</v>
      </c>
      <c r="DG19" s="3">
        <v>0.18556162257832257</v>
      </c>
      <c r="DH19" s="3">
        <v>9487333509.6912498</v>
      </c>
      <c r="DI19" s="3">
        <v>0.64187161922454838</v>
      </c>
      <c r="DJ19" s="3">
        <v>5.6930431731295446E-3</v>
      </c>
      <c r="DK19" s="3">
        <v>309234436919.30359</v>
      </c>
      <c r="DL19" s="3">
        <v>0.56163766682147975</v>
      </c>
      <c r="DM19" s="3">
        <v>42834799.999999993</v>
      </c>
      <c r="DN19" s="3">
        <v>0.80233952403068542</v>
      </c>
      <c r="DO19" s="3">
        <v>1760485000</v>
      </c>
      <c r="DP19" s="3">
        <v>560112610</v>
      </c>
      <c r="DQ19" s="3">
        <v>2112</v>
      </c>
      <c r="DR19" s="3">
        <v>-0.43293653895605871</v>
      </c>
      <c r="DS19" s="3">
        <v>-1.1620185486691803E-2</v>
      </c>
      <c r="DT19" s="12">
        <v>-0.15500000000000011</v>
      </c>
      <c r="DU19" s="3">
        <v>0.155</v>
      </c>
      <c r="DV19" s="3">
        <v>0</v>
      </c>
      <c r="DW19" s="3">
        <v>7.2725030826140564</v>
      </c>
      <c r="DX19" s="3">
        <v>0.36971178707224328</v>
      </c>
      <c r="DY19" s="3">
        <v>7.0244467385240021</v>
      </c>
      <c r="DZ19" s="3">
        <v>1793</v>
      </c>
      <c r="EA19" s="3">
        <v>7.01586549299277</v>
      </c>
      <c r="EB19" s="3">
        <v>7</v>
      </c>
      <c r="EC19" s="3">
        <v>0.10808345525868919</v>
      </c>
      <c r="ED19" s="3">
        <v>1.2047854444327528</v>
      </c>
      <c r="EE19" s="13">
        <v>-2.0040100000000001</v>
      </c>
      <c r="EF19" s="3">
        <v>-2.0009100000000002</v>
      </c>
      <c r="EG19" s="3">
        <v>28.089711787072243</v>
      </c>
      <c r="EH19" s="3" t="s">
        <v>552</v>
      </c>
      <c r="EI19" s="3">
        <v>1</v>
      </c>
      <c r="EJ19" s="3">
        <v>0</v>
      </c>
      <c r="EK19" s="15">
        <v>45505</v>
      </c>
      <c r="EL19" s="16">
        <v>-0.11</v>
      </c>
      <c r="EM19" s="16">
        <v>1.41</v>
      </c>
      <c r="EN19" s="16">
        <v>1.82</v>
      </c>
      <c r="EO19" s="16">
        <v>2.19</v>
      </c>
      <c r="EP19" s="16">
        <v>0.31</v>
      </c>
    </row>
    <row r="20" spans="1:146" ht="96" x14ac:dyDescent="0.25">
      <c r="C20" s="7" t="str">
        <f>""&amp;CHAR(10)&amp;Basic_Fundamental_Information_Constructure(F20)&amp;CHAR(10)&amp;Basic_Fundamental_Information_Concatenate("")</f>
        <v xml:space="preserve">
市值32.017501亿, 利润1255.57万; PE469.2; 平均PE60.11; 平均PEG5.94, PB2.82; ROIC7.44%; ROE7.98%; 股利率.1603%; 毛利28.8033%; 净利11.83%; 上一年度营收增-22.78%, 利润增-86%; 当季营收增-10.57%, 利润增-96.56%; 过往5年营收增10.12%, 利润增-2.05%
Income profile:
</v>
      </c>
      <c r="D20" s="3" t="s">
        <v>164</v>
      </c>
      <c r="E20" s="3" t="s">
        <v>165</v>
      </c>
      <c r="F20" s="3">
        <v>18.71</v>
      </c>
      <c r="G20" s="3">
        <v>1.03</v>
      </c>
      <c r="H20" s="3" t="s">
        <v>1324</v>
      </c>
      <c r="I20" s="3">
        <v>3201750100</v>
      </c>
      <c r="J20" s="3">
        <v>469.2</v>
      </c>
      <c r="K20" s="3">
        <v>2.82</v>
      </c>
      <c r="L20" s="3" t="s">
        <v>49</v>
      </c>
      <c r="M20" s="3" t="s">
        <v>998</v>
      </c>
      <c r="N20" s="3" t="s">
        <v>573</v>
      </c>
      <c r="O20" s="3" t="s">
        <v>999</v>
      </c>
      <c r="P20" s="3">
        <v>-10.57</v>
      </c>
      <c r="Q20" s="3" t="s">
        <v>1014</v>
      </c>
      <c r="R20" s="3">
        <v>204097</v>
      </c>
      <c r="S20" s="5">
        <v>-0.96560000000000001</v>
      </c>
      <c r="T20" s="3" t="s">
        <v>1015</v>
      </c>
      <c r="U20" s="3">
        <v>127136779</v>
      </c>
      <c r="V20" s="3">
        <v>171125070</v>
      </c>
      <c r="W20" s="3">
        <v>1.51</v>
      </c>
      <c r="X20" s="3">
        <v>0.04</v>
      </c>
      <c r="Y20" s="3">
        <v>-1.79</v>
      </c>
      <c r="Z20" s="3" t="s">
        <v>1000</v>
      </c>
      <c r="AA20" s="3" t="s">
        <v>1001</v>
      </c>
      <c r="AB20" s="3" t="s">
        <v>1002</v>
      </c>
      <c r="AC20" s="3" t="s">
        <v>1003</v>
      </c>
      <c r="AD20" s="3" t="s">
        <v>52</v>
      </c>
      <c r="AE20" s="3">
        <v>3773998</v>
      </c>
      <c r="AF20" s="3" t="s">
        <v>1004</v>
      </c>
      <c r="AG20" s="3" t="s">
        <v>1005</v>
      </c>
      <c r="AH20" s="3" t="s">
        <v>1006</v>
      </c>
      <c r="AI20" s="3" t="s">
        <v>138</v>
      </c>
      <c r="AJ20" s="3" t="s">
        <v>1007</v>
      </c>
      <c r="AK20" s="3" t="s">
        <v>1008</v>
      </c>
      <c r="AL20" s="3" t="s">
        <v>1009</v>
      </c>
      <c r="AM20" s="3" t="s">
        <v>52</v>
      </c>
      <c r="AN20" s="3" t="s">
        <v>73</v>
      </c>
      <c r="AO20" s="3" t="s">
        <v>577</v>
      </c>
      <c r="AP20" s="3" t="s">
        <v>52</v>
      </c>
      <c r="AQ20" s="3" t="s">
        <v>206</v>
      </c>
      <c r="AR20" s="3" t="s">
        <v>52</v>
      </c>
      <c r="AS20" s="3" t="s">
        <v>572</v>
      </c>
      <c r="AT20" s="3" t="s">
        <v>855</v>
      </c>
      <c r="AU20" s="3" t="s">
        <v>1010</v>
      </c>
      <c r="AV20" s="3" t="s">
        <v>1011</v>
      </c>
      <c r="AW20" s="3" t="s">
        <v>1012</v>
      </c>
      <c r="AX20" s="3" t="s">
        <v>491</v>
      </c>
      <c r="AY20" s="3" t="s">
        <v>291</v>
      </c>
      <c r="AZ20" s="3" t="s">
        <v>166</v>
      </c>
      <c r="BA20" s="3" t="s">
        <v>168</v>
      </c>
      <c r="BB20" s="3" t="s">
        <v>111</v>
      </c>
      <c r="BC20" s="3" t="s">
        <v>1013</v>
      </c>
      <c r="BD20" s="3" t="s">
        <v>292</v>
      </c>
      <c r="BE20" s="3" t="s">
        <v>167</v>
      </c>
      <c r="BF20" s="3" t="s">
        <v>170</v>
      </c>
      <c r="BG20" s="3" t="s">
        <v>171</v>
      </c>
      <c r="BH20" s="3" t="s">
        <v>1014</v>
      </c>
      <c r="BI20" s="3" t="s">
        <v>1325</v>
      </c>
      <c r="BJ20" s="3" t="s">
        <v>491</v>
      </c>
      <c r="BK20" s="3" t="s">
        <v>1015</v>
      </c>
      <c r="BL20" s="3" t="s">
        <v>1326</v>
      </c>
      <c r="BM20" s="3" t="s">
        <v>1013</v>
      </c>
      <c r="BN20" s="3">
        <v>1.61</v>
      </c>
      <c r="BO20" s="3">
        <v>9.16</v>
      </c>
      <c r="BP20" s="3">
        <v>11.55</v>
      </c>
      <c r="BQ20" s="3">
        <v>1.47</v>
      </c>
      <c r="BR20" s="3">
        <v>8.49</v>
      </c>
      <c r="BS20" s="3">
        <v>13.98</v>
      </c>
      <c r="BT20" s="3" t="s">
        <v>1016</v>
      </c>
      <c r="BU20" s="3" t="s">
        <v>49</v>
      </c>
      <c r="BV20" s="3">
        <v>32.909999999999997</v>
      </c>
      <c r="BW20" s="3">
        <v>25.28</v>
      </c>
      <c r="BX20" s="3">
        <v>28.22</v>
      </c>
      <c r="BY20" s="3">
        <v>3.66</v>
      </c>
      <c r="BZ20" s="3">
        <v>17.649999999999999</v>
      </c>
      <c r="CA20" s="3">
        <v>14.18</v>
      </c>
      <c r="CB20" s="3">
        <v>6.73</v>
      </c>
      <c r="CC20" s="3">
        <v>-14.1</v>
      </c>
      <c r="CD20" s="3" t="s">
        <v>1327</v>
      </c>
      <c r="CE20" s="3" t="s">
        <v>543</v>
      </c>
      <c r="CF20" s="10">
        <v>-0.10568623072775683</v>
      </c>
      <c r="CG20" s="11">
        <v>-0.96561418583101677</v>
      </c>
      <c r="CH20" s="10">
        <v>-0.22779922187328339</v>
      </c>
      <c r="CI20" s="10">
        <v>-5.128205195069313E-2</v>
      </c>
      <c r="CJ20" s="10">
        <v>0.35483869910240173</v>
      </c>
      <c r="CK20" s="10">
        <v>0.32131147384643555</v>
      </c>
      <c r="CL20" s="10">
        <v>0.10909090936183929</v>
      </c>
      <c r="CM20" s="11">
        <v>-0.86004149913787842</v>
      </c>
      <c r="CN20" s="11">
        <v>0.17832599580287933</v>
      </c>
      <c r="CO20" s="11">
        <v>0.47536873817443848</v>
      </c>
      <c r="CP20" s="11">
        <v>0.42684406042098999</v>
      </c>
      <c r="CQ20" s="11">
        <v>-0.32323276996612549</v>
      </c>
      <c r="CR20" s="3">
        <v>60.106501188801147</v>
      </c>
      <c r="CS20" s="3">
        <v>5.9375023639772575</v>
      </c>
      <c r="CT20" s="3">
        <v>0.16034206306787813</v>
      </c>
      <c r="CU20" s="10">
        <v>0.10123196169734001</v>
      </c>
      <c r="CV20" s="11">
        <v>-2.054709494113922E-2</v>
      </c>
      <c r="CW20" s="3">
        <v>0.06</v>
      </c>
      <c r="CX20" s="3">
        <v>201.14470076321584</v>
      </c>
      <c r="CY20" s="3">
        <v>13044092.586304992</v>
      </c>
      <c r="CZ20" s="3">
        <v>0.10123196169734001</v>
      </c>
      <c r="DA20" s="3">
        <v>65.110785221107392</v>
      </c>
      <c r="DB20" s="3">
        <v>40296704.932832569</v>
      </c>
      <c r="DC20" s="3">
        <v>9.6170363612473012E-2</v>
      </c>
      <c r="DD20" s="3">
        <v>31.646222558081611</v>
      </c>
      <c r="DE20" s="3">
        <v>82908792.51653254</v>
      </c>
      <c r="DF20" s="3">
        <v>8.9084126293659208E-2</v>
      </c>
      <c r="DG20" s="3">
        <v>18.731220640183807</v>
      </c>
      <c r="DH20" s="3">
        <v>140073631.63355774</v>
      </c>
      <c r="DI20" s="3">
        <v>8.0985569357872017E-2</v>
      </c>
      <c r="DJ20" s="3">
        <v>9.3715076782542468</v>
      </c>
      <c r="DK20" s="3">
        <v>279970970.52891284</v>
      </c>
      <c r="DL20" s="3">
        <v>7.0862373188138011E-2</v>
      </c>
      <c r="DM20" s="3">
        <v>12555700</v>
      </c>
      <c r="DN20" s="3">
        <v>0.10123196169734001</v>
      </c>
      <c r="DO20" s="3">
        <v>2623750100</v>
      </c>
      <c r="DP20" s="3">
        <v>181257610</v>
      </c>
      <c r="DQ20" s="3">
        <v>2118</v>
      </c>
      <c r="DR20" s="3">
        <v>-0.20691819242509685</v>
      </c>
      <c r="DS20" s="3">
        <v>-0.9450670908898775</v>
      </c>
      <c r="DT20" s="12">
        <v>-0.35666666666666669</v>
      </c>
      <c r="DU20" s="3">
        <v>-0.47333333333333333</v>
      </c>
      <c r="DV20" s="3">
        <v>-0.83000000000000007</v>
      </c>
      <c r="DW20" s="3">
        <v>7.3230916946711471</v>
      </c>
      <c r="DX20" s="3">
        <v>0.44760714285714215</v>
      </c>
      <c r="DY20" s="3">
        <v>7.0444597249845691</v>
      </c>
      <c r="DZ20" s="3">
        <v>3447</v>
      </c>
      <c r="EA20" s="3">
        <v>7.0144572441658903</v>
      </c>
      <c r="EB20" s="3">
        <v>7</v>
      </c>
      <c r="EC20" s="3">
        <v>9.0062782735457758E-2</v>
      </c>
      <c r="ED20" s="3">
        <v>0.65449206244298408</v>
      </c>
      <c r="EE20" s="13">
        <v>6.9409999999999986E-2</v>
      </c>
      <c r="EF20" s="3">
        <v>5.9110000000000003E-2</v>
      </c>
      <c r="EG20" s="3">
        <v>31.137607142857142</v>
      </c>
      <c r="EH20" s="3">
        <v>-1</v>
      </c>
      <c r="EI20" s="3">
        <v>1</v>
      </c>
      <c r="EJ20" s="3">
        <v>0</v>
      </c>
      <c r="EK20" s="15">
        <v>45505</v>
      </c>
      <c r="EL20" s="16">
        <v>0.86</v>
      </c>
      <c r="EM20" s="16">
        <v>0.86</v>
      </c>
      <c r="EN20" s="16">
        <v>2.88</v>
      </c>
      <c r="EO20" s="16">
        <v>2.6</v>
      </c>
      <c r="EP20" s="16">
        <v>1.03</v>
      </c>
    </row>
    <row r="21" spans="1:146" ht="96" x14ac:dyDescent="0.25">
      <c r="C21" s="7" t="str">
        <f>""&amp;CHAR(10)&amp;Basic_Fundamental_Information_Constructure(F21)&amp;CHAR(10)&amp;Basic_Fundamental_Information_Concatenate("")</f>
        <v xml:space="preserve">
市值11.0425952亿, 利润-2856.97万; PE; 平均PE-31.85; 平均PEG-1.87, PB11.07; ROIC3.64%; ROE-10.6567%; 股利率0%; 毛利13.9767%; 净利-4.4067%; 上一年度营收增132.76%, 利润增12.23%; 当季营收增1.44%, 利润增-1838.74%; 过往5年营收增16.99%, 利润增-183.7%
Income profile:
</v>
      </c>
      <c r="D21" s="3" t="s">
        <v>172</v>
      </c>
      <c r="E21" s="3" t="s">
        <v>173</v>
      </c>
      <c r="F21" s="3">
        <v>8.49</v>
      </c>
      <c r="G21" s="3">
        <v>1.56</v>
      </c>
      <c r="H21" s="3" t="s">
        <v>1328</v>
      </c>
      <c r="I21" s="3">
        <v>1104259520</v>
      </c>
      <c r="K21" s="3">
        <v>11.07</v>
      </c>
      <c r="L21" s="3" t="s">
        <v>49</v>
      </c>
      <c r="M21" s="3" t="s">
        <v>1017</v>
      </c>
      <c r="N21" s="3" t="s">
        <v>1018</v>
      </c>
      <c r="O21" s="3" t="s">
        <v>162</v>
      </c>
      <c r="P21" s="3">
        <v>1.71</v>
      </c>
      <c r="Q21" s="3" t="s">
        <v>1032</v>
      </c>
      <c r="R21" s="3">
        <v>-7273136</v>
      </c>
      <c r="S21" s="5">
        <v>-18.39</v>
      </c>
      <c r="T21" s="3" t="s">
        <v>1033</v>
      </c>
      <c r="U21" s="3">
        <v>128700258</v>
      </c>
      <c r="V21" s="3">
        <v>130065904</v>
      </c>
      <c r="W21" s="3">
        <v>1.67</v>
      </c>
      <c r="X21" s="3">
        <v>0.86</v>
      </c>
      <c r="Y21" s="3">
        <v>-5.15</v>
      </c>
      <c r="Z21" s="3" t="s">
        <v>595</v>
      </c>
      <c r="AA21" s="3" t="s">
        <v>180</v>
      </c>
      <c r="AB21" s="3" t="s">
        <v>1019</v>
      </c>
      <c r="AC21" s="3" t="s">
        <v>1020</v>
      </c>
      <c r="AD21" s="3" t="s">
        <v>52</v>
      </c>
      <c r="AE21" s="3">
        <v>692595</v>
      </c>
      <c r="AF21" s="3" t="s">
        <v>1021</v>
      </c>
      <c r="AG21" s="3" t="s">
        <v>1022</v>
      </c>
      <c r="AH21" s="3" t="s">
        <v>1023</v>
      </c>
      <c r="AI21" s="3" t="s">
        <v>1024</v>
      </c>
      <c r="AJ21" s="3" t="s">
        <v>1025</v>
      </c>
      <c r="AK21" s="3" t="s">
        <v>52</v>
      </c>
      <c r="AL21" s="3" t="s">
        <v>1026</v>
      </c>
      <c r="AM21" s="3" t="s">
        <v>52</v>
      </c>
      <c r="AN21" s="3">
        <v>0</v>
      </c>
      <c r="AO21" s="3" t="s">
        <v>52</v>
      </c>
      <c r="AP21" s="3" t="s">
        <v>52</v>
      </c>
      <c r="AQ21" s="3" t="s">
        <v>1027</v>
      </c>
      <c r="AR21" s="3" t="s">
        <v>52</v>
      </c>
      <c r="AS21" s="3" t="s">
        <v>1028</v>
      </c>
      <c r="AT21" s="3" t="s">
        <v>52</v>
      </c>
      <c r="AU21" s="3" t="s">
        <v>1029</v>
      </c>
      <c r="AV21" s="3" t="s">
        <v>1030</v>
      </c>
      <c r="AW21" s="3" t="s">
        <v>1031</v>
      </c>
      <c r="AX21" s="3" t="s">
        <v>355</v>
      </c>
      <c r="AY21" s="3" t="s">
        <v>178</v>
      </c>
      <c r="AZ21" s="3" t="s">
        <v>174</v>
      </c>
      <c r="BA21" s="3" t="s">
        <v>121</v>
      </c>
      <c r="BB21" s="3" t="s">
        <v>114</v>
      </c>
      <c r="BC21" s="3" t="s">
        <v>544</v>
      </c>
      <c r="BD21" s="3" t="s">
        <v>293</v>
      </c>
      <c r="BE21" s="3" t="s">
        <v>175</v>
      </c>
      <c r="BF21" s="3" t="s">
        <v>176</v>
      </c>
      <c r="BG21" s="3" t="s">
        <v>177</v>
      </c>
      <c r="BH21" s="3" t="s">
        <v>1032</v>
      </c>
      <c r="BI21" s="3" t="s">
        <v>487</v>
      </c>
      <c r="BJ21" s="3" t="s">
        <v>355</v>
      </c>
      <c r="BK21" s="3" t="s">
        <v>1033</v>
      </c>
      <c r="BL21" s="3" t="s">
        <v>1329</v>
      </c>
      <c r="BM21" s="3" t="s">
        <v>544</v>
      </c>
      <c r="BN21" s="3" t="s">
        <v>52</v>
      </c>
      <c r="BO21" s="3" t="s">
        <v>52</v>
      </c>
      <c r="BP21" s="3">
        <v>3.64</v>
      </c>
      <c r="BQ21" s="3">
        <v>-12.72</v>
      </c>
      <c r="BR21" s="3">
        <v>-22.64</v>
      </c>
      <c r="BS21" s="3">
        <v>3.39</v>
      </c>
      <c r="BT21" s="3" t="s">
        <v>478</v>
      </c>
      <c r="BU21" s="3" t="s">
        <v>49</v>
      </c>
      <c r="BV21" s="3">
        <v>7.96</v>
      </c>
      <c r="BW21" s="3">
        <v>12.99</v>
      </c>
      <c r="BX21" s="3">
        <v>20.98</v>
      </c>
      <c r="BY21" s="3">
        <v>-4.1900000000000004</v>
      </c>
      <c r="BZ21" s="3">
        <v>-11.12</v>
      </c>
      <c r="CA21" s="3">
        <v>2.09</v>
      </c>
      <c r="CB21" s="3">
        <v>8.57</v>
      </c>
      <c r="CC21" s="3">
        <v>-51.49</v>
      </c>
      <c r="CD21" s="3" t="s">
        <v>1330</v>
      </c>
      <c r="CE21" s="3" t="s">
        <v>275</v>
      </c>
      <c r="CF21" s="10">
        <v>1.4388489208633094E-2</v>
      </c>
      <c r="CG21" s="11">
        <v>-18.387367917762372</v>
      </c>
      <c r="CH21" s="10">
        <v>1.3276450634002686</v>
      </c>
      <c r="CI21" s="10">
        <v>-6.0897435992956161E-2</v>
      </c>
      <c r="CJ21" s="10">
        <v>-0.3619631826877594</v>
      </c>
      <c r="CK21" s="10">
        <v>0.38526913523674011</v>
      </c>
      <c r="CL21" s="10">
        <v>-0.44057053327560425</v>
      </c>
      <c r="CM21" s="11">
        <v>0.12227455526590347</v>
      </c>
      <c r="CN21" s="11">
        <v>-6.001183032989502</v>
      </c>
      <c r="CO21" s="11">
        <v>1.0743842124938965</v>
      </c>
      <c r="CP21" s="11">
        <v>5.8664917945861816E-2</v>
      </c>
      <c r="CQ21" s="11">
        <v>-4.4389114379882812</v>
      </c>
      <c r="CR21" s="3">
        <v>-31.84916886667833</v>
      </c>
      <c r="CS21" s="3">
        <v>-1.8746206290477081</v>
      </c>
      <c r="CT21" s="3">
        <v>0</v>
      </c>
      <c r="CU21" s="10">
        <v>0.16989660933613776</v>
      </c>
      <c r="CV21" s="11">
        <v>-1.8369541570544243</v>
      </c>
      <c r="CW21" s="3">
        <v>0.06</v>
      </c>
      <c r="CX21" s="3" t="e">
        <v>#VALUE!</v>
      </c>
      <c r="CY21" s="3" t="s">
        <v>328</v>
      </c>
      <c r="CZ21" s="3">
        <v>0.16989660933613776</v>
      </c>
      <c r="DA21" s="3" t="e">
        <v>#VALUE!</v>
      </c>
      <c r="DB21" s="3" t="s">
        <v>329</v>
      </c>
      <c r="DC21" s="3">
        <v>0.16140177886933085</v>
      </c>
      <c r="DD21" s="3" t="e">
        <v>#VALUE!</v>
      </c>
      <c r="DE21" s="3" t="s">
        <v>329</v>
      </c>
      <c r="DF21" s="3">
        <v>0.14950901621580123</v>
      </c>
      <c r="DG21" s="3" t="e">
        <v>#VALUE!</v>
      </c>
      <c r="DH21" s="3" t="s">
        <v>329</v>
      </c>
      <c r="DI21" s="3">
        <v>0.13591728746891021</v>
      </c>
      <c r="DJ21" s="3" t="e">
        <v>#VALUE!</v>
      </c>
      <c r="DK21" s="3" t="s">
        <v>329</v>
      </c>
      <c r="DL21" s="3">
        <v>0.11892762653529643</v>
      </c>
      <c r="DM21" s="3">
        <v>-28569699.999999996</v>
      </c>
      <c r="DN21" s="3">
        <v>0.16989660933613776</v>
      </c>
      <c r="DO21" s="3">
        <v>1061774320</v>
      </c>
      <c r="DP21" s="3">
        <v>62081008.999999993</v>
      </c>
      <c r="DQ21" s="3">
        <v>2194</v>
      </c>
      <c r="DR21" s="3">
        <v>-0.15550812012750467</v>
      </c>
      <c r="DS21" s="3">
        <v>-16.550413760707947</v>
      </c>
      <c r="DT21" s="12">
        <v>-0.22333333333333338</v>
      </c>
      <c r="DU21" s="3">
        <v>-2.7983333333333333</v>
      </c>
      <c r="DV21" s="3">
        <v>-3.0216666666666665</v>
      </c>
      <c r="DW21" s="3">
        <v>7.1426906426906429</v>
      </c>
      <c r="DX21" s="3">
        <v>0.43495025510204072</v>
      </c>
      <c r="DY21" s="3">
        <v>7.0192561386317767</v>
      </c>
      <c r="DZ21" s="3">
        <v>4889</v>
      </c>
      <c r="EA21" s="3">
        <v>7.0008255862099373</v>
      </c>
      <c r="EB21" s="3">
        <v>7</v>
      </c>
      <c r="EC21" s="3">
        <v>0.40672073443629009</v>
      </c>
      <c r="ED21" s="3">
        <v>3.0138567291240292</v>
      </c>
      <c r="EE21" s="13">
        <v>6.06921</v>
      </c>
      <c r="EF21" s="3">
        <v>6.0536099999999999</v>
      </c>
      <c r="EG21" s="3">
        <v>30.134950255102041</v>
      </c>
      <c r="EH21" s="3" t="s">
        <v>961</v>
      </c>
      <c r="EI21" s="3">
        <v>1</v>
      </c>
      <c r="EJ21" s="3">
        <v>0</v>
      </c>
      <c r="EK21" s="15">
        <v>45505</v>
      </c>
      <c r="EL21" s="16">
        <v>-1.01</v>
      </c>
      <c r="EM21" s="16">
        <v>0.13</v>
      </c>
      <c r="EN21" s="16">
        <v>2.4300000000000002</v>
      </c>
      <c r="EO21" s="16">
        <v>3.21</v>
      </c>
      <c r="EP21" s="16">
        <v>1.56</v>
      </c>
    </row>
    <row r="22" spans="1:146" ht="96" x14ac:dyDescent="0.25">
      <c r="C22" s="7" t="str">
        <f>""&amp;CHAR(10)&amp;Basic_Fundamental_Information_Constructure(F22)&amp;CHAR(10)&amp;Basic_Fundamental_Information_Concatenate("")</f>
        <v xml:space="preserve">
市值58.189375亿, 利润2213.32万; PE162.1; 平均PE35.88; 平均PEG8.52, PB2.88; ROIC6.5467%; ROE9.2033%; 股利率.1299%; 毛利12.4333%; 净利2.45%; 上一年度营收增-76%, 利润增-83.23%; 当季营收增-48.87%, 利润增-8.46%; 过往5年营收增4.21%, 利润增-17.77%
Income profile:
</v>
      </c>
      <c r="D22" s="3" t="s">
        <v>181</v>
      </c>
      <c r="E22" s="3" t="s">
        <v>182</v>
      </c>
      <c r="F22" s="3">
        <v>8.4700000000000006</v>
      </c>
      <c r="G22" s="3">
        <v>0.59</v>
      </c>
      <c r="H22" s="3" t="s">
        <v>1035</v>
      </c>
      <c r="I22" s="3">
        <v>5818937500</v>
      </c>
      <c r="J22" s="3">
        <v>162.1</v>
      </c>
      <c r="K22" s="3">
        <v>2.88</v>
      </c>
      <c r="L22" s="3" t="s">
        <v>49</v>
      </c>
      <c r="M22" s="3" t="s">
        <v>1036</v>
      </c>
      <c r="N22" s="3" t="s">
        <v>1037</v>
      </c>
      <c r="O22" s="3" t="s">
        <v>1038</v>
      </c>
      <c r="P22" s="3">
        <v>5.89</v>
      </c>
      <c r="Q22" s="3" t="s">
        <v>1038</v>
      </c>
      <c r="R22" s="3">
        <v>22133161</v>
      </c>
      <c r="S22" s="5">
        <v>9.3899999999999997E-2</v>
      </c>
      <c r="T22" s="3" t="s">
        <v>1039</v>
      </c>
      <c r="U22" s="3">
        <v>468556660</v>
      </c>
      <c r="V22" s="3">
        <v>687005600</v>
      </c>
      <c r="W22" s="3">
        <v>2.0699999999999998</v>
      </c>
      <c r="X22" s="3">
        <v>0.33</v>
      </c>
      <c r="Y22" s="3">
        <v>1.6</v>
      </c>
      <c r="Z22" s="3" t="s">
        <v>1040</v>
      </c>
      <c r="AA22" s="3" t="s">
        <v>1041</v>
      </c>
      <c r="AB22" s="3" t="s">
        <v>1042</v>
      </c>
      <c r="AC22" s="3" t="s">
        <v>1043</v>
      </c>
      <c r="AD22" s="3" t="s">
        <v>52</v>
      </c>
      <c r="AE22" s="3">
        <v>9376243</v>
      </c>
      <c r="AF22" s="3" t="s">
        <v>1044</v>
      </c>
      <c r="AG22" s="3" t="s">
        <v>1045</v>
      </c>
      <c r="AH22" s="3" t="s">
        <v>1046</v>
      </c>
      <c r="AI22" s="3" t="s">
        <v>602</v>
      </c>
      <c r="AJ22" s="3" t="s">
        <v>1047</v>
      </c>
      <c r="AK22" s="3" t="s">
        <v>1048</v>
      </c>
      <c r="AL22" s="3" t="s">
        <v>1049</v>
      </c>
      <c r="AM22" s="3" t="s">
        <v>52</v>
      </c>
      <c r="AN22" s="3">
        <v>0</v>
      </c>
      <c r="AO22" s="3" t="s">
        <v>1050</v>
      </c>
      <c r="AP22" s="3" t="s">
        <v>1051</v>
      </c>
      <c r="AQ22" s="3" t="s">
        <v>839</v>
      </c>
      <c r="AR22" s="3" t="s">
        <v>52</v>
      </c>
      <c r="AS22" s="3" t="s">
        <v>368</v>
      </c>
      <c r="AT22" s="3" t="s">
        <v>1052</v>
      </c>
      <c r="AU22" s="3" t="s">
        <v>1053</v>
      </c>
      <c r="AV22" s="3" t="s">
        <v>1054</v>
      </c>
      <c r="AW22" s="3" t="s">
        <v>493</v>
      </c>
      <c r="AX22" s="3" t="s">
        <v>547</v>
      </c>
      <c r="AY22" s="3" t="s">
        <v>294</v>
      </c>
      <c r="AZ22" s="3" t="s">
        <v>183</v>
      </c>
      <c r="BA22" s="3" t="s">
        <v>185</v>
      </c>
      <c r="BB22" s="3" t="s">
        <v>186</v>
      </c>
      <c r="BC22" s="3" t="s">
        <v>545</v>
      </c>
      <c r="BD22" s="3" t="s">
        <v>270</v>
      </c>
      <c r="BE22" s="3" t="s">
        <v>184</v>
      </c>
      <c r="BF22" s="3" t="s">
        <v>187</v>
      </c>
      <c r="BG22" s="3" t="s">
        <v>188</v>
      </c>
      <c r="BH22" s="3" t="s">
        <v>1055</v>
      </c>
      <c r="BI22" s="3" t="s">
        <v>546</v>
      </c>
      <c r="BJ22" s="3" t="s">
        <v>547</v>
      </c>
      <c r="BK22" s="3" t="s">
        <v>1056</v>
      </c>
      <c r="BL22" s="3" t="s">
        <v>592</v>
      </c>
      <c r="BM22" s="3" t="s">
        <v>545</v>
      </c>
      <c r="BN22" s="3">
        <v>1.88</v>
      </c>
      <c r="BO22" s="3">
        <v>5.6</v>
      </c>
      <c r="BP22" s="3">
        <v>12.16</v>
      </c>
      <c r="BQ22" s="3">
        <v>1.91</v>
      </c>
      <c r="BR22" s="3">
        <v>8.26</v>
      </c>
      <c r="BS22" s="3">
        <v>17.440000000000001</v>
      </c>
      <c r="BT22" s="3" t="s">
        <v>1057</v>
      </c>
      <c r="BU22" s="3" t="s">
        <v>49</v>
      </c>
      <c r="BV22" s="3">
        <v>11.91</v>
      </c>
      <c r="BW22" s="3">
        <v>11.62</v>
      </c>
      <c r="BX22" s="3">
        <v>13.77</v>
      </c>
      <c r="BY22" s="3">
        <v>0.65</v>
      </c>
      <c r="BZ22" s="3">
        <v>2.34</v>
      </c>
      <c r="CA22" s="3">
        <v>4.3600000000000003</v>
      </c>
      <c r="CB22" s="3">
        <v>-6.31</v>
      </c>
      <c r="CC22" s="3">
        <v>-27.11</v>
      </c>
      <c r="CD22" s="3" t="s">
        <v>1058</v>
      </c>
      <c r="CE22" s="3" t="s">
        <v>1059</v>
      </c>
      <c r="CF22" s="10">
        <v>-0.48867069486404835</v>
      </c>
      <c r="CG22" s="11">
        <v>-8.4570578917110256E-2</v>
      </c>
      <c r="CH22" s="10">
        <v>-0.75997167825698853</v>
      </c>
      <c r="CI22" s="10">
        <v>5.1836684346199036E-2</v>
      </c>
      <c r="CJ22" s="10">
        <v>0.71946126222610474</v>
      </c>
      <c r="CK22" s="10">
        <v>0.50822055339813232</v>
      </c>
      <c r="CL22" s="10">
        <v>-0.30905443429946899</v>
      </c>
      <c r="CM22" s="11">
        <v>-0.83232426643371582</v>
      </c>
      <c r="CN22" s="11">
        <v>-0.44067797064781189</v>
      </c>
      <c r="CO22" s="11">
        <v>0.57333332300186157</v>
      </c>
      <c r="CP22" s="11">
        <v>0.51471084356307983</v>
      </c>
      <c r="CQ22" s="11">
        <v>-0.70350658893585205</v>
      </c>
      <c r="CR22" s="3">
        <v>35.876477914262992</v>
      </c>
      <c r="CS22" s="3">
        <v>8.5220369142624097</v>
      </c>
      <c r="CT22" s="3">
        <v>0.12987012987012986</v>
      </c>
      <c r="CU22" s="10">
        <v>4.2098477482795715E-2</v>
      </c>
      <c r="CV22" s="11">
        <v>-0.17769293189048768</v>
      </c>
      <c r="CW22" s="3">
        <v>0.06</v>
      </c>
      <c r="CX22" s="3">
        <v>285.06920249635482</v>
      </c>
      <c r="CY22" s="3">
        <v>21759409.454549257</v>
      </c>
      <c r="CZ22" s="3">
        <v>4.2098477482795715E-2</v>
      </c>
      <c r="DA22" s="3">
        <v>97.035314963040733</v>
      </c>
      <c r="DB22" s="3">
        <v>63924536.158434734</v>
      </c>
      <c r="DC22" s="3">
        <v>3.9993553608655925E-2</v>
      </c>
      <c r="DD22" s="3">
        <v>50.393548754604069</v>
      </c>
      <c r="DE22" s="3">
        <v>123089912.36568323</v>
      </c>
      <c r="DF22" s="3">
        <v>3.7046660184860226E-2</v>
      </c>
      <c r="DG22" s="3">
        <v>32.098339926799099</v>
      </c>
      <c r="DH22" s="3">
        <v>193247922.2958546</v>
      </c>
      <c r="DI22" s="3">
        <v>3.3678781986236576E-2</v>
      </c>
      <c r="DJ22" s="3">
        <v>18.777861462310195</v>
      </c>
      <c r="DK22" s="3">
        <v>330332477.55342996</v>
      </c>
      <c r="DL22" s="3">
        <v>2.9468934237957E-2</v>
      </c>
      <c r="DM22" s="3">
        <v>22133200</v>
      </c>
      <c r="DN22" s="3">
        <v>4.2098477482795715E-2</v>
      </c>
      <c r="DO22" s="3">
        <v>6202937500</v>
      </c>
      <c r="DP22" s="3">
        <v>1643747799.9999998</v>
      </c>
      <c r="DQ22" s="3">
        <v>2425</v>
      </c>
      <c r="DR22" s="3">
        <v>-0.53076917234684406</v>
      </c>
      <c r="DS22" s="3">
        <v>9.3122352973377426E-2</v>
      </c>
      <c r="DT22" s="12">
        <v>-0.49</v>
      </c>
      <c r="DU22" s="3">
        <v>-0.65333333333333332</v>
      </c>
      <c r="DV22" s="3">
        <v>-1.1433333333333333</v>
      </c>
      <c r="DW22" s="3">
        <v>-9.2327554407967547</v>
      </c>
      <c r="DX22" s="3">
        <v>0.27907175384615546</v>
      </c>
      <c r="DY22" s="3">
        <v>-9.0253870441449369</v>
      </c>
      <c r="DZ22" s="3">
        <v>574</v>
      </c>
      <c r="EA22" s="3">
        <v>-9.0225353487752322</v>
      </c>
      <c r="EB22" s="3">
        <v>9</v>
      </c>
      <c r="EC22" s="3">
        <v>0.14447524154097144</v>
      </c>
      <c r="ED22" s="3">
        <v>1.3245889116478817</v>
      </c>
      <c r="EE22" s="13">
        <v>-5.0857000000000001</v>
      </c>
      <c r="EF22" s="3">
        <v>-5.0544000000000002</v>
      </c>
      <c r="EG22" s="3">
        <v>17.109071753846155</v>
      </c>
      <c r="EH22" s="3" t="s">
        <v>767</v>
      </c>
      <c r="EI22" s="3">
        <v>0</v>
      </c>
      <c r="EJ22" s="3">
        <v>1</v>
      </c>
      <c r="EK22" s="15">
        <v>45470</v>
      </c>
      <c r="EL22" s="16">
        <v>-0.39</v>
      </c>
      <c r="EM22" s="16">
        <v>-4.28</v>
      </c>
      <c r="EN22" s="16">
        <v>-0.9</v>
      </c>
      <c r="EO22" s="16">
        <v>4.17</v>
      </c>
      <c r="EP22" s="16">
        <v>-3.13</v>
      </c>
    </row>
    <row r="23" spans="1:146" ht="96" x14ac:dyDescent="0.25">
      <c r="C23" s="7" t="str">
        <f>""&amp;CHAR(10)&amp;Basic_Fundamental_Information_Constructure(F23)&amp;CHAR(10)&amp;Basic_Fundamental_Information_Concatenate("")</f>
        <v xml:space="preserve">
市值25.0416亿, 利润1130.82万; PE114; 平均PE55; 平均PEG6.18, PB3.89; ROIC6.215%; ROE4.63%; 股利率.1725%; 毛利27.2567%; 净利6.0633%; 上一年度营收增25.52%, 利润增33.21%; 当季营收增45.33%, 利润增124.4%; 过往5年营收增8.9%, 利润增2.67%
Income profile:
</v>
      </c>
      <c r="D23" s="3" t="s">
        <v>189</v>
      </c>
      <c r="E23" s="3" t="s">
        <v>190</v>
      </c>
      <c r="F23" s="3">
        <v>17.39</v>
      </c>
      <c r="G23" s="3">
        <v>-1.25</v>
      </c>
      <c r="H23" s="3" t="s">
        <v>1331</v>
      </c>
      <c r="I23" s="3">
        <v>2504160000</v>
      </c>
      <c r="J23" s="3">
        <v>114</v>
      </c>
      <c r="K23" s="3">
        <v>3.89</v>
      </c>
      <c r="L23" s="3" t="s">
        <v>49</v>
      </c>
      <c r="M23" s="3" t="s">
        <v>1060</v>
      </c>
      <c r="N23" s="3" t="s">
        <v>574</v>
      </c>
      <c r="O23" s="3" t="s">
        <v>487</v>
      </c>
      <c r="P23" s="3">
        <v>45.31</v>
      </c>
      <c r="Q23" s="3" t="s">
        <v>120</v>
      </c>
      <c r="R23" s="3">
        <v>2089339</v>
      </c>
      <c r="S23" s="5">
        <v>1.244</v>
      </c>
      <c r="T23" s="3" t="s">
        <v>1078</v>
      </c>
      <c r="U23" s="3">
        <v>86684400</v>
      </c>
      <c r="V23" s="3">
        <v>144000000</v>
      </c>
      <c r="W23" s="3">
        <v>2.08</v>
      </c>
      <c r="X23" s="3">
        <v>0.1</v>
      </c>
      <c r="Y23" s="3">
        <v>1.22</v>
      </c>
      <c r="Z23" s="3" t="s">
        <v>113</v>
      </c>
      <c r="AA23" s="3" t="s">
        <v>344</v>
      </c>
      <c r="AB23" s="3" t="s">
        <v>1061</v>
      </c>
      <c r="AC23" s="3" t="s">
        <v>1062</v>
      </c>
      <c r="AD23" s="3" t="s">
        <v>52</v>
      </c>
      <c r="AE23" s="3">
        <v>4166139</v>
      </c>
      <c r="AF23" s="3" t="s">
        <v>1063</v>
      </c>
      <c r="AG23" s="3" t="s">
        <v>1064</v>
      </c>
      <c r="AH23" s="3" t="s">
        <v>1065</v>
      </c>
      <c r="AI23" s="3" t="s">
        <v>100</v>
      </c>
      <c r="AJ23" s="3" t="s">
        <v>1066</v>
      </c>
      <c r="AK23" s="3" t="s">
        <v>1067</v>
      </c>
      <c r="AL23" s="3" t="s">
        <v>1068</v>
      </c>
      <c r="AM23" s="3" t="s">
        <v>52</v>
      </c>
      <c r="AN23" s="3" t="s">
        <v>1069</v>
      </c>
      <c r="AO23" s="3" t="s">
        <v>1070</v>
      </c>
      <c r="AP23" s="3" t="s">
        <v>1071</v>
      </c>
      <c r="AQ23" s="3" t="s">
        <v>557</v>
      </c>
      <c r="AR23" s="3" t="s">
        <v>52</v>
      </c>
      <c r="AS23" s="3" t="s">
        <v>1072</v>
      </c>
      <c r="AT23" s="3" t="s">
        <v>1073</v>
      </c>
      <c r="AU23" s="3" t="s">
        <v>1074</v>
      </c>
      <c r="AV23" s="3" t="s">
        <v>1075</v>
      </c>
      <c r="AW23" s="3" t="s">
        <v>1076</v>
      </c>
      <c r="AX23" s="3" t="s">
        <v>549</v>
      </c>
      <c r="AY23" s="3" t="s">
        <v>295</v>
      </c>
      <c r="AZ23" s="3" t="s">
        <v>191</v>
      </c>
      <c r="BA23" s="3" t="s">
        <v>194</v>
      </c>
      <c r="BB23" s="3" t="s">
        <v>195</v>
      </c>
      <c r="BC23" s="3" t="s">
        <v>1077</v>
      </c>
      <c r="BD23" s="3" t="s">
        <v>296</v>
      </c>
      <c r="BE23" s="3" t="s">
        <v>192</v>
      </c>
      <c r="BF23" s="3" t="s">
        <v>196</v>
      </c>
      <c r="BG23" s="3" t="s">
        <v>197</v>
      </c>
      <c r="BH23" s="3" t="s">
        <v>120</v>
      </c>
      <c r="BI23" s="3" t="s">
        <v>1332</v>
      </c>
      <c r="BJ23" s="3" t="s">
        <v>549</v>
      </c>
      <c r="BK23" s="3" t="s">
        <v>1078</v>
      </c>
      <c r="BL23" s="3" t="s">
        <v>1333</v>
      </c>
      <c r="BM23" s="3" t="s">
        <v>1077</v>
      </c>
      <c r="BN23" s="3" t="s">
        <v>52</v>
      </c>
      <c r="BO23" s="3">
        <v>1.57</v>
      </c>
      <c r="BP23" s="3">
        <v>10.86</v>
      </c>
      <c r="BQ23" s="3">
        <v>-1.55</v>
      </c>
      <c r="BR23" s="3">
        <v>1.33</v>
      </c>
      <c r="BS23" s="3">
        <v>14.11</v>
      </c>
      <c r="BT23" s="3" t="s">
        <v>1016</v>
      </c>
      <c r="BU23" s="3" t="s">
        <v>49</v>
      </c>
      <c r="BV23" s="3">
        <v>27.15</v>
      </c>
      <c r="BW23" s="3">
        <v>24.15</v>
      </c>
      <c r="BX23" s="3">
        <v>30.47</v>
      </c>
      <c r="BY23" s="3">
        <v>1.93</v>
      </c>
      <c r="BZ23" s="3">
        <v>1.9</v>
      </c>
      <c r="CA23" s="3">
        <v>14.36</v>
      </c>
      <c r="CB23" s="3">
        <v>8.9600000000000009</v>
      </c>
      <c r="CC23" s="3">
        <v>11.4</v>
      </c>
      <c r="CD23" s="3" t="s">
        <v>1334</v>
      </c>
      <c r="CE23" s="3" t="s">
        <v>491</v>
      </c>
      <c r="CF23" s="10">
        <v>0.4533288025720783</v>
      </c>
      <c r="CG23" s="11">
        <v>1.2439932968200769</v>
      </c>
      <c r="CH23" s="10">
        <v>0.25522041320800781</v>
      </c>
      <c r="CI23" s="10">
        <v>-0.13627254962921143</v>
      </c>
      <c r="CJ23" s="10">
        <v>8.0086581408977509E-2</v>
      </c>
      <c r="CK23" s="10">
        <v>4.76190485060215E-2</v>
      </c>
      <c r="CL23" s="10">
        <v>0.19836956262588501</v>
      </c>
      <c r="CM23" s="11">
        <v>0.33205330371856689</v>
      </c>
      <c r="CN23" s="11">
        <v>-0.88213562965393066</v>
      </c>
      <c r="CO23" s="11">
        <v>-3.728119283914566E-2</v>
      </c>
      <c r="CP23" s="11">
        <v>0.14886441826820374</v>
      </c>
      <c r="CQ23" s="11">
        <v>0.5721924901008606</v>
      </c>
      <c r="CR23" s="3">
        <v>55.000179368782945</v>
      </c>
      <c r="CS23" s="3">
        <v>6.1794752667816502</v>
      </c>
      <c r="CT23" s="3">
        <v>0.17251293847038526</v>
      </c>
      <c r="CU23" s="10">
        <v>8.9004611223936075E-2</v>
      </c>
      <c r="CV23" s="11">
        <v>2.6738677918910981E-2</v>
      </c>
      <c r="CW23" s="3">
        <v>0.06</v>
      </c>
      <c r="CX23" s="3">
        <v>221.31546817461205</v>
      </c>
      <c r="CY23" s="3">
        <v>11617624.476077843</v>
      </c>
      <c r="CZ23" s="3">
        <v>8.9004611223936075E-2</v>
      </c>
      <c r="DA23" s="3">
        <v>72.384823124101203</v>
      </c>
      <c r="DB23" s="3">
        <v>35520705.709148973</v>
      </c>
      <c r="DC23" s="3">
        <v>8.4554380662739265E-2</v>
      </c>
      <c r="DD23" s="3">
        <v>35.673550899101208</v>
      </c>
      <c r="DE23" s="3">
        <v>72074686.573036954</v>
      </c>
      <c r="DF23" s="3">
        <v>7.8324057877063744E-2</v>
      </c>
      <c r="DG23" s="3">
        <v>21.449814151855392</v>
      </c>
      <c r="DH23" s="3">
        <v>119868637.63934274</v>
      </c>
      <c r="DI23" s="3">
        <v>7.120368897914886E-2</v>
      </c>
      <c r="DJ23" s="3">
        <v>11.111531866630703</v>
      </c>
      <c r="DK23" s="3">
        <v>231395637.51074773</v>
      </c>
      <c r="DL23" s="3">
        <v>6.2303227856755246E-2</v>
      </c>
      <c r="DM23" s="3">
        <v>11308200</v>
      </c>
      <c r="DN23" s="3">
        <v>8.9004611223936075E-2</v>
      </c>
      <c r="DO23" s="3">
        <v>2571160000</v>
      </c>
      <c r="DP23" s="3">
        <v>-21712940</v>
      </c>
      <c r="DQ23" s="3">
        <v>2436</v>
      </c>
      <c r="DR23" s="3">
        <v>0.3643241913481422</v>
      </c>
      <c r="DS23" s="3">
        <v>1.2172546189011659</v>
      </c>
      <c r="DT23" s="12">
        <v>-0.17333333333333334</v>
      </c>
      <c r="DU23" s="3">
        <v>-3.3333333333333361E-2</v>
      </c>
      <c r="DV23" s="3">
        <v>-0.20666666666666669</v>
      </c>
      <c r="DW23" s="3">
        <v>9.7859649122807024</v>
      </c>
      <c r="DX23" s="3">
        <v>0.31416389961390095</v>
      </c>
      <c r="DY23" s="3">
        <v>9.0975884684684694</v>
      </c>
      <c r="DZ23" s="3">
        <v>2297</v>
      </c>
      <c r="EA23" s="3">
        <v>9.0537042256978992</v>
      </c>
      <c r="EB23" s="3">
        <v>9</v>
      </c>
      <c r="EC23" s="3">
        <v>0.44664513888888885</v>
      </c>
      <c r="ED23" s="3">
        <v>3.5972222222222223</v>
      </c>
      <c r="EE23" s="13">
        <v>-3.00061</v>
      </c>
      <c r="EF23" s="3">
        <v>-3.0131100000000002</v>
      </c>
      <c r="EG23" s="3">
        <v>19.124163899613901</v>
      </c>
      <c r="EH23" s="3" t="s">
        <v>612</v>
      </c>
      <c r="EI23" s="3">
        <v>1</v>
      </c>
      <c r="EJ23" s="3">
        <v>0</v>
      </c>
      <c r="EK23" s="15">
        <v>45505</v>
      </c>
      <c r="EL23" s="16">
        <v>-8.1199999999999992</v>
      </c>
      <c r="EM23" s="16">
        <v>2.13</v>
      </c>
      <c r="EN23" s="16">
        <v>3.19</v>
      </c>
      <c r="EO23" s="16">
        <v>0.8</v>
      </c>
      <c r="EP23" s="16">
        <v>-1.25</v>
      </c>
    </row>
    <row r="24" spans="1:146" ht="96" x14ac:dyDescent="0.25">
      <c r="C24" s="7" t="str">
        <f>""&amp;CHAR(10)&amp;Basic_Fundamental_Information_Constructure(F24)&amp;CHAR(10)&amp;Basic_Fundamental_Information_Concatenate("")</f>
        <v xml:space="preserve">
市值51.35175亿, 利润1.17亿; PE46.12; 平均PE64.7; 平均PEG1.31, PB4.98; ROIC14.7333%; ROE14.9767%; 股利率.7744%; 毛利41.15%; 净利17.4433%; 上一年度营收增40.4%, 利润增-24.03%; 当季营收增15.95%, 利润增-17.31%; 过往5年营收增49.21%, 利润增35.71%
Income profile:
</v>
      </c>
      <c r="D24" s="3" t="s">
        <v>198</v>
      </c>
      <c r="E24" s="3" t="s">
        <v>199</v>
      </c>
      <c r="F24" s="3">
        <v>77.48</v>
      </c>
      <c r="G24" s="3">
        <v>-3.07</v>
      </c>
      <c r="H24" s="3" t="s">
        <v>1335</v>
      </c>
      <c r="I24" s="3">
        <v>5135175000</v>
      </c>
      <c r="J24" s="3">
        <v>46.12</v>
      </c>
      <c r="K24" s="3">
        <v>4.9800000000000004</v>
      </c>
      <c r="L24" s="3" t="s">
        <v>49</v>
      </c>
      <c r="M24" s="3" t="s">
        <v>567</v>
      </c>
      <c r="N24" s="3" t="s">
        <v>1079</v>
      </c>
      <c r="O24" s="3" t="s">
        <v>334</v>
      </c>
      <c r="P24" s="3">
        <v>16.100000000000001</v>
      </c>
      <c r="Q24" s="3" t="s">
        <v>1092</v>
      </c>
      <c r="R24" s="3">
        <v>26905647</v>
      </c>
      <c r="S24" s="5">
        <v>-0.1731</v>
      </c>
      <c r="T24" s="3" t="s">
        <v>599</v>
      </c>
      <c r="U24" s="3">
        <v>36417198</v>
      </c>
      <c r="V24" s="3">
        <v>66277427</v>
      </c>
      <c r="W24" s="3">
        <v>1.64</v>
      </c>
      <c r="X24" s="3">
        <v>0.16</v>
      </c>
      <c r="Y24" s="3">
        <v>10</v>
      </c>
      <c r="Z24" s="3" t="s">
        <v>589</v>
      </c>
      <c r="AA24" s="3" t="s">
        <v>588</v>
      </c>
      <c r="AB24" s="3" t="s">
        <v>1080</v>
      </c>
      <c r="AC24" s="3" t="s">
        <v>1081</v>
      </c>
      <c r="AD24" s="3" t="s">
        <v>52</v>
      </c>
      <c r="AE24" s="3">
        <v>1175091</v>
      </c>
      <c r="AF24" s="3" t="s">
        <v>84</v>
      </c>
      <c r="AG24" s="3" t="s">
        <v>1082</v>
      </c>
      <c r="AH24" s="3" t="s">
        <v>1083</v>
      </c>
      <c r="AI24" s="3" t="s">
        <v>162</v>
      </c>
      <c r="AJ24" s="3" t="s">
        <v>1084</v>
      </c>
      <c r="AK24" s="3" t="s">
        <v>1085</v>
      </c>
      <c r="AL24" s="3" t="s">
        <v>1086</v>
      </c>
      <c r="AM24" s="3" t="s">
        <v>52</v>
      </c>
      <c r="AN24" s="3" t="s">
        <v>1087</v>
      </c>
      <c r="AO24" s="3" t="s">
        <v>133</v>
      </c>
      <c r="AP24" s="3" t="s">
        <v>106</v>
      </c>
      <c r="AQ24" s="3" t="s">
        <v>85</v>
      </c>
      <c r="AR24" s="3">
        <v>6051.96</v>
      </c>
      <c r="AS24" s="3" t="s">
        <v>1088</v>
      </c>
      <c r="AT24" s="3" t="s">
        <v>52</v>
      </c>
      <c r="AU24" s="3" t="s">
        <v>1089</v>
      </c>
      <c r="AV24" s="3" t="s">
        <v>1090</v>
      </c>
      <c r="AW24" s="3" t="s">
        <v>1091</v>
      </c>
      <c r="AX24" s="3" t="s">
        <v>550</v>
      </c>
      <c r="AY24" s="3" t="s">
        <v>142</v>
      </c>
      <c r="AZ24" s="3" t="s">
        <v>58</v>
      </c>
      <c r="BA24" s="3" t="s">
        <v>202</v>
      </c>
      <c r="BB24" s="3" t="s">
        <v>203</v>
      </c>
      <c r="BC24" s="3" t="s">
        <v>66</v>
      </c>
      <c r="BD24" s="3" t="s">
        <v>297</v>
      </c>
      <c r="BE24" s="3" t="s">
        <v>200</v>
      </c>
      <c r="BF24" s="3" t="s">
        <v>204</v>
      </c>
      <c r="BG24" s="3" t="s">
        <v>205</v>
      </c>
      <c r="BH24" s="3" t="s">
        <v>1092</v>
      </c>
      <c r="BI24" s="3" t="s">
        <v>384</v>
      </c>
      <c r="BJ24" s="3" t="s">
        <v>550</v>
      </c>
      <c r="BK24" s="3" t="s">
        <v>599</v>
      </c>
      <c r="BL24" s="3" t="s">
        <v>1336</v>
      </c>
      <c r="BM24" s="3" t="s">
        <v>66</v>
      </c>
      <c r="BN24" s="3">
        <v>8.65</v>
      </c>
      <c r="BO24" s="3">
        <v>19.16</v>
      </c>
      <c r="BP24" s="3">
        <v>16.39</v>
      </c>
      <c r="BQ24" s="3">
        <v>9.6</v>
      </c>
      <c r="BR24" s="3">
        <v>19.79</v>
      </c>
      <c r="BS24" s="3">
        <v>15.54</v>
      </c>
      <c r="BT24" s="3" t="s">
        <v>486</v>
      </c>
      <c r="BU24" s="3" t="s">
        <v>49</v>
      </c>
      <c r="BV24" s="3">
        <v>40.880000000000003</v>
      </c>
      <c r="BW24" s="3">
        <v>41.93</v>
      </c>
      <c r="BX24" s="3">
        <v>40.64</v>
      </c>
      <c r="BY24" s="3">
        <v>11.04</v>
      </c>
      <c r="BZ24" s="3">
        <v>20.38</v>
      </c>
      <c r="CA24" s="3">
        <v>20.91</v>
      </c>
      <c r="CB24" s="3">
        <v>6.04</v>
      </c>
      <c r="CC24" s="3">
        <v>-5.21</v>
      </c>
      <c r="CD24" s="3" t="s">
        <v>1337</v>
      </c>
      <c r="CE24" s="3" t="s">
        <v>1338</v>
      </c>
      <c r="CF24" s="10">
        <v>0.15948275862068981</v>
      </c>
      <c r="CG24" s="11">
        <v>-0.17311856343369589</v>
      </c>
      <c r="CH24" s="10">
        <v>0.40397351980209351</v>
      </c>
      <c r="CI24" s="10">
        <v>0.96103894710540771</v>
      </c>
      <c r="CJ24" s="10">
        <v>0.70353984832763672</v>
      </c>
      <c r="CK24" s="10">
        <v>0.18324607610702515</v>
      </c>
      <c r="CL24" s="10">
        <v>0.20886075496673584</v>
      </c>
      <c r="CM24" s="11">
        <v>-0.24025973677635193</v>
      </c>
      <c r="CN24" s="11">
        <v>0.91359728574752808</v>
      </c>
      <c r="CO24" s="11">
        <v>0.45303362607955933</v>
      </c>
      <c r="CP24" s="11">
        <v>0.46946468949317932</v>
      </c>
      <c r="CQ24" s="11">
        <v>0.18978367745876312</v>
      </c>
      <c r="CR24" s="3">
        <v>64.697631299063588</v>
      </c>
      <c r="CS24" s="3">
        <v>1.3146402539358812</v>
      </c>
      <c r="CT24" s="3">
        <v>0.77439339184305622</v>
      </c>
      <c r="CU24" s="10">
        <v>0.49213182926177979</v>
      </c>
      <c r="CV24" s="11">
        <v>0.35712390840053559</v>
      </c>
      <c r="CW24" s="3">
        <v>0.06</v>
      </c>
      <c r="CX24" s="3">
        <v>29.157534047718354</v>
      </c>
      <c r="CY24" s="3">
        <v>164697569.83361155</v>
      </c>
      <c r="CZ24" s="3">
        <v>0.49213182926177979</v>
      </c>
      <c r="DA24" s="3">
        <v>6.8926254488080607</v>
      </c>
      <c r="DB24" s="3">
        <v>696712020.06637955</v>
      </c>
      <c r="DC24" s="3">
        <v>0.46752523779869076</v>
      </c>
      <c r="DD24" s="3">
        <v>2.0925289193756695</v>
      </c>
      <c r="DE24" s="3">
        <v>2294914519.7155914</v>
      </c>
      <c r="DF24" s="3">
        <v>0.4330760097503662</v>
      </c>
      <c r="DG24" s="3">
        <v>0.68057012862817379</v>
      </c>
      <c r="DH24" s="3">
        <v>7056106046.9694004</v>
      </c>
      <c r="DI24" s="3">
        <v>0.39370546340942386</v>
      </c>
      <c r="DJ24" s="3">
        <v>7.5417191005840448E-2</v>
      </c>
      <c r="DK24" s="3">
        <v>63674805915.64476</v>
      </c>
      <c r="DL24" s="3">
        <v>0.34449228048324582</v>
      </c>
      <c r="DM24" s="3">
        <v>117000000</v>
      </c>
      <c r="DN24" s="3">
        <v>0.49213182926177979</v>
      </c>
      <c r="DO24" s="3">
        <v>4802175000</v>
      </c>
      <c r="DP24" s="3">
        <v>475323440</v>
      </c>
      <c r="DQ24" s="3">
        <v>2475</v>
      </c>
      <c r="DR24" s="3">
        <v>-0.33264907064108995</v>
      </c>
      <c r="DS24" s="3">
        <v>-0.53024247183423145</v>
      </c>
      <c r="DT24" s="12">
        <v>0.51</v>
      </c>
      <c r="DU24" s="3">
        <v>0.26333333333333325</v>
      </c>
      <c r="DV24" s="3">
        <v>0.77333333333333321</v>
      </c>
      <c r="DW24" s="3">
        <v>5.862582781456954</v>
      </c>
      <c r="DX24" s="3">
        <v>0.40979716483526385</v>
      </c>
      <c r="DY24" s="3">
        <v>5.172341594170816</v>
      </c>
      <c r="DZ24" s="3">
        <v>428</v>
      </c>
      <c r="EA24" s="3">
        <v>5.157901069052353</v>
      </c>
      <c r="EB24" s="3">
        <v>5</v>
      </c>
      <c r="EC24" s="3">
        <v>6.658224677309818E-2</v>
      </c>
      <c r="ED24" s="3">
        <v>0.33324920715464706</v>
      </c>
      <c r="EE24" s="13">
        <v>-1.0421</v>
      </c>
      <c r="EF24" s="3">
        <v>-1.0114000000000001</v>
      </c>
      <c r="EG24" s="3">
        <v>21.199797164835264</v>
      </c>
      <c r="EH24" s="3" t="s">
        <v>611</v>
      </c>
      <c r="EI24" s="3">
        <v>1</v>
      </c>
      <c r="EJ24" s="3">
        <v>1</v>
      </c>
      <c r="EK24" s="15">
        <v>45505</v>
      </c>
      <c r="EL24" s="16">
        <v>0.88</v>
      </c>
      <c r="EM24" s="16">
        <v>1.27</v>
      </c>
      <c r="EN24" s="16">
        <v>8.36</v>
      </c>
      <c r="EO24" s="16">
        <v>1.82</v>
      </c>
      <c r="EP24" s="16">
        <v>-3.07</v>
      </c>
    </row>
    <row r="25" spans="1:146" ht="96" x14ac:dyDescent="0.25">
      <c r="C25" s="7" t="str">
        <f>""&amp;CHAR(10)&amp;Basic_Fundamental_Information_Constructure(F25)&amp;CHAR(10)&amp;Basic_Fundamental_Information_Concatenate("")</f>
        <v xml:space="preserve">
市值40.260324亿, 利润5326.25万; PE66.27; 平均PE54.65; 平均PEG2.87, PB4.01; ROIC9.4067%; ROE13.9033%; 股利率.1804%; 毛利18.8133%; 净利5.4767%; 上一年度营收增12.12%, 利润增-65.41%; 当季营收增36.83%, 利润增70.23%; 过往5年营收增19.07%, 利润增19.6%
Income profile:
</v>
      </c>
      <c r="D25" s="3" t="s">
        <v>298</v>
      </c>
      <c r="E25" s="3" t="s">
        <v>299</v>
      </c>
      <c r="F25" s="3">
        <v>38.799999999999997</v>
      </c>
      <c r="G25" s="3">
        <v>3.97</v>
      </c>
      <c r="H25" s="3" t="s">
        <v>1339</v>
      </c>
      <c r="I25" s="3">
        <v>4026032400</v>
      </c>
      <c r="J25" s="3">
        <v>66.27</v>
      </c>
      <c r="K25" s="3">
        <v>4.01</v>
      </c>
      <c r="L25" s="3" t="s">
        <v>49</v>
      </c>
      <c r="M25" s="3" t="s">
        <v>1093</v>
      </c>
      <c r="N25" s="3" t="s">
        <v>1094</v>
      </c>
      <c r="O25" s="3" t="s">
        <v>1095</v>
      </c>
      <c r="P25" s="3">
        <v>36.909999999999997</v>
      </c>
      <c r="Q25" s="3" t="s">
        <v>1112</v>
      </c>
      <c r="R25" s="3">
        <v>18159322</v>
      </c>
      <c r="S25" s="5">
        <v>0.70230000000000004</v>
      </c>
      <c r="T25" s="3" t="s">
        <v>1113</v>
      </c>
      <c r="U25" s="3">
        <v>37463721</v>
      </c>
      <c r="V25" s="3">
        <v>103763721</v>
      </c>
      <c r="W25" s="3">
        <v>2.14</v>
      </c>
      <c r="X25" s="3">
        <v>0.23</v>
      </c>
      <c r="Y25" s="3">
        <v>3.85</v>
      </c>
      <c r="Z25" s="3" t="s">
        <v>1096</v>
      </c>
      <c r="AA25" s="3" t="s">
        <v>946</v>
      </c>
      <c r="AB25" s="3" t="s">
        <v>1097</v>
      </c>
      <c r="AC25" s="3" t="s">
        <v>1098</v>
      </c>
      <c r="AD25" s="3" t="s">
        <v>52</v>
      </c>
      <c r="AE25" s="3">
        <v>-4737394</v>
      </c>
      <c r="AF25" s="3" t="s">
        <v>1099</v>
      </c>
      <c r="AG25" s="3" t="s">
        <v>1100</v>
      </c>
      <c r="AH25" s="3" t="s">
        <v>1101</v>
      </c>
      <c r="AI25" s="3" t="s">
        <v>1102</v>
      </c>
      <c r="AJ25" s="3" t="s">
        <v>1103</v>
      </c>
      <c r="AK25" s="3" t="s">
        <v>1104</v>
      </c>
      <c r="AL25" s="3" t="s">
        <v>1105</v>
      </c>
      <c r="AM25" s="3" t="s">
        <v>52</v>
      </c>
      <c r="AN25" s="3" t="s">
        <v>1106</v>
      </c>
      <c r="AO25" s="3" t="s">
        <v>1107</v>
      </c>
      <c r="AP25" s="3" t="s">
        <v>1108</v>
      </c>
      <c r="AQ25" s="3" t="s">
        <v>496</v>
      </c>
      <c r="AR25" s="3" t="s">
        <v>52</v>
      </c>
      <c r="AS25" s="3" t="s">
        <v>1109</v>
      </c>
      <c r="AT25" s="3" t="s">
        <v>52</v>
      </c>
      <c r="AU25" s="3" t="s">
        <v>1110</v>
      </c>
      <c r="AV25" s="3" t="s">
        <v>1111</v>
      </c>
      <c r="AW25" s="3" t="s">
        <v>201</v>
      </c>
      <c r="AX25" s="3" t="s">
        <v>553</v>
      </c>
      <c r="AY25" s="3" t="s">
        <v>300</v>
      </c>
      <c r="AZ25" s="3" t="s">
        <v>302</v>
      </c>
      <c r="BA25" s="3" t="s">
        <v>303</v>
      </c>
      <c r="BB25" s="3" t="s">
        <v>304</v>
      </c>
      <c r="BC25" s="3" t="s">
        <v>66</v>
      </c>
      <c r="BD25" s="3" t="s">
        <v>301</v>
      </c>
      <c r="BE25" s="3" t="s">
        <v>305</v>
      </c>
      <c r="BF25" s="3" t="s">
        <v>306</v>
      </c>
      <c r="BG25" s="3" t="s">
        <v>307</v>
      </c>
      <c r="BH25" s="3" t="s">
        <v>1112</v>
      </c>
      <c r="BI25" s="3" t="s">
        <v>1340</v>
      </c>
      <c r="BJ25" s="3" t="s">
        <v>553</v>
      </c>
      <c r="BK25" s="3" t="s">
        <v>1113</v>
      </c>
      <c r="BL25" s="3" t="s">
        <v>1341</v>
      </c>
      <c r="BM25" s="3" t="s">
        <v>66</v>
      </c>
      <c r="BN25" s="3">
        <v>2.61</v>
      </c>
      <c r="BO25" s="3">
        <v>12.81</v>
      </c>
      <c r="BP25" s="3">
        <v>12.8</v>
      </c>
      <c r="BQ25" s="3">
        <v>3.81</v>
      </c>
      <c r="BR25" s="3">
        <v>16.920000000000002</v>
      </c>
      <c r="BS25" s="3">
        <v>20.98</v>
      </c>
      <c r="BT25" s="3" t="s">
        <v>1114</v>
      </c>
      <c r="BU25" s="3" t="s">
        <v>49</v>
      </c>
      <c r="BV25" s="3">
        <v>17.87</v>
      </c>
      <c r="BW25" s="3">
        <v>20.43</v>
      </c>
      <c r="BX25" s="3">
        <v>18.14</v>
      </c>
      <c r="BY25" s="3">
        <v>2.4500000000000002</v>
      </c>
      <c r="BZ25" s="3">
        <v>7.43</v>
      </c>
      <c r="CA25" s="3">
        <v>6.55</v>
      </c>
      <c r="CB25" s="3">
        <v>10.01</v>
      </c>
      <c r="CC25" s="3">
        <v>8.1199999999999992</v>
      </c>
      <c r="CD25" s="3" t="s">
        <v>1342</v>
      </c>
      <c r="CE25" s="3" t="s">
        <v>484</v>
      </c>
      <c r="CF25" s="10">
        <v>0.36830357142857123</v>
      </c>
      <c r="CG25" s="11">
        <v>0.70233536133792052</v>
      </c>
      <c r="CH25" s="10">
        <v>0.1211983934044838</v>
      </c>
      <c r="CI25" s="10">
        <v>0.55359667539596558</v>
      </c>
      <c r="CJ25" s="10">
        <v>0.29143896698951721</v>
      </c>
      <c r="CK25" s="10">
        <v>-1.7009790986776352E-2</v>
      </c>
      <c r="CL25" s="10">
        <v>4.4963452965021133E-3</v>
      </c>
      <c r="CM25" s="11">
        <v>-0.65413963794708252</v>
      </c>
      <c r="CN25" s="11">
        <v>0.66654765605926514</v>
      </c>
      <c r="CO25" s="11">
        <v>0.55160742998123169</v>
      </c>
      <c r="CP25" s="11">
        <v>0.54512763023376465</v>
      </c>
      <c r="CQ25" s="11">
        <v>-0.12899836897850037</v>
      </c>
      <c r="CR25" s="3">
        <v>54.649427063420063</v>
      </c>
      <c r="CS25" s="3">
        <v>2.8650648644225853</v>
      </c>
      <c r="CT25" s="3">
        <v>0.18041237113402062</v>
      </c>
      <c r="CU25" s="10">
        <v>0.19074411801993846</v>
      </c>
      <c r="CV25" s="11">
        <v>0.19602894186973571</v>
      </c>
      <c r="CW25" s="3">
        <v>0.06</v>
      </c>
      <c r="CX25" s="3">
        <v>69.628736813173532</v>
      </c>
      <c r="CY25" s="3">
        <v>59832083.57173299</v>
      </c>
      <c r="CZ25" s="3">
        <v>0.19074411801993846</v>
      </c>
      <c r="DA25" s="3">
        <v>20.914348745428445</v>
      </c>
      <c r="DB25" s="3">
        <v>199194937.92082006</v>
      </c>
      <c r="DC25" s="3">
        <v>0.18120691211894152</v>
      </c>
      <c r="DD25" s="3">
        <v>9.1607210668010008</v>
      </c>
      <c r="DE25" s="3">
        <v>454771231.39333975</v>
      </c>
      <c r="DF25" s="3">
        <v>0.16785482385754585</v>
      </c>
      <c r="DG25" s="3">
        <v>4.7947884664557101</v>
      </c>
      <c r="DH25" s="3">
        <v>868866776.7401042</v>
      </c>
      <c r="DI25" s="3">
        <v>0.15259529441595077</v>
      </c>
      <c r="DJ25" s="3">
        <v>1.7967104457906775</v>
      </c>
      <c r="DK25" s="3">
        <v>2318699938.4125338</v>
      </c>
      <c r="DL25" s="3">
        <v>0.13352088261395692</v>
      </c>
      <c r="DM25" s="3">
        <v>53262500</v>
      </c>
      <c r="DN25" s="3">
        <v>0.19074411801993846</v>
      </c>
      <c r="DO25" s="3">
        <v>4166032400</v>
      </c>
      <c r="DP25" s="3">
        <v>977712700</v>
      </c>
      <c r="DQ25" s="3">
        <v>2536</v>
      </c>
      <c r="DR25" s="3">
        <v>0.17755945340863277</v>
      </c>
      <c r="DS25" s="3">
        <v>0.50630641946818478</v>
      </c>
      <c r="DT25" s="12">
        <v>-0.15666666666666665</v>
      </c>
      <c r="DU25" s="3">
        <v>0.43666666666666659</v>
      </c>
      <c r="DV25" s="3">
        <v>0.27999999999999992</v>
      </c>
      <c r="DW25" s="3">
        <v>5.8111888111888108</v>
      </c>
      <c r="DX25" s="3">
        <v>0.56204426229508164</v>
      </c>
      <c r="DY25" s="3">
        <v>5.1963435973862202</v>
      </c>
      <c r="DZ25" s="3">
        <v>1176</v>
      </c>
      <c r="EA25" s="3">
        <v>5.1511399813865735</v>
      </c>
      <c r="EB25" s="3">
        <v>5</v>
      </c>
      <c r="EC25" s="3">
        <v>0.42687462991039038</v>
      </c>
      <c r="ED25" s="3">
        <v>1.7636221815908086</v>
      </c>
      <c r="EE25" s="13">
        <v>1.0319100000000001</v>
      </c>
      <c r="EF25" s="3">
        <v>1.0078</v>
      </c>
      <c r="EG25" s="3">
        <v>32.242044262295082</v>
      </c>
      <c r="EH25" s="3" t="s">
        <v>330</v>
      </c>
      <c r="EI25" s="3">
        <v>1</v>
      </c>
      <c r="EJ25" s="3">
        <v>1</v>
      </c>
      <c r="EK25" s="15">
        <v>45505</v>
      </c>
      <c r="EL25" s="16">
        <v>-2.2200000000000002</v>
      </c>
      <c r="EM25" s="16">
        <v>-0.94</v>
      </c>
      <c r="EN25" s="16">
        <v>1.6</v>
      </c>
      <c r="EO25" s="16">
        <v>-0.24</v>
      </c>
      <c r="EP25" s="16">
        <v>3.97</v>
      </c>
    </row>
    <row r="26" spans="1:146" ht="96" x14ac:dyDescent="0.25">
      <c r="A26" s="3"/>
      <c r="B26" s="3"/>
      <c r="C26" s="7" t="str">
        <f>""&amp;CHAR(10)&amp;Basic_Fundamental_Information_Constructure(F26)&amp;CHAR(10)&amp;Basic_Fundamental_Information_Concatenate("")</f>
        <v xml:space="preserve">
市值43.792597亿, 利润1.30亿; PE43.36; 平均PE55.54; 平均PEG3.17, PB2.31; ROIC13.7433%; ROE16.26%; 股利率.7528%; 毛利43.9833%; 净利24.97%; 上一年度营收增1.46%, 利润增16.07%; 当季营收增-12.28%, 利润增-61.76%; 过往5年营收增17.52%, 利润增39.18%
Income profile:
</v>
      </c>
      <c r="D26" s="3" t="s">
        <v>396</v>
      </c>
      <c r="E26" s="3" t="s">
        <v>404</v>
      </c>
      <c r="F26" s="3">
        <v>39.85</v>
      </c>
      <c r="G26" s="3">
        <v>-0.65</v>
      </c>
      <c r="H26" s="3" t="s">
        <v>1343</v>
      </c>
      <c r="I26" s="3">
        <v>4379259700</v>
      </c>
      <c r="J26" s="3">
        <v>43.36</v>
      </c>
      <c r="K26" s="3">
        <v>2.31</v>
      </c>
      <c r="L26" s="3" t="s">
        <v>49</v>
      </c>
      <c r="M26" s="3" t="s">
        <v>483</v>
      </c>
      <c r="N26" s="3" t="s">
        <v>1115</v>
      </c>
      <c r="O26" s="3" t="s">
        <v>398</v>
      </c>
      <c r="P26" s="5">
        <v>-12.24</v>
      </c>
      <c r="Q26" s="3" t="s">
        <v>258</v>
      </c>
      <c r="R26" s="3">
        <v>18178285</v>
      </c>
      <c r="S26" s="3">
        <v>-0.61760000000000004</v>
      </c>
      <c r="T26" s="3" t="s">
        <v>1131</v>
      </c>
      <c r="U26" s="3">
        <v>34133841</v>
      </c>
      <c r="V26" s="3">
        <v>109893594</v>
      </c>
      <c r="W26" s="3">
        <v>1.06</v>
      </c>
      <c r="X26" s="3">
        <v>0.05</v>
      </c>
      <c r="Y26" s="3">
        <v>18.600000000000001</v>
      </c>
      <c r="Z26" s="3" t="s">
        <v>1116</v>
      </c>
      <c r="AA26" s="3" t="s">
        <v>1117</v>
      </c>
      <c r="AB26" s="3" t="s">
        <v>1118</v>
      </c>
      <c r="AC26" s="3" t="s">
        <v>1119</v>
      </c>
      <c r="AD26" s="3" t="s">
        <v>52</v>
      </c>
      <c r="AE26" s="3">
        <v>-6238519</v>
      </c>
      <c r="AF26" s="3" t="s">
        <v>1120</v>
      </c>
      <c r="AG26" s="3">
        <v>0.34</v>
      </c>
      <c r="AH26" s="3" t="s">
        <v>1121</v>
      </c>
      <c r="AI26" s="3" t="s">
        <v>1122</v>
      </c>
      <c r="AJ26" s="3" t="s">
        <v>1123</v>
      </c>
      <c r="AK26" s="3" t="s">
        <v>1124</v>
      </c>
      <c r="AL26" s="3" t="s">
        <v>1125</v>
      </c>
      <c r="AM26" s="3" t="s">
        <v>52</v>
      </c>
      <c r="AN26" s="3" t="s">
        <v>490</v>
      </c>
      <c r="AO26" s="3" t="s">
        <v>1126</v>
      </c>
      <c r="AP26" s="3" t="s">
        <v>52</v>
      </c>
      <c r="AQ26" s="3" t="s">
        <v>1127</v>
      </c>
      <c r="AR26" s="3" t="s">
        <v>52</v>
      </c>
      <c r="AS26" s="3" t="s">
        <v>398</v>
      </c>
      <c r="AT26" s="3" t="s">
        <v>52</v>
      </c>
      <c r="AU26" s="3" t="s">
        <v>1128</v>
      </c>
      <c r="AV26" s="3" t="s">
        <v>1129</v>
      </c>
      <c r="AW26" s="3" t="s">
        <v>1130</v>
      </c>
      <c r="AX26" s="3" t="s">
        <v>519</v>
      </c>
      <c r="AY26" s="3" t="s">
        <v>397</v>
      </c>
      <c r="AZ26" s="3" t="s">
        <v>158</v>
      </c>
      <c r="BA26" s="3" t="s">
        <v>384</v>
      </c>
      <c r="BB26" s="3" t="s">
        <v>290</v>
      </c>
      <c r="BC26" s="3" t="s">
        <v>543</v>
      </c>
      <c r="BD26" s="3" t="s">
        <v>398</v>
      </c>
      <c r="BE26" s="3" t="s">
        <v>400</v>
      </c>
      <c r="BF26" s="3" t="s">
        <v>401</v>
      </c>
      <c r="BG26" s="3" t="s">
        <v>402</v>
      </c>
      <c r="BH26" s="3" t="s">
        <v>258</v>
      </c>
      <c r="BI26" s="3" t="s">
        <v>201</v>
      </c>
      <c r="BJ26" s="3" t="s">
        <v>519</v>
      </c>
      <c r="BK26" s="3" t="s">
        <v>1131</v>
      </c>
      <c r="BL26" s="3" t="s">
        <v>1344</v>
      </c>
      <c r="BM26" s="3" t="s">
        <v>543</v>
      </c>
      <c r="BN26" s="3">
        <v>4.24</v>
      </c>
      <c r="BO26" s="3">
        <v>9.07</v>
      </c>
      <c r="BP26" s="3">
        <v>27.92</v>
      </c>
      <c r="BQ26" s="3">
        <v>5.42</v>
      </c>
      <c r="BR26" s="3">
        <v>14.33</v>
      </c>
      <c r="BS26" s="3">
        <v>29.03</v>
      </c>
      <c r="BT26" s="3" t="s">
        <v>477</v>
      </c>
      <c r="BU26" s="3" t="s">
        <v>49</v>
      </c>
      <c r="BV26" s="3">
        <v>42.5</v>
      </c>
      <c r="BW26" s="3">
        <v>43.74</v>
      </c>
      <c r="BX26" s="3">
        <v>45.71</v>
      </c>
      <c r="BY26" s="3">
        <v>27.03</v>
      </c>
      <c r="BZ26" s="3">
        <v>23.34</v>
      </c>
      <c r="CA26" s="3">
        <v>24.54</v>
      </c>
      <c r="CB26" s="3">
        <v>6.55</v>
      </c>
      <c r="CC26" s="1">
        <v>5.01</v>
      </c>
      <c r="CD26" s="1" t="s">
        <v>1345</v>
      </c>
      <c r="CE26" s="1" t="s">
        <v>1346</v>
      </c>
      <c r="CF26" s="10">
        <v>-0.12280701754385953</v>
      </c>
      <c r="CG26" s="11">
        <v>-0.61763493943211956</v>
      </c>
      <c r="CH26" s="10">
        <v>1.4583333395421505E-2</v>
      </c>
      <c r="CI26" s="10">
        <v>0.17359413206577301</v>
      </c>
      <c r="CJ26" s="10">
        <v>0.49816849827766418</v>
      </c>
      <c r="CK26" s="10">
        <v>0.1767241358757019</v>
      </c>
      <c r="CL26" s="10">
        <v>1.3100436888635159E-2</v>
      </c>
      <c r="CM26" s="11">
        <v>0.1607142835855484</v>
      </c>
      <c r="CN26" s="11">
        <v>0.11999999731779099</v>
      </c>
      <c r="CO26" s="11">
        <v>0.63781923055648804</v>
      </c>
      <c r="CP26" s="11">
        <v>0.40587663650512695</v>
      </c>
      <c r="CQ26" s="11">
        <v>0.63472354412078857</v>
      </c>
      <c r="CR26" s="1">
        <v>55.544580475569887</v>
      </c>
      <c r="CS26" s="1">
        <v>3.1697356942204875</v>
      </c>
      <c r="CT26" s="1">
        <v>0.75282308657465491</v>
      </c>
      <c r="CU26" s="10">
        <v>0.17523410730063915</v>
      </c>
      <c r="CV26" s="11">
        <v>0.3918267384171486</v>
      </c>
      <c r="CW26" s="3">
        <v>0.06</v>
      </c>
      <c r="CX26" s="3">
        <v>18.033822857959855</v>
      </c>
      <c r="CY26" s="3">
        <v>144132484.85762554</v>
      </c>
      <c r="CZ26" s="3">
        <v>0.17523410730063915</v>
      </c>
      <c r="DA26" s="3">
        <v>5.4868441203733518</v>
      </c>
      <c r="DB26" s="3">
        <v>473725814.50758135</v>
      </c>
      <c r="DC26" s="3">
        <v>0.16647240193560719</v>
      </c>
      <c r="DD26" s="3">
        <v>2.447669274390774</v>
      </c>
      <c r="DE26" s="3">
        <v>1061932560.577228</v>
      </c>
      <c r="DF26" s="3">
        <v>0.15420601442456244</v>
      </c>
      <c r="DG26" s="3">
        <v>1.3098906653858871</v>
      </c>
      <c r="DH26" s="3">
        <v>1984333325.4338992</v>
      </c>
      <c r="DI26" s="3">
        <v>0.14018728584051132</v>
      </c>
      <c r="DJ26" s="3">
        <v>0.51808943710366095</v>
      </c>
      <c r="DK26" s="3">
        <v>5017009639.3606501</v>
      </c>
      <c r="DL26" s="3">
        <v>0.12266387511044739</v>
      </c>
      <c r="DM26" s="3">
        <v>130000000</v>
      </c>
      <c r="DN26" s="3">
        <v>0.17523410730063915</v>
      </c>
      <c r="DO26" s="3">
        <v>2599259700</v>
      </c>
      <c r="DP26" s="3">
        <v>1362699800</v>
      </c>
      <c r="DQ26" s="12">
        <v>2726</v>
      </c>
      <c r="DR26" s="3">
        <v>-0.29804112484449868</v>
      </c>
      <c r="DS26" s="3">
        <v>-1.0094616778492682</v>
      </c>
      <c r="DT26" s="3">
        <v>-4.0000000000000036E-2</v>
      </c>
      <c r="DU26" s="3">
        <v>0.31</v>
      </c>
      <c r="DV26" s="3">
        <v>0.26999999999999996</v>
      </c>
      <c r="DW26" s="3">
        <v>5.7648854961832061</v>
      </c>
      <c r="DX26" s="3">
        <v>0.46458833442231562</v>
      </c>
      <c r="DY26" s="3">
        <v>5.194730924497069</v>
      </c>
      <c r="DZ26" s="3">
        <v>1193</v>
      </c>
      <c r="EA26" s="3">
        <v>5.1492505030160585</v>
      </c>
      <c r="EB26" s="13">
        <v>5</v>
      </c>
      <c r="EC26" s="3">
        <v>0.15986555139874667</v>
      </c>
      <c r="ED26" s="3">
        <v>0.6279374209928924</v>
      </c>
      <c r="EE26" s="3">
        <v>5.1500000000000004E-2</v>
      </c>
      <c r="EF26" s="3">
        <v>4.4999999999999998E-2</v>
      </c>
      <c r="EG26" s="3">
        <v>21.254588334422316</v>
      </c>
      <c r="EH26" s="15" t="s">
        <v>327</v>
      </c>
      <c r="EI26" s="16">
        <v>1</v>
      </c>
      <c r="EJ26" s="16">
        <v>1</v>
      </c>
      <c r="EK26" s="16">
        <v>45505</v>
      </c>
      <c r="EL26" s="16">
        <v>-4.76</v>
      </c>
      <c r="EM26" s="16">
        <v>3.85</v>
      </c>
      <c r="EN26" s="16">
        <v>1.42</v>
      </c>
      <c r="EO26" s="16">
        <v>3.32</v>
      </c>
      <c r="EP26" s="16">
        <v>-0.65</v>
      </c>
    </row>
    <row r="27" spans="1:146" ht="96" x14ac:dyDescent="0.25">
      <c r="C27" s="7" t="str">
        <f>""&amp;CHAR(10)&amp;Basic_Fundamental_Information_Constructure(F27)&amp;CHAR(10)&amp;Basic_Fundamental_Information_Concatenate("")</f>
        <v xml:space="preserve">
市值48.704881亿, 利润2525.71万; PE48.83; 平均PE83.73; 平均PEG7.96, PB2.75; ROIC5.7967%; ROE6.6633%; 股利率.6826%; 毛利25.2967%; 净利8.97%; 上一年度营收增-66.08%, 利润增-74.74%; 当季营收增-35.61%, 利润增-50.11%; 过往5年营收增-10.52%, 利润增.19%
Income profile:
</v>
      </c>
      <c r="D27" s="3" t="s">
        <v>207</v>
      </c>
      <c r="E27" s="3" t="s">
        <v>208</v>
      </c>
      <c r="F27" s="3">
        <v>5.86</v>
      </c>
      <c r="G27" s="3">
        <v>-0.34</v>
      </c>
      <c r="H27" s="3" t="s">
        <v>1134</v>
      </c>
      <c r="I27" s="3">
        <v>4870488100</v>
      </c>
      <c r="J27" s="3">
        <v>48.83</v>
      </c>
      <c r="K27" s="3">
        <v>2.75</v>
      </c>
      <c r="L27" s="3" t="s">
        <v>49</v>
      </c>
      <c r="M27" s="3" t="s">
        <v>1135</v>
      </c>
      <c r="N27" s="3" t="s">
        <v>1136</v>
      </c>
      <c r="O27" s="3" t="s">
        <v>1137</v>
      </c>
      <c r="P27" s="3">
        <v>51.12</v>
      </c>
      <c r="Q27" s="3" t="s">
        <v>1137</v>
      </c>
      <c r="R27" s="3">
        <v>25257073</v>
      </c>
      <c r="S27" s="5">
        <v>0.38590000000000002</v>
      </c>
      <c r="T27" s="3" t="s">
        <v>1138</v>
      </c>
      <c r="U27" s="3">
        <v>828811160</v>
      </c>
      <c r="V27" s="3">
        <v>831141320</v>
      </c>
      <c r="W27" s="3">
        <v>1.61</v>
      </c>
      <c r="X27" s="3">
        <v>0.13</v>
      </c>
      <c r="Y27" s="3">
        <v>6.41</v>
      </c>
      <c r="Z27" s="3" t="s">
        <v>643</v>
      </c>
      <c r="AA27" s="3" t="s">
        <v>570</v>
      </c>
      <c r="AB27" s="3" t="s">
        <v>1139</v>
      </c>
      <c r="AC27" s="3" t="s">
        <v>1140</v>
      </c>
      <c r="AD27" s="3" t="s">
        <v>52</v>
      </c>
      <c r="AE27" s="3">
        <v>2242088</v>
      </c>
      <c r="AF27" s="3" t="s">
        <v>1141</v>
      </c>
      <c r="AG27" s="3" t="s">
        <v>52</v>
      </c>
      <c r="AH27" s="3" t="s">
        <v>1142</v>
      </c>
      <c r="AI27" s="3" t="s">
        <v>99</v>
      </c>
      <c r="AJ27" s="3" t="s">
        <v>1143</v>
      </c>
      <c r="AK27" s="3" t="s">
        <v>163</v>
      </c>
      <c r="AL27" s="3" t="s">
        <v>1144</v>
      </c>
      <c r="AM27" s="3" t="s">
        <v>52</v>
      </c>
      <c r="AN27" s="3" t="s">
        <v>820</v>
      </c>
      <c r="AO27" s="3" t="s">
        <v>485</v>
      </c>
      <c r="AP27" s="3" t="s">
        <v>1145</v>
      </c>
      <c r="AQ27" s="3" t="s">
        <v>1146</v>
      </c>
      <c r="AR27" s="3" t="s">
        <v>1147</v>
      </c>
      <c r="AS27" s="3" t="s">
        <v>1148</v>
      </c>
      <c r="AT27" s="3" t="s">
        <v>1133</v>
      </c>
      <c r="AU27" s="3" t="s">
        <v>1149</v>
      </c>
      <c r="AV27" s="3" t="s">
        <v>1150</v>
      </c>
      <c r="AW27" s="3" t="s">
        <v>1151</v>
      </c>
      <c r="AX27" s="3" t="s">
        <v>556</v>
      </c>
      <c r="AY27" s="3" t="s">
        <v>308</v>
      </c>
      <c r="AZ27" s="3" t="s">
        <v>209</v>
      </c>
      <c r="BA27" s="3" t="s">
        <v>211</v>
      </c>
      <c r="BB27" s="3" t="s">
        <v>212</v>
      </c>
      <c r="BC27" s="3" t="s">
        <v>398</v>
      </c>
      <c r="BD27" s="3" t="s">
        <v>309</v>
      </c>
      <c r="BE27" s="3" t="s">
        <v>210</v>
      </c>
      <c r="BF27" s="3" t="s">
        <v>213</v>
      </c>
      <c r="BG27" s="3" t="s">
        <v>214</v>
      </c>
      <c r="BH27" s="3" t="s">
        <v>1152</v>
      </c>
      <c r="BI27" s="3" t="s">
        <v>555</v>
      </c>
      <c r="BJ27" s="3" t="s">
        <v>556</v>
      </c>
      <c r="BK27" s="3" t="s">
        <v>1153</v>
      </c>
      <c r="BL27" s="3" t="s">
        <v>601</v>
      </c>
      <c r="BM27" s="3" t="s">
        <v>398</v>
      </c>
      <c r="BN27" s="3">
        <v>4.21</v>
      </c>
      <c r="BO27" s="3">
        <v>7.21</v>
      </c>
      <c r="BP27" s="3">
        <v>5.97</v>
      </c>
      <c r="BQ27" s="3">
        <v>6.04</v>
      </c>
      <c r="BR27" s="3">
        <v>8.99</v>
      </c>
      <c r="BS27" s="3">
        <v>4.96</v>
      </c>
      <c r="BT27" s="3" t="s">
        <v>514</v>
      </c>
      <c r="BU27" s="3" t="s">
        <v>49</v>
      </c>
      <c r="BV27" s="3">
        <v>26.7</v>
      </c>
      <c r="BW27" s="3">
        <v>26.91</v>
      </c>
      <c r="BX27" s="3">
        <v>22.28</v>
      </c>
      <c r="BY27" s="3">
        <v>8.5399999999999991</v>
      </c>
      <c r="BZ27" s="3">
        <v>10.52</v>
      </c>
      <c r="CA27" s="3">
        <v>7.85</v>
      </c>
      <c r="CB27" s="3">
        <v>-5.0199999999999996</v>
      </c>
      <c r="CC27" s="3">
        <v>-13.06</v>
      </c>
      <c r="CD27" s="3" t="s">
        <v>1154</v>
      </c>
      <c r="CE27" s="3" t="s">
        <v>1155</v>
      </c>
      <c r="CF27" s="10">
        <v>-0.35607321131447589</v>
      </c>
      <c r="CG27" s="11">
        <v>-0.5010643022091229</v>
      </c>
      <c r="CH27" s="10">
        <v>-0.66082382202148438</v>
      </c>
      <c r="CI27" s="10">
        <v>0.13306845724582672</v>
      </c>
      <c r="CJ27" s="10">
        <v>0.11640798300504684</v>
      </c>
      <c r="CK27" s="10">
        <v>-0.24895915389060974</v>
      </c>
      <c r="CL27" s="10">
        <v>0.13408870995044708</v>
      </c>
      <c r="CM27" s="11">
        <v>-0.74742895364761353</v>
      </c>
      <c r="CN27" s="11">
        <v>0.72559577226638794</v>
      </c>
      <c r="CO27" s="11">
        <v>8.2397110760211945E-2</v>
      </c>
      <c r="CP27" s="11">
        <v>-4.1781507432460785E-2</v>
      </c>
      <c r="CQ27" s="11">
        <v>-9.1206859797239304E-3</v>
      </c>
      <c r="CR27" s="3">
        <v>83.730944594981409</v>
      </c>
      <c r="CS27" s="3">
        <v>7.9559205811665787</v>
      </c>
      <c r="CT27" s="3">
        <v>0.68259385665529015</v>
      </c>
      <c r="CU27" s="10">
        <v>-0.10524356514215469</v>
      </c>
      <c r="CV27" s="11">
        <v>1.9323471933603287E-3</v>
      </c>
      <c r="CW27" s="3">
        <v>0.06</v>
      </c>
      <c r="CX27" s="3">
        <v>163.65648075194699</v>
      </c>
      <c r="CY27" s="3" t="s">
        <v>1156</v>
      </c>
      <c r="CZ27" s="3">
        <v>-0.10524356514215469</v>
      </c>
      <c r="DA27" s="3">
        <v>54.552160250648996</v>
      </c>
      <c r="DB27" s="3" t="s">
        <v>1157</v>
      </c>
      <c r="DC27" s="3">
        <v>-9.9981386885046944E-2</v>
      </c>
      <c r="DD27" s="3">
        <v>27.276080125324498</v>
      </c>
      <c r="DE27" s="3" t="s">
        <v>1158</v>
      </c>
      <c r="DF27" s="3">
        <v>-9.2614337325096122E-2</v>
      </c>
      <c r="DG27" s="3">
        <v>16.365648075194699</v>
      </c>
      <c r="DH27" s="3" t="s">
        <v>1159</v>
      </c>
      <c r="DI27" s="3">
        <v>-8.4194852113723753E-2</v>
      </c>
      <c r="DJ27" s="3">
        <v>8.1828240375973493</v>
      </c>
      <c r="DK27" s="3" t="s">
        <v>1160</v>
      </c>
      <c r="DL27" s="3">
        <v>-7.3670495599508279E-2</v>
      </c>
      <c r="DM27" s="3">
        <v>25257100</v>
      </c>
      <c r="DN27" s="3">
        <v>-0.10524356514215469</v>
      </c>
      <c r="DO27" s="3">
        <v>4133488100</v>
      </c>
      <c r="DP27" s="3">
        <v>1095154000</v>
      </c>
      <c r="DQ27" s="3">
        <v>3119</v>
      </c>
      <c r="DR27" s="3">
        <v>-0.25082964617232117</v>
      </c>
      <c r="DS27" s="3">
        <v>-0.50299664940248323</v>
      </c>
      <c r="DT27" s="12">
        <v>-0.89</v>
      </c>
      <c r="DU27" s="3">
        <v>-0.25333333333333335</v>
      </c>
      <c r="DV27" s="3">
        <v>-1.1433333333333333</v>
      </c>
      <c r="DW27" s="3">
        <v>-8.3843797856049012</v>
      </c>
      <c r="DX27" s="3">
        <v>0.31012472924187562</v>
      </c>
      <c r="DY27" s="3">
        <v>-8.0269545283915953</v>
      </c>
      <c r="DZ27" s="3">
        <v>3676</v>
      </c>
      <c r="EA27" s="3">
        <v>-8.0075641474977584</v>
      </c>
      <c r="EB27" s="3">
        <v>8</v>
      </c>
      <c r="EC27" s="3">
        <v>4.6741870564202009E-2</v>
      </c>
      <c r="ED27" s="3">
        <v>0.66655331249804783</v>
      </c>
      <c r="EE27" s="13">
        <v>1.0524</v>
      </c>
      <c r="EF27" s="3">
        <v>1.0298</v>
      </c>
      <c r="EG27" s="3">
        <v>24.070124729241876</v>
      </c>
      <c r="EH27" s="3" t="s">
        <v>330</v>
      </c>
      <c r="EI27" s="3">
        <v>0</v>
      </c>
      <c r="EJ27" s="3">
        <v>0</v>
      </c>
      <c r="EK27" s="15">
        <v>45470</v>
      </c>
      <c r="EL27" s="16">
        <v>-0.12</v>
      </c>
      <c r="EM27" s="16">
        <v>-1.44</v>
      </c>
      <c r="EN27" s="16">
        <v>3.16</v>
      </c>
      <c r="EO27" s="16">
        <v>4.12</v>
      </c>
      <c r="EP27" s="16">
        <v>-2.2599999999999998</v>
      </c>
    </row>
    <row r="28" spans="1:146" ht="96" x14ac:dyDescent="0.25">
      <c r="C28" s="7" t="str">
        <f>""&amp;CHAR(10)&amp;Basic_Fundamental_Information_Constructure(F28)&amp;CHAR(10)&amp;Basic_Fundamental_Information_Concatenate("")</f>
        <v xml:space="preserve">
市值26.762225亿, 利润5919.58万; PE44.27; 平均PE43.65; 平均PEG23.38, PB2.06; ROIC4.5667%; ROE5.43%; 股利率.7855%; 毛利20.8133%; 净利3.2733%; 上一年度营收增-13.44%, 利润增10.3%; 当季营收增-7.1%, 利润增7.5%; 过往5年营收增1.87%, 利润增24.67%
Income profile:
</v>
      </c>
      <c r="D28" s="3" t="s">
        <v>215</v>
      </c>
      <c r="E28" s="3" t="s">
        <v>216</v>
      </c>
      <c r="F28" s="3">
        <v>12.73</v>
      </c>
      <c r="G28" s="3">
        <v>0.63</v>
      </c>
      <c r="H28" s="3" t="s">
        <v>1347</v>
      </c>
      <c r="I28" s="3">
        <v>2676222500</v>
      </c>
      <c r="J28" s="3">
        <v>44.27</v>
      </c>
      <c r="K28" s="3">
        <v>2.06</v>
      </c>
      <c r="L28" s="3" t="s">
        <v>49</v>
      </c>
      <c r="M28" s="3" t="s">
        <v>1161</v>
      </c>
      <c r="N28" s="3" t="s">
        <v>1162</v>
      </c>
      <c r="O28" s="3" t="s">
        <v>1163</v>
      </c>
      <c r="P28" s="3">
        <v>-7.16</v>
      </c>
      <c r="Q28" s="3" t="s">
        <v>1179</v>
      </c>
      <c r="R28" s="3">
        <v>18060604</v>
      </c>
      <c r="S28" s="5">
        <v>7.4999999999999997E-2</v>
      </c>
      <c r="T28" s="3" t="s">
        <v>1180</v>
      </c>
      <c r="U28" s="3">
        <v>207544580</v>
      </c>
      <c r="V28" s="3">
        <v>210229580</v>
      </c>
      <c r="W28" s="3">
        <v>1.73</v>
      </c>
      <c r="X28" s="3">
        <v>0.19</v>
      </c>
      <c r="Y28" s="3">
        <v>4.1500000000000004</v>
      </c>
      <c r="Z28" s="3" t="s">
        <v>1164</v>
      </c>
      <c r="AA28" s="3" t="s">
        <v>1165</v>
      </c>
      <c r="AB28" s="3" t="s">
        <v>1166</v>
      </c>
      <c r="AC28" s="3" t="s">
        <v>1167</v>
      </c>
      <c r="AD28" s="3" t="s">
        <v>52</v>
      </c>
      <c r="AE28" s="3">
        <v>4203643</v>
      </c>
      <c r="AF28" s="3" t="s">
        <v>1168</v>
      </c>
      <c r="AG28" s="3" t="s">
        <v>1169</v>
      </c>
      <c r="AH28" s="3" t="s">
        <v>1170</v>
      </c>
      <c r="AI28" s="3" t="s">
        <v>578</v>
      </c>
      <c r="AJ28" s="3" t="s">
        <v>1171</v>
      </c>
      <c r="AK28" s="3" t="s">
        <v>1172</v>
      </c>
      <c r="AL28" s="3" t="s">
        <v>1173</v>
      </c>
      <c r="AM28" s="3" t="s">
        <v>52</v>
      </c>
      <c r="AN28" s="3" t="s">
        <v>1034</v>
      </c>
      <c r="AO28" s="3" t="s">
        <v>551</v>
      </c>
      <c r="AP28" s="3" t="s">
        <v>1174</v>
      </c>
      <c r="AQ28" s="3" t="s">
        <v>355</v>
      </c>
      <c r="AR28" s="3" t="s">
        <v>52</v>
      </c>
      <c r="AS28" s="3" t="s">
        <v>587</v>
      </c>
      <c r="AT28" s="3" t="s">
        <v>1175</v>
      </c>
      <c r="AU28" s="3" t="s">
        <v>1176</v>
      </c>
      <c r="AV28" s="3" t="s">
        <v>1177</v>
      </c>
      <c r="AW28" s="3" t="s">
        <v>1178</v>
      </c>
      <c r="AX28" s="3" t="s">
        <v>563</v>
      </c>
      <c r="AY28" s="3" t="s">
        <v>310</v>
      </c>
      <c r="AZ28" s="3" t="s">
        <v>217</v>
      </c>
      <c r="BA28" s="3" t="s">
        <v>219</v>
      </c>
      <c r="BB28" s="3" t="s">
        <v>220</v>
      </c>
      <c r="BC28" s="3" t="s">
        <v>564</v>
      </c>
      <c r="BD28" s="3" t="s">
        <v>311</v>
      </c>
      <c r="BE28" s="3" t="s">
        <v>218</v>
      </c>
      <c r="BF28" s="3" t="s">
        <v>221</v>
      </c>
      <c r="BG28" s="3" t="s">
        <v>201</v>
      </c>
      <c r="BH28" s="3" t="s">
        <v>1179</v>
      </c>
      <c r="BI28" s="3" t="s">
        <v>1209</v>
      </c>
      <c r="BJ28" s="3" t="s">
        <v>563</v>
      </c>
      <c r="BK28" s="3" t="s">
        <v>1180</v>
      </c>
      <c r="BL28" s="3" t="s">
        <v>1348</v>
      </c>
      <c r="BM28" s="3" t="s">
        <v>564</v>
      </c>
      <c r="BN28" s="3">
        <v>3.46</v>
      </c>
      <c r="BO28" s="3">
        <v>4.08</v>
      </c>
      <c r="BP28" s="3">
        <v>6.16</v>
      </c>
      <c r="BQ28" s="3">
        <v>3.65</v>
      </c>
      <c r="BR28" s="3">
        <v>4.57</v>
      </c>
      <c r="BS28" s="3">
        <v>8.07</v>
      </c>
      <c r="BT28" s="3" t="s">
        <v>525</v>
      </c>
      <c r="BU28" s="3" t="s">
        <v>49</v>
      </c>
      <c r="BV28" s="3">
        <v>22.92</v>
      </c>
      <c r="BW28" s="3">
        <v>20.78</v>
      </c>
      <c r="BX28" s="3">
        <v>18.739999999999998</v>
      </c>
      <c r="BY28" s="3">
        <v>3.33</v>
      </c>
      <c r="BZ28" s="3">
        <v>2.65</v>
      </c>
      <c r="CA28" s="3">
        <v>3.84</v>
      </c>
      <c r="CB28" s="3">
        <v>7.52</v>
      </c>
      <c r="CC28" s="3">
        <v>-5.91</v>
      </c>
      <c r="CD28" s="3" t="s">
        <v>1349</v>
      </c>
      <c r="CE28" s="3" t="s">
        <v>1350</v>
      </c>
      <c r="CF28" s="10">
        <v>-7.0967741935483997E-2</v>
      </c>
      <c r="CG28" s="11">
        <v>7.5035952380952384E-2</v>
      </c>
      <c r="CH28" s="10">
        <v>-0.1343633234500885</v>
      </c>
      <c r="CI28" s="10">
        <v>2.4460399523377419E-2</v>
      </c>
      <c r="CJ28" s="10">
        <v>0.39278566837310791</v>
      </c>
      <c r="CK28" s="10">
        <v>1.285516656935215E-2</v>
      </c>
      <c r="CL28" s="10">
        <v>-0.20237450301647186</v>
      </c>
      <c r="CM28" s="11">
        <v>0.10302664339542389</v>
      </c>
      <c r="CN28" s="11">
        <v>-0.37366941571235657</v>
      </c>
      <c r="CO28" s="11">
        <v>2.4043452739715576</v>
      </c>
      <c r="CP28" s="11">
        <v>-0.16445572674274445</v>
      </c>
      <c r="CQ28" s="11">
        <v>-0.73576313257217407</v>
      </c>
      <c r="CR28" s="3">
        <v>43.653172625298737</v>
      </c>
      <c r="CS28" s="3">
        <v>23.378095102117914</v>
      </c>
      <c r="CT28" s="3">
        <v>0.78554595443833464</v>
      </c>
      <c r="CU28" s="10">
        <v>1.8672681599855422E-2</v>
      </c>
      <c r="CV28" s="11">
        <v>0.24669672846794127</v>
      </c>
      <c r="CW28" s="3">
        <v>0.06</v>
      </c>
      <c r="CX28" s="3">
        <v>40.311272318162786</v>
      </c>
      <c r="CY28" s="3">
        <v>56887872.005140305</v>
      </c>
      <c r="CZ28" s="3">
        <v>1.8672681599855422E-2</v>
      </c>
      <c r="DA28" s="3">
        <v>14.000169866801443</v>
      </c>
      <c r="DB28" s="3">
        <v>163799619.7058945</v>
      </c>
      <c r="DC28" s="3">
        <v>1.773904751986265E-2</v>
      </c>
      <c r="DD28" s="3">
        <v>7.4590829623533503</v>
      </c>
      <c r="DE28" s="3">
        <v>307440272.69492728</v>
      </c>
      <c r="DF28" s="3">
        <v>1.6431959807872772E-2</v>
      </c>
      <c r="DG28" s="3">
        <v>4.8814011809219489</v>
      </c>
      <c r="DH28" s="3">
        <v>469787754.58215457</v>
      </c>
      <c r="DI28" s="3">
        <v>1.4938145279884338E-2</v>
      </c>
      <c r="DJ28" s="3">
        <v>3.0124075421420611</v>
      </c>
      <c r="DK28" s="3">
        <v>761259048.7571733</v>
      </c>
      <c r="DL28" s="3">
        <v>1.3070877119898796E-2</v>
      </c>
      <c r="DM28" s="3">
        <v>59195800</v>
      </c>
      <c r="DN28" s="3">
        <v>1.8672681599855422E-2</v>
      </c>
      <c r="DO28" s="3">
        <v>2293222500</v>
      </c>
      <c r="DP28" s="3">
        <v>806753400</v>
      </c>
      <c r="DQ28" s="3">
        <v>4384</v>
      </c>
      <c r="DR28" s="3">
        <v>-8.9640423535339422E-2</v>
      </c>
      <c r="DS28" s="3">
        <v>-0.17166077608698888</v>
      </c>
      <c r="DT28" s="12">
        <v>-0.40666666666666668</v>
      </c>
      <c r="DU28" s="3">
        <v>-8.1666666666666651E-2</v>
      </c>
      <c r="DV28" s="3">
        <v>-0.48833333333333334</v>
      </c>
      <c r="DW28" s="3">
        <v>5.7859042553191493</v>
      </c>
      <c r="DX28" s="3">
        <v>0.43774824995060996</v>
      </c>
      <c r="DY28" s="3">
        <v>5.1003978932457592</v>
      </c>
      <c r="DZ28" s="3">
        <v>2928</v>
      </c>
      <c r="EA28" s="3">
        <v>5.0428479654024576</v>
      </c>
      <c r="EB28" s="3">
        <v>5</v>
      </c>
      <c r="EC28" s="3">
        <v>5.1059417994365967E-2</v>
      </c>
      <c r="ED28" s="3">
        <v>0.39968780796689035</v>
      </c>
      <c r="EE28" s="13">
        <v>6.0140000000000002</v>
      </c>
      <c r="EF28" s="3">
        <v>6.0202999999999998</v>
      </c>
      <c r="EG28" s="3">
        <v>31.12774824995061</v>
      </c>
      <c r="EH28" s="3" t="s">
        <v>1351</v>
      </c>
      <c r="EI28" s="3">
        <v>1</v>
      </c>
      <c r="EJ28" s="3">
        <v>0</v>
      </c>
      <c r="EK28" s="15">
        <v>45505</v>
      </c>
      <c r="EL28" s="16">
        <v>-1</v>
      </c>
      <c r="EM28" s="16">
        <v>2.5299999999999998</v>
      </c>
      <c r="EN28" s="16">
        <v>-0.41</v>
      </c>
      <c r="EO28" s="16">
        <v>3.86</v>
      </c>
      <c r="EP28" s="16">
        <v>0.63</v>
      </c>
    </row>
    <row r="29" spans="1:146" ht="144" x14ac:dyDescent="0.25">
      <c r="B29" s="7" t="s">
        <v>617</v>
      </c>
      <c r="C29" s="7" t="str">
        <f>"公司主营业务为功能性材料研发、生产及销售，其主要产品有精密制程应用材料、电子复合功能材料和光电显示模组材料。"&amp;CHAR(10)&amp;Basic_Fundamental_Information_Constructure(F29)&amp;CHAR(10)&amp;Basic_Fundamental_Information_Concatenate("电子复合功能材料 3.45亿 74.63% 2.27亿 81.43% 65.68%
精密制程应用材料 9778.27万 21.15% 4609.08万 16.56% 47.14%
光电显示模组材料 1945.80万 4.21% 557.26万 2.00% 28.64%")</f>
        <v>公司主营业务为功能性材料研发、生产及销售，其主要产品有精密制程应用材料、电子复合功能材料和光电显示模组材料。
市值43.176588亿, 利润1.93亿; PE21.1; 平均PE31.31; 平均PEG1.98, PB2.26; ROIC12.8567%; ROE13.1567%; 股利率2.1898%; 毛利60.1167%; 净利40.4133%; 上一年度营收增10.61%, 利润增4.32%; 当季营收增63.16%, 利润增37.32%; 过往5年营收增15.83%, 利润增30.91%
Income profile:
电子复合功能材料 3.45亿 74.63% 2.27亿 81.43% 65.68%
精密制程应用材料 9778.27万 21.15% 4609.08万 16.56% 47.14%
光电显示模组材料 1945.80万 4.21% 557.26万 2.00% 28.64%</v>
      </c>
      <c r="D29" s="3" t="s">
        <v>222</v>
      </c>
      <c r="E29" s="3" t="s">
        <v>223</v>
      </c>
      <c r="F29" s="3">
        <v>16.440000000000001</v>
      </c>
      <c r="G29" s="3">
        <v>1.1100000000000001</v>
      </c>
      <c r="H29" s="3" t="s">
        <v>1352</v>
      </c>
      <c r="I29" s="3">
        <v>4317658800</v>
      </c>
      <c r="J29" s="3">
        <v>21.1</v>
      </c>
      <c r="K29" s="3">
        <v>2.2599999999999998</v>
      </c>
      <c r="L29" s="3" t="s">
        <v>49</v>
      </c>
      <c r="M29" s="3" t="s">
        <v>1181</v>
      </c>
      <c r="N29" s="3" t="s">
        <v>368</v>
      </c>
      <c r="O29" s="3" t="s">
        <v>615</v>
      </c>
      <c r="P29" s="3">
        <v>63.32</v>
      </c>
      <c r="Q29" s="3" t="s">
        <v>1196</v>
      </c>
      <c r="R29" s="3">
        <v>41264496</v>
      </c>
      <c r="S29" s="5">
        <v>0.37319999999999998</v>
      </c>
      <c r="T29" s="3" t="s">
        <v>518</v>
      </c>
      <c r="U29" s="3">
        <v>254063040</v>
      </c>
      <c r="V29" s="3">
        <v>262631310</v>
      </c>
      <c r="W29" s="3">
        <v>1.07</v>
      </c>
      <c r="X29" s="3">
        <v>0.06</v>
      </c>
      <c r="Y29" s="3">
        <v>31</v>
      </c>
      <c r="Z29" s="3" t="s">
        <v>1182</v>
      </c>
      <c r="AA29" s="3" t="s">
        <v>1183</v>
      </c>
      <c r="AB29" s="3" t="s">
        <v>1184</v>
      </c>
      <c r="AC29" s="3" t="s">
        <v>1185</v>
      </c>
      <c r="AD29" s="3" t="s">
        <v>52</v>
      </c>
      <c r="AE29" s="3">
        <v>-922805</v>
      </c>
      <c r="AF29" s="3" t="s">
        <v>1186</v>
      </c>
      <c r="AG29" s="3">
        <v>2944</v>
      </c>
      <c r="AH29" s="3" t="s">
        <v>1187</v>
      </c>
      <c r="AI29" s="3" t="s">
        <v>1188</v>
      </c>
      <c r="AJ29" s="3" t="s">
        <v>1189</v>
      </c>
      <c r="AK29" s="3" t="s">
        <v>52</v>
      </c>
      <c r="AL29" s="3" t="s">
        <v>1190</v>
      </c>
      <c r="AM29" s="3" t="s">
        <v>52</v>
      </c>
      <c r="AN29" s="3" t="s">
        <v>570</v>
      </c>
      <c r="AO29" s="3" t="s">
        <v>52</v>
      </c>
      <c r="AP29" s="3" t="s">
        <v>1191</v>
      </c>
      <c r="AQ29" s="3" t="s">
        <v>1192</v>
      </c>
      <c r="AR29" s="3" t="s">
        <v>52</v>
      </c>
      <c r="AS29" s="3" t="s">
        <v>483</v>
      </c>
      <c r="AT29" s="3" t="s">
        <v>52</v>
      </c>
      <c r="AU29" s="3" t="s">
        <v>1193</v>
      </c>
      <c r="AV29" s="3" t="s">
        <v>1194</v>
      </c>
      <c r="AW29" s="3" t="s">
        <v>1195</v>
      </c>
      <c r="AX29" s="3" t="s">
        <v>191</v>
      </c>
      <c r="AY29" s="3" t="s">
        <v>312</v>
      </c>
      <c r="AZ29" s="3" t="s">
        <v>224</v>
      </c>
      <c r="BA29" s="3" t="s">
        <v>60</v>
      </c>
      <c r="BB29" s="3" t="s">
        <v>193</v>
      </c>
      <c r="BC29" s="3" t="s">
        <v>509</v>
      </c>
      <c r="BD29" s="3" t="s">
        <v>163</v>
      </c>
      <c r="BE29" s="3" t="s">
        <v>139</v>
      </c>
      <c r="BF29" s="3" t="s">
        <v>225</v>
      </c>
      <c r="BG29" s="3" t="s">
        <v>226</v>
      </c>
      <c r="BH29" s="3" t="s">
        <v>1196</v>
      </c>
      <c r="BI29" s="3" t="s">
        <v>1353</v>
      </c>
      <c r="BJ29" s="3" t="s">
        <v>191</v>
      </c>
      <c r="BK29" s="3" t="s">
        <v>518</v>
      </c>
      <c r="BL29" s="3" t="s">
        <v>1354</v>
      </c>
      <c r="BM29" s="3" t="s">
        <v>509</v>
      </c>
      <c r="BN29" s="3">
        <v>9.2200000000000006</v>
      </c>
      <c r="BO29" s="3">
        <v>13.79</v>
      </c>
      <c r="BP29" s="3">
        <v>15.56</v>
      </c>
      <c r="BQ29" s="3">
        <v>9.7899999999999991</v>
      </c>
      <c r="BR29" s="3">
        <v>13.94</v>
      </c>
      <c r="BS29" s="3">
        <v>15.74</v>
      </c>
      <c r="BT29" s="3" t="s">
        <v>1197</v>
      </c>
      <c r="BU29" s="3" t="s">
        <v>49</v>
      </c>
      <c r="BV29" s="3">
        <v>58.88</v>
      </c>
      <c r="BW29" s="3">
        <v>60.2</v>
      </c>
      <c r="BX29" s="3">
        <v>61.27</v>
      </c>
      <c r="BY29" s="3">
        <v>37.82</v>
      </c>
      <c r="BZ29" s="3">
        <v>40.1</v>
      </c>
      <c r="CA29" s="3">
        <v>43.32</v>
      </c>
      <c r="CB29" s="3">
        <v>9.9700000000000006</v>
      </c>
      <c r="CC29" s="3">
        <v>-6.38</v>
      </c>
      <c r="CD29" s="3" t="s">
        <v>1355</v>
      </c>
      <c r="CE29" s="3" t="s">
        <v>1356</v>
      </c>
      <c r="CF29" s="10">
        <v>0.63164958546286099</v>
      </c>
      <c r="CG29" s="11">
        <v>0.37321282146850543</v>
      </c>
      <c r="CH29" s="10">
        <v>0.10606060922145844</v>
      </c>
      <c r="CI29" s="10">
        <v>8.7058819830417633E-2</v>
      </c>
      <c r="CJ29" s="10">
        <v>0.29179331660270691</v>
      </c>
      <c r="CK29" s="10">
        <v>0.3651452362537384</v>
      </c>
      <c r="CL29" s="10">
        <v>-5.859375E-2</v>
      </c>
      <c r="CM29" s="11">
        <v>4.3243244290351868E-2</v>
      </c>
      <c r="CN29" s="11">
        <v>5.4347827099263668E-3</v>
      </c>
      <c r="CO29" s="11">
        <v>0.42635658383369446</v>
      </c>
      <c r="CP29" s="11">
        <v>0.58118849992752075</v>
      </c>
      <c r="CQ29" s="11">
        <v>0.48936614394187927</v>
      </c>
      <c r="CR29" s="3">
        <v>31.311509109676297</v>
      </c>
      <c r="CS29" s="3">
        <v>1.9780748040995011</v>
      </c>
      <c r="CT29" s="3">
        <v>2.1897810218978102</v>
      </c>
      <c r="CU29" s="10">
        <v>0.15829284638166427</v>
      </c>
      <c r="CV29" s="11">
        <v>0.30911785094067457</v>
      </c>
      <c r="CW29" s="3">
        <v>0.06</v>
      </c>
      <c r="CX29" s="3">
        <v>12.336174999718278</v>
      </c>
      <c r="CY29" s="3">
        <v>210896716.3694917</v>
      </c>
      <c r="CZ29" s="3">
        <v>0.15829284638166427</v>
      </c>
      <c r="DA29" s="3">
        <v>3.8065679209775913</v>
      </c>
      <c r="DB29" s="3">
        <v>683465750.25301266</v>
      </c>
      <c r="DC29" s="3">
        <v>0.15037820406258104</v>
      </c>
      <c r="DD29" s="3">
        <v>1.7321718334327436</v>
      </c>
      <c r="DE29" s="3">
        <v>1501963459.8515232</v>
      </c>
      <c r="DF29" s="3">
        <v>0.13929770481586456</v>
      </c>
      <c r="DG29" s="3">
        <v>0.94936049646264153</v>
      </c>
      <c r="DH29" s="3">
        <v>2740432964.8156772</v>
      </c>
      <c r="DI29" s="3">
        <v>0.12663427710533143</v>
      </c>
      <c r="DJ29" s="3">
        <v>0.39761895896380584</v>
      </c>
      <c r="DK29" s="3">
        <v>6543095446.907052</v>
      </c>
      <c r="DL29" s="3">
        <v>0.11080499246716498</v>
      </c>
      <c r="DM29" s="3">
        <v>193000000</v>
      </c>
      <c r="DN29" s="3">
        <v>0.15829284638166427</v>
      </c>
      <c r="DO29" s="3">
        <v>2601658800</v>
      </c>
      <c r="DP29" s="3">
        <v>644929120</v>
      </c>
      <c r="DQ29" s="3">
        <v>4617</v>
      </c>
      <c r="DR29" s="3">
        <v>0.47335673908119669</v>
      </c>
      <c r="DS29" s="3">
        <v>6.4094970527830863E-2</v>
      </c>
      <c r="DT29" s="12">
        <v>-0.19000000000000003</v>
      </c>
      <c r="DU29" s="3">
        <v>0.56999999999999995</v>
      </c>
      <c r="DV29" s="3">
        <v>0.37999999999999989</v>
      </c>
      <c r="DW29" s="3">
        <v>5.6399197592778334</v>
      </c>
      <c r="DX29" s="3">
        <v>0.34053048845031197</v>
      </c>
      <c r="DY29" s="3">
        <v>5.0707306435619861</v>
      </c>
      <c r="DZ29" s="3">
        <v>988</v>
      </c>
      <c r="EA29" s="3">
        <v>5.057049775151798</v>
      </c>
      <c r="EB29" s="3">
        <v>5</v>
      </c>
      <c r="EC29" s="3">
        <v>1.948206403874694E-2</v>
      </c>
      <c r="ED29" s="3">
        <v>0.17625963941618386</v>
      </c>
      <c r="EE29" s="13">
        <v>-4.0186099999999998</v>
      </c>
      <c r="EF29" s="3">
        <v>-4.0075099999999999</v>
      </c>
      <c r="EG29" s="3">
        <v>23.110530488450312</v>
      </c>
      <c r="EH29" s="3" t="s">
        <v>1357</v>
      </c>
      <c r="EI29" s="3">
        <v>1</v>
      </c>
      <c r="EJ29" s="3">
        <v>1</v>
      </c>
      <c r="EK29" s="15">
        <v>45505</v>
      </c>
      <c r="EL29" s="16">
        <v>-2.8</v>
      </c>
      <c r="EM29" s="16">
        <v>2.41</v>
      </c>
      <c r="EN29" s="16">
        <v>0.46</v>
      </c>
      <c r="EO29" s="16">
        <v>4.63</v>
      </c>
      <c r="EP29" s="16">
        <v>1.1100000000000001</v>
      </c>
    </row>
    <row r="30" spans="1:146" ht="96" x14ac:dyDescent="0.25">
      <c r="C30" s="7" t="str">
        <f>""&amp;CHAR(10)&amp;Basic_Fundamental_Information_Constructure(F30)&amp;CHAR(10)&amp;Basic_Fundamental_Information_Concatenate("")</f>
        <v xml:space="preserve">
市值34.152861亿, 利润6419.00万; PE60; 平均PE52.94; 平均PEG3.62, PB3.1; ROIC7.0033%; ROE8.13%; 股利率.6461%; 毛利38.7467%; 净利11.9833%; 上一年度营收增-1.14%, 利润增-24.85%; 当季营收增11.63%, 利润增-63.59%; 过往5年营收增14.61%, 利润增120.33%
Income profile:
</v>
      </c>
      <c r="D30" s="3" t="s">
        <v>227</v>
      </c>
      <c r="E30" s="3" t="s">
        <v>228</v>
      </c>
      <c r="F30" s="3">
        <v>35.6</v>
      </c>
      <c r="G30" s="3">
        <v>2.4500000000000002</v>
      </c>
      <c r="H30" s="3" t="s">
        <v>1358</v>
      </c>
      <c r="I30" s="3">
        <v>3415286100</v>
      </c>
      <c r="J30" s="3">
        <v>60</v>
      </c>
      <c r="K30" s="3">
        <v>3.1</v>
      </c>
      <c r="L30" s="3" t="s">
        <v>49</v>
      </c>
      <c r="M30" s="3" t="s">
        <v>580</v>
      </c>
      <c r="N30" s="3" t="s">
        <v>1198</v>
      </c>
      <c r="O30" s="3" t="s">
        <v>1132</v>
      </c>
      <c r="P30" s="3">
        <v>11.93</v>
      </c>
      <c r="Q30" s="3" t="s">
        <v>582</v>
      </c>
      <c r="R30" s="3">
        <v>4160604</v>
      </c>
      <c r="S30" s="5">
        <v>-0.63590000000000002</v>
      </c>
      <c r="T30" s="3" t="s">
        <v>1212</v>
      </c>
      <c r="U30" s="3">
        <v>63497104</v>
      </c>
      <c r="V30" s="3">
        <v>95935004</v>
      </c>
      <c r="W30" s="3">
        <v>1.82</v>
      </c>
      <c r="X30" s="3">
        <v>7.0000000000000007E-2</v>
      </c>
      <c r="Y30" s="3">
        <v>3.11</v>
      </c>
      <c r="Z30" s="3" t="s">
        <v>134</v>
      </c>
      <c r="AA30" s="3" t="s">
        <v>59</v>
      </c>
      <c r="AB30" s="3" t="s">
        <v>1199</v>
      </c>
      <c r="AC30" s="3" t="s">
        <v>1200</v>
      </c>
      <c r="AD30" s="3" t="s">
        <v>52</v>
      </c>
      <c r="AE30" s="3">
        <v>1847368</v>
      </c>
      <c r="AF30" s="3" t="s">
        <v>1201</v>
      </c>
      <c r="AG30" s="3" t="s">
        <v>1202</v>
      </c>
      <c r="AH30" s="3" t="s">
        <v>1203</v>
      </c>
      <c r="AI30" s="3" t="s">
        <v>1204</v>
      </c>
      <c r="AJ30" s="3" t="s">
        <v>1205</v>
      </c>
      <c r="AK30" s="3" t="s">
        <v>1206</v>
      </c>
      <c r="AL30" s="3" t="s">
        <v>1207</v>
      </c>
      <c r="AM30" s="3" t="s">
        <v>52</v>
      </c>
      <c r="AN30" s="3" t="s">
        <v>1208</v>
      </c>
      <c r="AO30" s="3" t="s">
        <v>52</v>
      </c>
      <c r="AP30" s="3" t="s">
        <v>840</v>
      </c>
      <c r="AQ30" s="3" t="s">
        <v>168</v>
      </c>
      <c r="AR30" s="3" t="s">
        <v>52</v>
      </c>
      <c r="AS30" s="3" t="s">
        <v>1209</v>
      </c>
      <c r="AT30" s="3" t="s">
        <v>52</v>
      </c>
      <c r="AU30" s="3" t="s">
        <v>1210</v>
      </c>
      <c r="AV30" s="3" t="s">
        <v>1211</v>
      </c>
      <c r="AW30" s="3" t="s">
        <v>52</v>
      </c>
      <c r="AX30" s="3" t="s">
        <v>349</v>
      </c>
      <c r="AY30" s="3" t="s">
        <v>313</v>
      </c>
      <c r="AZ30" s="3" t="s">
        <v>229</v>
      </c>
      <c r="BA30" s="3" t="s">
        <v>230</v>
      </c>
      <c r="BB30" s="3" t="s">
        <v>231</v>
      </c>
      <c r="BC30" s="3" t="s">
        <v>558</v>
      </c>
      <c r="BD30" s="3" t="s">
        <v>314</v>
      </c>
      <c r="BE30" s="3" t="s">
        <v>113</v>
      </c>
      <c r="BF30" s="3" t="s">
        <v>232</v>
      </c>
      <c r="BG30" s="3" t="s">
        <v>233</v>
      </c>
      <c r="BH30" s="3" t="s">
        <v>582</v>
      </c>
      <c r="BI30" s="3" t="s">
        <v>139</v>
      </c>
      <c r="BJ30" s="3" t="s">
        <v>349</v>
      </c>
      <c r="BK30" s="3" t="s">
        <v>1212</v>
      </c>
      <c r="BL30" s="3" t="s">
        <v>1359</v>
      </c>
      <c r="BM30" s="3" t="s">
        <v>558</v>
      </c>
      <c r="BN30" s="3">
        <v>4.04</v>
      </c>
      <c r="BO30" s="3">
        <v>8.0500000000000007</v>
      </c>
      <c r="BP30" s="3">
        <v>8.92</v>
      </c>
      <c r="BQ30" s="3">
        <v>5</v>
      </c>
      <c r="BR30" s="3">
        <v>8.73</v>
      </c>
      <c r="BS30" s="3">
        <v>10.66</v>
      </c>
      <c r="BT30" s="3" t="s">
        <v>1213</v>
      </c>
      <c r="BU30" s="3" t="s">
        <v>49</v>
      </c>
      <c r="BV30" s="3">
        <v>36.479999999999997</v>
      </c>
      <c r="BW30" s="3">
        <v>38.85</v>
      </c>
      <c r="BX30" s="3">
        <v>40.909999999999997</v>
      </c>
      <c r="BY30" s="3">
        <v>9.1999999999999993</v>
      </c>
      <c r="BZ30" s="3">
        <v>12.32</v>
      </c>
      <c r="CA30" s="3">
        <v>14.43</v>
      </c>
      <c r="CB30" s="3">
        <v>5.51</v>
      </c>
      <c r="CC30" s="3">
        <v>8.3699999999999992</v>
      </c>
      <c r="CD30" s="3" t="s">
        <v>1360</v>
      </c>
      <c r="CE30" s="3" t="s">
        <v>1361</v>
      </c>
      <c r="CF30" s="10">
        <v>0.11627906976744186</v>
      </c>
      <c r="CG30" s="11">
        <v>-0.63585565873425698</v>
      </c>
      <c r="CH30" s="10">
        <v>-1.1428571306169033E-2</v>
      </c>
      <c r="CI30" s="10">
        <v>0.37524557113647461</v>
      </c>
      <c r="CJ30" s="10">
        <v>0.25679013133049011</v>
      </c>
      <c r="CK30" s="10">
        <v>0.21987952291965485</v>
      </c>
      <c r="CL30" s="10">
        <v>-0.10991957038640976</v>
      </c>
      <c r="CM30" s="11">
        <v>-0.24854452908039093</v>
      </c>
      <c r="CN30" s="11">
        <v>0.17008835077285767</v>
      </c>
      <c r="CO30" s="11">
        <v>-0.47098696231842041</v>
      </c>
      <c r="CP30" s="11">
        <v>2.5069530010223389</v>
      </c>
      <c r="CQ30" s="11">
        <v>4.0587410926818848</v>
      </c>
      <c r="CR30" s="3">
        <v>52.93646606227535</v>
      </c>
      <c r="CS30" s="3">
        <v>3.6229709251755025</v>
      </c>
      <c r="CT30" s="3">
        <v>0.64606741573033699</v>
      </c>
      <c r="CU30" s="10">
        <v>0.14611341673880815</v>
      </c>
      <c r="CV30" s="11">
        <v>1.2032501906156541</v>
      </c>
      <c r="CW30" s="3">
        <v>0.06</v>
      </c>
      <c r="CX30" s="3">
        <v>46.211343522206192</v>
      </c>
      <c r="CY30" s="3">
        <v>69404736.0570416</v>
      </c>
      <c r="CZ30" s="3">
        <v>0.14611341673880815</v>
      </c>
      <c r="DA30" s="3">
        <v>14.405084387733252</v>
      </c>
      <c r="DB30" s="3">
        <v>222649587.71995714</v>
      </c>
      <c r="DC30" s="3">
        <v>0.13880774590186773</v>
      </c>
      <c r="DD30" s="3">
        <v>6.648757418259402</v>
      </c>
      <c r="DE30" s="3">
        <v>482388798.12216777</v>
      </c>
      <c r="DF30" s="3">
        <v>0.12857980673015118</v>
      </c>
      <c r="DG30" s="3">
        <v>3.7060274327607634</v>
      </c>
      <c r="DH30" s="3">
        <v>865424273.88638306</v>
      </c>
      <c r="DI30" s="3">
        <v>0.11689073339104653</v>
      </c>
      <c r="DJ30" s="3">
        <v>1.6154759421422145</v>
      </c>
      <c r="DK30" s="3">
        <v>1985350580.7997074</v>
      </c>
      <c r="DL30" s="3">
        <v>0.1022793917171657</v>
      </c>
      <c r="DM30" s="3">
        <v>64190000</v>
      </c>
      <c r="DN30" s="3">
        <v>0.14611341673880815</v>
      </c>
      <c r="DO30" s="3">
        <v>3207286100</v>
      </c>
      <c r="DP30" s="3">
        <v>1059251300</v>
      </c>
      <c r="DQ30" s="3">
        <v>4626</v>
      </c>
      <c r="DR30" s="3">
        <v>-2.9834346971366291E-2</v>
      </c>
      <c r="DS30" s="3">
        <v>-1.8391058493499111</v>
      </c>
      <c r="DT30" s="12">
        <v>-4.0000000000000036E-2</v>
      </c>
      <c r="DU30" s="3">
        <v>0.32850000000000007</v>
      </c>
      <c r="DV30" s="3">
        <v>0.28850000000000003</v>
      </c>
      <c r="DW30" s="3">
        <v>8.6583034647550772</v>
      </c>
      <c r="DX30" s="3">
        <v>0.61559009957167743</v>
      </c>
      <c r="DY30" s="3">
        <v>8.0958424669820719</v>
      </c>
      <c r="DZ30" s="3">
        <v>1157</v>
      </c>
      <c r="EA30" s="3">
        <v>8.074133435208724</v>
      </c>
      <c r="EB30" s="3">
        <v>8</v>
      </c>
      <c r="EC30" s="3">
        <v>7.649554066834667E-2</v>
      </c>
      <c r="ED30" s="3">
        <v>0.52541718766176315</v>
      </c>
      <c r="EE30" s="13">
        <v>-2.0646100000000001</v>
      </c>
      <c r="EF30" s="3">
        <v>-2.0401099999999999</v>
      </c>
      <c r="EG30" s="3">
        <v>47.145590099571677</v>
      </c>
      <c r="EH30" s="3" t="s">
        <v>552</v>
      </c>
      <c r="EI30" s="3">
        <v>0</v>
      </c>
      <c r="EJ30" s="3">
        <v>1</v>
      </c>
      <c r="EK30" s="15">
        <v>45505</v>
      </c>
      <c r="EL30" s="16">
        <v>-0.35</v>
      </c>
      <c r="EM30" s="16">
        <v>0.8</v>
      </c>
      <c r="EN30" s="3">
        <v>-1.76</v>
      </c>
      <c r="EO30" s="3">
        <v>2.5099999999999998</v>
      </c>
      <c r="EP30" s="3">
        <v>2.4500000000000002</v>
      </c>
    </row>
    <row r="31" spans="1:146" ht="96" x14ac:dyDescent="0.25">
      <c r="C31" s="7" t="str">
        <f>""&amp;CHAR(10)&amp;Basic_Fundamental_Information_Constructure(F31)&amp;CHAR(10)&amp;Basic_Fundamental_Information_Concatenate("")</f>
        <v xml:space="preserve">
市值20.754048亿, 利润-1277.95万; PE; 平均PE37.84; 平均PEG5.72, PB3.12; ROIC11.35%; ROE7.06%; 股利率0%; 毛利25.8767%; 净利6.9767%; 上一年度营收增-20.16%, 利润增-123.19%; 当季营收增14.47%, 利润增275.02%; 过往5年营收增-6.62%, 利润增-20.02%
Income profile:
</v>
      </c>
      <c r="D31" s="3" t="s">
        <v>234</v>
      </c>
      <c r="E31" s="3" t="s">
        <v>235</v>
      </c>
      <c r="F31" s="3">
        <v>23.52</v>
      </c>
      <c r="G31" s="3">
        <v>2.08</v>
      </c>
      <c r="H31" s="3" t="s">
        <v>1362</v>
      </c>
      <c r="I31" s="3">
        <v>2075404800</v>
      </c>
      <c r="K31" s="3">
        <v>3.12</v>
      </c>
      <c r="L31" s="3" t="s">
        <v>49</v>
      </c>
      <c r="M31" s="3" t="s">
        <v>71</v>
      </c>
      <c r="N31" s="3" t="s">
        <v>980</v>
      </c>
      <c r="O31" s="3" t="s">
        <v>554</v>
      </c>
      <c r="P31" s="3">
        <v>14.2</v>
      </c>
      <c r="Q31" s="3" t="s">
        <v>1014</v>
      </c>
      <c r="R31" s="3">
        <v>8592460</v>
      </c>
      <c r="S31" s="5">
        <v>2.75</v>
      </c>
      <c r="T31" s="3" t="s">
        <v>1229</v>
      </c>
      <c r="U31" s="3">
        <v>88240000</v>
      </c>
      <c r="V31" s="3">
        <v>88240000</v>
      </c>
      <c r="W31" s="3">
        <v>1.31</v>
      </c>
      <c r="X31" s="3">
        <v>0.12</v>
      </c>
      <c r="Y31" s="3">
        <v>7.7</v>
      </c>
      <c r="Z31" s="3" t="s">
        <v>1214</v>
      </c>
      <c r="AA31" s="3" t="s">
        <v>1215</v>
      </c>
      <c r="AB31" s="3" t="s">
        <v>1216</v>
      </c>
      <c r="AC31" s="3" t="s">
        <v>1217</v>
      </c>
      <c r="AD31" s="3" t="s">
        <v>52</v>
      </c>
      <c r="AE31" s="3">
        <v>-2388511</v>
      </c>
      <c r="AF31" s="3" t="s">
        <v>1218</v>
      </c>
      <c r="AG31" s="3" t="s">
        <v>571</v>
      </c>
      <c r="AH31" s="3" t="s">
        <v>1219</v>
      </c>
      <c r="AI31" s="3" t="s">
        <v>562</v>
      </c>
      <c r="AJ31" s="3" t="s">
        <v>1220</v>
      </c>
      <c r="AK31" s="3" t="s">
        <v>52</v>
      </c>
      <c r="AL31" s="3" t="s">
        <v>1221</v>
      </c>
      <c r="AM31" s="3" t="s">
        <v>52</v>
      </c>
      <c r="AN31" s="3" t="s">
        <v>1222</v>
      </c>
      <c r="AO31" s="3" t="s">
        <v>1223</v>
      </c>
      <c r="AP31" s="3" t="s">
        <v>1224</v>
      </c>
      <c r="AQ31" s="3" t="s">
        <v>1225</v>
      </c>
      <c r="AR31" s="3" t="s">
        <v>52</v>
      </c>
      <c r="AS31" s="3" t="s">
        <v>855</v>
      </c>
      <c r="AT31" s="3" t="s">
        <v>52</v>
      </c>
      <c r="AU31" s="3" t="s">
        <v>1226</v>
      </c>
      <c r="AV31" s="3" t="s">
        <v>1227</v>
      </c>
      <c r="AW31" s="3" t="s">
        <v>1228</v>
      </c>
      <c r="AX31" s="3" t="s">
        <v>559</v>
      </c>
      <c r="AY31" s="3" t="s">
        <v>316</v>
      </c>
      <c r="AZ31" s="3" t="s">
        <v>236</v>
      </c>
      <c r="BA31" s="3" t="s">
        <v>238</v>
      </c>
      <c r="BB31" s="3" t="s">
        <v>239</v>
      </c>
      <c r="BC31" s="3" t="s">
        <v>560</v>
      </c>
      <c r="BD31" s="3" t="s">
        <v>317</v>
      </c>
      <c r="BE31" s="3" t="s">
        <v>237</v>
      </c>
      <c r="BF31" s="3" t="s">
        <v>241</v>
      </c>
      <c r="BG31" s="3" t="s">
        <v>242</v>
      </c>
      <c r="BH31" s="3" t="s">
        <v>1014</v>
      </c>
      <c r="BI31" s="3" t="s">
        <v>1363</v>
      </c>
      <c r="BJ31" s="3" t="s">
        <v>559</v>
      </c>
      <c r="BK31" s="3" t="s">
        <v>1229</v>
      </c>
      <c r="BL31" s="3" t="s">
        <v>1364</v>
      </c>
      <c r="BM31" s="3" t="s">
        <v>560</v>
      </c>
      <c r="BN31" s="3" t="s">
        <v>52</v>
      </c>
      <c r="BO31" s="3">
        <v>6.76</v>
      </c>
      <c r="BP31" s="3">
        <v>15.94</v>
      </c>
      <c r="BQ31" s="3">
        <v>-1.63</v>
      </c>
      <c r="BR31" s="3">
        <v>7.65</v>
      </c>
      <c r="BS31" s="3">
        <v>15.16</v>
      </c>
      <c r="BT31" s="3" t="s">
        <v>478</v>
      </c>
      <c r="BU31" s="3" t="s">
        <v>49</v>
      </c>
      <c r="BV31" s="3">
        <v>24.76</v>
      </c>
      <c r="BW31" s="3">
        <v>26.12</v>
      </c>
      <c r="BX31" s="3">
        <v>26.75</v>
      </c>
      <c r="BY31" s="3">
        <v>-3.27</v>
      </c>
      <c r="BZ31" s="3">
        <v>11.32</v>
      </c>
      <c r="CA31" s="3">
        <v>12.88</v>
      </c>
      <c r="CB31" s="3">
        <v>8.5399999999999991</v>
      </c>
      <c r="CC31" s="3">
        <v>-11.11</v>
      </c>
      <c r="CD31" s="3" t="s">
        <v>1365</v>
      </c>
      <c r="CE31" s="3" t="s">
        <v>1366</v>
      </c>
      <c r="CF31" s="10">
        <v>0.14473111008179529</v>
      </c>
      <c r="CG31" s="11">
        <v>2.7502007681564247</v>
      </c>
      <c r="CH31" s="10">
        <v>-0.20159681141376495</v>
      </c>
      <c r="CI31" s="10">
        <v>-0.28120517730712891</v>
      </c>
      <c r="CJ31" s="10">
        <v>0.11698717623949051</v>
      </c>
      <c r="CK31" s="10">
        <v>-3.1948881223797798E-3</v>
      </c>
      <c r="CL31" s="10">
        <v>3.8142621517181396E-2</v>
      </c>
      <c r="CM31" s="11">
        <v>-1.2318979501724243</v>
      </c>
      <c r="CN31" s="11">
        <v>-0.37639835476875305</v>
      </c>
      <c r="CO31" s="11">
        <v>0.18929125368595123</v>
      </c>
      <c r="CP31" s="11">
        <v>3.0829666182398796E-2</v>
      </c>
      <c r="CQ31" s="11">
        <v>0.3871215283870697</v>
      </c>
      <c r="CR31" s="3">
        <v>37.843024323000307</v>
      </c>
      <c r="CS31" s="3">
        <v>5.7187654370858709</v>
      </c>
      <c r="CT31" s="3">
        <v>0</v>
      </c>
      <c r="CU31" s="10">
        <v>-6.617341581732035E-2</v>
      </c>
      <c r="CV31" s="11">
        <v>-0.20021077133715154</v>
      </c>
      <c r="CW31" s="3">
        <v>0.06</v>
      </c>
      <c r="CX31" s="3" t="e">
        <v>#VALUE!</v>
      </c>
      <c r="CY31" s="3" t="s">
        <v>329</v>
      </c>
      <c r="CZ31" s="3">
        <v>-6.617341581732035E-2</v>
      </c>
      <c r="DA31" s="3" t="e">
        <v>#VALUE!</v>
      </c>
      <c r="DB31" s="3" t="s">
        <v>329</v>
      </c>
      <c r="DC31" s="3">
        <v>-6.2864745026454324E-2</v>
      </c>
      <c r="DD31" s="3" t="e">
        <v>#VALUE!</v>
      </c>
      <c r="DE31" s="3" t="s">
        <v>329</v>
      </c>
      <c r="DF31" s="3">
        <v>-5.8232605919241905E-2</v>
      </c>
      <c r="DG31" s="3" t="e">
        <v>#VALUE!</v>
      </c>
      <c r="DH31" s="3" t="s">
        <v>329</v>
      </c>
      <c r="DI31" s="3">
        <v>-5.2938732653856284E-2</v>
      </c>
      <c r="DJ31" s="3" t="e">
        <v>#VALUE!</v>
      </c>
      <c r="DK31" s="3" t="s">
        <v>329</v>
      </c>
      <c r="DL31" s="3">
        <v>-4.6321391072124241E-2</v>
      </c>
      <c r="DM31" s="3">
        <v>-12779500</v>
      </c>
      <c r="DN31" s="3">
        <v>-6.617341581732035E-2</v>
      </c>
      <c r="DO31" s="3">
        <v>1602404800</v>
      </c>
      <c r="DP31" s="3">
        <v>374870950</v>
      </c>
      <c r="DQ31" s="3">
        <v>5045</v>
      </c>
      <c r="DR31" s="3">
        <v>0.21090452589911562</v>
      </c>
      <c r="DS31" s="3">
        <v>2.9504115394935764</v>
      </c>
      <c r="DT31" s="12">
        <v>-0.75666666666666671</v>
      </c>
      <c r="DU31" s="3">
        <v>-0.88666666666666671</v>
      </c>
      <c r="DV31" s="3">
        <v>-1.6433333333333335</v>
      </c>
      <c r="DW31" s="3">
        <v>7.4346055979643761</v>
      </c>
      <c r="DX31" s="3">
        <v>0.47936637311411973</v>
      </c>
      <c r="DY31" s="3">
        <v>7.0649154619030332</v>
      </c>
      <c r="DZ31" s="3">
        <v>4119</v>
      </c>
      <c r="EA31" s="3">
        <v>7.0125687924475528</v>
      </c>
      <c r="EB31" s="3">
        <v>7</v>
      </c>
      <c r="EC31" s="3">
        <v>4.8514279238440615E-2</v>
      </c>
      <c r="ED31" s="3">
        <v>0.32480054397098823</v>
      </c>
      <c r="EE31" s="13">
        <v>-2.0777000000000001</v>
      </c>
      <c r="EF31" s="3">
        <v>-2.0985</v>
      </c>
      <c r="EG31" s="3">
        <v>33.14936637311412</v>
      </c>
      <c r="EH31" s="3" t="s">
        <v>530</v>
      </c>
      <c r="EI31" s="3">
        <v>1</v>
      </c>
      <c r="EJ31" s="3">
        <v>0</v>
      </c>
      <c r="EK31" s="15">
        <v>45505</v>
      </c>
      <c r="EL31" s="16">
        <v>-1.5</v>
      </c>
      <c r="EM31" s="16">
        <v>3.83</v>
      </c>
      <c r="EN31" s="3">
        <v>-0.67</v>
      </c>
      <c r="EO31" s="3">
        <v>2.2200000000000002</v>
      </c>
      <c r="EP31" s="3">
        <v>2.08</v>
      </c>
    </row>
    <row r="32" spans="1:146" ht="180" x14ac:dyDescent="0.25">
      <c r="A32" s="7" t="s">
        <v>565</v>
      </c>
      <c r="C32" s="7" t="str">
        <f>"公司主营业务是从事连接器产品的研发、生产、销售和服务。主要产品包括连接器、连接器组件和模块等系列。"&amp;CHAR(10)&amp;Basic_Fundamental_Information_Constructure(F32)&amp;CHAR(10)&amp;Basic_Fundamental_Information_Concatenate("新能源连接器 13.95亿 85.83% 87.14% 27.50%
通信连接器 1.55亿 9.56% 6.95% 19.71%
其他连接器 6480.22万 3.99% 3.92% 26.60%
其他业务 1023.31万 0.63% 1.99% 85.45%")</f>
        <v>公司主营业务是从事连接器产品的研发、生产、销售和服务。主要产品包括连接器、连接器组件和模块等系列。
市值40.603013亿, 利润1.37亿; PE29.53; 平均PE37.04; 平均PEG1.18, PB2.04; ROIC11.76%; ROE13.4433%; 股利率.3902%; 毛利25.55%; 净利12.3267%; 上一年度营收增-4.31%, 利润增-45.85%; 当季营收增40.43%, 利润增1.66%; 过往5年营收增31.34%, 利润增43.32%
Income profile:
新能源连接器 13.95亿 85.83% 87.14% 27.50%
通信连接器 1.55亿 9.56% 6.95% 19.71%
其他连接器 6480.22万 3.99% 3.92% 26.60%
其他业务 1023.31万 0.63% 1.99% 85.45%</v>
      </c>
      <c r="D32" s="3" t="s">
        <v>243</v>
      </c>
      <c r="E32" s="3" t="s">
        <v>244</v>
      </c>
      <c r="F32" s="3">
        <v>25.63</v>
      </c>
      <c r="G32" s="3">
        <v>-0.57999999999999996</v>
      </c>
      <c r="H32" s="3" t="s">
        <v>1367</v>
      </c>
      <c r="I32" s="3">
        <v>4060301300</v>
      </c>
      <c r="J32" s="3">
        <v>29.53</v>
      </c>
      <c r="K32" s="3">
        <v>2.04</v>
      </c>
      <c r="L32" s="3" t="s">
        <v>49</v>
      </c>
      <c r="M32" s="3" t="s">
        <v>1230</v>
      </c>
      <c r="N32" s="3" t="s">
        <v>1231</v>
      </c>
      <c r="O32" s="3" t="s">
        <v>191</v>
      </c>
      <c r="P32" s="3">
        <v>40.659999999999997</v>
      </c>
      <c r="Q32" s="3" t="s">
        <v>1244</v>
      </c>
      <c r="R32" s="3">
        <v>41690342</v>
      </c>
      <c r="S32" s="5">
        <v>1.66E-2</v>
      </c>
      <c r="T32" s="3" t="s">
        <v>493</v>
      </c>
      <c r="U32" s="3">
        <v>106589073</v>
      </c>
      <c r="V32" s="3">
        <v>158419870</v>
      </c>
      <c r="W32" s="3">
        <v>1.84</v>
      </c>
      <c r="X32" s="3">
        <v>0.13</v>
      </c>
      <c r="Y32" s="3">
        <v>9.43</v>
      </c>
      <c r="Z32" s="3" t="s">
        <v>575</v>
      </c>
      <c r="AA32" s="3" t="s">
        <v>1188</v>
      </c>
      <c r="AB32" s="3" t="s">
        <v>1232</v>
      </c>
      <c r="AC32" s="3" t="s">
        <v>1233</v>
      </c>
      <c r="AD32" s="3" t="s">
        <v>52</v>
      </c>
      <c r="AE32" s="3">
        <v>2445057</v>
      </c>
      <c r="AF32" s="3" t="s">
        <v>1234</v>
      </c>
      <c r="AG32" s="3" t="s">
        <v>52</v>
      </c>
      <c r="AH32" s="3" t="s">
        <v>1235</v>
      </c>
      <c r="AI32" s="3" t="s">
        <v>1236</v>
      </c>
      <c r="AJ32" s="3" t="s">
        <v>1237</v>
      </c>
      <c r="AK32" s="3" t="s">
        <v>490</v>
      </c>
      <c r="AL32" s="3" t="s">
        <v>1238</v>
      </c>
      <c r="AM32" s="3" t="s">
        <v>52</v>
      </c>
      <c r="AN32" s="3" t="s">
        <v>290</v>
      </c>
      <c r="AO32" s="3" t="s">
        <v>606</v>
      </c>
      <c r="AP32" s="3" t="s">
        <v>360</v>
      </c>
      <c r="AQ32" s="3" t="s">
        <v>1239</v>
      </c>
      <c r="AR32" s="3" t="s">
        <v>52</v>
      </c>
      <c r="AS32" s="3" t="s">
        <v>1240</v>
      </c>
      <c r="AT32" s="3" t="s">
        <v>1241</v>
      </c>
      <c r="AU32" s="3" t="s">
        <v>1242</v>
      </c>
      <c r="AV32" s="3" t="s">
        <v>1243</v>
      </c>
      <c r="AW32" s="3" t="s">
        <v>484</v>
      </c>
      <c r="AX32" s="3" t="s">
        <v>561</v>
      </c>
      <c r="AY32" s="3" t="s">
        <v>209</v>
      </c>
      <c r="AZ32" s="3" t="s">
        <v>245</v>
      </c>
      <c r="BA32" s="3" t="s">
        <v>247</v>
      </c>
      <c r="BB32" s="3" t="s">
        <v>248</v>
      </c>
      <c r="BC32" s="3" t="s">
        <v>520</v>
      </c>
      <c r="BD32" s="3" t="s">
        <v>201</v>
      </c>
      <c r="BE32" s="3" t="s">
        <v>246</v>
      </c>
      <c r="BF32" s="3" t="s">
        <v>249</v>
      </c>
      <c r="BG32" s="3" t="s">
        <v>250</v>
      </c>
      <c r="BH32" s="3" t="s">
        <v>1244</v>
      </c>
      <c r="BI32" s="3" t="s">
        <v>224</v>
      </c>
      <c r="BJ32" s="3" t="s">
        <v>561</v>
      </c>
      <c r="BK32" s="3" t="s">
        <v>493</v>
      </c>
      <c r="BL32" s="3" t="s">
        <v>1368</v>
      </c>
      <c r="BM32" s="3" t="s">
        <v>520</v>
      </c>
      <c r="BN32" s="3">
        <v>4.33</v>
      </c>
      <c r="BO32" s="3">
        <v>16.809999999999999</v>
      </c>
      <c r="BP32" s="3">
        <v>14.14</v>
      </c>
      <c r="BQ32" s="3">
        <v>4.99</v>
      </c>
      <c r="BR32" s="3">
        <v>19.88</v>
      </c>
      <c r="BS32" s="3">
        <v>15.46</v>
      </c>
      <c r="BT32" s="3" t="s">
        <v>525</v>
      </c>
      <c r="BU32" s="3" t="s">
        <v>49</v>
      </c>
      <c r="BV32" s="3">
        <v>25.07</v>
      </c>
      <c r="BW32" s="3">
        <v>27.09</v>
      </c>
      <c r="BX32" s="3">
        <v>24.49</v>
      </c>
      <c r="BY32" s="3">
        <v>8.7799999999999994</v>
      </c>
      <c r="BZ32" s="3">
        <v>15.58</v>
      </c>
      <c r="CA32" s="3">
        <v>12.62</v>
      </c>
      <c r="CB32" s="3">
        <v>5.04</v>
      </c>
      <c r="CC32" s="3">
        <v>-14.74</v>
      </c>
      <c r="CD32" s="3" t="s">
        <v>1369</v>
      </c>
      <c r="CE32" s="3" t="s">
        <v>1370</v>
      </c>
      <c r="CF32" s="10">
        <v>0.40425531914893614</v>
      </c>
      <c r="CG32" s="11">
        <v>1.6592139946695797E-2</v>
      </c>
      <c r="CH32" s="10">
        <v>-4.3076846748590469E-2</v>
      </c>
      <c r="CI32" s="10">
        <v>0.80155205726623535</v>
      </c>
      <c r="CJ32" s="10">
        <v>0.47868853807449341</v>
      </c>
      <c r="CK32" s="10">
        <v>0.20078739523887634</v>
      </c>
      <c r="CL32" s="10">
        <v>0.12888889014720917</v>
      </c>
      <c r="CM32" s="11">
        <v>-0.4584980309009552</v>
      </c>
      <c r="CN32" s="11">
        <v>1.219298243522644</v>
      </c>
      <c r="CO32" s="11">
        <v>0.54835343360900879</v>
      </c>
      <c r="CP32" s="11">
        <v>0.7516588568687439</v>
      </c>
      <c r="CQ32" s="11">
        <v>0.10522842407226563</v>
      </c>
      <c r="CR32" s="3">
        <v>37.041492059249215</v>
      </c>
      <c r="CS32" s="3">
        <v>1.182044473461674</v>
      </c>
      <c r="CT32" s="3">
        <v>0.39016777214202109</v>
      </c>
      <c r="CU32" s="10">
        <v>0.31336800679564475</v>
      </c>
      <c r="CV32" s="11">
        <v>0.43320818543434142</v>
      </c>
      <c r="CW32" s="3">
        <v>0.06</v>
      </c>
      <c r="CX32" s="3">
        <v>20.485246216970623</v>
      </c>
      <c r="CY32" s="3">
        <v>169746619.74622956</v>
      </c>
      <c r="CZ32" s="3">
        <v>0.31336800679564475</v>
      </c>
      <c r="DA32" s="3">
        <v>5.5687538122145703</v>
      </c>
      <c r="DB32" s="3">
        <v>624430782.40823758</v>
      </c>
      <c r="DC32" s="3">
        <v>0.29769960645586252</v>
      </c>
      <c r="DD32" s="3">
        <v>2.104891306202902</v>
      </c>
      <c r="DE32" s="3">
        <v>1652009911.2732065</v>
      </c>
      <c r="DF32" s="3">
        <v>0.2757638459801674</v>
      </c>
      <c r="DG32" s="3">
        <v>0.91501416012596404</v>
      </c>
      <c r="DH32" s="3">
        <v>3800270478.3511796</v>
      </c>
      <c r="DI32" s="3">
        <v>0.25069440543651583</v>
      </c>
      <c r="DJ32" s="3">
        <v>0.21452329080734103</v>
      </c>
      <c r="DK32" s="3">
        <v>16209434821.335522</v>
      </c>
      <c r="DL32" s="3">
        <v>0.21935760475695132</v>
      </c>
      <c r="DM32" s="3">
        <v>137000000</v>
      </c>
      <c r="DN32" s="3">
        <v>0.31336800679564475</v>
      </c>
      <c r="DO32" s="3">
        <v>3477301300</v>
      </c>
      <c r="DP32" s="3">
        <v>1250888200</v>
      </c>
      <c r="DQ32" s="3">
        <v>5105</v>
      </c>
      <c r="DR32" s="3">
        <v>9.0887312353291394E-2</v>
      </c>
      <c r="DS32" s="3">
        <v>-0.41661604548764564</v>
      </c>
      <c r="DT32" s="12">
        <v>0.10999999999999995</v>
      </c>
      <c r="DU32" s="3">
        <v>0.5</v>
      </c>
      <c r="DV32" s="3">
        <v>0.61</v>
      </c>
      <c r="DW32" s="3">
        <v>6.2548028311425679</v>
      </c>
      <c r="DX32" s="3">
        <v>0.47207361816194465</v>
      </c>
      <c r="DY32" s="3">
        <v>6.036200760138331</v>
      </c>
      <c r="DZ32" s="3">
        <v>618</v>
      </c>
      <c r="EA32" s="3">
        <v>6.0318209500824409</v>
      </c>
      <c r="EB32" s="3">
        <v>6</v>
      </c>
      <c r="EC32" s="3">
        <v>4.7909394194049014E-2</v>
      </c>
      <c r="ED32" s="3">
        <v>0.33721527482632069</v>
      </c>
      <c r="EE32" s="13">
        <v>1.03251</v>
      </c>
      <c r="EF32" s="3">
        <v>1.0383100000000001</v>
      </c>
      <c r="EG32" s="3">
        <v>33.142073618161945</v>
      </c>
      <c r="EH32" s="3" t="s">
        <v>331</v>
      </c>
      <c r="EI32" s="3">
        <v>0</v>
      </c>
      <c r="EJ32" s="3">
        <v>1</v>
      </c>
      <c r="EK32" s="15">
        <v>45505</v>
      </c>
      <c r="EL32" s="16">
        <v>0.12</v>
      </c>
      <c r="EM32" s="16">
        <v>1.31</v>
      </c>
      <c r="EN32" s="3">
        <v>-1.05</v>
      </c>
      <c r="EO32" s="3">
        <v>4.58</v>
      </c>
      <c r="EP32" s="3">
        <v>-0.57999999999999996</v>
      </c>
    </row>
    <row r="33" spans="1:17" x14ac:dyDescent="0.25">
      <c r="Q33" s="5"/>
    </row>
    <row r="34" spans="1:17" x14ac:dyDescent="0.25">
      <c r="Q34" s="5"/>
    </row>
    <row r="35" spans="1:17" x14ac:dyDescent="0.25">
      <c r="Q35" s="5"/>
    </row>
    <row r="36" spans="1:17" x14ac:dyDescent="0.25">
      <c r="Q36" s="5"/>
    </row>
    <row r="37" spans="1:17" x14ac:dyDescent="0.25">
      <c r="Q37" s="5"/>
    </row>
    <row r="38" spans="1:17" x14ac:dyDescent="0.25">
      <c r="Q38" s="5"/>
    </row>
    <row r="39" spans="1:17" x14ac:dyDescent="0.25">
      <c r="Q39" s="5"/>
    </row>
    <row r="40" spans="1:17" x14ac:dyDescent="0.25">
      <c r="Q40" s="5"/>
    </row>
    <row r="41" spans="1:17" x14ac:dyDescent="0.25">
      <c r="Q41" s="5"/>
    </row>
    <row r="42" spans="1:17" x14ac:dyDescent="0.25">
      <c r="Q42" s="5"/>
    </row>
    <row r="43" spans="1:17" x14ac:dyDescent="0.25">
      <c r="Q43" s="5"/>
    </row>
    <row r="44" spans="1:17" x14ac:dyDescent="0.25">
      <c r="Q44" s="5"/>
    </row>
    <row r="45" spans="1:17" x14ac:dyDescent="0.25">
      <c r="A45" s="9"/>
      <c r="B45" s="9"/>
      <c r="C45" s="9"/>
      <c r="Q45" s="5"/>
    </row>
    <row r="46" spans="1:17" x14ac:dyDescent="0.25">
      <c r="Q46" s="5"/>
    </row>
    <row r="47" spans="1:17" x14ac:dyDescent="0.25">
      <c r="Q47" s="5"/>
    </row>
    <row r="48" spans="1:17" x14ac:dyDescent="0.25">
      <c r="Q48" s="5"/>
    </row>
    <row r="49" spans="1:17" x14ac:dyDescent="0.25">
      <c r="Q49" s="5"/>
    </row>
    <row r="50" spans="1:17" x14ac:dyDescent="0.25">
      <c r="Q50" s="5"/>
    </row>
    <row r="51" spans="1:17" x14ac:dyDescent="0.25">
      <c r="A51" s="9"/>
      <c r="B51" s="9"/>
      <c r="C51" s="9"/>
      <c r="Q51" s="5"/>
    </row>
    <row r="52" spans="1:17" x14ac:dyDescent="0.25">
      <c r="Q52" s="5"/>
    </row>
    <row r="53" spans="1:17" x14ac:dyDescent="0.25">
      <c r="Q53" s="5"/>
    </row>
    <row r="54" spans="1:17" x14ac:dyDescent="0.25">
      <c r="Q54" s="5"/>
    </row>
    <row r="55" spans="1:17" x14ac:dyDescent="0.25">
      <c r="Q55" s="5"/>
    </row>
    <row r="56" spans="1:17" x14ac:dyDescent="0.25">
      <c r="Q56" s="5"/>
    </row>
    <row r="57" spans="1:17" x14ac:dyDescent="0.25">
      <c r="Q57" s="5"/>
    </row>
    <row r="58" spans="1:17" x14ac:dyDescent="0.25">
      <c r="Q58" s="5"/>
    </row>
    <row r="59" spans="1:17" x14ac:dyDescent="0.25">
      <c r="Q59" s="5"/>
    </row>
    <row r="60" spans="1:17" x14ac:dyDescent="0.25">
      <c r="Q60" s="5"/>
    </row>
    <row r="61" spans="1:17" x14ac:dyDescent="0.25">
      <c r="Q61" s="5"/>
    </row>
    <row r="62" spans="1:17" x14ac:dyDescent="0.25">
      <c r="Q62" s="5"/>
    </row>
    <row r="63" spans="1:17" x14ac:dyDescent="0.25">
      <c r="Q63" s="5"/>
    </row>
    <row r="64" spans="1:17" x14ac:dyDescent="0.25">
      <c r="Q64" s="5"/>
    </row>
    <row r="65" spans="17:17" x14ac:dyDescent="0.25">
      <c r="Q65" s="5"/>
    </row>
    <row r="66" spans="17:17" x14ac:dyDescent="0.25">
      <c r="Q66" s="5"/>
    </row>
    <row r="67" spans="17:17" x14ac:dyDescent="0.25">
      <c r="Q67" s="5"/>
    </row>
    <row r="68" spans="17:17" x14ac:dyDescent="0.25">
      <c r="Q68" s="5"/>
    </row>
    <row r="69" spans="17:17" x14ac:dyDescent="0.25">
      <c r="Q69" s="5"/>
    </row>
    <row r="70" spans="17:17" x14ac:dyDescent="0.25">
      <c r="Q70" s="5"/>
    </row>
    <row r="71" spans="17:17" x14ac:dyDescent="0.25">
      <c r="Q71" s="5"/>
    </row>
    <row r="72" spans="17:17" x14ac:dyDescent="0.25">
      <c r="Q72" s="5"/>
    </row>
    <row r="73" spans="17:17" x14ac:dyDescent="0.25">
      <c r="Q73" s="5"/>
    </row>
    <row r="74" spans="17:17" x14ac:dyDescent="0.25">
      <c r="Q74" s="5"/>
    </row>
    <row r="75" spans="17:17" x14ac:dyDescent="0.25">
      <c r="Q75" s="5"/>
    </row>
    <row r="76" spans="17:17" x14ac:dyDescent="0.25">
      <c r="Q76" s="5"/>
    </row>
    <row r="77" spans="17:17" x14ac:dyDescent="0.25">
      <c r="Q77" s="5"/>
    </row>
    <row r="78" spans="17:17" x14ac:dyDescent="0.25">
      <c r="Q78" s="5"/>
    </row>
    <row r="79" spans="17:17" x14ac:dyDescent="0.25">
      <c r="Q79" s="5"/>
    </row>
    <row r="80" spans="17:17" x14ac:dyDescent="0.25">
      <c r="Q80" s="5"/>
    </row>
    <row r="81" spans="17:17" x14ac:dyDescent="0.25">
      <c r="Q81" s="5"/>
    </row>
    <row r="82" spans="17:17" x14ac:dyDescent="0.25">
      <c r="Q82" s="5"/>
    </row>
    <row r="83" spans="17:17" x14ac:dyDescent="0.25">
      <c r="Q83" s="5"/>
    </row>
    <row r="84" spans="17:17" x14ac:dyDescent="0.25">
      <c r="Q84" s="5"/>
    </row>
    <row r="85" spans="17:17" x14ac:dyDescent="0.25">
      <c r="Q85" s="5"/>
    </row>
    <row r="86" spans="17:17" x14ac:dyDescent="0.25">
      <c r="Q86" s="5"/>
    </row>
    <row r="87" spans="17:17" x14ac:dyDescent="0.25">
      <c r="Q87" s="5"/>
    </row>
    <row r="88" spans="17:17" x14ac:dyDescent="0.25">
      <c r="Q88" s="5"/>
    </row>
    <row r="89" spans="17:17" x14ac:dyDescent="0.25">
      <c r="Q89" s="5"/>
    </row>
    <row r="90" spans="17:17" x14ac:dyDescent="0.25">
      <c r="Q90" s="5"/>
    </row>
    <row r="91" spans="17:17" x14ac:dyDescent="0.25">
      <c r="Q91" s="4"/>
    </row>
    <row r="92" spans="17:17" x14ac:dyDescent="0.25">
      <c r="Q92" s="5"/>
    </row>
    <row r="93" spans="17:17" x14ac:dyDescent="0.25">
      <c r="Q93" s="5"/>
    </row>
    <row r="94" spans="17:17" x14ac:dyDescent="0.25">
      <c r="Q94" s="5"/>
    </row>
    <row r="95" spans="17:17" x14ac:dyDescent="0.25">
      <c r="Q95" s="5"/>
    </row>
    <row r="96" spans="17:17" x14ac:dyDescent="0.25">
      <c r="Q96" s="5"/>
    </row>
    <row r="97" spans="17:17" x14ac:dyDescent="0.25">
      <c r="Q97" s="5"/>
    </row>
    <row r="98" spans="17:17" x14ac:dyDescent="0.25">
      <c r="Q98" s="5"/>
    </row>
    <row r="99" spans="17:17" x14ac:dyDescent="0.25">
      <c r="Q99" s="5"/>
    </row>
    <row r="100" spans="17:17" x14ac:dyDescent="0.25">
      <c r="Q100" s="5"/>
    </row>
    <row r="101" spans="17:17" x14ac:dyDescent="0.25">
      <c r="Q101" s="5"/>
    </row>
    <row r="102" spans="17:17" x14ac:dyDescent="0.25">
      <c r="Q102" s="5"/>
    </row>
    <row r="103" spans="17:17" x14ac:dyDescent="0.25">
      <c r="Q103" s="5"/>
    </row>
    <row r="104" spans="17:17" x14ac:dyDescent="0.25">
      <c r="Q104" s="5"/>
    </row>
    <row r="105" spans="17:17" x14ac:dyDescent="0.25">
      <c r="Q105" s="5"/>
    </row>
    <row r="106" spans="17:17" x14ac:dyDescent="0.25">
      <c r="Q106" s="5"/>
    </row>
    <row r="107" spans="17:17" x14ac:dyDescent="0.25">
      <c r="Q107" s="5"/>
    </row>
    <row r="108" spans="17:17" x14ac:dyDescent="0.25">
      <c r="Q108" s="5"/>
    </row>
    <row r="109" spans="17:17" x14ac:dyDescent="0.25">
      <c r="Q109" s="5"/>
    </row>
  </sheetData>
  <autoFilter ref="BU1:BU109"/>
  <sortState ref="D2:AD92">
    <sortCondition ref="D2:D92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'Basic_Fundamental_Tabel_Update_Buttom &quot;其他电子&quot;,&quot;&quot;'" altText="更新基本面按钮_x000a_">
                <anchor moveWithCells="1" sizeWithCells="1">
                  <from>
                    <xdr:col>147</xdr:col>
                    <xdr:colOff>196850</xdr:colOff>
                    <xdr:row>0</xdr:row>
                    <xdr:rowOff>50800</xdr:rowOff>
                  </from>
                  <to>
                    <xdr:col>147</xdr:col>
                    <xdr:colOff>1327150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6"/>
  <sheetViews>
    <sheetView workbookViewId="0">
      <selection activeCell="I58" sqref="I58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其他电子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2024-08-02T14:28:36Z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